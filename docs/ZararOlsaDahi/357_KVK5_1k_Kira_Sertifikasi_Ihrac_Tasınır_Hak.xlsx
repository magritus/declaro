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30BAB36C-1088-4424-A3D4-AFDCB448931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2" l="1"/>
  <c r="B58" i="2"/>
  <c r="C81" i="2"/>
  <c r="C78" i="2"/>
  <c r="D13" i="2"/>
  <c r="D12" i="2"/>
  <c r="D11" i="2"/>
  <c r="F80" i="1"/>
  <c r="D75" i="1"/>
  <c r="C77" i="1"/>
  <c r="C76" i="1"/>
  <c r="C75" i="1"/>
  <c r="C72" i="1"/>
  <c r="C67" i="1"/>
  <c r="C66" i="1"/>
  <c r="C65" i="1"/>
  <c r="C64" i="1"/>
  <c r="E58" i="2"/>
  <c r="D14" i="2"/>
  <c r="D9" i="2"/>
  <c r="D8" i="2"/>
  <c r="D7" i="2"/>
  <c r="D6" i="2"/>
  <c r="C63" i="1"/>
  <c r="C62" i="1"/>
  <c r="C61" i="1"/>
  <c r="C48" i="1"/>
  <c r="D10" i="2" s="1"/>
  <c r="E16" i="1"/>
  <c r="D5" i="2" s="1"/>
</calcChain>
</file>

<file path=xl/sharedStrings.xml><?xml version="1.0" encoding="utf-8"?>
<sst xmlns="http://schemas.openxmlformats.org/spreadsheetml/2006/main" count="636" uniqueCount="510">
  <si>
    <t>357 – KİRA SERTİFİKASI İHRACININ AMACIYLA VARLIK VE HAKLARIN SATIŞINDAN DOĞAN KAZANÇLARDA İSTİSNA (TAŞINIRLAR) | KVK Md.5/1-k | BEYANNAME SATIR 357 | YMM TASDİK ÇALIŞMA KÂĞIDI</t>
  </si>
  <si>
    <t>KVK Md.5/1-k | %100 Tam İstisna | Taşınır Varlıklar ve Haklar | Kurucu → SPK Lisanslı VKŞ Devri | Kira Sertifikası İhraç Amacı | Geri Alım Zorunlu Değil | 549 Fon → Sukuk Vadesinde Amortize | Beyanname Satır 357 — Kazancın Bulunması Halinde</t>
  </si>
  <si>
    <t xml:space="preserve">  ★ 5/1-k (357) ile 5/1-j (354/355/356) ARASINDAKİ KRİTİK FARKLAR: (1) 5/1-j = Sat-KİRALA-Geri Al: Leaseback ve geri alım ZORUNLU. (2) 5/1-k = Kira Sertifikası İHRACI AMACIY LA Satış: Geri alım zorunlu değil — ihraç amacı merkezde. (3) 5/1-k = HAKLAR da kapsam içi (maddi olmayan haklar, patentler, lisanslar). (4) 5/1-k = KURUCU rolü öne çıkar — sadece kira sertifikası ihracını mümkün kılmak amaçlı devir. (5) İcara dışı sukuk yapıları (Murabaha, Wakala, Muşaraka) burada değerlendirilebilir.</t>
  </si>
  <si>
    <t xml:space="preserve">  MEKANİZMA: Kurucu (satıcı/ihraçcı kurum) taşınır varlığını veya hakkını VKŞ'ye devreder → VKŞ bu varlık/hak karşılığında kira sertifikası ihraç eder → Yatırımcılar kira sertifikası satın alır → VKŞ hasılatı kurucuya iletir → Sukuk vadesi boyunca yatırımcılara kira geliri ödenir. Satış/devir kazancı → %100 İstisna (357) → 549 Fon → Sukuk vadesinde amortize.</t>
  </si>
  <si>
    <t>A0. KAPSAM VE NİTELİK UYGUNLUK ÖN KONTROLÜ</t>
  </si>
  <si>
    <t>Kontrol Sorusu</t>
  </si>
  <si>
    <t>Yanıt</t>
  </si>
  <si>
    <t>YMM Tasdik Notu</t>
  </si>
  <si>
    <t>A0.1  Devredilen varlık TAŞINIR mı veya HAK mı? (358 = Taşınmaz — bu dosya 357 = Taşınır/Hak)</t>
  </si>
  <si>
    <t>Taşınır Varlık</t>
  </si>
  <si>
    <t>357: Taşınır varlıklar VE haklar kapsam içindedir (5/1-e kapsamından geniş). Taşınmaz (bina/arazi) → 358 kodunu kullan. Haklar: Patent, lisans, telif hakkı, marka, yazılım lisansı vb. maddi olmayan varlıklar.</t>
  </si>
  <si>
    <t>A0.2  ★ Alıcı/Devir Hedefi: SPK lisanslı Varlık Kiralama Şirketi (VKŞ) mi?</t>
  </si>
  <si>
    <t>EVET</t>
  </si>
  <si>
    <t>KRİTİK: 5/1-k yalnızca 6362 sayılı SPK Kanunu kapsamındaki VKŞ'ye yapılan devirler için geçerlidir. BDDK lisanslı FK şirketi/banka → 5/1-j (354/355/356) kapsamına girer. SPK lisans belgesi zorunludur.</t>
  </si>
  <si>
    <t>A0.3  ★ Devrin AMACI kira sertifikası ihracını mümkün kılmak mı?</t>
  </si>
  <si>
    <t>KRİTİK — 5/1-k'nın ÖZGÜN KOŞULU: Devir, yalnızca kira sertifikası ihracını gerçekleştirmek amacıyla yapılmalıdır. Ticari amaç, finansman amacı dışında başka amaçlara hizmet eden devirler kapsam dışı. İhraç amacı izahname/ihraç belgesiyle belgelenmeli.</t>
  </si>
  <si>
    <t>A0.4  SPK onaylı kira sertifikası izahnamesi/ihraç belgesi mevcut mu?</t>
  </si>
  <si>
    <t>Kira sertifikası ihracını belgeleyen SPK onaylı izahname veya ihraç belgesi zorunludur. Bu belge hem ihraç amacını hem VKŞ'nin rolünü kanıtlar.</t>
  </si>
  <si>
    <t>A0.5  Kira Sertifikası (Sukuk) Türü Nedir?</t>
  </si>
  <si>
    <t>İcara (Kiralama Destekli)</t>
  </si>
  <si>
    <t>5/1-k farklı sukuk türlerini kapsar. İcara (357) → Varlık kiralamaya dayalı. Murabaha → Mal alım/satım destekli. Wakala → Vekâlet sözleşmesine dayalı. Her yapının kendi hukuki belge seti vardır.</t>
  </si>
  <si>
    <t>A0.6  ★ İstisna edilen kazanç 549 hesabına alınacak ve sukuk vadesinde amortize edilecek mi?</t>
  </si>
  <si>
    <t>KRİTİK: 354/355/356 ile özdeş fon mekanizması. İstisna edilen kazanç 549'a alınır, sukuk vadesine paralel kira payına orantılı azaltılır.</t>
  </si>
  <si>
    <t>A0.7  KAP Bildirimleri yapıldı mı? (Halka açık ihraçlarda SPK zorunluluğu)</t>
  </si>
  <si>
    <t>Halka açık kira sertifikası ihraçlarında KAP bildirimi zorunludur. Nitelikli yatırımcıya özel ihraçlarda farklı gereklilikler uygulanabilir.</t>
  </si>
  <si>
    <t>A0.8  YMM Tasdik Raporu gereksinimi değerlendirildi mi? (49 No.lu Tebliğ)</t>
  </si>
  <si>
    <t>49 No.lu Tebliğ (30.12.2025): &gt;=500.000 TL veya toplam &gt;=1.000.000 TL → YMM raporu. Tam tasdik sözleşmesi olanlar ayrıca rapor düzenlemez.</t>
  </si>
  <si>
    <t>A0.9  Tasdik Uygunluk Sonucu</t>
  </si>
  <si>
    <t>★ A0.2 (VKŞ/SPK), A0.3 (ihraç amacı), A0.6 (fon hesabı) kritik.</t>
  </si>
  <si>
    <t>A. GENEL BİLGİLER</t>
  </si>
  <si>
    <t>Kurucu (Satıcı) Kurumun Unvanı</t>
  </si>
  <si>
    <t>Varlığı/hakkı devreden — istisna uygulayan kurum</t>
  </si>
  <si>
    <t>VKN</t>
  </si>
  <si>
    <t>10 haneli VKN</t>
  </si>
  <si>
    <t>VKŞ'nin Unvanı</t>
  </si>
  <si>
    <t>Alıcı VKŞ — 6362 s.K. kapsamında SPK lisanslı</t>
  </si>
  <si>
    <t>VKŞ'nin SPK Lisans/Kuruluş No</t>
  </si>
  <si>
    <t>SPK onaylı VKŞ tanımlayıcısı</t>
  </si>
  <si>
    <t>Kira Sertifikası ISIN / İhraç Kodu</t>
  </si>
  <si>
    <t>Sermaye piyasası aracı tanımlayıcısı</t>
  </si>
  <si>
    <t>Devir Tarihi</t>
  </si>
  <si>
    <t>GG.AA.YYYY — Varlık/Hakkın VKŞ'ye devir tarihi</t>
  </si>
  <si>
    <t>Sukuk İhraç Tarihi</t>
  </si>
  <si>
    <t>GG.AA.YYYY</t>
  </si>
  <si>
    <t>Sukuk Vade Tarihi</t>
  </si>
  <si>
    <t>GG.AA.YYYY — Sukukun sona erdiği tarih</t>
  </si>
  <si>
    <t>Hesap Dönemi</t>
  </si>
  <si>
    <t>Örn: 01.01.2025 – 31.12.2025</t>
  </si>
  <si>
    <t>B. DEVREDİLEN TAŞINIR VARLIK / HAK KİMLİĞİ — 357'NİN GENİŞ KAPSAMI</t>
  </si>
  <si>
    <t xml:space="preserve">  5/1-k (357) = 5/1-j'den FARKLI: Yalnızca taşınır/taşınmaz değil, HAKLAR da kapsam içindedir. Hak: Patent, faydalı model, tasarım, marka, telif hakkı, yazılım lisansı, imtiyaz, işletme hakkı vb. Maddi olmayan varlıkların kira sertifikası ihracı amacıyla VKŞ'ye devri bu bent kapsamındadır.</t>
  </si>
  <si>
    <t>Parametre</t>
  </si>
  <si>
    <t>Değer</t>
  </si>
  <si>
    <t>Açıklama</t>
  </si>
  <si>
    <t>YMM Notu</t>
  </si>
  <si>
    <t>B.1  Devredilen Varlık/Hak Türü</t>
  </si>
  <si>
    <t>Taşınır Varlık (Makine/Ekipman)</t>
  </si>
  <si>
    <t>Taşınmaz (Arsa/Bina) → 358 dosyasını kullan</t>
  </si>
  <si>
    <t>B.2  Devredilen Varlık/Hakkın Tanımı</t>
  </si>
  <si>
    <t>Makine: Marka/Model/Seri No | Hak: Sicil No/Belge No/Tanımı</t>
  </si>
  <si>
    <t>Tekil tanımlama</t>
  </si>
  <si>
    <t>B.3  Varlık/Hakkın Muhasebedeki Net Defter Değeri (TL)</t>
  </si>
  <si>
    <t>Taşınır: Amortisman düşülmüş net değer (253/254). Hak: 260/263 hesabı net değeri (itfa sonrası).</t>
  </si>
  <si>
    <t>Muhasebe kartı ile uyumlu</t>
  </si>
  <si>
    <t>B.4  VKŞ'ye Devir Bedeli (TL)</t>
  </si>
  <si>
    <t>Piyasa değerine uygun — SPK ihraç bağlamında değerleme kritik</t>
  </si>
  <si>
    <t>Değerleme raporu</t>
  </si>
  <si>
    <t>B.5  Bağımsız Değerleme Raporu Bedeli (TL)</t>
  </si>
  <si>
    <t>SPK bağlamında zorunlu/önerilen değerleme kuruluşu raporu</t>
  </si>
  <si>
    <t>B.6  Devir/Satış Giderleri (TL)</t>
  </si>
  <si>
    <t>Komisyon, tescil, noter, SPK harçları, hukuki danışmanlık vb.</t>
  </si>
  <si>
    <t>B.7  Devir Belgesi Mevcut mu? (Taşınır: Fatura+Teslim / Hak: Devir Sözleşmesi+Tescil)</t>
  </si>
  <si>
    <t>Taşınır: E-Fatura + Teslim-tesellüm tutanağı. Hak: Devir/Temlik sözleşmesi + Türk Patent ve Marka Kurumu tescil belgesi.</t>
  </si>
  <si>
    <t>Aktiften çıkış kaydı ile uyumlu</t>
  </si>
  <si>
    <t>C. VKŞ NİTELİK TEYİDİ VE KİRA SERTİFİKASI YAPISI</t>
  </si>
  <si>
    <t xml:space="preserve">  5/1-k'da alıcı kurum 5/1-j ile aynıdır: SPK lisanslı VKŞ. Ancak 5/1-k'da sukuk türü çok daha geniştir: İcara dışında Murabaha, Wakala, Muşaraka da mümkündür. Her sukuk türünün kendine özgü hukuki belge yapısı ve SPK tebliği uygulaması vardır.</t>
  </si>
  <si>
    <t>Yasal Dayanak</t>
  </si>
  <si>
    <t>C.1  VKŞ SPK Lisansı Mevcut mu?</t>
  </si>
  <si>
    <t>SPK'nın resmi VKŞ listesinden teyit. 6362 s.K. kapsamında lisanslanmış.</t>
  </si>
  <si>
    <t>6362 s.K.</t>
  </si>
  <si>
    <t>C.2  VKŞ Münhasıran Kira Sertifikası İhraç Ediyor mu?</t>
  </si>
  <si>
    <t>VKŞ'nin ana faaliyet amacı münhasıran kira sertifikası ihracı olmalıdır.</t>
  </si>
  <si>
    <t>6362 s.K. Md.61</t>
  </si>
  <si>
    <t>C.3  Sukuk (Kira Sertifikası) Türü</t>
  </si>
  <si>
    <t>5/1-k: İcara dışı sukuk türleri de kapsam dahilindedir. Her türün kendi sözleşme paketi ve SPK tebliği uygulaması mevcuttur.</t>
  </si>
  <si>
    <t>SPK Sukuk Tebliği</t>
  </si>
  <si>
    <t>C.4  Kira Sertifikası İhraç Tutarı (TL)</t>
  </si>
  <si>
    <t>VKŞ tarafından ihraç edilen toplam sertifika tutarı</t>
  </si>
  <si>
    <t>C.5  Sukuk Vadesi (Ay/Yıl)</t>
  </si>
  <si>
    <t>Ay veya yıl cinsinden</t>
  </si>
  <si>
    <t>C.6  Sukuk Vadesi (Ay — Otomatik)</t>
  </si>
  <si>
    <t>Otomatik hesaplanır</t>
  </si>
  <si>
    <t>C.7  KAP Bildirimi Yapıldı mı?</t>
  </si>
  <si>
    <t>Halka açık ihraçlarda KAP bildirimi zorunlu.</t>
  </si>
  <si>
    <t>KAP / SPK</t>
  </si>
  <si>
    <t>C.8  SPK Onaylı İzahname / İhraç Belgesi Mevcut mu?</t>
  </si>
  <si>
    <t>İhraç belgesi sukuk yapısını ve ihraç amacını belgeler — 5/1-k'nın kritik dayanağı.</t>
  </si>
  <si>
    <t>SPK / 6362 s.K.</t>
  </si>
  <si>
    <t>D. GERİ ALIM OPSİYONU ANALİZİ — 5/1-k'DA ZORUNLU DEĞİL</t>
  </si>
  <si>
    <t xml:space="preserve">  ★ 5/1-j (354/355/356) ile 5/1-k (357/358) ARASINDAKİ EN KRİTİK FARK: 5/1-j (Sat-Kirala-GERİ AL): Geri alım taahhüdü ZORUNLU — aksi takdirde 5/1-j kapsamı dışında. 5/1-k (Kira Sertifikası İHRACI): Geri alım opsiyonel — ihraç amacı yeterli koşuldur. Bazı sukuk yapılarında (Murabaha/Wakala) geri alım olmadan da 5/1-k uygulanabilir.</t>
  </si>
  <si>
    <t>D.1  Sukuk Yapısında Geri Alım Opsiyonu/Taahhüdü Var mı?</t>
  </si>
  <si>
    <t>VAR — Opsiyonel Geri Alım</t>
  </si>
  <si>
    <t>5/1-k'da ZORUNLU DEĞİL. Ancak var ise belgelenmeli. Yoksa: Vade sonunda VKŞ sona erer ve varlık/hak tasfiye kapsamında değerlendirilir.</t>
  </si>
  <si>
    <t>D.2  Sukuk Türüne Göre Geri Alım/İade Mekanizması</t>
  </si>
  <si>
    <t>İcara: Kira + Geri Alım</t>
  </si>
  <si>
    <t>Sukuk türüne göre vade sonu mekanizması değişir. Her birinin kendi belge yapısı vardır.</t>
  </si>
  <si>
    <t>D.3  5/1-k mı 5/1-j mi Uygulanması Doğru?</t>
  </si>
  <si>
    <t>5/1-k — İhraç Amacı Ön Planda</t>
  </si>
  <si>
    <t>Leaseback + Geri alım zorunlu → 5/1-j (354/355/356). İhraç amacı + Geri alım opsiyonel → 5/1-k (357/358). Karma yapılarda özelge alınması tavsiye edilir.</t>
  </si>
  <si>
    <t>E. SATIŞ/DEVİR KAZANCI VE %100 İSTİSNA HESABI</t>
  </si>
  <si>
    <t xml:space="preserve">  354/355/356 ile özdeş formül yapısı — sadece kazanç kalemlerinin niteliği farklı. Hakların devir kazancında: Defter değeri = Maddi olmayan hakkın net kayıtlı değeri (260/263 hesabı). Değerleme raporu (C.5) ile devir bedeli (B.4) uyumunu kontrol edin (E.7).</t>
  </si>
  <si>
    <t>Hesap Kalemi</t>
  </si>
  <si>
    <t>Tutar (TL)</t>
  </si>
  <si>
    <t>E.1  VKŞ'ye Devir Bedeli</t>
  </si>
  <si>
    <t>B.4'ten otomatik</t>
  </si>
  <si>
    <t>VKŞ'nin satın alma bedeli</t>
  </si>
  <si>
    <t>E.2  Varlık/Hakkın Net Defter Değeri</t>
  </si>
  <si>
    <t>B.3'ten otomatik</t>
  </si>
  <si>
    <t>Taşınır: 253/254 | Hak: 260/263 net değeri</t>
  </si>
  <si>
    <t>E.3  Devir Giderleri</t>
  </si>
  <si>
    <t>B.6'dan otomatik</t>
  </si>
  <si>
    <t>Komisyon, tescil, SPK harçları</t>
  </si>
  <si>
    <t>E.4  SATIŞ/DEVİR KAZANCI = E.1 − E.2 − E.3</t>
  </si>
  <si>
    <t>Pozitif = Kazanç | Negatif = Zarar</t>
  </si>
  <si>
    <t>E.5  DURUM</t>
  </si>
  <si>
    <t>Otomatik değerlendirme</t>
  </si>
  <si>
    <t>E.6  5/1-k İSTİSNA TUTARI (%100)</t>
  </si>
  <si>
    <t>%100 Tam İstisna → 549 Hesabına → Beyanname 357</t>
  </si>
  <si>
    <t>→ F bölümü fon hesabı</t>
  </si>
  <si>
    <t>E.7  Değerleme Uyum Farkı (E.1 − C.5)</t>
  </si>
  <si>
    <t>Devir bedeli - Değerleme farkı (0'a yakın beklenir)</t>
  </si>
  <si>
    <t>Büyük fark → KVK Md.13 + SPK riski</t>
  </si>
  <si>
    <t>F. 549 ÖZEL FON HESABI VE SUKUK VADESİNDE AMORTİZASYON</t>
  </si>
  <si>
    <t xml:space="preserve">  354/355/356 ile özdeş mekanizma — Devir yılında E.6 tutarı 549'a alınır. Her dönem sukuk vadesine paralel kira ödemelerine orantılı fon azalır. Sukuk vadesi sonunda 549 sıfır. Kira ödemeleri (İcara'da) KV matrahından gider.</t>
  </si>
  <si>
    <t>Fon Kalemi</t>
  </si>
  <si>
    <t>Tutar / Oran</t>
  </si>
  <si>
    <t>F.1  Başlangıç Fon Tutarı (= E.6 — Devir Yılında 549'a Alınacak)</t>
  </si>
  <si>
    <t>İstisna kazancının tamamı</t>
  </si>
  <si>
    <t>Devir yılı — 549 hesabına</t>
  </si>
  <si>
    <t>F.2  Toplam Sukuk Ödemesi/Kira Ödemesi (TL — Tüm Vade)</t>
  </si>
  <si>
    <t>Sukuk vadesindeki toplam kira/getiri ödemeleri</t>
  </si>
  <si>
    <t>Amortizasyon paydası</t>
  </si>
  <si>
    <t>F.3  Cari Dönem Ödeme (TL — Bu Hesap Döneminde Yapılan)</t>
  </si>
  <si>
    <t>Bu dönem VKŞ'ye yapılan kira/getiri ödemesi</t>
  </si>
  <si>
    <t>Kira dekontu/sözleşme ile uyumlu</t>
  </si>
  <si>
    <t>F.4  Cari Dönem Amortizasyon Oranı (%)</t>
  </si>
  <si>
    <t>Otomatik</t>
  </si>
  <si>
    <t>F.5  Cari Dönem Fon Azalışı = F.1 × F.4/100</t>
  </si>
  <si>
    <t>Bu dönem 549'dan düşülecek</t>
  </si>
  <si>
    <t>→ Muhasebe fon amortizasyon kaydı</t>
  </si>
  <si>
    <t>F.6  Dönem Sonu 549 Fon Bakiyesi (Tahmini)</t>
  </si>
  <si>
    <t>Kalan amortize edilecek fon</t>
  </si>
  <si>
    <t>Gelecek dönemler bakiyesi</t>
  </si>
  <si>
    <t>G. BEYANNAME 357 — KVK 5/1-k KİRA SERTİFİKASI İHRACI (TAŞINIR/HAK) İSTİSNASI</t>
  </si>
  <si>
    <t>G.1  TOPLAM İSTİSNA → Beyanname Satır 357 (Kazancın Bulunması Halinde — %100 — DEVİR YILI)</t>
  </si>
  <si>
    <t>E.6 = Devir Kazancı × %100</t>
  </si>
  <si>
    <t xml:space="preserve">  KRİTİK UYARILAR: (1) 5/1-k ≠ 5/1-j: Geri alım zorunlu değil — ihraç amacı esastır. (2) 357 yalnızca taşınır ve haklar içindir — taşınmaz (bina/arazi) → 358 kullan. (3) Alıcı: SPK lisanslı VKŞ — BDDK lisanslı FK/banka ise 354/355/356 kullan. (4) 357 YALNIZCA DEVİR YILINDA — sonraki yıllarda yazılmaz. (5) 549 Fon: Devir yılında tam tutar → Sukuk vadesinde kira payına orantılı amortize.</t>
  </si>
  <si>
    <t>357 – KİRA SERTİFİKASI İHRACI (TAŞINIR/HAK) | HESAPLAMALAR VE DENETİM KONTROL</t>
  </si>
  <si>
    <t>KVK Md.5/1-k | %100 İstisna | Taşınır + Haklar | Beyanname 357 | Kazancın Bulunması Halinde | SPK Lisanslı VKŞ | Sukuk İhraç Amacı Esaslı | Geri Alım ZORUNLU DEĞİL (5/1-j'den Fark) | 549 Fon → Sukuk Vadesinde Amortize</t>
  </si>
  <si>
    <t>A. TASDİK ÖZETİ — VERİ GİRİŞİNDEN OTOMATİK</t>
  </si>
  <si>
    <t>A0 Tasdik Uygunluğu</t>
  </si>
  <si>
    <t>OK ise devam</t>
  </si>
  <si>
    <t>Devredilen Varlık/Hak Türü (B.1)</t>
  </si>
  <si>
    <t>Taşınır/Hak/Karma</t>
  </si>
  <si>
    <t>VKŞ SPK Lisansı (A0.2)</t>
  </si>
  <si>
    <t>EVET zorunlu</t>
  </si>
  <si>
    <t>İhraç Amacı Teyidi (A0.3)</t>
  </si>
  <si>
    <t>Sukuk Türü (C.3)</t>
  </si>
  <si>
    <t>İcara/Murabaha/Wakala/Muşaraka</t>
  </si>
  <si>
    <t>Sukuk Vadesi (Ay) (C.6)</t>
  </si>
  <si>
    <t>Fon amortizasyon süresi</t>
  </si>
  <si>
    <t>Devir Kazancı (E.4)</t>
  </si>
  <si>
    <t>Brüt kazanç</t>
  </si>
  <si>
    <t>357 İSTİSNA TUTARI %100 (E.6)</t>
  </si>
  <si>
    <t>Başlangıç Fon (F.1)</t>
  </si>
  <si>
    <t>549 Hesabı başlangıcı</t>
  </si>
  <si>
    <t>Geri Alım Durumu (D.1)</t>
  </si>
  <si>
    <t>Zorunlu değil — opsiyonel</t>
  </si>
  <si>
    <t>B. 5/1-k (357) vs 5/1-j (354/355/356) — KRİTİK FARKLAR TABLOSU</t>
  </si>
  <si>
    <t xml:space="preserve">  5/1-k ile 5/1-j benzer görünse de yapısal farkları vergi risklerini doğrudan etkiler.</t>
  </si>
  <si>
    <t>Kriter</t>
  </si>
  <si>
    <t>357 — 5/1-k (KS İhraç Amacı)</t>
  </si>
  <si>
    <t>354/355/356 — 5/1-j (Sat-Kirala-Geri Al)</t>
  </si>
  <si>
    <t>Yasal Bent</t>
  </si>
  <si>
    <t>KVK Md.5/1-k</t>
  </si>
  <si>
    <t>KVK Md.5/1-j</t>
  </si>
  <si>
    <t>Beyanname Satırı</t>
  </si>
  <si>
    <t>357 (Taşınır/Hak), 358 (Taşınmaz)</t>
  </si>
  <si>
    <t>354 (Taşınır), 355 (Taşınmaz), 356 (VKŞ)</t>
  </si>
  <si>
    <t>Alıcı Kurum</t>
  </si>
  <si>
    <t>SPK Lisanslı VKŞ</t>
  </si>
  <si>
    <t>BDDK Lisanslı FK/Katılım/K-Y Bankası (354/355) veya VKŞ (356)</t>
  </si>
  <si>
    <t>Kapsam — Varlık</t>
  </si>
  <si>
    <t>Taşınır + HAKLAR (Patent/Lisans/Marka)</t>
  </si>
  <si>
    <t>Taşınır veya Taşınmaz (haklar daha sınırlı)</t>
  </si>
  <si>
    <t>Geri Alım Zorunluluğu</t>
  </si>
  <si>
    <t>HAYIR — İhraç amacı yeterli</t>
  </si>
  <si>
    <t>EVET — Geri alım taahhüdü zorunlu</t>
  </si>
  <si>
    <t>İşlem Amacı</t>
  </si>
  <si>
    <t>Kira Sertifikası İhracı — Öncelikli</t>
  </si>
  <si>
    <t>Sat-Kirala-Geri Al — Döngüsel Finansman</t>
  </si>
  <si>
    <t>Sukuk Yapısı</t>
  </si>
  <si>
    <t>İcara + Murabaha + Wakala + Muşaraka</t>
  </si>
  <si>
    <t>Ağırlıklı olarak İcara</t>
  </si>
  <si>
    <t>Leaseback (Geri Kiralama)</t>
  </si>
  <si>
    <t>Her zaman gerekmeyebilir</t>
  </si>
  <si>
    <t>ZORUNLU (Sat-KİRALA-Geri Al)</t>
  </si>
  <si>
    <t>İstisna Oranı</t>
  </si>
  <si>
    <t>%100</t>
  </si>
  <si>
    <t>549 Fon Mekanizması</t>
  </si>
  <si>
    <t>Sukuk vadesinde amortize</t>
  </si>
  <si>
    <t>Kira süresinde amortize</t>
  </si>
  <si>
    <t>Beyanname Bölümü</t>
  </si>
  <si>
    <t>Kazancın Bulunması Halinde</t>
  </si>
  <si>
    <t>Özelge Alınması</t>
  </si>
  <si>
    <t>ŞİDDETLE TAVSİYE (emsal az)</t>
  </si>
  <si>
    <t>Tavsiye edilir</t>
  </si>
  <si>
    <t>C. SUKUK TÜRÜ ANALİZİ — 5/1-k KAPSAMINDA FARKLI YAPILAR</t>
  </si>
  <si>
    <t xml:space="preserve">  5/1-k, 5/1-j'den daha geniş sukuk yapılarını kapsar. Her sukuk türü farklı sözleşme yapısı, hukuki belgeler ve SPK tebliği gerektirir.</t>
  </si>
  <si>
    <t>Sukuk Türü</t>
  </si>
  <si>
    <t>Mekanizma Özeti</t>
  </si>
  <si>
    <t>5/1-k Uygulaması</t>
  </si>
  <si>
    <t>İcara (Kiralama)</t>
  </si>
  <si>
    <t>Varlık VKŞ'ye satılır → VKŞ kurucuya kiralar → Vade sonunda geri alım. En yaygın yapı — 5/1-j İcara ile benzer ancak geri alım 5/1-k'da opsiyonel.</t>
  </si>
  <si>
    <t>354/355/356 ile en çok örtüşen yapı. Leaseback varsa 5/1-j ile örtüşebilir.</t>
  </si>
  <si>
    <t>Murabaha (Maliyet+Kâr Satışı)</t>
  </si>
  <si>
    <t>VKŞ mal satın alır → Kurucuya vadeli satar → Kurucu bedellerle VKŞ'ye öder. Varlık kurucuya hemen geçer — leaseback yok.</t>
  </si>
  <si>
    <t>Geri alım yok → 5/1-j değil, 5/1-k uygulanır. Varlık kurucuya geçince istisna tartışmalı.</t>
  </si>
  <si>
    <t>Wakala (Vekâlet)</t>
  </si>
  <si>
    <t>KOŞULLU</t>
  </si>
  <si>
    <t>Kurucu VKŞ'ye vekâlet verir → VKŞ varlıkları yönetir/yatırım yapar → Getiri dağıtılır. Varlık kurucuda kalabilir — sahiplik devri sınırlı.</t>
  </si>
  <si>
    <t>Varlık devri tam olmayabilir → 5/1-k uygulanabilirliği özelge ile teyit edilmeli.</t>
  </si>
  <si>
    <t>Muşaraka (Ortaklık)</t>
  </si>
  <si>
    <t>Kurucu + VKŞ ortak proje kurar → Kira sertifikası bu ortaklığa dayalı ihraç edilir. Varlık devri kısmi olabilir.</t>
  </si>
  <si>
    <t>Kısmi devir → 5/1-k uygulaması tartışmalı. Özelge zorunlu.</t>
  </si>
  <si>
    <t>D. HAKLAR KAPSAMINDA 357 UYGULAMASI — 5/1-j'DEN GENİŞ KAPSAM</t>
  </si>
  <si>
    <t xml:space="preserve">  5/1-k (357)'de 'varlık ve haklar' ifadesi, 5/1-j'nin yalnızca taşınır/taşınmaz kapsamını aşar. Maddi olmayan hakların sukuk ihracı amacıyla VKŞ'ye devri de istisna kapsamındadır.</t>
  </si>
  <si>
    <t>Hak Türü</t>
  </si>
  <si>
    <t>5/1-k Kapsamı?</t>
  </si>
  <si>
    <t>Devir Belgesi</t>
  </si>
  <si>
    <t>Patent / Faydalı Model / Tasarım</t>
  </si>
  <si>
    <t>EVET ✓</t>
  </si>
  <si>
    <t>Türk Patent ve Marka Kurumu devir tescili + Devir sözleşmesi</t>
  </si>
  <si>
    <t>Marka / Ticaret Unvanı</t>
  </si>
  <si>
    <t>TPMK marka devir tescili + Devir sözleşmesi</t>
  </si>
  <si>
    <t>Telif Hakkı / Bağlantılı Haklar</t>
  </si>
  <si>
    <t>Eser sahibi olmak koşuluyla devir sözleşmesi (tescil zorunlu değil)</t>
  </si>
  <si>
    <t>Yazılım Lisansı / Kaynak Kodu Hakkı</t>
  </si>
  <si>
    <t>Lisans devir sözleşmesi + Teslim tutanağı</t>
  </si>
  <si>
    <t>İmtiyaz / Ruhsat / İşletme Hakkı</t>
  </si>
  <si>
    <t>KOŞULLU ⚠</t>
  </si>
  <si>
    <t>Kamu kaynakları için devir kısıtı olabilir — ilgili kurum izni gerekebilir</t>
  </si>
  <si>
    <t>İştirak Hissesi / Ortaklık Payı</t>
  </si>
  <si>
    <t>TARTIŞMALI ⚠</t>
  </si>
  <si>
    <t>KVK 5/1-k 'haklar' kapsamına girebilir ancak özelge alınması zorunlu</t>
  </si>
  <si>
    <t>Tescilsiz Haklar (Know-how vb.)</t>
  </si>
  <si>
    <t>Tespit belgesi + Değerleme raporu — VKŞ'ye devrin hukuki altyapısı güçlü kurulmalı</t>
  </si>
  <si>
    <t>E. FON AMORTİZASYON TABLOSU — SUKUK VADESİ BOYUNCA (357)</t>
  </si>
  <si>
    <t>Dönem</t>
  </si>
  <si>
    <t>Kira/Getiri Öd.(TL)</t>
  </si>
  <si>
    <t>Ödeme Oranı (%)</t>
  </si>
  <si>
    <t>Fon Azalış (TL)</t>
  </si>
  <si>
    <t>Kalan Fon (TL)</t>
  </si>
  <si>
    <t>Sukuk/KAP</t>
  </si>
  <si>
    <t>Dönem-1</t>
  </si>
  <si>
    <t>Sukuk ödeme dekontu ile teyit — dönemsel kira/getiri ödemesi</t>
  </si>
  <si>
    <t>Dönem-2</t>
  </si>
  <si>
    <t>Dönem-3</t>
  </si>
  <si>
    <t>Dönem-4</t>
  </si>
  <si>
    <t>Dönem-5</t>
  </si>
  <si>
    <t>TOPLAM</t>
  </si>
  <si>
    <t>Sukuk vadesi doldu — 549 sıfırlandı — İstisna korundu</t>
  </si>
  <si>
    <t>F. DENETİM KONTROL LİSTESİ (K1–K13)</t>
  </si>
  <si>
    <t>Kontrol</t>
  </si>
  <si>
    <t>Sonuç</t>
  </si>
  <si>
    <t>YMM Aksiyonu</t>
  </si>
  <si>
    <t>K1</t>
  </si>
  <si>
    <t>Devredilen varlık taşınır mı veya hak mı? Taşınmaz ise 358 kullanıldı mı?</t>
  </si>
  <si>
    <t>Taşınmaz (bina/arazi) → 358 kodu. Bu dosya taşınır + haklar için. Hak türü teyit edilmeli.</t>
  </si>
  <si>
    <t>Uygun / Eksik / Risk</t>
  </si>
  <si>
    <t>K2</t>
  </si>
  <si>
    <t>★ Alıcı SPK lisanslı VKŞ mi? 6362 s.K. kapsamında mı?</t>
  </si>
  <si>
    <t>SPK VKŞ listesinden teyit. BDDK lisanslı FK/banka ise 354/355/356 (5/1-j) kullan.</t>
  </si>
  <si>
    <t>K3</t>
  </si>
  <si>
    <t>★ Devrin amacı münhasıran kira sertifikası ihracı mı? İhraç belgesi var mı?</t>
  </si>
  <si>
    <t>İhraç amacı = 5/1-k'nın özgün şartı. SPK onaylı izahname/ihraç belgesi zorunlu.</t>
  </si>
  <si>
    <t>K4</t>
  </si>
  <si>
    <t>★ 5/1-k (357) mı 5/1-j (354/356) mı doğru bent? Seçim gerekçesi belgelendi mi?</t>
  </si>
  <si>
    <t>Geri alım taahhütlü + leaseback → 5/1-j (354/356). İhraç amacı önde, geri alım opsiyonel → 5/1-k (357). Karma yapılarda özelge şiddetle tavsiye edilir.</t>
  </si>
  <si>
    <t>K5</t>
  </si>
  <si>
    <t>KAP bildirimleri yapıldı mı? İzahname SPK onaylı mı?</t>
  </si>
  <si>
    <t>Halka açık ihraçlarda KAP zorunlu. İzahname olmadan SPK boyutu belgelenemiyor.</t>
  </si>
  <si>
    <t>K6</t>
  </si>
  <si>
    <t>Hak devrinde tescil/devir belgesi (TPMK vb.) mevcut mu?</t>
  </si>
  <si>
    <t>Patent/marka: TPMK devir tescili. Telif: Devir sözleşmesi. Yazılım: Teslim tutanağı.</t>
  </si>
  <si>
    <t>K7</t>
  </si>
  <si>
    <t>★ E.6 tutarı 549 hesabına alındı mı? F.1 = E.6 uyumlu mu?</t>
  </si>
  <si>
    <t>Devir yılında tam tutar 549'a alınmalı. Fon kaydı olmadan istisna geçersiz.</t>
  </si>
  <si>
    <t>K8</t>
  </si>
  <si>
    <t>Fon amortizasyonu sukuk vadesine paralel yapılıyor mu?</t>
  </si>
  <si>
    <t>354/355/356 ile özdeş mekanizma. Sabit değil — kira/getiri payına orantılı.</t>
  </si>
  <si>
    <t>K9</t>
  </si>
  <si>
    <t>Devir bedeli değerleme raporu ile uyumlu mu? E.7 farkı küçük mü?</t>
  </si>
  <si>
    <t>SPK bağlamında değerleme kritik. E.7 büyük fark → KVK Md.13 + SPK riski.</t>
  </si>
  <si>
    <t>K10</t>
  </si>
  <si>
    <t>Sukuk türüne uygun sözleşme paketi (İcara/Murabaha/Wakala/Muşaraka) var mı?</t>
  </si>
  <si>
    <t>Her sukuk türünün kendi belge yapısı. C tablosu ile kontrol et.</t>
  </si>
  <si>
    <t>K11</t>
  </si>
  <si>
    <t>357 yalnızca DEVİR YILINDA kullanıldı mı?</t>
  </si>
  <si>
    <t>357 sadece devir/satış yılı beyannamesi. Sonraki yıllarda yazılmaz.</t>
  </si>
  <si>
    <t>K12</t>
  </si>
  <si>
    <t>357 'Kazancın Bulunması Halinde' bölümünde mi?</t>
  </si>
  <si>
    <t>'Zarar Olsa Dahi' bölümünde DEĞİL. Dönem zararında istisna uygulanamaz.</t>
  </si>
  <si>
    <t>K13</t>
  </si>
  <si>
    <t>YİAKV matrahında 357 istisnasının etkisi analiz edildi mi?</t>
  </si>
  <si>
    <t>Dönem mevzuatı ve GİB açıklamaları esas alınmalıdır.</t>
  </si>
  <si>
    <t>G. BEYANNAME EŞLEŞTİRME</t>
  </si>
  <si>
    <t>Satır</t>
  </si>
  <si>
    <t>Tutar / Not</t>
  </si>
  <si>
    <t>357</t>
  </si>
  <si>
    <t>KVK 5/1-k — Kira Sertifikası İhracı (Taşınır/Hak) | %100 | Kazancın Bulunması Halinde | DEVİR YILI</t>
  </si>
  <si>
    <t>358</t>
  </si>
  <si>
    <t>Taşınmaz</t>
  </si>
  <si>
    <t>Taşınmaz (bina/arazi/fabrika) kira sertifikası ihracı → 358 kodu</t>
  </si>
  <si>
    <t>354/355/356</t>
  </si>
  <si>
    <t>5/1-j (Sat-Kirala-Geri Al)</t>
  </si>
  <si>
    <t>Geri alım taahhütlü leaseback yapısı → 354/355/356 (5/1-j). 357/358 (5/1-k) değil.</t>
  </si>
  <si>
    <t>549 Fon</t>
  </si>
  <si>
    <t>İstisna kazancın tamamı → 549 → Sukuk vadesine orantılı amortize.</t>
  </si>
  <si>
    <t>357 – KİRA SERTİFİKASI İHRACI (TAŞINIR/HAK) | MUHASEBE KAYITLARI</t>
  </si>
  <si>
    <t>KVK Md.5/1-k | %100 İstisna | Beyanname 357 | Taşınır Varlık veya Hak Devri | Sukuk İhracı | 549 Fon Amortizasyonu</t>
  </si>
  <si>
    <t xml:space="preserve">  NOT: Rehber niteliğindedir. Sukuk türüne (İcara/Murabaha/Wakala) göre uyarlanmalıdır.</t>
  </si>
  <si>
    <t>KAYIT 1 — TAŞINIR VARLIK DEVIR KAYDI (VKŞ'YE SUKUK İHRACI AMACIYLA)</t>
  </si>
  <si>
    <t>Devir Tarihi: [GG.AA.YYYY] | Devir Bedeli: [___] TL | Net Defter Değeri: [___] TL</t>
  </si>
  <si>
    <t>Tarih</t>
  </si>
  <si>
    <t>Hesap Adı / Kodu</t>
  </si>
  <si>
    <t>Muhasebe Notu</t>
  </si>
  <si>
    <t>Dr (TL)</t>
  </si>
  <si>
    <t>Kr (TL)</t>
  </si>
  <si>
    <t>Referans</t>
  </si>
  <si>
    <t>Dr</t>
  </si>
  <si>
    <t>[Devir]</t>
  </si>
  <si>
    <t>102 Bankalar / 121 Alacaklar</t>
  </si>
  <si>
    <t>VKŞ'nin sukuk hasılatından kurucuya yaptığı ödeme</t>
  </si>
  <si>
    <t>[Devir Bedeli]</t>
  </si>
  <si>
    <t>—</t>
  </si>
  <si>
    <t>İhraç belgesi + Banka dekontu</t>
  </si>
  <si>
    <t>Kr</t>
  </si>
  <si>
    <t>253/254 İlgili Taşınır Aktif Hesabı</t>
  </si>
  <si>
    <t>Taşınır varlığın net defter değeriyle aktiften çıkışı</t>
  </si>
  <si>
    <t>[Net Defter]</t>
  </si>
  <si>
    <t>Aktif kartı</t>
  </si>
  <si>
    <t>258 Birikmiş Amortismanlar</t>
  </si>
  <si>
    <t>Birikmiş amortisman kapatma</t>
  </si>
  <si>
    <t>[Amortisman]</t>
  </si>
  <si>
    <t>258 kartı</t>
  </si>
  <si>
    <t>679 Diğer Olağandışı Kâr / 645 Satış Kârı</t>
  </si>
  <si>
    <t>Devir kazancı — KVK 5/1-k 357 istisna — Kira sertifikası ihraç amacı</t>
  </si>
  <si>
    <t>[Kazanç]</t>
  </si>
  <si>
    <t>KV 357</t>
  </si>
  <si>
    <t>★ 5/1-k (357) vs 5/1-j (354) MUHASEBE FARKI:
354 (İcara Sat-Kirala-Geri Al): Kazanç → 679 → 549 | Geri kiralama kaydı → Kira gideri
357 (Kira Sertifikası İhracı): Kazanç → 679 → 549 | Geri kiralama zorunlu değil
İcara yapısında 357 de kira gideri kaydı içerebilir — ancak sukuk türüne göre değişir.</t>
  </si>
  <si>
    <t>KAYIT 1b — HAK DEVIR KAYDI (5/1-k'nın 5/1-j'den Geniş Kapsamı)</t>
  </si>
  <si>
    <t>Maddi olmayan hak (patent/lisans/marka) devir kaydı — 260/263 hesabı</t>
  </si>
  <si>
    <t>102 Bankalar</t>
  </si>
  <si>
    <t>VKŞ'nin hakka karşılık ödediği bedel — sukuk ihraç hasılatından</t>
  </si>
  <si>
    <t>Devir sözleşmesi + Banka dekontu</t>
  </si>
  <si>
    <t>260 Haklar / 263 Araştırma-Geliştirme Giderleri</t>
  </si>
  <si>
    <t>Devredilen hakkın net kayıtlı değeriyle aktiften çıkışı</t>
  </si>
  <si>
    <t>260/263 hesap kartı</t>
  </si>
  <si>
    <t>268 Birikmiş İtfa Payları</t>
  </si>
  <si>
    <t>Birikmiş itfa paylarının kapatılması</t>
  </si>
  <si>
    <t>[İtfa]</t>
  </si>
  <si>
    <t>268 kartı</t>
  </si>
  <si>
    <t>679 Diğer Olağandışı Kâr</t>
  </si>
  <si>
    <t>Hak devir kazancı — KVK 5/1-k 357 istisna</t>
  </si>
  <si>
    <t>HAK DEVRİ ÖZGÜNLÜĞÜ: Maddi olmayan hakların VKŞ'ye devri 5/1-k'nın 5/1-j'den ayrıştığı noktadır. Taşınır/taşınmaz mülkiyeti devri Medeni Kanun kapsamındayken, hakların devri sözleşme hukuku ve özel kanunlar (PatKHK, SMK, FSHuK) kapsamındadır. TPMK tescili (patent/marka) veya devir sözleşmesi (telif/yazılım) devrin belgelenmesidir.</t>
  </si>
  <si>
    <t>KAYIT 2 — 549 ÖZEL FON HESABINA ALMA (Devir Yılında)</t>
  </si>
  <si>
    <t>KV Beyan</t>
  </si>
  <si>
    <t>679/645 Satış Kârı</t>
  </si>
  <si>
    <t>İstisna edilen devir kazancının gelir hesabından çıkarılması</t>
  </si>
  <si>
    <t>[E.6 Tamamı]</t>
  </si>
  <si>
    <t>E.6 tutarı</t>
  </si>
  <si>
    <t>549 Özel Fonlar</t>
  </si>
  <si>
    <t>%100 İstisna — KVK 5/1-k 357 — Kira Sertifikası İhraç Amacı (Taşınır/Hak) | Sukuk vadesi amortize</t>
  </si>
  <si>
    <t>Sukuk vade takibi</t>
  </si>
  <si>
    <t>KAYIT 3 — FON AMORTİZASYONU (Sukuk Vadesine Paralel — Her Dönem)</t>
  </si>
  <si>
    <t>Sukuk vadesi boyunca kira/getiri ödemelerine orantılı 549 fonu azaltılır.</t>
  </si>
  <si>
    <t>[Dönem]</t>
  </si>
  <si>
    <t>Cari dönem fon amortizasyonu = F.1 × (Dönem Kira/Getiri / Toplam Kira/Getiri)</t>
  </si>
  <si>
    <t>[F.5 Tutarı]</t>
  </si>
  <si>
    <t>F bölümü hesabı</t>
  </si>
  <si>
    <t>Nazım / Dipnot</t>
  </si>
  <si>
    <t>Fon amortizasyonu karşılığı</t>
  </si>
  <si>
    <t>İCara YAPISI İSE (357+Geri Kiralama): Ek kira gideri kaydı da yapılır:
Dr: 760/780/630 Gider | Kr: 102 Bankalar [Kira tutarı]
MURABAHA/WAKALA YAPISI: Leaseback yoksa kira gideri kaydı bulunmaz — sadece fon amortizasyonu yapılır.</t>
  </si>
  <si>
    <t>357 – KİRA SERTİFİKASI İHRACI (TAŞINIR/HAK) | DENETÇİ NOTLARI | KVK Md.5/1-k</t>
  </si>
  <si>
    <t>KVK Md.5/1-k | %100 İstisna | Taşınır+Haklar | Beyanname 357 | 5/1-j'den Farklar | Sukuk Türleri | Hakların Devri | 549 Fon | SPK Boyutu</t>
  </si>
  <si>
    <t>BÖLÜM 1 — KVK 5/1-k YASAL ÇERÇEVE, 5/1-j FARKI VE HAKLAR KAPSAMI</t>
  </si>
  <si>
    <t>Kod</t>
  </si>
  <si>
    <t>Konu</t>
  </si>
  <si>
    <t>Mesleki Değerlendirme</t>
  </si>
  <si>
    <t>Mevzuat</t>
  </si>
  <si>
    <t>N1</t>
  </si>
  <si>
    <t>KVK 5/1-k — Yasal Metin ve 5/1-j'den Temel Ayrışma</t>
  </si>
  <si>
    <t>KVK Md.5/1-k (özet):
'Kurumların, kira sertifikası ihraç etmek amacıyla her türlü varlık ve haklarını
finansman kuruluşu olan varlık kiralama şirketlerine devretmesinden doğan kazançların %100'ü'
5/1-k ile 5/1-j'nin karşılaştırması:
5/1-j: SAT-KİRALA-GERİ AL
• Döngüsel yapı: Sat → Kirala → Geri Al
• Geri alım taahhüdü ZORUNLU
• Leaseback (geri kiralama) ZORUNLU
• Ağırlıklı olarak İcara sukuk yapısı
5/1-k: KİRA SERTİFİKASI İHRACI AMACIY LA SATIŞ
• İhraç amacı önde — geri alım ZORUNLU DEĞİL
• Leaseback olmayabilir (Murabaha, Wakala yapısı)
• Haklar da kapsam içi (5/1-j'den geniş)
• İcara + Murabaha + Wakala + Muşaraka
BEYANNAME: 357 (Taşınır+Hak), 358 (Taşınmaz) | 'Kazancın Bulunması Halinde' | %100</t>
  </si>
  <si>
    <t>KVK Md.5/1-k | 5/1-j | 6362 s.K.</t>
  </si>
  <si>
    <t>N2</t>
  </si>
  <si>
    <t>★ Hakların Devri — 5/1-k'nın 5/1-j'den Geniş Kapsamı</t>
  </si>
  <si>
    <t>5/1-k metnindeki 'varlık ve haklar' ifadesi kritik:
5/1-j: Taşınmaz, Taşınır (mülkiyet devrine konu varlıklar)
5/1-k: Varlık VE HAKLAR (maddi olmayan değerler de dahil)
KAPSAM İÇİ HAKLAR:
✓ Patent, faydalı model, tasarım tescil hakları
✓ Marka, coğrafi işaret, geleneksel ürün adı
✓ Telif hakkı ve bağlantılı haklar (yazarlık/bestecillik)
✓ Yazılım lisansları ve kaynak kodu hakları
✓ Ticari sırlar / Know-how (değerleme güçlüğü var)
TARTIŞMALI:
⚠ İmtiyaz/Ruhsat/İşletme hakları: Kamu izni gerektirebilir
⚠ İştirak hissesi: 'Hak' kapsamında mı? Özelge zorunlu
YMM notu: Hak devirlerinde tescil belgesi (TPMK/ilgili kurum) zorunludur.
Değerleme: Maddi olmayan hakların değerlemesi SPK bağlamında kritik.</t>
  </si>
  <si>
    <t>KVK Md.5/1-k | SMK | PatKHK | FSHuK | 6362 s.K.</t>
  </si>
  <si>
    <t>N3</t>
  </si>
  <si>
    <t>Sukuk Türleri ve 5/1-k Uygulaması</t>
  </si>
  <si>
    <t>HER SUKUK TÜRÜNDE 5/1-k DEĞERLENDİRMESİ:
İCara (Kiralama Destekli) — EVET:
En yaygın yapı. 5/1-j İcara ile benzer ancak:
5/1-k'da geri alım opsiyonel. 5/1-j'de zorunlu.
Leaseback varsa: 5/1-j mi 5/1-k mı? Özelge alınmalı.
MURABAHA (Maliyet+Kâr) — EVET:
Varlık kurucuya hemen geçer → Leaseback yok
5/1-j geçerli değil (Sat-Kirala-Geri Al değil)
5/1-k uygulanabilir — ancak varlığın devri anlık → istisna kısa süreli
WAKALA (Vekâlet) — KOŞULLU:
Varlık devri sınırlı olabilir → 5/1-k tam uygulaması tartışmalı
Özelge şiddetle tavsiye edilir
MUŞARAKA (Ortaklık) — KOŞULLU:
Kısmi devir → 5/1-k kısmi uygulaması değerlendirilebilir
Özelge zorunlu</t>
  </si>
  <si>
    <t>KVK Md.5/1-k | SPK Kira Sertifikası Tebliği | 6362 s.K.</t>
  </si>
  <si>
    <t>N4</t>
  </si>
  <si>
    <t>357/358 Kod Seçimi ve 5/1-j ile Örtüşme</t>
  </si>
  <si>
    <t>357 veya 358 SEÇİMİ:
357: Taşınır (makine/araç/ekipman) + Haklar (patent/marka/telif/yazılım)
358: Taşınmaz (arsa/bina/fabrika)
5/1-k (357/358) mi 5/1-j (354/355/356) mi?
5/1-j (354): BDDK + Taşınır + Geri alım ZORUNLU + Leaseback ZORUNLU
5/1-j (355): BDDK + Taşınmaz + Geri alım ZORUNLU + Tapu geri devri ZORUNLU
5/1-j (356): VKŞ + Her varlık + Geri alım ZORUNLU + İcara ağırlıklı
5/1-k (357): VKŞ + Taşınır+Hak + Geri alım OPSİYONEL + Çok yapılı sukuk
5/1-k (358): VKŞ + Taşınmaz + Geri alım OPSİYONEL + Çok yapılı sukuk
KARMA YAPIDA (hem 5/1-j hem 5/1-k özelliği taşıyan): Özelge alınması ZORUNLUDUR.
Yanlış bent seçimi tarhiyat riski taşır.</t>
  </si>
  <si>
    <t>KVK Md.5/1-j, 5/1-k | GİB Özelgeleri</t>
  </si>
  <si>
    <t>BÖLÜM 2 — YMM TASDİK, SPK BOYUTU VE RİSK ANALİZİ</t>
  </si>
  <si>
    <t>N5</t>
  </si>
  <si>
    <t>49 No.lu Tebliğ + YMM Tasdik Dil Standardı</t>
  </si>
  <si>
    <t>49 No.lu Tebliğ (30.12.2025): &gt;=500.000 TL → YMM raporu. Tam tasdik → ayrıca rapor yok.
KULLANIN:
'...[varlık/hak tanımı] kira sertifikası ihraç etmek amacıyla
  SPK lisanslı [VKŞ adı]'na KVK Md.5/1-k kapsamında devredilmiştir'
'...devrin kira sertifikası ihraç amacına özgülendiği SPK onaylı ihraç belgesi
  ile doğrulanmıştır'
'...istisna edilen kazanç 549 Özel Fonlar hesabına alınmış ve sukuk vadesine
  paralel amortizasyon takibi yapılmaktadır'
KULLANMAYIN:
'...sat-kirala-geri al kapsamında 5/1-j...' (5/1-k ayrı bir benttir)
'...finansal kiralama şirketine devredilmiştir' (VKŞ = FK şirketi değil)
KRİTİK HATALAR:
(1) 5/1-j (354/356) yerine 5/1-k (357) — veya tersi — yanlış bent seçimi
(2) BDDK lisanslı FK/banka devirlerini 357 ile beyan etmek (→ 354/355/356)
(3) Hak devirlerinde TPMK tescil belgesi eksikliği
(4) İhraç amacını belgeleyen izahname/ihraç belgesi yokluğu
(5) Murabaha/Wakala yapısında da leaseback zorunlu saymak (5/1-k'da değil)</t>
  </si>
  <si>
    <t>49 No.lu Tebliğ | SM-SMMM-YMM K. Md.12</t>
  </si>
  <si>
    <t xml:space="preserve">  ÖZELGE ZORUNLULUĞU UYARISI: KVK 5/1-k (357/358) iç hukukta oldukça yeni ve emsal kıt bir düzenlemedir. Özellikle: (1) Leaseback barındıran yapılarda 5/1-j mi 5/1-k mı uygulanacağı. (2) Murabaha/Wakala yapılarında kazancın doğduğu an ve istisna uygulaması. (3) Maddi olmayan hakların (yazılım, tescilsiz know-how) 'hak' kapsamında olup olmadığı. (4) Muşaraka yapısında kısmi devrin istisna tutarına etkisi. Bu konularda GİB özelgesi alınması YMM müteselsil sorumluluğu açısından ŞİDDETLE tavsiye edilir.</t>
  </si>
  <si>
    <t>357 – KİRA SERTİFİKASI İHRACI (TAŞINIR/HAK) | BELGE LİSTESİ | YMM TASDİK | KVK 5/1-k</t>
  </si>
  <si>
    <t>KVK Md.5/1-k | %100 İstisna | Taşınır+Haklar | Beyanname 357 | SPK Lisanslı VKŞ | Sukuk İhraç Amacı | 5/1-j'den Fark: Geri Alım Zorunlu Değil | 549 Fon | 49 No.lu Tebliğ</t>
  </si>
  <si>
    <t xml:space="preserve">  Kategori 1: KVK+SPK zorunlu belgeler. Kategori 2: Varlık/Hak türüne göre ek belgeler. Kategori 3: YMM kontrol soruları.</t>
  </si>
  <si>
    <t>KATEGORİ 1 — ZORUNLU BELGELER (KVK 5/1-k + SPK BOYUTU)</t>
  </si>
  <si>
    <t xml:space="preserve">  ★ Kritik 3 belge: VKŞ SPK Lisansı + İzahname/İhraç Belgesi + İhraç Amacı Teyidi</t>
  </si>
  <si>
    <t>No</t>
  </si>
  <si>
    <t>Belge / Bilgi Adı</t>
  </si>
  <si>
    <t>Detay ve YMM Kontrol Noktaları</t>
  </si>
  <si>
    <t>Temin Yeri</t>
  </si>
  <si>
    <t>1</t>
  </si>
  <si>
    <t>★ VKŞ SPK Lisansı / Kuruluş İzin Belgesi</t>
  </si>
  <si>
    <t>VKŞ'nin 6362 sayılı Kanun kapsamında SPK tarafından yetkilendirildiğini belgeleyen resmi izin.
SPK'nın resmi VKŞ listesinden teyit. BDDK lisanslı FK/banka ise → 354/355/356.
YMM notu: Lisanssız kurum VKŞ sayılmaz — 357 istisnası geçersiz.</t>
  </si>
  <si>
    <t>SPK web sitesi VKŞ listesi / Kuruluş izin belgesi</t>
  </si>
  <si>
    <t>2</t>
  </si>
  <si>
    <t>★ SPK Onaylı İzahname veya İhraç Belgesi (İhraç Amacı Kanıtı)</t>
  </si>
  <si>
    <t>Kira sertifikası ihracına ait SPK onaylı izahname (halka açık) veya ihraç belgesi (nitelikli).
İzahname, devrin münhasıran kira sertifikası ihracı amacıyla yapıldığını kanıtlar.
YMM notu: Bu belge 5/1-k'nın özgün şartını — 'kira sertifikası ihraç amacı' — belgeler.</t>
  </si>
  <si>
    <t>SPK onaylı izahname / İhraç belgesi (UYAP veya SPK arşivi)</t>
  </si>
  <si>
    <t>3</t>
  </si>
  <si>
    <t>Devir Sözleşmesi — Varlık/Hak Transferi</t>
  </si>
  <si>
    <t>Taşınır: Satış sözleşmesi + E-Fatura + Teslim-tesellüm tutanağı.
Hak (Patent/Marka): TPMK'ya devir tescil başvurusu + Devir sözleşmesi.
Hak (Telif/Yazılım): Devir/temlik sözleşmesi.
YMM notu: Devir belgesiz aktiften çıkış kaydı hatalıdır.</t>
  </si>
  <si>
    <t>Satış sözleşmesi + Teslim belgesi / TPMK devir tescil belgesi</t>
  </si>
  <si>
    <t>4</t>
  </si>
  <si>
    <t>549 Fon Hesabı Başlangıç Kaydı — Devir Yılı</t>
  </si>
  <si>
    <t>E.6 tutarının 549 Özel Fonlar hesabına alındığını gösteren yevmiye kaydı.
F.1 = E.6 tutarı uyumlu olmalıdır.
YMM notu: Fon kaydı olmadan 5/1-k istisnası geçersizdir.</t>
  </si>
  <si>
    <t>Yevmiye defteri + 549 hesap ekstresi</t>
  </si>
  <si>
    <t>5</t>
  </si>
  <si>
    <t>Devir Kazancı Hesaplama Tablosu (E Bölümü)</t>
  </si>
  <si>
    <t>E.4 = Devir Bedeli − Net Defter − Devir Giderleri. E.6 = %100 İstisna.
Beyanname 357 ile uyumlu. Hak devirlerinde: 260/263 hesabı net değeri.
YMM notu: Değerleme raporu ile uyum kontrolü (E.7).</t>
  </si>
  <si>
    <t>E bölümü hesaplama tablosu + 253/254/260/263 hesap kartı</t>
  </si>
  <si>
    <t>6</t>
  </si>
  <si>
    <t>KAP Bildirimleri (Halka Açık İhraçlarda Zorunlu)</t>
  </si>
  <si>
    <t>Halka açık kira sertifikası ihraçlarında KAP bildirimleri.
İhraç öncesi duyuru, dönemsel raporlar, vade sonu bildirimi.
A0.7 ile uyumlu.</t>
  </si>
  <si>
    <t>KAP (kamuaydınlatma.gov.tr) — İlgili bildirimler</t>
  </si>
  <si>
    <t>7</t>
  </si>
  <si>
    <t>KV Beyannamesi Taslağı — 357. Satır</t>
  </si>
  <si>
    <t>357. satırındaki tutarın E.6 ile uyumlu olduğu teyit.
'Kazancın Bulunması Halinde İndirilecek' bölümünde doğru konumlandırma.
Sonraki yıllarda 357 satırına yazılmaz.</t>
  </si>
  <si>
    <t>GİB e-Beyanname sistemi</t>
  </si>
  <si>
    <t>KATEGORİ 2 — VARLIK/HAK TÜRÜNE GÖRE VE SUKUK YAPISINA ÖZGÜN BELGELER</t>
  </si>
  <si>
    <t>8</t>
  </si>
  <si>
    <t>Hak Devri Tescil Belgeleri (357'ye Özgün — 5/1-j'de Yoktur)</t>
  </si>
  <si>
    <t>Patent/Faydalı Model/Tasarım: TPMK devir tescil belgesi + Hak sertifikası.
Marka: TPMK marka devir tescili.
Telif Hakkı: Devir sözleşmesi (tescil zorunlu değil — kanıtlama yükü kurucuda).
Yazılım: Devir/lisans sözleşmesi + kaynak kodu teslim tutanağı.</t>
  </si>
  <si>
    <t>TPMK / İlgili tescil makamı / Devir sözleşmesi</t>
  </si>
  <si>
    <t>9</t>
  </si>
  <si>
    <t>Sukuk Türüne Özgün Sözleşme Paketi</t>
  </si>
  <si>
    <t>İcara: Kiralama sözleşmesi (geri kiralama varsa).
Murabaha: Mal alım-satım sözleşmesi.
Wakala: Vekâlet sözleşmesi + Yatırım politikası beyanı.
Her türün kendi SPK tebliği uygulaması mevcuttur.</t>
  </si>
  <si>
    <t>Sukuk türüne göre sözleşme paketi + SPK Sukuk Tebliği</t>
  </si>
  <si>
    <t>10</t>
  </si>
  <si>
    <t>Bağımsız Değerleme Raporu (Maddi Olmayan Haklar İçin Kritik)</t>
  </si>
  <si>
    <t>Hakların değerlemesi taşınır fiziki varlıktan daha zordur.
SPK ihraç bağlamında değerleme raporu zorunlu/güçlü belge.
E.7 (Değerleme uyum farkı) analizinin dayanağı.</t>
  </si>
  <si>
    <t>SPK lisanslı / Akredite değerleme kuruluşu raporu</t>
  </si>
  <si>
    <t>11</t>
  </si>
  <si>
    <t>Dönemsel Sukuk Ödeme Dekontları + Fon Amortizasyon Tablosu</t>
  </si>
  <si>
    <t>Her dönem VKŞ'ye yapılan kira/getiri ödemesi dekontu.
F tablosu amortizasyon izleme (5 dönem örnek).
Sukuk vadesi sonunda 549 = 0 kontrolü.</t>
  </si>
  <si>
    <t>Banka ödeme dekontları + HESAPLAMALAR E tablosu</t>
  </si>
  <si>
    <t>12</t>
  </si>
  <si>
    <t>GİB Özelgesi (Karma Yapılarda veya Tartışmalı Sukuk Türlerinde)</t>
  </si>
  <si>
    <t>5/1-j / 5/1-k ayrışması tartışmalı ise: GİB özelgesi zorunlu.
Murabaha/Wakala/Muşaraka yapısında: GİB özelgesi şiddetle tavsiye edilir.
Hak türü tartışmalı ise (imtiyaz/know-how): GİB özelgesi zorunlu.</t>
  </si>
  <si>
    <t>GİB — Özelge başvuru sistemi (ivd.gib.gov.tr)</t>
  </si>
  <si>
    <t>KATEGORİ 3 — YMM TASDİK KONTROL SORULARI (★ Kritik)</t>
  </si>
  <si>
    <t>Beklenen Sonuç / Tasdik Standardı</t>
  </si>
  <si>
    <t>S1</t>
  </si>
  <si>
    <t>Taşınmaz → 358 kodu. Bu dosya taşınır + haklar içindir. Hak türü teyit edilmeli.</t>
  </si>
  <si>
    <t>YMM kontrolü</t>
  </si>
  <si>
    <t>S2</t>
  </si>
  <si>
    <t>★ Alıcı SPK lisanslı VKŞ mi? BDDK lisanslı FK/banka ise 354/355/356 kullanıldı mı?</t>
  </si>
  <si>
    <t>SPK VKŞ listesinden teyit. Yanlış alıcı kurum = Yanlış bent = Tarhiyat riski.</t>
  </si>
  <si>
    <t>S3</t>
  </si>
  <si>
    <t>★ Devrin amacı münhasıran kira sertifikası ihracı mı? İzahname/ihraç belgesi var mı?</t>
  </si>
  <si>
    <t>İhraç amacı = 5/1-k'nın özgün şartı. SPK onaylı belge zorunlu.</t>
  </si>
  <si>
    <t>S4</t>
  </si>
  <si>
    <t>★ 5/1-k (357) mi 5/1-j (354/356) mi? Seçim gerekçesi belgelendi mi?</t>
  </si>
  <si>
    <t>Geri alım taahhütlü + leaseback → 5/1-j. İhraç amacı + opsiyonel geri alım → 5/1-k. Karma yapılarda özelge zorunlu.</t>
  </si>
  <si>
    <t>S5</t>
  </si>
  <si>
    <t>Sukuk türü (İcara/Murabaha/Wakala/Muşaraka) doğru belirlendi mi? Sözleşme paketi uyumlu mu?</t>
  </si>
  <si>
    <t>Her sukuk türünün farklı sözleşme yapısı ve SPK tebliği. C tablosu ile kontrol.</t>
  </si>
  <si>
    <t>S6</t>
  </si>
  <si>
    <t>Hak devirlerinde TPMK tescil belgesi veya devir sözleşmesi var mı?</t>
  </si>
  <si>
    <t>Patent/marka: TPMK devir tescili. Telif/yazılım: Devir sözleşmesi.</t>
  </si>
  <si>
    <t>S7</t>
  </si>
  <si>
    <t>★ E.6 tutarı 549 hesabına alındı mı?</t>
  </si>
  <si>
    <t>Devir yılında tam tutar 549'a. Fon kaydı olmadan istisna geçersiz.</t>
  </si>
  <si>
    <t>S8</t>
  </si>
  <si>
    <t>Fon amortizasyonu sukuk vadesine paralel kira payına orantılı mı?</t>
  </si>
  <si>
    <t>354/355/356 ile özdeş mekanizma. Sabit bırakılamaz.</t>
  </si>
  <si>
    <t>S9</t>
  </si>
  <si>
    <t>357 sadece devir yılı beyannamesi. Sonraki yıllarda yazılmaz.</t>
  </si>
  <si>
    <t>S10</t>
  </si>
  <si>
    <t xml:space="preserve">  SON NOT: 49 No.lu Tebliğ: &gt;=500.000 TL → YMM raporu. Tam tasdik → ayrıca rapor yok. 357'NİN SETDEKI YERİ: KVK 5/1-k kapsamında 354/355/356 (5/1-j)'den ayrışan bent. Temel fark: Geri alım zorunlu değil — ihraç amacı esaslı. Haklar da kapsam içi — 5/1-j'den geniş. Sukuk türü: İcara + Murabaha + Wakala + Muşaraka. Alıcı: SPK lisanslı VKŞ (BDDK lisanslı FK/banka ise 354/355/356). Beyanname 357: 'Kazancın Bulunması Halinde' — yalnızca devir yılında. GİB emsal ZAYIF — karma yapılarda ve tartışmalı sukuk türlerinde özelge alınması zorunludur.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</si>
</sst>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C0392B"/>
      <name val="Arial"/>
    </font>
    <font>
      <sz val="8"/>
      <color rgb="FF004D40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A5276"/>
      <name val="Arial"/>
    </font>
    <font>
      <i/>
      <sz val="8"/>
      <color rgb="FF006064"/>
      <name val="Arial"/>
    </font>
    <font>
      <b/>
      <sz val="9"/>
      <color rgb="FF1B5E20"/>
      <name val="Arial"/>
    </font>
    <font>
      <b/>
      <sz val="12"/>
      <color rgb="FF1B5E20"/>
      <name val="Arial"/>
    </font>
    <font>
      <b/>
      <sz val="9"/>
      <color rgb="FF7B5E00"/>
      <name val="Arial"/>
    </font>
    <font>
      <b/>
      <sz val="10"/>
      <color rgb="FF7B5E00"/>
      <name val="Arial"/>
    </font>
    <font>
      <sz val="9"/>
      <color rgb="FFE65100"/>
      <name val="Arial"/>
    </font>
    <font>
      <b/>
      <sz val="11"/>
      <color rgb="FF1B5E20"/>
      <name val="Arial"/>
    </font>
    <font>
      <b/>
      <sz val="11"/>
      <color rgb="FFFFFFFF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FFFFFF"/>
      <name val="Arial"/>
    </font>
    <font>
      <sz val="9"/>
      <color rgb="FF004D40"/>
      <name val="Arial"/>
    </font>
    <font>
      <sz val="9"/>
      <color rgb="FF1F3864"/>
      <name val="Arial"/>
    </font>
    <font>
      <b/>
      <sz val="9"/>
      <color rgb="FF004D40"/>
      <name val="Arial"/>
    </font>
    <font>
      <sz val="9"/>
      <color rgb="FF7B5E00"/>
      <name val="Arial"/>
    </font>
    <font>
      <sz val="8"/>
      <color rgb="FF333333"/>
      <name val="Arial"/>
    </font>
    <font>
      <i/>
      <sz val="8"/>
      <color rgb="FF444444"/>
      <name val="Arial"/>
    </font>
    <font>
      <sz val="9"/>
      <color rgb="FF4A148C"/>
      <name val="Arial"/>
    </font>
    <font>
      <b/>
      <sz val="36"/>
      <color rgb="FFFFFFFF"/>
      <name val="Arial"/>
    </font>
    <font>
      <sz val="8"/>
      <color rgb="FF555555"/>
      <name val="Arial"/>
    </font>
    <font>
      <b/>
      <sz val="8"/>
      <color rgb="FF4A148C"/>
      <name val="Arial"/>
    </font>
    <font>
      <b/>
      <sz val="8"/>
      <color rgb="FFE65100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35">
    <fill>
      <patternFill patternType="none"/>
    </fill>
    <fill>
      <patternFill patternType="gray125"/>
    </fill>
    <fill>
      <patternFill patternType="solid">
        <fgColor rgb="FF004D40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EEF4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006064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FFF8E1"/>
      </patternFill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F1F8F5"/>
      </patternFill>
    </fill>
    <fill>
      <patternFill patternType="solid">
        <fgColor rgb="FF880E4F"/>
      </patternFill>
    </fill>
    <fill>
      <patternFill patternType="solid">
        <fgColor rgb="FF0D47A1"/>
      </patternFill>
    </fill>
    <fill>
      <patternFill patternType="solid">
        <fgColor rgb="FF6A1B9A"/>
      </patternFill>
    </fill>
    <fill>
      <patternFill patternType="solid">
        <fgColor rgb="FFF7F7F7"/>
      </patternFill>
    </fill>
    <fill>
      <patternFill patternType="solid">
        <fgColor rgb="FFFFF5F5"/>
      </patternFill>
    </fill>
    <fill>
      <patternFill patternType="solid">
        <fgColor rgb="FFF3E5F5"/>
      </patternFill>
    </fill>
    <fill>
      <patternFill patternType="solid">
        <fgColor rgb="FF922B21"/>
      </patternFill>
    </fill>
    <fill>
      <patternFill patternType="solid">
        <fgColor rgb="FFEBF5FB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EDE7F6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8F4F8"/>
      </patternFill>
    </fill>
    <fill>
      <patternFill patternType="solid">
        <fgColor rgb="FFD0EAF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4" borderId="2" xfId="0" applyFill="1" applyBorder="1"/>
    <xf numFmtId="0" fontId="0" fillId="6" borderId="2" xfId="0" applyFill="1" applyBorder="1"/>
    <xf numFmtId="0" fontId="1" fillId="8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6" fillId="10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2" borderId="2" xfId="0" applyFill="1" applyBorder="1"/>
    <xf numFmtId="0" fontId="10" fillId="12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center" vertical="center"/>
    </xf>
    <xf numFmtId="0" fontId="25" fillId="11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5" fillId="9" borderId="2" xfId="0" applyFont="1" applyFill="1" applyBorder="1" applyAlignment="1">
      <alignment horizontal="left" vertical="top" wrapText="1"/>
    </xf>
    <xf numFmtId="0" fontId="28" fillId="23" borderId="2" xfId="0" applyFont="1" applyFill="1" applyBorder="1" applyAlignment="1">
      <alignment horizontal="left" vertical="top" wrapText="1"/>
    </xf>
    <xf numFmtId="0" fontId="0" fillId="10" borderId="2" xfId="0" applyFill="1" applyBorder="1" applyAlignment="1">
      <alignment horizontal="center" vertical="top"/>
    </xf>
    <xf numFmtId="0" fontId="28" fillId="24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left" vertical="top" wrapText="1"/>
    </xf>
    <xf numFmtId="0" fontId="29" fillId="11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center" vertical="top"/>
    </xf>
    <xf numFmtId="0" fontId="5" fillId="12" borderId="2" xfId="0" applyFont="1" applyFill="1" applyBorder="1" applyAlignment="1">
      <alignment horizontal="left" vertical="top" wrapText="1"/>
    </xf>
    <xf numFmtId="0" fontId="28" fillId="28" borderId="2" xfId="0" applyFont="1" applyFill="1" applyBorder="1" applyAlignment="1">
      <alignment horizontal="left" vertical="top" wrapText="1"/>
    </xf>
    <xf numFmtId="0" fontId="29" fillId="12" borderId="2" xfId="0" applyFont="1" applyFill="1" applyBorder="1" applyAlignment="1">
      <alignment horizontal="left" vertical="top" wrapText="1"/>
    </xf>
    <xf numFmtId="0" fontId="0" fillId="30" borderId="2" xfId="0" applyFill="1" applyBorder="1"/>
    <xf numFmtId="0" fontId="5" fillId="30" borderId="2" xfId="0" applyFont="1" applyFill="1" applyBorder="1" applyAlignment="1">
      <alignment horizontal="center" vertical="top"/>
    </xf>
    <xf numFmtId="0" fontId="5" fillId="30" borderId="2" xfId="0" applyFont="1" applyFill="1" applyBorder="1" applyAlignment="1">
      <alignment horizontal="left" vertical="top" wrapText="1"/>
    </xf>
    <xf numFmtId="0" fontId="28" fillId="25" borderId="2" xfId="0" applyFont="1" applyFill="1" applyBorder="1" applyAlignment="1">
      <alignment horizontal="left" vertical="top" wrapText="1"/>
    </xf>
    <xf numFmtId="0" fontId="29" fillId="30" borderId="2" xfId="0" applyFont="1" applyFill="1" applyBorder="1" applyAlignment="1">
      <alignment horizontal="left" vertical="top" wrapText="1"/>
    </xf>
    <xf numFmtId="0" fontId="1" fillId="31" borderId="1" xfId="0" applyFont="1" applyFill="1" applyBorder="1" applyAlignment="1">
      <alignment horizontal="center" vertical="center"/>
    </xf>
    <xf numFmtId="0" fontId="0" fillId="32" borderId="2" xfId="0" applyFill="1" applyBorder="1"/>
    <xf numFmtId="0" fontId="35" fillId="32" borderId="2" xfId="0" applyFont="1" applyFill="1" applyBorder="1" applyAlignment="1">
      <alignment horizontal="center" vertical="top"/>
    </xf>
    <xf numFmtId="0" fontId="35" fillId="32" borderId="2" xfId="0" applyFont="1" applyFill="1" applyBorder="1" applyAlignment="1">
      <alignment horizontal="left" vertical="top" wrapText="1"/>
    </xf>
    <xf numFmtId="0" fontId="28" fillId="9" borderId="2" xfId="0" applyFont="1" applyFill="1" applyBorder="1" applyAlignment="1">
      <alignment horizontal="left" vertical="top" wrapText="1"/>
    </xf>
    <xf numFmtId="0" fontId="36" fillId="32" borderId="2" xfId="0" applyFont="1" applyFill="1" applyBorder="1" applyAlignment="1">
      <alignment horizontal="center" vertical="top" wrapText="1"/>
    </xf>
    <xf numFmtId="0" fontId="0" fillId="33" borderId="2" xfId="0" applyFill="1" applyBorder="1"/>
    <xf numFmtId="0" fontId="35" fillId="33" borderId="2" xfId="0" applyFont="1" applyFill="1" applyBorder="1" applyAlignment="1">
      <alignment horizontal="center" vertical="top"/>
    </xf>
    <xf numFmtId="0" fontId="35" fillId="33" borderId="2" xfId="0" applyFont="1" applyFill="1" applyBorder="1" applyAlignment="1">
      <alignment horizontal="left" vertical="top" wrapText="1"/>
    </xf>
    <xf numFmtId="0" fontId="28" fillId="34" borderId="2" xfId="0" applyFont="1" applyFill="1" applyBorder="1" applyAlignment="1">
      <alignment horizontal="left" vertical="top" wrapText="1"/>
    </xf>
    <xf numFmtId="0" fontId="36" fillId="33" borderId="2" xfId="0" applyFont="1" applyFill="1" applyBorder="1" applyAlignment="1">
      <alignment horizontal="center" vertical="top" wrapText="1"/>
    </xf>
    <xf numFmtId="0" fontId="14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9" fillId="12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1" fillId="11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11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8" fillId="4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12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1" fillId="2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13" fillId="9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4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1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16" fillId="1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18" fillId="16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7" fillId="14" borderId="2" xfId="0" applyFont="1" applyFill="1" applyBorder="1" applyAlignment="1">
      <alignment horizontal="left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0" fillId="18" borderId="2" xfId="0" applyFill="1" applyBorder="1"/>
    <xf numFmtId="0" fontId="5" fillId="11" borderId="2" xfId="0" applyFont="1" applyFill="1" applyBorder="1" applyAlignment="1">
      <alignment horizontal="left" vertical="top" wrapText="1"/>
    </xf>
    <xf numFmtId="0" fontId="28" fillId="23" borderId="2" xfId="0" applyFont="1" applyFill="1" applyBorder="1" applyAlignment="1">
      <alignment horizontal="left" vertical="top" wrapText="1"/>
    </xf>
    <xf numFmtId="0" fontId="0" fillId="23" borderId="2" xfId="0" applyFill="1" applyBorder="1"/>
    <xf numFmtId="0" fontId="28" fillId="11" borderId="2" xfId="0" applyFont="1" applyFill="1" applyBorder="1" applyAlignment="1">
      <alignment horizontal="left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top" wrapText="1"/>
    </xf>
    <xf numFmtId="0" fontId="28" fillId="24" borderId="2" xfId="0" applyFont="1" applyFill="1" applyBorder="1" applyAlignment="1">
      <alignment horizontal="left" vertical="top" wrapText="1"/>
    </xf>
    <xf numFmtId="0" fontId="0" fillId="24" borderId="2" xfId="0" applyFill="1" applyBorder="1"/>
    <xf numFmtId="0" fontId="24" fillId="9" borderId="2" xfId="0" applyFont="1" applyFill="1" applyBorder="1" applyAlignment="1">
      <alignment horizontal="center" vertical="center" wrapText="1"/>
    </xf>
    <xf numFmtId="0" fontId="29" fillId="19" borderId="2" xfId="0" applyFont="1" applyFill="1" applyBorder="1" applyAlignment="1">
      <alignment horizontal="left" vertical="center" wrapText="1"/>
    </xf>
    <xf numFmtId="0" fontId="0" fillId="19" borderId="2" xfId="0" applyFill="1" applyBorder="1"/>
    <xf numFmtId="0" fontId="28" fillId="12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/>
    </xf>
    <xf numFmtId="0" fontId="27" fillId="14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14" fillId="12" borderId="2" xfId="0" applyFont="1" applyFill="1" applyBorder="1" applyAlignment="1">
      <alignment horizontal="left" vertical="center"/>
    </xf>
    <xf numFmtId="0" fontId="25" fillId="9" borderId="2" xfId="0" applyFont="1" applyFill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/>
    </xf>
    <xf numFmtId="0" fontId="0" fillId="22" borderId="1" xfId="0" applyFill="1" applyBorder="1"/>
    <xf numFmtId="0" fontId="26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28" fillId="19" borderId="2" xfId="0" applyFont="1" applyFill="1" applyBorder="1" applyAlignment="1">
      <alignment horizontal="left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/>
    </xf>
    <xf numFmtId="0" fontId="32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8" fillId="25" borderId="2" xfId="0" applyFont="1" applyFill="1" applyBorder="1" applyAlignment="1">
      <alignment horizontal="left" vertical="center" wrapText="1"/>
    </xf>
    <xf numFmtId="0" fontId="0" fillId="25" borderId="2" xfId="0" applyFill="1" applyBorder="1"/>
    <xf numFmtId="0" fontId="33" fillId="25" borderId="2" xfId="0" applyFont="1" applyFill="1" applyBorder="1" applyAlignment="1">
      <alignment horizontal="left" vertical="center" wrapText="1"/>
    </xf>
    <xf numFmtId="0" fontId="34" fillId="18" borderId="2" xfId="0" applyFont="1" applyFill="1" applyBorder="1" applyAlignment="1">
      <alignment horizontal="left" vertical="center" wrapText="1"/>
    </xf>
    <xf numFmtId="0" fontId="28" fillId="18" borderId="2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/>
    </xf>
    <xf numFmtId="0" fontId="0" fillId="20" borderId="1" xfId="0" applyFill="1" applyBorder="1"/>
    <xf numFmtId="0" fontId="20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16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4" fillId="26" borderId="1" xfId="0" applyFont="1" applyFill="1" applyBorder="1" applyAlignment="1">
      <alignment horizontal="left" vertical="center"/>
    </xf>
    <xf numFmtId="0" fontId="0" fillId="26" borderId="1" xfId="0" applyFill="1" applyBorder="1"/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/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/>
    <xf numFmtId="0" fontId="4" fillId="2" borderId="4" xfId="0" applyFont="1" applyFill="1" applyBorder="1" applyAlignment="1">
      <alignment horizontal="left" vertical="center"/>
    </xf>
    <xf numFmtId="0" fontId="12" fillId="27" borderId="2" xfId="0" applyFont="1" applyFill="1" applyBorder="1" applyAlignment="1">
      <alignment horizontal="left" vertical="center" wrapText="1"/>
    </xf>
    <xf numFmtId="0" fontId="0" fillId="27" borderId="2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C4F746-B759-48E2-B973-540CBFD407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1852c6b-8fb2-4074-9fec-471d7d87f8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3" width="18" customWidth="1"/>
    <col min="4" max="4" width="22" customWidth="1"/>
    <col min="5" max="5" width="16" customWidth="1"/>
    <col min="6" max="6" width="12" customWidth="1"/>
    <col min="7" max="7" width="26" customWidth="1"/>
  </cols>
  <sheetData>
    <row r="1" spans="1:7" ht="48" customHeight="1" x14ac:dyDescent="0.55000000000000004">
      <c r="A1" s="88" t="s">
        <v>0</v>
      </c>
      <c r="B1" s="78"/>
      <c r="C1" s="78"/>
      <c r="D1" s="78"/>
      <c r="E1" s="78"/>
      <c r="F1" s="78"/>
      <c r="G1" s="78"/>
    </row>
    <row r="2" spans="1:7" ht="20.05" customHeight="1" x14ac:dyDescent="0.55000000000000004">
      <c r="A2" s="100" t="s">
        <v>1</v>
      </c>
      <c r="B2" s="101"/>
      <c r="C2" s="101"/>
      <c r="D2" s="101"/>
      <c r="E2" s="101"/>
      <c r="F2" s="101"/>
      <c r="G2" s="101"/>
    </row>
    <row r="3" spans="1:7" ht="48" customHeight="1" x14ac:dyDescent="0.55000000000000004">
      <c r="A3" s="65" t="s">
        <v>2</v>
      </c>
      <c r="B3" s="66"/>
      <c r="C3" s="66"/>
      <c r="D3" s="66"/>
      <c r="E3" s="66"/>
      <c r="F3" s="66"/>
      <c r="G3" s="66"/>
    </row>
    <row r="4" spans="1:7" ht="40" customHeight="1" x14ac:dyDescent="0.55000000000000004">
      <c r="A4" s="92" t="s">
        <v>3</v>
      </c>
      <c r="B4" s="93"/>
      <c r="C4" s="93"/>
      <c r="D4" s="93"/>
      <c r="E4" s="93"/>
      <c r="F4" s="93"/>
      <c r="G4" s="93"/>
    </row>
    <row r="5" spans="1:7" ht="5.05" customHeight="1" x14ac:dyDescent="0.55000000000000004">
      <c r="A5" s="2"/>
      <c r="B5" s="2"/>
      <c r="C5" s="2"/>
      <c r="D5" s="2"/>
      <c r="E5" s="2"/>
      <c r="F5" s="2"/>
      <c r="G5" s="2"/>
    </row>
    <row r="6" spans="1:7" ht="24" customHeight="1" x14ac:dyDescent="0.55000000000000004">
      <c r="A6" s="96" t="s">
        <v>4</v>
      </c>
      <c r="B6" s="97"/>
      <c r="C6" s="97"/>
      <c r="D6" s="97"/>
      <c r="E6" s="97"/>
      <c r="F6" s="97"/>
      <c r="G6" s="97"/>
    </row>
    <row r="7" spans="1:7" ht="18" customHeight="1" x14ac:dyDescent="0.55000000000000004">
      <c r="A7" s="3"/>
      <c r="B7" s="3" t="s">
        <v>5</v>
      </c>
      <c r="C7" s="3"/>
      <c r="D7" s="3"/>
      <c r="E7" s="3" t="s">
        <v>6</v>
      </c>
      <c r="F7" s="3"/>
      <c r="G7" s="3" t="s">
        <v>7</v>
      </c>
    </row>
    <row r="8" spans="1:7" ht="32.049999999999997" customHeight="1" x14ac:dyDescent="0.55000000000000004">
      <c r="A8" s="74" t="s">
        <v>8</v>
      </c>
      <c r="B8" s="70"/>
      <c r="C8" s="70"/>
      <c r="D8" s="70"/>
      <c r="E8" s="5" t="s">
        <v>9</v>
      </c>
      <c r="F8" s="81" t="s">
        <v>10</v>
      </c>
      <c r="G8" s="70"/>
    </row>
    <row r="9" spans="1:7" ht="32.049999999999997" customHeight="1" x14ac:dyDescent="0.55000000000000004">
      <c r="A9" s="71" t="s">
        <v>11</v>
      </c>
      <c r="B9" s="66"/>
      <c r="C9" s="66"/>
      <c r="D9" s="66"/>
      <c r="E9" s="5" t="s">
        <v>12</v>
      </c>
      <c r="F9" s="80" t="s">
        <v>13</v>
      </c>
      <c r="G9" s="66"/>
    </row>
    <row r="10" spans="1:7" ht="32.049999999999997" customHeight="1" x14ac:dyDescent="0.55000000000000004">
      <c r="A10" s="71" t="s">
        <v>14</v>
      </c>
      <c r="B10" s="66"/>
      <c r="C10" s="66"/>
      <c r="D10" s="66"/>
      <c r="E10" s="5" t="s">
        <v>12</v>
      </c>
      <c r="F10" s="80" t="s">
        <v>15</v>
      </c>
      <c r="G10" s="66"/>
    </row>
    <row r="11" spans="1:7" ht="32.049999999999997" customHeight="1" x14ac:dyDescent="0.55000000000000004">
      <c r="A11" s="63" t="s">
        <v>16</v>
      </c>
      <c r="B11" s="64"/>
      <c r="C11" s="64"/>
      <c r="D11" s="64"/>
      <c r="E11" s="5" t="s">
        <v>12</v>
      </c>
      <c r="F11" s="72" t="s">
        <v>17</v>
      </c>
      <c r="G11" s="64"/>
    </row>
    <row r="12" spans="1:7" ht="32.049999999999997" customHeight="1" x14ac:dyDescent="0.55000000000000004">
      <c r="A12" s="74" t="s">
        <v>18</v>
      </c>
      <c r="B12" s="70"/>
      <c r="C12" s="70"/>
      <c r="D12" s="70"/>
      <c r="E12" s="5" t="s">
        <v>19</v>
      </c>
      <c r="F12" s="81" t="s">
        <v>20</v>
      </c>
      <c r="G12" s="70"/>
    </row>
    <row r="13" spans="1:7" ht="32.049999999999997" customHeight="1" x14ac:dyDescent="0.55000000000000004">
      <c r="A13" s="71" t="s">
        <v>21</v>
      </c>
      <c r="B13" s="66"/>
      <c r="C13" s="66"/>
      <c r="D13" s="66"/>
      <c r="E13" s="5" t="s">
        <v>12</v>
      </c>
      <c r="F13" s="80" t="s">
        <v>22</v>
      </c>
      <c r="G13" s="66"/>
    </row>
    <row r="14" spans="1:7" ht="32.049999999999997" customHeight="1" x14ac:dyDescent="0.55000000000000004">
      <c r="A14" s="74" t="s">
        <v>23</v>
      </c>
      <c r="B14" s="70"/>
      <c r="C14" s="70"/>
      <c r="D14" s="70"/>
      <c r="E14" s="5" t="s">
        <v>12</v>
      </c>
      <c r="F14" s="81" t="s">
        <v>24</v>
      </c>
      <c r="G14" s="70"/>
    </row>
    <row r="15" spans="1:7" ht="32.049999999999997" customHeight="1" x14ac:dyDescent="0.55000000000000004">
      <c r="A15" s="63" t="s">
        <v>25</v>
      </c>
      <c r="B15" s="64"/>
      <c r="C15" s="64"/>
      <c r="D15" s="64"/>
      <c r="E15" s="5" t="s">
        <v>12</v>
      </c>
      <c r="F15" s="72" t="s">
        <v>26</v>
      </c>
      <c r="G15" s="64"/>
    </row>
    <row r="16" spans="1:7" ht="22" customHeight="1" x14ac:dyDescent="0.55000000000000004">
      <c r="A16" s="79" t="s">
        <v>27</v>
      </c>
      <c r="B16" s="61"/>
      <c r="C16" s="61"/>
      <c r="D16" s="61"/>
      <c r="E16" s="8" t="str">
        <f>IF(AND(E9="EVET",E10="EVET",E11="EVET",E13="EVET",E15="EVET"),"OK - Hesaplanabilir","HATA - Ön koşul eksik")</f>
        <v>OK - Hesaplanabilir</v>
      </c>
      <c r="F16" s="62" t="s">
        <v>28</v>
      </c>
      <c r="G16" s="61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2" customHeight="1" x14ac:dyDescent="0.55000000000000004">
      <c r="A18" s="85" t="s">
        <v>29</v>
      </c>
      <c r="B18" s="78"/>
      <c r="C18" s="78"/>
      <c r="D18" s="78"/>
      <c r="E18" s="78"/>
      <c r="F18" s="78"/>
      <c r="G18" s="78"/>
    </row>
    <row r="19" spans="1:7" ht="20.05" customHeight="1" x14ac:dyDescent="0.55000000000000004">
      <c r="A19" s="75" t="s">
        <v>30</v>
      </c>
      <c r="B19" s="64"/>
      <c r="C19" s="68"/>
      <c r="D19" s="68"/>
      <c r="E19" s="68"/>
      <c r="F19" s="67" t="s">
        <v>31</v>
      </c>
      <c r="G19" s="64"/>
    </row>
    <row r="20" spans="1:7" ht="20.05" customHeight="1" x14ac:dyDescent="0.55000000000000004">
      <c r="A20" s="82" t="s">
        <v>32</v>
      </c>
      <c r="B20" s="70"/>
      <c r="C20" s="68"/>
      <c r="D20" s="68"/>
      <c r="E20" s="68"/>
      <c r="F20" s="69" t="s">
        <v>33</v>
      </c>
      <c r="G20" s="70"/>
    </row>
    <row r="21" spans="1:7" ht="20.05" customHeight="1" x14ac:dyDescent="0.55000000000000004">
      <c r="A21" s="75" t="s">
        <v>34</v>
      </c>
      <c r="B21" s="64"/>
      <c r="C21" s="68"/>
      <c r="D21" s="68"/>
      <c r="E21" s="68"/>
      <c r="F21" s="67" t="s">
        <v>35</v>
      </c>
      <c r="G21" s="64"/>
    </row>
    <row r="22" spans="1:7" ht="20.05" customHeight="1" x14ac:dyDescent="0.55000000000000004">
      <c r="A22" s="82" t="s">
        <v>36</v>
      </c>
      <c r="B22" s="70"/>
      <c r="C22" s="68"/>
      <c r="D22" s="68"/>
      <c r="E22" s="68"/>
      <c r="F22" s="69" t="s">
        <v>37</v>
      </c>
      <c r="G22" s="70"/>
    </row>
    <row r="23" spans="1:7" ht="20.05" customHeight="1" x14ac:dyDescent="0.55000000000000004">
      <c r="A23" s="75" t="s">
        <v>38</v>
      </c>
      <c r="B23" s="64"/>
      <c r="C23" s="68"/>
      <c r="D23" s="68"/>
      <c r="E23" s="68"/>
      <c r="F23" s="67" t="s">
        <v>39</v>
      </c>
      <c r="G23" s="64"/>
    </row>
    <row r="24" spans="1:7" ht="20.05" customHeight="1" x14ac:dyDescent="0.55000000000000004">
      <c r="A24" s="82" t="s">
        <v>40</v>
      </c>
      <c r="B24" s="70"/>
      <c r="C24" s="68"/>
      <c r="D24" s="68"/>
      <c r="E24" s="68"/>
      <c r="F24" s="69" t="s">
        <v>41</v>
      </c>
      <c r="G24" s="70"/>
    </row>
    <row r="25" spans="1:7" ht="20.05" customHeight="1" x14ac:dyDescent="0.55000000000000004">
      <c r="A25" s="75" t="s">
        <v>42</v>
      </c>
      <c r="B25" s="64"/>
      <c r="C25" s="68"/>
      <c r="D25" s="68"/>
      <c r="E25" s="68"/>
      <c r="F25" s="67" t="s">
        <v>43</v>
      </c>
      <c r="G25" s="64"/>
    </row>
    <row r="26" spans="1:7" ht="20.05" customHeight="1" x14ac:dyDescent="0.55000000000000004">
      <c r="A26" s="82" t="s">
        <v>44</v>
      </c>
      <c r="B26" s="70"/>
      <c r="C26" s="68"/>
      <c r="D26" s="68"/>
      <c r="E26" s="68"/>
      <c r="F26" s="69" t="s">
        <v>45</v>
      </c>
      <c r="G26" s="70"/>
    </row>
    <row r="27" spans="1:7" ht="20.05" customHeight="1" x14ac:dyDescent="0.55000000000000004">
      <c r="A27" s="75" t="s">
        <v>46</v>
      </c>
      <c r="B27" s="64"/>
      <c r="C27" s="68"/>
      <c r="D27" s="68"/>
      <c r="E27" s="68"/>
      <c r="F27" s="67" t="s">
        <v>47</v>
      </c>
      <c r="G27" s="64"/>
    </row>
    <row r="28" spans="1:7" ht="5.05" customHeight="1" x14ac:dyDescent="0.55000000000000004">
      <c r="A28" s="2"/>
      <c r="B28" s="2"/>
      <c r="C28" s="2"/>
      <c r="D28" s="2"/>
      <c r="E28" s="2"/>
      <c r="F28" s="2"/>
      <c r="G28" s="2"/>
    </row>
    <row r="29" spans="1:7" ht="24" customHeight="1" x14ac:dyDescent="0.55000000000000004">
      <c r="A29" s="85" t="s">
        <v>48</v>
      </c>
      <c r="B29" s="78"/>
      <c r="C29" s="78"/>
      <c r="D29" s="78"/>
      <c r="E29" s="78"/>
      <c r="F29" s="78"/>
      <c r="G29" s="78"/>
    </row>
    <row r="30" spans="1:7" ht="36" customHeight="1" x14ac:dyDescent="0.55000000000000004">
      <c r="A30" s="73" t="s">
        <v>49</v>
      </c>
      <c r="B30" s="70"/>
      <c r="C30" s="70"/>
      <c r="D30" s="70"/>
      <c r="E30" s="70"/>
      <c r="F30" s="70"/>
      <c r="G30" s="70"/>
    </row>
    <row r="31" spans="1:7" ht="18" customHeight="1" x14ac:dyDescent="0.55000000000000004">
      <c r="A31" s="3"/>
      <c r="B31" s="3" t="s">
        <v>50</v>
      </c>
      <c r="C31" s="3"/>
      <c r="D31" s="3" t="s">
        <v>51</v>
      </c>
      <c r="E31" s="3"/>
      <c r="F31" s="3" t="s">
        <v>52</v>
      </c>
      <c r="G31" s="3" t="s">
        <v>53</v>
      </c>
    </row>
    <row r="32" spans="1:7" ht="26.05" customHeight="1" x14ac:dyDescent="0.55000000000000004">
      <c r="A32" s="74" t="s">
        <v>54</v>
      </c>
      <c r="B32" s="70"/>
      <c r="C32" s="5" t="s">
        <v>55</v>
      </c>
      <c r="D32" s="69" t="s">
        <v>56</v>
      </c>
      <c r="E32" s="70"/>
      <c r="F32" s="81"/>
      <c r="G32" s="70"/>
    </row>
    <row r="33" spans="1:7" ht="26.05" customHeight="1" x14ac:dyDescent="0.55000000000000004">
      <c r="A33" s="63" t="s">
        <v>57</v>
      </c>
      <c r="B33" s="64"/>
      <c r="C33" s="11"/>
      <c r="D33" s="67" t="s">
        <v>58</v>
      </c>
      <c r="E33" s="64"/>
      <c r="F33" s="72" t="s">
        <v>59</v>
      </c>
      <c r="G33" s="64"/>
    </row>
    <row r="34" spans="1:7" ht="26.05" customHeight="1" x14ac:dyDescent="0.55000000000000004">
      <c r="A34" s="74" t="s">
        <v>60</v>
      </c>
      <c r="B34" s="70"/>
      <c r="C34" s="11"/>
      <c r="D34" s="69" t="s">
        <v>61</v>
      </c>
      <c r="E34" s="70"/>
      <c r="F34" s="81" t="s">
        <v>62</v>
      </c>
      <c r="G34" s="70"/>
    </row>
    <row r="35" spans="1:7" ht="26.05" customHeight="1" x14ac:dyDescent="0.55000000000000004">
      <c r="A35" s="63" t="s">
        <v>63</v>
      </c>
      <c r="B35" s="64"/>
      <c r="C35" s="11"/>
      <c r="D35" s="67" t="s">
        <v>64</v>
      </c>
      <c r="E35" s="64"/>
      <c r="F35" s="72" t="s">
        <v>65</v>
      </c>
      <c r="G35" s="64"/>
    </row>
    <row r="36" spans="1:7" ht="26.05" customHeight="1" x14ac:dyDescent="0.55000000000000004">
      <c r="A36" s="74" t="s">
        <v>66</v>
      </c>
      <c r="B36" s="70"/>
      <c r="C36" s="11"/>
      <c r="D36" s="69" t="s">
        <v>67</v>
      </c>
      <c r="E36" s="70"/>
      <c r="F36" s="81"/>
      <c r="G36" s="70"/>
    </row>
    <row r="37" spans="1:7" ht="26.05" customHeight="1" x14ac:dyDescent="0.55000000000000004">
      <c r="A37" s="63" t="s">
        <v>68</v>
      </c>
      <c r="B37" s="64"/>
      <c r="C37" s="11"/>
      <c r="D37" s="67" t="s">
        <v>69</v>
      </c>
      <c r="E37" s="64"/>
      <c r="F37" s="72"/>
      <c r="G37" s="64"/>
    </row>
    <row r="38" spans="1:7" ht="26.05" customHeight="1" x14ac:dyDescent="0.55000000000000004">
      <c r="A38" s="74" t="s">
        <v>70</v>
      </c>
      <c r="B38" s="70"/>
      <c r="C38" s="5" t="s">
        <v>12</v>
      </c>
      <c r="D38" s="69" t="s">
        <v>71</v>
      </c>
      <c r="E38" s="70"/>
      <c r="F38" s="81" t="s">
        <v>72</v>
      </c>
      <c r="G38" s="70"/>
    </row>
    <row r="39" spans="1:7" ht="5.05" customHeight="1" x14ac:dyDescent="0.55000000000000004">
      <c r="A39" s="2"/>
      <c r="B39" s="2"/>
      <c r="C39" s="2"/>
      <c r="D39" s="2"/>
      <c r="E39" s="2"/>
      <c r="F39" s="2"/>
      <c r="G39" s="2"/>
    </row>
    <row r="40" spans="1:7" ht="24" customHeight="1" x14ac:dyDescent="0.55000000000000004">
      <c r="A40" s="94" t="s">
        <v>73</v>
      </c>
      <c r="B40" s="95"/>
      <c r="C40" s="95"/>
      <c r="D40" s="95"/>
      <c r="E40" s="95"/>
      <c r="F40" s="95"/>
      <c r="G40" s="95"/>
    </row>
    <row r="41" spans="1:7" ht="32.049999999999997" customHeight="1" x14ac:dyDescent="0.55000000000000004">
      <c r="A41" s="73" t="s">
        <v>74</v>
      </c>
      <c r="B41" s="70"/>
      <c r="C41" s="70"/>
      <c r="D41" s="70"/>
      <c r="E41" s="70"/>
      <c r="F41" s="70"/>
      <c r="G41" s="70"/>
    </row>
    <row r="42" spans="1:7" ht="18" customHeight="1" x14ac:dyDescent="0.55000000000000004">
      <c r="A42" s="3"/>
      <c r="B42" s="3" t="s">
        <v>50</v>
      </c>
      <c r="C42" s="3"/>
      <c r="D42" s="3" t="s">
        <v>51</v>
      </c>
      <c r="E42" s="3"/>
      <c r="F42" s="3" t="s">
        <v>52</v>
      </c>
      <c r="G42" s="3" t="s">
        <v>75</v>
      </c>
    </row>
    <row r="43" spans="1:7" ht="26.05" customHeight="1" x14ac:dyDescent="0.55000000000000004">
      <c r="A43" s="63" t="s">
        <v>76</v>
      </c>
      <c r="B43" s="64"/>
      <c r="C43" s="5" t="s">
        <v>12</v>
      </c>
      <c r="D43" s="67" t="s">
        <v>77</v>
      </c>
      <c r="E43" s="64"/>
      <c r="F43" s="83" t="s">
        <v>78</v>
      </c>
      <c r="G43" s="64"/>
    </row>
    <row r="44" spans="1:7" ht="26.05" customHeight="1" x14ac:dyDescent="0.55000000000000004">
      <c r="A44" s="74" t="s">
        <v>79</v>
      </c>
      <c r="B44" s="70"/>
      <c r="C44" s="5" t="s">
        <v>12</v>
      </c>
      <c r="D44" s="69" t="s">
        <v>80</v>
      </c>
      <c r="E44" s="70"/>
      <c r="F44" s="91" t="s">
        <v>81</v>
      </c>
      <c r="G44" s="70"/>
    </row>
    <row r="45" spans="1:7" ht="26.05" customHeight="1" x14ac:dyDescent="0.55000000000000004">
      <c r="A45" s="63" t="s">
        <v>82</v>
      </c>
      <c r="B45" s="64"/>
      <c r="C45" s="5" t="s">
        <v>19</v>
      </c>
      <c r="D45" s="67" t="s">
        <v>83</v>
      </c>
      <c r="E45" s="64"/>
      <c r="F45" s="83" t="s">
        <v>84</v>
      </c>
      <c r="G45" s="64"/>
    </row>
    <row r="46" spans="1:7" ht="26.05" customHeight="1" x14ac:dyDescent="0.55000000000000004">
      <c r="A46" s="74" t="s">
        <v>85</v>
      </c>
      <c r="B46" s="70"/>
      <c r="C46" s="11"/>
      <c r="D46" s="69" t="s">
        <v>86</v>
      </c>
      <c r="E46" s="70"/>
      <c r="F46" s="91"/>
      <c r="G46" s="70"/>
    </row>
    <row r="47" spans="1:7" ht="26.05" customHeight="1" x14ac:dyDescent="0.55000000000000004">
      <c r="A47" s="63" t="s">
        <v>87</v>
      </c>
      <c r="B47" s="64"/>
      <c r="C47" s="11"/>
      <c r="D47" s="67" t="s">
        <v>88</v>
      </c>
      <c r="E47" s="64"/>
      <c r="F47" s="83"/>
      <c r="G47" s="64"/>
    </row>
    <row r="48" spans="1:7" ht="26.05" customHeight="1" x14ac:dyDescent="0.55000000000000004">
      <c r="A48" s="74" t="s">
        <v>89</v>
      </c>
      <c r="B48" s="70"/>
      <c r="C48" s="8">
        <f>IF(AND(C7&lt;&gt;"",C8&lt;&gt;""),DATEDIF(C7,C8,"M"),0)</f>
        <v>0</v>
      </c>
      <c r="D48" s="69" t="s">
        <v>90</v>
      </c>
      <c r="E48" s="70"/>
      <c r="F48" s="91"/>
      <c r="G48" s="70"/>
    </row>
    <row r="49" spans="1:7" ht="26.05" customHeight="1" x14ac:dyDescent="0.55000000000000004">
      <c r="A49" s="63" t="s">
        <v>91</v>
      </c>
      <c r="B49" s="64"/>
      <c r="C49" s="5" t="s">
        <v>12</v>
      </c>
      <c r="D49" s="67" t="s">
        <v>92</v>
      </c>
      <c r="E49" s="64"/>
      <c r="F49" s="83" t="s">
        <v>93</v>
      </c>
      <c r="G49" s="64"/>
    </row>
    <row r="50" spans="1:7" ht="26.05" customHeight="1" x14ac:dyDescent="0.55000000000000004">
      <c r="A50" s="74" t="s">
        <v>94</v>
      </c>
      <c r="B50" s="70"/>
      <c r="C50" s="5" t="s">
        <v>12</v>
      </c>
      <c r="D50" s="69" t="s">
        <v>95</v>
      </c>
      <c r="E50" s="70"/>
      <c r="F50" s="91" t="s">
        <v>96</v>
      </c>
      <c r="G50" s="70"/>
    </row>
    <row r="51" spans="1:7" ht="5.05" customHeight="1" x14ac:dyDescent="0.55000000000000004">
      <c r="A51" s="2"/>
      <c r="B51" s="2"/>
      <c r="C51" s="2"/>
      <c r="D51" s="2"/>
      <c r="E51" s="2"/>
      <c r="F51" s="2"/>
      <c r="G51" s="2"/>
    </row>
    <row r="52" spans="1:7" ht="24" customHeight="1" x14ac:dyDescent="0.55000000000000004">
      <c r="A52" s="85" t="s">
        <v>97</v>
      </c>
      <c r="B52" s="78"/>
      <c r="C52" s="78"/>
      <c r="D52" s="78"/>
      <c r="E52" s="78"/>
      <c r="F52" s="78"/>
      <c r="G52" s="78"/>
    </row>
    <row r="53" spans="1:7" ht="44.05" customHeight="1" x14ac:dyDescent="0.55000000000000004">
      <c r="A53" s="65" t="s">
        <v>98</v>
      </c>
      <c r="B53" s="66"/>
      <c r="C53" s="66"/>
      <c r="D53" s="66"/>
      <c r="E53" s="66"/>
      <c r="F53" s="66"/>
      <c r="G53" s="66"/>
    </row>
    <row r="54" spans="1:7" ht="24" customHeight="1" x14ac:dyDescent="0.55000000000000004">
      <c r="A54" s="71" t="s">
        <v>99</v>
      </c>
      <c r="B54" s="66"/>
      <c r="C54" s="66"/>
      <c r="D54" s="5" t="s">
        <v>100</v>
      </c>
      <c r="E54" s="1"/>
      <c r="F54" s="84" t="s">
        <v>101</v>
      </c>
      <c r="G54" s="66"/>
    </row>
    <row r="55" spans="1:7" ht="24" customHeight="1" x14ac:dyDescent="0.55000000000000004">
      <c r="A55" s="63" t="s">
        <v>102</v>
      </c>
      <c r="B55" s="64"/>
      <c r="C55" s="64"/>
      <c r="D55" s="5" t="s">
        <v>103</v>
      </c>
      <c r="E55" s="6"/>
      <c r="F55" s="72" t="s">
        <v>104</v>
      </c>
      <c r="G55" s="64"/>
    </row>
    <row r="56" spans="1:7" ht="24" customHeight="1" x14ac:dyDescent="0.55000000000000004">
      <c r="A56" s="74" t="s">
        <v>105</v>
      </c>
      <c r="B56" s="70"/>
      <c r="C56" s="70"/>
      <c r="D56" s="5" t="s">
        <v>106</v>
      </c>
      <c r="E56" s="4"/>
      <c r="F56" s="81" t="s">
        <v>107</v>
      </c>
      <c r="G56" s="70"/>
    </row>
    <row r="57" spans="1:7" ht="5.05" customHeight="1" x14ac:dyDescent="0.55000000000000004">
      <c r="A57" s="2"/>
      <c r="B57" s="2"/>
      <c r="C57" s="2"/>
      <c r="D57" s="2"/>
      <c r="E57" s="2"/>
      <c r="F57" s="2"/>
      <c r="G57" s="2"/>
    </row>
    <row r="58" spans="1:7" ht="24" customHeight="1" x14ac:dyDescent="0.55000000000000004">
      <c r="A58" s="85" t="s">
        <v>108</v>
      </c>
      <c r="B58" s="78"/>
      <c r="C58" s="78"/>
      <c r="D58" s="78"/>
      <c r="E58" s="78"/>
      <c r="F58" s="78"/>
      <c r="G58" s="78"/>
    </row>
    <row r="59" spans="1:7" ht="36" customHeight="1" x14ac:dyDescent="0.55000000000000004">
      <c r="A59" s="73" t="s">
        <v>109</v>
      </c>
      <c r="B59" s="70"/>
      <c r="C59" s="70"/>
      <c r="D59" s="70"/>
      <c r="E59" s="70"/>
      <c r="F59" s="70"/>
      <c r="G59" s="70"/>
    </row>
    <row r="60" spans="1:7" ht="18" customHeight="1" x14ac:dyDescent="0.55000000000000004">
      <c r="A60" s="3"/>
      <c r="B60" s="3" t="s">
        <v>110</v>
      </c>
      <c r="C60" s="3"/>
      <c r="D60" s="3" t="s">
        <v>111</v>
      </c>
      <c r="E60" s="3"/>
      <c r="F60" s="3" t="s">
        <v>52</v>
      </c>
      <c r="G60" s="3" t="s">
        <v>53</v>
      </c>
    </row>
    <row r="61" spans="1:7" ht="26.05" customHeight="1" x14ac:dyDescent="0.55000000000000004">
      <c r="A61" s="63" t="s">
        <v>112</v>
      </c>
      <c r="B61" s="64"/>
      <c r="C61" s="8">
        <f>C35</f>
        <v>0</v>
      </c>
      <c r="D61" s="67" t="s">
        <v>113</v>
      </c>
      <c r="E61" s="64"/>
      <c r="F61" s="72" t="s">
        <v>114</v>
      </c>
      <c r="G61" s="64"/>
    </row>
    <row r="62" spans="1:7" ht="26.05" customHeight="1" x14ac:dyDescent="0.55000000000000004">
      <c r="A62" s="74" t="s">
        <v>115</v>
      </c>
      <c r="B62" s="70"/>
      <c r="C62" s="8">
        <f>C34</f>
        <v>0</v>
      </c>
      <c r="D62" s="69" t="s">
        <v>116</v>
      </c>
      <c r="E62" s="70"/>
      <c r="F62" s="81" t="s">
        <v>117</v>
      </c>
      <c r="G62" s="70"/>
    </row>
    <row r="63" spans="1:7" ht="26.05" customHeight="1" x14ac:dyDescent="0.55000000000000004">
      <c r="A63" s="63" t="s">
        <v>118</v>
      </c>
      <c r="B63" s="64"/>
      <c r="C63" s="8">
        <f>C37</f>
        <v>0</v>
      </c>
      <c r="D63" s="67" t="s">
        <v>119</v>
      </c>
      <c r="E63" s="64"/>
      <c r="F63" s="72" t="s">
        <v>120</v>
      </c>
      <c r="G63" s="64"/>
    </row>
    <row r="64" spans="1:7" ht="26.05" customHeight="1" x14ac:dyDescent="0.55000000000000004">
      <c r="A64" s="60" t="s">
        <v>121</v>
      </c>
      <c r="B64" s="61"/>
      <c r="C64" s="12">
        <f>C61-C62-C63</f>
        <v>0</v>
      </c>
      <c r="D64" s="76" t="s">
        <v>122</v>
      </c>
      <c r="E64" s="61"/>
      <c r="F64" s="62"/>
      <c r="G64" s="61"/>
    </row>
    <row r="65" spans="1:7" ht="26.05" customHeight="1" x14ac:dyDescent="0.55000000000000004">
      <c r="A65" s="60" t="s">
        <v>123</v>
      </c>
      <c r="B65" s="61"/>
      <c r="C65" s="12" t="str">
        <f>IF(C64&gt;0,"KAZANÇ — %100 İstisna Uygulanabilir",IF(C64&lt;0,"ZARAR — İstisna Yok","SIFIR"))</f>
        <v>SIFIR</v>
      </c>
      <c r="D65" s="76" t="s">
        <v>124</v>
      </c>
      <c r="E65" s="61"/>
      <c r="F65" s="62"/>
      <c r="G65" s="61"/>
    </row>
    <row r="66" spans="1:7" ht="26.05" customHeight="1" x14ac:dyDescent="0.55000000000000004">
      <c r="A66" s="60" t="s">
        <v>125</v>
      </c>
      <c r="B66" s="61"/>
      <c r="C66" s="12">
        <f>MAX(0,C64)</f>
        <v>0</v>
      </c>
      <c r="D66" s="76" t="s">
        <v>126</v>
      </c>
      <c r="E66" s="61"/>
      <c r="F66" s="62" t="s">
        <v>127</v>
      </c>
      <c r="G66" s="61"/>
    </row>
    <row r="67" spans="1:7" ht="26.05" customHeight="1" x14ac:dyDescent="0.55000000000000004">
      <c r="A67" s="102" t="s">
        <v>128</v>
      </c>
      <c r="B67" s="99"/>
      <c r="C67" s="13">
        <f>ABS(C61-C36)</f>
        <v>0</v>
      </c>
      <c r="D67" s="98" t="s">
        <v>129</v>
      </c>
      <c r="E67" s="99"/>
      <c r="F67" s="107" t="s">
        <v>130</v>
      </c>
      <c r="G67" s="99"/>
    </row>
    <row r="68" spans="1:7" ht="5.05" customHeight="1" x14ac:dyDescent="0.55000000000000004">
      <c r="A68" s="2"/>
      <c r="B68" s="2"/>
      <c r="C68" s="2"/>
      <c r="D68" s="2"/>
      <c r="E68" s="2"/>
      <c r="F68" s="2"/>
      <c r="G68" s="2"/>
    </row>
    <row r="69" spans="1:7" ht="26.05" customHeight="1" x14ac:dyDescent="0.55000000000000004">
      <c r="A69" s="89" t="s">
        <v>131</v>
      </c>
      <c r="B69" s="90"/>
      <c r="C69" s="90"/>
      <c r="D69" s="90"/>
      <c r="E69" s="90"/>
      <c r="F69" s="90"/>
      <c r="G69" s="90"/>
    </row>
    <row r="70" spans="1:7" ht="36" customHeight="1" x14ac:dyDescent="0.55000000000000004">
      <c r="A70" s="105" t="s">
        <v>132</v>
      </c>
      <c r="B70" s="106"/>
      <c r="C70" s="106"/>
      <c r="D70" s="106"/>
      <c r="E70" s="106"/>
      <c r="F70" s="106"/>
      <c r="G70" s="106"/>
    </row>
    <row r="71" spans="1:7" ht="18" customHeight="1" x14ac:dyDescent="0.55000000000000004">
      <c r="A71" s="14"/>
      <c r="B71" s="14" t="s">
        <v>133</v>
      </c>
      <c r="C71" s="14"/>
      <c r="D71" s="14" t="s">
        <v>134</v>
      </c>
      <c r="E71" s="14"/>
      <c r="F71" s="14" t="s">
        <v>52</v>
      </c>
      <c r="G71" s="14" t="s">
        <v>53</v>
      </c>
    </row>
    <row r="72" spans="1:7" ht="26.05" customHeight="1" x14ac:dyDescent="0.55000000000000004">
      <c r="A72" s="60" t="s">
        <v>135</v>
      </c>
      <c r="B72" s="61"/>
      <c r="C72" s="15">
        <f>C66</f>
        <v>0</v>
      </c>
      <c r="D72" s="76" t="s">
        <v>136</v>
      </c>
      <c r="E72" s="61"/>
      <c r="F72" s="62" t="s">
        <v>137</v>
      </c>
      <c r="G72" s="61"/>
    </row>
    <row r="73" spans="1:7" ht="26.05" customHeight="1" x14ac:dyDescent="0.55000000000000004">
      <c r="A73" s="63" t="s">
        <v>138</v>
      </c>
      <c r="B73" s="64"/>
      <c r="C73" s="11"/>
      <c r="D73" s="67" t="s">
        <v>139</v>
      </c>
      <c r="E73" s="64"/>
      <c r="F73" s="72" t="s">
        <v>140</v>
      </c>
      <c r="G73" s="64"/>
    </row>
    <row r="74" spans="1:7" ht="26.05" customHeight="1" x14ac:dyDescent="0.55000000000000004">
      <c r="A74" s="74" t="s">
        <v>141</v>
      </c>
      <c r="B74" s="70"/>
      <c r="C74" s="11"/>
      <c r="D74" s="69" t="s">
        <v>142</v>
      </c>
      <c r="E74" s="70"/>
      <c r="F74" s="81" t="s">
        <v>143</v>
      </c>
      <c r="G74" s="70"/>
    </row>
    <row r="75" spans="1:7" ht="26.05" customHeight="1" x14ac:dyDescent="0.55000000000000004">
      <c r="A75" s="63" t="s">
        <v>144</v>
      </c>
      <c r="B75" s="64"/>
      <c r="C75" s="15">
        <f>IF(C73&gt;0,C74/C73*100,0)</f>
        <v>0</v>
      </c>
      <c r="D75" s="67">
        <f>IF(C73&gt;0,C74/C73*100,0)</f>
        <v>0</v>
      </c>
      <c r="E75" s="64"/>
      <c r="F75" s="72" t="s">
        <v>145</v>
      </c>
      <c r="G75" s="64"/>
    </row>
    <row r="76" spans="1:7" ht="26.05" customHeight="1" x14ac:dyDescent="0.55000000000000004">
      <c r="A76" s="60" t="s">
        <v>146</v>
      </c>
      <c r="B76" s="61"/>
      <c r="C76" s="15">
        <f>IF(C73&gt;0,C72*C74/C73,0)</f>
        <v>0</v>
      </c>
      <c r="D76" s="76" t="s">
        <v>147</v>
      </c>
      <c r="E76" s="61"/>
      <c r="F76" s="62" t="s">
        <v>148</v>
      </c>
      <c r="G76" s="61"/>
    </row>
    <row r="77" spans="1:7" ht="26.05" customHeight="1" x14ac:dyDescent="0.55000000000000004">
      <c r="A77" s="63" t="s">
        <v>149</v>
      </c>
      <c r="B77" s="64"/>
      <c r="C77" s="15">
        <f>MAX(0,C72-C76)</f>
        <v>0</v>
      </c>
      <c r="D77" s="67" t="s">
        <v>150</v>
      </c>
      <c r="E77" s="64"/>
      <c r="F77" s="72" t="s">
        <v>151</v>
      </c>
      <c r="G77" s="64"/>
    </row>
    <row r="78" spans="1:7" ht="5.05" customHeight="1" x14ac:dyDescent="0.55000000000000004">
      <c r="A78" s="2"/>
      <c r="B78" s="2"/>
      <c r="C78" s="2"/>
      <c r="D78" s="2"/>
      <c r="E78" s="2"/>
      <c r="F78" s="2"/>
      <c r="G78" s="2"/>
    </row>
    <row r="79" spans="1:7" ht="26.05" customHeight="1" x14ac:dyDescent="0.55000000000000004">
      <c r="A79" s="77" t="s">
        <v>152</v>
      </c>
      <c r="B79" s="78"/>
      <c r="C79" s="78"/>
      <c r="D79" s="78"/>
      <c r="E79" s="78"/>
      <c r="F79" s="78"/>
      <c r="G79" s="78"/>
    </row>
    <row r="80" spans="1:7" ht="30" customHeight="1" x14ac:dyDescent="0.55000000000000004">
      <c r="A80" s="86" t="s">
        <v>153</v>
      </c>
      <c r="B80" s="87"/>
      <c r="C80" s="87"/>
      <c r="D80" s="87"/>
      <c r="E80" s="87"/>
      <c r="F80" s="16">
        <f>C66</f>
        <v>0</v>
      </c>
      <c r="G80" s="17" t="s">
        <v>154</v>
      </c>
    </row>
    <row r="81" spans="1:7" ht="44.05" customHeight="1" x14ac:dyDescent="0.55000000000000004">
      <c r="A81" s="103" t="s">
        <v>155</v>
      </c>
      <c r="B81" s="104"/>
      <c r="C81" s="104"/>
      <c r="D81" s="104"/>
      <c r="E81" s="104"/>
      <c r="F81" s="104"/>
      <c r="G81" s="104"/>
    </row>
  </sheetData>
  <mergeCells count="154">
    <mergeCell ref="A81:G81"/>
    <mergeCell ref="F55:G55"/>
    <mergeCell ref="F12:G12"/>
    <mergeCell ref="F24:G24"/>
    <mergeCell ref="C27:E27"/>
    <mergeCell ref="A25:B25"/>
    <mergeCell ref="D32:E32"/>
    <mergeCell ref="A66:B66"/>
    <mergeCell ref="F32:G32"/>
    <mergeCell ref="F26:G26"/>
    <mergeCell ref="F35:G35"/>
    <mergeCell ref="A50:B50"/>
    <mergeCell ref="C19:E19"/>
    <mergeCell ref="F38:G38"/>
    <mergeCell ref="A70:G70"/>
    <mergeCell ref="D43:E43"/>
    <mergeCell ref="A47:B47"/>
    <mergeCell ref="A41:G41"/>
    <mergeCell ref="F27:G27"/>
    <mergeCell ref="F67:G67"/>
    <mergeCell ref="A20:B20"/>
    <mergeCell ref="F37:G37"/>
    <mergeCell ref="D74:E74"/>
    <mergeCell ref="A72:B72"/>
    <mergeCell ref="A2:G2"/>
    <mergeCell ref="F14:G14"/>
    <mergeCell ref="A67:B67"/>
    <mergeCell ref="A54:C54"/>
    <mergeCell ref="A14:D14"/>
    <mergeCell ref="F11:G11"/>
    <mergeCell ref="A24:B24"/>
    <mergeCell ref="F65:G65"/>
    <mergeCell ref="A56:C56"/>
    <mergeCell ref="D46:E46"/>
    <mergeCell ref="A29:G29"/>
    <mergeCell ref="A44:B44"/>
    <mergeCell ref="D50:E50"/>
    <mergeCell ref="D44:E44"/>
    <mergeCell ref="F44:G44"/>
    <mergeCell ref="A8:D8"/>
    <mergeCell ref="D63:E63"/>
    <mergeCell ref="A49:B49"/>
    <mergeCell ref="A4:G4"/>
    <mergeCell ref="A36:B36"/>
    <mergeCell ref="A10:D10"/>
    <mergeCell ref="D65:E65"/>
    <mergeCell ref="F21:G21"/>
    <mergeCell ref="A58:G58"/>
    <mergeCell ref="A40:G40"/>
    <mergeCell ref="A65:B65"/>
    <mergeCell ref="D49:E49"/>
    <mergeCell ref="F36:G36"/>
    <mergeCell ref="F50:G50"/>
    <mergeCell ref="F8:G8"/>
    <mergeCell ref="A21:B21"/>
    <mergeCell ref="A6:G6"/>
    <mergeCell ref="A32:B32"/>
    <mergeCell ref="F22:G22"/>
    <mergeCell ref="A23:B23"/>
    <mergeCell ref="A38:B38"/>
    <mergeCell ref="A18:G18"/>
    <mergeCell ref="A43:B43"/>
    <mergeCell ref="A12:D12"/>
    <mergeCell ref="A80:E80"/>
    <mergeCell ref="F66:G66"/>
    <mergeCell ref="D75:E75"/>
    <mergeCell ref="F75:G75"/>
    <mergeCell ref="A26:B26"/>
    <mergeCell ref="D47:E47"/>
    <mergeCell ref="A1:G1"/>
    <mergeCell ref="F47:G47"/>
    <mergeCell ref="F62:G62"/>
    <mergeCell ref="A69:G69"/>
    <mergeCell ref="D37:E37"/>
    <mergeCell ref="F46:G46"/>
    <mergeCell ref="F9:G9"/>
    <mergeCell ref="C24:E24"/>
    <mergeCell ref="F61:G61"/>
    <mergeCell ref="F48:G48"/>
    <mergeCell ref="A3:G3"/>
    <mergeCell ref="A63:B63"/>
    <mergeCell ref="D38:E38"/>
    <mergeCell ref="C26:E26"/>
    <mergeCell ref="F64:G64"/>
    <mergeCell ref="A34:B34"/>
    <mergeCell ref="A77:B77"/>
    <mergeCell ref="F73:G73"/>
    <mergeCell ref="A9:D9"/>
    <mergeCell ref="D76:E76"/>
    <mergeCell ref="F20:G20"/>
    <mergeCell ref="F76:G76"/>
    <mergeCell ref="F33:G33"/>
    <mergeCell ref="A37:B37"/>
    <mergeCell ref="F45:G45"/>
    <mergeCell ref="A46:B46"/>
    <mergeCell ref="A11:D11"/>
    <mergeCell ref="D66:E66"/>
    <mergeCell ref="A75:B75"/>
    <mergeCell ref="D67:E67"/>
    <mergeCell ref="F49:G49"/>
    <mergeCell ref="F10:G10"/>
    <mergeCell ref="F54:G54"/>
    <mergeCell ref="D34:E34"/>
    <mergeCell ref="F19:G19"/>
    <mergeCell ref="C22:E22"/>
    <mergeCell ref="F34:G34"/>
    <mergeCell ref="A45:B45"/>
    <mergeCell ref="F63:G63"/>
    <mergeCell ref="A52:G52"/>
    <mergeCell ref="A55:C55"/>
    <mergeCell ref="A61:B61"/>
    <mergeCell ref="A79:G79"/>
    <mergeCell ref="F72:G72"/>
    <mergeCell ref="A33:B33"/>
    <mergeCell ref="A76:B76"/>
    <mergeCell ref="F23:G23"/>
    <mergeCell ref="D62:E62"/>
    <mergeCell ref="A16:D16"/>
    <mergeCell ref="F13:G13"/>
    <mergeCell ref="F56:G56"/>
    <mergeCell ref="A22:B22"/>
    <mergeCell ref="A35:B35"/>
    <mergeCell ref="F43:G43"/>
    <mergeCell ref="A62:B62"/>
    <mergeCell ref="D64:E64"/>
    <mergeCell ref="D33:E33"/>
    <mergeCell ref="A19:B19"/>
    <mergeCell ref="D73:E73"/>
    <mergeCell ref="C20:E20"/>
    <mergeCell ref="C25:E25"/>
    <mergeCell ref="D35:E35"/>
    <mergeCell ref="A48:B48"/>
    <mergeCell ref="F74:G74"/>
    <mergeCell ref="F77:G77"/>
    <mergeCell ref="D77:E77"/>
    <mergeCell ref="F15:G15"/>
    <mergeCell ref="C23:E23"/>
    <mergeCell ref="A15:D15"/>
    <mergeCell ref="A30:G30"/>
    <mergeCell ref="D61:E61"/>
    <mergeCell ref="A59:G59"/>
    <mergeCell ref="A74:B74"/>
    <mergeCell ref="A27:B27"/>
    <mergeCell ref="D48:E48"/>
    <mergeCell ref="D72:E72"/>
    <mergeCell ref="A64:B64"/>
    <mergeCell ref="F16:G16"/>
    <mergeCell ref="A73:B73"/>
    <mergeCell ref="A53:G53"/>
    <mergeCell ref="F25:G25"/>
    <mergeCell ref="C21:E21"/>
    <mergeCell ref="D36:E36"/>
    <mergeCell ref="D45:E45"/>
    <mergeCell ref="A13:D13"/>
  </mergeCells>
  <conditionalFormatting sqref="E16">
    <cfRule type="containsText" dxfId="3" priority="1" operator="containsText" text="OK">
      <formula>NOT(ISERROR(SEARCH("OK",E16)))</formula>
    </cfRule>
    <cfRule type="containsText" dxfId="2" priority="2" operator="containsText" text="HATA">
      <formula>NOT(ISERROR(SEARCH("HATA",E16)))</formula>
    </cfRule>
  </conditionalFormatting>
  <dataValidations count="12">
    <dataValidation type="list" sqref="E8" xr:uid="{00000000-0002-0000-0000-000000000000}">
      <formula1>"Taşınır Varlık (Makine/Ekipman/Araç),Hak (Patent/Lisans/Telif/Marka),Karma Taşınır+Hak"</formula1>
    </dataValidation>
    <dataValidation type="list" sqref="C43 E9:E10" xr:uid="{00000000-0002-0000-0000-000001000000}">
      <formula1>"EVET,HAYIR-Kapsam Dışı"</formula1>
    </dataValidation>
    <dataValidation type="list" sqref="E11 C50 C44 C38 E13" xr:uid="{00000000-0002-0000-0000-000003000000}">
      <formula1>"EVET,HAYIR-Risk"</formula1>
    </dataValidation>
    <dataValidation type="list" sqref="E12" xr:uid="{00000000-0002-0000-0000-000004000000}">
      <formula1>"İcara (Kiralama Destekli),Murabaha,Wakala,Muşaraka,Karma/Hibrit"</formula1>
    </dataValidation>
    <dataValidation type="list" sqref="E14" xr:uid="{00000000-0002-0000-0000-000006000000}">
      <formula1>"EVET,HAYIR-Risk,Uygulanmıyor"</formula1>
    </dataValidation>
    <dataValidation type="list" sqref="E15" xr:uid="{00000000-0002-0000-0000-000007000000}">
      <formula1>"EVET,Tam Tasdik"</formula1>
    </dataValidation>
    <dataValidation type="list" sqref="C32" xr:uid="{00000000-0002-0000-0000-000008000000}">
      <formula1>"Taşınır Varlık (Makine/Ekipman),Araç/Vasıta,Hak (Patent/Lisans/Marka),Hak (Yazılım/Telif),Karma Varlık+Hak"</formula1>
    </dataValidation>
    <dataValidation type="list" sqref="C45" xr:uid="{00000000-0002-0000-0000-00000C000000}">
      <formula1>"İcara (Kiralama Destekli),Murabaha (Mal Alım/Satım),Wakala (Vekâlet),Muşaraka (Ortak Girişim),Karma/Hibrit"</formula1>
    </dataValidation>
    <dataValidation type="list" sqref="C49" xr:uid="{00000000-0002-0000-0000-00000D000000}">
      <formula1>"EVET,HAYIR-Risk,Nitelikli Yatırımcıya (KAP Zorunlu Değil)"</formula1>
    </dataValidation>
    <dataValidation type="list" sqref="D54" xr:uid="{00000000-0002-0000-0000-00000F000000}">
      <formula1>"VAR — Taahhütlü Geri Alım,VAR — Opsiyonel Geri Alım,YOK — Geri Alım Öngörülmüyor"</formula1>
    </dataValidation>
    <dataValidation type="list" sqref="D55" xr:uid="{00000000-0002-0000-0000-000010000000}">
      <formula1>"İcara: Kira + Geri Alım,Murabaha: Mal Geri Satışı,Wakala: Ajan Ücreti + Tasfiye,Muşaraka: Pay Azaltarak"</formula1>
    </dataValidation>
    <dataValidation type="list" sqref="D56" xr:uid="{00000000-0002-0000-0000-000011000000}">
      <formula1>"5/1-k — İhraç Amacı Ön Planda,5/1-j — Sat-Kirala-Geri Al Yapısı Uygun,İkisi de Değerlendiriliyor"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29" t="s">
        <v>156</v>
      </c>
      <c r="B1" s="78"/>
      <c r="C1" s="78"/>
      <c r="D1" s="78"/>
      <c r="E1" s="78"/>
      <c r="F1" s="78"/>
      <c r="G1" s="78"/>
    </row>
    <row r="2" spans="1:7" ht="20.05" customHeight="1" x14ac:dyDescent="0.55000000000000004">
      <c r="A2" s="100" t="s">
        <v>157</v>
      </c>
      <c r="B2" s="101"/>
      <c r="C2" s="101"/>
      <c r="D2" s="101"/>
      <c r="E2" s="101"/>
      <c r="F2" s="101"/>
      <c r="G2" s="101"/>
    </row>
    <row r="3" spans="1:7" ht="5.05" customHeight="1" x14ac:dyDescent="0.55000000000000004">
      <c r="A3" s="2"/>
      <c r="B3" s="2"/>
      <c r="C3" s="2"/>
      <c r="D3" s="2"/>
      <c r="E3" s="2"/>
      <c r="F3" s="2"/>
      <c r="G3" s="2"/>
    </row>
    <row r="4" spans="1:7" ht="22" customHeight="1" x14ac:dyDescent="0.55000000000000004">
      <c r="A4" s="130" t="s">
        <v>158</v>
      </c>
      <c r="B4" s="131"/>
      <c r="C4" s="131"/>
      <c r="D4" s="131"/>
      <c r="E4" s="131"/>
      <c r="F4" s="131"/>
      <c r="G4" s="131"/>
    </row>
    <row r="5" spans="1:7" ht="22" customHeight="1" x14ac:dyDescent="0.55000000000000004">
      <c r="A5" s="75" t="s">
        <v>159</v>
      </c>
      <c r="B5" s="64"/>
      <c r="C5" s="64"/>
      <c r="D5" s="18" t="str">
        <f>'VERİ GİRİŞİ'!E16</f>
        <v>OK - Hesaplanabilir</v>
      </c>
      <c r="E5" s="72" t="s">
        <v>160</v>
      </c>
      <c r="F5" s="64"/>
      <c r="G5" s="64"/>
    </row>
    <row r="6" spans="1:7" ht="22" customHeight="1" x14ac:dyDescent="0.55000000000000004">
      <c r="A6" s="82" t="s">
        <v>161</v>
      </c>
      <c r="B6" s="70"/>
      <c r="C6" s="70"/>
      <c r="D6" s="18" t="str">
        <f>'VERİ GİRİŞİ'!C32</f>
        <v>Taşınır Varlık (Makine/Ekipman)</v>
      </c>
      <c r="E6" s="81" t="s">
        <v>162</v>
      </c>
      <c r="F6" s="70"/>
      <c r="G6" s="70"/>
    </row>
    <row r="7" spans="1:7" ht="22" customHeight="1" x14ac:dyDescent="0.55000000000000004">
      <c r="A7" s="75" t="s">
        <v>163</v>
      </c>
      <c r="B7" s="64"/>
      <c r="C7" s="64"/>
      <c r="D7" s="18" t="str">
        <f>'VERİ GİRİŞİ'!E9</f>
        <v>EVET</v>
      </c>
      <c r="E7" s="72" t="s">
        <v>164</v>
      </c>
      <c r="F7" s="64"/>
      <c r="G7" s="64"/>
    </row>
    <row r="8" spans="1:7" ht="22" customHeight="1" x14ac:dyDescent="0.55000000000000004">
      <c r="A8" s="82" t="s">
        <v>165</v>
      </c>
      <c r="B8" s="70"/>
      <c r="C8" s="70"/>
      <c r="D8" s="18" t="str">
        <f>'VERİ GİRİŞİ'!E10</f>
        <v>EVET</v>
      </c>
      <c r="E8" s="81" t="s">
        <v>164</v>
      </c>
      <c r="F8" s="70"/>
      <c r="G8" s="70"/>
    </row>
    <row r="9" spans="1:7" ht="22" customHeight="1" x14ac:dyDescent="0.55000000000000004">
      <c r="A9" s="75" t="s">
        <v>166</v>
      </c>
      <c r="B9" s="64"/>
      <c r="C9" s="64"/>
      <c r="D9" s="18" t="str">
        <f>'VERİ GİRİŞİ'!C45</f>
        <v>İcara (Kiralama Destekli)</v>
      </c>
      <c r="E9" s="72" t="s">
        <v>167</v>
      </c>
      <c r="F9" s="64"/>
      <c r="G9" s="64"/>
    </row>
    <row r="10" spans="1:7" ht="22" customHeight="1" x14ac:dyDescent="0.55000000000000004">
      <c r="A10" s="82" t="s">
        <v>168</v>
      </c>
      <c r="B10" s="70"/>
      <c r="C10" s="70"/>
      <c r="D10" s="18">
        <f>'VERİ GİRİŞİ'!C48</f>
        <v>0</v>
      </c>
      <c r="E10" s="81" t="s">
        <v>169</v>
      </c>
      <c r="F10" s="70"/>
      <c r="G10" s="70"/>
    </row>
    <row r="11" spans="1:7" ht="22" customHeight="1" x14ac:dyDescent="0.55000000000000004">
      <c r="A11" s="75" t="s">
        <v>170</v>
      </c>
      <c r="B11" s="64"/>
      <c r="C11" s="64"/>
      <c r="D11" s="18">
        <f>'VERİ GİRİŞİ'!C64</f>
        <v>0</v>
      </c>
      <c r="E11" s="72" t="s">
        <v>171</v>
      </c>
      <c r="F11" s="64"/>
      <c r="G11" s="64"/>
    </row>
    <row r="12" spans="1:7" ht="22" customHeight="1" x14ac:dyDescent="0.55000000000000004">
      <c r="A12" s="79" t="s">
        <v>172</v>
      </c>
      <c r="B12" s="61"/>
      <c r="C12" s="61"/>
      <c r="D12" s="15">
        <f>'VERİ GİRİŞİ'!C66</f>
        <v>0</v>
      </c>
      <c r="E12" s="138"/>
      <c r="F12" s="61"/>
      <c r="G12" s="61"/>
    </row>
    <row r="13" spans="1:7" ht="22" customHeight="1" x14ac:dyDescent="0.55000000000000004">
      <c r="A13" s="82" t="s">
        <v>173</v>
      </c>
      <c r="B13" s="70"/>
      <c r="C13" s="70"/>
      <c r="D13" s="18">
        <f>'VERİ GİRİŞİ'!C72</f>
        <v>0</v>
      </c>
      <c r="E13" s="81" t="s">
        <v>174</v>
      </c>
      <c r="F13" s="70"/>
      <c r="G13" s="70"/>
    </row>
    <row r="14" spans="1:7" ht="22" customHeight="1" x14ac:dyDescent="0.55000000000000004">
      <c r="A14" s="75" t="s">
        <v>175</v>
      </c>
      <c r="B14" s="64"/>
      <c r="C14" s="64"/>
      <c r="D14" s="18" t="str">
        <f>'VERİ GİRİŞİ'!D54</f>
        <v>VAR — Opsiyonel Geri Alım</v>
      </c>
      <c r="E14" s="72" t="s">
        <v>176</v>
      </c>
      <c r="F14" s="64"/>
      <c r="G14" s="64"/>
    </row>
    <row r="15" spans="1:7" ht="5.05" customHeight="1" x14ac:dyDescent="0.55000000000000004">
      <c r="A15" s="2"/>
      <c r="B15" s="2"/>
      <c r="C15" s="2"/>
      <c r="D15" s="2"/>
      <c r="E15" s="2"/>
      <c r="F15" s="2"/>
      <c r="G15" s="2"/>
    </row>
    <row r="16" spans="1:7" ht="22" customHeight="1" x14ac:dyDescent="0.55000000000000004">
      <c r="A16" s="85" t="s">
        <v>177</v>
      </c>
      <c r="B16" s="78"/>
      <c r="C16" s="78"/>
      <c r="D16" s="78"/>
      <c r="E16" s="78"/>
      <c r="F16" s="78"/>
      <c r="G16" s="78"/>
    </row>
    <row r="17" spans="1:7" ht="22" customHeight="1" x14ac:dyDescent="0.55000000000000004">
      <c r="A17" s="73" t="s">
        <v>178</v>
      </c>
      <c r="B17" s="70"/>
      <c r="C17" s="70"/>
      <c r="D17" s="70"/>
      <c r="E17" s="70"/>
      <c r="F17" s="70"/>
      <c r="G17" s="70"/>
    </row>
    <row r="18" spans="1:7" ht="18" customHeight="1" x14ac:dyDescent="0.55000000000000004">
      <c r="A18" s="3"/>
      <c r="B18" s="3" t="s">
        <v>179</v>
      </c>
      <c r="C18" s="3"/>
      <c r="D18" s="3" t="s">
        <v>180</v>
      </c>
      <c r="E18" s="3"/>
      <c r="F18" s="3" t="s">
        <v>181</v>
      </c>
      <c r="G18" s="3"/>
    </row>
    <row r="19" spans="1:7" ht="22" customHeight="1" x14ac:dyDescent="0.55000000000000004">
      <c r="A19" s="75" t="s">
        <v>182</v>
      </c>
      <c r="B19" s="64"/>
      <c r="C19" s="114" t="s">
        <v>183</v>
      </c>
      <c r="D19" s="64"/>
      <c r="E19" s="115" t="s">
        <v>184</v>
      </c>
      <c r="F19" s="64"/>
      <c r="G19" s="6"/>
    </row>
    <row r="20" spans="1:7" ht="22" customHeight="1" x14ac:dyDescent="0.55000000000000004">
      <c r="A20" s="82" t="s">
        <v>185</v>
      </c>
      <c r="B20" s="70"/>
      <c r="C20" s="122" t="s">
        <v>186</v>
      </c>
      <c r="D20" s="70"/>
      <c r="E20" s="133" t="s">
        <v>187</v>
      </c>
      <c r="F20" s="70"/>
      <c r="G20" s="4"/>
    </row>
    <row r="21" spans="1:7" ht="22" customHeight="1" x14ac:dyDescent="0.55000000000000004">
      <c r="A21" s="75" t="s">
        <v>188</v>
      </c>
      <c r="B21" s="64"/>
      <c r="C21" s="114" t="s">
        <v>189</v>
      </c>
      <c r="D21" s="64"/>
      <c r="E21" s="115" t="s">
        <v>190</v>
      </c>
      <c r="F21" s="64"/>
      <c r="G21" s="6"/>
    </row>
    <row r="22" spans="1:7" ht="22" customHeight="1" x14ac:dyDescent="0.55000000000000004">
      <c r="A22" s="117" t="s">
        <v>191</v>
      </c>
      <c r="B22" s="66"/>
      <c r="C22" s="137" t="s">
        <v>192</v>
      </c>
      <c r="D22" s="61"/>
      <c r="E22" s="108" t="s">
        <v>193</v>
      </c>
      <c r="F22" s="109"/>
      <c r="G22" s="4"/>
    </row>
    <row r="23" spans="1:7" ht="22" customHeight="1" x14ac:dyDescent="0.55000000000000004">
      <c r="A23" s="117" t="s">
        <v>194</v>
      </c>
      <c r="B23" s="66"/>
      <c r="C23" s="137" t="s">
        <v>195</v>
      </c>
      <c r="D23" s="61"/>
      <c r="E23" s="108" t="s">
        <v>196</v>
      </c>
      <c r="F23" s="109"/>
      <c r="G23" s="6"/>
    </row>
    <row r="24" spans="1:7" ht="22" customHeight="1" x14ac:dyDescent="0.55000000000000004">
      <c r="A24" s="117" t="s">
        <v>197</v>
      </c>
      <c r="B24" s="66"/>
      <c r="C24" s="137" t="s">
        <v>198</v>
      </c>
      <c r="D24" s="61"/>
      <c r="E24" s="108" t="s">
        <v>199</v>
      </c>
      <c r="F24" s="109"/>
      <c r="G24" s="4"/>
    </row>
    <row r="25" spans="1:7" ht="22" customHeight="1" x14ac:dyDescent="0.55000000000000004">
      <c r="A25" s="117" t="s">
        <v>200</v>
      </c>
      <c r="B25" s="66"/>
      <c r="C25" s="137" t="s">
        <v>201</v>
      </c>
      <c r="D25" s="61"/>
      <c r="E25" s="108" t="s">
        <v>202</v>
      </c>
      <c r="F25" s="109"/>
      <c r="G25" s="6"/>
    </row>
    <row r="26" spans="1:7" ht="22" customHeight="1" x14ac:dyDescent="0.55000000000000004">
      <c r="A26" s="117" t="s">
        <v>203</v>
      </c>
      <c r="B26" s="66"/>
      <c r="C26" s="137" t="s">
        <v>204</v>
      </c>
      <c r="D26" s="61"/>
      <c r="E26" s="108" t="s">
        <v>205</v>
      </c>
      <c r="F26" s="109"/>
      <c r="G26" s="4"/>
    </row>
    <row r="27" spans="1:7" ht="22" customHeight="1" x14ac:dyDescent="0.55000000000000004">
      <c r="A27" s="75" t="s">
        <v>206</v>
      </c>
      <c r="B27" s="64"/>
      <c r="C27" s="114" t="s">
        <v>207</v>
      </c>
      <c r="D27" s="64"/>
      <c r="E27" s="115" t="s">
        <v>207</v>
      </c>
      <c r="F27" s="64"/>
      <c r="G27" s="6"/>
    </row>
    <row r="28" spans="1:7" ht="22" customHeight="1" x14ac:dyDescent="0.55000000000000004">
      <c r="A28" s="82" t="s">
        <v>208</v>
      </c>
      <c r="B28" s="70"/>
      <c r="C28" s="122" t="s">
        <v>209</v>
      </c>
      <c r="D28" s="70"/>
      <c r="E28" s="133" t="s">
        <v>210</v>
      </c>
      <c r="F28" s="70"/>
      <c r="G28" s="4"/>
    </row>
    <row r="29" spans="1:7" ht="22" customHeight="1" x14ac:dyDescent="0.55000000000000004">
      <c r="A29" s="75" t="s">
        <v>211</v>
      </c>
      <c r="B29" s="64"/>
      <c r="C29" s="114" t="s">
        <v>212</v>
      </c>
      <c r="D29" s="64"/>
      <c r="E29" s="115" t="s">
        <v>212</v>
      </c>
      <c r="F29" s="64"/>
      <c r="G29" s="6"/>
    </row>
    <row r="30" spans="1:7" ht="22" customHeight="1" x14ac:dyDescent="0.55000000000000004">
      <c r="A30" s="126" t="s">
        <v>213</v>
      </c>
      <c r="B30" s="99"/>
      <c r="C30" s="127" t="s">
        <v>214</v>
      </c>
      <c r="D30" s="99"/>
      <c r="E30" s="140" t="s">
        <v>215</v>
      </c>
      <c r="F30" s="99"/>
      <c r="G30" s="4"/>
    </row>
    <row r="31" spans="1:7" ht="5.05" customHeight="1" x14ac:dyDescent="0.55000000000000004">
      <c r="A31" s="2"/>
      <c r="B31" s="2"/>
      <c r="C31" s="2"/>
      <c r="D31" s="2"/>
      <c r="E31" s="2"/>
      <c r="F31" s="2"/>
      <c r="G31" s="2"/>
    </row>
    <row r="32" spans="1:7" ht="22" customHeight="1" x14ac:dyDescent="0.55000000000000004">
      <c r="A32" s="85" t="s">
        <v>216</v>
      </c>
      <c r="B32" s="78"/>
      <c r="C32" s="78"/>
      <c r="D32" s="78"/>
      <c r="E32" s="78"/>
      <c r="F32" s="78"/>
      <c r="G32" s="78"/>
    </row>
    <row r="33" spans="1:7" ht="24" customHeight="1" x14ac:dyDescent="0.55000000000000004">
      <c r="A33" s="73" t="s">
        <v>217</v>
      </c>
      <c r="B33" s="70"/>
      <c r="C33" s="70"/>
      <c r="D33" s="70"/>
      <c r="E33" s="70"/>
      <c r="F33" s="70"/>
      <c r="G33" s="70"/>
    </row>
    <row r="34" spans="1:7" ht="18" customHeight="1" x14ac:dyDescent="0.55000000000000004">
      <c r="A34" s="3"/>
      <c r="B34" s="3" t="s">
        <v>218</v>
      </c>
      <c r="C34" s="3"/>
      <c r="D34" s="3" t="s">
        <v>219</v>
      </c>
      <c r="E34" s="3"/>
      <c r="F34" s="3" t="s">
        <v>220</v>
      </c>
      <c r="G34" s="3"/>
    </row>
    <row r="35" spans="1:7" ht="36" customHeight="1" x14ac:dyDescent="0.55000000000000004">
      <c r="A35" s="21" t="s">
        <v>221</v>
      </c>
      <c r="B35" s="22" t="s">
        <v>12</v>
      </c>
      <c r="C35" s="139" t="s">
        <v>222</v>
      </c>
      <c r="D35" s="124"/>
      <c r="E35" s="123" t="s">
        <v>223</v>
      </c>
      <c r="F35" s="124"/>
      <c r="G35" s="124"/>
    </row>
    <row r="36" spans="1:7" ht="36" customHeight="1" x14ac:dyDescent="0.55000000000000004">
      <c r="A36" s="23" t="s">
        <v>224</v>
      </c>
      <c r="B36" s="22" t="s">
        <v>12</v>
      </c>
      <c r="C36" s="113" t="s">
        <v>225</v>
      </c>
      <c r="D36" s="64"/>
      <c r="E36" s="134" t="s">
        <v>226</v>
      </c>
      <c r="F36" s="64"/>
      <c r="G36" s="64"/>
    </row>
    <row r="37" spans="1:7" ht="36" customHeight="1" x14ac:dyDescent="0.55000000000000004">
      <c r="A37" s="24" t="s">
        <v>227</v>
      </c>
      <c r="B37" s="25" t="s">
        <v>228</v>
      </c>
      <c r="C37" s="139" t="s">
        <v>229</v>
      </c>
      <c r="D37" s="124"/>
      <c r="E37" s="123" t="s">
        <v>230</v>
      </c>
      <c r="F37" s="124"/>
      <c r="G37" s="124"/>
    </row>
    <row r="38" spans="1:7" ht="36" customHeight="1" x14ac:dyDescent="0.55000000000000004">
      <c r="A38" s="26" t="s">
        <v>231</v>
      </c>
      <c r="B38" s="25" t="s">
        <v>228</v>
      </c>
      <c r="C38" s="113" t="s">
        <v>232</v>
      </c>
      <c r="D38" s="64"/>
      <c r="E38" s="134" t="s">
        <v>233</v>
      </c>
      <c r="F38" s="64"/>
      <c r="G38" s="64"/>
    </row>
    <row r="39" spans="1:7" ht="5.05" customHeight="1" x14ac:dyDescent="0.55000000000000004">
      <c r="A39" s="2"/>
      <c r="B39" s="2"/>
      <c r="C39" s="2"/>
      <c r="D39" s="2"/>
      <c r="E39" s="2"/>
      <c r="F39" s="2"/>
      <c r="G39" s="2"/>
    </row>
    <row r="40" spans="1:7" ht="22" customHeight="1" x14ac:dyDescent="0.55000000000000004">
      <c r="A40" s="135" t="s">
        <v>234</v>
      </c>
      <c r="B40" s="136"/>
      <c r="C40" s="136"/>
      <c r="D40" s="136"/>
      <c r="E40" s="136"/>
      <c r="F40" s="136"/>
      <c r="G40" s="136"/>
    </row>
    <row r="41" spans="1:7" ht="28" customHeight="1" x14ac:dyDescent="0.55000000000000004">
      <c r="A41" s="141" t="s">
        <v>235</v>
      </c>
      <c r="B41" s="70"/>
      <c r="C41" s="70"/>
      <c r="D41" s="70"/>
      <c r="E41" s="70"/>
      <c r="F41" s="70"/>
      <c r="G41" s="70"/>
    </row>
    <row r="42" spans="1:7" ht="18" customHeight="1" x14ac:dyDescent="0.55000000000000004">
      <c r="A42" s="3"/>
      <c r="B42" s="3" t="s">
        <v>236</v>
      </c>
      <c r="C42" s="3"/>
      <c r="D42" s="3" t="s">
        <v>237</v>
      </c>
      <c r="E42" s="3"/>
      <c r="F42" s="3" t="s">
        <v>238</v>
      </c>
      <c r="G42" s="3"/>
    </row>
    <row r="43" spans="1:7" ht="24" customHeight="1" x14ac:dyDescent="0.55000000000000004">
      <c r="A43" s="63" t="s">
        <v>239</v>
      </c>
      <c r="B43" s="64"/>
      <c r="C43" s="22" t="s">
        <v>240</v>
      </c>
      <c r="D43" s="113" t="s">
        <v>241</v>
      </c>
      <c r="E43" s="64"/>
      <c r="F43" s="64"/>
      <c r="G43" s="64"/>
    </row>
    <row r="44" spans="1:7" ht="24" customHeight="1" x14ac:dyDescent="0.55000000000000004">
      <c r="A44" s="74" t="s">
        <v>242</v>
      </c>
      <c r="B44" s="70"/>
      <c r="C44" s="22" t="s">
        <v>240</v>
      </c>
      <c r="D44" s="118" t="s">
        <v>243</v>
      </c>
      <c r="E44" s="70"/>
      <c r="F44" s="70"/>
      <c r="G44" s="70"/>
    </row>
    <row r="45" spans="1:7" ht="24" customHeight="1" x14ac:dyDescent="0.55000000000000004">
      <c r="A45" s="63" t="s">
        <v>244</v>
      </c>
      <c r="B45" s="64"/>
      <c r="C45" s="22" t="s">
        <v>240</v>
      </c>
      <c r="D45" s="113" t="s">
        <v>245</v>
      </c>
      <c r="E45" s="64"/>
      <c r="F45" s="64"/>
      <c r="G45" s="64"/>
    </row>
    <row r="46" spans="1:7" ht="24" customHeight="1" x14ac:dyDescent="0.55000000000000004">
      <c r="A46" s="74" t="s">
        <v>246</v>
      </c>
      <c r="B46" s="70"/>
      <c r="C46" s="22" t="s">
        <v>240</v>
      </c>
      <c r="D46" s="118" t="s">
        <v>247</v>
      </c>
      <c r="E46" s="70"/>
      <c r="F46" s="70"/>
      <c r="G46" s="70"/>
    </row>
    <row r="47" spans="1:7" ht="24" customHeight="1" x14ac:dyDescent="0.55000000000000004">
      <c r="A47" s="63" t="s">
        <v>248</v>
      </c>
      <c r="B47" s="64"/>
      <c r="C47" s="25" t="s">
        <v>249</v>
      </c>
      <c r="D47" s="113" t="s">
        <v>250</v>
      </c>
      <c r="E47" s="64"/>
      <c r="F47" s="64"/>
      <c r="G47" s="64"/>
    </row>
    <row r="48" spans="1:7" ht="24" customHeight="1" x14ac:dyDescent="0.55000000000000004">
      <c r="A48" s="74" t="s">
        <v>251</v>
      </c>
      <c r="B48" s="70"/>
      <c r="C48" s="25" t="s">
        <v>252</v>
      </c>
      <c r="D48" s="118" t="s">
        <v>253</v>
      </c>
      <c r="E48" s="70"/>
      <c r="F48" s="70"/>
      <c r="G48" s="70"/>
    </row>
    <row r="49" spans="1:7" ht="24" customHeight="1" x14ac:dyDescent="0.55000000000000004">
      <c r="A49" s="63" t="s">
        <v>254</v>
      </c>
      <c r="B49" s="64"/>
      <c r="C49" s="25" t="s">
        <v>249</v>
      </c>
      <c r="D49" s="113" t="s">
        <v>255</v>
      </c>
      <c r="E49" s="64"/>
      <c r="F49" s="64"/>
      <c r="G49" s="64"/>
    </row>
    <row r="50" spans="1:7" ht="5.05" customHeight="1" x14ac:dyDescent="0.55000000000000004">
      <c r="A50" s="2"/>
      <c r="B50" s="2"/>
      <c r="C50" s="2"/>
      <c r="D50" s="2"/>
      <c r="E50" s="2"/>
      <c r="F50" s="2"/>
      <c r="G50" s="2"/>
    </row>
    <row r="51" spans="1:7" ht="22" customHeight="1" x14ac:dyDescent="0.55000000000000004">
      <c r="A51" s="89" t="s">
        <v>256</v>
      </c>
      <c r="B51" s="90"/>
      <c r="C51" s="90"/>
      <c r="D51" s="90"/>
      <c r="E51" s="90"/>
      <c r="F51" s="90"/>
      <c r="G51" s="90"/>
    </row>
    <row r="52" spans="1:7" ht="18" customHeight="1" x14ac:dyDescent="0.55000000000000004">
      <c r="A52" s="3"/>
      <c r="B52" s="3" t="s">
        <v>257</v>
      </c>
      <c r="C52" s="3" t="s">
        <v>258</v>
      </c>
      <c r="D52" s="3" t="s">
        <v>259</v>
      </c>
      <c r="E52" s="3" t="s">
        <v>260</v>
      </c>
      <c r="F52" s="3" t="s">
        <v>261</v>
      </c>
      <c r="G52" s="3" t="s">
        <v>262</v>
      </c>
    </row>
    <row r="53" spans="1:7" ht="24" customHeight="1" x14ac:dyDescent="0.55000000000000004">
      <c r="A53" s="27" t="s">
        <v>263</v>
      </c>
      <c r="B53" s="11"/>
      <c r="C53" s="11"/>
      <c r="D53" s="11"/>
      <c r="E53" s="11"/>
      <c r="F53" s="9" t="s">
        <v>264</v>
      </c>
      <c r="G53" s="6"/>
    </row>
    <row r="54" spans="1:7" ht="24" customHeight="1" x14ac:dyDescent="0.55000000000000004">
      <c r="A54" s="28" t="s">
        <v>265</v>
      </c>
      <c r="B54" s="11"/>
      <c r="C54" s="11"/>
      <c r="D54" s="11"/>
      <c r="E54" s="11"/>
      <c r="F54" s="10" t="s">
        <v>264</v>
      </c>
      <c r="G54" s="4"/>
    </row>
    <row r="55" spans="1:7" ht="24" customHeight="1" x14ac:dyDescent="0.55000000000000004">
      <c r="A55" s="27" t="s">
        <v>266</v>
      </c>
      <c r="B55" s="11"/>
      <c r="C55" s="11"/>
      <c r="D55" s="11"/>
      <c r="E55" s="11"/>
      <c r="F55" s="9" t="s">
        <v>264</v>
      </c>
      <c r="G55" s="6"/>
    </row>
    <row r="56" spans="1:7" ht="24" customHeight="1" x14ac:dyDescent="0.55000000000000004">
      <c r="A56" s="28" t="s">
        <v>267</v>
      </c>
      <c r="B56" s="11"/>
      <c r="C56" s="11"/>
      <c r="D56" s="11"/>
      <c r="E56" s="11"/>
      <c r="F56" s="10" t="s">
        <v>264</v>
      </c>
      <c r="G56" s="4"/>
    </row>
    <row r="57" spans="1:7" ht="24" customHeight="1" x14ac:dyDescent="0.55000000000000004">
      <c r="A57" s="27" t="s">
        <v>268</v>
      </c>
      <c r="B57" s="11"/>
      <c r="C57" s="11"/>
      <c r="D57" s="11"/>
      <c r="E57" s="11"/>
      <c r="F57" s="9" t="s">
        <v>264</v>
      </c>
      <c r="G57" s="6"/>
    </row>
    <row r="58" spans="1:7" ht="26.05" customHeight="1" x14ac:dyDescent="0.55000000000000004">
      <c r="A58" s="29" t="s">
        <v>269</v>
      </c>
      <c r="B58" s="22">
        <f>'VERİ GİRİŞİ'!C73</f>
        <v>0</v>
      </c>
      <c r="C58" s="22" t="s">
        <v>207</v>
      </c>
      <c r="D58" s="22">
        <f>'VERİ GİRİŞİ'!C72</f>
        <v>0</v>
      </c>
      <c r="E58" s="22">
        <f>0</f>
        <v>0</v>
      </c>
      <c r="F58" s="60" t="s">
        <v>270</v>
      </c>
      <c r="G58" s="61"/>
    </row>
    <row r="59" spans="1:7" ht="5.05" customHeight="1" x14ac:dyDescent="0.55000000000000004">
      <c r="A59" s="2"/>
      <c r="B59" s="2"/>
      <c r="C59" s="2"/>
      <c r="D59" s="2"/>
      <c r="E59" s="2"/>
      <c r="F59" s="2"/>
      <c r="G59" s="2"/>
    </row>
    <row r="60" spans="1:7" ht="22" customHeight="1" x14ac:dyDescent="0.55000000000000004">
      <c r="A60" s="85" t="s">
        <v>271</v>
      </c>
      <c r="B60" s="78"/>
      <c r="C60" s="78"/>
      <c r="D60" s="78"/>
      <c r="E60" s="78"/>
      <c r="F60" s="78"/>
      <c r="G60" s="78"/>
    </row>
    <row r="61" spans="1:7" ht="18" customHeight="1" x14ac:dyDescent="0.55000000000000004">
      <c r="A61" s="3"/>
      <c r="B61" s="3" t="s">
        <v>272</v>
      </c>
      <c r="C61" s="3"/>
      <c r="D61" s="3" t="s">
        <v>52</v>
      </c>
      <c r="E61" s="3"/>
      <c r="F61" s="3" t="s">
        <v>273</v>
      </c>
      <c r="G61" s="3" t="s">
        <v>274</v>
      </c>
    </row>
    <row r="62" spans="1:7" ht="24" customHeight="1" x14ac:dyDescent="0.55000000000000004">
      <c r="A62" s="30" t="s">
        <v>275</v>
      </c>
      <c r="B62" s="128" t="s">
        <v>276</v>
      </c>
      <c r="C62" s="70"/>
      <c r="D62" s="111" t="s">
        <v>277</v>
      </c>
      <c r="E62" s="112"/>
      <c r="F62" s="33" t="s">
        <v>278</v>
      </c>
      <c r="G62" s="4"/>
    </row>
    <row r="63" spans="1:7" ht="24" customHeight="1" x14ac:dyDescent="0.55000000000000004">
      <c r="A63" s="30" t="s">
        <v>279</v>
      </c>
      <c r="B63" s="119" t="s">
        <v>280</v>
      </c>
      <c r="C63" s="66"/>
      <c r="D63" s="120" t="s">
        <v>281</v>
      </c>
      <c r="E63" s="121"/>
      <c r="F63" s="33" t="s">
        <v>278</v>
      </c>
      <c r="G63" s="6"/>
    </row>
    <row r="64" spans="1:7" ht="24" customHeight="1" x14ac:dyDescent="0.55000000000000004">
      <c r="A64" s="30" t="s">
        <v>282</v>
      </c>
      <c r="B64" s="119" t="s">
        <v>283</v>
      </c>
      <c r="C64" s="66"/>
      <c r="D64" s="120" t="s">
        <v>284</v>
      </c>
      <c r="E64" s="121"/>
      <c r="F64" s="33" t="s">
        <v>278</v>
      </c>
      <c r="G64" s="4"/>
    </row>
    <row r="65" spans="1:7" ht="24" customHeight="1" x14ac:dyDescent="0.55000000000000004">
      <c r="A65" s="30" t="s">
        <v>285</v>
      </c>
      <c r="B65" s="119" t="s">
        <v>286</v>
      </c>
      <c r="C65" s="66"/>
      <c r="D65" s="120" t="s">
        <v>287</v>
      </c>
      <c r="E65" s="121"/>
      <c r="F65" s="33" t="s">
        <v>278</v>
      </c>
      <c r="G65" s="6"/>
    </row>
    <row r="66" spans="1:7" ht="24" customHeight="1" x14ac:dyDescent="0.55000000000000004">
      <c r="A66" s="30" t="s">
        <v>288</v>
      </c>
      <c r="B66" s="128" t="s">
        <v>289</v>
      </c>
      <c r="C66" s="70"/>
      <c r="D66" s="111" t="s">
        <v>290</v>
      </c>
      <c r="E66" s="112"/>
      <c r="F66" s="33" t="s">
        <v>278</v>
      </c>
      <c r="G66" s="4"/>
    </row>
    <row r="67" spans="1:7" ht="24" customHeight="1" x14ac:dyDescent="0.55000000000000004">
      <c r="A67" s="30" t="s">
        <v>291</v>
      </c>
      <c r="B67" s="110" t="s">
        <v>292</v>
      </c>
      <c r="C67" s="64"/>
      <c r="D67" s="116" t="s">
        <v>293</v>
      </c>
      <c r="E67" s="64"/>
      <c r="F67" s="33" t="s">
        <v>278</v>
      </c>
      <c r="G67" s="6"/>
    </row>
    <row r="68" spans="1:7" ht="24" customHeight="1" x14ac:dyDescent="0.55000000000000004">
      <c r="A68" s="30" t="s">
        <v>294</v>
      </c>
      <c r="B68" s="119" t="s">
        <v>295</v>
      </c>
      <c r="C68" s="66"/>
      <c r="D68" s="120" t="s">
        <v>296</v>
      </c>
      <c r="E68" s="121"/>
      <c r="F68" s="33" t="s">
        <v>278</v>
      </c>
      <c r="G68" s="4"/>
    </row>
    <row r="69" spans="1:7" ht="24" customHeight="1" x14ac:dyDescent="0.55000000000000004">
      <c r="A69" s="30" t="s">
        <v>297</v>
      </c>
      <c r="B69" s="110" t="s">
        <v>298</v>
      </c>
      <c r="C69" s="64"/>
      <c r="D69" s="116" t="s">
        <v>299</v>
      </c>
      <c r="E69" s="64"/>
      <c r="F69" s="33" t="s">
        <v>278</v>
      </c>
      <c r="G69" s="6"/>
    </row>
    <row r="70" spans="1:7" ht="24" customHeight="1" x14ac:dyDescent="0.55000000000000004">
      <c r="A70" s="30" t="s">
        <v>300</v>
      </c>
      <c r="B70" s="128" t="s">
        <v>301</v>
      </c>
      <c r="C70" s="70"/>
      <c r="D70" s="111" t="s">
        <v>302</v>
      </c>
      <c r="E70" s="112"/>
      <c r="F70" s="33" t="s">
        <v>278</v>
      </c>
      <c r="G70" s="4"/>
    </row>
    <row r="71" spans="1:7" ht="24" customHeight="1" x14ac:dyDescent="0.55000000000000004">
      <c r="A71" s="30" t="s">
        <v>303</v>
      </c>
      <c r="B71" s="110" t="s">
        <v>304</v>
      </c>
      <c r="C71" s="64"/>
      <c r="D71" s="116" t="s">
        <v>305</v>
      </c>
      <c r="E71" s="64"/>
      <c r="F71" s="33" t="s">
        <v>278</v>
      </c>
      <c r="G71" s="6"/>
    </row>
    <row r="72" spans="1:7" ht="24" customHeight="1" x14ac:dyDescent="0.55000000000000004">
      <c r="A72" s="30" t="s">
        <v>306</v>
      </c>
      <c r="B72" s="128" t="s">
        <v>307</v>
      </c>
      <c r="C72" s="70"/>
      <c r="D72" s="111" t="s">
        <v>308</v>
      </c>
      <c r="E72" s="112"/>
      <c r="F72" s="33" t="s">
        <v>278</v>
      </c>
      <c r="G72" s="4"/>
    </row>
    <row r="73" spans="1:7" ht="24" customHeight="1" x14ac:dyDescent="0.55000000000000004">
      <c r="A73" s="30" t="s">
        <v>309</v>
      </c>
      <c r="B73" s="110" t="s">
        <v>310</v>
      </c>
      <c r="C73" s="64"/>
      <c r="D73" s="116" t="s">
        <v>311</v>
      </c>
      <c r="E73" s="64"/>
      <c r="F73" s="33" t="s">
        <v>278</v>
      </c>
      <c r="G73" s="6"/>
    </row>
    <row r="74" spans="1:7" ht="24" customHeight="1" x14ac:dyDescent="0.55000000000000004">
      <c r="A74" s="30" t="s">
        <v>312</v>
      </c>
      <c r="B74" s="128" t="s">
        <v>313</v>
      </c>
      <c r="C74" s="70"/>
      <c r="D74" s="111" t="s">
        <v>314</v>
      </c>
      <c r="E74" s="112"/>
      <c r="F74" s="33" t="s">
        <v>278</v>
      </c>
      <c r="G74" s="4"/>
    </row>
    <row r="75" spans="1:7" ht="5.05" customHeight="1" x14ac:dyDescent="0.55000000000000004">
      <c r="A75" s="2"/>
      <c r="B75" s="2"/>
      <c r="C75" s="2"/>
      <c r="D75" s="2"/>
      <c r="E75" s="2"/>
      <c r="F75" s="2"/>
      <c r="G75" s="2"/>
    </row>
    <row r="76" spans="1:7" ht="22" customHeight="1" x14ac:dyDescent="0.55000000000000004">
      <c r="A76" s="85" t="s">
        <v>315</v>
      </c>
      <c r="B76" s="78"/>
      <c r="C76" s="78"/>
      <c r="D76" s="78"/>
      <c r="E76" s="78"/>
      <c r="F76" s="78"/>
      <c r="G76" s="78"/>
    </row>
    <row r="77" spans="1:7" ht="18" customHeight="1" x14ac:dyDescent="0.55000000000000004">
      <c r="A77" s="3"/>
      <c r="B77" s="3" t="s">
        <v>316</v>
      </c>
      <c r="C77" s="3"/>
      <c r="D77" s="3" t="s">
        <v>317</v>
      </c>
      <c r="E77" s="3"/>
      <c r="F77" s="3" t="s">
        <v>52</v>
      </c>
      <c r="G77" s="3"/>
    </row>
    <row r="78" spans="1:7" ht="24" customHeight="1" x14ac:dyDescent="0.55000000000000004">
      <c r="A78" s="132" t="s">
        <v>318</v>
      </c>
      <c r="B78" s="61"/>
      <c r="C78" s="15">
        <f>'VERİ GİRİŞİ'!C66</f>
        <v>0</v>
      </c>
      <c r="D78" s="125" t="s">
        <v>319</v>
      </c>
      <c r="E78" s="61"/>
      <c r="F78" s="61"/>
      <c r="G78" s="61"/>
    </row>
    <row r="79" spans="1:7" ht="24" customHeight="1" x14ac:dyDescent="0.55000000000000004">
      <c r="A79" s="82" t="s">
        <v>320</v>
      </c>
      <c r="B79" s="70"/>
      <c r="C79" s="36" t="s">
        <v>321</v>
      </c>
      <c r="D79" s="118" t="s">
        <v>322</v>
      </c>
      <c r="E79" s="70"/>
      <c r="F79" s="70"/>
      <c r="G79" s="70"/>
    </row>
    <row r="80" spans="1:7" ht="24" customHeight="1" x14ac:dyDescent="0.55000000000000004">
      <c r="A80" s="82" t="s">
        <v>323</v>
      </c>
      <c r="B80" s="70"/>
      <c r="C80" s="36" t="s">
        <v>324</v>
      </c>
      <c r="D80" s="118" t="s">
        <v>325</v>
      </c>
      <c r="E80" s="70"/>
      <c r="F80" s="70"/>
      <c r="G80" s="70"/>
    </row>
    <row r="81" spans="1:7" ht="24" customHeight="1" x14ac:dyDescent="0.55000000000000004">
      <c r="A81" s="82" t="s">
        <v>326</v>
      </c>
      <c r="B81" s="70"/>
      <c r="C81" s="15">
        <f>'VERİ GİRİŞİ'!C72</f>
        <v>0</v>
      </c>
      <c r="D81" s="118" t="s">
        <v>327</v>
      </c>
      <c r="E81" s="70"/>
      <c r="F81" s="70"/>
      <c r="G81" s="70"/>
    </row>
  </sheetData>
  <mergeCells count="125">
    <mergeCell ref="A81:B81"/>
    <mergeCell ref="E5:G5"/>
    <mergeCell ref="C37:D37"/>
    <mergeCell ref="A44:B44"/>
    <mergeCell ref="D43:G43"/>
    <mergeCell ref="A76:G76"/>
    <mergeCell ref="A33:G33"/>
    <mergeCell ref="E38:G38"/>
    <mergeCell ref="D80:G80"/>
    <mergeCell ref="E30:F30"/>
    <mergeCell ref="A47:B47"/>
    <mergeCell ref="A9:C9"/>
    <mergeCell ref="A41:G41"/>
    <mergeCell ref="F58:G58"/>
    <mergeCell ref="B65:C65"/>
    <mergeCell ref="B74:C74"/>
    <mergeCell ref="A20:B20"/>
    <mergeCell ref="B68:C68"/>
    <mergeCell ref="D74:E74"/>
    <mergeCell ref="A11:C11"/>
    <mergeCell ref="A29:B29"/>
    <mergeCell ref="D68:E68"/>
    <mergeCell ref="A80:B80"/>
    <mergeCell ref="A60:G60"/>
    <mergeCell ref="D81:G81"/>
    <mergeCell ref="A21:B21"/>
    <mergeCell ref="C21:D21"/>
    <mergeCell ref="E37:G37"/>
    <mergeCell ref="E12:G12"/>
    <mergeCell ref="A16:G16"/>
    <mergeCell ref="D49:G49"/>
    <mergeCell ref="A23:B23"/>
    <mergeCell ref="C23:D23"/>
    <mergeCell ref="C38:D38"/>
    <mergeCell ref="E14:G14"/>
    <mergeCell ref="E21:F21"/>
    <mergeCell ref="A43:B43"/>
    <mergeCell ref="D67:E67"/>
    <mergeCell ref="D69:E69"/>
    <mergeCell ref="A24:B24"/>
    <mergeCell ref="B62:C62"/>
    <mergeCell ref="C24:D24"/>
    <mergeCell ref="E24:F24"/>
    <mergeCell ref="C26:D26"/>
    <mergeCell ref="C35:D35"/>
    <mergeCell ref="B70:C70"/>
    <mergeCell ref="A1:G1"/>
    <mergeCell ref="E26:F26"/>
    <mergeCell ref="E25:F25"/>
    <mergeCell ref="D47:G47"/>
    <mergeCell ref="E8:G8"/>
    <mergeCell ref="A7:C7"/>
    <mergeCell ref="A32:G32"/>
    <mergeCell ref="E10:G10"/>
    <mergeCell ref="B72:C72"/>
    <mergeCell ref="D63:E63"/>
    <mergeCell ref="A49:B49"/>
    <mergeCell ref="A4:G4"/>
    <mergeCell ref="E9:G9"/>
    <mergeCell ref="B71:C71"/>
    <mergeCell ref="D65:E65"/>
    <mergeCell ref="C20:D20"/>
    <mergeCell ref="E20:F20"/>
    <mergeCell ref="C29:D29"/>
    <mergeCell ref="E36:G36"/>
    <mergeCell ref="E11:G11"/>
    <mergeCell ref="E29:F29"/>
    <mergeCell ref="A40:G40"/>
    <mergeCell ref="C22:D22"/>
    <mergeCell ref="A2:G2"/>
    <mergeCell ref="A79:B79"/>
    <mergeCell ref="E6:G6"/>
    <mergeCell ref="A5:C5"/>
    <mergeCell ref="A14:C14"/>
    <mergeCell ref="D44:G44"/>
    <mergeCell ref="A46:B46"/>
    <mergeCell ref="D66:E66"/>
    <mergeCell ref="A26:B26"/>
    <mergeCell ref="A13:C13"/>
    <mergeCell ref="A78:B78"/>
    <mergeCell ref="D79:G79"/>
    <mergeCell ref="A25:B25"/>
    <mergeCell ref="C25:D25"/>
    <mergeCell ref="A8:C8"/>
    <mergeCell ref="E19:F19"/>
    <mergeCell ref="E28:F28"/>
    <mergeCell ref="A51:G51"/>
    <mergeCell ref="D46:G46"/>
    <mergeCell ref="B73:C73"/>
    <mergeCell ref="A10:C10"/>
    <mergeCell ref="D73:E73"/>
    <mergeCell ref="A6:C6"/>
    <mergeCell ref="C19:D19"/>
    <mergeCell ref="A28:B28"/>
    <mergeCell ref="C28:D28"/>
    <mergeCell ref="E35:G35"/>
    <mergeCell ref="E22:F22"/>
    <mergeCell ref="D78:G78"/>
    <mergeCell ref="B63:C63"/>
    <mergeCell ref="A48:B48"/>
    <mergeCell ref="A30:B30"/>
    <mergeCell ref="C30:D30"/>
    <mergeCell ref="A45:B45"/>
    <mergeCell ref="B66:C66"/>
    <mergeCell ref="A12:C12"/>
    <mergeCell ref="D72:E72"/>
    <mergeCell ref="C27:D27"/>
    <mergeCell ref="E27:F27"/>
    <mergeCell ref="C36:D36"/>
    <mergeCell ref="D62:E62"/>
    <mergeCell ref="D71:E71"/>
    <mergeCell ref="A22:B22"/>
    <mergeCell ref="D48:G48"/>
    <mergeCell ref="B64:C64"/>
    <mergeCell ref="D64:E64"/>
    <mergeCell ref="E13:G13"/>
    <mergeCell ref="A17:G17"/>
    <mergeCell ref="E23:F23"/>
    <mergeCell ref="B67:C67"/>
    <mergeCell ref="D70:E70"/>
    <mergeCell ref="A27:B27"/>
    <mergeCell ref="E7:G7"/>
    <mergeCell ref="B69:C69"/>
    <mergeCell ref="D45:G45"/>
    <mergeCell ref="A19:B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42" t="s">
        <v>328</v>
      </c>
      <c r="B1" s="78"/>
      <c r="C1" s="78"/>
      <c r="D1" s="78"/>
      <c r="E1" s="78"/>
      <c r="F1" s="78"/>
      <c r="G1" s="78"/>
    </row>
    <row r="2" spans="1:7" ht="22" customHeight="1" x14ac:dyDescent="0.55000000000000004">
      <c r="A2" s="100" t="s">
        <v>329</v>
      </c>
      <c r="B2" s="101"/>
      <c r="C2" s="101"/>
      <c r="D2" s="101"/>
      <c r="E2" s="101"/>
      <c r="F2" s="101"/>
      <c r="G2" s="101"/>
    </row>
    <row r="3" spans="1:7" ht="24" customHeight="1" x14ac:dyDescent="0.55000000000000004">
      <c r="A3" s="65" t="s">
        <v>330</v>
      </c>
      <c r="B3" s="66"/>
      <c r="C3" s="66"/>
      <c r="D3" s="66"/>
      <c r="E3" s="66"/>
      <c r="F3" s="66"/>
      <c r="G3" s="66"/>
    </row>
    <row r="4" spans="1:7" ht="5.05" customHeight="1" x14ac:dyDescent="0.55000000000000004">
      <c r="A4" s="2"/>
      <c r="B4" s="2"/>
      <c r="C4" s="2"/>
      <c r="D4" s="2"/>
      <c r="E4" s="2"/>
      <c r="F4" s="2"/>
      <c r="G4" s="2"/>
    </row>
    <row r="5" spans="1:7" ht="26.05" customHeight="1" x14ac:dyDescent="0.55000000000000004">
      <c r="A5" s="150" t="s">
        <v>331</v>
      </c>
      <c r="B5" s="151"/>
      <c r="C5" s="151"/>
      <c r="D5" s="151"/>
      <c r="E5" s="151"/>
      <c r="F5" s="151"/>
      <c r="G5" s="151"/>
    </row>
    <row r="6" spans="1:7" ht="20.05" customHeight="1" x14ac:dyDescent="0.55000000000000004">
      <c r="A6" s="143" t="s">
        <v>332</v>
      </c>
      <c r="B6" s="144"/>
      <c r="C6" s="144"/>
      <c r="D6" s="144"/>
      <c r="E6" s="144"/>
      <c r="F6" s="144"/>
      <c r="G6" s="144"/>
    </row>
    <row r="7" spans="1:7" ht="18" customHeight="1" x14ac:dyDescent="0.55000000000000004">
      <c r="A7" s="3"/>
      <c r="B7" s="3" t="s">
        <v>333</v>
      </c>
      <c r="C7" s="3" t="s">
        <v>334</v>
      </c>
      <c r="D7" s="3" t="s">
        <v>335</v>
      </c>
      <c r="E7" s="3" t="s">
        <v>336</v>
      </c>
      <c r="F7" s="3" t="s">
        <v>337</v>
      </c>
      <c r="G7" s="3" t="s">
        <v>338</v>
      </c>
    </row>
    <row r="8" spans="1:7" ht="28" customHeight="1" x14ac:dyDescent="0.55000000000000004">
      <c r="A8" s="20" t="s">
        <v>339</v>
      </c>
      <c r="B8" s="20" t="s">
        <v>340</v>
      </c>
      <c r="C8" s="20" t="s">
        <v>341</v>
      </c>
      <c r="D8" s="20" t="s">
        <v>342</v>
      </c>
      <c r="E8" s="20" t="s">
        <v>343</v>
      </c>
      <c r="F8" s="20" t="s">
        <v>344</v>
      </c>
      <c r="G8" s="20" t="s">
        <v>345</v>
      </c>
    </row>
    <row r="9" spans="1:7" ht="28" customHeight="1" x14ac:dyDescent="0.55000000000000004">
      <c r="A9" s="19" t="s">
        <v>346</v>
      </c>
      <c r="B9" s="19" t="s">
        <v>340</v>
      </c>
      <c r="C9" s="19" t="s">
        <v>347</v>
      </c>
      <c r="D9" s="19" t="s">
        <v>348</v>
      </c>
      <c r="E9" s="19" t="s">
        <v>344</v>
      </c>
      <c r="F9" s="19" t="s">
        <v>349</v>
      </c>
      <c r="G9" s="19" t="s">
        <v>350</v>
      </c>
    </row>
    <row r="10" spans="1:7" ht="28" customHeight="1" x14ac:dyDescent="0.55000000000000004">
      <c r="A10" s="20" t="s">
        <v>346</v>
      </c>
      <c r="B10" s="20" t="s">
        <v>340</v>
      </c>
      <c r="C10" s="20" t="s">
        <v>351</v>
      </c>
      <c r="D10" s="20" t="s">
        <v>352</v>
      </c>
      <c r="E10" s="20" t="s">
        <v>344</v>
      </c>
      <c r="F10" s="20" t="s">
        <v>353</v>
      </c>
      <c r="G10" s="20" t="s">
        <v>354</v>
      </c>
    </row>
    <row r="11" spans="1:7" ht="28" customHeight="1" x14ac:dyDescent="0.55000000000000004">
      <c r="A11" s="19" t="s">
        <v>346</v>
      </c>
      <c r="B11" s="19" t="s">
        <v>340</v>
      </c>
      <c r="C11" s="19" t="s">
        <v>355</v>
      </c>
      <c r="D11" s="19" t="s">
        <v>356</v>
      </c>
      <c r="E11" s="19" t="s">
        <v>344</v>
      </c>
      <c r="F11" s="19" t="s">
        <v>357</v>
      </c>
      <c r="G11" s="19" t="s">
        <v>358</v>
      </c>
    </row>
    <row r="12" spans="1:7" ht="36" customHeight="1" x14ac:dyDescent="0.55000000000000004">
      <c r="A12" s="125" t="s">
        <v>359</v>
      </c>
      <c r="B12" s="61"/>
      <c r="C12" s="61"/>
      <c r="D12" s="61"/>
      <c r="E12" s="61"/>
      <c r="F12" s="61"/>
      <c r="G12" s="61"/>
    </row>
    <row r="13" spans="1:7" ht="5.05" customHeight="1" x14ac:dyDescent="0.55000000000000004">
      <c r="A13" s="2"/>
      <c r="B13" s="2"/>
      <c r="C13" s="2"/>
      <c r="D13" s="2"/>
      <c r="E13" s="2"/>
      <c r="F13" s="2"/>
      <c r="G13" s="2"/>
    </row>
    <row r="14" spans="1:7" ht="26.05" customHeight="1" x14ac:dyDescent="0.55000000000000004">
      <c r="A14" s="135" t="s">
        <v>360</v>
      </c>
      <c r="B14" s="136"/>
      <c r="C14" s="136"/>
      <c r="D14" s="136"/>
      <c r="E14" s="136"/>
      <c r="F14" s="136"/>
      <c r="G14" s="136"/>
    </row>
    <row r="15" spans="1:7" ht="22" customHeight="1" x14ac:dyDescent="0.55000000000000004">
      <c r="A15" s="147" t="s">
        <v>361</v>
      </c>
      <c r="B15" s="146"/>
      <c r="C15" s="146"/>
      <c r="D15" s="146"/>
      <c r="E15" s="146"/>
      <c r="F15" s="146"/>
      <c r="G15" s="146"/>
    </row>
    <row r="16" spans="1:7" ht="18" customHeight="1" x14ac:dyDescent="0.55000000000000004">
      <c r="A16" s="3"/>
      <c r="B16" s="3" t="s">
        <v>333</v>
      </c>
      <c r="C16" s="3" t="s">
        <v>334</v>
      </c>
      <c r="D16" s="3" t="s">
        <v>335</v>
      </c>
      <c r="E16" s="3" t="s">
        <v>336</v>
      </c>
      <c r="F16" s="3" t="s">
        <v>337</v>
      </c>
      <c r="G16" s="3" t="s">
        <v>338</v>
      </c>
    </row>
    <row r="17" spans="1:7" ht="28" customHeight="1" x14ac:dyDescent="0.55000000000000004">
      <c r="A17" s="20" t="s">
        <v>339</v>
      </c>
      <c r="B17" s="20" t="s">
        <v>340</v>
      </c>
      <c r="C17" s="20" t="s">
        <v>362</v>
      </c>
      <c r="D17" s="20" t="s">
        <v>363</v>
      </c>
      <c r="E17" s="20" t="s">
        <v>343</v>
      </c>
      <c r="F17" s="20" t="s">
        <v>344</v>
      </c>
      <c r="G17" s="20" t="s">
        <v>364</v>
      </c>
    </row>
    <row r="18" spans="1:7" ht="28" customHeight="1" x14ac:dyDescent="0.55000000000000004">
      <c r="A18" s="19" t="s">
        <v>346</v>
      </c>
      <c r="B18" s="19" t="s">
        <v>340</v>
      </c>
      <c r="C18" s="19" t="s">
        <v>365</v>
      </c>
      <c r="D18" s="19" t="s">
        <v>366</v>
      </c>
      <c r="E18" s="19" t="s">
        <v>344</v>
      </c>
      <c r="F18" s="19" t="s">
        <v>349</v>
      </c>
      <c r="G18" s="19" t="s">
        <v>367</v>
      </c>
    </row>
    <row r="19" spans="1:7" ht="28" customHeight="1" x14ac:dyDescent="0.55000000000000004">
      <c r="A19" s="20" t="s">
        <v>346</v>
      </c>
      <c r="B19" s="20" t="s">
        <v>340</v>
      </c>
      <c r="C19" s="20" t="s">
        <v>368</v>
      </c>
      <c r="D19" s="20" t="s">
        <v>369</v>
      </c>
      <c r="E19" s="20" t="s">
        <v>344</v>
      </c>
      <c r="F19" s="20" t="s">
        <v>370</v>
      </c>
      <c r="G19" s="20" t="s">
        <v>371</v>
      </c>
    </row>
    <row r="20" spans="1:7" ht="28" customHeight="1" x14ac:dyDescent="0.55000000000000004">
      <c r="A20" s="19" t="s">
        <v>346</v>
      </c>
      <c r="B20" s="19" t="s">
        <v>340</v>
      </c>
      <c r="C20" s="19" t="s">
        <v>372</v>
      </c>
      <c r="D20" s="19" t="s">
        <v>373</v>
      </c>
      <c r="E20" s="19" t="s">
        <v>344</v>
      </c>
      <c r="F20" s="19" t="s">
        <v>357</v>
      </c>
      <c r="G20" s="19" t="s">
        <v>358</v>
      </c>
    </row>
    <row r="21" spans="1:7" ht="36" customHeight="1" x14ac:dyDescent="0.55000000000000004">
      <c r="A21" s="145" t="s">
        <v>374</v>
      </c>
      <c r="B21" s="146"/>
      <c r="C21" s="146"/>
      <c r="D21" s="146"/>
      <c r="E21" s="146"/>
      <c r="F21" s="146"/>
      <c r="G21" s="146"/>
    </row>
    <row r="22" spans="1:7" ht="5.05" customHeight="1" x14ac:dyDescent="0.55000000000000004">
      <c r="A22" s="2"/>
      <c r="B22" s="2"/>
      <c r="C22" s="2"/>
      <c r="D22" s="2"/>
      <c r="E22" s="2"/>
      <c r="F22" s="2"/>
      <c r="G22" s="2"/>
    </row>
    <row r="23" spans="1:7" ht="26.05" customHeight="1" x14ac:dyDescent="0.55000000000000004">
      <c r="A23" s="89" t="s">
        <v>375</v>
      </c>
      <c r="B23" s="90"/>
      <c r="C23" s="90"/>
      <c r="D23" s="90"/>
      <c r="E23" s="90"/>
      <c r="F23" s="90"/>
      <c r="G23" s="90"/>
    </row>
    <row r="24" spans="1:7" ht="18" customHeight="1" x14ac:dyDescent="0.55000000000000004">
      <c r="A24" s="3"/>
      <c r="B24" s="3" t="s">
        <v>333</v>
      </c>
      <c r="C24" s="3" t="s">
        <v>334</v>
      </c>
      <c r="D24" s="3" t="s">
        <v>335</v>
      </c>
      <c r="E24" s="3" t="s">
        <v>336</v>
      </c>
      <c r="F24" s="3" t="s">
        <v>337</v>
      </c>
      <c r="G24" s="3" t="s">
        <v>338</v>
      </c>
    </row>
    <row r="25" spans="1:7" ht="28" customHeight="1" x14ac:dyDescent="0.55000000000000004">
      <c r="A25" s="20" t="s">
        <v>339</v>
      </c>
      <c r="B25" s="20" t="s">
        <v>376</v>
      </c>
      <c r="C25" s="20" t="s">
        <v>377</v>
      </c>
      <c r="D25" s="20" t="s">
        <v>378</v>
      </c>
      <c r="E25" s="20" t="s">
        <v>379</v>
      </c>
      <c r="F25" s="20" t="s">
        <v>344</v>
      </c>
      <c r="G25" s="20" t="s">
        <v>380</v>
      </c>
    </row>
    <row r="26" spans="1:7" ht="28" customHeight="1" x14ac:dyDescent="0.55000000000000004">
      <c r="A26" s="19" t="s">
        <v>346</v>
      </c>
      <c r="B26" s="19" t="s">
        <v>376</v>
      </c>
      <c r="C26" s="19" t="s">
        <v>381</v>
      </c>
      <c r="D26" s="19" t="s">
        <v>382</v>
      </c>
      <c r="E26" s="19" t="s">
        <v>344</v>
      </c>
      <c r="F26" s="19" t="s">
        <v>379</v>
      </c>
      <c r="G26" s="19" t="s">
        <v>383</v>
      </c>
    </row>
    <row r="27" spans="1:7" ht="5.05" customHeight="1" x14ac:dyDescent="0.55000000000000004">
      <c r="A27" s="2"/>
      <c r="B27" s="2"/>
      <c r="C27" s="2"/>
      <c r="D27" s="2"/>
      <c r="E27" s="2"/>
      <c r="F27" s="2"/>
      <c r="G27" s="2"/>
    </row>
    <row r="28" spans="1:7" ht="26.05" customHeight="1" x14ac:dyDescent="0.55000000000000004">
      <c r="A28" s="89" t="s">
        <v>384</v>
      </c>
      <c r="B28" s="90"/>
      <c r="C28" s="90"/>
      <c r="D28" s="90"/>
      <c r="E28" s="90"/>
      <c r="F28" s="90"/>
      <c r="G28" s="90"/>
    </row>
    <row r="29" spans="1:7" ht="22" customHeight="1" x14ac:dyDescent="0.55000000000000004">
      <c r="A29" s="148" t="s">
        <v>385</v>
      </c>
      <c r="B29" s="109"/>
      <c r="C29" s="109"/>
      <c r="D29" s="109"/>
      <c r="E29" s="109"/>
      <c r="F29" s="109"/>
      <c r="G29" s="109"/>
    </row>
    <row r="30" spans="1:7" ht="18" customHeight="1" x14ac:dyDescent="0.55000000000000004">
      <c r="A30" s="3"/>
      <c r="B30" s="3" t="s">
        <v>333</v>
      </c>
      <c r="C30" s="3" t="s">
        <v>334</v>
      </c>
      <c r="D30" s="3" t="s">
        <v>335</v>
      </c>
      <c r="E30" s="3" t="s">
        <v>336</v>
      </c>
      <c r="F30" s="3" t="s">
        <v>337</v>
      </c>
      <c r="G30" s="3" t="s">
        <v>338</v>
      </c>
    </row>
    <row r="31" spans="1:7" ht="28" customHeight="1" x14ac:dyDescent="0.55000000000000004">
      <c r="A31" s="20" t="s">
        <v>339</v>
      </c>
      <c r="B31" s="20" t="s">
        <v>386</v>
      </c>
      <c r="C31" s="20" t="s">
        <v>381</v>
      </c>
      <c r="D31" s="20" t="s">
        <v>387</v>
      </c>
      <c r="E31" s="20" t="s">
        <v>388</v>
      </c>
      <c r="F31" s="20" t="s">
        <v>344</v>
      </c>
      <c r="G31" s="20" t="s">
        <v>389</v>
      </c>
    </row>
    <row r="32" spans="1:7" ht="24" customHeight="1" x14ac:dyDescent="0.55000000000000004">
      <c r="A32" s="19" t="s">
        <v>346</v>
      </c>
      <c r="B32" s="19" t="s">
        <v>386</v>
      </c>
      <c r="C32" s="19" t="s">
        <v>390</v>
      </c>
      <c r="D32" s="19" t="s">
        <v>391</v>
      </c>
      <c r="E32" s="19" t="s">
        <v>344</v>
      </c>
      <c r="F32" s="19" t="s">
        <v>388</v>
      </c>
      <c r="G32" s="37"/>
    </row>
    <row r="33" spans="1:7" ht="28" customHeight="1" x14ac:dyDescent="0.55000000000000004">
      <c r="A33" s="149" t="s">
        <v>392</v>
      </c>
      <c r="B33" s="109"/>
      <c r="C33" s="109"/>
      <c r="D33" s="109"/>
      <c r="E33" s="109"/>
      <c r="F33" s="109"/>
      <c r="G33" s="109"/>
    </row>
  </sheetData>
  <mergeCells count="13">
    <mergeCell ref="A29:G29"/>
    <mergeCell ref="A28:G28"/>
    <mergeCell ref="A33:G33"/>
    <mergeCell ref="A5:G5"/>
    <mergeCell ref="A23:G23"/>
    <mergeCell ref="A14:G14"/>
    <mergeCell ref="A1:G1"/>
    <mergeCell ref="A3:G3"/>
    <mergeCell ref="A6:G6"/>
    <mergeCell ref="A21:G21"/>
    <mergeCell ref="A12:G12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4" ht="36" customHeight="1" x14ac:dyDescent="0.55000000000000004">
      <c r="A1" s="152" t="s">
        <v>393</v>
      </c>
      <c r="B1" s="153"/>
      <c r="C1" s="153"/>
      <c r="D1" s="153"/>
    </row>
    <row r="2" spans="1:4" ht="20.05" customHeight="1" x14ac:dyDescent="0.55000000000000004">
      <c r="A2" s="100" t="s">
        <v>394</v>
      </c>
      <c r="B2" s="101"/>
      <c r="C2" s="101"/>
      <c r="D2" s="101"/>
    </row>
    <row r="3" spans="1:4" ht="5.05" customHeight="1" x14ac:dyDescent="0.55000000000000004">
      <c r="A3" s="2"/>
      <c r="B3" s="2"/>
      <c r="C3" s="2"/>
      <c r="D3" s="2"/>
    </row>
    <row r="4" spans="1:4" ht="26.05" customHeight="1" x14ac:dyDescent="0.55000000000000004">
      <c r="A4" s="130" t="s">
        <v>395</v>
      </c>
      <c r="B4" s="131"/>
      <c r="C4" s="131"/>
      <c r="D4" s="131"/>
    </row>
    <row r="5" spans="1:4" ht="18" customHeight="1" x14ac:dyDescent="0.55000000000000004">
      <c r="A5" s="3" t="s">
        <v>396</v>
      </c>
      <c r="B5" s="3" t="s">
        <v>397</v>
      </c>
      <c r="C5" s="3" t="s">
        <v>398</v>
      </c>
      <c r="D5" s="3" t="s">
        <v>399</v>
      </c>
    </row>
    <row r="6" spans="1:4" ht="60" customHeight="1" x14ac:dyDescent="0.55000000000000004">
      <c r="A6" s="30" t="s">
        <v>400</v>
      </c>
      <c r="B6" s="31" t="s">
        <v>401</v>
      </c>
      <c r="C6" s="32" t="s">
        <v>402</v>
      </c>
      <c r="D6" s="38" t="s">
        <v>403</v>
      </c>
    </row>
    <row r="7" spans="1:4" ht="60" customHeight="1" x14ac:dyDescent="0.55000000000000004">
      <c r="A7" s="30" t="s">
        <v>404</v>
      </c>
      <c r="B7" s="35" t="s">
        <v>405</v>
      </c>
      <c r="C7" s="34" t="s">
        <v>406</v>
      </c>
      <c r="D7" s="39" t="s">
        <v>407</v>
      </c>
    </row>
    <row r="8" spans="1:4" ht="60" customHeight="1" x14ac:dyDescent="0.55000000000000004">
      <c r="A8" s="30" t="s">
        <v>408</v>
      </c>
      <c r="B8" s="31" t="s">
        <v>409</v>
      </c>
      <c r="C8" s="32" t="s">
        <v>410</v>
      </c>
      <c r="D8" s="38" t="s">
        <v>411</v>
      </c>
    </row>
    <row r="9" spans="1:4" ht="60" customHeight="1" x14ac:dyDescent="0.55000000000000004">
      <c r="A9" s="30" t="s">
        <v>412</v>
      </c>
      <c r="B9" s="35" t="s">
        <v>413</v>
      </c>
      <c r="C9" s="34" t="s">
        <v>414</v>
      </c>
      <c r="D9" s="39" t="s">
        <v>415</v>
      </c>
    </row>
    <row r="10" spans="1:4" ht="5.05" customHeight="1" x14ac:dyDescent="0.55000000000000004">
      <c r="A10" s="2"/>
      <c r="B10" s="2"/>
      <c r="C10" s="2"/>
      <c r="D10" s="2"/>
    </row>
    <row r="11" spans="1:4" ht="26.05" customHeight="1" x14ac:dyDescent="0.55000000000000004">
      <c r="A11" s="156" t="s">
        <v>416</v>
      </c>
      <c r="B11" s="157"/>
      <c r="C11" s="157"/>
      <c r="D11" s="157"/>
    </row>
    <row r="12" spans="1:4" ht="18" customHeight="1" x14ac:dyDescent="0.55000000000000004">
      <c r="A12" s="3" t="s">
        <v>396</v>
      </c>
      <c r="B12" s="3" t="s">
        <v>397</v>
      </c>
      <c r="C12" s="3" t="s">
        <v>398</v>
      </c>
      <c r="D12" s="3" t="s">
        <v>399</v>
      </c>
    </row>
    <row r="13" spans="1:4" ht="60" customHeight="1" x14ac:dyDescent="0.55000000000000004">
      <c r="A13" s="30" t="s">
        <v>417</v>
      </c>
      <c r="B13" s="31" t="s">
        <v>418</v>
      </c>
      <c r="C13" s="32" t="s">
        <v>419</v>
      </c>
      <c r="D13" s="38" t="s">
        <v>420</v>
      </c>
    </row>
    <row r="14" spans="1:4" ht="5.05" customHeight="1" x14ac:dyDescent="0.55000000000000004">
      <c r="A14" s="2"/>
      <c r="B14" s="2"/>
      <c r="C14" s="2"/>
      <c r="D14" s="2"/>
    </row>
    <row r="15" spans="1:4" ht="40" customHeight="1" x14ac:dyDescent="0.55000000000000004">
      <c r="A15" s="154" t="s">
        <v>421</v>
      </c>
      <c r="B15" s="155"/>
      <c r="C15" s="155"/>
      <c r="D15" s="155"/>
    </row>
  </sheetData>
  <mergeCells count="5">
    <mergeCell ref="A1:D1"/>
    <mergeCell ref="A4:D4"/>
    <mergeCell ref="A15:D15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62" t="s">
        <v>422</v>
      </c>
      <c r="B1" s="153"/>
      <c r="C1" s="153"/>
      <c r="D1" s="153"/>
      <c r="E1" s="153"/>
      <c r="F1" s="153"/>
    </row>
    <row r="2" spans="1:6" ht="20.05" customHeight="1" x14ac:dyDescent="0.55000000000000004">
      <c r="A2" s="100" t="s">
        <v>423</v>
      </c>
      <c r="B2" s="101"/>
      <c r="C2" s="101"/>
      <c r="D2" s="101"/>
      <c r="E2" s="101"/>
      <c r="F2" s="101"/>
    </row>
    <row r="3" spans="1:6" ht="24" customHeight="1" x14ac:dyDescent="0.55000000000000004">
      <c r="A3" s="163" t="s">
        <v>424</v>
      </c>
      <c r="B3" s="164"/>
      <c r="C3" s="164"/>
      <c r="D3" s="164"/>
      <c r="E3" s="164"/>
      <c r="F3" s="164"/>
    </row>
    <row r="4" spans="1:6" ht="5.05" customHeight="1" x14ac:dyDescent="0.55000000000000004">
      <c r="A4" s="2"/>
      <c r="B4" s="2"/>
      <c r="C4" s="2"/>
      <c r="D4" s="2"/>
      <c r="E4" s="2"/>
      <c r="F4" s="2"/>
    </row>
    <row r="5" spans="1:6" ht="26.05" customHeight="1" x14ac:dyDescent="0.55000000000000004">
      <c r="A5" s="130" t="s">
        <v>425</v>
      </c>
      <c r="B5" s="131"/>
      <c r="C5" s="131"/>
      <c r="D5" s="131"/>
      <c r="E5" s="131"/>
      <c r="F5" s="131"/>
    </row>
    <row r="6" spans="1:6" ht="22" customHeight="1" x14ac:dyDescent="0.55000000000000004">
      <c r="A6" s="71" t="s">
        <v>426</v>
      </c>
      <c r="B6" s="66"/>
      <c r="C6" s="66"/>
      <c r="D6" s="66"/>
      <c r="E6" s="66"/>
      <c r="F6" s="66"/>
    </row>
    <row r="7" spans="1:6" ht="18" customHeight="1" x14ac:dyDescent="0.55000000000000004">
      <c r="A7" s="3"/>
      <c r="B7" s="3" t="s">
        <v>427</v>
      </c>
      <c r="C7" s="3" t="s">
        <v>428</v>
      </c>
      <c r="D7" s="3" t="s">
        <v>429</v>
      </c>
      <c r="E7" s="3" t="s">
        <v>430</v>
      </c>
      <c r="F7" s="3"/>
    </row>
    <row r="8" spans="1:6" ht="52" customHeight="1" x14ac:dyDescent="0.55000000000000004">
      <c r="A8" s="7"/>
      <c r="B8" s="40" t="s">
        <v>431</v>
      </c>
      <c r="C8" s="41" t="s">
        <v>432</v>
      </c>
      <c r="D8" s="42" t="s">
        <v>433</v>
      </c>
      <c r="E8" s="43" t="s">
        <v>434</v>
      </c>
      <c r="F8" s="7"/>
    </row>
    <row r="9" spans="1:6" ht="52" customHeight="1" x14ac:dyDescent="0.55000000000000004">
      <c r="A9" s="7"/>
      <c r="B9" s="40" t="s">
        <v>435</v>
      </c>
      <c r="C9" s="41" t="s">
        <v>436</v>
      </c>
      <c r="D9" s="42" t="s">
        <v>437</v>
      </c>
      <c r="E9" s="43" t="s">
        <v>438</v>
      </c>
      <c r="F9" s="7"/>
    </row>
    <row r="10" spans="1:6" ht="48" customHeight="1" x14ac:dyDescent="0.55000000000000004">
      <c r="A10" s="7"/>
      <c r="B10" s="40" t="s">
        <v>439</v>
      </c>
      <c r="C10" s="41" t="s">
        <v>440</v>
      </c>
      <c r="D10" s="42" t="s">
        <v>441</v>
      </c>
      <c r="E10" s="43" t="s">
        <v>442</v>
      </c>
      <c r="F10" s="7"/>
    </row>
    <row r="11" spans="1:6" ht="44.05" customHeight="1" x14ac:dyDescent="0.55000000000000004">
      <c r="A11" s="7"/>
      <c r="B11" s="40" t="s">
        <v>443</v>
      </c>
      <c r="C11" s="41" t="s">
        <v>444</v>
      </c>
      <c r="D11" s="42" t="s">
        <v>445</v>
      </c>
      <c r="E11" s="43" t="s">
        <v>446</v>
      </c>
      <c r="F11" s="7"/>
    </row>
    <row r="12" spans="1:6" ht="44.05" customHeight="1" x14ac:dyDescent="0.55000000000000004">
      <c r="A12" s="7"/>
      <c r="B12" s="40" t="s">
        <v>447</v>
      </c>
      <c r="C12" s="41" t="s">
        <v>448</v>
      </c>
      <c r="D12" s="42" t="s">
        <v>449</v>
      </c>
      <c r="E12" s="43" t="s">
        <v>450</v>
      </c>
      <c r="F12" s="7"/>
    </row>
    <row r="13" spans="1:6" ht="40" customHeight="1" x14ac:dyDescent="0.55000000000000004">
      <c r="A13" s="7"/>
      <c r="B13" s="40" t="s">
        <v>451</v>
      </c>
      <c r="C13" s="41" t="s">
        <v>452</v>
      </c>
      <c r="D13" s="42" t="s">
        <v>453</v>
      </c>
      <c r="E13" s="43" t="s">
        <v>454</v>
      </c>
      <c r="F13" s="7"/>
    </row>
    <row r="14" spans="1:6" ht="40" customHeight="1" x14ac:dyDescent="0.55000000000000004">
      <c r="A14" s="7"/>
      <c r="B14" s="40" t="s">
        <v>455</v>
      </c>
      <c r="C14" s="41" t="s">
        <v>456</v>
      </c>
      <c r="D14" s="42" t="s">
        <v>457</v>
      </c>
      <c r="E14" s="43" t="s">
        <v>458</v>
      </c>
      <c r="F14" s="7"/>
    </row>
    <row r="15" spans="1:6" ht="5.05" customHeight="1" x14ac:dyDescent="0.55000000000000004">
      <c r="A15" s="2"/>
      <c r="B15" s="2"/>
      <c r="C15" s="2"/>
      <c r="D15" s="2"/>
      <c r="E15" s="2"/>
      <c r="F15" s="2"/>
    </row>
    <row r="16" spans="1:6" ht="26.05" customHeight="1" x14ac:dyDescent="0.55000000000000004">
      <c r="A16" s="160" t="s">
        <v>459</v>
      </c>
      <c r="B16" s="161"/>
      <c r="C16" s="161"/>
      <c r="D16" s="161"/>
      <c r="E16" s="161"/>
      <c r="F16" s="161"/>
    </row>
    <row r="17" spans="1:6" ht="18" customHeight="1" x14ac:dyDescent="0.55000000000000004">
      <c r="A17" s="3"/>
      <c r="B17" s="3" t="s">
        <v>427</v>
      </c>
      <c r="C17" s="3" t="s">
        <v>428</v>
      </c>
      <c r="D17" s="3" t="s">
        <v>429</v>
      </c>
      <c r="E17" s="3" t="s">
        <v>430</v>
      </c>
      <c r="F17" s="3"/>
    </row>
    <row r="18" spans="1:6" ht="52" customHeight="1" x14ac:dyDescent="0.55000000000000004">
      <c r="A18" s="44"/>
      <c r="B18" s="45" t="s">
        <v>460</v>
      </c>
      <c r="C18" s="46" t="s">
        <v>461</v>
      </c>
      <c r="D18" s="47" t="s">
        <v>462</v>
      </c>
      <c r="E18" s="48" t="s">
        <v>463</v>
      </c>
      <c r="F18" s="44"/>
    </row>
    <row r="19" spans="1:6" ht="44.05" customHeight="1" x14ac:dyDescent="0.55000000000000004">
      <c r="A19" s="44"/>
      <c r="B19" s="45" t="s">
        <v>464</v>
      </c>
      <c r="C19" s="46" t="s">
        <v>465</v>
      </c>
      <c r="D19" s="47" t="s">
        <v>466</v>
      </c>
      <c r="E19" s="48" t="s">
        <v>467</v>
      </c>
      <c r="F19" s="44"/>
    </row>
    <row r="20" spans="1:6" ht="40" customHeight="1" x14ac:dyDescent="0.55000000000000004">
      <c r="A20" s="44"/>
      <c r="B20" s="45" t="s">
        <v>468</v>
      </c>
      <c r="C20" s="46" t="s">
        <v>469</v>
      </c>
      <c r="D20" s="47" t="s">
        <v>470</v>
      </c>
      <c r="E20" s="48" t="s">
        <v>471</v>
      </c>
      <c r="F20" s="44"/>
    </row>
    <row r="21" spans="1:6" ht="40" customHeight="1" x14ac:dyDescent="0.55000000000000004">
      <c r="A21" s="44"/>
      <c r="B21" s="45" t="s">
        <v>472</v>
      </c>
      <c r="C21" s="46" t="s">
        <v>473</v>
      </c>
      <c r="D21" s="47" t="s">
        <v>474</v>
      </c>
      <c r="E21" s="48" t="s">
        <v>475</v>
      </c>
      <c r="F21" s="44"/>
    </row>
    <row r="22" spans="1:6" ht="44.05" customHeight="1" x14ac:dyDescent="0.55000000000000004">
      <c r="A22" s="44"/>
      <c r="B22" s="45" t="s">
        <v>476</v>
      </c>
      <c r="C22" s="46" t="s">
        <v>477</v>
      </c>
      <c r="D22" s="47" t="s">
        <v>478</v>
      </c>
      <c r="E22" s="48" t="s">
        <v>479</v>
      </c>
      <c r="F22" s="44"/>
    </row>
    <row r="23" spans="1:6" ht="5.05" customHeight="1" x14ac:dyDescent="0.55000000000000004">
      <c r="A23" s="2"/>
      <c r="B23" s="2"/>
      <c r="C23" s="2"/>
      <c r="D23" s="2"/>
      <c r="E23" s="2"/>
      <c r="F23" s="2"/>
    </row>
    <row r="24" spans="1:6" ht="26.05" customHeight="1" x14ac:dyDescent="0.55000000000000004">
      <c r="A24" s="158" t="s">
        <v>480</v>
      </c>
      <c r="B24" s="159"/>
      <c r="C24" s="159"/>
      <c r="D24" s="159"/>
      <c r="E24" s="159"/>
      <c r="F24" s="159"/>
    </row>
    <row r="25" spans="1:6" ht="18" customHeight="1" x14ac:dyDescent="0.55000000000000004">
      <c r="A25" s="49"/>
      <c r="B25" s="49" t="s">
        <v>427</v>
      </c>
      <c r="C25" s="49" t="s">
        <v>5</v>
      </c>
      <c r="D25" s="49" t="s">
        <v>481</v>
      </c>
      <c r="E25" s="49" t="s">
        <v>274</v>
      </c>
      <c r="F25" s="49"/>
    </row>
    <row r="26" spans="1:6" ht="48" customHeight="1" x14ac:dyDescent="0.55000000000000004">
      <c r="A26" s="50"/>
      <c r="B26" s="51" t="s">
        <v>482</v>
      </c>
      <c r="C26" s="52" t="s">
        <v>276</v>
      </c>
      <c r="D26" s="53" t="s">
        <v>483</v>
      </c>
      <c r="E26" s="54" t="s">
        <v>484</v>
      </c>
      <c r="F26" s="50"/>
    </row>
    <row r="27" spans="1:6" ht="48" customHeight="1" x14ac:dyDescent="0.55000000000000004">
      <c r="A27" s="55"/>
      <c r="B27" s="56" t="s">
        <v>485</v>
      </c>
      <c r="C27" s="57" t="s">
        <v>486</v>
      </c>
      <c r="D27" s="58" t="s">
        <v>487</v>
      </c>
      <c r="E27" s="59" t="s">
        <v>484</v>
      </c>
      <c r="F27" s="55"/>
    </row>
    <row r="28" spans="1:6" ht="48" customHeight="1" x14ac:dyDescent="0.55000000000000004">
      <c r="A28" s="55"/>
      <c r="B28" s="56" t="s">
        <v>488</v>
      </c>
      <c r="C28" s="57" t="s">
        <v>489</v>
      </c>
      <c r="D28" s="58" t="s">
        <v>490</v>
      </c>
      <c r="E28" s="59" t="s">
        <v>484</v>
      </c>
      <c r="F28" s="55"/>
    </row>
    <row r="29" spans="1:6" ht="48" customHeight="1" x14ac:dyDescent="0.55000000000000004">
      <c r="A29" s="55"/>
      <c r="B29" s="56" t="s">
        <v>491</v>
      </c>
      <c r="C29" s="57" t="s">
        <v>492</v>
      </c>
      <c r="D29" s="58" t="s">
        <v>493</v>
      </c>
      <c r="E29" s="59" t="s">
        <v>484</v>
      </c>
      <c r="F29" s="55"/>
    </row>
    <row r="30" spans="1:6" ht="48" customHeight="1" x14ac:dyDescent="0.55000000000000004">
      <c r="A30" s="50"/>
      <c r="B30" s="51" t="s">
        <v>494</v>
      </c>
      <c r="C30" s="52" t="s">
        <v>495</v>
      </c>
      <c r="D30" s="53" t="s">
        <v>496</v>
      </c>
      <c r="E30" s="54" t="s">
        <v>484</v>
      </c>
      <c r="F30" s="50"/>
    </row>
    <row r="31" spans="1:6" ht="48" customHeight="1" x14ac:dyDescent="0.55000000000000004">
      <c r="A31" s="50"/>
      <c r="B31" s="51" t="s">
        <v>497</v>
      </c>
      <c r="C31" s="52" t="s">
        <v>498</v>
      </c>
      <c r="D31" s="53" t="s">
        <v>499</v>
      </c>
      <c r="E31" s="54" t="s">
        <v>484</v>
      </c>
      <c r="F31" s="50"/>
    </row>
    <row r="32" spans="1:6" ht="48" customHeight="1" x14ac:dyDescent="0.55000000000000004">
      <c r="A32" s="55"/>
      <c r="B32" s="56" t="s">
        <v>500</v>
      </c>
      <c r="C32" s="57" t="s">
        <v>501</v>
      </c>
      <c r="D32" s="58" t="s">
        <v>502</v>
      </c>
      <c r="E32" s="59" t="s">
        <v>484</v>
      </c>
      <c r="F32" s="55"/>
    </row>
    <row r="33" spans="1:6" ht="48" customHeight="1" x14ac:dyDescent="0.55000000000000004">
      <c r="A33" s="50"/>
      <c r="B33" s="51" t="s">
        <v>503</v>
      </c>
      <c r="C33" s="52" t="s">
        <v>504</v>
      </c>
      <c r="D33" s="53" t="s">
        <v>505</v>
      </c>
      <c r="E33" s="54" t="s">
        <v>484</v>
      </c>
      <c r="F33" s="50"/>
    </row>
    <row r="34" spans="1:6" ht="48" customHeight="1" x14ac:dyDescent="0.55000000000000004">
      <c r="A34" s="50"/>
      <c r="B34" s="51" t="s">
        <v>506</v>
      </c>
      <c r="C34" s="52" t="s">
        <v>307</v>
      </c>
      <c r="D34" s="53" t="s">
        <v>507</v>
      </c>
      <c r="E34" s="54" t="s">
        <v>484</v>
      </c>
      <c r="F34" s="50"/>
    </row>
    <row r="35" spans="1:6" ht="48" customHeight="1" x14ac:dyDescent="0.55000000000000004">
      <c r="A35" s="50"/>
      <c r="B35" s="51" t="s">
        <v>508</v>
      </c>
      <c r="C35" s="52" t="s">
        <v>310</v>
      </c>
      <c r="D35" s="53" t="s">
        <v>311</v>
      </c>
      <c r="E35" s="54" t="s">
        <v>484</v>
      </c>
      <c r="F35" s="50"/>
    </row>
    <row r="36" spans="1:6" ht="5.05" customHeight="1" x14ac:dyDescent="0.55000000000000004">
      <c r="A36" s="2"/>
      <c r="B36" s="2"/>
      <c r="C36" s="2"/>
      <c r="D36" s="2"/>
      <c r="E36" s="2"/>
      <c r="F36" s="2"/>
    </row>
    <row r="37" spans="1:6" ht="56.05" customHeight="1" x14ac:dyDescent="0.55000000000000004">
      <c r="A37" s="154" t="s">
        <v>509</v>
      </c>
      <c r="B37" s="155"/>
      <c r="C37" s="155"/>
      <c r="D37" s="155"/>
      <c r="E37" s="155"/>
      <c r="F37" s="155"/>
    </row>
  </sheetData>
  <mergeCells count="8">
    <mergeCell ref="A37:F37"/>
    <mergeCell ref="A6:F6"/>
    <mergeCell ref="A3:F3"/>
    <mergeCell ref="A24:F24"/>
    <mergeCell ref="A2:F2"/>
    <mergeCell ref="A16:F16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2026-04-04T17:27:01Z</dcterms:created>
  <dcterms:modified xsi:type="dcterms:W3CDTF">2026-04-04T17:33:39Z</dcterms:modified>
</cp:coreProperties>
</file>