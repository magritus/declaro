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FC0068D5-844F-439F-99CF-739510B7D7A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D9" i="2"/>
  <c r="E64" i="1"/>
  <c r="D8" i="2"/>
  <c r="D7" i="2"/>
  <c r="D6" i="2"/>
  <c r="C51" i="1"/>
  <c r="E46" i="1"/>
  <c r="G45" i="1"/>
  <c r="G44" i="1"/>
  <c r="G43" i="1"/>
  <c r="G42" i="1"/>
  <c r="G41" i="1"/>
  <c r="G40" i="1"/>
  <c r="G39" i="1"/>
  <c r="G46" i="1" s="1"/>
  <c r="G38" i="1"/>
  <c r="E15" i="1"/>
  <c r="D5" i="2" s="1"/>
  <c r="C53" i="1" l="1"/>
  <c r="C52" i="1"/>
  <c r="C54" i="1" s="1"/>
</calcChain>
</file>

<file path=xl/sharedStrings.xml><?xml version="1.0" encoding="utf-8"?>
<sst xmlns="http://schemas.openxmlformats.org/spreadsheetml/2006/main" count="472" uniqueCount="356">
  <si>
    <t>376 – KVK GEÇİCİ MADDE 14/2 | DÖNEM SONU DEĞERLEMESİNDEN DOĞAN KÂR PAYI VE FAİZ İSTİSNASI | PARAGRAF 2 — BORÇ/PASİF TARAFI | YMM TASDİK</t>
  </si>
  <si>
    <t>KVK Geçici Md.14/2 (Paragraf 2) | Borç Dönüşümü Sonrası TL Araçlarda Dönem Sonu Tahakkuk | Beyanname 376 | ★ YİAKV MATRAHINDA DÜŞÜLEMEZ | GİB KV Beyan Rehberi Mart 2026 (No:606)</t>
  </si>
  <si>
    <t xml:space="preserve">  372 – 376 PARAGRAF KARŞILAŞTIRMASI:
  372 (Md.14/1-b): Paragraf 1 — Aktif tarafı (mevduat/altın → TL KKM). Dönem sonu değerlemesinden doğan kâr payı ve faiz → 181 Dr / 642 Kr.
  376 (Md.14/2): Paragraf 2 — Pasif tarafı (yabancı para borç → TL dönüşümü). Dönüşüm sonrası TL araçtan dönem sonu değerlemesiyle tahakkuk eden kâr payı ve faiz → 181 Dr / 642 Kr → BU DOSYA.
  Her ikisi de aynı tahakkuk mekanizması (VUK Md.280/281) ancak farklı yasal dayanak ve farklı kapsam.</t>
  </si>
  <si>
    <t xml:space="preserve">  ★★ YİAKV (KVK Md.32/C) KRİTİK: 376 kapsamındaki dönem sonu kâr payı/faiz istisnası YİAKV matrahından DÜŞÜLEMEZ. 370–376 tamamı E.7 DÜŞÜLEMEZ listesindedir.</t>
  </si>
  <si>
    <t>A0. KAPSAM VE NİTELİK UYGUNLUK ÖN KONTROLÜ</t>
  </si>
  <si>
    <t>Kontrol Sorusu</t>
  </si>
  <si>
    <t>Yanıt</t>
  </si>
  <si>
    <t>YMM Tasdik Notu</t>
  </si>
  <si>
    <t>A0.1  KVK Geçici Md.14/2 kapsamında yabancı para borç dönüşümü (375) gerçekleştirildi mi?</t>
  </si>
  <si>
    <t>EVET</t>
  </si>
  <si>
    <t>376, 375 ile bağlantılıdır. 375 kapsamı borç dönüşümü yapılmadan 376 istisnası oluşamaz. 375 çalışma kâğıdıyla çapraz kontrol zorunludur.</t>
  </si>
  <si>
    <t>A0.2  ★ Borç dönüşümü sonrası TL araç üzerinde dönem sonu faiz/kâr payı tahakkuku yapıldı mı?</t>
  </si>
  <si>
    <t>VUK Md.280/281 gereği dönem sonu (31 Aralık) itibariyle tahakkuk eden faiz/kâr payı kayıtlara alınmalıdır. Bu tahakkuk tutarı 376 kapsamında istisnadır.</t>
  </si>
  <si>
    <t>A0.3  Tahakkuk muhasebe kaydı yapıldı mı? (181 Gelir Tahakkukları / 642 Faiz Gelirleri)</t>
  </si>
  <si>
    <t>Dönem sonu: Dr 181 Gelir Tahakkukları / Kr 642 Faiz Gelirleri (veya 644). Kayıt olmadan 376 istisnasının muhasebe dayanağı bulunmaz.</t>
  </si>
  <si>
    <t>A0.4  ★ 376 (dönem sonu tahakkuk) ile 375 (kur farkı kazancı) doğru ayrıştırıldı mı?</t>
  </si>
  <si>
    <t>375: Paragraf 2 kur farkı kazancı (dönüşüm anında). 376: Paragraf 2 dönem sonu faiz/kâr payı tahakkuku (ayrı beyanname satırı).</t>
  </si>
  <si>
    <t>A0.5  372 (Paragraf 1) ile 376 (Paragraf 2) mükerrerlik analizi yapıldı mı?</t>
  </si>
  <si>
    <t>Aynı hesap/araç için hem 372 hem 376 uygulanamaz. Paragraf 1 (mevduat/altın → KKM) → 372. Paragraf 2 (borç dönüşümü sonrası TL araç) → 376. Ayrı enstrümanlar.</t>
  </si>
  <si>
    <t>A0.6  ★ 376 tutarının YİAKV matrahından DÜŞÜLMEDIĞI teyit edildi mi?</t>
  </si>
  <si>
    <t>370–376 tamamı YİAKV matrahından DÜŞÜLEMEZ. YİAKV E.7'de yedi satır da kontrol edilmeli.</t>
  </si>
  <si>
    <t>A0.7  YMM Tasdik Raporu (49 No.lu Tebliğ) değerlendirildi mi?</t>
  </si>
  <si>
    <t>&gt;=500.000 TL → YMM raporu.</t>
  </si>
  <si>
    <t>A0.8  Tasdik Uygunluk Sonucu</t>
  </si>
  <si>
    <t>★ A0.2 (tahakkuk), A0.5 (372/376 ayrımı), A0.6 (YİAKV) kritik.</t>
  </si>
  <si>
    <t>A. GENEL BİLGİLER</t>
  </si>
  <si>
    <t>Kurumun Unvanı</t>
  </si>
  <si>
    <t>Tam ticaret unvanı</t>
  </si>
  <si>
    <t>VKN</t>
  </si>
  <si>
    <t>10 haneli VKN</t>
  </si>
  <si>
    <t>Hesap Dönemi / Değerleme Tarihi</t>
  </si>
  <si>
    <t>31.12.2025 — VUK dönem sonu değerleme tarihi</t>
  </si>
  <si>
    <t>KV Oranı (%)</t>
  </si>
  <si>
    <t>2025: %25 | Banka/Finans: %30</t>
  </si>
  <si>
    <t>Dosya Referansı</t>
  </si>
  <si>
    <t>YMM-2025/376-01</t>
  </si>
  <si>
    <t>375 Çalışma Kâğıdı Referansı</t>
  </si>
  <si>
    <t>Paragraf 2 borç dönüşümü — 375 ile bağlantılı</t>
  </si>
  <si>
    <t>B. PARAGRAF 2 KAPSAMINDA DÖNEM SONU DEĞERLEMESİ — ARAÇ BİLGİLERİ</t>
  </si>
  <si>
    <t xml:space="preserve">  376 Mekanizması: KVK Geçici Md.14/2 kapsamında yabancı para borç dönüşümü sonrası kurulan TL araçtan (mevduat, katılım hesabı, tahvil vb.) dönem sonu itibariyle VUK Md.280/281 gereği tahakkuk ettirilen faiz ve kâr payı istisnasıdır.</t>
  </si>
  <si>
    <t>Parametre</t>
  </si>
  <si>
    <t>Değer / Tarih</t>
  </si>
  <si>
    <t>Açıklama</t>
  </si>
  <si>
    <t>Kaynak</t>
  </si>
  <si>
    <t>B.1  375 (Kur Farkı Kazancı) Çalışma Kâğıdı Referansı</t>
  </si>
  <si>
    <t>376, 375 ile bağlantılı. 375 dönüşüm tutarı ve tarihi buradan alınır.</t>
  </si>
  <si>
    <t>375 çalışma kâğıdı</t>
  </si>
  <si>
    <t>B.2  Paragraf 2 Dönüşümü Sonrası Kurulan TL Araç Türü</t>
  </si>
  <si>
    <t>TL Mevduat</t>
  </si>
  <si>
    <t>Borç dönüşümü sonrasında kurulan TL cinsinden finansal araç türü.</t>
  </si>
  <si>
    <t>Araç sözleşmesi</t>
  </si>
  <si>
    <t>B.3  Dönem Sonu Değerleme Tarihi</t>
  </si>
  <si>
    <t>31.12.2025</t>
  </si>
  <si>
    <t>VUK dönem sonu tarihi — tahakkuk bu tarih itibarıyla yapılır.</t>
  </si>
  <si>
    <t>VUK Md.280</t>
  </si>
  <si>
    <t>B.4  Faiz/Kâr Payı Hesaplama Yöntemi</t>
  </si>
  <si>
    <t>Banka Bildirimi</t>
  </si>
  <si>
    <t>Banka dönem sonu bildirimi veya sözleşme oranı esaslı tahakkuk.</t>
  </si>
  <si>
    <t>Banka belgesi / Sözleşme</t>
  </si>
  <si>
    <t>B.5  TL Araç Bakiyesi (Dönem Sonu)</t>
  </si>
  <si>
    <t>Dönem sonu (31 Aralık) itibarıyla TL araç bakiyesi.</t>
  </si>
  <si>
    <t>Hesap ekstresi</t>
  </si>
  <si>
    <t>B.6  ★ Paragraf 2 Dönüşümünün 31/12/2021 Bakiyesiyle Sınırlı Olduğu Teyit Edildi mi?</t>
  </si>
  <si>
    <t>375 kapsamı dönüşüm 31/12/2021 bilanço borç bakiyesini aşamaz. 376 bu dönüşümden kaynaklanan araçla sınırlıdır.</t>
  </si>
  <si>
    <t>KVK Geç.Md.14/2</t>
  </si>
  <si>
    <t>C. PARAGRAF 2 — ARAÇ BAZINDA DÖNEM SONU FAİZ/KÂR PAYI TAHAKKUK TABLOSU (376)</t>
  </si>
  <si>
    <t xml:space="preserve">  SÜTUN 5 (lacivert çerçeve): ANA VERİ — Dönem sonu tahakkuk eden faiz/kâr payı (banka bildirimi veya hesaplama).
  Tahakkuk muhasebe kaydı (181 Dr / 642 Kr) ile mutabık olmalıdır. İstisna oranı normalde 100 — kapsam dışı araç varsa 0 girin.</t>
  </si>
  <si>
    <t>Araç Adı/No</t>
  </si>
  <si>
    <t>Açılış Tarihi</t>
  </si>
  <si>
    <t>Araç Türü</t>
  </si>
  <si>
    <t>Bakiye (TL)</t>
  </si>
  <si>
    <t>Dönem Sonu Tahakkuk (TL)</t>
  </si>
  <si>
    <t>İstisna Oranı (%)</t>
  </si>
  <si>
    <t>376 İstisna (TL)</t>
  </si>
  <si>
    <t>TOPLAM</t>
  </si>
  <si>
    <t>Toplam Dönem Sonu Faiz/Kâr Payı Tahakkuku → Beyanname 376</t>
  </si>
  <si>
    <t>—</t>
  </si>
  <si>
    <t xml:space="preserve">  SÜTUN 5 (lacivert çerçeve): Banka dönem sonu bildirimi veya (Bakiye × Yıllık Oran × Gün/365). 181 Gelir Tahakkukları / 642 Faiz Gelirleri muhasebe kaydıyla mutabık olmalı. Sütun 6 (İstisna Oranı): Normalde 100 (%). Kapsam dışı araç → 0.</t>
  </si>
  <si>
    <t>D. DÖNEM SONU KÂR PAYI/FAİZ İSTİSNASI ÖZET — BEYANNAME 376</t>
  </si>
  <si>
    <t>Hesap Kalemi</t>
  </si>
  <si>
    <t>Tutar (TL)</t>
  </si>
  <si>
    <t>YMM Notu</t>
  </si>
  <si>
    <t>D.1  Toplam Dönem Sonu Faiz/Kâr Payı Tahakkuku</t>
  </si>
  <si>
    <t>C tablosu toplam</t>
  </si>
  <si>
    <t>181/642 muhasebe kaydıyla mutabık</t>
  </si>
  <si>
    <t>D.2  Kapsam Dışı Tahakkuk (Paragraf 2 dışı araçlar)</t>
  </si>
  <si>
    <t>İstisna oranı 0 girilenler</t>
  </si>
  <si>
    <t>Vergiye tabi kısım</t>
  </si>
  <si>
    <t>D.3  ★ NET 376 İSTİSNA TUTARI → BEYANNAME 376</t>
  </si>
  <si>
    <t>→ Beyanname 376 | Kazancın Bulunması Halinde</t>
  </si>
  <si>
    <t>KVK Geçici Md.14/2</t>
  </si>
  <si>
    <t>D.4  Vergiye Tabi Faiz/Kâr Payı (Kapsam Dışı)</t>
  </si>
  <si>
    <t>Bu kısım KV matrahında kalır</t>
  </si>
  <si>
    <t>E. 372 (PARAGRAF 1) – 376 (PARAGRAF 2) KARŞILAŞTIRMA</t>
  </si>
  <si>
    <t>Özellik</t>
  </si>
  <si>
    <t>372 (Md.14/1-b) — Paragraf 1</t>
  </si>
  <si>
    <t>376 (Md.14/2) — Paragraf 2</t>
  </si>
  <si>
    <t>Ortak</t>
  </si>
  <si>
    <t>Bilanço Tarafı</t>
  </si>
  <si>
    <t>AKTİF — Yab. para mevduat/altın → TL KKM</t>
  </si>
  <si>
    <t>PASİF — Yab. para borç → TL araç</t>
  </si>
  <si>
    <t>Her ikisi de tahakkuk</t>
  </si>
  <si>
    <t>Dayanak Enstrüman</t>
  </si>
  <si>
    <t>TL KKM (mevduat veya katılım hesabı)</t>
  </si>
  <si>
    <t>Borç dönüşümü sonrası TL mevduat/tahvil vb.</t>
  </si>
  <si>
    <t>181 Dr / 642 Kr</t>
  </si>
  <si>
    <t>Bağlantılı Kod</t>
  </si>
  <si>
    <t>375 değil — 370/371 ile bağlantılı</t>
  </si>
  <si>
    <t>375 (Md.14/2 kur farkı) ile bağlantılı</t>
  </si>
  <si>
    <t>Her ikisi Md.14</t>
  </si>
  <si>
    <t>Mükerrerlik Riski</t>
  </si>
  <si>
    <t>372 ve 376 ayrı enstrümanlar — mükerrer değil</t>
  </si>
  <si>
    <t>Aynı araçta hem 372 hem 376 → Mükerrerlik</t>
  </si>
  <si>
    <t>Dikkat!</t>
  </si>
  <si>
    <t>YİAKV</t>
  </si>
  <si>
    <t>DÜŞÜLEMEZ (E.7)</t>
  </si>
  <si>
    <t>Birlikte E.7</t>
  </si>
  <si>
    <t>Tahsil Döneminde</t>
  </si>
  <si>
    <t>181 kapatma — 373 ile ilişkili</t>
  </si>
  <si>
    <t>181 kapatma — izleyen dönemde tekrar 376 yok</t>
  </si>
  <si>
    <t>Tahakkuk anında</t>
  </si>
  <si>
    <t>F.1  TOPLAM İSTİSNA → Beyanname Satır 376 (Kazancın Bulunması Halinde)</t>
  </si>
  <si>
    <t>D.3 — KVK Geçici Md.14/2 | Paragraf 2 Dönem Sonu Tahakkuk</t>
  </si>
  <si>
    <t xml:space="preserve">  ★★ KRİTİK UYARILAR:
(1) YİAKV MATRAHINDA DÜŞÜLEMEZ: 370–376 tamamı asgari KV matrahından çıkarılmaz — YİAKV E.7.
(2) 375 BAĞLANTISI ZORUNLU: 376, yalnızca 375 kapsamı borç dönüşümü sonrası kurulan araçtan oluşur.
(3) 372 İLE MÜKERRERLİK: Paragraf 1 araçları → 372. Paragraf 2 araçları → 376. Aynı araç için her ikisi yazılamaz.
(4) TAHSİL DÖNEMİNDE TEKRAR YOK: 181 kapatıldığında yeni 376 uygulanamaz.
(5) MUHASEBE DAYANAĞI: 181 Dr / 642 Kr tahakkuk kaydı olmadan 376 uygulanamaz.</t>
  </si>
  <si>
    <t>376 – KVK GEÇİCİ MD.14/2 DÖNEM SONU FAİZ/KÂR PAYI | HESAPLAMALAR VE DENETİM</t>
  </si>
  <si>
    <t>Paragraf 2 Borç Dönüşümü Sonrası TL Araç | VUK 280/281 | Beyanname 376 | YİAKV MATRAHINDA DÜŞÜLEMEZ</t>
  </si>
  <si>
    <t>A. TASDİK ÖZETİ</t>
  </si>
  <si>
    <t>A0 Uygunluğu</t>
  </si>
  <si>
    <t>OK ise devam</t>
  </si>
  <si>
    <t>375 Bağlantısı (A0.1)</t>
  </si>
  <si>
    <t>EVET — Paragraf 2 dönüşüm mevcut</t>
  </si>
  <si>
    <t>Tahakkuk Kaydı (A0.3)</t>
  </si>
  <si>
    <t>181/642 kaydı zorunlu</t>
  </si>
  <si>
    <t>372/376 Ayrımı (A0.5)</t>
  </si>
  <si>
    <t>Mükerrerlik kontrolü</t>
  </si>
  <si>
    <t>376 NET İSTİSNA (D.3)</t>
  </si>
  <si>
    <t>★★ YİAKV'de DÜŞÜLEMEZ</t>
  </si>
  <si>
    <t>370–376 tamamı E.7</t>
  </si>
  <si>
    <t>Her zaman DÜŞÜLEMEZ</t>
  </si>
  <si>
    <t>B. KVK GEÇİCİ MD.14 — 370'DEN 376'YA TAM KOD TABLOSU</t>
  </si>
  <si>
    <t>Kod</t>
  </si>
  <si>
    <t>Paragraf</t>
  </si>
  <si>
    <t>Kapsam</t>
  </si>
  <si>
    <t>Muhasebe</t>
  </si>
  <si>
    <t>Zaman</t>
  </si>
  <si>
    <t>Karar</t>
  </si>
  <si>
    <t>370</t>
  </si>
  <si>
    <t>1-a</t>
  </si>
  <si>
    <t>AKTİF: Döviz/altın → TL KKM kur farkı</t>
  </si>
  <si>
    <t>646/679</t>
  </si>
  <si>
    <t>Dönüşüm anı</t>
  </si>
  <si>
    <t>Tek seferlik</t>
  </si>
  <si>
    <t>DÜŞÜLEMEZ</t>
  </si>
  <si>
    <t>371</t>
  </si>
  <si>
    <t>1-b</t>
  </si>
  <si>
    <t>AKTİF: Bankadan kur farkı tazminatı</t>
  </si>
  <si>
    <t>102/648</t>
  </si>
  <si>
    <t>Ödeme dönemleri</t>
  </si>
  <si>
    <t>Dönemsel nakit</t>
  </si>
  <si>
    <t>372</t>
  </si>
  <si>
    <t>AKTİF: Dönem sonu faiz/kâr payı tahakkuku</t>
  </si>
  <si>
    <t>181/642</t>
  </si>
  <si>
    <t>31 Aralık</t>
  </si>
  <si>
    <t>Yıllık accrual</t>
  </si>
  <si>
    <t>373</t>
  </si>
  <si>
    <t>AKTİF: Vade sonu faiz/kâr payı tahsilatı</t>
  </si>
  <si>
    <t>102/(181+642)</t>
  </si>
  <si>
    <t>Vade tarihi</t>
  </si>
  <si>
    <t>Nakit tahsilat</t>
  </si>
  <si>
    <t>374</t>
  </si>
  <si>
    <t>AKTİF: Vade sonu diğer kazançlar</t>
  </si>
  <si>
    <t>646/648/679</t>
  </si>
  <si>
    <t>Altın/prim/endeks</t>
  </si>
  <si>
    <t>375</t>
  </si>
  <si>
    <t>2</t>
  </si>
  <si>
    <t>PASİF: Borç dönüşümü kur farkı kazancı</t>
  </si>
  <si>
    <t>376</t>
  </si>
  <si>
    <t>PASİF: Borç dönüşümü sonrası dönem sonu tahakkuk</t>
  </si>
  <si>
    <t>C. DENETİM KONTROL LİSTESİ (K1–K12)</t>
  </si>
  <si>
    <t>Kontrol</t>
  </si>
  <si>
    <t>Sonuç</t>
  </si>
  <si>
    <t>K1</t>
  </si>
  <si>
    <t>★ 375 kapsamı borç dönüşümü gerçekleşti mi? (375 ÇK var mı?)</t>
  </si>
  <si>
    <t>376, yalnızca 375 kapsamı dönüşüm sonrası araçlara uygulanır.</t>
  </si>
  <si>
    <t>Uygun/Eksik/Risk</t>
  </si>
  <si>
    <t>K2</t>
  </si>
  <si>
    <t>★ Dönem sonu faiz/kâr payı tahakkuk muhasebe kaydı yapıldı mı? (181/642)</t>
  </si>
  <si>
    <t>Kayıt olmadan 376 istisnasının muhasebe dayanağı yoktur.</t>
  </si>
  <si>
    <t>K3</t>
  </si>
  <si>
    <t>★ C tablosundaki tahakkuk tutarları 181/642 muhasebe kayıtlarıyla mutabık mı?</t>
  </si>
  <si>
    <t>Her araç satırı muhasebe ekstresiyle doğrulanmış.</t>
  </si>
  <si>
    <t>K4</t>
  </si>
  <si>
    <t>Banka dönem sonu tahakkuk bildirimi mevcut mu?</t>
  </si>
  <si>
    <t>Faiz/kâr payı tahakkuk bildirimini gösteren resmi banka belgesi.</t>
  </si>
  <si>
    <t>K5</t>
  </si>
  <si>
    <t>★ 372 (Paragraf 1) ile 376 (Paragraf 2) mükerrerlik kontrolü yapıldı mı?</t>
  </si>
  <si>
    <t>Paragraf 1 araçları → 372. Paragraf 2 araçları → 376. Aynı araç için ikisi birden yazılamaz.</t>
  </si>
  <si>
    <t>K6</t>
  </si>
  <si>
    <t>375 ve 376 çalışma kâğıtları tutarlı mı?</t>
  </si>
  <si>
    <t>375 borç dönüşüm tutarı ile 376 araç bakiyesi uyumlu olmalı.</t>
  </si>
  <si>
    <t>K7</t>
  </si>
  <si>
    <t>Kapsam dışı araçlar (D.2) ayrıştırıldı mı?</t>
  </si>
  <si>
    <t>Paragraf 2 kapsamı dışındaki araçlar — vergilendirilir.</t>
  </si>
  <si>
    <t>K8</t>
  </si>
  <si>
    <t>★★ 376 istisnası YİAKV matrahından DÜŞÜLMEDI mi?</t>
  </si>
  <si>
    <t>370–376 tamamı YİAKV matrahından DÜŞÜLEMEZ. E.7'de yedi satır.</t>
  </si>
  <si>
    <t>K9</t>
  </si>
  <si>
    <t>Beyanname 376 'Kazancın Bulunması Halinde' bölümünde mi?</t>
  </si>
  <si>
    <t>Zarar döneminde uygulanamaz.</t>
  </si>
  <si>
    <t>K10</t>
  </si>
  <si>
    <t>Tahsil döneminde 181 kapatma kaydı yapılıp 376 tekrar uygulanmadı mı?</t>
  </si>
  <si>
    <t>Yalnızca tahakkuk anında — tahsil döneminde tekrar yok.</t>
  </si>
  <si>
    <t>K11</t>
  </si>
  <si>
    <t>Birden fazla Paragraf 2 aracı varsa her biri ayrı satırda mı?</t>
  </si>
  <si>
    <t>Her araç C tablosunda ayrı satır ve ayrı değerlendirme.</t>
  </si>
  <si>
    <t>K12</t>
  </si>
  <si>
    <t>YMM Tasdik Raporu (49 No.lu Tebliğ) değerlendirildi mi?</t>
  </si>
  <si>
    <t>376 – KVK GEÇİCİ MD.14/2 DÖNEM SONU FAİZ/KÂR PAYI | MUHASEBE KAYITLARI</t>
  </si>
  <si>
    <t>Tahakkuk Kaydı | Tahsil Kaydı | 370–376 Tam Muhasebe Tablosu</t>
  </si>
  <si>
    <t>KAYIT 1 — DÖNEM SONU (31 ARALIK): PARAGRAF 2 ARACI FAİZ/KÂR PAYI TAHAKKUKU</t>
  </si>
  <si>
    <t>Tarih</t>
  </si>
  <si>
    <t>Hesap</t>
  </si>
  <si>
    <t>Not</t>
  </si>
  <si>
    <t>Dr</t>
  </si>
  <si>
    <t>Kr</t>
  </si>
  <si>
    <t>Ref</t>
  </si>
  <si>
    <t>[31.12.YYYY]</t>
  </si>
  <si>
    <t>181 Gelir Tahakkukları</t>
  </si>
  <si>
    <t>Paragraf 2 dönüşümü sonrası TL araçtan tahakkuk eden faiz/kâr payı (C tablosu toplam)</t>
  </si>
  <si>
    <t>[Tutar]</t>
  </si>
  <si>
    <t>Banka bildirimi</t>
  </si>
  <si>
    <t>642 Faiz Gelirleri / 644 Kâr Payları</t>
  </si>
  <si>
    <t>KVK Geçici Md.14/2 kapsamı → Beyanname 376 — 181 Dr ile birlikte dönem sonu tahakkuk</t>
  </si>
  <si>
    <t>KV 376</t>
  </si>
  <si>
    <t xml:space="preserve">  372 ile AYNI muhasebe kaydı (181/642) — fark: yasal dayanak Paragraf 2 (Md.14/2), Paragraf 1 (Md.14/1-b) değil.</t>
  </si>
  <si>
    <t>KAYIT 2 — TAHSİL (İZLEYEN DÖNEM): 181 KAPATMA</t>
  </si>
  <si>
    <t>[Tahsil Tarihi]</t>
  </si>
  <si>
    <t>102 Bankalar</t>
  </si>
  <si>
    <t>Faiz/kâr payı tahsilatı</t>
  </si>
  <si>
    <t>Banka ekstresi</t>
  </si>
  <si>
    <t>Önceki dönem 376 tahakkukunun kapatılması — izleyen dönemde 376 tekrar uygulanmaz</t>
  </si>
  <si>
    <t>181 kapatma</t>
  </si>
  <si>
    <t>KAYIT 3 — 370–376 TAM MUHASEBE TABLOSU (TÜM KODLAR)</t>
  </si>
  <si>
    <t>[Dönüşüm]</t>
  </si>
  <si>
    <t>AKT: Döviz/altın KKM kur farkı değerleme → Tek seferlik → 370</t>
  </si>
  <si>
    <t>[370]</t>
  </si>
  <si>
    <t>KV 370</t>
  </si>
  <si>
    <t>[Ödeme]</t>
  </si>
  <si>
    <t>AKT: Bankadan kur farkı tazminatı → Dönemsel nakit → 371</t>
  </si>
  <si>
    <t>[371]</t>
  </si>
  <si>
    <t>KV 371</t>
  </si>
  <si>
    <t>[31.12]</t>
  </si>
  <si>
    <t>AKT: Dönem sonu faiz/kâr payı tahakkuku → 31 Aralık → 372</t>
  </si>
  <si>
    <t>[372]</t>
  </si>
  <si>
    <t>KV 372</t>
  </si>
  <si>
    <t>[Vade]</t>
  </si>
  <si>
    <t>AKT: Vade sonu faiz/kâr payı tahsilatı → 373</t>
  </si>
  <si>
    <t>[373]</t>
  </si>
  <si>
    <t>KV 373</t>
  </si>
  <si>
    <t>AKT: Vade sonu diğer kazançlar → 374</t>
  </si>
  <si>
    <t>[374]</t>
  </si>
  <si>
    <t>KV 374</t>
  </si>
  <si>
    <t>PAS: Borç dönüşümü kur farkı kazancı → Tek seferlik → 375</t>
  </si>
  <si>
    <t>[375]</t>
  </si>
  <si>
    <t>KV 375</t>
  </si>
  <si>
    <t>PAS: Borç dönüşümü sonrası dönem sonu tahakkuku → 376</t>
  </si>
  <si>
    <t>[376]</t>
  </si>
  <si>
    <t xml:space="preserve">  YİAKV: 370–376 YEDİ KODUN TAMAMININ ticari kâra dahil geliri YİAKV MATRAHINDA DÜŞÜLEMEZ (E.7). KV matrahından çıkarılır (her satır beyannamede ayrı). 375–376 Paragraf 2 kodları için YİAKV E.7 satırı güncellenmiş olmalıdır.</t>
  </si>
  <si>
    <t>376 – KVK GEÇİCİ MD.14/2 DÖNEM SONU FAİZ/KÂR PAYI | DENETÇİ NOTLARI</t>
  </si>
  <si>
    <t>GİB KV Beyan Rehberi Mart 2026 (No:606) | KVK Geçici Md.14/2 | 372 ile Karşılaştırma | ★★ YİAKV</t>
  </si>
  <si>
    <t>Konu</t>
  </si>
  <si>
    <t>Mesleki Değerlendirme / Tasdik Standardı</t>
  </si>
  <si>
    <t>Mevzuat / Kaynak</t>
  </si>
  <si>
    <t>N1</t>
  </si>
  <si>
    <t>KVK Geçici Md.14/2 — 376 Dönem Sonu Mekanizması ve 372 ile Bağlantısı</t>
  </si>
  <si>
    <t>376 (PARAGRAF 2 — DÖNEM SONU FAİZ/KÂR PAYI) TANIMI:
KVK Geçici Madde 14/2 kapsamında yabancı para borçlarını TL'ye dönüştüren kurumların,
bu dönüşüm sonrasında sahip oldukları TL cinsinden finansal araçlardan (mevduat, tahvil,
katılım hesabı vb.) dönem sonu itibarıyla VUK Md.280/281 gereği tahakkuk ettirilen
faiz ve kâr payı geliri, KVK Geçici Madde 14/2 kapsamında kurumlar vergisinden istisnadır.
372 ile TEMEL FARK:
• 372 (Paragraf 1): Aktif taraf — yabancı para mevduat/altın → TL KKM dönüşümü sonrası
• 376 (Paragraf 2): Pasif taraf — yabancı para borç → TL dönüşümü sonrası
Her iki kod da aynı muhasebe mekanizmasını (181/642 tahakkuk) kullanır.
Fark yasal dayanak ve bağlantılı enstrüman türüdür.
BEYANNAME: 376 | Kazancın Bulunması Halinde İndirilecek</t>
  </si>
  <si>
    <t>KVK Geçici Md.14/2 | GİB KV Beyan Reh. 2026 (No:606) | VUK Md.280/281</t>
  </si>
  <si>
    <t>N2</t>
  </si>
  <si>
    <t>375 ile Bağlantı ve Sıralama — Paragraf 2 Kodlarının İlişkisi</t>
  </si>
  <si>
    <t>PARAGRAF 2 KOD SİLSİLESİ:
375 (Md.14/2): Borç dönüşümü ANINDAKİ kur farkı kazancı → Tek seferlik
→ Mirrors: 370 (Md.14/1-a) — aktif taraf dönüşüm kur farkı
376 (Md.14/2): Borç dönüşümü SONRASI dönem sonu faiz/kâr payı tahakkuku → Yıllık
→ Mirrors: 372 (Md.14/1-b) — aktif taraf dönem sonu faiz/kâr payı tahakkuku
BAĞLANTI KURALI:
376, 375 ile bağlantılıdır:
① 375 yoksa (borç dönüşümü yapılmamışsa) 376 oluşamaz.
② 376 tutarı 375 borç dönüşüm tutarıyla sınırlıdır.
③ 375 çalışma kâğıdı B bölümündeki araç tutarı ile 376 C tablosu bakiyeleri mutabık olmalı.
TAHSİL DÖNEMİNDE:
Dönem sonu 181/642 tahakkuku izleyen dönemde tahsil edildiğinde:
Dr 102 / Kr 181 → 376 tekrar uygulanmaz.</t>
  </si>
  <si>
    <t>KVK Geçici Md.14/2 | 375 Çalışma Kâğıdı | VUK Md.280/281</t>
  </si>
  <si>
    <t>N3</t>
  </si>
  <si>
    <t>★★ YİAKV ile İlişki — 370–376 Tamamı DÜŞÜLEMEZ</t>
  </si>
  <si>
    <t>KVK GEÇİCİ MD.14 — YEDİ KODUN TAMAMININ YİAKV MATRAHINDA DÜŞÜLEMEZLİĞİ:
• 370 → DÜŞÜLEMEZ | • 371 → DÜŞÜLEMEZ | • 372 → DÜŞÜLEMEZ
• 373 → DÜŞÜLEMEZ | • 374 → DÜŞÜLEMEZ | • 375 → DÜŞÜLEMEZ | • 376 → DÜŞÜLEMEZ
YİAKV çalışma kâğıdı E.7 (Güncellenmeli):
'KKM Aktif+Pasif Kur Farkı + Faiz/Kâr Payı + Vade Kazançları İstisnası
(KVK Geçici Md.14 Tüm Paragraflar) → DÜŞÜLEMEZ ✗ | Beyanname 370–376'
Paragraf 2 kodları (375, 376) da tam anlamıyla E.7 kapsamındadır.
YMM, YİAKV çalışma kâğıdında E.7 satırını 376'yı kapsayacak şekilde güncellemelidir.</t>
  </si>
  <si>
    <t>KVK Md.32/C | YİAKV Reh. (No:607) | GİB KV Beyan Reh. (No:606)</t>
  </si>
  <si>
    <t>N4</t>
  </si>
  <si>
    <t>372 ve 376 — Mükerrerlik Önleme ve Araç Ayrımı</t>
  </si>
  <si>
    <t>MÜKERRERLİK SENARYOsu:
Bir kurum hem Paragraf 1 (aktif/mevduat) hem Paragraf 2 (pasif/borç) dönüşümü yaptıysa:
• Paragraf 1 dönüşümü → Mevduat/altın TL KKM → Dönem sonu tahakkuk → 372
• Paragraf 2 dönüşümü → Borç TL araç → Dönem sonu tahakkuk → 376
HER İKİSİ AYNI ANDA UYGULANABİLİR (mükerrerlik yok) — yeter ki ayrı enstrümanlar.
MÜKERRERLİK HATASI:
Aynı TL aracın hem 372 hem 376 ile raporlanması → Her iki paragraf aynı araça uygulanamaz.
YMM: C tablosundaki araçların 372 veya 376 kapsamında olduğunu, ikisine birden girmediğini teyit.</t>
  </si>
  <si>
    <t>KVK Geçici Md.14/1-b (372) | KVK Geçici Md.14/2 (376)</t>
  </si>
  <si>
    <t>N5</t>
  </si>
  <si>
    <t>49 No.lu Tebliğ + YMM Tasdik Dil Standardı</t>
  </si>
  <si>
    <t>KULLANIN:
'...KVK Geçici Madde 14/2 kapsamında yabancı para borçlarının TL'ye dönüştürülmesi
sonucunda kurulan [Araç Türü] hesabından [dönem] hesap döneminin bitiş tarihi itibarıyla
VUK Md.280/281 gereği tahakkuk ettirilen [Tutar] TL faiz/kâr payı geliri, KVK Geçici
Madde 14/2 kapsamında kurumlar vergisinden istisna edilmiş ve yurt içi asgari kurumlar
vergisi matrahından indirilmemiştir.'
KULLANMAYIN:
'...376 tutarı YİAKV matrahından düşülmüştür.' (YANLIŞ)
'...Aynı araç hem 372 hem 376 kapsamında istisnaya tabidir.' (Mükerrerlik)
'...375 yapılmadan 376 uygulanmıştır.' (Hatalı — bağlantı kopuk)
KRİTİK RİSKLER:
(1) 376'yı YİAKV matrahından düşmek.
(2) Aynı araç için hem 372 hem 376 yazmak.
(3) 375 olmadan 376 uygulamak.
(4) Tahsil döneminde tekrar 376 uygulamak.</t>
  </si>
  <si>
    <t>49 No.lu Tebliğ | KVK Geçici Md.14/2 | SM-SMMM-YMM K. Md.12</t>
  </si>
  <si>
    <t xml:space="preserve">  GİB KV BEYAN REHBERİ MART 2026 (No:606) KAPANIŞ (376): 376, 372'nin Paragraf 2 karşılığıdır. Aktif (372) ile pasif (376) aynı mekanizma (181/642 tahakkuk), farklı yasal dayanak. 375 olmadan 376 oluşamaz. 370–376 yedi kodun tamamı YİAKV matrahından DÜŞÜLEMEZ. YMM müteselsil sorumluluk: SM-SMMM-YMM Kanunu Md.12.</t>
  </si>
  <si>
    <t>376 – KVK GEÇİCİ MD.14/2 DÖNEM SONU FAİZ/KÂR PAYI | BELGE LİSTESİ | YMM TASDİK</t>
  </si>
  <si>
    <t>GİB KV Beyan Rehberi Mart 2026 (No:606) | VUK Md.280/281 | 181/642 | 375 Çapraz Mutabakat</t>
  </si>
  <si>
    <t>KATEGORİ 1 — ZORUNLU BELGELER</t>
  </si>
  <si>
    <t>No</t>
  </si>
  <si>
    <t>Belge</t>
  </si>
  <si>
    <t>Temin</t>
  </si>
  <si>
    <t>1</t>
  </si>
  <si>
    <t>★ 375 Çalışma Kâğıdı — Paragraf 2 Dönüşüm Dayanağı</t>
  </si>
  <si>
    <t>376, 375 olmadan oluşamaz. 375 çalışma kâğıdı B bölümündeki araç bilgileri ile
376 C tablosu bakiyeleri mutabık olmalı. En temel bağlantı belgesidir.</t>
  </si>
  <si>
    <t>★ Muhasebe Yevmiyesi — 181 Dr / 642 Kr Tahakkuk Kaydı</t>
  </si>
  <si>
    <t>Dönem sonu (31 Aralık) tahakkuk yevmiye kaydı. C tablosu toplamıyla birebir uyumlu.
Kayıt olmadan 376 istisnasının muhasebe dayanağı yoktur.</t>
  </si>
  <si>
    <t>Yevmiye defteri / Muhasebe ekstresi</t>
  </si>
  <si>
    <t>3</t>
  </si>
  <si>
    <t>★ Banka Dönem Sonu Bildirimi / Tahakkuk Ekstresi</t>
  </si>
  <si>
    <t>Dönem sonu tahakkuk eden faiz/kâr payı tutarını gösteren resmi banka belgesi.
Banka bildirimi yoksa sözleşme oranı × bakiye × gün hesabını belgeleyin.</t>
  </si>
  <si>
    <t>Banka şubesi / internet bankacılığı</t>
  </si>
  <si>
    <t>4</t>
  </si>
  <si>
    <t>TL Araç Sözleşmesi (Borç Dönüşümü Sonrası Kurulan Araç)</t>
  </si>
  <si>
    <t>Paragraf 2 dönüşümü sonrası kurulan TL mevduat/katılım/tahvil sözleşmesi.
Araç türü, faiz/kâr payı oranı ve vade bilgisi için kaynak.</t>
  </si>
  <si>
    <t>Banka TL araç sözleşmesi</t>
  </si>
  <si>
    <t>5</t>
  </si>
  <si>
    <t>KV Beyannamesi Taslağı — 376. Satır</t>
  </si>
  <si>
    <t>'Kazancın Bulunması Halinde' bölümü. ★★ YİAKV matrahından çıkarılmamış.</t>
  </si>
  <si>
    <t>GİB e-Beyanname sistemi</t>
  </si>
  <si>
    <t>KATEGORİ 2 — EK BELGELER</t>
  </si>
  <si>
    <t>6</t>
  </si>
  <si>
    <t>181 Hesap Kapatma Kaydı (İzleyen Dönem Tahsilat)</t>
  </si>
  <si>
    <t>Önceki dönem 376 tahakkuklarının tahsil edildiğinde 181 hesabının kapatıldığını gösteren yevmiye.
Tahsil döneminde yeni 376 uygulanmamış olmalı.</t>
  </si>
  <si>
    <t>Yevmiye defteri</t>
  </si>
  <si>
    <t>7</t>
  </si>
  <si>
    <t>Faiz/Kâr Payı Hesap Ekstresi (642/644)</t>
  </si>
  <si>
    <t>372 (Paragraf 1) ile 376 (Paragraf 2) tutarlarının ayrı ayrı kayıtlandığını gösteren ekstreler.
Mükerrerlik kontrolü için zorunludur.</t>
  </si>
  <si>
    <t>642/644 hesap ekstresi</t>
  </si>
  <si>
    <t>KATEGORİ 3 — YMM TASDİK KONTROL SORULARI</t>
  </si>
  <si>
    <t>Beklenen Sonuç</t>
  </si>
  <si>
    <t>YMM Aksiyonu</t>
  </si>
  <si>
    <t>S1</t>
  </si>
  <si>
    <t>★ 375 kapsamı borç dönüşümü var mı? (375 ÇK hazır mı?)</t>
  </si>
  <si>
    <t>376 bağlantısı zorunlu.</t>
  </si>
  <si>
    <t>YMM kontrolü</t>
  </si>
  <si>
    <t>S2</t>
  </si>
  <si>
    <t>★ Tahakkuk muhasebe kaydı (181/642) yapıldı mı?</t>
  </si>
  <si>
    <t>Kayıt olmadan istisna uygulanamaz.</t>
  </si>
  <si>
    <t>S3</t>
  </si>
  <si>
    <t>★ Tahakkuk tutarları banka bildirimi ile mutabık mı?</t>
  </si>
  <si>
    <t>Her araç satırı belgeden doğrulanmalı.</t>
  </si>
  <si>
    <t>S4</t>
  </si>
  <si>
    <t>★ 372 ile mükerrerlik analizi yapıldı mı? (Ayrı enstrümanlar)</t>
  </si>
  <si>
    <t>Aynı araç için hem 372 hem 376 yazılamaz.</t>
  </si>
  <si>
    <t>S5</t>
  </si>
  <si>
    <t>375 çalışma kâğıdıyla çapraz mutabakat tamam mı?</t>
  </si>
  <si>
    <t>Borç dönüşüm tutarı ile araç bakiyeleri uyumlu.</t>
  </si>
  <si>
    <t>S6</t>
  </si>
  <si>
    <t>Paragraf 2 dışı araçlar → vergilendirilir.</t>
  </si>
  <si>
    <t>S7</t>
  </si>
  <si>
    <t>370–376 tamamı YİAKV E.7'de DÜŞÜLEMEZ.</t>
  </si>
  <si>
    <t>S8</t>
  </si>
  <si>
    <t>S9</t>
  </si>
  <si>
    <t>Tahsil döneminde 181 kapatıldı, 376 tekrar uygulanmadı mı?</t>
  </si>
  <si>
    <t>Yalnızca tahakkuk anında.</t>
  </si>
  <si>
    <t>S10</t>
  </si>
  <si>
    <t>SON NOT: GİB KV Beyan Rehberi Mart 2026 (No:606) esas alınmıştır. 376 = 372'nin Paragraf 2 (Md.14/2) karşılığı. Aktif (372) ile pasif (376) aynı muhasebe mekanizması, farklı yasal dayanak ve bağlantılı enstrüman. 375 olmadan 376 oluşamaz. 370–376 yedi kodun tamamı YİAKV matrahından DÜŞÜLEMEZ (E.7). YMM müteselsil: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</si>
</sst>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i/>
      <sz val="8"/>
      <color rgb="FF283593"/>
      <name val="Arial"/>
      <family val="2"/>
      <charset val="162"/>
    </font>
    <font>
      <b/>
      <sz val="10"/>
      <color rgb="FF1F3864"/>
      <name val="Arial"/>
      <family val="2"/>
      <charset val="162"/>
    </font>
    <font>
      <b/>
      <sz val="9"/>
      <color rgb="FF283593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01579B"/>
      <name val="Arial"/>
      <family val="2"/>
      <charset val="162"/>
    </font>
    <font>
      <sz val="8"/>
      <color rgb="FF283593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8"/>
      <color rgb="FFC0392B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7">
    <fill>
      <patternFill patternType="none"/>
    </fill>
    <fill>
      <patternFill patternType="gray125"/>
    </fill>
    <fill>
      <patternFill patternType="solid">
        <fgColor rgb="FF283593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1B5E20"/>
      </patternFill>
    </fill>
    <fill>
      <patternFill patternType="solid">
        <fgColor rgb="FF004D80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  <fill>
      <patternFill patternType="solid">
        <fgColor rgb="FF283593"/>
        <bgColor indexed="64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283593"/>
      </left>
      <right style="thin">
        <color rgb="FF283593"/>
      </right>
      <top style="thin">
        <color rgb="FF283593"/>
      </top>
      <bottom style="thin">
        <color rgb="FF283593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BBBBB"/>
      </left>
      <right/>
      <top style="thin">
        <color rgb="FFBBBBBB"/>
      </top>
      <bottom style="thin">
        <color rgb="FF999999"/>
      </bottom>
      <diagonal/>
    </border>
    <border>
      <left/>
      <right style="thin">
        <color rgb="FFBBBBBB"/>
      </right>
      <top style="thin">
        <color rgb="FFBBBBBB"/>
      </top>
      <bottom style="thin">
        <color rgb="FF999999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right" vertical="center"/>
    </xf>
    <xf numFmtId="3" fontId="15" fillId="9" borderId="3" xfId="0" applyNumberFormat="1" applyFont="1" applyFill="1" applyBorder="1" applyAlignment="1">
      <alignment horizontal="right" vertical="center"/>
    </xf>
    <xf numFmtId="1" fontId="0" fillId="10" borderId="1" xfId="0" applyNumberFormat="1" applyFill="1" applyBorder="1" applyAlignment="1">
      <alignment horizontal="center" vertical="center"/>
    </xf>
    <xf numFmtId="3" fontId="16" fillId="12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19" fillId="12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3" fontId="24" fillId="12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7" fillId="12" borderId="1" xfId="0" applyNumberFormat="1" applyFont="1" applyFill="1" applyBorder="1" applyAlignment="1">
      <alignment horizontal="right" vertical="center"/>
    </xf>
    <xf numFmtId="0" fontId="28" fillId="1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0" fillId="18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0" fillId="15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left" vertical="top" wrapText="1"/>
    </xf>
    <xf numFmtId="0" fontId="32" fillId="9" borderId="1" xfId="0" applyFont="1" applyFill="1" applyBorder="1" applyAlignment="1">
      <alignment horizontal="left" vertical="top" wrapText="1"/>
    </xf>
    <xf numFmtId="0" fontId="32" fillId="13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 wrapText="1"/>
    </xf>
    <xf numFmtId="0" fontId="30" fillId="21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0" fontId="0" fillId="22" borderId="1" xfId="0" applyFill="1" applyBorder="1"/>
    <xf numFmtId="0" fontId="5" fillId="22" borderId="1" xfId="0" applyFont="1" applyFill="1" applyBorder="1" applyAlignment="1">
      <alignment horizontal="center" vertical="top"/>
    </xf>
    <xf numFmtId="0" fontId="5" fillId="22" borderId="1" xfId="0" applyFont="1" applyFill="1" applyBorder="1" applyAlignment="1">
      <alignment horizontal="left" vertical="top" wrapText="1"/>
    </xf>
    <xf numFmtId="0" fontId="30" fillId="23" borderId="1" xfId="0" applyFont="1" applyFill="1" applyBorder="1" applyAlignment="1">
      <alignment horizontal="left" vertical="top" wrapText="1"/>
    </xf>
    <xf numFmtId="0" fontId="32" fillId="22" borderId="1" xfId="0" applyFont="1" applyFill="1" applyBorder="1" applyAlignment="1">
      <alignment horizontal="left" vertical="top" wrapText="1"/>
    </xf>
    <xf numFmtId="0" fontId="1" fillId="24" borderId="2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top"/>
    </xf>
    <xf numFmtId="0" fontId="8" fillId="15" borderId="1" xfId="0" applyFont="1" applyFill="1" applyBorder="1" applyAlignment="1">
      <alignment horizontal="left" vertical="top" wrapText="1"/>
    </xf>
    <xf numFmtId="0" fontId="30" fillId="19" borderId="1" xfId="0" applyFont="1" applyFill="1" applyBorder="1" applyAlignment="1">
      <alignment horizontal="left" vertical="top" wrapText="1"/>
    </xf>
    <xf numFmtId="0" fontId="35" fillId="15" borderId="1" xfId="0" applyFont="1" applyFill="1" applyBorder="1" applyAlignment="1">
      <alignment horizontal="center" vertical="top"/>
    </xf>
    <xf numFmtId="0" fontId="34" fillId="22" borderId="1" xfId="0" applyFont="1" applyFill="1" applyBorder="1" applyAlignment="1">
      <alignment horizontal="center" vertical="top"/>
    </xf>
    <xf numFmtId="0" fontId="34" fillId="22" borderId="1" xfId="0" applyFont="1" applyFill="1" applyBorder="1" applyAlignment="1">
      <alignment horizontal="left" vertical="top" wrapText="1"/>
    </xf>
    <xf numFmtId="0" fontId="35" fillId="22" borderId="1" xfId="0" applyFont="1" applyFill="1" applyBorder="1" applyAlignment="1">
      <alignment horizontal="center" vertical="top"/>
    </xf>
    <xf numFmtId="0" fontId="34" fillId="19" borderId="1" xfId="0" applyFont="1" applyFill="1" applyBorder="1" applyAlignment="1">
      <alignment horizontal="center" vertical="top"/>
    </xf>
    <xf numFmtId="0" fontId="30" fillId="25" borderId="1" xfId="0" applyFont="1" applyFill="1" applyBorder="1" applyAlignment="1">
      <alignment horizontal="left" vertical="top" wrapText="1"/>
    </xf>
    <xf numFmtId="0" fontId="35" fillId="19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20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3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2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5" fillId="13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5" fillId="9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5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25" fillId="12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1" fillId="9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 wrapText="1"/>
    </xf>
    <xf numFmtId="0" fontId="30" fillId="9" borderId="1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center"/>
    </xf>
    <xf numFmtId="0" fontId="0" fillId="16" borderId="2" xfId="0" applyFill="1" applyBorder="1"/>
    <xf numFmtId="0" fontId="8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5" fillId="13" borderId="1" xfId="0" applyFont="1" applyFill="1" applyBorder="1" applyAlignment="1">
      <alignment horizontal="left" vertical="top" wrapText="1"/>
    </xf>
    <xf numFmtId="0" fontId="30" fillId="15" borderId="1" xfId="0" applyFont="1" applyFill="1" applyBorder="1" applyAlignment="1">
      <alignment horizontal="left" vertical="top" wrapText="1"/>
    </xf>
    <xf numFmtId="0" fontId="0" fillId="15" borderId="1" xfId="0" applyFill="1" applyBorder="1"/>
    <xf numFmtId="0" fontId="5" fillId="13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0" fillId="13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30" fillId="18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29" fillId="9" borderId="1" xfId="0" applyFont="1" applyFill="1" applyBorder="1" applyAlignment="1">
      <alignment horizontal="left" vertical="center" wrapText="1"/>
    </xf>
    <xf numFmtId="0" fontId="30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31" fillId="3" borderId="1" xfId="0" applyFont="1" applyFill="1" applyBorder="1" applyAlignment="1">
      <alignment horizontal="left" vertical="center" wrapText="1"/>
    </xf>
    <xf numFmtId="0" fontId="33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7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4" borderId="5" xfId="0" applyFont="1" applyFill="1" applyBorder="1" applyAlignment="1">
      <alignment horizontal="left" vertical="center"/>
    </xf>
    <xf numFmtId="0" fontId="0" fillId="24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16" borderId="5" xfId="0" applyFont="1" applyFill="1" applyBorder="1" applyAlignment="1">
      <alignment horizontal="left" vertical="center"/>
    </xf>
    <xf numFmtId="0" fontId="0" fillId="16" borderId="5" xfId="0" applyFill="1" applyBorder="1"/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3" fontId="4" fillId="2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BF063B-0836-42AD-B32F-2C0BC1A921D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6b96527-638c-4bc7-857d-bfa49b86fbc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F12" sqref="F12:G12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5" width="16" customWidth="1"/>
    <col min="6" max="6" width="14" customWidth="1"/>
    <col min="7" max="7" width="22" customWidth="1"/>
  </cols>
  <sheetData>
    <row r="1" spans="1:7" ht="52" customHeight="1" x14ac:dyDescent="0.55000000000000004">
      <c r="A1" s="98" t="s">
        <v>0</v>
      </c>
      <c r="B1" s="99"/>
      <c r="C1" s="99"/>
      <c r="D1" s="99"/>
      <c r="E1" s="99"/>
      <c r="F1" s="99"/>
      <c r="G1" s="99"/>
    </row>
    <row r="2" spans="1:7" ht="22" customHeight="1" x14ac:dyDescent="0.55000000000000004">
      <c r="A2" s="110" t="s">
        <v>1</v>
      </c>
      <c r="B2" s="111"/>
      <c r="C2" s="111"/>
      <c r="D2" s="111"/>
      <c r="E2" s="111"/>
      <c r="F2" s="111"/>
      <c r="G2" s="111"/>
    </row>
    <row r="3" spans="1:7" ht="44.05" customHeight="1" x14ac:dyDescent="0.55000000000000004">
      <c r="A3" s="102" t="s">
        <v>2</v>
      </c>
      <c r="B3" s="103"/>
      <c r="C3" s="103"/>
      <c r="D3" s="103"/>
      <c r="E3" s="103"/>
      <c r="F3" s="103"/>
      <c r="G3" s="103"/>
    </row>
    <row r="4" spans="1:7" ht="22" customHeight="1" x14ac:dyDescent="0.55000000000000004">
      <c r="A4" s="105" t="s">
        <v>3</v>
      </c>
      <c r="B4" s="106"/>
      <c r="C4" s="106"/>
      <c r="D4" s="106"/>
      <c r="E4" s="106"/>
      <c r="F4" s="106"/>
      <c r="G4" s="106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8" t="s">
        <v>4</v>
      </c>
      <c r="B6" s="109"/>
      <c r="C6" s="109"/>
      <c r="D6" s="109"/>
      <c r="E6" s="109"/>
      <c r="F6" s="109"/>
      <c r="G6" s="109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6" t="s">
        <v>8</v>
      </c>
      <c r="B8" s="80"/>
      <c r="C8" s="80"/>
      <c r="D8" s="80"/>
      <c r="E8" s="4" t="s">
        <v>9</v>
      </c>
      <c r="F8" s="95" t="s">
        <v>10</v>
      </c>
      <c r="G8" s="80"/>
    </row>
    <row r="9" spans="1:7" ht="28" customHeight="1" x14ac:dyDescent="0.55000000000000004">
      <c r="A9" s="84" t="s">
        <v>11</v>
      </c>
      <c r="B9" s="85"/>
      <c r="C9" s="85"/>
      <c r="D9" s="85"/>
      <c r="E9" s="4" t="s">
        <v>9</v>
      </c>
      <c r="F9" s="92" t="s">
        <v>12</v>
      </c>
      <c r="G9" s="85"/>
    </row>
    <row r="10" spans="1:7" ht="28" customHeight="1" x14ac:dyDescent="0.55000000000000004">
      <c r="A10" s="86" t="s">
        <v>13</v>
      </c>
      <c r="B10" s="80"/>
      <c r="C10" s="80"/>
      <c r="D10" s="80"/>
      <c r="E10" s="4" t="s">
        <v>9</v>
      </c>
      <c r="F10" s="95" t="s">
        <v>14</v>
      </c>
      <c r="G10" s="80"/>
    </row>
    <row r="11" spans="1:7" ht="28" customHeight="1" x14ac:dyDescent="0.55000000000000004">
      <c r="A11" s="84" t="s">
        <v>15</v>
      </c>
      <c r="B11" s="85"/>
      <c r="C11" s="85"/>
      <c r="D11" s="85"/>
      <c r="E11" s="4" t="s">
        <v>9</v>
      </c>
      <c r="F11" s="92" t="s">
        <v>16</v>
      </c>
      <c r="G11" s="85"/>
    </row>
    <row r="12" spans="1:7" ht="28" customHeight="1" x14ac:dyDescent="0.55000000000000004">
      <c r="A12" s="86" t="s">
        <v>17</v>
      </c>
      <c r="B12" s="80"/>
      <c r="C12" s="80"/>
      <c r="D12" s="80"/>
      <c r="E12" s="4" t="s">
        <v>9</v>
      </c>
      <c r="F12" s="95" t="s">
        <v>18</v>
      </c>
      <c r="G12" s="80"/>
    </row>
    <row r="13" spans="1:7" ht="28" customHeight="1" x14ac:dyDescent="0.55000000000000004">
      <c r="A13" s="84" t="s">
        <v>19</v>
      </c>
      <c r="B13" s="85"/>
      <c r="C13" s="85"/>
      <c r="D13" s="85"/>
      <c r="E13" s="4" t="s">
        <v>9</v>
      </c>
      <c r="F13" s="92" t="s">
        <v>20</v>
      </c>
      <c r="G13" s="85"/>
    </row>
    <row r="14" spans="1:7" ht="28" customHeight="1" x14ac:dyDescent="0.55000000000000004">
      <c r="A14" s="86" t="s">
        <v>21</v>
      </c>
      <c r="B14" s="80"/>
      <c r="C14" s="80"/>
      <c r="D14" s="80"/>
      <c r="E14" s="4" t="s">
        <v>9</v>
      </c>
      <c r="F14" s="95" t="s">
        <v>22</v>
      </c>
      <c r="G14" s="80"/>
    </row>
    <row r="15" spans="1:7" ht="24" customHeight="1" x14ac:dyDescent="0.55000000000000004">
      <c r="A15" s="89" t="s">
        <v>23</v>
      </c>
      <c r="B15" s="88"/>
      <c r="C15" s="88"/>
      <c r="D15" s="88"/>
      <c r="E15" s="6" t="str">
        <f>IF(AND(E8="EVET",E9="EVET",E10="EVET",E13="EVET"),"OK - Hesaplanabilir","HATA - Ön koşul eksik")</f>
        <v>OK - Hesaplanabilir</v>
      </c>
      <c r="F15" s="87" t="s">
        <v>24</v>
      </c>
      <c r="G15" s="8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3" t="s">
        <v>25</v>
      </c>
      <c r="B17" s="74"/>
      <c r="C17" s="74"/>
      <c r="D17" s="74"/>
      <c r="E17" s="74"/>
      <c r="F17" s="74"/>
      <c r="G17" s="74"/>
    </row>
    <row r="18" spans="1:7" ht="22" customHeight="1" x14ac:dyDescent="0.55000000000000004">
      <c r="A18" s="86" t="s">
        <v>26</v>
      </c>
      <c r="B18" s="80"/>
      <c r="C18" s="82"/>
      <c r="D18" s="82"/>
      <c r="E18" s="82"/>
      <c r="F18" s="7" t="s">
        <v>27</v>
      </c>
      <c r="G18" s="3"/>
    </row>
    <row r="19" spans="1:7" ht="22" customHeight="1" x14ac:dyDescent="0.55000000000000004">
      <c r="A19" s="81" t="s">
        <v>28</v>
      </c>
      <c r="B19" s="78"/>
      <c r="C19" s="82"/>
      <c r="D19" s="82"/>
      <c r="E19" s="82"/>
      <c r="F19" s="9" t="s">
        <v>29</v>
      </c>
      <c r="G19" s="8"/>
    </row>
    <row r="20" spans="1:7" ht="22" customHeight="1" x14ac:dyDescent="0.55000000000000004">
      <c r="A20" s="86" t="s">
        <v>30</v>
      </c>
      <c r="B20" s="80"/>
      <c r="C20" s="82"/>
      <c r="D20" s="82"/>
      <c r="E20" s="82"/>
      <c r="F20" s="7" t="s">
        <v>31</v>
      </c>
      <c r="G20" s="3"/>
    </row>
    <row r="21" spans="1:7" ht="22" customHeight="1" x14ac:dyDescent="0.55000000000000004">
      <c r="A21" s="81" t="s">
        <v>32</v>
      </c>
      <c r="B21" s="78"/>
      <c r="C21" s="82"/>
      <c r="D21" s="82"/>
      <c r="E21" s="82"/>
      <c r="F21" s="9" t="s">
        <v>33</v>
      </c>
      <c r="G21" s="8"/>
    </row>
    <row r="22" spans="1:7" ht="22" customHeight="1" x14ac:dyDescent="0.55000000000000004">
      <c r="A22" s="86" t="s">
        <v>34</v>
      </c>
      <c r="B22" s="80"/>
      <c r="C22" s="82"/>
      <c r="D22" s="82"/>
      <c r="E22" s="82"/>
      <c r="F22" s="7" t="s">
        <v>35</v>
      </c>
      <c r="G22" s="3"/>
    </row>
    <row r="23" spans="1:7" ht="22" customHeight="1" x14ac:dyDescent="0.55000000000000004">
      <c r="A23" s="81" t="s">
        <v>36</v>
      </c>
      <c r="B23" s="78"/>
      <c r="C23" s="82"/>
      <c r="D23" s="82"/>
      <c r="E23" s="82"/>
      <c r="F23" s="9" t="s">
        <v>37</v>
      </c>
      <c r="G23" s="8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73" t="s">
        <v>38</v>
      </c>
      <c r="B25" s="74"/>
      <c r="C25" s="74"/>
      <c r="D25" s="74"/>
      <c r="E25" s="74"/>
      <c r="F25" s="74"/>
      <c r="G25" s="74"/>
    </row>
    <row r="26" spans="1:7" ht="26.05" customHeight="1" x14ac:dyDescent="0.55000000000000004">
      <c r="A26" s="94" t="s">
        <v>39</v>
      </c>
      <c r="B26" s="80"/>
      <c r="C26" s="80"/>
      <c r="D26" s="80"/>
      <c r="E26" s="80"/>
      <c r="F26" s="80"/>
      <c r="G26" s="80"/>
    </row>
    <row r="27" spans="1:7" ht="18" customHeight="1" x14ac:dyDescent="0.55000000000000004">
      <c r="A27" s="2"/>
      <c r="B27" s="2" t="s">
        <v>40</v>
      </c>
      <c r="C27" s="2"/>
      <c r="D27" s="2" t="s">
        <v>41</v>
      </c>
      <c r="E27" s="2"/>
      <c r="F27" s="2" t="s">
        <v>42</v>
      </c>
      <c r="G27" s="2" t="s">
        <v>43</v>
      </c>
    </row>
    <row r="28" spans="1:7" ht="26.05" customHeight="1" x14ac:dyDescent="0.55000000000000004">
      <c r="A28" s="86" t="s">
        <v>44</v>
      </c>
      <c r="B28" s="80"/>
      <c r="C28" s="10"/>
      <c r="D28" s="107" t="s">
        <v>45</v>
      </c>
      <c r="E28" s="80"/>
      <c r="F28" s="96" t="s">
        <v>46</v>
      </c>
      <c r="G28" s="80"/>
    </row>
    <row r="29" spans="1:7" ht="26.05" customHeight="1" x14ac:dyDescent="0.55000000000000004">
      <c r="A29" s="81" t="s">
        <v>47</v>
      </c>
      <c r="B29" s="78"/>
      <c r="C29" s="4" t="s">
        <v>48</v>
      </c>
      <c r="D29" s="83" t="s">
        <v>49</v>
      </c>
      <c r="E29" s="78"/>
      <c r="F29" s="77" t="s">
        <v>50</v>
      </c>
      <c r="G29" s="78"/>
    </row>
    <row r="30" spans="1:7" ht="26.05" customHeight="1" x14ac:dyDescent="0.55000000000000004">
      <c r="A30" s="86" t="s">
        <v>51</v>
      </c>
      <c r="B30" s="80"/>
      <c r="C30" s="11" t="s">
        <v>52</v>
      </c>
      <c r="D30" s="107" t="s">
        <v>53</v>
      </c>
      <c r="E30" s="80"/>
      <c r="F30" s="96" t="s">
        <v>54</v>
      </c>
      <c r="G30" s="80"/>
    </row>
    <row r="31" spans="1:7" ht="26.05" customHeight="1" x14ac:dyDescent="0.55000000000000004">
      <c r="A31" s="81" t="s">
        <v>55</v>
      </c>
      <c r="B31" s="78"/>
      <c r="C31" s="4" t="s">
        <v>56</v>
      </c>
      <c r="D31" s="83" t="s">
        <v>57</v>
      </c>
      <c r="E31" s="78"/>
      <c r="F31" s="77" t="s">
        <v>58</v>
      </c>
      <c r="G31" s="78"/>
    </row>
    <row r="32" spans="1:7" ht="26.05" customHeight="1" x14ac:dyDescent="0.55000000000000004">
      <c r="A32" s="86" t="s">
        <v>59</v>
      </c>
      <c r="B32" s="80"/>
      <c r="C32" s="10"/>
      <c r="D32" s="107" t="s">
        <v>60</v>
      </c>
      <c r="E32" s="80"/>
      <c r="F32" s="96" t="s">
        <v>61</v>
      </c>
      <c r="G32" s="80"/>
    </row>
    <row r="33" spans="1:7" ht="26.05" customHeight="1" x14ac:dyDescent="0.55000000000000004">
      <c r="A33" s="91" t="s">
        <v>62</v>
      </c>
      <c r="B33" s="78"/>
      <c r="C33" s="4" t="s">
        <v>9</v>
      </c>
      <c r="D33" s="83" t="s">
        <v>63</v>
      </c>
      <c r="E33" s="78"/>
      <c r="F33" s="77" t="s">
        <v>64</v>
      </c>
      <c r="G33" s="78"/>
    </row>
    <row r="34" spans="1:7" ht="5.05" customHeight="1" x14ac:dyDescent="0.55000000000000004">
      <c r="A34" s="1"/>
      <c r="B34" s="1"/>
      <c r="C34" s="1"/>
      <c r="D34" s="1"/>
      <c r="E34" s="1"/>
      <c r="F34" s="1"/>
      <c r="G34" s="1"/>
    </row>
    <row r="35" spans="1:7" ht="24" customHeight="1" x14ac:dyDescent="0.55000000000000004">
      <c r="A35" s="73" t="s">
        <v>65</v>
      </c>
      <c r="B35" s="74"/>
      <c r="C35" s="74"/>
      <c r="D35" s="74"/>
      <c r="E35" s="74"/>
      <c r="F35" s="74"/>
      <c r="G35" s="74"/>
    </row>
    <row r="36" spans="1:7" ht="26.05" customHeight="1" x14ac:dyDescent="0.55000000000000004">
      <c r="A36" s="94" t="s">
        <v>66</v>
      </c>
      <c r="B36" s="80"/>
      <c r="C36" s="80"/>
      <c r="D36" s="80"/>
      <c r="E36" s="80"/>
      <c r="F36" s="80"/>
      <c r="G36" s="80"/>
    </row>
    <row r="37" spans="1:7" ht="18" customHeight="1" x14ac:dyDescent="0.55000000000000004">
      <c r="A37" s="12" t="s">
        <v>67</v>
      </c>
      <c r="B37" s="12" t="s">
        <v>68</v>
      </c>
      <c r="C37" s="12" t="s">
        <v>69</v>
      </c>
      <c r="D37" s="12" t="s">
        <v>70</v>
      </c>
      <c r="E37" s="12" t="s">
        <v>71</v>
      </c>
      <c r="F37" s="12" t="s">
        <v>72</v>
      </c>
      <c r="G37" s="12" t="s">
        <v>73</v>
      </c>
    </row>
    <row r="38" spans="1:7" ht="26.05" customHeight="1" x14ac:dyDescent="0.55000000000000004">
      <c r="A38" s="13"/>
      <c r="B38" s="10"/>
      <c r="C38" s="14"/>
      <c r="D38" s="15"/>
      <c r="E38" s="16"/>
      <c r="F38" s="17">
        <v>100</v>
      </c>
      <c r="G38" s="18">
        <f t="shared" ref="G38:G45" si="0">IF(E38&gt;0,E38*F38/100,0)</f>
        <v>0</v>
      </c>
    </row>
    <row r="39" spans="1:7" ht="26.05" customHeight="1" x14ac:dyDescent="0.55000000000000004">
      <c r="A39" s="13"/>
      <c r="B39" s="10"/>
      <c r="C39" s="14"/>
      <c r="D39" s="15"/>
      <c r="E39" s="16"/>
      <c r="F39" s="17">
        <v>100</v>
      </c>
      <c r="G39" s="18">
        <f t="shared" si="0"/>
        <v>0</v>
      </c>
    </row>
    <row r="40" spans="1:7" ht="26.05" customHeight="1" x14ac:dyDescent="0.55000000000000004">
      <c r="A40" s="13"/>
      <c r="B40" s="10"/>
      <c r="C40" s="14"/>
      <c r="D40" s="15"/>
      <c r="E40" s="16"/>
      <c r="F40" s="17">
        <v>100</v>
      </c>
      <c r="G40" s="18">
        <f t="shared" si="0"/>
        <v>0</v>
      </c>
    </row>
    <row r="41" spans="1:7" ht="26.05" customHeight="1" x14ac:dyDescent="0.55000000000000004">
      <c r="A41" s="13"/>
      <c r="B41" s="10"/>
      <c r="C41" s="14"/>
      <c r="D41" s="15"/>
      <c r="E41" s="16"/>
      <c r="F41" s="17">
        <v>100</v>
      </c>
      <c r="G41" s="18">
        <f t="shared" si="0"/>
        <v>0</v>
      </c>
    </row>
    <row r="42" spans="1:7" ht="26.05" customHeight="1" x14ac:dyDescent="0.55000000000000004">
      <c r="A42" s="13"/>
      <c r="B42" s="10"/>
      <c r="C42" s="14"/>
      <c r="D42" s="15"/>
      <c r="E42" s="16"/>
      <c r="F42" s="17">
        <v>100</v>
      </c>
      <c r="G42" s="18">
        <f t="shared" si="0"/>
        <v>0</v>
      </c>
    </row>
    <row r="43" spans="1:7" ht="26.05" customHeight="1" x14ac:dyDescent="0.55000000000000004">
      <c r="A43" s="13"/>
      <c r="B43" s="10"/>
      <c r="C43" s="14"/>
      <c r="D43" s="15"/>
      <c r="E43" s="16"/>
      <c r="F43" s="17">
        <v>100</v>
      </c>
      <c r="G43" s="18">
        <f t="shared" si="0"/>
        <v>0</v>
      </c>
    </row>
    <row r="44" spans="1:7" ht="26.05" customHeight="1" x14ac:dyDescent="0.55000000000000004">
      <c r="A44" s="13"/>
      <c r="B44" s="10"/>
      <c r="C44" s="14"/>
      <c r="D44" s="15"/>
      <c r="E44" s="16"/>
      <c r="F44" s="17">
        <v>100</v>
      </c>
      <c r="G44" s="18">
        <f t="shared" si="0"/>
        <v>0</v>
      </c>
    </row>
    <row r="45" spans="1:7" ht="26.05" customHeight="1" x14ac:dyDescent="0.55000000000000004">
      <c r="A45" s="13"/>
      <c r="B45" s="10"/>
      <c r="C45" s="14"/>
      <c r="D45" s="15"/>
      <c r="E45" s="16"/>
      <c r="F45" s="17">
        <v>100</v>
      </c>
      <c r="G45" s="18">
        <f t="shared" si="0"/>
        <v>0</v>
      </c>
    </row>
    <row r="46" spans="1:7" ht="30" customHeight="1" x14ac:dyDescent="0.55000000000000004">
      <c r="A46" s="19" t="s">
        <v>74</v>
      </c>
      <c r="B46" s="154" t="s">
        <v>75</v>
      </c>
      <c r="C46" s="155"/>
      <c r="D46" s="156">
        <f>SUM(D38:D45)</f>
        <v>0</v>
      </c>
      <c r="E46" s="20">
        <f>SUM(E38:E45)</f>
        <v>0</v>
      </c>
      <c r="F46" s="19" t="s">
        <v>76</v>
      </c>
      <c r="G46" s="21">
        <f>SUM(G38:G45)</f>
        <v>0</v>
      </c>
    </row>
    <row r="47" spans="1:7" ht="28" customHeight="1" x14ac:dyDescent="0.55000000000000004">
      <c r="A47" s="112" t="s">
        <v>77</v>
      </c>
      <c r="B47" s="113"/>
      <c r="C47" s="113"/>
      <c r="D47" s="113"/>
      <c r="E47" s="113"/>
      <c r="F47" s="113"/>
      <c r="G47" s="113"/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73" t="s">
        <v>78</v>
      </c>
      <c r="B49" s="74"/>
      <c r="C49" s="74"/>
      <c r="D49" s="74"/>
      <c r="E49" s="74"/>
      <c r="F49" s="74"/>
      <c r="G49" s="74"/>
    </row>
    <row r="50" spans="1:7" ht="18" customHeight="1" x14ac:dyDescent="0.55000000000000004">
      <c r="A50" s="2"/>
      <c r="B50" s="2" t="s">
        <v>79</v>
      </c>
      <c r="C50" s="2"/>
      <c r="D50" s="2" t="s">
        <v>80</v>
      </c>
      <c r="E50" s="2"/>
      <c r="F50" s="2" t="s">
        <v>42</v>
      </c>
      <c r="G50" s="2" t="s">
        <v>81</v>
      </c>
    </row>
    <row r="51" spans="1:7" ht="28" customHeight="1" x14ac:dyDescent="0.55000000000000004">
      <c r="A51" s="81" t="s">
        <v>82</v>
      </c>
      <c r="B51" s="78"/>
      <c r="C51" s="22">
        <f>E46</f>
        <v>0</v>
      </c>
      <c r="D51" s="83" t="s">
        <v>83</v>
      </c>
      <c r="E51" s="78"/>
      <c r="F51" s="114" t="s">
        <v>84</v>
      </c>
      <c r="G51" s="78"/>
    </row>
    <row r="52" spans="1:7" ht="28" customHeight="1" x14ac:dyDescent="0.55000000000000004">
      <c r="A52" s="86" t="s">
        <v>85</v>
      </c>
      <c r="B52" s="80"/>
      <c r="C52" s="22">
        <f>D46-G46</f>
        <v>0</v>
      </c>
      <c r="D52" s="107" t="s">
        <v>86</v>
      </c>
      <c r="E52" s="80"/>
      <c r="F52" s="95" t="s">
        <v>87</v>
      </c>
      <c r="G52" s="80"/>
    </row>
    <row r="53" spans="1:7" ht="28" customHeight="1" x14ac:dyDescent="0.55000000000000004">
      <c r="A53" s="93" t="s">
        <v>88</v>
      </c>
      <c r="B53" s="88"/>
      <c r="C53" s="23">
        <f>G46</f>
        <v>0</v>
      </c>
      <c r="D53" s="97" t="s">
        <v>89</v>
      </c>
      <c r="E53" s="88"/>
      <c r="F53" s="115" t="s">
        <v>90</v>
      </c>
      <c r="G53" s="88"/>
    </row>
    <row r="54" spans="1:7" ht="28" customHeight="1" x14ac:dyDescent="0.55000000000000004">
      <c r="A54" s="86" t="s">
        <v>91</v>
      </c>
      <c r="B54" s="80"/>
      <c r="C54" s="22">
        <f>C52</f>
        <v>0</v>
      </c>
      <c r="D54" s="107" t="s">
        <v>92</v>
      </c>
      <c r="E54" s="80"/>
      <c r="F54" s="95"/>
      <c r="G54" s="80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22" customHeight="1" x14ac:dyDescent="0.55000000000000004">
      <c r="A56" s="73" t="s">
        <v>93</v>
      </c>
      <c r="B56" s="74"/>
      <c r="C56" s="74"/>
      <c r="D56" s="74"/>
      <c r="E56" s="74"/>
      <c r="F56" s="74"/>
      <c r="G56" s="74"/>
    </row>
    <row r="57" spans="1:7" ht="18" customHeight="1" x14ac:dyDescent="0.55000000000000004">
      <c r="A57" s="2"/>
      <c r="B57" s="2" t="s">
        <v>94</v>
      </c>
      <c r="C57" s="2" t="s">
        <v>95</v>
      </c>
      <c r="D57" s="2"/>
      <c r="E57" s="2" t="s">
        <v>96</v>
      </c>
      <c r="F57" s="2"/>
      <c r="G57" s="2" t="s">
        <v>97</v>
      </c>
    </row>
    <row r="58" spans="1:7" ht="24" customHeight="1" x14ac:dyDescent="0.55000000000000004">
      <c r="A58" s="24" t="s">
        <v>98</v>
      </c>
      <c r="B58" s="3"/>
      <c r="C58" s="75" t="s">
        <v>99</v>
      </c>
      <c r="D58" s="76"/>
      <c r="E58" s="79" t="s">
        <v>100</v>
      </c>
      <c r="F58" s="80"/>
      <c r="G58" s="26" t="s">
        <v>101</v>
      </c>
    </row>
    <row r="59" spans="1:7" ht="24" customHeight="1" x14ac:dyDescent="0.55000000000000004">
      <c r="A59" s="24" t="s">
        <v>102</v>
      </c>
      <c r="B59" s="8"/>
      <c r="C59" s="75" t="s">
        <v>103</v>
      </c>
      <c r="D59" s="76"/>
      <c r="E59" s="79" t="s">
        <v>104</v>
      </c>
      <c r="F59" s="80"/>
      <c r="G59" s="26" t="s">
        <v>105</v>
      </c>
    </row>
    <row r="60" spans="1:7" ht="24" customHeight="1" x14ac:dyDescent="0.55000000000000004">
      <c r="A60" s="24" t="s">
        <v>106</v>
      </c>
      <c r="B60" s="3"/>
      <c r="C60" s="75" t="s">
        <v>107</v>
      </c>
      <c r="D60" s="76"/>
      <c r="E60" s="79" t="s">
        <v>108</v>
      </c>
      <c r="F60" s="80"/>
      <c r="G60" s="26" t="s">
        <v>109</v>
      </c>
    </row>
    <row r="61" spans="1:7" ht="24" customHeight="1" x14ac:dyDescent="0.55000000000000004">
      <c r="A61" s="24" t="s">
        <v>110</v>
      </c>
      <c r="B61" s="8"/>
      <c r="C61" s="75" t="s">
        <v>111</v>
      </c>
      <c r="D61" s="76"/>
      <c r="E61" s="79" t="s">
        <v>112</v>
      </c>
      <c r="F61" s="80"/>
      <c r="G61" s="27" t="s">
        <v>113</v>
      </c>
    </row>
    <row r="62" spans="1:7" ht="24" customHeight="1" x14ac:dyDescent="0.55000000000000004">
      <c r="A62" s="24" t="s">
        <v>114</v>
      </c>
      <c r="B62" s="3"/>
      <c r="C62" s="75" t="s">
        <v>115</v>
      </c>
      <c r="D62" s="76"/>
      <c r="E62" s="79" t="s">
        <v>115</v>
      </c>
      <c r="F62" s="80"/>
      <c r="G62" s="26" t="s">
        <v>116</v>
      </c>
    </row>
    <row r="63" spans="1:7" ht="24" customHeight="1" x14ac:dyDescent="0.55000000000000004">
      <c r="A63" s="24" t="s">
        <v>117</v>
      </c>
      <c r="B63" s="8"/>
      <c r="C63" s="75" t="s">
        <v>118</v>
      </c>
      <c r="D63" s="76"/>
      <c r="E63" s="79" t="s">
        <v>119</v>
      </c>
      <c r="F63" s="80"/>
      <c r="G63" s="26" t="s">
        <v>120</v>
      </c>
    </row>
    <row r="64" spans="1:7" ht="32.049999999999997" customHeight="1" x14ac:dyDescent="0.55000000000000004">
      <c r="A64" s="90" t="s">
        <v>121</v>
      </c>
      <c r="B64" s="88"/>
      <c r="C64" s="88"/>
      <c r="D64" s="88"/>
      <c r="E64" s="28">
        <f>C53</f>
        <v>0</v>
      </c>
      <c r="F64" s="104" t="s">
        <v>122</v>
      </c>
      <c r="G64" s="88"/>
    </row>
    <row r="65" spans="1:7" ht="56.05" customHeight="1" x14ac:dyDescent="0.55000000000000004">
      <c r="A65" s="100" t="s">
        <v>123</v>
      </c>
      <c r="B65" s="101"/>
      <c r="C65" s="101"/>
      <c r="D65" s="101"/>
      <c r="E65" s="101"/>
      <c r="F65" s="101"/>
      <c r="G65" s="101"/>
    </row>
  </sheetData>
  <mergeCells count="87">
    <mergeCell ref="A2:G2"/>
    <mergeCell ref="F14:G14"/>
    <mergeCell ref="D54:E54"/>
    <mergeCell ref="A47:G47"/>
    <mergeCell ref="A14:D14"/>
    <mergeCell ref="F11:G11"/>
    <mergeCell ref="F12:G12"/>
    <mergeCell ref="F51:G51"/>
    <mergeCell ref="D32:E32"/>
    <mergeCell ref="F32:G32"/>
    <mergeCell ref="A18:B18"/>
    <mergeCell ref="C19:E19"/>
    <mergeCell ref="F52:G52"/>
    <mergeCell ref="A20:B20"/>
    <mergeCell ref="A29:B29"/>
    <mergeCell ref="A31:B31"/>
    <mergeCell ref="F8:G8"/>
    <mergeCell ref="C59:D59"/>
    <mergeCell ref="E59:F59"/>
    <mergeCell ref="A21:B21"/>
    <mergeCell ref="A6:G6"/>
    <mergeCell ref="A32:B32"/>
    <mergeCell ref="D28:E28"/>
    <mergeCell ref="A23:B23"/>
    <mergeCell ref="A25:G25"/>
    <mergeCell ref="D30:E30"/>
    <mergeCell ref="A12:D12"/>
    <mergeCell ref="A56:G56"/>
    <mergeCell ref="F53:G53"/>
    <mergeCell ref="B46:C46"/>
    <mergeCell ref="A1:G1"/>
    <mergeCell ref="C60:D60"/>
    <mergeCell ref="F31:G31"/>
    <mergeCell ref="F28:G28"/>
    <mergeCell ref="A65:G65"/>
    <mergeCell ref="F9:G9"/>
    <mergeCell ref="A52:B52"/>
    <mergeCell ref="A3:G3"/>
    <mergeCell ref="D29:E29"/>
    <mergeCell ref="E58:F58"/>
    <mergeCell ref="F64:G64"/>
    <mergeCell ref="A8:D8"/>
    <mergeCell ref="A4:G4"/>
    <mergeCell ref="C58:D58"/>
    <mergeCell ref="A10:D10"/>
    <mergeCell ref="F10:G10"/>
    <mergeCell ref="F54:G54"/>
    <mergeCell ref="C22:E22"/>
    <mergeCell ref="A9:D9"/>
    <mergeCell ref="F30:G30"/>
    <mergeCell ref="F33:G33"/>
    <mergeCell ref="A11:D11"/>
    <mergeCell ref="A49:G49"/>
    <mergeCell ref="D53:E53"/>
    <mergeCell ref="A36:G36"/>
    <mergeCell ref="D52:E52"/>
    <mergeCell ref="A64:D64"/>
    <mergeCell ref="A33:B33"/>
    <mergeCell ref="C18:E18"/>
    <mergeCell ref="F13:G13"/>
    <mergeCell ref="A22:B22"/>
    <mergeCell ref="A53:B53"/>
    <mergeCell ref="D33:E33"/>
    <mergeCell ref="A19:B19"/>
    <mergeCell ref="D51:E51"/>
    <mergeCell ref="A28:B28"/>
    <mergeCell ref="A26:G26"/>
    <mergeCell ref="C20:E20"/>
    <mergeCell ref="A30:B30"/>
    <mergeCell ref="C61:D61"/>
    <mergeCell ref="E61:F61"/>
    <mergeCell ref="E60:F60"/>
    <mergeCell ref="A13:D13"/>
    <mergeCell ref="A54:B54"/>
    <mergeCell ref="F15:G15"/>
    <mergeCell ref="C63:D63"/>
    <mergeCell ref="C23:E23"/>
    <mergeCell ref="E63:F63"/>
    <mergeCell ref="A15:D15"/>
    <mergeCell ref="A17:G17"/>
    <mergeCell ref="C62:D62"/>
    <mergeCell ref="F29:G29"/>
    <mergeCell ref="E62:F62"/>
    <mergeCell ref="A51:B51"/>
    <mergeCell ref="A35:G35"/>
    <mergeCell ref="C21:E21"/>
    <mergeCell ref="D31:E31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7">
    <dataValidation type="list" sqref="E8:E9" xr:uid="{00000000-0002-0000-0000-000000000000}">
      <formula1>"EVET,HAYIR-İstisna Yok"</formula1>
    </dataValidation>
    <dataValidation type="list" sqref="E10" xr:uid="{00000000-0002-0000-0000-000002000000}">
      <formula1>"EVET,HAYIR-Eksik Kayıt"</formula1>
    </dataValidation>
    <dataValidation type="list" sqref="C33 E11:E12" xr:uid="{00000000-0002-0000-0000-000003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"TL Mevduat,TL Katılım Hesabı,TL Tahvil/Bono,Diğer TL Araç"</formula1>
    </dataValidation>
    <dataValidation type="list" sqref="C31" xr:uid="{00000000-0002-0000-0000-000008000000}">
      <formula1>"Banka Bildirimi,Sözleşme Oranı × Bakiye × Gün"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30" t="s">
        <v>124</v>
      </c>
      <c r="B1" s="74"/>
      <c r="C1" s="74"/>
      <c r="D1" s="74"/>
      <c r="E1" s="74"/>
      <c r="F1" s="74"/>
      <c r="G1" s="74"/>
    </row>
    <row r="2" spans="1:7" ht="20.05" customHeight="1" x14ac:dyDescent="0.55000000000000004">
      <c r="A2" s="110" t="s">
        <v>125</v>
      </c>
      <c r="B2" s="111"/>
      <c r="C2" s="111"/>
      <c r="D2" s="111"/>
      <c r="E2" s="111"/>
      <c r="F2" s="111"/>
      <c r="G2" s="11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9" t="s">
        <v>126</v>
      </c>
      <c r="B4" s="120"/>
      <c r="C4" s="120"/>
      <c r="D4" s="120"/>
      <c r="E4" s="120"/>
      <c r="F4" s="120"/>
      <c r="G4" s="120"/>
    </row>
    <row r="5" spans="1:7" ht="22" customHeight="1" x14ac:dyDescent="0.55000000000000004">
      <c r="A5" s="126" t="s">
        <v>127</v>
      </c>
      <c r="B5" s="78"/>
      <c r="C5" s="78"/>
      <c r="D5" s="29" t="str">
        <f>'VERİ GİRİŞİ'!E15</f>
        <v>OK - Hesaplanabilir</v>
      </c>
      <c r="E5" s="114" t="s">
        <v>128</v>
      </c>
      <c r="F5" s="78"/>
      <c r="G5" s="78"/>
    </row>
    <row r="6" spans="1:7" ht="22" customHeight="1" x14ac:dyDescent="0.55000000000000004">
      <c r="A6" s="127" t="s">
        <v>129</v>
      </c>
      <c r="B6" s="80"/>
      <c r="C6" s="80"/>
      <c r="D6" s="29" t="str">
        <f>'VERİ GİRİŞİ'!E8</f>
        <v>EVET</v>
      </c>
      <c r="E6" s="95" t="s">
        <v>130</v>
      </c>
      <c r="F6" s="80"/>
      <c r="G6" s="80"/>
    </row>
    <row r="7" spans="1:7" ht="22" customHeight="1" x14ac:dyDescent="0.55000000000000004">
      <c r="A7" s="126" t="s">
        <v>131</v>
      </c>
      <c r="B7" s="78"/>
      <c r="C7" s="78"/>
      <c r="D7" s="29" t="str">
        <f>'VERİ GİRİŞİ'!E10</f>
        <v>EVET</v>
      </c>
      <c r="E7" s="114" t="s">
        <v>132</v>
      </c>
      <c r="F7" s="78"/>
      <c r="G7" s="78"/>
    </row>
    <row r="8" spans="1:7" ht="22" customHeight="1" x14ac:dyDescent="0.55000000000000004">
      <c r="A8" s="127" t="s">
        <v>133</v>
      </c>
      <c r="B8" s="80"/>
      <c r="C8" s="80"/>
      <c r="D8" s="29" t="str">
        <f>'VERİ GİRİŞİ'!E12</f>
        <v>EVET</v>
      </c>
      <c r="E8" s="95" t="s">
        <v>134</v>
      </c>
      <c r="F8" s="80"/>
      <c r="G8" s="80"/>
    </row>
    <row r="9" spans="1:7" ht="22" customHeight="1" x14ac:dyDescent="0.55000000000000004">
      <c r="A9" s="89" t="s">
        <v>135</v>
      </c>
      <c r="B9" s="88"/>
      <c r="C9" s="88"/>
      <c r="D9" s="30">
        <f>'VERİ GİRİŞİ'!C53</f>
        <v>0</v>
      </c>
      <c r="E9" s="115"/>
      <c r="F9" s="88"/>
      <c r="G9" s="88"/>
    </row>
    <row r="10" spans="1:7" ht="22" customHeight="1" x14ac:dyDescent="0.55000000000000004">
      <c r="A10" s="129" t="s">
        <v>136</v>
      </c>
      <c r="B10" s="76"/>
      <c r="C10" s="76"/>
      <c r="D10" s="31" t="s">
        <v>137</v>
      </c>
      <c r="E10" s="116" t="s">
        <v>138</v>
      </c>
      <c r="F10" s="76"/>
      <c r="G10" s="76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3" t="s">
        <v>139</v>
      </c>
      <c r="B12" s="74"/>
      <c r="C12" s="74"/>
      <c r="D12" s="74"/>
      <c r="E12" s="74"/>
      <c r="F12" s="74"/>
      <c r="G12" s="74"/>
    </row>
    <row r="13" spans="1:7" ht="18" customHeight="1" x14ac:dyDescent="0.55000000000000004">
      <c r="A13" s="12" t="s">
        <v>140</v>
      </c>
      <c r="B13" s="12" t="s">
        <v>141</v>
      </c>
      <c r="C13" s="12" t="s">
        <v>142</v>
      </c>
      <c r="D13" s="12" t="s">
        <v>143</v>
      </c>
      <c r="E13" s="12" t="s">
        <v>144</v>
      </c>
      <c r="F13" s="12" t="s">
        <v>145</v>
      </c>
      <c r="G13" s="12" t="s">
        <v>114</v>
      </c>
    </row>
    <row r="14" spans="1:7" ht="22" customHeight="1" x14ac:dyDescent="0.55000000000000004">
      <c r="A14" s="32" t="s">
        <v>146</v>
      </c>
      <c r="B14" s="33" t="s">
        <v>147</v>
      </c>
      <c r="C14" s="33" t="s">
        <v>148</v>
      </c>
      <c r="D14" s="33" t="s">
        <v>149</v>
      </c>
      <c r="E14" s="33" t="s">
        <v>150</v>
      </c>
      <c r="F14" s="33" t="s">
        <v>151</v>
      </c>
      <c r="G14" s="27" t="s">
        <v>152</v>
      </c>
    </row>
    <row r="15" spans="1:7" ht="22" customHeight="1" x14ac:dyDescent="0.55000000000000004">
      <c r="A15" s="32" t="s">
        <v>153</v>
      </c>
      <c r="B15" s="34" t="s">
        <v>154</v>
      </c>
      <c r="C15" s="34" t="s">
        <v>155</v>
      </c>
      <c r="D15" s="34" t="s">
        <v>156</v>
      </c>
      <c r="E15" s="34" t="s">
        <v>157</v>
      </c>
      <c r="F15" s="34" t="s">
        <v>158</v>
      </c>
      <c r="G15" s="27" t="s">
        <v>152</v>
      </c>
    </row>
    <row r="16" spans="1:7" ht="22" customHeight="1" x14ac:dyDescent="0.55000000000000004">
      <c r="A16" s="32" t="s">
        <v>159</v>
      </c>
      <c r="B16" s="33" t="s">
        <v>154</v>
      </c>
      <c r="C16" s="33" t="s">
        <v>160</v>
      </c>
      <c r="D16" s="33" t="s">
        <v>161</v>
      </c>
      <c r="E16" s="33" t="s">
        <v>162</v>
      </c>
      <c r="F16" s="33" t="s">
        <v>163</v>
      </c>
      <c r="G16" s="27" t="s">
        <v>152</v>
      </c>
    </row>
    <row r="17" spans="1:7" ht="22" customHeight="1" x14ac:dyDescent="0.55000000000000004">
      <c r="A17" s="32" t="s">
        <v>164</v>
      </c>
      <c r="B17" s="34" t="s">
        <v>154</v>
      </c>
      <c r="C17" s="34" t="s">
        <v>165</v>
      </c>
      <c r="D17" s="34" t="s">
        <v>166</v>
      </c>
      <c r="E17" s="34" t="s">
        <v>167</v>
      </c>
      <c r="F17" s="34" t="s">
        <v>168</v>
      </c>
      <c r="G17" s="27" t="s">
        <v>152</v>
      </c>
    </row>
    <row r="18" spans="1:7" ht="22" customHeight="1" x14ac:dyDescent="0.55000000000000004">
      <c r="A18" s="32" t="s">
        <v>169</v>
      </c>
      <c r="B18" s="33" t="s">
        <v>154</v>
      </c>
      <c r="C18" s="33" t="s">
        <v>170</v>
      </c>
      <c r="D18" s="33" t="s">
        <v>171</v>
      </c>
      <c r="E18" s="33" t="s">
        <v>167</v>
      </c>
      <c r="F18" s="33" t="s">
        <v>172</v>
      </c>
      <c r="G18" s="27" t="s">
        <v>152</v>
      </c>
    </row>
    <row r="19" spans="1:7" ht="22" customHeight="1" x14ac:dyDescent="0.55000000000000004">
      <c r="A19" s="35" t="s">
        <v>173</v>
      </c>
      <c r="B19" s="25" t="s">
        <v>174</v>
      </c>
      <c r="C19" s="25" t="s">
        <v>175</v>
      </c>
      <c r="D19" s="25" t="s">
        <v>149</v>
      </c>
      <c r="E19" s="25" t="s">
        <v>150</v>
      </c>
      <c r="F19" s="25" t="s">
        <v>151</v>
      </c>
      <c r="G19" s="27" t="s">
        <v>152</v>
      </c>
    </row>
    <row r="20" spans="1:7" ht="22" customHeight="1" x14ac:dyDescent="0.55000000000000004">
      <c r="A20" s="35" t="s">
        <v>176</v>
      </c>
      <c r="B20" s="25" t="s">
        <v>174</v>
      </c>
      <c r="C20" s="25" t="s">
        <v>177</v>
      </c>
      <c r="D20" s="25" t="s">
        <v>161</v>
      </c>
      <c r="E20" s="25" t="s">
        <v>162</v>
      </c>
      <c r="F20" s="25" t="s">
        <v>163</v>
      </c>
      <c r="G20" s="27" t="s">
        <v>152</v>
      </c>
    </row>
    <row r="21" spans="1:7" ht="5.05" customHeight="1" x14ac:dyDescent="0.55000000000000004">
      <c r="A21" s="1"/>
      <c r="B21" s="1"/>
      <c r="C21" s="1"/>
      <c r="D21" s="1"/>
      <c r="E21" s="1"/>
      <c r="F21" s="1"/>
      <c r="G21" s="1"/>
    </row>
    <row r="22" spans="1:7" ht="22" customHeight="1" x14ac:dyDescent="0.55000000000000004">
      <c r="A22" s="73" t="s">
        <v>178</v>
      </c>
      <c r="B22" s="74"/>
      <c r="C22" s="74"/>
      <c r="D22" s="74"/>
      <c r="E22" s="74"/>
      <c r="F22" s="74"/>
      <c r="G22" s="74"/>
    </row>
    <row r="23" spans="1:7" ht="18" customHeight="1" x14ac:dyDescent="0.55000000000000004">
      <c r="A23" s="2"/>
      <c r="B23" s="2" t="s">
        <v>179</v>
      </c>
      <c r="C23" s="2"/>
      <c r="D23" s="2" t="s">
        <v>42</v>
      </c>
      <c r="E23" s="2"/>
      <c r="F23" s="2" t="s">
        <v>180</v>
      </c>
      <c r="G23" s="2"/>
    </row>
    <row r="24" spans="1:7" ht="22" customHeight="1" x14ac:dyDescent="0.55000000000000004">
      <c r="A24" s="36" t="s">
        <v>181</v>
      </c>
      <c r="B24" s="117" t="s">
        <v>182</v>
      </c>
      <c r="C24" s="85"/>
      <c r="D24" s="132" t="s">
        <v>183</v>
      </c>
      <c r="E24" s="133"/>
      <c r="F24" s="39" t="s">
        <v>184</v>
      </c>
      <c r="G24" s="3"/>
    </row>
    <row r="25" spans="1:7" ht="22" customHeight="1" x14ac:dyDescent="0.55000000000000004">
      <c r="A25" s="36" t="s">
        <v>185</v>
      </c>
      <c r="B25" s="117" t="s">
        <v>186</v>
      </c>
      <c r="C25" s="85"/>
      <c r="D25" s="132" t="s">
        <v>187</v>
      </c>
      <c r="E25" s="133"/>
      <c r="F25" s="39" t="s">
        <v>184</v>
      </c>
      <c r="G25" s="8"/>
    </row>
    <row r="26" spans="1:7" ht="22" customHeight="1" x14ac:dyDescent="0.55000000000000004">
      <c r="A26" s="36" t="s">
        <v>188</v>
      </c>
      <c r="B26" s="117" t="s">
        <v>189</v>
      </c>
      <c r="C26" s="85"/>
      <c r="D26" s="132" t="s">
        <v>190</v>
      </c>
      <c r="E26" s="133"/>
      <c r="F26" s="39" t="s">
        <v>184</v>
      </c>
      <c r="G26" s="3"/>
    </row>
    <row r="27" spans="1:7" ht="22" customHeight="1" x14ac:dyDescent="0.55000000000000004">
      <c r="A27" s="36" t="s">
        <v>191</v>
      </c>
      <c r="B27" s="123" t="s">
        <v>192</v>
      </c>
      <c r="C27" s="78"/>
      <c r="D27" s="128" t="s">
        <v>193</v>
      </c>
      <c r="E27" s="78"/>
      <c r="F27" s="39" t="s">
        <v>184</v>
      </c>
      <c r="G27" s="8"/>
    </row>
    <row r="28" spans="1:7" ht="22" customHeight="1" x14ac:dyDescent="0.55000000000000004">
      <c r="A28" s="36" t="s">
        <v>194</v>
      </c>
      <c r="B28" s="117" t="s">
        <v>195</v>
      </c>
      <c r="C28" s="85"/>
      <c r="D28" s="132" t="s">
        <v>196</v>
      </c>
      <c r="E28" s="133"/>
      <c r="F28" s="39" t="s">
        <v>184</v>
      </c>
      <c r="G28" s="3"/>
    </row>
    <row r="29" spans="1:7" ht="22" customHeight="1" x14ac:dyDescent="0.55000000000000004">
      <c r="A29" s="36" t="s">
        <v>197</v>
      </c>
      <c r="B29" s="123" t="s">
        <v>198</v>
      </c>
      <c r="C29" s="78"/>
      <c r="D29" s="128" t="s">
        <v>199</v>
      </c>
      <c r="E29" s="78"/>
      <c r="F29" s="39" t="s">
        <v>184</v>
      </c>
      <c r="G29" s="8"/>
    </row>
    <row r="30" spans="1:7" ht="22" customHeight="1" x14ac:dyDescent="0.55000000000000004">
      <c r="A30" s="36" t="s">
        <v>200</v>
      </c>
      <c r="B30" s="131" t="s">
        <v>201</v>
      </c>
      <c r="C30" s="80"/>
      <c r="D30" s="118" t="s">
        <v>202</v>
      </c>
      <c r="E30" s="80"/>
      <c r="F30" s="39" t="s">
        <v>184</v>
      </c>
      <c r="G30" s="3"/>
    </row>
    <row r="31" spans="1:7" ht="22" customHeight="1" x14ac:dyDescent="0.55000000000000004">
      <c r="A31" s="42" t="s">
        <v>203</v>
      </c>
      <c r="B31" s="121" t="s">
        <v>204</v>
      </c>
      <c r="C31" s="122"/>
      <c r="D31" s="124" t="s">
        <v>205</v>
      </c>
      <c r="E31" s="125"/>
      <c r="F31" s="39" t="s">
        <v>184</v>
      </c>
      <c r="G31" s="8"/>
    </row>
    <row r="32" spans="1:7" ht="22" customHeight="1" x14ac:dyDescent="0.55000000000000004">
      <c r="A32" s="36" t="s">
        <v>206</v>
      </c>
      <c r="B32" s="131" t="s">
        <v>207</v>
      </c>
      <c r="C32" s="80"/>
      <c r="D32" s="118" t="s">
        <v>208</v>
      </c>
      <c r="E32" s="80"/>
      <c r="F32" s="39" t="s">
        <v>184</v>
      </c>
      <c r="G32" s="3"/>
    </row>
    <row r="33" spans="1:7" ht="22" customHeight="1" x14ac:dyDescent="0.55000000000000004">
      <c r="A33" s="36" t="s">
        <v>209</v>
      </c>
      <c r="B33" s="123" t="s">
        <v>210</v>
      </c>
      <c r="C33" s="78"/>
      <c r="D33" s="128" t="s">
        <v>211</v>
      </c>
      <c r="E33" s="78"/>
      <c r="F33" s="39" t="s">
        <v>184</v>
      </c>
      <c r="G33" s="8"/>
    </row>
    <row r="34" spans="1:7" ht="22" customHeight="1" x14ac:dyDescent="0.55000000000000004">
      <c r="A34" s="36" t="s">
        <v>212</v>
      </c>
      <c r="B34" s="131" t="s">
        <v>213</v>
      </c>
      <c r="C34" s="80"/>
      <c r="D34" s="118" t="s">
        <v>214</v>
      </c>
      <c r="E34" s="80"/>
      <c r="F34" s="39" t="s">
        <v>184</v>
      </c>
      <c r="G34" s="3"/>
    </row>
    <row r="35" spans="1:7" ht="22" customHeight="1" x14ac:dyDescent="0.55000000000000004">
      <c r="A35" s="36" t="s">
        <v>215</v>
      </c>
      <c r="B35" s="123" t="s">
        <v>216</v>
      </c>
      <c r="C35" s="78"/>
      <c r="D35" s="128" t="s">
        <v>22</v>
      </c>
      <c r="E35" s="78"/>
      <c r="F35" s="39" t="s">
        <v>184</v>
      </c>
      <c r="G35" s="8"/>
    </row>
  </sheetData>
  <mergeCells count="41">
    <mergeCell ref="B35:C35"/>
    <mergeCell ref="D35:E35"/>
    <mergeCell ref="E8:G8"/>
    <mergeCell ref="A12:G12"/>
    <mergeCell ref="A2:G2"/>
    <mergeCell ref="B32:C32"/>
    <mergeCell ref="B26:C26"/>
    <mergeCell ref="A7:C7"/>
    <mergeCell ref="D26:E26"/>
    <mergeCell ref="A1:G1"/>
    <mergeCell ref="B29:C29"/>
    <mergeCell ref="B34:C34"/>
    <mergeCell ref="B28:C28"/>
    <mergeCell ref="A9:C9"/>
    <mergeCell ref="D28:E28"/>
    <mergeCell ref="D25:E25"/>
    <mergeCell ref="B24:C24"/>
    <mergeCell ref="B30:C30"/>
    <mergeCell ref="D24:E24"/>
    <mergeCell ref="D30:E30"/>
    <mergeCell ref="B33:C33"/>
    <mergeCell ref="E5:G5"/>
    <mergeCell ref="D33:E33"/>
    <mergeCell ref="D29:E29"/>
    <mergeCell ref="A6:C6"/>
    <mergeCell ref="E10:G10"/>
    <mergeCell ref="B25:C25"/>
    <mergeCell ref="D34:E34"/>
    <mergeCell ref="A22:G22"/>
    <mergeCell ref="A4:G4"/>
    <mergeCell ref="E9:G9"/>
    <mergeCell ref="B31:C31"/>
    <mergeCell ref="B27:C27"/>
    <mergeCell ref="D31:E31"/>
    <mergeCell ref="E6:G6"/>
    <mergeCell ref="A5:C5"/>
    <mergeCell ref="A8:C8"/>
    <mergeCell ref="D27:E27"/>
    <mergeCell ref="D32:E32"/>
    <mergeCell ref="E7:G7"/>
    <mergeCell ref="A10:C10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0" t="s">
        <v>217</v>
      </c>
      <c r="B1" s="74"/>
      <c r="C1" s="74"/>
      <c r="D1" s="74"/>
      <c r="E1" s="74"/>
      <c r="F1" s="74"/>
      <c r="G1" s="74"/>
    </row>
    <row r="2" spans="1:7" ht="20.05" customHeight="1" x14ac:dyDescent="0.55000000000000004">
      <c r="A2" s="139" t="s">
        <v>218</v>
      </c>
      <c r="B2" s="111"/>
      <c r="C2" s="111"/>
      <c r="D2" s="111"/>
      <c r="E2" s="111"/>
      <c r="F2" s="111"/>
      <c r="G2" s="111"/>
    </row>
    <row r="4" spans="1:7" ht="26.05" customHeight="1" x14ac:dyDescent="0.55000000000000004">
      <c r="A4" s="73" t="s">
        <v>219</v>
      </c>
      <c r="B4" s="74"/>
      <c r="C4" s="74"/>
      <c r="D4" s="74"/>
      <c r="E4" s="74"/>
      <c r="F4" s="74"/>
      <c r="G4" s="74"/>
    </row>
    <row r="5" spans="1:7" ht="18" customHeight="1" x14ac:dyDescent="0.55000000000000004">
      <c r="A5" s="46"/>
      <c r="B5" s="46" t="s">
        <v>220</v>
      </c>
      <c r="C5" s="46" t="s">
        <v>221</v>
      </c>
      <c r="D5" s="46" t="s">
        <v>222</v>
      </c>
      <c r="E5" s="46" t="s">
        <v>223</v>
      </c>
      <c r="F5" s="46" t="s">
        <v>224</v>
      </c>
      <c r="G5" s="46" t="s">
        <v>225</v>
      </c>
    </row>
    <row r="6" spans="1:7" ht="26.05" customHeight="1" x14ac:dyDescent="0.55000000000000004">
      <c r="A6" s="47" t="s">
        <v>223</v>
      </c>
      <c r="B6" s="47" t="s">
        <v>226</v>
      </c>
      <c r="C6" s="47" t="s">
        <v>227</v>
      </c>
      <c r="D6" s="47" t="s">
        <v>228</v>
      </c>
      <c r="E6" s="47" t="s">
        <v>229</v>
      </c>
      <c r="F6" s="47" t="s">
        <v>76</v>
      </c>
      <c r="G6" s="47" t="s">
        <v>230</v>
      </c>
    </row>
    <row r="7" spans="1:7" ht="26.05" customHeight="1" x14ac:dyDescent="0.55000000000000004">
      <c r="A7" s="48" t="s">
        <v>224</v>
      </c>
      <c r="B7" s="48" t="s">
        <v>226</v>
      </c>
      <c r="C7" s="48" t="s">
        <v>231</v>
      </c>
      <c r="D7" s="48" t="s">
        <v>232</v>
      </c>
      <c r="E7" s="48" t="s">
        <v>76</v>
      </c>
      <c r="F7" s="48" t="s">
        <v>229</v>
      </c>
      <c r="G7" s="48" t="s">
        <v>233</v>
      </c>
    </row>
    <row r="8" spans="1:7" ht="22" customHeight="1" x14ac:dyDescent="0.55000000000000004">
      <c r="A8" s="136" t="s">
        <v>234</v>
      </c>
      <c r="B8" s="80"/>
      <c r="C8" s="80"/>
      <c r="D8" s="80"/>
      <c r="E8" s="80"/>
      <c r="F8" s="80"/>
      <c r="G8" s="80"/>
    </row>
    <row r="9" spans="1:7" ht="26.05" customHeight="1" x14ac:dyDescent="0.55000000000000004">
      <c r="A9" s="73" t="s">
        <v>235</v>
      </c>
      <c r="B9" s="74"/>
      <c r="C9" s="74"/>
      <c r="D9" s="74"/>
      <c r="E9" s="74"/>
      <c r="F9" s="74"/>
      <c r="G9" s="74"/>
    </row>
    <row r="10" spans="1:7" ht="18" customHeight="1" x14ac:dyDescent="0.55000000000000004">
      <c r="A10" s="46"/>
      <c r="B10" s="46" t="s">
        <v>220</v>
      </c>
      <c r="C10" s="46" t="s">
        <v>221</v>
      </c>
      <c r="D10" s="46" t="s">
        <v>222</v>
      </c>
      <c r="E10" s="46" t="s">
        <v>223</v>
      </c>
      <c r="F10" s="46" t="s">
        <v>224</v>
      </c>
      <c r="G10" s="46" t="s">
        <v>225</v>
      </c>
    </row>
    <row r="11" spans="1:7" ht="26.05" customHeight="1" x14ac:dyDescent="0.55000000000000004">
      <c r="A11" s="47" t="s">
        <v>223</v>
      </c>
      <c r="B11" s="47" t="s">
        <v>236</v>
      </c>
      <c r="C11" s="47" t="s">
        <v>237</v>
      </c>
      <c r="D11" s="47" t="s">
        <v>238</v>
      </c>
      <c r="E11" s="47" t="s">
        <v>229</v>
      </c>
      <c r="F11" s="47" t="s">
        <v>76</v>
      </c>
      <c r="G11" s="47" t="s">
        <v>239</v>
      </c>
    </row>
    <row r="12" spans="1:7" ht="26.05" customHeight="1" x14ac:dyDescent="0.55000000000000004">
      <c r="A12" s="48" t="s">
        <v>224</v>
      </c>
      <c r="B12" s="48" t="s">
        <v>236</v>
      </c>
      <c r="C12" s="48" t="s">
        <v>227</v>
      </c>
      <c r="D12" s="48" t="s">
        <v>240</v>
      </c>
      <c r="E12" s="48" t="s">
        <v>76</v>
      </c>
      <c r="F12" s="48" t="s">
        <v>229</v>
      </c>
      <c r="G12" s="48" t="s">
        <v>241</v>
      </c>
    </row>
    <row r="13" spans="1:7" ht="26.05" customHeight="1" x14ac:dyDescent="0.55000000000000004">
      <c r="A13" s="134" t="s">
        <v>242</v>
      </c>
      <c r="B13" s="135"/>
      <c r="C13" s="135"/>
      <c r="D13" s="135"/>
      <c r="E13" s="135"/>
      <c r="F13" s="135"/>
      <c r="G13" s="135"/>
    </row>
    <row r="14" spans="1:7" ht="18" customHeight="1" x14ac:dyDescent="0.55000000000000004">
      <c r="A14" s="46"/>
      <c r="B14" s="46" t="s">
        <v>220</v>
      </c>
      <c r="C14" s="46" t="s">
        <v>221</v>
      </c>
      <c r="D14" s="46" t="s">
        <v>222</v>
      </c>
      <c r="E14" s="46" t="s">
        <v>223</v>
      </c>
      <c r="F14" s="46" t="s">
        <v>224</v>
      </c>
      <c r="G14" s="46" t="s">
        <v>225</v>
      </c>
    </row>
    <row r="15" spans="1:7" ht="22" customHeight="1" x14ac:dyDescent="0.55000000000000004">
      <c r="A15" s="47" t="s">
        <v>146</v>
      </c>
      <c r="B15" s="47" t="s">
        <v>243</v>
      </c>
      <c r="C15" s="47" t="s">
        <v>149</v>
      </c>
      <c r="D15" s="47" t="s">
        <v>244</v>
      </c>
      <c r="E15" s="47" t="s">
        <v>76</v>
      </c>
      <c r="F15" s="47" t="s">
        <v>245</v>
      </c>
      <c r="G15" s="47" t="s">
        <v>246</v>
      </c>
    </row>
    <row r="16" spans="1:7" ht="22" customHeight="1" x14ac:dyDescent="0.55000000000000004">
      <c r="A16" s="48" t="s">
        <v>153</v>
      </c>
      <c r="B16" s="48" t="s">
        <v>247</v>
      </c>
      <c r="C16" s="48" t="s">
        <v>156</v>
      </c>
      <c r="D16" s="48" t="s">
        <v>248</v>
      </c>
      <c r="E16" s="48" t="s">
        <v>76</v>
      </c>
      <c r="F16" s="48" t="s">
        <v>249</v>
      </c>
      <c r="G16" s="48" t="s">
        <v>250</v>
      </c>
    </row>
    <row r="17" spans="1:7" ht="22" customHeight="1" x14ac:dyDescent="0.55000000000000004">
      <c r="A17" s="47" t="s">
        <v>159</v>
      </c>
      <c r="B17" s="47" t="s">
        <v>251</v>
      </c>
      <c r="C17" s="47" t="s">
        <v>161</v>
      </c>
      <c r="D17" s="47" t="s">
        <v>252</v>
      </c>
      <c r="E17" s="47" t="s">
        <v>76</v>
      </c>
      <c r="F17" s="47" t="s">
        <v>253</v>
      </c>
      <c r="G17" s="47" t="s">
        <v>254</v>
      </c>
    </row>
    <row r="18" spans="1:7" ht="22" customHeight="1" x14ac:dyDescent="0.55000000000000004">
      <c r="A18" s="48" t="s">
        <v>164</v>
      </c>
      <c r="B18" s="48" t="s">
        <v>255</v>
      </c>
      <c r="C18" s="48" t="s">
        <v>166</v>
      </c>
      <c r="D18" s="48" t="s">
        <v>256</v>
      </c>
      <c r="E18" s="48" t="s">
        <v>76</v>
      </c>
      <c r="F18" s="48" t="s">
        <v>257</v>
      </c>
      <c r="G18" s="48" t="s">
        <v>258</v>
      </c>
    </row>
    <row r="19" spans="1:7" ht="22" customHeight="1" x14ac:dyDescent="0.55000000000000004">
      <c r="A19" s="47" t="s">
        <v>169</v>
      </c>
      <c r="B19" s="47" t="s">
        <v>255</v>
      </c>
      <c r="C19" s="47" t="s">
        <v>171</v>
      </c>
      <c r="D19" s="47" t="s">
        <v>259</v>
      </c>
      <c r="E19" s="47" t="s">
        <v>76</v>
      </c>
      <c r="F19" s="47" t="s">
        <v>260</v>
      </c>
      <c r="G19" s="47" t="s">
        <v>261</v>
      </c>
    </row>
    <row r="20" spans="1:7" ht="22" customHeight="1" x14ac:dyDescent="0.55000000000000004">
      <c r="A20" s="48" t="s">
        <v>173</v>
      </c>
      <c r="B20" s="48" t="s">
        <v>243</v>
      </c>
      <c r="C20" s="48" t="s">
        <v>149</v>
      </c>
      <c r="D20" s="48" t="s">
        <v>262</v>
      </c>
      <c r="E20" s="48" t="s">
        <v>76</v>
      </c>
      <c r="F20" s="48" t="s">
        <v>263</v>
      </c>
      <c r="G20" s="48" t="s">
        <v>264</v>
      </c>
    </row>
    <row r="21" spans="1:7" ht="22" customHeight="1" x14ac:dyDescent="0.55000000000000004">
      <c r="A21" s="47" t="s">
        <v>176</v>
      </c>
      <c r="B21" s="47" t="s">
        <v>251</v>
      </c>
      <c r="C21" s="47" t="s">
        <v>161</v>
      </c>
      <c r="D21" s="47" t="s">
        <v>265</v>
      </c>
      <c r="E21" s="47" t="s">
        <v>76</v>
      </c>
      <c r="F21" s="47" t="s">
        <v>266</v>
      </c>
      <c r="G21" s="47" t="s">
        <v>233</v>
      </c>
    </row>
    <row r="22" spans="1:7" ht="44.05" customHeight="1" x14ac:dyDescent="0.55000000000000004">
      <c r="A22" s="137" t="s">
        <v>267</v>
      </c>
      <c r="B22" s="138"/>
      <c r="C22" s="138"/>
      <c r="D22" s="138"/>
      <c r="E22" s="138"/>
      <c r="F22" s="138"/>
      <c r="G22" s="138"/>
    </row>
  </sheetData>
  <mergeCells count="7">
    <mergeCell ref="A13:G13"/>
    <mergeCell ref="A1:G1"/>
    <mergeCell ref="A9:G9"/>
    <mergeCell ref="A8:G8"/>
    <mergeCell ref="A22:G22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3" t="s">
        <v>268</v>
      </c>
      <c r="B1" s="74"/>
      <c r="C1" s="74"/>
      <c r="D1" s="74"/>
      <c r="E1" s="74"/>
      <c r="F1" s="74"/>
      <c r="G1" s="74"/>
    </row>
    <row r="2" spans="1:7" ht="22" customHeight="1" x14ac:dyDescent="0.55000000000000004">
      <c r="A2" s="141" t="s">
        <v>269</v>
      </c>
      <c r="B2" s="142"/>
      <c r="C2" s="142"/>
      <c r="D2" s="142"/>
      <c r="E2" s="142"/>
      <c r="F2" s="142"/>
      <c r="G2" s="142"/>
    </row>
    <row r="3" spans="1:7" ht="18" customHeight="1" x14ac:dyDescent="0.55000000000000004">
      <c r="A3" s="46" t="s">
        <v>140</v>
      </c>
      <c r="B3" s="46" t="s">
        <v>270</v>
      </c>
      <c r="C3" s="46" t="s">
        <v>271</v>
      </c>
      <c r="D3" s="46" t="s">
        <v>272</v>
      </c>
    </row>
    <row r="4" spans="1:7" ht="72" customHeight="1" x14ac:dyDescent="0.55000000000000004">
      <c r="A4" s="36" t="s">
        <v>273</v>
      </c>
      <c r="B4" s="41" t="s">
        <v>274</v>
      </c>
      <c r="C4" s="49" t="s">
        <v>275</v>
      </c>
      <c r="D4" s="50" t="s">
        <v>276</v>
      </c>
    </row>
    <row r="5" spans="1:7" ht="64" customHeight="1" x14ac:dyDescent="0.55000000000000004">
      <c r="A5" s="36" t="s">
        <v>277</v>
      </c>
      <c r="B5" s="40" t="s">
        <v>278</v>
      </c>
      <c r="C5" s="49" t="s">
        <v>279</v>
      </c>
      <c r="D5" s="51" t="s">
        <v>280</v>
      </c>
    </row>
    <row r="6" spans="1:7" ht="56.05" customHeight="1" x14ac:dyDescent="0.55000000000000004">
      <c r="A6" s="42" t="s">
        <v>281</v>
      </c>
      <c r="B6" s="37" t="s">
        <v>282</v>
      </c>
      <c r="C6" s="38" t="s">
        <v>283</v>
      </c>
      <c r="D6" s="52" t="s">
        <v>284</v>
      </c>
    </row>
    <row r="7" spans="1:7" ht="56.05" customHeight="1" x14ac:dyDescent="0.55000000000000004">
      <c r="A7" s="36" t="s">
        <v>285</v>
      </c>
      <c r="B7" s="41" t="s">
        <v>286</v>
      </c>
      <c r="C7" s="49" t="s">
        <v>287</v>
      </c>
      <c r="D7" s="50" t="s">
        <v>288</v>
      </c>
    </row>
    <row r="8" spans="1:7" ht="72" customHeight="1" x14ac:dyDescent="0.55000000000000004">
      <c r="A8" s="36" t="s">
        <v>289</v>
      </c>
      <c r="B8" s="40" t="s">
        <v>290</v>
      </c>
      <c r="C8" s="49" t="s">
        <v>291</v>
      </c>
      <c r="D8" s="51" t="s">
        <v>292</v>
      </c>
    </row>
    <row r="9" spans="1:7" ht="40" customHeight="1" x14ac:dyDescent="0.55000000000000004">
      <c r="A9" s="140" t="s">
        <v>293</v>
      </c>
      <c r="B9" s="103"/>
      <c r="C9" s="103"/>
      <c r="D9" s="103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6" t="s">
        <v>294</v>
      </c>
      <c r="B1" s="147"/>
      <c r="C1" s="147"/>
      <c r="D1" s="147"/>
      <c r="E1" s="147"/>
      <c r="F1" s="147"/>
    </row>
    <row r="2" spans="1:6" ht="22" customHeight="1" x14ac:dyDescent="0.55000000000000004">
      <c r="A2" s="144" t="s">
        <v>295</v>
      </c>
      <c r="B2" s="145"/>
      <c r="C2" s="145"/>
      <c r="D2" s="145"/>
      <c r="E2" s="145"/>
      <c r="F2" s="145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2" t="s">
        <v>296</v>
      </c>
      <c r="B4" s="153"/>
      <c r="C4" s="153"/>
      <c r="D4" s="153"/>
      <c r="E4" s="153"/>
      <c r="F4" s="153"/>
    </row>
    <row r="5" spans="1:6" ht="18" customHeight="1" x14ac:dyDescent="0.55000000000000004">
      <c r="A5" s="46"/>
      <c r="B5" s="46" t="s">
        <v>297</v>
      </c>
      <c r="C5" s="46" t="s">
        <v>298</v>
      </c>
      <c r="D5" s="46" t="s">
        <v>42</v>
      </c>
      <c r="E5" s="46" t="s">
        <v>299</v>
      </c>
      <c r="F5" s="46"/>
    </row>
    <row r="6" spans="1:6" ht="36" customHeight="1" x14ac:dyDescent="0.55000000000000004">
      <c r="A6" s="5"/>
      <c r="B6" s="53" t="s">
        <v>300</v>
      </c>
      <c r="C6" s="54" t="s">
        <v>301</v>
      </c>
      <c r="D6" s="55" t="s">
        <v>302</v>
      </c>
      <c r="E6" s="56" t="s">
        <v>46</v>
      </c>
      <c r="F6" s="5"/>
    </row>
    <row r="7" spans="1:6" ht="36" customHeight="1" x14ac:dyDescent="0.55000000000000004">
      <c r="A7" s="5"/>
      <c r="B7" s="53" t="s">
        <v>174</v>
      </c>
      <c r="C7" s="54" t="s">
        <v>303</v>
      </c>
      <c r="D7" s="55" t="s">
        <v>304</v>
      </c>
      <c r="E7" s="56" t="s">
        <v>305</v>
      </c>
      <c r="F7" s="5"/>
    </row>
    <row r="8" spans="1:6" ht="36" customHeight="1" x14ac:dyDescent="0.55000000000000004">
      <c r="A8" s="5"/>
      <c r="B8" s="53" t="s">
        <v>306</v>
      </c>
      <c r="C8" s="54" t="s">
        <v>307</v>
      </c>
      <c r="D8" s="55" t="s">
        <v>308</v>
      </c>
      <c r="E8" s="56" t="s">
        <v>309</v>
      </c>
      <c r="F8" s="5"/>
    </row>
    <row r="9" spans="1:6" ht="32.049999999999997" customHeight="1" x14ac:dyDescent="0.55000000000000004">
      <c r="A9" s="5"/>
      <c r="B9" s="53" t="s">
        <v>310</v>
      </c>
      <c r="C9" s="54" t="s">
        <v>311</v>
      </c>
      <c r="D9" s="55" t="s">
        <v>312</v>
      </c>
      <c r="E9" s="56" t="s">
        <v>313</v>
      </c>
      <c r="F9" s="5"/>
    </row>
    <row r="10" spans="1:6" ht="28" customHeight="1" x14ac:dyDescent="0.55000000000000004">
      <c r="A10" s="5"/>
      <c r="B10" s="53" t="s">
        <v>314</v>
      </c>
      <c r="C10" s="54" t="s">
        <v>315</v>
      </c>
      <c r="D10" s="55" t="s">
        <v>316</v>
      </c>
      <c r="E10" s="56" t="s">
        <v>317</v>
      </c>
      <c r="F10" s="5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0" t="s">
        <v>318</v>
      </c>
      <c r="B12" s="151"/>
      <c r="C12" s="151"/>
      <c r="D12" s="151"/>
      <c r="E12" s="151"/>
      <c r="F12" s="151"/>
    </row>
    <row r="13" spans="1:6" ht="18" customHeight="1" x14ac:dyDescent="0.55000000000000004">
      <c r="A13" s="46"/>
      <c r="B13" s="46" t="s">
        <v>297</v>
      </c>
      <c r="C13" s="46" t="s">
        <v>298</v>
      </c>
      <c r="D13" s="46" t="s">
        <v>42</v>
      </c>
      <c r="E13" s="46" t="s">
        <v>299</v>
      </c>
      <c r="F13" s="46"/>
    </row>
    <row r="14" spans="1:6" ht="32.049999999999997" customHeight="1" x14ac:dyDescent="0.55000000000000004">
      <c r="A14" s="57"/>
      <c r="B14" s="58" t="s">
        <v>319</v>
      </c>
      <c r="C14" s="59" t="s">
        <v>320</v>
      </c>
      <c r="D14" s="60" t="s">
        <v>321</v>
      </c>
      <c r="E14" s="61" t="s">
        <v>322</v>
      </c>
      <c r="F14" s="57"/>
    </row>
    <row r="15" spans="1:6" ht="32.049999999999997" customHeight="1" x14ac:dyDescent="0.55000000000000004">
      <c r="A15" s="57"/>
      <c r="B15" s="58" t="s">
        <v>323</v>
      </c>
      <c r="C15" s="59" t="s">
        <v>324</v>
      </c>
      <c r="D15" s="60" t="s">
        <v>325</v>
      </c>
      <c r="E15" s="61" t="s">
        <v>326</v>
      </c>
      <c r="F15" s="57"/>
    </row>
    <row r="16" spans="1:6" ht="5.05" customHeight="1" x14ac:dyDescent="0.55000000000000004">
      <c r="A16" s="1"/>
      <c r="B16" s="1"/>
      <c r="C16" s="1"/>
      <c r="D16" s="1"/>
      <c r="E16" s="1"/>
      <c r="F16" s="1"/>
    </row>
    <row r="17" spans="1:6" ht="36" customHeight="1" x14ac:dyDescent="0.55000000000000004">
      <c r="A17" s="148" t="s">
        <v>327</v>
      </c>
      <c r="B17" s="149"/>
      <c r="C17" s="149"/>
      <c r="D17" s="149"/>
      <c r="E17" s="149"/>
      <c r="F17" s="149"/>
    </row>
    <row r="18" spans="1:6" ht="18" customHeight="1" x14ac:dyDescent="0.55000000000000004">
      <c r="A18" s="62"/>
      <c r="B18" s="62" t="s">
        <v>297</v>
      </c>
      <c r="C18" s="62" t="s">
        <v>5</v>
      </c>
      <c r="D18" s="62" t="s">
        <v>328</v>
      </c>
      <c r="E18" s="62" t="s">
        <v>329</v>
      </c>
      <c r="F18" s="62"/>
    </row>
    <row r="19" spans="1:6" ht="32.049999999999997" customHeight="1" x14ac:dyDescent="0.55000000000000004">
      <c r="A19" s="45"/>
      <c r="B19" s="63" t="s">
        <v>330</v>
      </c>
      <c r="C19" s="64" t="s">
        <v>331</v>
      </c>
      <c r="D19" s="65" t="s">
        <v>332</v>
      </c>
      <c r="E19" s="66" t="s">
        <v>333</v>
      </c>
      <c r="F19" s="45"/>
    </row>
    <row r="20" spans="1:6" ht="32.049999999999997" customHeight="1" x14ac:dyDescent="0.55000000000000004">
      <c r="A20" s="45"/>
      <c r="B20" s="63" t="s">
        <v>334</v>
      </c>
      <c r="C20" s="64" t="s">
        <v>335</v>
      </c>
      <c r="D20" s="65" t="s">
        <v>336</v>
      </c>
      <c r="E20" s="66" t="s">
        <v>333</v>
      </c>
      <c r="F20" s="45"/>
    </row>
    <row r="21" spans="1:6" ht="32.049999999999997" customHeight="1" x14ac:dyDescent="0.55000000000000004">
      <c r="A21" s="45"/>
      <c r="B21" s="63" t="s">
        <v>337</v>
      </c>
      <c r="C21" s="64" t="s">
        <v>338</v>
      </c>
      <c r="D21" s="65" t="s">
        <v>339</v>
      </c>
      <c r="E21" s="66" t="s">
        <v>333</v>
      </c>
      <c r="F21" s="45"/>
    </row>
    <row r="22" spans="1:6" ht="32.049999999999997" customHeight="1" x14ac:dyDescent="0.55000000000000004">
      <c r="A22" s="45"/>
      <c r="B22" s="63" t="s">
        <v>340</v>
      </c>
      <c r="C22" s="64" t="s">
        <v>341</v>
      </c>
      <c r="D22" s="65" t="s">
        <v>342</v>
      </c>
      <c r="E22" s="66" t="s">
        <v>333</v>
      </c>
      <c r="F22" s="45"/>
    </row>
    <row r="23" spans="1:6" ht="32.049999999999997" customHeight="1" x14ac:dyDescent="0.55000000000000004">
      <c r="A23" s="57"/>
      <c r="B23" s="67" t="s">
        <v>343</v>
      </c>
      <c r="C23" s="68" t="s">
        <v>344</v>
      </c>
      <c r="D23" s="60" t="s">
        <v>345</v>
      </c>
      <c r="E23" s="69" t="s">
        <v>333</v>
      </c>
      <c r="F23" s="57"/>
    </row>
    <row r="24" spans="1:6" ht="32.049999999999997" customHeight="1" x14ac:dyDescent="0.55000000000000004">
      <c r="A24" s="57"/>
      <c r="B24" s="67" t="s">
        <v>346</v>
      </c>
      <c r="C24" s="68" t="s">
        <v>201</v>
      </c>
      <c r="D24" s="60" t="s">
        <v>347</v>
      </c>
      <c r="E24" s="69" t="s">
        <v>333</v>
      </c>
      <c r="F24" s="57"/>
    </row>
    <row r="25" spans="1:6" ht="32.049999999999997" customHeight="1" x14ac:dyDescent="0.55000000000000004">
      <c r="A25" s="44"/>
      <c r="B25" s="70" t="s">
        <v>348</v>
      </c>
      <c r="C25" s="43" t="s">
        <v>204</v>
      </c>
      <c r="D25" s="71" t="s">
        <v>349</v>
      </c>
      <c r="E25" s="72" t="s">
        <v>333</v>
      </c>
      <c r="F25" s="44"/>
    </row>
    <row r="26" spans="1:6" ht="32.049999999999997" customHeight="1" x14ac:dyDescent="0.55000000000000004">
      <c r="A26" s="57"/>
      <c r="B26" s="67" t="s">
        <v>350</v>
      </c>
      <c r="C26" s="68" t="s">
        <v>207</v>
      </c>
      <c r="D26" s="60" t="s">
        <v>208</v>
      </c>
      <c r="E26" s="69" t="s">
        <v>333</v>
      </c>
      <c r="F26" s="57"/>
    </row>
    <row r="27" spans="1:6" ht="32.049999999999997" customHeight="1" x14ac:dyDescent="0.55000000000000004">
      <c r="A27" s="57"/>
      <c r="B27" s="67" t="s">
        <v>351</v>
      </c>
      <c r="C27" s="68" t="s">
        <v>352</v>
      </c>
      <c r="D27" s="60" t="s">
        <v>353</v>
      </c>
      <c r="E27" s="69" t="s">
        <v>333</v>
      </c>
      <c r="F27" s="57"/>
    </row>
    <row r="28" spans="1:6" ht="32.049999999999997" customHeight="1" x14ac:dyDescent="0.55000000000000004">
      <c r="A28" s="57"/>
      <c r="B28" s="67" t="s">
        <v>354</v>
      </c>
      <c r="C28" s="68" t="s">
        <v>216</v>
      </c>
      <c r="D28" s="60" t="s">
        <v>22</v>
      </c>
      <c r="E28" s="69" t="s">
        <v>333</v>
      </c>
      <c r="F28" s="57"/>
    </row>
    <row r="29" spans="1:6" ht="5.05" customHeight="1" x14ac:dyDescent="0.55000000000000004">
      <c r="A29" s="1"/>
      <c r="B29" s="1"/>
      <c r="C29" s="1"/>
      <c r="D29" s="1"/>
      <c r="E29" s="1"/>
      <c r="F29" s="1"/>
    </row>
    <row r="30" spans="1:6" ht="52" customHeight="1" x14ac:dyDescent="0.55000000000000004">
      <c r="A30" s="140" t="s">
        <v>355</v>
      </c>
      <c r="B30" s="103"/>
      <c r="C30" s="103"/>
      <c r="D30" s="103"/>
      <c r="E30" s="103"/>
      <c r="F30" s="103"/>
    </row>
  </sheetData>
  <mergeCells count="6">
    <mergeCell ref="A30:F30"/>
    <mergeCell ref="A2:F2"/>
    <mergeCell ref="A1:F1"/>
    <mergeCell ref="A17:F17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2026-04-05T13:51:00Z</dcterms:created>
  <dcterms:modified xsi:type="dcterms:W3CDTF">2026-04-05T13:57:28Z</dcterms:modified>
</cp:coreProperties>
</file>