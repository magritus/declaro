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25A488E4-2DFC-4C15-9556-1E877D2070F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D9" i="2"/>
  <c r="D8" i="2"/>
  <c r="D7" i="2"/>
  <c r="D6" i="2"/>
  <c r="F57" i="1"/>
  <c r="D53" i="1"/>
  <c r="D11" i="2" s="1"/>
  <c r="D44" i="1"/>
  <c r="F56" i="1" s="1"/>
  <c r="E16" i="1"/>
  <c r="D5" i="2" s="1"/>
  <c r="D10" i="2" l="1"/>
</calcChain>
</file>

<file path=xl/sharedStrings.xml><?xml version="1.0" encoding="utf-8"?>
<sst xmlns="http://schemas.openxmlformats.org/spreadsheetml/2006/main" count="454" uniqueCount="364">
  <si>
    <t>302 – YATIRIM FON VE ORTAKLIĞI PORTFÖY İŞLETMECİLİĞİ KAZANCI | KVK Md.5/1-d | YMM TASDİK ÇALIŞMA KÂĞIDI</t>
  </si>
  <si>
    <t>KVK Md.5/1-d | MKYO · GYO · GSYO · GYF · BYF · EYF ve Diğer Fon/Ortaklıklar | %100 Tam İstisna | Zarar Olsa Dahi İndirilecek — Beyanname Satır 302</t>
  </si>
  <si>
    <t xml:space="preserve">  ★ TEMEL İLKE — PORTFÖY İÇİ / DIŞI AYRIMI: İstisna YALNIZCA portföy işletmeciliğinden doğan kazançlara uygulanır. Portföy dışı gelirler (yönetim ücreti, danışmanlık, portföyde olmayan taşınmaz kira geliri vb.) vergiye tabidir. Bu ayrımın muhasebede izlenmesi ve beyannamede doğru yansıtılması zorunludur.</t>
  </si>
  <si>
    <t xml:space="preserve">  RENK KODLARI: Sarı = Manuel giriş  |  Yeşil = Portföy içi (istisna)  |  Kırmızı = Portföy dışı (vergiye tabi)  |  Mavi = Otomatik hesaplama</t>
  </si>
  <si>
    <t>A0. KAPSAM VE NİTELİK UYGUNLUK ÖN KONTROLÜ</t>
  </si>
  <si>
    <t>Kontrol Sorusu</t>
  </si>
  <si>
    <t>Yanıt</t>
  </si>
  <si>
    <t>YMM Tasdik Notu</t>
  </si>
  <si>
    <t>A0.1  Kurum KVK Md.5/1-d kapsamında bir yatırım fonu veya ortaklığı mı?</t>
  </si>
  <si>
    <t>EVET</t>
  </si>
  <si>
    <t>KVK 5/1-d: MKYO, GYO, GSYO, Altyapı YO, BYF, EYF, GYF, GSYF, Altyapı YF, Konut Finansmanı Fonu, Varlık Finansmanı Fonu, Serbest Fon. Kurum türü SPK/BDDK lisansı ve ana sözleşmesi ile teyit edilmelidir.</t>
  </si>
  <si>
    <t>A0.2  ★ Portföy işletmeciliği kazancı, portföy DIŞI gelirlerden ayrıştırıldı mı?</t>
  </si>
  <si>
    <t>KRİTİK: İstisna YALNIZCA portföy kapsamındaki varlıklardan elde edilen gelirler için. Yönetim ücreti, danışmanlık komisyonu, portföyde olmayan gayrimenkul kira gelirleri istisna dışıdır. Muhasebede ayrı hesap takibi zorunludur.</t>
  </si>
  <si>
    <t>A0.3  Portföy kapsamı SPK/BKK/BDDK mevzuatına uygun tanımlandı mı?</t>
  </si>
  <si>
    <t>Her kurum türünün portföy kapsamı farklıdır: GYO → Gayrimenkul + MKTS + başka varlıklar. GSYO → Girişim şirketleri + MKTS. MKYO → Menkul kıymetler. Portföy dışına çıkan varlıklardan elde edilen gelir istisna değil.</t>
  </si>
  <si>
    <t>A0.4  Kurum türüne özgü özel durumlar değerlendirildi mi?</t>
  </si>
  <si>
    <t>GYO: İnşaat/Kat karşılığı gelirleri — portföy içi mi dışı mı? GSYO: Yönetim ücreti, danışmanlık, başarı primi — portföy dışı! EYF: Emeklilik sözleşmesi yönetim ücretleri — portföy dışı! B bölümünde kurum türü seçilerek özel durumlar izlenmeli.</t>
  </si>
  <si>
    <t>A0.5  Muhasebe ayrımı doğru kuruldu mu? (Portföy içi / dışı hesap ayrımı)</t>
  </si>
  <si>
    <t>Portföy işletmeciliği kazancının ayrı hesaplarda izlenmesi veya güvenilir bir dağıtım anahtarı uygulanması zorunludur. Karma hesaplarda tümü istisna sayılması hatalıdır.</t>
  </si>
  <si>
    <t>A0.6  Negatif portföy kazancı (zarar) beyanname tekniği doğru uygulandı mı?</t>
  </si>
  <si>
    <t>Portföy işletmeciliği zararı: 'Zarar Olsa Dahi İndirilecek' bölümünde gösterildiğinden matrahı azaltır. Negatif tutar durumunda uygulamanın doğruluğu teyit edilmeli.</t>
  </si>
  <si>
    <t>A0.7  YİAKV matrahında 302 doğru konumlandırıldı mı?</t>
  </si>
  <si>
    <t>KVK 5/1-d (302) istisnasının YİAKV matrahına etkisi dönem mevzuatı ve GİB açıklamalarıyla analiz edilmelidir. Portföy işletmeciliği kazancının YİAKV matrahından düşülüp düşülemeyeceği teyit edin.</t>
  </si>
  <si>
    <t>A0.8  YMM Tasdik Raporu gereksinimi değerlendirildi mi? (49 No.lu Tebliğ)</t>
  </si>
  <si>
    <t>49 No.lu Tebliğ (30.12.2025): Tek satır &gt;=500.000 TL veya toplam &gt;=1.000.000 TL → YMM raporu. Tam tasdik sözleşmesi olanlar ayrıca rapor düzenlemez.</t>
  </si>
  <si>
    <t>A0.9  Tasdik Uygunluk Sonucu</t>
  </si>
  <si>
    <t>★ A0.2 (portföy ayrımı) ve A0.5 (muhasebe ayrımı) kritik.</t>
  </si>
  <si>
    <t>A. MÜKELLEF BİLGİLERİ</t>
  </si>
  <si>
    <t>Kurumun Unvanı</t>
  </si>
  <si>
    <t>Portföy işletmeciliği istisnasını kullanan fon veya ortaklık</t>
  </si>
  <si>
    <t>Vergi Kimlik Numarası</t>
  </si>
  <si>
    <t>10 haneli VKN</t>
  </si>
  <si>
    <t>Hesap Dönemi</t>
  </si>
  <si>
    <t>Örn: 01.01.2025 – 31.12.2025</t>
  </si>
  <si>
    <t>Genel KV Oranı (%)</t>
  </si>
  <si>
    <t>2025: %25</t>
  </si>
  <si>
    <t>B. KURUM TÜRÜ VE PORTFÖY KAPSAM KONTROLÜ</t>
  </si>
  <si>
    <t xml:space="preserve">  Kurum türünü seçin → O türe özgü portföy kapsamı ve istisna/kapsam dışı gelir ayrımı C bölümünde uygulanır. Her kurum türünün portföy sınırları SPK/BKK/BDDK mevzuatıyla belirlenmiştir.</t>
  </si>
  <si>
    <t>Parametre</t>
  </si>
  <si>
    <t>Değer / Seçim</t>
  </si>
  <si>
    <t>Açıklama</t>
  </si>
  <si>
    <t>YMM Notu</t>
  </si>
  <si>
    <t>B.1  Kurum Türü Seçimi</t>
  </si>
  <si>
    <t>MKYO</t>
  </si>
  <si>
    <t>Listeden seçin</t>
  </si>
  <si>
    <t>Kurum türü istisna kapsamını ve portföy tanımını belirler.</t>
  </si>
  <si>
    <t>B.2  SPK/BKK/BDDK Lisans/Tescil Tarihi</t>
  </si>
  <si>
    <t>GG.AA.YYYY</t>
  </si>
  <si>
    <t>Kurum türünün yetkili makam onay/tescil tarihi</t>
  </si>
  <si>
    <t>B.3  Ana Sözleşme / Katılma Belgesi'ndeki Portföy Kapsamı</t>
  </si>
  <si>
    <t>Kısa özet girin</t>
  </si>
  <si>
    <t>Portföy yatırım stratejisi ve kapsam sınırları</t>
  </si>
  <si>
    <t>B.4  Portföy İçi Varlıkların Muhasebede Ayrı İzlenip İzlenmediği</t>
  </si>
  <si>
    <t>Ayrı hesap yoksa dağıtım anahtarı yöntemi açıklanmalı ve belgelenmeli.</t>
  </si>
  <si>
    <t>C. PORTFÖY İŞLETMECİLİĞİ KAZANCI — İstisna Kapsamı Gelirler (Portföy İçi)</t>
  </si>
  <si>
    <t xml:space="preserve">  Bu tabloya YALNIZCA portföydeki varlıklardan elde edilen gelirler girilir. Yeşil satırlar = İstisna kapsamı. Portföy varlıklarından: faiz, temettü, kira, değerleme artışı, satış kazancı. Portföy dışı herhangi bir geliri bu tabloya YALNITIZCA portföy kapsamında olduğu teyit edildikten sonra girin.</t>
  </si>
  <si>
    <t>Portföy İçi Gelir Kalemi</t>
  </si>
  <si>
    <t>Tutar (TL)</t>
  </si>
  <si>
    <t>C.1  Portföy Menkul Kıymet Faiz Gelirleri (Tahvil, Bono, Eurobond vb.)</t>
  </si>
  <si>
    <t>MKYO/BYF için ana kalem. Portföy listesiyle mutabık olmalı.</t>
  </si>
  <si>
    <t>C.2  Portföy Temettü / Kâr Payı Gelirleri (Hisse Senetleri)</t>
  </si>
  <si>
    <t>5/1-a kapsamındaki temettüler ayrıca değerlendirilebilir.</t>
  </si>
  <si>
    <t>C.3  Portföy Kira Gelirleri (GYO/GYF İçin — Portföydeki Taşınmazlar)</t>
  </si>
  <si>
    <t>GYO/GYF: Portföyde hangi taşınmazların olduğu güncel portföy raporuyla teyit edin.</t>
  </si>
  <si>
    <t>C.4  Portföy Menkul Kıymet / Varlık Satış Kazançları</t>
  </si>
  <si>
    <t>FIFO / Ağırlıklı ortalama maliyet yöntemine uygunluk kontrol edilmeli.</t>
  </si>
  <si>
    <t>C.5  Portföy VUK Değerleme Artışları (Borsa Rayici vb.)</t>
  </si>
  <si>
    <t>MKTS değerleme yöntemi SPK tebliğlerine uygun olmalı.</t>
  </si>
  <si>
    <t>C.6  Portföy Taşınmaz Geliştirme / Kira Benzeri Gelirler (GYO Özel)</t>
  </si>
  <si>
    <t>GYO dışı kurumlar için bu satırı BOŞ bırakın.</t>
  </si>
  <si>
    <t>C.7  Portföy Girişim Şirketi Gelirleri (GSYO/GSYF Özel)</t>
  </si>
  <si>
    <t>GSYO/GSYF dışı kurumlar için bu satırı BOŞ bırakın.</t>
  </si>
  <si>
    <t>C.8  Diğer Portföy İşletmeciliği Gelirleri</t>
  </si>
  <si>
    <t>Açıklama ekleyin.</t>
  </si>
  <si>
    <t>C.9  Portföy İşletme Giderleri (−) — Portföyle İlişkili Giderler</t>
  </si>
  <si>
    <t>Karma giderler için dağıtım anahtarıyla portföy payı belirlenmeli.</t>
  </si>
  <si>
    <t>C — NET PORTFÖY İŞLETMECİLİĞİ KAZANCI = 302 İSTİSNA TUTARI</t>
  </si>
  <si>
    <t>→ Beyanname Satır 302 (Zarar Olsa Dahi İndirilecek)</t>
  </si>
  <si>
    <t>D. PORTFÖY DIŞI GELİRLER — Vergiye Tabi (302 Satırına YAZILMAZ)</t>
  </si>
  <si>
    <t xml:space="preserve">  Bu tablodaki gelirler KVK 5/1-d istisnası dışındadır — beyanname matrahında yer alır. Portföy dışı taşınmaz kira, yönetim ücreti, danışmanlık komisyonu, başarı primi, portföyde olmayan menkul kıymet gelirleri bu tabloya alınır.</t>
  </si>
  <si>
    <t>Gelir Kalemi</t>
  </si>
  <si>
    <t>Kapsam Dışı Neden</t>
  </si>
  <si>
    <t>Kapsam Dışı-1</t>
  </si>
  <si>
    <t>Vergiye tabi — matrahta kalır</t>
  </si>
  <si>
    <t>Kapsam Dışı-2</t>
  </si>
  <si>
    <t>Kapsam Dışı-3</t>
  </si>
  <si>
    <t>Kapsam Dışı-4</t>
  </si>
  <si>
    <t>D — PORTFÖY DIŞI GELİRLER TOPLAMI (Vergiye Tabi)</t>
  </si>
  <si>
    <t>E. BEYANNAME 302 — PORTFÖY İŞLETMECİLİĞİ KAZANCI İSTİSNASI</t>
  </si>
  <si>
    <t>E.1  PORTFÖY İŞLETMECİLİĞİ KAZANCI İSTİSNASI → Beyanname Satır 302</t>
  </si>
  <si>
    <t>Zarar Olsa Dahi İndirilecek | %100 Tam İstisna</t>
  </si>
  <si>
    <t>E.2  Portföy Dışı (Vergiye Tabi) Kontrol</t>
  </si>
  <si>
    <t>Beyanname matrahında — 302'ye yazılmaz</t>
  </si>
  <si>
    <t xml:space="preserve">  ÖNEMLİ NOTLAR: (1) PORTFÖY TANIMI: İstisna kapsamı, kurumun SPK/BKK/BDDK onaylı portföy kapsamıyla sınırlıdır. (2) GYO ÖZEL: İnşaat/kat karşılığı gelirler portföy içi/dışı analizi zorunludur. (3) GSYO ÖZEL: Yönetim ücreti, danışmanlık, başarı primi portföy dışıdır — vergiye tabidir. (4) EYF ÖZEL: Sözleşme yönetim ücreti portföy dışıdır.</t>
  </si>
  <si>
    <t>302 – PORTFÖY İŞLETMECİLİĞİ | HESAPLAMALAR VE DENETİM KONTROL PANELİ</t>
  </si>
  <si>
    <t>KVK Md.5/1-d | MKYO · GYO · GSYO · BYF · EYF · GYF · GSYF ve Diğerleri | Portföy İçi / Dışı Ayrımı | %100 İstisna | Beyanname Satır 302</t>
  </si>
  <si>
    <t>A. TASDİK ÖZETİ — VERİ GİRİŞİNDEN OTOMATİK</t>
  </si>
  <si>
    <t>A0 Tasdik Uygunluğu</t>
  </si>
  <si>
    <t>A0.9 OK ise devam</t>
  </si>
  <si>
    <t>Kurum Türü (B.1)</t>
  </si>
  <si>
    <t>Portföy kapsamını belirler</t>
  </si>
  <si>
    <t>Muhasebe Ayrımı (B.4)</t>
  </si>
  <si>
    <t>EVET zorunlu</t>
  </si>
  <si>
    <t>Portföy İçi Gelirler Toplamı</t>
  </si>
  <si>
    <t>C.1-C.8 toplamı</t>
  </si>
  <si>
    <t>Portföy İşletme Giderleri</t>
  </si>
  <si>
    <t>C.9 — gider</t>
  </si>
  <si>
    <t>302 İSTİSNA TUTARI (E.1)</t>
  </si>
  <si>
    <t>Portföy Dışı (Vergiye Tabi — D)</t>
  </si>
  <si>
    <t>Matrahta kalır</t>
  </si>
  <si>
    <t>B. KURUM TÜRÜNE GÖRE PORTFÖY İÇİ / DIŞI GELİR SINIFLANDIRMA REHBERİ</t>
  </si>
  <si>
    <t xml:space="preserve">  Aşağıdaki tablo her kurum türü için hangi gelirlerin portföy içi (istisna) ve portföy dışı (vergiye tabi) sayıldığını gösterir. Mevzuatta değişiklik olması halinde güncel tebliğ ve tüzükler esas alınmalıdır.</t>
  </si>
  <si>
    <t>Kurum Türü</t>
  </si>
  <si>
    <t>Portföy İçi (İstisna — 302)</t>
  </si>
  <si>
    <t>Portföy Dışı (Vergiye Tabi)</t>
  </si>
  <si>
    <t>Hisse faiz, temettü, repo, değerleme artışı, MKTS satış kaz.</t>
  </si>
  <si>
    <t>Yönetim ücreti (olağandışı), portföy dışı varlık gelirleri</t>
  </si>
  <si>
    <t>GYO</t>
  </si>
  <si>
    <t>Portföydeki taşınmaz kira, MKTS geliri, portföy satış kazancı</t>
  </si>
  <si>
    <t>Portföy dışı taşınmaz geliri, inşaat taahhüt (tartışmalı), yönetim ücreti</t>
  </si>
  <si>
    <t>GSYO</t>
  </si>
  <si>
    <t>Portföy girişim şirketi kâr payı ve satış kazancı, MKTS gelirleri</t>
  </si>
  <si>
    <t>Yönetim ücreti, danışmanlık ücreti, başarı (performans) primi</t>
  </si>
  <si>
    <t>BYF</t>
  </si>
  <si>
    <t>Endeks takip geliri, hisse temettü, değerleme artışı</t>
  </si>
  <si>
    <t>Fon yönetim ücreti (ayrı kurum alır), fon dışı gelirler</t>
  </si>
  <si>
    <t>EYF</t>
  </si>
  <si>
    <t>Portföy faiz, temettü, değerleme artışı, satış kazancı</t>
  </si>
  <si>
    <t>Emeklilik sözleşme yönetim ücreti, sigorta komisyonu</t>
  </si>
  <si>
    <t>GYF</t>
  </si>
  <si>
    <t>Portföydeki taşınmaz kira, MKTS geliri, satış kazancı</t>
  </si>
  <si>
    <t>Portföy dışı taşınmaz, yönetim ücreti</t>
  </si>
  <si>
    <t>GSYF</t>
  </si>
  <si>
    <t>Girişim şirketi kâr payı/satış, MKTS geliri</t>
  </si>
  <si>
    <t>Yönetim/performans ücreti, danışmanlık</t>
  </si>
  <si>
    <t>Altyapı YO/YF</t>
  </si>
  <si>
    <t>Altyapı proje gelirleri, MKTS, portföy faiz/temettü</t>
  </si>
  <si>
    <t>Proje geliştirme danışmanlığı, portföy dışı gelirler</t>
  </si>
  <si>
    <t>C. DENETİM KONTROL LİSTESİ (K1–K11)</t>
  </si>
  <si>
    <t>Kontrol</t>
  </si>
  <si>
    <t>Açıklama ve Kanıt</t>
  </si>
  <si>
    <t>Sonuç</t>
  </si>
  <si>
    <t>YMM Aksiyonu</t>
  </si>
  <si>
    <t>K1</t>
  </si>
  <si>
    <t>Kurum KVK 5/1-d kapsamında mı? SPK/BKK/BDDK lisansı var mı?</t>
  </si>
  <si>
    <t>Kurum türü ve yetkili makam onayı teyit edilmelidir. Lisans belgesi + ana sözleşme tasdik dosyasında yer almalıdır.</t>
  </si>
  <si>
    <t>Uygun / Eksik / Risk</t>
  </si>
  <si>
    <t>K2</t>
  </si>
  <si>
    <t>★ Portföy içi / dışı gelir ayrımı muhasebede doğru kuruldu mu?</t>
  </si>
  <si>
    <t>Ayrı hesaplar veya güvenilir dağıtım anahtarı zorunludur. Karma hesaplarda tümünü istisna saymak hatalıdır.</t>
  </si>
  <si>
    <t>K3</t>
  </si>
  <si>
    <t>Portföy kapsamı SPK/BKK mevzuatına uygun mu? Portföy dışı varlık var mı?</t>
  </si>
  <si>
    <t>Portföy yatırım limitleri aşılmışsa veya portföy dışı varlık varsa bu varlıkların gelirleri istisna dışındadır.</t>
  </si>
  <si>
    <t>K4</t>
  </si>
  <si>
    <t>★ GYO Özel: İnşaat/Kat Karşılığı gelirleri doğru sınıflandırıldı mı?</t>
  </si>
  <si>
    <t>GYO'da inşaat taahhüt ve kat karşılığı gelirlerinin portföy içi/dışı sınıflaması tartışmalıdır. Güncel GİB görüşü veya özelge alınmalıdır.</t>
  </si>
  <si>
    <t>K5</t>
  </si>
  <si>
    <t>★ GSYO/GSYF Özel: Yönetim/Performans Ücreti portföy dışı olarak ayrıldı mı?</t>
  </si>
  <si>
    <t>GSYO/GSYF'nin yönetim ücreti, danışmanlık komisyonu ve başarı primi portföy işletmeciliği kazancı değildir — vergiye tabidir.</t>
  </si>
  <si>
    <t>K6</t>
  </si>
  <si>
    <t>EYF Özel: Emeklilik sözleşme yönetim ücreti portföy dışı alındı mı?</t>
  </si>
  <si>
    <t>EYF'nin emeklilik sözleşme yönetim ücreti portföy işletmeciliğinden değil, emeklilik sözleşmesi hizmetinden kaynaklanır → Vergiye tabi.</t>
  </si>
  <si>
    <t>K7</t>
  </si>
  <si>
    <t>Portföy dışı gelirler D tablosuna alındı mı? Matrahta doğru yansıtıldı mı?</t>
  </si>
  <si>
    <t>D tablosundaki tutarlar beyanname matrahında yer almalıdır. D tutarlarının beyanname ile mutabakatı sağlanmalıdır.</t>
  </si>
  <si>
    <t>K8</t>
  </si>
  <si>
    <t>Portföy işletme giderleri (C.9) doğru ayrıştırıldı mı?</t>
  </si>
  <si>
    <t>Yalnızca portföy faaliyetiyle ilgili giderler C.9'a alınmalıdır. Karma giderler için portföy / toplam gelir oranı gibi dağıtım anahtarı kullanılmalıdır.</t>
  </si>
  <si>
    <t>K9</t>
  </si>
  <si>
    <t>Portföy satış kazancı hesaplama yöntemi tutarlı mı?</t>
  </si>
  <si>
    <t>FIFO veya ağırlıklı ortalama maliyet yöntemi tutarlı biçimde uygulanmalıdır. Değerleme yöntemi dönem içinde değiştirilmişse açıklanmalıdır.</t>
  </si>
  <si>
    <t>K10</t>
  </si>
  <si>
    <t>YİAKV matrahında 302 istisnasının konumu analiz edildi mi?</t>
  </si>
  <si>
    <t>KVK 5/1-d portföy işletmeciliği kazancının YİAKV matrahına etkisi dönem mevzuatı ve GİB açıklamalarıyla analiz edilmeli.</t>
  </si>
  <si>
    <t>K11</t>
  </si>
  <si>
    <t>Beyanname 302 satırındaki tutar E.1 ile uyumlu mu?</t>
  </si>
  <si>
    <t>302 = Portföy İçi Net Kazanç (C.1-C.8 − C.9). Muhasebe hesapları = VERİ GİRİŞİ C toplamı = Beyanname 302 üç kademe uyum.</t>
  </si>
  <si>
    <t>D. BEYANNAME SATIR EŞLEŞTİRME</t>
  </si>
  <si>
    <t>Satır</t>
  </si>
  <si>
    <t>Tutar / Not</t>
  </si>
  <si>
    <t>302</t>
  </si>
  <si>
    <t>KVK 5/1-d — Portföy İşletmeciliği | %100 İstisna | Zarar Olsa Dahi İndirilecek</t>
  </si>
  <si>
    <t>297-301</t>
  </si>
  <si>
    <t>MKYO Diğer Kazançlar</t>
  </si>
  <si>
    <t>Yurt içi iştirak kâr payı (5/1-a) gibi ilgili diğer satırlar — ayrı değerlendirin</t>
  </si>
  <si>
    <t>387/317</t>
  </si>
  <si>
    <t>YD. İştirak Kâr Payı</t>
  </si>
  <si>
    <t>Portföy içindeki yabancı ortaklık kâr payları → Ayrıca 317/387 değerlendirilebilir</t>
  </si>
  <si>
    <t>302 – PORTFÖY İŞLETMECİLİĞİ KAZANCI | MUHASEBE KAYITLARI REHBERİ</t>
  </si>
  <si>
    <t>KVK Md.5/1-d | MKYO · GYO · GSYO ve Diğerleri | Portföy İçi / Dışı Ayrımı</t>
  </si>
  <si>
    <t xml:space="preserve">  NOT: Rehber niteliğindedir. Kurum türüne ve portföy yapısına göre uyarlanmalıdır. Portföy içi / dışı muhasebe ayrımı istisna uygulamasının dayanağıdır.</t>
  </si>
  <si>
    <t>KAYIT 1 — PORTFÖY FAİZ VE TEMETTÜ GELİRİ TAHAKKUKU (İstisna Kapsamı)</t>
  </si>
  <si>
    <t>Portföy menkul kıymetlerinden dönem faizi ve hisse senedi temettüsü</t>
  </si>
  <si>
    <t>Tarih</t>
  </si>
  <si>
    <t>Hesap Adı / Kodu</t>
  </si>
  <si>
    <t>Muhasebe Notu</t>
  </si>
  <si>
    <t>Dr (TL)</t>
  </si>
  <si>
    <t>Kr (TL)</t>
  </si>
  <si>
    <t>Referans</t>
  </si>
  <si>
    <t>Dr</t>
  </si>
  <si>
    <t>Tahakkuk</t>
  </si>
  <si>
    <t>241 Bağlı Ortaklıklar / 122 Alacaklar</t>
  </si>
  <si>
    <t>Portföy MK faiz/temettü alacağı — 5/1-d istisna kapsamı</t>
  </si>
  <si>
    <t>[Tutar]</t>
  </si>
  <si>
    <t>—</t>
  </si>
  <si>
    <t>Portföy raporu</t>
  </si>
  <si>
    <t>Kr</t>
  </si>
  <si>
    <t>642 İştirak Kazançları / 641 Faiz Gelirleri</t>
  </si>
  <si>
    <t>Portföy işletmeciliği geliri — İstisna (302 satırı)</t>
  </si>
  <si>
    <t>KV 302</t>
  </si>
  <si>
    <t>PORTFÖY İÇİ GELİR: Bu hesaplardaki tutarlar VERİ GİRİŞİ C tablosuna alınır ve beyanname 302. satırında istisna olarak gösterilir.</t>
  </si>
  <si>
    <t>KAYIT 2 — PORTFÖY DIŞI GELİR (Yönetim Ücreti / Danışmanlık — Vergiye Tabi)</t>
  </si>
  <si>
    <t>Portföy işletmeciliği dışı gelirler — GSYO/EYF gibi kurumlarda yönetim ücreti gibi</t>
  </si>
  <si>
    <t>221 Alacaklar / 180 Peşin Öd. Giderler</t>
  </si>
  <si>
    <t>Yönetim/performans ücreti alacağı — Portföy dışı — VERGIYE TABİ</t>
  </si>
  <si>
    <t>Sözleşme</t>
  </si>
  <si>
    <t>649 Diğer Olağandışı Gelir / 600 Yurt İçi Satışlar</t>
  </si>
  <si>
    <t>Portföy dışı gelir — 302 satırına YAZILMAZ — Matrahta kalır</t>
  </si>
  <si>
    <t>VERGİYE TABİ</t>
  </si>
  <si>
    <t>PORTFÖY DIŞI GELİR: Bu hesaplardaki tutarlar VERİ GİRİŞİ D tablosuna alınır ve beyanname matrahında yer alır — 302 satırına yazılmaz.</t>
  </si>
  <si>
    <t>KAYIT 3 — GYO ÖZEL: PORTFÖY TAŞINMAZ KİRA GELİRİ</t>
  </si>
  <si>
    <t>Ay sonu</t>
  </si>
  <si>
    <t>127 Diğer Ticari Alacaklar</t>
  </si>
  <si>
    <t>Portföyde kayıtlı taşınmazdan kira geliri tahakkuku — İstisna kapsamı</t>
  </si>
  <si>
    <t>[Kira]</t>
  </si>
  <si>
    <t>Kira sözleşmesi</t>
  </si>
  <si>
    <t>602 Kira Gelirleri</t>
  </si>
  <si>
    <t>GYO portföy taşınmaz kira — 5/1-d istisna (302 satırı)</t>
  </si>
  <si>
    <t>GYO DİKKAT: Yalnızca portföyde kayıtlı taşınmazların kira gelirleri istisna kapsamındadır. Portföy dışı taşınmaz kira gelirleri D tablosuna alınarak vergiye tabi tutulur. Portföy kayıt belgesi ile hangi taşınmazın portföyde olduğu teyit edilmelidir.</t>
  </si>
  <si>
    <t>KAYIT 4 — PORTFÖY MENKUL KIYMET DEĞERLEME (Dönem Sonu)</t>
  </si>
  <si>
    <t>31.12.20XX</t>
  </si>
  <si>
    <t>111-118 Menkul Kıymetler</t>
  </si>
  <si>
    <t>Portföy MK borsa rayici değerleme artışı — İstisna kapsamı</t>
  </si>
  <si>
    <t>[Artış]</t>
  </si>
  <si>
    <t>SPK değerleme</t>
  </si>
  <si>
    <t>644 / 649 Değerleme Gelirleri</t>
  </si>
  <si>
    <t>Portföy işletmeciliği değerleme geliri — 302 satırına dahil</t>
  </si>
  <si>
    <t>KAYIT 5 — BEYANNAME 302 MUTABAKAT NOTU</t>
  </si>
  <si>
    <t xml:space="preserve">  BEYANNAME 302 AKIŞI:
1. Portföy içi gelirler (642, 641, 602 portföy kısmı vb.) → VERİ GİRİŞİ C tablosu → Net portföy kazancı
2. Portföy dışı gelirler (yönetim ücreti, danışmanlık vb.) → VERİ GİRİŞİ D tablosu → Matrahta kalır
3. KV Beyannamesi 302. Satır: C tablosu net tutarı → 'Zarar Olsa Dahi İndirilecek' bölümü
3 KADEME UYUM KONTROLÜ:
Muhasebe portföy hesapları = VERİ GİRİŞİ C toplamı = Beyanname 302
KRİTİK: Portföy içi / dışı ayrımı doğru kurulmadan 302 güvenilir şekilde hesaplanamaz. Muhasebe kayıt politikası ve dağıtım anahtarı YMM tasdik dosyasına eklenmelidir.</t>
  </si>
  <si>
    <t>302 – PORTFÖY İŞLETMECİLİĞİ KAZANCI | DENETÇİ NOTLARI VE MESLEKİ DEĞERLENDİRME</t>
  </si>
  <si>
    <t>KVK Md.5/1-d | MKYO · GYO · GSYO · BYF · EYF ve Diğerleri | Portföy İçi / Dışı Ayrımı | %100 İstisna | Beyanname 302</t>
  </si>
  <si>
    <t>BÖLÜM 1 — YASAL DAYANAK, KAPSAM VE TEMEL İLKE</t>
  </si>
  <si>
    <t>Kod</t>
  </si>
  <si>
    <t>Konu</t>
  </si>
  <si>
    <t>Mesleki Değerlendirme</t>
  </si>
  <si>
    <t>Mevzuat</t>
  </si>
  <si>
    <t>N1</t>
  </si>
  <si>
    <t>KVK 5/1-d — Yasal Çerçeve ve Kapsam</t>
  </si>
  <si>
    <t>KVK Md.5/1-d: Türkiye'de kurulu ve kanunların öngördüğü şekilde kurulan yatırım fon ve ortaklıklarının portföy işletmeciliğinden doğan kazançları kurumlar vergisinden istisnadır.
Kapsam dahili kurumlar: MKYO, GYO, GSYO, Altyapı YO, BYF, EYF, GYF, GSYF, Altyapı YF, Konut Finansmanı Fonu, Varlık Finansmanı Fonu, Serbest Yatırım Fonu.
Beyanname Satır 302 | %100 Tam İstisna | Zarar Olsa Dahi İndirilecek.</t>
  </si>
  <si>
    <t>KVK Md.5/1-d | SPK/BKK/BDDK Mevzuatı</t>
  </si>
  <si>
    <t>N2</t>
  </si>
  <si>
    <t>★ Portföy İçi / Dışı Ayrımı — İstisnanın Temel Koşulu</t>
  </si>
  <si>
    <t>İstisna YALNIZCA portföy işletmeciliğinden doğan kazançlara uygulanır.
PORTFÖY İÇİ (İstisna — 302):
• Portföydeki varlıklardan elde edilen faiz, temettü, kira
• Portföy varlıklarının satışından doğan kazanç
• Portföy varlıklarının dönem sonu değerleme artışları
PORTFÖY DIŞI (Vergiye Tabi):
• Yönetim ücreti, performans/başarı primi, danışmanlık komisyonu
• Portföyde kayıtlı olmayan varlıklardan gelir
• Faaliyetle ilgili olmayan finansman gelirleri
YMM notu: Bu ayrımın muhasebede izlenmesi zorunludur. Ayrım yapılmadan 302 güvensizdir.</t>
  </si>
  <si>
    <t>KVK Md.5/1-d | Danıştay İçtihatları</t>
  </si>
  <si>
    <t>N3</t>
  </si>
  <si>
    <t>★ GYO Özel Durumları — En Tartışmalı Alan</t>
  </si>
  <si>
    <t>GYO portföyünde yer alan gayrimenkullerden elde edilen kira → İstisna kapsamı
GYO portföyünde OLMAYAN gayrimenkullerden kira → Vergiye tabi
TARTIŞMALI KONULAR:
① İnşaat/kat karşılığı projelerde geliştirme kazancı: Portföy işletmeciliği mi, inşaat faaliyeti mi?
② GYO'nun satış sözleşmesi kapsamındaki konut satışından elde ettiği gelir
③ Arsa geliştirme aşamasındaki gelirlerin sınıflaması
YMM notu: GYO inşaat/geliştirme gelirleri için güncel GİB görüşü veya özelge alınması şiddetle tavsiye edilir. Portföy kayıt belgesi her dönem güncel tutulmalıdır.</t>
  </si>
  <si>
    <t>KVK Md.5/1-d | GYO Tüzüğü | GİB Özelgeleri</t>
  </si>
  <si>
    <t>N4</t>
  </si>
  <si>
    <t>★ GSYO/GSYF Özel Durumları</t>
  </si>
  <si>
    <t>GSYO/GSYF portföy işletmeciliği kazancı (İstisna — 302):
• Portföydeki girişim şirketlerinden kâr payı ve satış kazancı
• Portföydeki MKTS gelirleri (faiz, temettü)
PORTFÖY DIŞI — VERGIYE TABİ:
• Yönetim ücreti (management fee)
• Başarı/Performans primi (carried interest / success fee)
• Danışmanlık/müşavirlik komisyonu
• Ortaklara yapılan hizmet bedelleri
YMM notu: GSYO'nun yönetim şirketi ile mükellefiyet ayrımı kritiktir. Yönetim şirketinin gelirleri GSYO'nun 302 istisna kazancı içine dahil edilemez.</t>
  </si>
  <si>
    <t>KVK Md.5/1-d | GSYO Tüzüğü | Danıştay</t>
  </si>
  <si>
    <t>BÖLÜM 2 — YMM TASDİK DEĞERLENDİRMESİ</t>
  </si>
  <si>
    <t>N5</t>
  </si>
  <si>
    <t>Muhasebe Ayrımı Yöntemi — YMM Tasdik Standardı</t>
  </si>
  <si>
    <t>İstisna ve vergiye tabi gelirin doğru ayrılması için iki yöntem kabul görmektedir:
YÖNTEM 1 — AYRI HESAPLAR:
Portföy geliri ve portföy dışı gelir ayrı hesaplarda izlenir. En güvenilir yöntemdir.
YÖNTEM 2 — DAĞITIM ANAHTARI:
Karma hesap kullanılıyorsa: Portföy varlıkları / Toplam varlıklar oranı gibi güvenilir bir anahtarla dağıtım yapılır.
YMM notu: Seçilen yöntem yazılı olarak belgelenmeli ve dönem içinde tutarlı uygulanmalıdır. Muhasebe politikası belgesi tasdik dosyasına eklenmelidir.</t>
  </si>
  <si>
    <t>KVK Md.5/1-d | VUK Md.175</t>
  </si>
  <si>
    <t>N6</t>
  </si>
  <si>
    <t>49 No.lu Tebliğ + YMM Tasdik Dil Standardı</t>
  </si>
  <si>
    <t>49 No.lu Tebliğ (30.12.2025): &gt;=500.000 TL → YMM raporu. Tam tasdik → ayrıca rapor yok.
KULLANIN:
'...portföy işletmeciliğinden doğan kazançlar mevzuat kapsamında tespit edilmiştir'
'...portföy içi ve dışı gelir ayrımı muhasebe kayıtlarına dayandırılmıştır'
'...kurum türünün portföy kapsamı SPK/BKK mevzuatıyla örtüşmektedir'
KULLANMAYIN:
'...tüm gelirler portföy işletmeciliğidir' | '...istisna kapsamında'
KRİTİK RİSK: (1) Portföy dışı gelirin 302'ye dahil edilmesi, (2) Muhasebe ayrımının yokluğu, (3) GYO/GSYO özel gelirlerinin yanlış sınıflaması.</t>
  </si>
  <si>
    <t>49 No.lu Tebliğ | SM-SMMM-YMM K. Md.12</t>
  </si>
  <si>
    <t>N7</t>
  </si>
  <si>
    <t>YİAKV ve Portföy İşletmeciliği</t>
  </si>
  <si>
    <t>KVK 5/1-d portföy işletmeciliği kazancının YİAKV (KVK 32/C) matrahına etkisi GİB'in bu konudaki açıklamalarıyla analiz edilmelidir.
YMM notu: YİAKV matrahı hesaplanırken 302 istisna tutarının nasıl dikkate alınacağı dönem mevzuatıyla teyit edilmeli ve YİAKV çalışma kâğıdında açıkça gösterilmelidir.</t>
  </si>
  <si>
    <t>KVK Md.32/C | YİAKV Tebliğleri</t>
  </si>
  <si>
    <t>N8</t>
  </si>
  <si>
    <t>Portföy Değerleme Yöntemi ve Muhasebe Tutarlılığı</t>
  </si>
  <si>
    <t>Portföy varlıklarının değerleme yöntemi (borsa rayici, alış bedeli, gerçeğe uygun değer) SPK/BKK tebliğlerine uygun ve tutarlı biçimde uygulanmalıdır.
Değerleme artış/azalışlarının 302 kapsamındaki gelir/gider hesabına doğru alındığı her dönem teyit edilmelidir.
YMM notu: Değerleme yöntemi değişikliği varsa açıklanmalı ve etkisi gösterilmelidir.</t>
  </si>
  <si>
    <t>SPK/BKK Değerleme Tebliğleri | VUK</t>
  </si>
  <si>
    <t>N9</t>
  </si>
  <si>
    <t>YMM Tasdik Kapsamı — Özel Raporlama</t>
  </si>
  <si>
    <t>GYO/GSYO gibi kurumlar için YMM tasdik raporu aşağıdakileri içermeli:
① Portföy kapsamının SPK/BKK belgesiyle doğrulanması
② Portföy içi / dışı gelir ayrım metodolojisinin açıklanması
③ Her gelir kalemi için portföy içi/dışı sınıflamasının gerekçesi
④ GYO'da: Portföydeki taşınmaz listesi ve kira geliri mutabakatı
⑤ GSYO'da: Yönetim ücreti ve portföy kazancı ayrıştırma tablosu
⑥ 302 satırı ile muhasebe hesap mutabakat tablosu</t>
  </si>
  <si>
    <t>SM-SMMM-YMM K. Md.12 | KVK Md.5/1-d</t>
  </si>
  <si>
    <t xml:space="preserve">  TARTIŞMALI ALAN — GYO İNŞAAT GELİRLERİ: GYO'nun portföyündeki arsa üzerinde gerçekleştirdiği inşaat/geliştirme faaliyetinden elde ettiği gelirin portföy işletmeciliği sayılıp sayılmayacağı konusunda GİB özelgeleri ve Danıştay kararları arasında tutarsızlık mevcuttur. Bu konuda özelge alınması ve ihtiyati yaklaşım benimsenmesi önerilir.</t>
  </si>
  <si>
    <t>302 – PORTFÖY İŞLETMECİLİĞİ KAZANCI | BELGE VE BİLGİ LİSTESİ | YMM TASDİK</t>
  </si>
  <si>
    <t>KVK Md.5/1-d | MKYO · GYO · GSYO · BYF · EYF ve Diğerleri | Portföy İçi / Dışı Ayrımı | %100 İstisna | Beyanname 302 | 49 No.lu Tebliğ</t>
  </si>
  <si>
    <t xml:space="preserve">  Kategori 1: Tüm kurum türleri için zorunlu belgeler. Kategori 2: Kurum türüne özgü ek belgeler. Kategori 3: YMM tasdik kontrol soruları (★ kritik).</t>
  </si>
  <si>
    <t>KATEGORİ 1 — ZORUNLU BELGELER (Tüm Kurum Türleri İçin)</t>
  </si>
  <si>
    <t>No</t>
  </si>
  <si>
    <t>Belge / Bilgi Adı</t>
  </si>
  <si>
    <t>Detay ve YMM Kontrol Noktaları</t>
  </si>
  <si>
    <t>Temin Yeri</t>
  </si>
  <si>
    <t>1</t>
  </si>
  <si>
    <t>SPK/BKK/BDDK Kuruluş/Faaliyet Lisans Belgesi</t>
  </si>
  <si>
    <t>Kurumun KVK 5/1-d kapsamında olduğunu kanıtlayan lisans/tescil belgesi.
Kurum türü (MKYO, GYO, GSYO vb.) ve portföy kapsamı açıkça görünmeli.
YMM notu: Lisans belgesi güncel olmalı; iptal/askıya alınma durumu kontrol edilmeli.</t>
  </si>
  <si>
    <t>SPK / BKK / BDDK resmi yazısı / lisans belgesi</t>
  </si>
  <si>
    <t>2</t>
  </si>
  <si>
    <t>Ana Sözleşme / Katılma Belgesi / İzahname (Portföy Kapsamı İçin)</t>
  </si>
  <si>
    <t>Kurumun portföy yatırım stratejisi ve kapsamını tanımlayan temel belge.
Portföyde yer alabilecek ve alamayacak varlıklar net tanımlanmış olmalı.
YMM notu: Portföy kapsamı bu belgeden tespit edilir — eksik veya muğlak ise risk oluşur.</t>
  </si>
  <si>
    <t>Şirket ana sözleşmesi / Fon katılma belgesi / SPK onaylı izahname</t>
  </si>
  <si>
    <t>3</t>
  </si>
  <si>
    <t>Portföy Varlık Listesi / Portföy Raporu (Dönem Başı ve Sonu)</t>
  </si>
  <si>
    <t>Dönem boyunca portföyde yer alan tüm varlıkların listesi.
Her varlığın portföy kodu, türü, iktisap tarihi, değeri bilgileri.
YMM notu: Portföy içi / dışı ayrımının dayanağıdır. GYO'da taşınmaz listesi kritiktir.</t>
  </si>
  <si>
    <t>Saklama kuruluşu raporu / Portföy yöneticisi raporu / Şirket kayıtları</t>
  </si>
  <si>
    <t>4</t>
  </si>
  <si>
    <t>Portföy İçi / Dışı Gelir Muhasebe Ayrım Belgesi</t>
  </si>
  <si>
    <t>Portföy işletmeciliği gelirlerinin portföy dışı gelirlerden nasıl ayrıştırıldığını gösteren belge.
Ayrı hesap kullanılıyorsa: Hesap planı ve hesap ekstresi.
Dağıtım anahtarı kullanılıyorsa: Anahtar formülü ve dönem hesabı.
YMM notu: Bu belge olmadan 302 istisna güvenilir şekilde tespit edilemez.</t>
  </si>
  <si>
    <t>Muhasebe politikası belgesi / Hesap planı / Dağıtım anahtarı tablosu</t>
  </si>
  <si>
    <t>5</t>
  </si>
  <si>
    <t>Portföy Değerleme Tablosu (Dönem Sonu — SPK Değerleme Esasları)</t>
  </si>
  <si>
    <t>Portföy varlıklarının dönem sonu değerleme hesabı ve kullanılan yöntem.
Borsa rayici, alış bedeli veya gerçeğe uygun değer — SPK tebliğine uygunluk.
YMM notu: Değerleme artış/azalışları C tablosundaki tutarlarla mutabık olmalıdır.</t>
  </si>
  <si>
    <t>Değerleme raporu / Saklama kuruluşu değerleme özeti</t>
  </si>
  <si>
    <t>6</t>
  </si>
  <si>
    <t>KV Beyannamesi Taslağı — 302. Satır</t>
  </si>
  <si>
    <t>302. satırındaki tutarın VERİ GİRİŞİ E.1 ile birebir uyumlu olduğu teyit edilmeli.
'Zarar Olsa Dahi İndirilecek' bölümünde doğru konumlandırıldığı kontrol edilmeli.
YMM notu: 302 = C net tutarı = Beyanname üç kademe uyum.</t>
  </si>
  <si>
    <t>GİB e-Beyanname sistemi</t>
  </si>
  <si>
    <t>7</t>
  </si>
  <si>
    <t>Muhasebe Hesap Ekstreleri (Portföy Gelir/Gider Hesapları)</t>
  </si>
  <si>
    <t>Portföy içi gelirlerin kaydedildiği muhasebe hesaplarının dönem ekstresi.
642, 641, 602 (portföy kira) gibi hesapların toplamı C tablosuna uyumlu olmalıdır.
YMM notu: Muhasebe = VERİ GİRİŞİ C = Beyanname 302 üç kademe uyum.</t>
  </si>
  <si>
    <t>Muhasebe programı — hesap ekstreleri</t>
  </si>
  <si>
    <t>KATEGORİ 2 — KURUM TÜRÜNE ÖZGÜ EK BELGELER</t>
  </si>
  <si>
    <t>8</t>
  </si>
  <si>
    <t>GYO: Portföy Taşınmaz Listesi ve Tapu/Kira Sözleşmeleri</t>
  </si>
  <si>
    <t>GYO portföyündeki taşınmazların güncel listesi (adres, tapusal bilgiler).
Kira gelirinin portföydeki taşınmazdan kaynaklandığını gösteren kira sözleşmeleri.
İnşaat/geliştirme gelirleri için ayrı analiz notu zorunludur.</t>
  </si>
  <si>
    <t>Tapu kayıtları / Kira sözleşmeleri / Portföy Yönetim Planı</t>
  </si>
  <si>
    <t>9</t>
  </si>
  <si>
    <t>GYO/GSYO: Portföy Dışı Gelir Ayrıştırma Tablosu</t>
  </si>
  <si>
    <t>Yönetim ücreti, danışmanlık, başarı primi gibi portföy dışı gelirlerin ayrı gösterildiği tablo.
Bu tutarların D tablosunda ve beyanname matrahında yer aldığı teyit edilmeli.
YMM notu: Portföy dışı gelirlerin 302'ye dahil edilmesi tarhiyat riski oluşturur.</t>
  </si>
  <si>
    <t>Sözleşmeler / Fatura kayıtları / Muhasebe hesap ekstresi</t>
  </si>
  <si>
    <t>10</t>
  </si>
  <si>
    <t>GSYO/GSYF: Girişim Şirketi Portföy Belgesi</t>
  </si>
  <si>
    <t>Portföyde yer alan girişim şirketlerinin listesi ve sermaye payları.
Şirketten elde edilen kâr payı ve satış kazancının portföy içi sayılacağının teyidi.
Başarı/performans priminin ayrı sözleşme ile portföy dışı tutulduğu belge.</t>
  </si>
  <si>
    <t>Ortaklık sözleşmeleri / Pay defteri / GSYO portföy tescil belgesi</t>
  </si>
  <si>
    <t>11</t>
  </si>
  <si>
    <t>YİAKV Matrah Hesaplama Tablosu (302 Etkisi)</t>
  </si>
  <si>
    <t>302 portföy işletmeciliği kazancının YİAKV matrahına etkisini gösteren hesaplama.
Güncel GİB açıklamaları ve dönem mevzuatı ile desteklenmeli.</t>
  </si>
  <si>
    <t>YİAKV çalışma kâğıdı / KVK 32/C Tebliğleri</t>
  </si>
  <si>
    <t>KATEGORİ 3 — YMM TASDİK KONTROL SORULARI (★ Kritik)</t>
  </si>
  <si>
    <t>Beklenen Sonuç / Tasdik Standardı</t>
  </si>
  <si>
    <t>S1</t>
  </si>
  <si>
    <t>Kurum türü KVK 5/1-d kapsamında mı? SPK/BKK/BDDK lisansı güncel mi?</t>
  </si>
  <si>
    <t>Lisans belgesi + ana sözleşme ile teyit. İptal/askı durumu kontrol edilmeli.</t>
  </si>
  <si>
    <t>YMM kontrolü</t>
  </si>
  <si>
    <t>S2</t>
  </si>
  <si>
    <t>Ayrı hesap veya belgelenmiş dağıtım anahtarı zorunludur. Ayrım yoksa 302 güvenilir değildir.</t>
  </si>
  <si>
    <t>S3</t>
  </si>
  <si>
    <t>★ GYO: İnşaat/geliştirme gelirleri portföy içi olarak mı sınıflandırıldı? Doğru mu?</t>
  </si>
  <si>
    <t>Tartışmalı alan — güncel özelge veya GİB görüşü alınmalıdır. İnşaat taahhüt geliri portföy işletmeciliği değil tartışmalıdır.</t>
  </si>
  <si>
    <t>S4</t>
  </si>
  <si>
    <t>★ GSYO/GSYF: Yönetim/performans ücreti portföy dışı (D tablosu) olarak alındı mı?</t>
  </si>
  <si>
    <t>Yönetim ücreti, başarı primi, danışmanlık → Portföy dışı. D tablosunda ve beyanname matrahında yer alması zorunludur.</t>
  </si>
  <si>
    <t>S5</t>
  </si>
  <si>
    <t>Portföy değerleme yöntemi SPK/BKK tebliğine uygun ve tutarlı mı?</t>
  </si>
  <si>
    <t>Dönem içinde yöntem değişikliği varsa açıklanmalı. C.5 (değerleme artışı) değerleme raporuyla uyumlu olmalı.</t>
  </si>
  <si>
    <t>S6</t>
  </si>
  <si>
    <t>Portföy dışı gelirler D tablosuna alındı mı? Matrahta doğru yansıdı mı?</t>
  </si>
  <si>
    <t>D toplamı ile beyanname matrahı arasındaki bağlantı gösterilmeli. D tutarlarının matrahta olmaması eksik vergileme riski oluşturur.</t>
  </si>
  <si>
    <t>S7</t>
  </si>
  <si>
    <t>Muhasebe hesap ekstresi ile VERİ GİRİŞİ C toplamı uyumlu mu?</t>
  </si>
  <si>
    <t>Üç kademe uyum: Muhasebe = C toplamı = Beyanname 302. Fark varsa kaynak belgelere inilmeli.</t>
  </si>
  <si>
    <t>S8</t>
  </si>
  <si>
    <t>YİAKV matrahında 302 etkisi analiz edildi mi?</t>
  </si>
  <si>
    <t>Güncel GİB açıklaması ile 302'nin YİAKV matrahına etkisi teyit edilmeli.</t>
  </si>
  <si>
    <t xml:space="preserve">  SON NOT: 49 No.lu Tebliğ: &gt;=500.000 TL → YMM raporu. Tam tasdik → ayrıca rapor yok. En kritik risk: Portföy dışı gelirlerin 302'ye dahil edilmesi. GYO inşaat gelirleri tartışmalı — özelge alınması önerilir. GSYO yönetim ücreti portföy dışıdır — kesinlikle ayrıştırılmalıdır. Muhasebe ayrım belgesi olmadan 302 güvenilir değildir.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</si>
</sst>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C0392B"/>
      <name val="Arial"/>
    </font>
    <font>
      <sz val="8"/>
      <color rgb="FF555555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b/>
      <sz val="10"/>
      <color rgb="FF1F3864"/>
      <name val="Arial"/>
    </font>
    <font>
      <sz val="9"/>
      <color rgb="FF1B5E20"/>
      <name val="Arial"/>
    </font>
    <font>
      <b/>
      <sz val="9"/>
      <color rgb="FF1B5E20"/>
      <name val="Arial"/>
    </font>
    <font>
      <b/>
      <sz val="13"/>
      <color rgb="FF1B5E20"/>
      <name val="Arial"/>
    </font>
    <font>
      <b/>
      <sz val="11"/>
      <color rgb="FFC0392B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0"/>
      <color rgb="FFC0392B"/>
      <name val="Arial"/>
    </font>
    <font>
      <b/>
      <sz val="9"/>
      <color rgb="FF7B5E00"/>
      <name val="Arial"/>
    </font>
    <font>
      <b/>
      <sz val="12"/>
      <color rgb="FFFFFFFF"/>
      <name val="Arial"/>
    </font>
    <font>
      <b/>
      <sz val="11"/>
      <color rgb="FF1B5E20"/>
      <name val="Arial"/>
    </font>
    <font>
      <sz val="8"/>
      <color rgb="FF1B5E20"/>
      <name val="Arial"/>
    </font>
    <font>
      <sz val="8"/>
      <color rgb="FFC0392B"/>
      <name val="Arial"/>
    </font>
    <font>
      <sz val="8"/>
      <color rgb="FF333333"/>
      <name val="Arial"/>
    </font>
    <font>
      <b/>
      <sz val="36"/>
      <color rgb="FFFFFFFF"/>
      <name val="Arial"/>
    </font>
    <font>
      <sz val="9"/>
      <color rgb="FF1F3864"/>
      <name val="Arial"/>
    </font>
    <font>
      <i/>
      <sz val="8"/>
      <color rgb="FF444444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3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EEF4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1B5E20"/>
      </patternFill>
    </fill>
    <fill>
      <patternFill patternType="solid">
        <fgColor rgb="FFB71C1C"/>
      </patternFill>
    </fill>
    <fill>
      <patternFill patternType="solid">
        <fgColor rgb="FFFFF5F5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F7F7F7"/>
      </patternFill>
    </fill>
    <fill>
      <patternFill patternType="solid">
        <fgColor rgb="FF4A148C"/>
      </patternFill>
    </fill>
    <fill>
      <patternFill patternType="solid">
        <fgColor rgb="FFEDE7F6"/>
      </patternFill>
    </fill>
    <fill>
      <patternFill patternType="solid">
        <fgColor rgb="FF922B21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4F8"/>
      </patternFill>
    </fill>
    <fill>
      <patternFill patternType="solid">
        <fgColor rgb="FFD0EAF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2" fillId="8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7" fillId="10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2" borderId="2" xfId="0" applyFill="1" applyBorder="1"/>
    <xf numFmtId="0" fontId="11" fillId="12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/>
    </xf>
    <xf numFmtId="0" fontId="0" fillId="2" borderId="2" xfId="0" applyFill="1" applyBorder="1"/>
    <xf numFmtId="0" fontId="17" fillId="12" borderId="3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0" fillId="15" borderId="2" xfId="0" applyFill="1" applyBorder="1"/>
    <xf numFmtId="0" fontId="0" fillId="14" borderId="2" xfId="0" applyFill="1" applyBorder="1"/>
    <xf numFmtId="0" fontId="18" fillId="16" borderId="2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left" vertical="center" wrapText="1"/>
    </xf>
    <xf numFmtId="0" fontId="24" fillId="9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center" vertical="top"/>
    </xf>
    <xf numFmtId="0" fontId="27" fillId="15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27" fillId="18" borderId="2" xfId="0" applyFont="1" applyFill="1" applyBorder="1" applyAlignment="1">
      <alignment horizontal="left" vertical="top" wrapText="1"/>
    </xf>
    <xf numFmtId="0" fontId="29" fillId="12" borderId="2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20" borderId="2" xfId="0" applyFont="1" applyFill="1" applyBorder="1" applyAlignment="1">
      <alignment horizontal="center" vertical="center" wrapText="1"/>
    </xf>
    <xf numFmtId="0" fontId="0" fillId="20" borderId="2" xfId="0" applyFill="1" applyBorder="1"/>
    <xf numFmtId="0" fontId="29" fillId="9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left" vertical="top" wrapText="1"/>
    </xf>
    <xf numFmtId="0" fontId="30" fillId="11" borderId="2" xfId="0" applyFont="1" applyFill="1" applyBorder="1" applyAlignment="1">
      <alignment horizontal="left" vertical="top" wrapText="1"/>
    </xf>
    <xf numFmtId="0" fontId="6" fillId="12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left" vertical="top" wrapText="1"/>
    </xf>
    <xf numFmtId="0" fontId="27" fillId="23" borderId="2" xfId="0" applyFont="1" applyFill="1" applyBorder="1" applyAlignment="1">
      <alignment horizontal="left" vertical="top" wrapText="1"/>
    </xf>
    <xf numFmtId="0" fontId="30" fillId="12" borderId="2" xfId="0" applyFont="1" applyFill="1" applyBorder="1" applyAlignment="1">
      <alignment horizontal="left" vertical="top" wrapText="1"/>
    </xf>
    <xf numFmtId="0" fontId="6" fillId="20" borderId="2" xfId="0" applyFont="1" applyFill="1" applyBorder="1" applyAlignment="1">
      <alignment horizontal="center" vertical="top"/>
    </xf>
    <xf numFmtId="0" fontId="6" fillId="20" borderId="2" xfId="0" applyFont="1" applyFill="1" applyBorder="1" applyAlignment="1">
      <alignment horizontal="left" vertical="top" wrapText="1"/>
    </xf>
    <xf numFmtId="0" fontId="27" fillId="25" borderId="2" xfId="0" applyFont="1" applyFill="1" applyBorder="1" applyAlignment="1">
      <alignment horizontal="left" vertical="top" wrapText="1"/>
    </xf>
    <xf numFmtId="0" fontId="30" fillId="20" borderId="2" xfId="0" applyFont="1" applyFill="1" applyBorder="1" applyAlignment="1">
      <alignment horizontal="left" vertical="top" wrapText="1"/>
    </xf>
    <xf numFmtId="0" fontId="2" fillId="26" borderId="1" xfId="0" applyFont="1" applyFill="1" applyBorder="1" applyAlignment="1">
      <alignment horizontal="center" vertical="center"/>
    </xf>
    <xf numFmtId="0" fontId="0" fillId="27" borderId="2" xfId="0" applyFill="1" applyBorder="1"/>
    <xf numFmtId="0" fontId="31" fillId="27" borderId="2" xfId="0" applyFont="1" applyFill="1" applyBorder="1" applyAlignment="1">
      <alignment horizontal="center" vertical="top"/>
    </xf>
    <xf numFmtId="0" fontId="31" fillId="27" borderId="2" xfId="0" applyFont="1" applyFill="1" applyBorder="1" applyAlignment="1">
      <alignment horizontal="left" vertical="top" wrapText="1"/>
    </xf>
    <xf numFmtId="0" fontId="27" fillId="9" borderId="2" xfId="0" applyFont="1" applyFill="1" applyBorder="1" applyAlignment="1">
      <alignment horizontal="left" vertical="top" wrapText="1"/>
    </xf>
    <xf numFmtId="0" fontId="32" fillId="27" borderId="2" xfId="0" applyFont="1" applyFill="1" applyBorder="1" applyAlignment="1">
      <alignment horizontal="center" vertical="top" wrapText="1"/>
    </xf>
    <xf numFmtId="0" fontId="0" fillId="28" borderId="2" xfId="0" applyFill="1" applyBorder="1"/>
    <xf numFmtId="0" fontId="31" fillId="28" borderId="2" xfId="0" applyFont="1" applyFill="1" applyBorder="1" applyAlignment="1">
      <alignment horizontal="center" vertical="top"/>
    </xf>
    <xf numFmtId="0" fontId="31" fillId="28" borderId="2" xfId="0" applyFont="1" applyFill="1" applyBorder="1" applyAlignment="1">
      <alignment horizontal="left" vertical="top" wrapText="1"/>
    </xf>
    <xf numFmtId="0" fontId="27" fillId="29" borderId="2" xfId="0" applyFont="1" applyFill="1" applyBorder="1" applyAlignment="1">
      <alignment horizontal="left" vertical="top" wrapText="1"/>
    </xf>
    <xf numFmtId="0" fontId="32" fillId="28" borderId="2" xfId="0" applyFont="1" applyFill="1" applyBorder="1" applyAlignment="1">
      <alignment horizontal="center" vertical="top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0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0" fillId="10" borderId="2" xfId="0" applyFill="1" applyBorder="1"/>
    <xf numFmtId="0" fontId="12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6" fillId="11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21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6" fillId="12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5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6" fillId="11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4" borderId="2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22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5" fillId="2" borderId="1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12" fillId="4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7" fillId="18" borderId="2" xfId="0" applyFont="1" applyFill="1" applyBorder="1" applyAlignment="1">
      <alignment horizontal="left" vertical="top" wrapText="1"/>
    </xf>
    <xf numFmtId="0" fontId="0" fillId="18" borderId="2" xfId="0" applyFill="1" applyBorder="1"/>
    <xf numFmtId="0" fontId="9" fillId="4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27" fillId="15" borderId="2" xfId="0" applyFont="1" applyFill="1" applyBorder="1" applyAlignment="1">
      <alignment horizontal="left" vertical="top" wrapText="1"/>
    </xf>
    <xf numFmtId="0" fontId="27" fillId="9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/>
    </xf>
    <xf numFmtId="0" fontId="27" fillId="11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8" fillId="2" borderId="1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 wrapText="1"/>
    </xf>
    <xf numFmtId="0" fontId="29" fillId="9" borderId="2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7" fillId="20" borderId="2" xfId="0" applyFont="1" applyFill="1" applyBorder="1" applyAlignment="1">
      <alignment horizontal="left" vertical="center" wrapText="1"/>
    </xf>
    <xf numFmtId="0" fontId="0" fillId="20" borderId="2" xfId="0" applyFill="1" applyBorder="1"/>
    <xf numFmtId="0" fontId="1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5" fillId="21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/>
    <xf numFmtId="0" fontId="13" fillId="22" borderId="2" xfId="0" applyFont="1" applyFill="1" applyBorder="1" applyAlignment="1">
      <alignment horizontal="left" vertical="center" wrapText="1"/>
    </xf>
    <xf numFmtId="0" fontId="0" fillId="22" borderId="2" xfId="0" applyFill="1" applyBorder="1"/>
    <xf numFmtId="0" fontId="5" fillId="24" borderId="1" xfId="0" applyFont="1" applyFill="1" applyBorder="1" applyAlignment="1">
      <alignment horizontal="left" vertical="center"/>
    </xf>
    <xf numFmtId="0" fontId="0" fillId="24" borderId="1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DC7A81-BA55-4CAC-B6A4-F51EFC7B871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423f00-ca9a-48c5-9700-439f616a81e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5" width="16" customWidth="1"/>
    <col min="6" max="6" width="12" customWidth="1"/>
    <col min="7" max="7" width="22" customWidth="1"/>
  </cols>
  <sheetData>
    <row r="1" spans="1:7" ht="44.05" customHeight="1" x14ac:dyDescent="0.55000000000000004">
      <c r="A1" s="82" t="s">
        <v>0</v>
      </c>
      <c r="B1" s="83"/>
      <c r="C1" s="83"/>
      <c r="D1" s="83"/>
      <c r="E1" s="83"/>
      <c r="F1" s="83"/>
      <c r="G1" s="83"/>
    </row>
    <row r="2" spans="1:7" ht="20.05" customHeight="1" x14ac:dyDescent="0.55000000000000004">
      <c r="A2" s="99" t="s">
        <v>1</v>
      </c>
      <c r="B2" s="100"/>
      <c r="C2" s="100"/>
      <c r="D2" s="100"/>
      <c r="E2" s="100"/>
      <c r="F2" s="100"/>
      <c r="G2" s="100"/>
    </row>
    <row r="3" spans="1:7" ht="40" customHeight="1" x14ac:dyDescent="0.55000000000000004">
      <c r="A3" s="84" t="s">
        <v>2</v>
      </c>
      <c r="B3" s="73"/>
      <c r="C3" s="73"/>
      <c r="D3" s="73"/>
      <c r="E3" s="73"/>
      <c r="F3" s="73"/>
      <c r="G3" s="73"/>
    </row>
    <row r="4" spans="1:7" ht="18" customHeight="1" x14ac:dyDescent="0.55000000000000004">
      <c r="A4" s="87" t="s">
        <v>3</v>
      </c>
      <c r="B4" s="88"/>
      <c r="C4" s="88"/>
      <c r="D4" s="88"/>
      <c r="E4" s="88"/>
      <c r="F4" s="88"/>
      <c r="G4" s="88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96" t="s">
        <v>4</v>
      </c>
      <c r="B6" s="97"/>
      <c r="C6" s="97"/>
      <c r="D6" s="97"/>
      <c r="E6" s="97"/>
      <c r="F6" s="97"/>
      <c r="G6" s="97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0" customHeight="1" x14ac:dyDescent="0.55000000000000004">
      <c r="A8" s="77" t="s">
        <v>8</v>
      </c>
      <c r="B8" s="65"/>
      <c r="C8" s="65"/>
      <c r="D8" s="65"/>
      <c r="E8" s="5" t="s">
        <v>9</v>
      </c>
      <c r="F8" s="79" t="s">
        <v>10</v>
      </c>
      <c r="G8" s="65"/>
    </row>
    <row r="9" spans="1:7" ht="30" customHeight="1" x14ac:dyDescent="0.55000000000000004">
      <c r="A9" s="80" t="s">
        <v>11</v>
      </c>
      <c r="B9" s="73"/>
      <c r="C9" s="73"/>
      <c r="D9" s="73"/>
      <c r="E9" s="5" t="s">
        <v>9</v>
      </c>
      <c r="F9" s="72" t="s">
        <v>12</v>
      </c>
      <c r="G9" s="73"/>
    </row>
    <row r="10" spans="1:7" ht="30" customHeight="1" x14ac:dyDescent="0.55000000000000004">
      <c r="A10" s="77" t="s">
        <v>13</v>
      </c>
      <c r="B10" s="65"/>
      <c r="C10" s="65"/>
      <c r="D10" s="65"/>
      <c r="E10" s="5" t="s">
        <v>9</v>
      </c>
      <c r="F10" s="79" t="s">
        <v>14</v>
      </c>
      <c r="G10" s="65"/>
    </row>
    <row r="11" spans="1:7" ht="30" customHeight="1" x14ac:dyDescent="0.55000000000000004">
      <c r="A11" s="66" t="s">
        <v>15</v>
      </c>
      <c r="B11" s="60"/>
      <c r="C11" s="60"/>
      <c r="D11" s="60"/>
      <c r="E11" s="5" t="s">
        <v>9</v>
      </c>
      <c r="F11" s="59" t="s">
        <v>16</v>
      </c>
      <c r="G11" s="60"/>
    </row>
    <row r="12" spans="1:7" ht="30" customHeight="1" x14ac:dyDescent="0.55000000000000004">
      <c r="A12" s="77" t="s">
        <v>17</v>
      </c>
      <c r="B12" s="65"/>
      <c r="C12" s="65"/>
      <c r="D12" s="65"/>
      <c r="E12" s="5" t="s">
        <v>9</v>
      </c>
      <c r="F12" s="79" t="s">
        <v>18</v>
      </c>
      <c r="G12" s="65"/>
    </row>
    <row r="13" spans="1:7" ht="30" customHeight="1" x14ac:dyDescent="0.55000000000000004">
      <c r="A13" s="66" t="s">
        <v>19</v>
      </c>
      <c r="B13" s="60"/>
      <c r="C13" s="60"/>
      <c r="D13" s="60"/>
      <c r="E13" s="5" t="s">
        <v>9</v>
      </c>
      <c r="F13" s="59" t="s">
        <v>20</v>
      </c>
      <c r="G13" s="60"/>
    </row>
    <row r="14" spans="1:7" ht="30" customHeight="1" x14ac:dyDescent="0.55000000000000004">
      <c r="A14" s="77" t="s">
        <v>21</v>
      </c>
      <c r="B14" s="65"/>
      <c r="C14" s="65"/>
      <c r="D14" s="65"/>
      <c r="E14" s="5" t="s">
        <v>9</v>
      </c>
      <c r="F14" s="79" t="s">
        <v>22</v>
      </c>
      <c r="G14" s="65"/>
    </row>
    <row r="15" spans="1:7" ht="30" customHeight="1" x14ac:dyDescent="0.55000000000000004">
      <c r="A15" s="66" t="s">
        <v>23</v>
      </c>
      <c r="B15" s="60"/>
      <c r="C15" s="60"/>
      <c r="D15" s="60"/>
      <c r="E15" s="5" t="s">
        <v>9</v>
      </c>
      <c r="F15" s="59" t="s">
        <v>24</v>
      </c>
      <c r="G15" s="60"/>
    </row>
    <row r="16" spans="1:7" ht="22" customHeight="1" x14ac:dyDescent="0.55000000000000004">
      <c r="A16" s="70" t="s">
        <v>25</v>
      </c>
      <c r="B16" s="62"/>
      <c r="C16" s="62"/>
      <c r="D16" s="62"/>
      <c r="E16" s="9" t="str">
        <f>IF(AND(E8="EVET",E9="EVET",E10="EVET",E11="EVET",E12="EVET",OR(E13="EVET",E13="Zarar Yok"),E14="EVET",E15="EVET"),"OK - Hesaplanabilir","HATA - Ön koşul eksik")</f>
        <v>OK - Hesaplanabilir</v>
      </c>
      <c r="F16" s="61" t="s">
        <v>26</v>
      </c>
      <c r="G16" s="62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91" t="s">
        <v>27</v>
      </c>
      <c r="B18" s="83"/>
      <c r="C18" s="83"/>
      <c r="D18" s="83"/>
      <c r="E18" s="83"/>
      <c r="F18" s="83"/>
      <c r="G18" s="83"/>
    </row>
    <row r="19" spans="1:7" ht="20.05" customHeight="1" x14ac:dyDescent="0.55000000000000004">
      <c r="A19" s="76" t="s">
        <v>28</v>
      </c>
      <c r="B19" s="60"/>
      <c r="C19" s="63"/>
      <c r="D19" s="63"/>
      <c r="E19" s="63"/>
      <c r="F19" s="78" t="s">
        <v>29</v>
      </c>
      <c r="G19" s="60"/>
    </row>
    <row r="20" spans="1:7" ht="20.05" customHeight="1" x14ac:dyDescent="0.55000000000000004">
      <c r="A20" s="71" t="s">
        <v>30</v>
      </c>
      <c r="B20" s="65"/>
      <c r="C20" s="63"/>
      <c r="D20" s="63"/>
      <c r="E20" s="63"/>
      <c r="F20" s="64" t="s">
        <v>31</v>
      </c>
      <c r="G20" s="65"/>
    </row>
    <row r="21" spans="1:7" ht="20.05" customHeight="1" x14ac:dyDescent="0.55000000000000004">
      <c r="A21" s="76" t="s">
        <v>32</v>
      </c>
      <c r="B21" s="60"/>
      <c r="C21" s="63"/>
      <c r="D21" s="63"/>
      <c r="E21" s="63"/>
      <c r="F21" s="78" t="s">
        <v>33</v>
      </c>
      <c r="G21" s="60"/>
    </row>
    <row r="22" spans="1:7" ht="20.05" customHeight="1" x14ac:dyDescent="0.55000000000000004">
      <c r="A22" s="71" t="s">
        <v>34</v>
      </c>
      <c r="B22" s="65"/>
      <c r="C22" s="63"/>
      <c r="D22" s="63"/>
      <c r="E22" s="63"/>
      <c r="F22" s="64" t="s">
        <v>35</v>
      </c>
      <c r="G22" s="65"/>
    </row>
    <row r="23" spans="1:7" ht="5.05" customHeight="1" x14ac:dyDescent="0.55000000000000004">
      <c r="A23" s="2"/>
      <c r="B23" s="2"/>
      <c r="C23" s="2"/>
      <c r="D23" s="2"/>
      <c r="E23" s="2"/>
      <c r="F23" s="2"/>
      <c r="G23" s="2"/>
    </row>
    <row r="24" spans="1:7" ht="24" customHeight="1" x14ac:dyDescent="0.55000000000000004">
      <c r="A24" s="91" t="s">
        <v>36</v>
      </c>
      <c r="B24" s="83"/>
      <c r="C24" s="83"/>
      <c r="D24" s="83"/>
      <c r="E24" s="83"/>
      <c r="F24" s="83"/>
      <c r="G24" s="83"/>
    </row>
    <row r="25" spans="1:7" ht="32.049999999999997" customHeight="1" x14ac:dyDescent="0.55000000000000004">
      <c r="A25" s="98" t="s">
        <v>37</v>
      </c>
      <c r="B25" s="65"/>
      <c r="C25" s="65"/>
      <c r="D25" s="65"/>
      <c r="E25" s="65"/>
      <c r="F25" s="65"/>
      <c r="G25" s="65"/>
    </row>
    <row r="26" spans="1:7" ht="18" customHeight="1" x14ac:dyDescent="0.55000000000000004">
      <c r="A26" s="3"/>
      <c r="B26" s="3" t="s">
        <v>38</v>
      </c>
      <c r="C26" s="3"/>
      <c r="D26" s="3" t="s">
        <v>39</v>
      </c>
      <c r="E26" s="3"/>
      <c r="F26" s="3" t="s">
        <v>40</v>
      </c>
      <c r="G26" s="3" t="s">
        <v>41</v>
      </c>
    </row>
    <row r="27" spans="1:7" ht="26.05" customHeight="1" x14ac:dyDescent="0.55000000000000004">
      <c r="A27" s="66" t="s">
        <v>42</v>
      </c>
      <c r="B27" s="60"/>
      <c r="C27" s="5" t="s">
        <v>43</v>
      </c>
      <c r="D27" s="78" t="s">
        <v>44</v>
      </c>
      <c r="E27" s="60"/>
      <c r="F27" s="59" t="s">
        <v>45</v>
      </c>
      <c r="G27" s="60"/>
    </row>
    <row r="28" spans="1:7" ht="26.05" customHeight="1" x14ac:dyDescent="0.55000000000000004">
      <c r="A28" s="77" t="s">
        <v>46</v>
      </c>
      <c r="B28" s="65"/>
      <c r="C28" s="10"/>
      <c r="D28" s="64" t="s">
        <v>47</v>
      </c>
      <c r="E28" s="65"/>
      <c r="F28" s="79" t="s">
        <v>48</v>
      </c>
      <c r="G28" s="65"/>
    </row>
    <row r="29" spans="1:7" ht="26.05" customHeight="1" x14ac:dyDescent="0.55000000000000004">
      <c r="A29" s="66" t="s">
        <v>49</v>
      </c>
      <c r="B29" s="60"/>
      <c r="C29" s="10"/>
      <c r="D29" s="78" t="s">
        <v>50</v>
      </c>
      <c r="E29" s="60"/>
      <c r="F29" s="59" t="s">
        <v>51</v>
      </c>
      <c r="G29" s="60"/>
    </row>
    <row r="30" spans="1:7" ht="26.05" customHeight="1" x14ac:dyDescent="0.55000000000000004">
      <c r="A30" s="77" t="s">
        <v>52</v>
      </c>
      <c r="B30" s="65"/>
      <c r="C30" s="5" t="s">
        <v>9</v>
      </c>
      <c r="D30" s="64" t="s">
        <v>44</v>
      </c>
      <c r="E30" s="65"/>
      <c r="F30" s="79" t="s">
        <v>53</v>
      </c>
      <c r="G30" s="65"/>
    </row>
    <row r="31" spans="1:7" ht="5.05" customHeight="1" x14ac:dyDescent="0.55000000000000004">
      <c r="A31" s="2"/>
      <c r="B31" s="2"/>
      <c r="C31" s="2"/>
      <c r="D31" s="2"/>
      <c r="E31" s="2"/>
      <c r="F31" s="2"/>
      <c r="G31" s="2"/>
    </row>
    <row r="32" spans="1:7" ht="24" customHeight="1" x14ac:dyDescent="0.55000000000000004">
      <c r="A32" s="85" t="s">
        <v>54</v>
      </c>
      <c r="B32" s="86"/>
      <c r="C32" s="86"/>
      <c r="D32" s="86"/>
      <c r="E32" s="86"/>
      <c r="F32" s="86"/>
      <c r="G32" s="86"/>
    </row>
    <row r="33" spans="1:7" ht="36" customHeight="1" x14ac:dyDescent="0.55000000000000004">
      <c r="A33" s="102" t="s">
        <v>55</v>
      </c>
      <c r="B33" s="62"/>
      <c r="C33" s="62"/>
      <c r="D33" s="62"/>
      <c r="E33" s="62"/>
      <c r="F33" s="62"/>
      <c r="G33" s="62"/>
    </row>
    <row r="34" spans="1:7" ht="18" customHeight="1" x14ac:dyDescent="0.55000000000000004">
      <c r="A34" s="11"/>
      <c r="B34" s="11" t="s">
        <v>56</v>
      </c>
      <c r="C34" s="11"/>
      <c r="D34" s="11" t="s">
        <v>57</v>
      </c>
      <c r="E34" s="11"/>
      <c r="F34" s="11" t="s">
        <v>40</v>
      </c>
      <c r="G34" s="11" t="s">
        <v>41</v>
      </c>
    </row>
    <row r="35" spans="1:7" ht="28" customHeight="1" x14ac:dyDescent="0.55000000000000004">
      <c r="A35" s="67" t="s">
        <v>58</v>
      </c>
      <c r="B35" s="62"/>
      <c r="C35" s="13"/>
      <c r="D35" s="78"/>
      <c r="E35" s="60"/>
      <c r="F35" s="59" t="s">
        <v>59</v>
      </c>
      <c r="G35" s="60"/>
    </row>
    <row r="36" spans="1:7" ht="28" customHeight="1" x14ac:dyDescent="0.55000000000000004">
      <c r="A36" s="67" t="s">
        <v>60</v>
      </c>
      <c r="B36" s="62"/>
      <c r="C36" s="13"/>
      <c r="D36" s="64"/>
      <c r="E36" s="65"/>
      <c r="F36" s="79" t="s">
        <v>61</v>
      </c>
      <c r="G36" s="65"/>
    </row>
    <row r="37" spans="1:7" ht="28" customHeight="1" x14ac:dyDescent="0.55000000000000004">
      <c r="A37" s="67" t="s">
        <v>62</v>
      </c>
      <c r="B37" s="62"/>
      <c r="C37" s="13"/>
      <c r="D37" s="78"/>
      <c r="E37" s="60"/>
      <c r="F37" s="59" t="s">
        <v>63</v>
      </c>
      <c r="G37" s="60"/>
    </row>
    <row r="38" spans="1:7" ht="28" customHeight="1" x14ac:dyDescent="0.55000000000000004">
      <c r="A38" s="67" t="s">
        <v>64</v>
      </c>
      <c r="B38" s="62"/>
      <c r="C38" s="13"/>
      <c r="D38" s="64"/>
      <c r="E38" s="65"/>
      <c r="F38" s="79" t="s">
        <v>65</v>
      </c>
      <c r="G38" s="65"/>
    </row>
    <row r="39" spans="1:7" ht="28" customHeight="1" x14ac:dyDescent="0.55000000000000004">
      <c r="A39" s="67" t="s">
        <v>66</v>
      </c>
      <c r="B39" s="62"/>
      <c r="C39" s="13"/>
      <c r="D39" s="78"/>
      <c r="E39" s="60"/>
      <c r="F39" s="59" t="s">
        <v>67</v>
      </c>
      <c r="G39" s="60"/>
    </row>
    <row r="40" spans="1:7" ht="28" customHeight="1" x14ac:dyDescent="0.55000000000000004">
      <c r="A40" s="67" t="s">
        <v>68</v>
      </c>
      <c r="B40" s="62"/>
      <c r="C40" s="13"/>
      <c r="D40" s="64"/>
      <c r="E40" s="65"/>
      <c r="F40" s="79" t="s">
        <v>69</v>
      </c>
      <c r="G40" s="65"/>
    </row>
    <row r="41" spans="1:7" ht="28" customHeight="1" x14ac:dyDescent="0.55000000000000004">
      <c r="A41" s="67" t="s">
        <v>70</v>
      </c>
      <c r="B41" s="62"/>
      <c r="C41" s="13"/>
      <c r="D41" s="78"/>
      <c r="E41" s="60"/>
      <c r="F41" s="59" t="s">
        <v>71</v>
      </c>
      <c r="G41" s="60"/>
    </row>
    <row r="42" spans="1:7" ht="28" customHeight="1" x14ac:dyDescent="0.55000000000000004">
      <c r="A42" s="67" t="s">
        <v>72</v>
      </c>
      <c r="B42" s="62"/>
      <c r="C42" s="13"/>
      <c r="D42" s="64"/>
      <c r="E42" s="65"/>
      <c r="F42" s="79" t="s">
        <v>73</v>
      </c>
      <c r="G42" s="65"/>
    </row>
    <row r="43" spans="1:7" ht="28" customHeight="1" x14ac:dyDescent="0.55000000000000004">
      <c r="A43" s="80" t="s">
        <v>74</v>
      </c>
      <c r="B43" s="73"/>
      <c r="C43" s="13"/>
      <c r="D43" s="101"/>
      <c r="E43" s="73"/>
      <c r="F43" s="72" t="s">
        <v>75</v>
      </c>
      <c r="G43" s="73"/>
    </row>
    <row r="44" spans="1:7" ht="28" customHeight="1" x14ac:dyDescent="0.55000000000000004">
      <c r="A44" s="14"/>
      <c r="B44" s="94" t="s">
        <v>76</v>
      </c>
      <c r="C44" s="95"/>
      <c r="D44" s="15">
        <f>SUM(D35:D42)-D43</f>
        <v>0</v>
      </c>
      <c r="E44" s="14"/>
      <c r="F44" s="14"/>
      <c r="G44" s="12" t="s">
        <v>77</v>
      </c>
    </row>
    <row r="45" spans="1:7" ht="5.05" customHeight="1" x14ac:dyDescent="0.55000000000000004">
      <c r="A45" s="2"/>
      <c r="B45" s="2"/>
      <c r="C45" s="2"/>
      <c r="D45" s="2"/>
      <c r="E45" s="2"/>
      <c r="F45" s="2"/>
      <c r="G45" s="2"/>
    </row>
    <row r="46" spans="1:7" ht="24" customHeight="1" x14ac:dyDescent="0.55000000000000004">
      <c r="A46" s="74" t="s">
        <v>78</v>
      </c>
      <c r="B46" s="75"/>
      <c r="C46" s="75"/>
      <c r="D46" s="75"/>
      <c r="E46" s="75"/>
      <c r="F46" s="75"/>
      <c r="G46" s="75"/>
    </row>
    <row r="47" spans="1:7" ht="36" customHeight="1" x14ac:dyDescent="0.55000000000000004">
      <c r="A47" s="84" t="s">
        <v>79</v>
      </c>
      <c r="B47" s="73"/>
      <c r="C47" s="73"/>
      <c r="D47" s="73"/>
      <c r="E47" s="73"/>
      <c r="F47" s="73"/>
      <c r="G47" s="73"/>
    </row>
    <row r="48" spans="1:7" ht="18" customHeight="1" x14ac:dyDescent="0.55000000000000004">
      <c r="A48" s="3"/>
      <c r="B48" s="3" t="s">
        <v>80</v>
      </c>
      <c r="C48" s="3" t="s">
        <v>81</v>
      </c>
      <c r="D48" s="3" t="s">
        <v>57</v>
      </c>
      <c r="E48" s="3"/>
      <c r="F48" s="3" t="s">
        <v>40</v>
      </c>
      <c r="G48" s="3"/>
    </row>
    <row r="49" spans="1:7" ht="26.05" customHeight="1" x14ac:dyDescent="0.55000000000000004">
      <c r="A49" s="1"/>
      <c r="B49" s="16" t="s">
        <v>82</v>
      </c>
      <c r="C49" s="13"/>
      <c r="D49" s="13"/>
      <c r="E49" s="1"/>
      <c r="F49" s="72" t="s">
        <v>83</v>
      </c>
      <c r="G49" s="73"/>
    </row>
    <row r="50" spans="1:7" ht="26.05" customHeight="1" x14ac:dyDescent="0.55000000000000004">
      <c r="A50" s="17"/>
      <c r="B50" s="16" t="s">
        <v>84</v>
      </c>
      <c r="C50" s="13"/>
      <c r="D50" s="13"/>
      <c r="E50" s="17"/>
      <c r="F50" s="92" t="s">
        <v>83</v>
      </c>
      <c r="G50" s="93"/>
    </row>
    <row r="51" spans="1:7" ht="26.05" customHeight="1" x14ac:dyDescent="0.55000000000000004">
      <c r="A51" s="1"/>
      <c r="B51" s="16" t="s">
        <v>85</v>
      </c>
      <c r="C51" s="13"/>
      <c r="D51" s="13"/>
      <c r="E51" s="1"/>
      <c r="F51" s="72" t="s">
        <v>83</v>
      </c>
      <c r="G51" s="73"/>
    </row>
    <row r="52" spans="1:7" ht="26.05" customHeight="1" x14ac:dyDescent="0.55000000000000004">
      <c r="A52" s="17"/>
      <c r="B52" s="16" t="s">
        <v>86</v>
      </c>
      <c r="C52" s="13"/>
      <c r="D52" s="13"/>
      <c r="E52" s="17"/>
      <c r="F52" s="92" t="s">
        <v>83</v>
      </c>
      <c r="G52" s="93"/>
    </row>
    <row r="53" spans="1:7" ht="24" customHeight="1" x14ac:dyDescent="0.55000000000000004">
      <c r="A53" s="18"/>
      <c r="B53" s="81" t="s">
        <v>87</v>
      </c>
      <c r="C53" s="69"/>
      <c r="D53" s="19">
        <f>SUM(D49:D52)</f>
        <v>0</v>
      </c>
      <c r="E53" s="1"/>
      <c r="F53" s="1"/>
      <c r="G53" s="1"/>
    </row>
    <row r="54" spans="1:7" ht="5.05" customHeight="1" x14ac:dyDescent="0.55000000000000004">
      <c r="A54" s="2"/>
      <c r="B54" s="2"/>
      <c r="C54" s="2"/>
      <c r="D54" s="2"/>
      <c r="E54" s="2"/>
      <c r="F54" s="2"/>
      <c r="G54" s="2"/>
    </row>
    <row r="55" spans="1:7" ht="26.05" customHeight="1" x14ac:dyDescent="0.55000000000000004">
      <c r="A55" s="82" t="s">
        <v>88</v>
      </c>
      <c r="B55" s="83"/>
      <c r="C55" s="83"/>
      <c r="D55" s="83"/>
      <c r="E55" s="83"/>
      <c r="F55" s="83"/>
      <c r="G55" s="83"/>
    </row>
    <row r="56" spans="1:7" ht="28" customHeight="1" x14ac:dyDescent="0.55000000000000004">
      <c r="A56" s="94" t="s">
        <v>89</v>
      </c>
      <c r="B56" s="95"/>
      <c r="C56" s="95"/>
      <c r="D56" s="95"/>
      <c r="E56" s="95"/>
      <c r="F56" s="20">
        <f>D44</f>
        <v>0</v>
      </c>
      <c r="G56" s="21" t="s">
        <v>90</v>
      </c>
    </row>
    <row r="57" spans="1:7" ht="28" customHeight="1" x14ac:dyDescent="0.55000000000000004">
      <c r="A57" s="68" t="s">
        <v>91</v>
      </c>
      <c r="B57" s="69"/>
      <c r="C57" s="69"/>
      <c r="D57" s="69"/>
      <c r="E57" s="69"/>
      <c r="F57" s="19">
        <f>D53</f>
        <v>0</v>
      </c>
      <c r="G57" s="6" t="s">
        <v>92</v>
      </c>
    </row>
    <row r="58" spans="1:7" ht="40" customHeight="1" x14ac:dyDescent="0.55000000000000004">
      <c r="A58" s="89" t="s">
        <v>93</v>
      </c>
      <c r="B58" s="90"/>
      <c r="C58" s="90"/>
      <c r="D58" s="90"/>
      <c r="E58" s="90"/>
      <c r="F58" s="90"/>
      <c r="G58" s="90"/>
    </row>
  </sheetData>
  <mergeCells count="91">
    <mergeCell ref="A2:G2"/>
    <mergeCell ref="F14:G14"/>
    <mergeCell ref="A40:B40"/>
    <mergeCell ref="A47:G47"/>
    <mergeCell ref="A14:D14"/>
    <mergeCell ref="F11:G11"/>
    <mergeCell ref="D40:E40"/>
    <mergeCell ref="F40:G40"/>
    <mergeCell ref="F12:G12"/>
    <mergeCell ref="D41:E41"/>
    <mergeCell ref="F41:G41"/>
    <mergeCell ref="F35:G35"/>
    <mergeCell ref="C19:E19"/>
    <mergeCell ref="F38:G38"/>
    <mergeCell ref="D43:E43"/>
    <mergeCell ref="F27:G27"/>
    <mergeCell ref="A6:G6"/>
    <mergeCell ref="D28:E28"/>
    <mergeCell ref="F22:G22"/>
    <mergeCell ref="A25:G25"/>
    <mergeCell ref="A38:B38"/>
    <mergeCell ref="D30:E30"/>
    <mergeCell ref="A18:G18"/>
    <mergeCell ref="A12:D12"/>
    <mergeCell ref="A20:B20"/>
    <mergeCell ref="F37:G37"/>
    <mergeCell ref="A29:B29"/>
    <mergeCell ref="A33:G33"/>
    <mergeCell ref="A58:G58"/>
    <mergeCell ref="D27:E27"/>
    <mergeCell ref="A24:G24"/>
    <mergeCell ref="F36:G36"/>
    <mergeCell ref="F50:G50"/>
    <mergeCell ref="B44:C44"/>
    <mergeCell ref="A43:B43"/>
    <mergeCell ref="F49:G49"/>
    <mergeCell ref="F51:G51"/>
    <mergeCell ref="A56:E56"/>
    <mergeCell ref="F52:G52"/>
    <mergeCell ref="D42:E42"/>
    <mergeCell ref="A1:G1"/>
    <mergeCell ref="D37:E37"/>
    <mergeCell ref="F28:G28"/>
    <mergeCell ref="F9:G9"/>
    <mergeCell ref="D39:E39"/>
    <mergeCell ref="F39:G39"/>
    <mergeCell ref="A3:G3"/>
    <mergeCell ref="D29:E29"/>
    <mergeCell ref="D38:E38"/>
    <mergeCell ref="A32:G32"/>
    <mergeCell ref="A8:D8"/>
    <mergeCell ref="A4:G4"/>
    <mergeCell ref="A36:B36"/>
    <mergeCell ref="A10:D10"/>
    <mergeCell ref="F21:G21"/>
    <mergeCell ref="F8:G8"/>
    <mergeCell ref="F10:G10"/>
    <mergeCell ref="F19:G19"/>
    <mergeCell ref="C22:E22"/>
    <mergeCell ref="A9:D9"/>
    <mergeCell ref="F30:G30"/>
    <mergeCell ref="F20:G20"/>
    <mergeCell ref="A11:D11"/>
    <mergeCell ref="A21:B21"/>
    <mergeCell ref="F43:G43"/>
    <mergeCell ref="A46:G46"/>
    <mergeCell ref="A19:B19"/>
    <mergeCell ref="A28:B28"/>
    <mergeCell ref="C20:E20"/>
    <mergeCell ref="A39:B39"/>
    <mergeCell ref="D35:E35"/>
    <mergeCell ref="A30:B30"/>
    <mergeCell ref="A37:B37"/>
    <mergeCell ref="F42:G42"/>
    <mergeCell ref="A41:B41"/>
    <mergeCell ref="A15:D15"/>
    <mergeCell ref="A27:B27"/>
    <mergeCell ref="A57:E57"/>
    <mergeCell ref="A42:B42"/>
    <mergeCell ref="A16:D16"/>
    <mergeCell ref="A22:B22"/>
    <mergeCell ref="A35:B35"/>
    <mergeCell ref="B53:C53"/>
    <mergeCell ref="A55:G55"/>
    <mergeCell ref="F29:G29"/>
    <mergeCell ref="F16:G16"/>
    <mergeCell ref="C21:E21"/>
    <mergeCell ref="D36:E36"/>
    <mergeCell ref="A13:D13"/>
    <mergeCell ref="F15:G15"/>
    <mergeCell ref="F13:G13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8">
    <dataValidation type="list" sqref="E8 E12 E10" xr:uid="{00000000-0002-0000-0000-000000000000}">
      <formula1>"EVET,HAYIR"</formula1>
    </dataValidation>
    <dataValidation type="list" sqref="E9" xr:uid="{00000000-0002-0000-0000-000001000000}">
      <formula1>"EVET,HAYIR,Kısmen"</formula1>
    </dataValidation>
    <dataValidation type="list" sqref="E11 E14" xr:uid="{00000000-0002-0000-0000-000003000000}">
      <formula1>"EVET,Analiz Gerekli"</formula1>
    </dataValidation>
    <dataValidation type="list" sqref="E13" xr:uid="{00000000-0002-0000-0000-000005000000}">
      <formula1>"EVET,Zarar Yok"</formula1>
    </dataValidation>
    <dataValidation type="list" sqref="E15" xr:uid="{00000000-0002-0000-0000-000007000000}">
      <formula1>"EVET,Tam Tasdik"</formula1>
    </dataValidation>
    <dataValidation type="list" sqref="C27" xr:uid="{00000000-0002-0000-0000-000008000000}">
      <formula1>"MKYO,GYO,GSYO,Altyapı YO,BYF,EYF,GYF,GSYF,Altyapı YF,Konut Fin. Fonu,Varlık Fin. Fonu,Serbest Fon"</formula1>
    </dataValidation>
    <dataValidation type="list" sqref="C30" xr:uid="{00000000-0002-0000-0000-000009000000}">
      <formula1>"EVET — Ayrı Hesaplar,EVET — Dağıtım Anahtarı,HAYIR — Karma"</formula1>
    </dataValidation>
    <dataValidation type="list" sqref="C49:C52" xr:uid="{00000000-0002-0000-0000-00000A000000}">
      <formula1>"Yönetim/Performans Ücreti,Danışmanlık Komisyonu,Portföy Dışı Taşınmaz Kira,Portföy Dışı MKTS,Finansman Geliri (Portföy Dışı),Diğer"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7" t="s">
        <v>94</v>
      </c>
      <c r="B1" s="83"/>
      <c r="C1" s="83"/>
      <c r="D1" s="83"/>
      <c r="E1" s="83"/>
      <c r="F1" s="83"/>
      <c r="G1" s="83"/>
    </row>
    <row r="2" spans="1:7" ht="20.05" customHeight="1" x14ac:dyDescent="0.55000000000000004">
      <c r="A2" s="99" t="s">
        <v>95</v>
      </c>
      <c r="B2" s="100"/>
      <c r="C2" s="100"/>
      <c r="D2" s="100"/>
      <c r="E2" s="100"/>
      <c r="F2" s="100"/>
      <c r="G2" s="100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85" t="s">
        <v>96</v>
      </c>
      <c r="B4" s="86"/>
      <c r="C4" s="86"/>
      <c r="D4" s="86"/>
      <c r="E4" s="86"/>
      <c r="F4" s="86"/>
      <c r="G4" s="86"/>
    </row>
    <row r="5" spans="1:7" ht="22" customHeight="1" x14ac:dyDescent="0.55000000000000004">
      <c r="A5" s="76" t="s">
        <v>97</v>
      </c>
      <c r="B5" s="60"/>
      <c r="C5" s="60"/>
      <c r="D5" s="22" t="str">
        <f>'VERİ GİRİŞİ'!E16</f>
        <v>OK - Hesaplanabilir</v>
      </c>
      <c r="E5" s="59" t="s">
        <v>98</v>
      </c>
      <c r="F5" s="60"/>
      <c r="G5" s="60"/>
    </row>
    <row r="6" spans="1:7" ht="22" customHeight="1" x14ac:dyDescent="0.55000000000000004">
      <c r="A6" s="71" t="s">
        <v>99</v>
      </c>
      <c r="B6" s="65"/>
      <c r="C6" s="65"/>
      <c r="D6" s="22" t="str">
        <f>'VERİ GİRİŞİ'!C27</f>
        <v>MKYO</v>
      </c>
      <c r="E6" s="79" t="s">
        <v>100</v>
      </c>
      <c r="F6" s="65"/>
      <c r="G6" s="65"/>
    </row>
    <row r="7" spans="1:7" ht="22" customHeight="1" x14ac:dyDescent="0.55000000000000004">
      <c r="A7" s="76" t="s">
        <v>101</v>
      </c>
      <c r="B7" s="60"/>
      <c r="C7" s="60"/>
      <c r="D7" s="22" t="str">
        <f>'VERİ GİRİŞİ'!C30</f>
        <v>EVET</v>
      </c>
      <c r="E7" s="59" t="s">
        <v>102</v>
      </c>
      <c r="F7" s="60"/>
      <c r="G7" s="60"/>
    </row>
    <row r="8" spans="1:7" ht="22" customHeight="1" x14ac:dyDescent="0.55000000000000004">
      <c r="A8" s="71" t="s">
        <v>103</v>
      </c>
      <c r="B8" s="65"/>
      <c r="C8" s="65"/>
      <c r="D8" s="22">
        <f>SUM('VERİ GİRİŞİ'!D35:D42)</f>
        <v>0</v>
      </c>
      <c r="E8" s="79" t="s">
        <v>104</v>
      </c>
      <c r="F8" s="65"/>
      <c r="G8" s="65"/>
    </row>
    <row r="9" spans="1:7" ht="22" customHeight="1" x14ac:dyDescent="0.55000000000000004">
      <c r="A9" s="76" t="s">
        <v>105</v>
      </c>
      <c r="B9" s="60"/>
      <c r="C9" s="60"/>
      <c r="D9" s="22">
        <f>'VERİ GİRİŞİ'!D43</f>
        <v>0</v>
      </c>
      <c r="E9" s="59" t="s">
        <v>106</v>
      </c>
      <c r="F9" s="60"/>
      <c r="G9" s="60"/>
    </row>
    <row r="10" spans="1:7" ht="22" customHeight="1" x14ac:dyDescent="0.55000000000000004">
      <c r="A10" s="70" t="s">
        <v>107</v>
      </c>
      <c r="B10" s="62"/>
      <c r="C10" s="62"/>
      <c r="D10" s="23">
        <f>'VERİ GİRİŞİ'!D44</f>
        <v>0</v>
      </c>
      <c r="E10" s="103"/>
      <c r="F10" s="62"/>
      <c r="G10" s="62"/>
    </row>
    <row r="11" spans="1:7" ht="22" customHeight="1" x14ac:dyDescent="0.55000000000000004">
      <c r="A11" s="120" t="s">
        <v>108</v>
      </c>
      <c r="B11" s="73"/>
      <c r="C11" s="73"/>
      <c r="D11" s="19">
        <f>'VERİ GİRİŞİ'!D53</f>
        <v>0</v>
      </c>
      <c r="E11" s="113" t="s">
        <v>109</v>
      </c>
      <c r="F11" s="73"/>
      <c r="G11" s="73"/>
    </row>
    <row r="12" spans="1:7" ht="5.05" customHeight="1" x14ac:dyDescent="0.55000000000000004">
      <c r="A12" s="2"/>
      <c r="B12" s="2"/>
      <c r="C12" s="2"/>
      <c r="D12" s="2"/>
      <c r="E12" s="2"/>
      <c r="F12" s="2"/>
      <c r="G12" s="2"/>
    </row>
    <row r="13" spans="1:7" ht="22" customHeight="1" x14ac:dyDescent="0.55000000000000004">
      <c r="A13" s="91" t="s">
        <v>110</v>
      </c>
      <c r="B13" s="83"/>
      <c r="C13" s="83"/>
      <c r="D13" s="83"/>
      <c r="E13" s="83"/>
      <c r="F13" s="83"/>
      <c r="G13" s="83"/>
    </row>
    <row r="14" spans="1:7" ht="32.049999999999997" customHeight="1" x14ac:dyDescent="0.55000000000000004">
      <c r="A14" s="98" t="s">
        <v>111</v>
      </c>
      <c r="B14" s="65"/>
      <c r="C14" s="65"/>
      <c r="D14" s="65"/>
      <c r="E14" s="65"/>
      <c r="F14" s="65"/>
      <c r="G14" s="65"/>
    </row>
    <row r="15" spans="1:7" ht="18" customHeight="1" x14ac:dyDescent="0.55000000000000004">
      <c r="A15" s="3"/>
      <c r="B15" s="3" t="s">
        <v>112</v>
      </c>
      <c r="C15" s="3"/>
      <c r="D15" s="3" t="s">
        <v>113</v>
      </c>
      <c r="E15" s="3"/>
      <c r="F15" s="3" t="s">
        <v>114</v>
      </c>
      <c r="G15" s="3"/>
    </row>
    <row r="16" spans="1:7" ht="28" customHeight="1" x14ac:dyDescent="0.55000000000000004">
      <c r="A16" s="112" t="s">
        <v>43</v>
      </c>
      <c r="B16" s="65"/>
      <c r="C16" s="111" t="s">
        <v>115</v>
      </c>
      <c r="D16" s="62"/>
      <c r="E16" s="104" t="s">
        <v>116</v>
      </c>
      <c r="F16" s="73"/>
      <c r="G16" s="73"/>
    </row>
    <row r="17" spans="1:7" ht="28" customHeight="1" x14ac:dyDescent="0.55000000000000004">
      <c r="A17" s="116" t="s">
        <v>117</v>
      </c>
      <c r="B17" s="60"/>
      <c r="C17" s="111" t="s">
        <v>118</v>
      </c>
      <c r="D17" s="62"/>
      <c r="E17" s="104" t="s">
        <v>119</v>
      </c>
      <c r="F17" s="73"/>
      <c r="G17" s="73"/>
    </row>
    <row r="18" spans="1:7" ht="28" customHeight="1" x14ac:dyDescent="0.55000000000000004">
      <c r="A18" s="112" t="s">
        <v>120</v>
      </c>
      <c r="B18" s="65"/>
      <c r="C18" s="111" t="s">
        <v>121</v>
      </c>
      <c r="D18" s="62"/>
      <c r="E18" s="104" t="s">
        <v>122</v>
      </c>
      <c r="F18" s="73"/>
      <c r="G18" s="73"/>
    </row>
    <row r="19" spans="1:7" ht="28" customHeight="1" x14ac:dyDescent="0.55000000000000004">
      <c r="A19" s="116" t="s">
        <v>123</v>
      </c>
      <c r="B19" s="60"/>
      <c r="C19" s="111" t="s">
        <v>124</v>
      </c>
      <c r="D19" s="62"/>
      <c r="E19" s="104" t="s">
        <v>125</v>
      </c>
      <c r="F19" s="73"/>
      <c r="G19" s="73"/>
    </row>
    <row r="20" spans="1:7" ht="28" customHeight="1" x14ac:dyDescent="0.55000000000000004">
      <c r="A20" s="112" t="s">
        <v>126</v>
      </c>
      <c r="B20" s="65"/>
      <c r="C20" s="111" t="s">
        <v>127</v>
      </c>
      <c r="D20" s="62"/>
      <c r="E20" s="104" t="s">
        <v>128</v>
      </c>
      <c r="F20" s="73"/>
      <c r="G20" s="73"/>
    </row>
    <row r="21" spans="1:7" ht="28" customHeight="1" x14ac:dyDescent="0.55000000000000004">
      <c r="A21" s="116" t="s">
        <v>129</v>
      </c>
      <c r="B21" s="60"/>
      <c r="C21" s="111" t="s">
        <v>130</v>
      </c>
      <c r="D21" s="62"/>
      <c r="E21" s="104" t="s">
        <v>131</v>
      </c>
      <c r="F21" s="73"/>
      <c r="G21" s="73"/>
    </row>
    <row r="22" spans="1:7" ht="28" customHeight="1" x14ac:dyDescent="0.55000000000000004">
      <c r="A22" s="112" t="s">
        <v>132</v>
      </c>
      <c r="B22" s="65"/>
      <c r="C22" s="111" t="s">
        <v>133</v>
      </c>
      <c r="D22" s="62"/>
      <c r="E22" s="104" t="s">
        <v>134</v>
      </c>
      <c r="F22" s="73"/>
      <c r="G22" s="73"/>
    </row>
    <row r="23" spans="1:7" ht="28" customHeight="1" x14ac:dyDescent="0.55000000000000004">
      <c r="A23" s="116" t="s">
        <v>135</v>
      </c>
      <c r="B23" s="60"/>
      <c r="C23" s="111" t="s">
        <v>136</v>
      </c>
      <c r="D23" s="62"/>
      <c r="E23" s="104" t="s">
        <v>137</v>
      </c>
      <c r="F23" s="73"/>
      <c r="G23" s="73"/>
    </row>
    <row r="24" spans="1:7" ht="5.05" customHeight="1" x14ac:dyDescent="0.55000000000000004">
      <c r="A24" s="2"/>
      <c r="B24" s="2"/>
      <c r="C24" s="2"/>
      <c r="D24" s="2"/>
      <c r="E24" s="2"/>
      <c r="F24" s="2"/>
      <c r="G24" s="2"/>
    </row>
    <row r="25" spans="1:7" ht="22" customHeight="1" x14ac:dyDescent="0.55000000000000004">
      <c r="A25" s="91" t="s">
        <v>138</v>
      </c>
      <c r="B25" s="83"/>
      <c r="C25" s="83"/>
      <c r="D25" s="83"/>
      <c r="E25" s="83"/>
      <c r="F25" s="83"/>
      <c r="G25" s="83"/>
    </row>
    <row r="26" spans="1:7" ht="18" customHeight="1" x14ac:dyDescent="0.55000000000000004">
      <c r="A26" s="3"/>
      <c r="B26" s="3" t="s">
        <v>139</v>
      </c>
      <c r="C26" s="3"/>
      <c r="D26" s="3" t="s">
        <v>140</v>
      </c>
      <c r="E26" s="3"/>
      <c r="F26" s="3" t="s">
        <v>141</v>
      </c>
      <c r="G26" s="3" t="s">
        <v>142</v>
      </c>
    </row>
    <row r="27" spans="1:7" ht="26.05" customHeight="1" x14ac:dyDescent="0.55000000000000004">
      <c r="A27" s="25" t="s">
        <v>143</v>
      </c>
      <c r="B27" s="108" t="s">
        <v>144</v>
      </c>
      <c r="C27" s="60"/>
      <c r="D27" s="115" t="s">
        <v>145</v>
      </c>
      <c r="E27" s="60"/>
      <c r="F27" s="27" t="s">
        <v>146</v>
      </c>
      <c r="G27" s="7"/>
    </row>
    <row r="28" spans="1:7" ht="26.05" customHeight="1" x14ac:dyDescent="0.55000000000000004">
      <c r="A28" s="25" t="s">
        <v>147</v>
      </c>
      <c r="B28" s="107" t="s">
        <v>148</v>
      </c>
      <c r="C28" s="73"/>
      <c r="D28" s="109" t="s">
        <v>149</v>
      </c>
      <c r="E28" s="93"/>
      <c r="F28" s="27" t="s">
        <v>146</v>
      </c>
      <c r="G28" s="4"/>
    </row>
    <row r="29" spans="1:7" ht="26.05" customHeight="1" x14ac:dyDescent="0.55000000000000004">
      <c r="A29" s="25" t="s">
        <v>150</v>
      </c>
      <c r="B29" s="108" t="s">
        <v>151</v>
      </c>
      <c r="C29" s="60"/>
      <c r="D29" s="115" t="s">
        <v>152</v>
      </c>
      <c r="E29" s="60"/>
      <c r="F29" s="27" t="s">
        <v>146</v>
      </c>
      <c r="G29" s="7"/>
    </row>
    <row r="30" spans="1:7" ht="26.05" customHeight="1" x14ac:dyDescent="0.55000000000000004">
      <c r="A30" s="25" t="s">
        <v>153</v>
      </c>
      <c r="B30" s="107" t="s">
        <v>154</v>
      </c>
      <c r="C30" s="73"/>
      <c r="D30" s="109" t="s">
        <v>155</v>
      </c>
      <c r="E30" s="93"/>
      <c r="F30" s="27" t="s">
        <v>146</v>
      </c>
      <c r="G30" s="4"/>
    </row>
    <row r="31" spans="1:7" ht="26.05" customHeight="1" x14ac:dyDescent="0.55000000000000004">
      <c r="A31" s="25" t="s">
        <v>156</v>
      </c>
      <c r="B31" s="107" t="s">
        <v>157</v>
      </c>
      <c r="C31" s="73"/>
      <c r="D31" s="109" t="s">
        <v>158</v>
      </c>
      <c r="E31" s="93"/>
      <c r="F31" s="27" t="s">
        <v>146</v>
      </c>
      <c r="G31" s="7"/>
    </row>
    <row r="32" spans="1:7" ht="26.05" customHeight="1" x14ac:dyDescent="0.55000000000000004">
      <c r="A32" s="25" t="s">
        <v>159</v>
      </c>
      <c r="B32" s="118" t="s">
        <v>160</v>
      </c>
      <c r="C32" s="65"/>
      <c r="D32" s="105" t="s">
        <v>161</v>
      </c>
      <c r="E32" s="106"/>
      <c r="F32" s="27" t="s">
        <v>146</v>
      </c>
      <c r="G32" s="4"/>
    </row>
    <row r="33" spans="1:7" ht="26.05" customHeight="1" x14ac:dyDescent="0.55000000000000004">
      <c r="A33" s="25" t="s">
        <v>162</v>
      </c>
      <c r="B33" s="108" t="s">
        <v>163</v>
      </c>
      <c r="C33" s="60"/>
      <c r="D33" s="115" t="s">
        <v>164</v>
      </c>
      <c r="E33" s="60"/>
      <c r="F33" s="27" t="s">
        <v>146</v>
      </c>
      <c r="G33" s="7"/>
    </row>
    <row r="34" spans="1:7" ht="26.05" customHeight="1" x14ac:dyDescent="0.55000000000000004">
      <c r="A34" s="25" t="s">
        <v>165</v>
      </c>
      <c r="B34" s="118" t="s">
        <v>166</v>
      </c>
      <c r="C34" s="65"/>
      <c r="D34" s="105" t="s">
        <v>167</v>
      </c>
      <c r="E34" s="106"/>
      <c r="F34" s="27" t="s">
        <v>146</v>
      </c>
      <c r="G34" s="4"/>
    </row>
    <row r="35" spans="1:7" ht="26.05" customHeight="1" x14ac:dyDescent="0.55000000000000004">
      <c r="A35" s="25" t="s">
        <v>168</v>
      </c>
      <c r="B35" s="108" t="s">
        <v>169</v>
      </c>
      <c r="C35" s="60"/>
      <c r="D35" s="115" t="s">
        <v>170</v>
      </c>
      <c r="E35" s="60"/>
      <c r="F35" s="27" t="s">
        <v>146</v>
      </c>
      <c r="G35" s="7"/>
    </row>
    <row r="36" spans="1:7" ht="26.05" customHeight="1" x14ac:dyDescent="0.55000000000000004">
      <c r="A36" s="25" t="s">
        <v>171</v>
      </c>
      <c r="B36" s="118" t="s">
        <v>172</v>
      </c>
      <c r="C36" s="65"/>
      <c r="D36" s="105" t="s">
        <v>173</v>
      </c>
      <c r="E36" s="106"/>
      <c r="F36" s="27" t="s">
        <v>146</v>
      </c>
      <c r="G36" s="4"/>
    </row>
    <row r="37" spans="1:7" ht="26.05" customHeight="1" x14ac:dyDescent="0.55000000000000004">
      <c r="A37" s="25" t="s">
        <v>174</v>
      </c>
      <c r="B37" s="108" t="s">
        <v>175</v>
      </c>
      <c r="C37" s="60"/>
      <c r="D37" s="115" t="s">
        <v>176</v>
      </c>
      <c r="E37" s="60"/>
      <c r="F37" s="27" t="s">
        <v>146</v>
      </c>
      <c r="G37" s="7"/>
    </row>
    <row r="38" spans="1:7" ht="5.05" customHeight="1" x14ac:dyDescent="0.55000000000000004">
      <c r="A38" s="2"/>
      <c r="B38" s="2"/>
      <c r="C38" s="2"/>
      <c r="D38" s="2"/>
      <c r="E38" s="2"/>
      <c r="F38" s="2"/>
      <c r="G38" s="2"/>
    </row>
    <row r="39" spans="1:7" ht="22" customHeight="1" x14ac:dyDescent="0.55000000000000004">
      <c r="A39" s="91" t="s">
        <v>177</v>
      </c>
      <c r="B39" s="83"/>
      <c r="C39" s="83"/>
      <c r="D39" s="83"/>
      <c r="E39" s="83"/>
      <c r="F39" s="83"/>
      <c r="G39" s="83"/>
    </row>
    <row r="40" spans="1:7" ht="18" customHeight="1" x14ac:dyDescent="0.55000000000000004">
      <c r="A40" s="3"/>
      <c r="B40" s="3" t="s">
        <v>178</v>
      </c>
      <c r="C40" s="3"/>
      <c r="D40" s="3" t="s">
        <v>179</v>
      </c>
      <c r="E40" s="3"/>
      <c r="F40" s="3" t="s">
        <v>40</v>
      </c>
      <c r="G40" s="3"/>
    </row>
    <row r="41" spans="1:7" ht="24" customHeight="1" x14ac:dyDescent="0.55000000000000004">
      <c r="A41" s="114" t="s">
        <v>180</v>
      </c>
      <c r="B41" s="62"/>
      <c r="C41" s="23">
        <f>'VERİ GİRİŞİ'!D56</f>
        <v>0</v>
      </c>
      <c r="D41" s="119" t="s">
        <v>181</v>
      </c>
      <c r="E41" s="62"/>
      <c r="F41" s="62"/>
      <c r="G41" s="62"/>
    </row>
    <row r="42" spans="1:7" ht="24" customHeight="1" x14ac:dyDescent="0.55000000000000004">
      <c r="A42" s="71" t="s">
        <v>182</v>
      </c>
      <c r="B42" s="65"/>
      <c r="C42" s="24" t="s">
        <v>183</v>
      </c>
      <c r="D42" s="110" t="s">
        <v>184</v>
      </c>
      <c r="E42" s="65"/>
      <c r="F42" s="65"/>
      <c r="G42" s="65"/>
    </row>
    <row r="43" spans="1:7" ht="24" customHeight="1" x14ac:dyDescent="0.55000000000000004">
      <c r="A43" s="71" t="s">
        <v>185</v>
      </c>
      <c r="B43" s="65"/>
      <c r="C43" s="24" t="s">
        <v>186</v>
      </c>
      <c r="D43" s="110" t="s">
        <v>187</v>
      </c>
      <c r="E43" s="65"/>
      <c r="F43" s="65"/>
      <c r="G43" s="65"/>
    </row>
  </sheetData>
  <mergeCells count="73">
    <mergeCell ref="A43:B43"/>
    <mergeCell ref="E5:G5"/>
    <mergeCell ref="A19:B19"/>
    <mergeCell ref="E23:G23"/>
    <mergeCell ref="D29:E29"/>
    <mergeCell ref="A6:C6"/>
    <mergeCell ref="E8:G8"/>
    <mergeCell ref="C19:D19"/>
    <mergeCell ref="D33:E33"/>
    <mergeCell ref="E17:G17"/>
    <mergeCell ref="B32:C32"/>
    <mergeCell ref="B36:C36"/>
    <mergeCell ref="D43:G43"/>
    <mergeCell ref="C18:D18"/>
    <mergeCell ref="A7:C7"/>
    <mergeCell ref="B35:C35"/>
    <mergeCell ref="A42:B42"/>
    <mergeCell ref="A17:B17"/>
    <mergeCell ref="E21:G21"/>
    <mergeCell ref="A23:B23"/>
    <mergeCell ref="C17:D17"/>
    <mergeCell ref="C23:D23"/>
    <mergeCell ref="A25:G25"/>
    <mergeCell ref="A22:B22"/>
    <mergeCell ref="A20:B20"/>
    <mergeCell ref="B30:C30"/>
    <mergeCell ref="D41:G41"/>
    <mergeCell ref="D30:E30"/>
    <mergeCell ref="B33:C33"/>
    <mergeCell ref="E20:G20"/>
    <mergeCell ref="D35:E35"/>
    <mergeCell ref="B37:C37"/>
    <mergeCell ref="B28:C28"/>
    <mergeCell ref="D37:E37"/>
    <mergeCell ref="A9:C9"/>
    <mergeCell ref="D28:E28"/>
    <mergeCell ref="E18:G18"/>
    <mergeCell ref="A11:C11"/>
    <mergeCell ref="A1:G1"/>
    <mergeCell ref="C21:D21"/>
    <mergeCell ref="E22:G22"/>
    <mergeCell ref="B29:C29"/>
    <mergeCell ref="B34:C34"/>
    <mergeCell ref="A2:G2"/>
    <mergeCell ref="D36:E36"/>
    <mergeCell ref="D42:G42"/>
    <mergeCell ref="E6:G6"/>
    <mergeCell ref="A13:G13"/>
    <mergeCell ref="C20:D20"/>
    <mergeCell ref="A16:B16"/>
    <mergeCell ref="E11:G11"/>
    <mergeCell ref="C16:D16"/>
    <mergeCell ref="A41:B41"/>
    <mergeCell ref="A8:C8"/>
    <mergeCell ref="D27:E27"/>
    <mergeCell ref="A39:G39"/>
    <mergeCell ref="D32:E32"/>
    <mergeCell ref="C22:D22"/>
    <mergeCell ref="A18:B18"/>
    <mergeCell ref="E7:G7"/>
    <mergeCell ref="E10:G10"/>
    <mergeCell ref="A14:G14"/>
    <mergeCell ref="E19:G19"/>
    <mergeCell ref="D34:E34"/>
    <mergeCell ref="A4:G4"/>
    <mergeCell ref="E9:G9"/>
    <mergeCell ref="B31:C31"/>
    <mergeCell ref="B27:C27"/>
    <mergeCell ref="D31:E31"/>
    <mergeCell ref="A5:C5"/>
    <mergeCell ref="E16:G16"/>
    <mergeCell ref="A10:C10"/>
    <mergeCell ref="A21:B21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0" customWidth="1"/>
    <col min="5" max="6" width="14" customWidth="1"/>
    <col min="7" max="7" width="22" customWidth="1"/>
  </cols>
  <sheetData>
    <row r="1" spans="1:7" ht="28" customHeight="1" x14ac:dyDescent="0.55000000000000004">
      <c r="A1" s="123" t="s">
        <v>188</v>
      </c>
      <c r="B1" s="83"/>
      <c r="C1" s="83"/>
      <c r="D1" s="83"/>
      <c r="E1" s="83"/>
      <c r="F1" s="83"/>
      <c r="G1" s="83"/>
    </row>
    <row r="2" spans="1:7" ht="22" customHeight="1" x14ac:dyDescent="0.55000000000000004">
      <c r="A2" s="99" t="s">
        <v>189</v>
      </c>
      <c r="B2" s="100"/>
      <c r="C2" s="100"/>
      <c r="D2" s="100"/>
      <c r="E2" s="100"/>
      <c r="F2" s="100"/>
      <c r="G2" s="100"/>
    </row>
    <row r="3" spans="1:7" ht="28" customHeight="1" x14ac:dyDescent="0.55000000000000004">
      <c r="A3" s="84" t="s">
        <v>190</v>
      </c>
      <c r="B3" s="73"/>
      <c r="C3" s="73"/>
      <c r="D3" s="73"/>
      <c r="E3" s="73"/>
      <c r="F3" s="73"/>
      <c r="G3" s="73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85" t="s">
        <v>191</v>
      </c>
      <c r="B5" s="86"/>
      <c r="C5" s="86"/>
      <c r="D5" s="86"/>
      <c r="E5" s="86"/>
      <c r="F5" s="86"/>
      <c r="G5" s="86"/>
    </row>
    <row r="6" spans="1:7" ht="20.05" customHeight="1" x14ac:dyDescent="0.55000000000000004">
      <c r="A6" s="121" t="s">
        <v>192</v>
      </c>
      <c r="B6" s="122"/>
      <c r="C6" s="122"/>
      <c r="D6" s="122"/>
      <c r="E6" s="122"/>
      <c r="F6" s="122"/>
      <c r="G6" s="122"/>
    </row>
    <row r="7" spans="1:7" ht="18" customHeight="1" x14ac:dyDescent="0.55000000000000004">
      <c r="A7" s="3"/>
      <c r="B7" s="3" t="s">
        <v>193</v>
      </c>
      <c r="C7" s="3" t="s">
        <v>194</v>
      </c>
      <c r="D7" s="3" t="s">
        <v>195</v>
      </c>
      <c r="E7" s="3" t="s">
        <v>196</v>
      </c>
      <c r="F7" s="3" t="s">
        <v>197</v>
      </c>
      <c r="G7" s="3" t="s">
        <v>198</v>
      </c>
    </row>
    <row r="8" spans="1:7" ht="28" customHeight="1" x14ac:dyDescent="0.55000000000000004">
      <c r="A8" s="31" t="s">
        <v>199</v>
      </c>
      <c r="B8" s="31" t="s">
        <v>200</v>
      </c>
      <c r="C8" s="31" t="s">
        <v>201</v>
      </c>
      <c r="D8" s="31" t="s">
        <v>202</v>
      </c>
      <c r="E8" s="31" t="s">
        <v>203</v>
      </c>
      <c r="F8" s="31" t="s">
        <v>204</v>
      </c>
      <c r="G8" s="31" t="s">
        <v>205</v>
      </c>
    </row>
    <row r="9" spans="1:7" ht="28" customHeight="1" x14ac:dyDescent="0.55000000000000004">
      <c r="A9" s="32" t="s">
        <v>206</v>
      </c>
      <c r="B9" s="32" t="s">
        <v>200</v>
      </c>
      <c r="C9" s="32" t="s">
        <v>207</v>
      </c>
      <c r="D9" s="32" t="s">
        <v>208</v>
      </c>
      <c r="E9" s="32" t="s">
        <v>204</v>
      </c>
      <c r="F9" s="32" t="s">
        <v>203</v>
      </c>
      <c r="G9" s="32" t="s">
        <v>209</v>
      </c>
    </row>
    <row r="10" spans="1:7" ht="24" customHeight="1" x14ac:dyDescent="0.55000000000000004">
      <c r="A10" s="119" t="s">
        <v>210</v>
      </c>
      <c r="B10" s="62"/>
      <c r="C10" s="62"/>
      <c r="D10" s="62"/>
      <c r="E10" s="62"/>
      <c r="F10" s="62"/>
      <c r="G10" s="62"/>
    </row>
    <row r="11" spans="1:7" ht="5.05" customHeight="1" x14ac:dyDescent="0.55000000000000004">
      <c r="A11" s="2"/>
      <c r="B11" s="2"/>
      <c r="C11" s="2"/>
      <c r="D11" s="2"/>
      <c r="E11" s="2"/>
      <c r="F11" s="2"/>
      <c r="G11" s="2"/>
    </row>
    <row r="12" spans="1:7" ht="26.05" customHeight="1" x14ac:dyDescent="0.55000000000000004">
      <c r="A12" s="74" t="s">
        <v>211</v>
      </c>
      <c r="B12" s="75"/>
      <c r="C12" s="75"/>
      <c r="D12" s="75"/>
      <c r="E12" s="75"/>
      <c r="F12" s="75"/>
      <c r="G12" s="75"/>
    </row>
    <row r="13" spans="1:7" ht="20.05" customHeight="1" x14ac:dyDescent="0.55000000000000004">
      <c r="A13" s="121" t="s">
        <v>212</v>
      </c>
      <c r="B13" s="122"/>
      <c r="C13" s="122"/>
      <c r="D13" s="122"/>
      <c r="E13" s="122"/>
      <c r="F13" s="122"/>
      <c r="G13" s="122"/>
    </row>
    <row r="14" spans="1:7" ht="18" customHeight="1" x14ac:dyDescent="0.55000000000000004">
      <c r="A14" s="3"/>
      <c r="B14" s="3" t="s">
        <v>193</v>
      </c>
      <c r="C14" s="3" t="s">
        <v>194</v>
      </c>
      <c r="D14" s="3" t="s">
        <v>195</v>
      </c>
      <c r="E14" s="3" t="s">
        <v>196</v>
      </c>
      <c r="F14" s="3" t="s">
        <v>197</v>
      </c>
      <c r="G14" s="3" t="s">
        <v>198</v>
      </c>
    </row>
    <row r="15" spans="1:7" ht="28" customHeight="1" x14ac:dyDescent="0.55000000000000004">
      <c r="A15" s="33" t="s">
        <v>199</v>
      </c>
      <c r="B15" s="33" t="s">
        <v>200</v>
      </c>
      <c r="C15" s="33" t="s">
        <v>213</v>
      </c>
      <c r="D15" s="33" t="s">
        <v>214</v>
      </c>
      <c r="E15" s="33" t="s">
        <v>203</v>
      </c>
      <c r="F15" s="33" t="s">
        <v>204</v>
      </c>
      <c r="G15" s="33" t="s">
        <v>215</v>
      </c>
    </row>
    <row r="16" spans="1:7" ht="28" customHeight="1" x14ac:dyDescent="0.55000000000000004">
      <c r="A16" s="34" t="s">
        <v>206</v>
      </c>
      <c r="B16" s="34" t="s">
        <v>200</v>
      </c>
      <c r="C16" s="34" t="s">
        <v>216</v>
      </c>
      <c r="D16" s="34" t="s">
        <v>217</v>
      </c>
      <c r="E16" s="34" t="s">
        <v>204</v>
      </c>
      <c r="F16" s="34" t="s">
        <v>203</v>
      </c>
      <c r="G16" s="34" t="s">
        <v>218</v>
      </c>
    </row>
    <row r="17" spans="1:7" ht="28" customHeight="1" x14ac:dyDescent="0.55000000000000004">
      <c r="A17" s="124" t="s">
        <v>219</v>
      </c>
      <c r="B17" s="73"/>
      <c r="C17" s="73"/>
      <c r="D17" s="73"/>
      <c r="E17" s="73"/>
      <c r="F17" s="73"/>
      <c r="G17" s="73"/>
    </row>
    <row r="18" spans="1:7" ht="5.05" customHeight="1" x14ac:dyDescent="0.55000000000000004">
      <c r="A18" s="2"/>
      <c r="B18" s="2"/>
      <c r="C18" s="2"/>
      <c r="D18" s="2"/>
      <c r="E18" s="2"/>
      <c r="F18" s="2"/>
      <c r="G18" s="2"/>
    </row>
    <row r="19" spans="1:7" ht="26.05" customHeight="1" x14ac:dyDescent="0.55000000000000004">
      <c r="A19" s="126" t="s">
        <v>220</v>
      </c>
      <c r="B19" s="127"/>
      <c r="C19" s="127"/>
      <c r="D19" s="127"/>
      <c r="E19" s="127"/>
      <c r="F19" s="127"/>
      <c r="G19" s="127"/>
    </row>
    <row r="20" spans="1:7" ht="18" customHeight="1" x14ac:dyDescent="0.55000000000000004">
      <c r="A20" s="3"/>
      <c r="B20" s="3" t="s">
        <v>193</v>
      </c>
      <c r="C20" s="3" t="s">
        <v>194</v>
      </c>
      <c r="D20" s="3" t="s">
        <v>195</v>
      </c>
      <c r="E20" s="3" t="s">
        <v>196</v>
      </c>
      <c r="F20" s="3" t="s">
        <v>197</v>
      </c>
      <c r="G20" s="3" t="s">
        <v>198</v>
      </c>
    </row>
    <row r="21" spans="1:7" ht="28" customHeight="1" x14ac:dyDescent="0.55000000000000004">
      <c r="A21" s="35" t="s">
        <v>199</v>
      </c>
      <c r="B21" s="35" t="s">
        <v>221</v>
      </c>
      <c r="C21" s="35" t="s">
        <v>222</v>
      </c>
      <c r="D21" s="35" t="s">
        <v>223</v>
      </c>
      <c r="E21" s="35" t="s">
        <v>224</v>
      </c>
      <c r="F21" s="35" t="s">
        <v>204</v>
      </c>
      <c r="G21" s="35" t="s">
        <v>225</v>
      </c>
    </row>
    <row r="22" spans="1:7" ht="28" customHeight="1" x14ac:dyDescent="0.55000000000000004">
      <c r="A22" s="32" t="s">
        <v>206</v>
      </c>
      <c r="B22" s="32" t="s">
        <v>221</v>
      </c>
      <c r="C22" s="32" t="s">
        <v>226</v>
      </c>
      <c r="D22" s="32" t="s">
        <v>227</v>
      </c>
      <c r="E22" s="32" t="s">
        <v>204</v>
      </c>
      <c r="F22" s="32" t="s">
        <v>224</v>
      </c>
      <c r="G22" s="32" t="s">
        <v>209</v>
      </c>
    </row>
    <row r="23" spans="1:7" ht="32.049999999999997" customHeight="1" x14ac:dyDescent="0.55000000000000004">
      <c r="A23" s="128" t="s">
        <v>228</v>
      </c>
      <c r="B23" s="129"/>
      <c r="C23" s="129"/>
      <c r="D23" s="129"/>
      <c r="E23" s="129"/>
      <c r="F23" s="129"/>
      <c r="G23" s="129"/>
    </row>
    <row r="24" spans="1:7" ht="5.05" customHeight="1" x14ac:dyDescent="0.55000000000000004">
      <c r="A24" s="2"/>
      <c r="B24" s="2"/>
      <c r="C24" s="2"/>
      <c r="D24" s="2"/>
      <c r="E24" s="2"/>
      <c r="F24" s="2"/>
      <c r="G24" s="2"/>
    </row>
    <row r="25" spans="1:7" ht="26.05" customHeight="1" x14ac:dyDescent="0.55000000000000004">
      <c r="A25" s="91" t="s">
        <v>229</v>
      </c>
      <c r="B25" s="83"/>
      <c r="C25" s="83"/>
      <c r="D25" s="83"/>
      <c r="E25" s="83"/>
      <c r="F25" s="83"/>
      <c r="G25" s="83"/>
    </row>
    <row r="26" spans="1:7" ht="18" customHeight="1" x14ac:dyDescent="0.55000000000000004">
      <c r="A26" s="3"/>
      <c r="B26" s="3" t="s">
        <v>193</v>
      </c>
      <c r="C26" s="3" t="s">
        <v>194</v>
      </c>
      <c r="D26" s="3" t="s">
        <v>195</v>
      </c>
      <c r="E26" s="3" t="s">
        <v>196</v>
      </c>
      <c r="F26" s="3" t="s">
        <v>197</v>
      </c>
      <c r="G26" s="3" t="s">
        <v>198</v>
      </c>
    </row>
    <row r="27" spans="1:7" ht="28" customHeight="1" x14ac:dyDescent="0.55000000000000004">
      <c r="A27" s="37" t="s">
        <v>199</v>
      </c>
      <c r="B27" s="37" t="s">
        <v>230</v>
      </c>
      <c r="C27" s="37" t="s">
        <v>231</v>
      </c>
      <c r="D27" s="37" t="s">
        <v>232</v>
      </c>
      <c r="E27" s="37" t="s">
        <v>233</v>
      </c>
      <c r="F27" s="37" t="s">
        <v>204</v>
      </c>
      <c r="G27" s="37" t="s">
        <v>234</v>
      </c>
    </row>
    <row r="28" spans="1:7" ht="28" customHeight="1" x14ac:dyDescent="0.55000000000000004">
      <c r="A28" s="32" t="s">
        <v>206</v>
      </c>
      <c r="B28" s="32" t="s">
        <v>230</v>
      </c>
      <c r="C28" s="32" t="s">
        <v>235</v>
      </c>
      <c r="D28" s="32" t="s">
        <v>236</v>
      </c>
      <c r="E28" s="32" t="s">
        <v>204</v>
      </c>
      <c r="F28" s="32" t="s">
        <v>233</v>
      </c>
      <c r="G28" s="32" t="s">
        <v>209</v>
      </c>
    </row>
    <row r="29" spans="1:7" ht="5.05" customHeight="1" x14ac:dyDescent="0.55000000000000004">
      <c r="A29" s="2"/>
      <c r="B29" s="2"/>
      <c r="C29" s="2"/>
      <c r="D29" s="2"/>
      <c r="E29" s="2"/>
      <c r="F29" s="2"/>
      <c r="G29" s="2"/>
    </row>
    <row r="30" spans="1:7" ht="26.05" customHeight="1" x14ac:dyDescent="0.55000000000000004">
      <c r="A30" s="91" t="s">
        <v>237</v>
      </c>
      <c r="B30" s="83"/>
      <c r="C30" s="83"/>
      <c r="D30" s="83"/>
      <c r="E30" s="83"/>
      <c r="F30" s="83"/>
      <c r="G30" s="83"/>
    </row>
    <row r="31" spans="1:7" ht="56.05" customHeight="1" x14ac:dyDescent="0.55000000000000004">
      <c r="A31" s="125" t="s">
        <v>238</v>
      </c>
      <c r="B31" s="65"/>
      <c r="C31" s="65"/>
      <c r="D31" s="65"/>
      <c r="E31" s="65"/>
      <c r="F31" s="65"/>
      <c r="G31" s="65"/>
    </row>
  </sheetData>
  <mergeCells count="14">
    <mergeCell ref="A13:G13"/>
    <mergeCell ref="A1:G1"/>
    <mergeCell ref="A17:G17"/>
    <mergeCell ref="A31:G31"/>
    <mergeCell ref="A3:G3"/>
    <mergeCell ref="A6:G6"/>
    <mergeCell ref="A12:G12"/>
    <mergeCell ref="A30:G30"/>
    <mergeCell ref="A2:G2"/>
    <mergeCell ref="A25:G25"/>
    <mergeCell ref="A19:G19"/>
    <mergeCell ref="A10:G10"/>
    <mergeCell ref="A5:G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30" t="s">
        <v>239</v>
      </c>
      <c r="B1" s="131"/>
      <c r="C1" s="131"/>
      <c r="D1" s="131"/>
    </row>
    <row r="2" spans="1:4" ht="20.05" customHeight="1" x14ac:dyDescent="0.55000000000000004">
      <c r="A2" s="99" t="s">
        <v>240</v>
      </c>
      <c r="B2" s="100"/>
      <c r="C2" s="100"/>
      <c r="D2" s="100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85" t="s">
        <v>241</v>
      </c>
      <c r="B4" s="86"/>
      <c r="C4" s="86"/>
      <c r="D4" s="86"/>
    </row>
    <row r="5" spans="1:4" ht="18" customHeight="1" x14ac:dyDescent="0.55000000000000004">
      <c r="A5" s="3" t="s">
        <v>242</v>
      </c>
      <c r="B5" s="3" t="s">
        <v>243</v>
      </c>
      <c r="C5" s="3" t="s">
        <v>244</v>
      </c>
      <c r="D5" s="3" t="s">
        <v>245</v>
      </c>
    </row>
    <row r="6" spans="1:4" ht="56.05" customHeight="1" x14ac:dyDescent="0.55000000000000004">
      <c r="A6" s="25" t="s">
        <v>246</v>
      </c>
      <c r="B6" s="29" t="s">
        <v>247</v>
      </c>
      <c r="C6" s="30" t="s">
        <v>248</v>
      </c>
      <c r="D6" s="38" t="s">
        <v>249</v>
      </c>
    </row>
    <row r="7" spans="1:4" ht="56.05" customHeight="1" x14ac:dyDescent="0.55000000000000004">
      <c r="A7" s="25" t="s">
        <v>250</v>
      </c>
      <c r="B7" s="26" t="s">
        <v>251</v>
      </c>
      <c r="C7" s="28" t="s">
        <v>252</v>
      </c>
      <c r="D7" s="39" t="s">
        <v>253</v>
      </c>
    </row>
    <row r="8" spans="1:4" ht="56.05" customHeight="1" x14ac:dyDescent="0.55000000000000004">
      <c r="A8" s="25" t="s">
        <v>254</v>
      </c>
      <c r="B8" s="29" t="s">
        <v>255</v>
      </c>
      <c r="C8" s="30" t="s">
        <v>256</v>
      </c>
      <c r="D8" s="38" t="s">
        <v>257</v>
      </c>
    </row>
    <row r="9" spans="1:4" ht="56.05" customHeight="1" x14ac:dyDescent="0.55000000000000004">
      <c r="A9" s="25" t="s">
        <v>258</v>
      </c>
      <c r="B9" s="26" t="s">
        <v>259</v>
      </c>
      <c r="C9" s="28" t="s">
        <v>260</v>
      </c>
      <c r="D9" s="39" t="s">
        <v>261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32" t="s">
        <v>262</v>
      </c>
      <c r="B11" s="133"/>
      <c r="C11" s="133"/>
      <c r="D11" s="133"/>
    </row>
    <row r="12" spans="1:4" ht="18" customHeight="1" x14ac:dyDescent="0.55000000000000004">
      <c r="A12" s="3" t="s">
        <v>242</v>
      </c>
      <c r="B12" s="3" t="s">
        <v>243</v>
      </c>
      <c r="C12" s="3" t="s">
        <v>244</v>
      </c>
      <c r="D12" s="3" t="s">
        <v>245</v>
      </c>
    </row>
    <row r="13" spans="1:4" ht="56.05" customHeight="1" x14ac:dyDescent="0.55000000000000004">
      <c r="A13" s="25" t="s">
        <v>263</v>
      </c>
      <c r="B13" s="29" t="s">
        <v>264</v>
      </c>
      <c r="C13" s="30" t="s">
        <v>265</v>
      </c>
      <c r="D13" s="38" t="s">
        <v>266</v>
      </c>
    </row>
    <row r="14" spans="1:4" ht="56.05" customHeight="1" x14ac:dyDescent="0.55000000000000004">
      <c r="A14" s="25" t="s">
        <v>267</v>
      </c>
      <c r="B14" s="26" t="s">
        <v>268</v>
      </c>
      <c r="C14" s="28" t="s">
        <v>269</v>
      </c>
      <c r="D14" s="39" t="s">
        <v>270</v>
      </c>
    </row>
    <row r="15" spans="1:4" ht="56.05" customHeight="1" x14ac:dyDescent="0.55000000000000004">
      <c r="A15" s="25" t="s">
        <v>271</v>
      </c>
      <c r="B15" s="29" t="s">
        <v>272</v>
      </c>
      <c r="C15" s="30" t="s">
        <v>273</v>
      </c>
      <c r="D15" s="38" t="s">
        <v>274</v>
      </c>
    </row>
    <row r="16" spans="1:4" ht="56.05" customHeight="1" x14ac:dyDescent="0.55000000000000004">
      <c r="A16" s="25" t="s">
        <v>275</v>
      </c>
      <c r="B16" s="26" t="s">
        <v>276</v>
      </c>
      <c r="C16" s="28" t="s">
        <v>277</v>
      </c>
      <c r="D16" s="39" t="s">
        <v>278</v>
      </c>
    </row>
    <row r="17" spans="1:4" ht="56.05" customHeight="1" x14ac:dyDescent="0.55000000000000004">
      <c r="A17" s="25" t="s">
        <v>279</v>
      </c>
      <c r="B17" s="29" t="s">
        <v>280</v>
      </c>
      <c r="C17" s="30" t="s">
        <v>281</v>
      </c>
      <c r="D17" s="38" t="s">
        <v>282</v>
      </c>
    </row>
    <row r="18" spans="1:4" ht="5.05" customHeight="1" x14ac:dyDescent="0.55000000000000004">
      <c r="A18" s="2"/>
      <c r="B18" s="2"/>
      <c r="C18" s="2"/>
      <c r="D18" s="2"/>
    </row>
    <row r="19" spans="1:4" ht="36" customHeight="1" x14ac:dyDescent="0.55000000000000004">
      <c r="A19" s="89" t="s">
        <v>283</v>
      </c>
      <c r="B19" s="90"/>
      <c r="C19" s="90"/>
      <c r="D19" s="90"/>
    </row>
  </sheetData>
  <mergeCells count="5">
    <mergeCell ref="A1:D1"/>
    <mergeCell ref="A11:D11"/>
    <mergeCell ref="A4:D4"/>
    <mergeCell ref="A19:D1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30" t="s">
        <v>284</v>
      </c>
      <c r="B1" s="131"/>
      <c r="C1" s="131"/>
      <c r="D1" s="131"/>
      <c r="E1" s="131"/>
      <c r="F1" s="131"/>
    </row>
    <row r="2" spans="1:6" ht="20.05" customHeight="1" x14ac:dyDescent="0.55000000000000004">
      <c r="A2" s="99" t="s">
        <v>285</v>
      </c>
      <c r="B2" s="100"/>
      <c r="C2" s="100"/>
      <c r="D2" s="100"/>
      <c r="E2" s="100"/>
      <c r="F2" s="100"/>
    </row>
    <row r="3" spans="1:6" ht="24" customHeight="1" x14ac:dyDescent="0.55000000000000004">
      <c r="A3" s="136" t="s">
        <v>286</v>
      </c>
      <c r="B3" s="137"/>
      <c r="C3" s="137"/>
      <c r="D3" s="137"/>
      <c r="E3" s="137"/>
      <c r="F3" s="137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85" t="s">
        <v>287</v>
      </c>
      <c r="B5" s="86"/>
      <c r="C5" s="86"/>
      <c r="D5" s="86"/>
      <c r="E5" s="86"/>
      <c r="F5" s="86"/>
    </row>
    <row r="6" spans="1:6" ht="18" customHeight="1" x14ac:dyDescent="0.55000000000000004">
      <c r="A6" s="3"/>
      <c r="B6" s="3" t="s">
        <v>288</v>
      </c>
      <c r="C6" s="3" t="s">
        <v>289</v>
      </c>
      <c r="D6" s="3" t="s">
        <v>290</v>
      </c>
      <c r="E6" s="3" t="s">
        <v>291</v>
      </c>
      <c r="F6" s="3"/>
    </row>
    <row r="7" spans="1:6" ht="48" customHeight="1" x14ac:dyDescent="0.55000000000000004">
      <c r="A7" s="8"/>
      <c r="B7" s="40" t="s">
        <v>292</v>
      </c>
      <c r="C7" s="41" t="s">
        <v>293</v>
      </c>
      <c r="D7" s="42" t="s">
        <v>294</v>
      </c>
      <c r="E7" s="43" t="s">
        <v>295</v>
      </c>
      <c r="F7" s="8"/>
    </row>
    <row r="8" spans="1:6" ht="48" customHeight="1" x14ac:dyDescent="0.55000000000000004">
      <c r="A8" s="8"/>
      <c r="B8" s="40" t="s">
        <v>296</v>
      </c>
      <c r="C8" s="41" t="s">
        <v>297</v>
      </c>
      <c r="D8" s="42" t="s">
        <v>298</v>
      </c>
      <c r="E8" s="43" t="s">
        <v>299</v>
      </c>
      <c r="F8" s="8"/>
    </row>
    <row r="9" spans="1:6" ht="48" customHeight="1" x14ac:dyDescent="0.55000000000000004">
      <c r="A9" s="8"/>
      <c r="B9" s="40" t="s">
        <v>300</v>
      </c>
      <c r="C9" s="41" t="s">
        <v>301</v>
      </c>
      <c r="D9" s="42" t="s">
        <v>302</v>
      </c>
      <c r="E9" s="43" t="s">
        <v>303</v>
      </c>
      <c r="F9" s="8"/>
    </row>
    <row r="10" spans="1:6" ht="52" customHeight="1" x14ac:dyDescent="0.55000000000000004">
      <c r="A10" s="8"/>
      <c r="B10" s="40" t="s">
        <v>304</v>
      </c>
      <c r="C10" s="41" t="s">
        <v>305</v>
      </c>
      <c r="D10" s="42" t="s">
        <v>306</v>
      </c>
      <c r="E10" s="43" t="s">
        <v>307</v>
      </c>
      <c r="F10" s="8"/>
    </row>
    <row r="11" spans="1:6" ht="44.05" customHeight="1" x14ac:dyDescent="0.55000000000000004">
      <c r="A11" s="8"/>
      <c r="B11" s="40" t="s">
        <v>308</v>
      </c>
      <c r="C11" s="41" t="s">
        <v>309</v>
      </c>
      <c r="D11" s="42" t="s">
        <v>310</v>
      </c>
      <c r="E11" s="43" t="s">
        <v>311</v>
      </c>
      <c r="F11" s="8"/>
    </row>
    <row r="12" spans="1:6" ht="44.05" customHeight="1" x14ac:dyDescent="0.55000000000000004">
      <c r="A12" s="8"/>
      <c r="B12" s="40" t="s">
        <v>312</v>
      </c>
      <c r="C12" s="41" t="s">
        <v>313</v>
      </c>
      <c r="D12" s="42" t="s">
        <v>314</v>
      </c>
      <c r="E12" s="43" t="s">
        <v>315</v>
      </c>
      <c r="F12" s="8"/>
    </row>
    <row r="13" spans="1:6" ht="44.05" customHeight="1" x14ac:dyDescent="0.55000000000000004">
      <c r="A13" s="8"/>
      <c r="B13" s="40" t="s">
        <v>316</v>
      </c>
      <c r="C13" s="41" t="s">
        <v>317</v>
      </c>
      <c r="D13" s="42" t="s">
        <v>318</v>
      </c>
      <c r="E13" s="43" t="s">
        <v>319</v>
      </c>
      <c r="F13" s="8"/>
    </row>
    <row r="14" spans="1:6" ht="5.05" customHeight="1" x14ac:dyDescent="0.55000000000000004">
      <c r="A14" s="2"/>
      <c r="B14" s="2"/>
      <c r="C14" s="2"/>
      <c r="D14" s="2"/>
      <c r="E14" s="2"/>
      <c r="F14" s="2"/>
    </row>
    <row r="15" spans="1:6" ht="26.05" customHeight="1" x14ac:dyDescent="0.55000000000000004">
      <c r="A15" s="138" t="s">
        <v>320</v>
      </c>
      <c r="B15" s="139"/>
      <c r="C15" s="139"/>
      <c r="D15" s="139"/>
      <c r="E15" s="139"/>
      <c r="F15" s="139"/>
    </row>
    <row r="16" spans="1:6" ht="18" customHeight="1" x14ac:dyDescent="0.55000000000000004">
      <c r="A16" s="3"/>
      <c r="B16" s="3" t="s">
        <v>288</v>
      </c>
      <c r="C16" s="3" t="s">
        <v>289</v>
      </c>
      <c r="D16" s="3" t="s">
        <v>290</v>
      </c>
      <c r="E16" s="3" t="s">
        <v>291</v>
      </c>
      <c r="F16" s="3"/>
    </row>
    <row r="17" spans="1:6" ht="44.05" customHeight="1" x14ac:dyDescent="0.55000000000000004">
      <c r="A17" s="36"/>
      <c r="B17" s="44" t="s">
        <v>321</v>
      </c>
      <c r="C17" s="45" t="s">
        <v>322</v>
      </c>
      <c r="D17" s="46" t="s">
        <v>323</v>
      </c>
      <c r="E17" s="47" t="s">
        <v>324</v>
      </c>
      <c r="F17" s="36"/>
    </row>
    <row r="18" spans="1:6" ht="44.05" customHeight="1" x14ac:dyDescent="0.55000000000000004">
      <c r="A18" s="36"/>
      <c r="B18" s="44" t="s">
        <v>325</v>
      </c>
      <c r="C18" s="45" t="s">
        <v>326</v>
      </c>
      <c r="D18" s="46" t="s">
        <v>327</v>
      </c>
      <c r="E18" s="47" t="s">
        <v>328</v>
      </c>
      <c r="F18" s="36"/>
    </row>
    <row r="19" spans="1:6" ht="44.05" customHeight="1" x14ac:dyDescent="0.55000000000000004">
      <c r="A19" s="36"/>
      <c r="B19" s="44" t="s">
        <v>329</v>
      </c>
      <c r="C19" s="45" t="s">
        <v>330</v>
      </c>
      <c r="D19" s="46" t="s">
        <v>331</v>
      </c>
      <c r="E19" s="47" t="s">
        <v>332</v>
      </c>
      <c r="F19" s="36"/>
    </row>
    <row r="20" spans="1:6" ht="36" customHeight="1" x14ac:dyDescent="0.55000000000000004">
      <c r="A20" s="36"/>
      <c r="B20" s="44" t="s">
        <v>333</v>
      </c>
      <c r="C20" s="45" t="s">
        <v>334</v>
      </c>
      <c r="D20" s="46" t="s">
        <v>335</v>
      </c>
      <c r="E20" s="47" t="s">
        <v>336</v>
      </c>
      <c r="F20" s="36"/>
    </row>
    <row r="21" spans="1:6" ht="5.05" customHeight="1" x14ac:dyDescent="0.55000000000000004">
      <c r="A21" s="2"/>
      <c r="B21" s="2"/>
      <c r="C21" s="2"/>
      <c r="D21" s="2"/>
      <c r="E21" s="2"/>
      <c r="F21" s="2"/>
    </row>
    <row r="22" spans="1:6" ht="26.05" customHeight="1" x14ac:dyDescent="0.55000000000000004">
      <c r="A22" s="134" t="s">
        <v>337</v>
      </c>
      <c r="B22" s="135"/>
      <c r="C22" s="135"/>
      <c r="D22" s="135"/>
      <c r="E22" s="135"/>
      <c r="F22" s="135"/>
    </row>
    <row r="23" spans="1:6" ht="18" customHeight="1" x14ac:dyDescent="0.55000000000000004">
      <c r="A23" s="48"/>
      <c r="B23" s="48" t="s">
        <v>288</v>
      </c>
      <c r="C23" s="48" t="s">
        <v>5</v>
      </c>
      <c r="D23" s="48" t="s">
        <v>338</v>
      </c>
      <c r="E23" s="48" t="s">
        <v>142</v>
      </c>
      <c r="F23" s="48"/>
    </row>
    <row r="24" spans="1:6" ht="50.05" customHeight="1" x14ac:dyDescent="0.55000000000000004">
      <c r="A24" s="49"/>
      <c r="B24" s="50" t="s">
        <v>339</v>
      </c>
      <c r="C24" s="51" t="s">
        <v>340</v>
      </c>
      <c r="D24" s="52" t="s">
        <v>341</v>
      </c>
      <c r="E24" s="53" t="s">
        <v>342</v>
      </c>
      <c r="F24" s="49"/>
    </row>
    <row r="25" spans="1:6" ht="50.05" customHeight="1" x14ac:dyDescent="0.55000000000000004">
      <c r="A25" s="54"/>
      <c r="B25" s="55" t="s">
        <v>343</v>
      </c>
      <c r="C25" s="56" t="s">
        <v>148</v>
      </c>
      <c r="D25" s="57" t="s">
        <v>344</v>
      </c>
      <c r="E25" s="58" t="s">
        <v>342</v>
      </c>
      <c r="F25" s="54"/>
    </row>
    <row r="26" spans="1:6" ht="50.05" customHeight="1" x14ac:dyDescent="0.55000000000000004">
      <c r="A26" s="54"/>
      <c r="B26" s="55" t="s">
        <v>345</v>
      </c>
      <c r="C26" s="56" t="s">
        <v>346</v>
      </c>
      <c r="D26" s="57" t="s">
        <v>347</v>
      </c>
      <c r="E26" s="58" t="s">
        <v>342</v>
      </c>
      <c r="F26" s="54"/>
    </row>
    <row r="27" spans="1:6" ht="50.05" customHeight="1" x14ac:dyDescent="0.55000000000000004">
      <c r="A27" s="54"/>
      <c r="B27" s="55" t="s">
        <v>348</v>
      </c>
      <c r="C27" s="56" t="s">
        <v>349</v>
      </c>
      <c r="D27" s="57" t="s">
        <v>350</v>
      </c>
      <c r="E27" s="58" t="s">
        <v>342</v>
      </c>
      <c r="F27" s="54"/>
    </row>
    <row r="28" spans="1:6" ht="50.05" customHeight="1" x14ac:dyDescent="0.55000000000000004">
      <c r="A28" s="49"/>
      <c r="B28" s="50" t="s">
        <v>351</v>
      </c>
      <c r="C28" s="51" t="s">
        <v>352</v>
      </c>
      <c r="D28" s="52" t="s">
        <v>353</v>
      </c>
      <c r="E28" s="53" t="s">
        <v>342</v>
      </c>
      <c r="F28" s="49"/>
    </row>
    <row r="29" spans="1:6" ht="50.05" customHeight="1" x14ac:dyDescent="0.55000000000000004">
      <c r="A29" s="49"/>
      <c r="B29" s="50" t="s">
        <v>354</v>
      </c>
      <c r="C29" s="51" t="s">
        <v>355</v>
      </c>
      <c r="D29" s="52" t="s">
        <v>356</v>
      </c>
      <c r="E29" s="53" t="s">
        <v>342</v>
      </c>
      <c r="F29" s="49"/>
    </row>
    <row r="30" spans="1:6" ht="50.05" customHeight="1" x14ac:dyDescent="0.55000000000000004">
      <c r="A30" s="49"/>
      <c r="B30" s="50" t="s">
        <v>357</v>
      </c>
      <c r="C30" s="51" t="s">
        <v>358</v>
      </c>
      <c r="D30" s="52" t="s">
        <v>359</v>
      </c>
      <c r="E30" s="53" t="s">
        <v>342</v>
      </c>
      <c r="F30" s="49"/>
    </row>
    <row r="31" spans="1:6" ht="50.05" customHeight="1" x14ac:dyDescent="0.55000000000000004">
      <c r="A31" s="49"/>
      <c r="B31" s="50" t="s">
        <v>360</v>
      </c>
      <c r="C31" s="51" t="s">
        <v>361</v>
      </c>
      <c r="D31" s="52" t="s">
        <v>362</v>
      </c>
      <c r="E31" s="53" t="s">
        <v>342</v>
      </c>
      <c r="F31" s="49"/>
    </row>
    <row r="32" spans="1:6" ht="5.05" customHeight="1" x14ac:dyDescent="0.55000000000000004">
      <c r="A32" s="2"/>
      <c r="B32" s="2"/>
      <c r="C32" s="2"/>
      <c r="D32" s="2"/>
      <c r="E32" s="2"/>
      <c r="F32" s="2"/>
    </row>
    <row r="33" spans="1:6" ht="44.05" customHeight="1" x14ac:dyDescent="0.55000000000000004">
      <c r="A33" s="89" t="s">
        <v>363</v>
      </c>
      <c r="B33" s="90"/>
      <c r="C33" s="90"/>
      <c r="D33" s="90"/>
      <c r="E33" s="90"/>
      <c r="F33" s="90"/>
    </row>
  </sheetData>
  <mergeCells count="7">
    <mergeCell ref="A2:F2"/>
    <mergeCell ref="A33:F33"/>
    <mergeCell ref="A1:F1"/>
    <mergeCell ref="A5:F5"/>
    <mergeCell ref="A22:F22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2026-04-03T20:45:16Z</dcterms:created>
  <dcterms:modified xsi:type="dcterms:W3CDTF">2026-04-03T21:18:17Z</dcterms:modified>
</cp:coreProperties>
</file>