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CF59E405-C8E5-4DB9-B6C7-3CA805CC535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" l="1"/>
  <c r="F46" i="2"/>
  <c r="F38" i="2"/>
  <c r="F37" i="2"/>
  <c r="F35" i="2"/>
  <c r="F34" i="2"/>
  <c r="F33" i="2"/>
  <c r="C26" i="2"/>
  <c r="C27" i="2" s="1"/>
  <c r="C29" i="2" s="1"/>
  <c r="C19" i="2"/>
  <c r="D11" i="2"/>
  <c r="D10" i="2"/>
  <c r="F40" i="2" s="1"/>
  <c r="D9" i="2"/>
  <c r="F39" i="2" s="1"/>
  <c r="D8" i="2"/>
  <c r="D7" i="2"/>
  <c r="D6" i="2"/>
  <c r="D39" i="1"/>
  <c r="D12" i="2" s="1"/>
  <c r="F42" i="2" s="1"/>
  <c r="F13" i="1"/>
  <c r="D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Aydın DEDE</author>
  </authors>
  <commentList>
    <comment ref="C2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Aydın DEDE:
Kapsam dışı gelir tutarı girilecek (faiz, kur farkı vb.)</t>
        </r>
      </text>
    </comment>
    <comment ref="C2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Aydın DEDE:
Ar-Ge İndirimi %100 = Dönem harcaması</t>
        </r>
      </text>
    </comment>
    <comment ref="C2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Aydın DEDE:
Önceki dönemden devreden Ar-Ge indirimi tutarı girilecek</t>
        </r>
      </text>
    </comment>
    <comment ref="C2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Aydın DEDE:
Bu dönem uygulanabilecek toplam = İndirim + Devreden</t>
        </r>
      </text>
    </comment>
    <comment ref="D3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Aydın DEDE:
SB kazancında finansal gelirler ayrıştırıldı mı?</t>
        </r>
      </text>
    </comment>
    <comment ref="D3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Aydın DEDE:
Teknokent girişimci ile 311 Yönetici Şirket karıştırılmadı mı?</t>
        </r>
      </text>
    </comment>
    <comment ref="D3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Aydın DEDE:
Ar-Ge merkezi belgesi geçerli mi?</t>
        </r>
      </text>
    </comment>
    <comment ref="D3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Aydın DEDE:
Girişim sermayesi fonu sınırı kontrol</t>
        </r>
      </text>
    </comment>
    <comment ref="D4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Aydın DEDE:
Bağış/sponsorluk oran sınırı kontrol</t>
        </r>
      </text>
    </comment>
    <comment ref="D4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Aydın DEDE:
İstisna sonrası matrahtan indirim sırası — manuel kontrol gerekir</t>
        </r>
      </text>
    </comment>
    <comment ref="D4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Aydın DEDE:
350 toplamı C tablosu D39 ile uyumlu mu?</t>
        </r>
      </text>
    </comment>
    <comment ref="D4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Aydın DEDE:
Tartışmalı kalemler için özelge — manuel kontrol gerekir</t>
        </r>
      </text>
    </comment>
    <comment ref="D4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Aydın DEDE:
Zarar döneminde beyan kontrolü — manuel kontrol gerekir</t>
        </r>
      </text>
    </comment>
    <comment ref="D4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Aydın DEDE:
Önceki dönem karşılaştırma — manuel kontrol gerekir</t>
        </r>
      </text>
    </comment>
    <comment ref="D4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Aydın DEDE:
YMM Tasdik Raporu değerlendirildi mi?</t>
        </r>
      </text>
    </comment>
  </commentList>
</comments>
</file>

<file path=xl/sharedStrings.xml><?xml version="1.0" encoding="utf-8"?>
<sst xmlns="http://schemas.openxmlformats.org/spreadsheetml/2006/main" count="469" uniqueCount="322">
  <si>
    <t>350 – DİĞER İNDİRİMLER VE İSTİSNALAR | KV BEYANNAMESİ 302–349 DIŞI TÜM İSTİSNA VE İNDİRİMLER | YMM TASDİK | BEYANNAME 350</t>
  </si>
  <si>
    <t>350 Satırı = 302–349 ÖZEL SATIRLARINA girmeyen tüm istisna ve indirimlerin toplamı | Her kalem AYRI yasal dayanak ile belgelenmeli | YMM açısından setten en riskli satır | Kazancın Bulunması Halinde (ve bazı kalemler Zarar Olsa Dahi)</t>
  </si>
  <si>
    <t xml:space="preserve">  ★ 350'NİN TEMEL KURALI: Her kalem için ayrı yasal dayanak + ayrı belge paketi zorunludur. 'Diğer İstisna' gerekçesiyle toplu tutar yazımı kabul edilemez. Önce 302–349 özel satırlarını kontrol edin — özel satır varsa 350'yi kullanmayın. Setimizde: TGB Yönetici Şirket → 311 | TUGS Gemi → 315 | Ürün Senedi → 349 (350 değil).</t>
  </si>
  <si>
    <t xml:space="preserve">  EN SIK KULLANILAN 350 KALEMLERİ: (1) Serbest Bölge Kazancı (3218 s.K.) | (2) Teknokent Girişimci/Yazılım (4691 s.K. GVM Md.2) | (3) Ar-Ge ve Tasarım İndirimi (5746 s.K.) | (4) Girişim Sermayesi Fonu (KVK Md.10/1-g) | (5) Bağış ve Sponsorluk (KVK Md.10/1-b,c) | (6) Özel Okul/Hastane (KVK 5/1-ı) | (7) Diğer Özel Kanun İstisnaları</t>
  </si>
  <si>
    <t>A0. KAPSAM TEYİDİ</t>
  </si>
  <si>
    <t xml:space="preserve">  Önce kontrol: Beyan edilmek istenen istisna/indirim için 302–349 arasında özel bir satır var mı?</t>
  </si>
  <si>
    <t>Kontrol Sorusu</t>
  </si>
  <si>
    <t>Yanıt</t>
  </si>
  <si>
    <t>YMM Notu</t>
  </si>
  <si>
    <t>A0.1  ★ Her kalem için 302–349 özel satırlarında daha uygun satır olmadığı teyit edildi mi?</t>
  </si>
  <si>
    <t>EVET</t>
  </si>
  <si>
    <t>Özel satır varsa 350 değil, o satır kullanılır.</t>
  </si>
  <si>
    <t>A0.2  ★ Her kalem için AYRI yasal dayanak ve belge mevcut mu?</t>
  </si>
  <si>
    <t>Toplu tutar kabul edilemez — her kalem bağımsız belgelenmeli.</t>
  </si>
  <si>
    <t>A0.3  Her kalemin beyanname bölümü (KB Halinde / Zarar Olsa Dahi) doğru mu?</t>
  </si>
  <si>
    <t>C tablosunda her kalem için bölüm seçilmeli.</t>
  </si>
  <si>
    <t>A0.4  YMM Tasdik Raporu (49 No.lu Tebliğ) değerlendirildi mi?</t>
  </si>
  <si>
    <t>&gt;=500.000 TL → YMM raporu.</t>
  </si>
  <si>
    <t>A0.5  Tasdik Uygunluk Sonucu</t>
  </si>
  <si>
    <t>Her kalem ayrı yasal dayanak + belge zorunlu.</t>
  </si>
  <si>
    <t>B. BEYANNAME 350'DE SIK KULLANILAN İSTİSNA VE İNDİRİMLER REFERANS TABLOSU</t>
  </si>
  <si>
    <t xml:space="preserve">  Her kategori için C bölümündeki detay tablosunda ilgili satır doldurulur.</t>
  </si>
  <si>
    <t>Kategori</t>
  </si>
  <si>
    <t>Yasal Dayanak</t>
  </si>
  <si>
    <t>İstisna/İndirim Özeti</t>
  </si>
  <si>
    <t>Bölüm</t>
  </si>
  <si>
    <t>İstisna?</t>
  </si>
  <si>
    <t>İndirim?</t>
  </si>
  <si>
    <t>Özelge?</t>
  </si>
  <si>
    <t>Serbest Bölge Kazancı İstisnası</t>
  </si>
  <si>
    <t>3218 s.K. Geçici Md.3</t>
  </si>
  <si>
    <t>Üretim lisansı olanlar + İhracat faaliyeti. AB üyelik tarihine kadar (güncel kontrol şart).</t>
  </si>
  <si>
    <t>Kazancın Bulunması Halinde</t>
  </si>
  <si>
    <t>-</t>
  </si>
  <si>
    <t>Önerilir</t>
  </si>
  <si>
    <t>Teknokent Girişimci — Ar-Ge/Yazılım/Tasarım</t>
  </si>
  <si>
    <t>4691 s.K. GVM Md.2</t>
  </si>
  <si>
    <t>TGB içinde yazılım/Ar-Ge/tasarım yapan kiracı firma kazancı. Yönetici şirket (311) DEĞİL.</t>
  </si>
  <si>
    <t>Ar-Ge ve Tasarım İndirimi</t>
  </si>
  <si>
    <t>5746 s.K. Md.3</t>
  </si>
  <si>
    <t>Ar-Ge Merkezi belgeli harcamalar. %100 indirim. Zarar Olsa Dahi — Devreden takip.</t>
  </si>
  <si>
    <t>Zarar Olsa Dahi — İndirim</t>
  </si>
  <si>
    <t>Tavsiye</t>
  </si>
  <si>
    <t>Girişim Sermayesi Fonu İndirimi</t>
  </si>
  <si>
    <t>KVK Md.10/1-g</t>
  </si>
  <si>
    <t>Girişim sermayesi fonu/ortaklığına katılım. Sınır: %10 ve %20.</t>
  </si>
  <si>
    <t>Yatırım Ortaklığı Kazanç İstisnası</t>
  </si>
  <si>
    <t>KVK Md.5/1-d</t>
  </si>
  <si>
    <t>SPK kapsamlı Türkiye'de kurulu yatırım fonu ve ortaklıkları.</t>
  </si>
  <si>
    <t>Özel Okul/Hastane/Rehab Merkezi İstisnası</t>
  </si>
  <si>
    <t>KVK Md.5/1-ı</t>
  </si>
  <si>
    <t>Özel eğitim, rehabilitasyon ve sağlık kurumu kazancı. İlk faaliyet tarihinden 5 yıl.</t>
  </si>
  <si>
    <t>Sponsorluk Harcamaları İndirimi</t>
  </si>
  <si>
    <t>KVK Md.10/1-b</t>
  </si>
  <si>
    <t>Amatör spor %100, profesyonel spor %50.</t>
  </si>
  <si>
    <t>Değerlendirin</t>
  </si>
  <si>
    <t>Bağış ve Yardımlar İndirimi</t>
  </si>
  <si>
    <t>KVK Md.10/1-c,d,e,f</t>
  </si>
  <si>
    <t>Vakıf, okul, yurt, üniversite, hastane. Sınır: Kazancın %5 veya %10 (kuruma göre).</t>
  </si>
  <si>
    <t>Diğer Özel Kanun İstisnaları</t>
  </si>
  <si>
    <t>Çeşitli Özel Kanunlar</t>
  </si>
  <si>
    <t>Yukarıdaki kategorilere girmeyen özel kanun istisnaları. Her biri ayrı yasal dayanak.</t>
  </si>
  <si>
    <t>Kazanç/Zarar Durumuna Göre</t>
  </si>
  <si>
    <t>?</t>
  </si>
  <si>
    <t>Zorunlu</t>
  </si>
  <si>
    <t>C. DÖNEM 350 KALEMLERİ — KALEM BAZINDA VERİ GİRİŞİ</t>
  </si>
  <si>
    <t xml:space="preserve">  Her satır bir ayrı istisna/indirim kalemine karşılık gelir. YMM tasdik dosyasının temel envanteri olarak kullanılır.</t>
  </si>
  <si>
    <t>No</t>
  </si>
  <si>
    <t>İstisna/İndirim Kalemi</t>
  </si>
  <si>
    <t>Tutar (TL)</t>
  </si>
  <si>
    <t>Beyanname Bölümü</t>
  </si>
  <si>
    <t>Belge Türü</t>
  </si>
  <si>
    <t>YMM Durumu</t>
  </si>
  <si>
    <t>K1</t>
  </si>
  <si>
    <t>Üretim Lisansı + Faaliyet Belgesi</t>
  </si>
  <si>
    <t>Tamamlandı</t>
  </si>
  <si>
    <t>K2</t>
  </si>
  <si>
    <t>Teknokent Girişimci Ar-Ge/Yazılım Kazancı</t>
  </si>
  <si>
    <t>TGB Kiracı Belgesi + Kazanç Tablosu</t>
  </si>
  <si>
    <t>K3</t>
  </si>
  <si>
    <t>Ar-Ge Merkezi Belgesi + Harcama Listesi</t>
  </si>
  <si>
    <t>K4</t>
  </si>
  <si>
    <t>Fon/Ortaklık Belgesi + Sınır Hesabı</t>
  </si>
  <si>
    <t>K5</t>
  </si>
  <si>
    <t>Bağış ve Sponsorluk İndirimi</t>
  </si>
  <si>
    <t>KVK Md.10/1-b,c,d</t>
  </si>
  <si>
    <t>Sözleşme + Makbuz/Banka Dekontu</t>
  </si>
  <si>
    <t>K6</t>
  </si>
  <si>
    <t>[Diğer — Yasal Dayanak Giriniz]</t>
  </si>
  <si>
    <t>[Kanun Md. Fıkra]</t>
  </si>
  <si>
    <t>[Belge türü]</t>
  </si>
  <si>
    <t>Eksik Belge</t>
  </si>
  <si>
    <t>K7</t>
  </si>
  <si>
    <t>K8</t>
  </si>
  <si>
    <t>TOPLAM</t>
  </si>
  <si>
    <t>DÖNEM 350 TOPLAMI — Beyanname 350 Satırı</t>
  </si>
  <si>
    <t>K1+K2+...+K8 Toplamı → Beyanname 350</t>
  </si>
  <si>
    <t>D. YMM AÇISINDAN KRİTİK UYARILAR</t>
  </si>
  <si>
    <t>U1</t>
  </si>
  <si>
    <t>Özel satır varsa 350 KULLANMA</t>
  </si>
  <si>
    <t>302–349 uygun özel satır varsa 350'ye yazmak hatalıdır. GİB her kalemi tek tek açıklatabilir.</t>
  </si>
  <si>
    <t>U2</t>
  </si>
  <si>
    <t>Her kalem ayrı yasal dayanak — toplu tutar yetmez</t>
  </si>
  <si>
    <t>Kalem kalem belgeleme zorunludur. Toplu tutar yazımı tarhiyat riski taşır.</t>
  </si>
  <si>
    <t>U3</t>
  </si>
  <si>
    <t>Beyanname bölümü doğru seçilmeli (KB Halinde / Zarar Olsa Dahi)</t>
  </si>
  <si>
    <t>Ar-Ge indirimi zarar döneminde de uygulanır. Her kalemin kanununu kontrol edin.</t>
  </si>
  <si>
    <t>U4</t>
  </si>
  <si>
    <t>Tartışmalı kalemler için özelge alın</t>
  </si>
  <si>
    <t>Serbest bölge ve teknokent özel durumlarında GİB özelgesi risk yönetiminin temelidir.</t>
  </si>
  <si>
    <t>U5</t>
  </si>
  <si>
    <t>İstisna ve indirim sıralamasına dikkat</t>
  </si>
  <si>
    <t>Matrah hesabında: Önce KVK 5 istisnaları, sonra KVK 10 indirimleri.</t>
  </si>
  <si>
    <t>350 – DİĞER İNDİRİMLER VE İSTİSNALAR | HESAPLAMALAR VE DENETİM</t>
  </si>
  <si>
    <t>Beyanname 350 = 302–349 Dışındaki Tüm İstisna ve İndirimler | Kalem Bazında Şeffaf Belgeleme | Serbest Bölge | Teknokent | Ar-Ge | Girişim Sermayesi | Bağış</t>
  </si>
  <si>
    <t>A. TASDİK ÖZETİ</t>
  </si>
  <si>
    <t>A0 Tasdik Uygunluğu</t>
  </si>
  <si>
    <t>OK ise devam</t>
  </si>
  <si>
    <t>K1 — Serbest Bölge (TL)</t>
  </si>
  <si>
    <t>Varsa tutar</t>
  </si>
  <si>
    <t>K2 — Teknokent Girişimci (TL)</t>
  </si>
  <si>
    <t>K3 — Ar-Ge İndirimi (TL)</t>
  </si>
  <si>
    <t>K4 — Girişim Sermayesi (TL)</t>
  </si>
  <si>
    <t>K5 — Sponsorluk/Bağış (TL)</t>
  </si>
  <si>
    <t>K6-K8 — Diğer (TL)</t>
  </si>
  <si>
    <t>Özel kalemler</t>
  </si>
  <si>
    <t>BEYANNAME 350 TOPLAMI (TL)</t>
  </si>
  <si>
    <t>= D39 Toplamı</t>
  </si>
  <si>
    <t>B. K1 — SERBEST BÖLGE KAZANCI DETAY (3218 s.K.)</t>
  </si>
  <si>
    <t xml:space="preserve">  Geçici Md.3: Üretim lisansı koşulu. Finansal gelirler kapsam dışı. Güncel yürürlük kontrolü zorunlu.</t>
  </si>
  <si>
    <t>Parametre</t>
  </si>
  <si>
    <t>Değer / Seçim</t>
  </si>
  <si>
    <t>Açıklama</t>
  </si>
  <si>
    <t>Belge</t>
  </si>
  <si>
    <t>SB.1  Faaliyet Lisansı Geçerli mi?</t>
  </si>
  <si>
    <t>Tarım Bakanlığı lisansı değil — SB faaliyet lisansı</t>
  </si>
  <si>
    <t>SB Bölge Müdürlüğü</t>
  </si>
  <si>
    <t>SB.2  Faaliyet Türü</t>
  </si>
  <si>
    <t>Üretim</t>
  </si>
  <si>
    <t>İstisna türe göre değişir</t>
  </si>
  <si>
    <t>Lisans belgesi</t>
  </si>
  <si>
    <t>SB.3  İstisna Kapsamındaki Kazanç (TL)</t>
  </si>
  <si>
    <t>Mali tablolar</t>
  </si>
  <si>
    <t>Kazanç hesabı</t>
  </si>
  <si>
    <t>SB.4  Kapsam Dışı Gelir — Faiz vb. (TL)</t>
  </si>
  <si>
    <t>C. K3 — AR-GE VE TASARIM İNDİRİMİ DETAY (5746 s.K.)</t>
  </si>
  <si>
    <t xml:space="preserve">  Ar-Ge Merkezi belgesi zorunlu. %100 indirim. 'Zarar Olsa Dahi' — Devreden tutar sonraki yıllara taşınır.</t>
  </si>
  <si>
    <t>Değer (TL)</t>
  </si>
  <si>
    <t>ARG.1  Ar-Ge Merkezi Belgesi Geçerli mi?</t>
  </si>
  <si>
    <t>Sanayi Bakanlığı onaylı Ar-Ge Merkezi belgesi</t>
  </si>
  <si>
    <t>Ar-Ge Merkezi Belgesi</t>
  </si>
  <si>
    <t>ARG.2  Dönem Ar-Ge Harcamaları (TL)</t>
  </si>
  <si>
    <t>Ar-Ge raporu</t>
  </si>
  <si>
    <t>Hesap kartı</t>
  </si>
  <si>
    <t>ARG.3  Ar-Ge İndirimi (%100) (TL)</t>
  </si>
  <si>
    <t>Hesap tablosu</t>
  </si>
  <si>
    <t>ARG.4  Önceki Dönemden Devreden (TL)</t>
  </si>
  <si>
    <t>Beyanname eki</t>
  </si>
  <si>
    <t>Önceki dönem KV</t>
  </si>
  <si>
    <t>ARG.5  Bu Dönem Uygulanabilecek (TL)</t>
  </si>
  <si>
    <t>Beyanname kontrolü</t>
  </si>
  <si>
    <t>D. ANA DENETİM KONTROL LİSTESİ (K1–K14)</t>
  </si>
  <si>
    <t>Kontrol</t>
  </si>
  <si>
    <t>Sonuç</t>
  </si>
  <si>
    <t>★ Her kalem için 302–349 özel satırlarında uygun satır olmadığı teyit edildi mi?</t>
  </si>
  <si>
    <t>Özel satır varsa 350 kullanılmaz.</t>
  </si>
  <si>
    <t>Uygun/Eksik/Risk</t>
  </si>
  <si>
    <t>★ Her kalem için ayrı yasal dayanak belgesi mevcut mu?</t>
  </si>
  <si>
    <t>Toplu tutar / 'diğer' gerekçesi kabul edilemez.</t>
  </si>
  <si>
    <t>★ Her kalemin beyanname bölümü (KB Halinde / Zarar Olsa Dahi) doğru mu?</t>
  </si>
  <si>
    <t>C tablosu sütun 5 kontrolü.</t>
  </si>
  <si>
    <t>Serbest bölge kazancında finansal gelirler ayrıştırıldı mı?</t>
  </si>
  <si>
    <t>Faiz, kur farkı → Kapsam dışı.</t>
  </si>
  <si>
    <t>Teknokent girişimci ile 311 Yönetici Şirket karıştırılmadı mı?</t>
  </si>
  <si>
    <t>Kiracı → K2/350. Yönetici → 311.</t>
  </si>
  <si>
    <t>Ar-Ge merkezi belgesi geçerli mi? Devreden takibi yapıldı mı?</t>
  </si>
  <si>
    <t>ARG.4 önceki dönem beyanname ekiyle uyumlu.</t>
  </si>
  <si>
    <t>Girişim sermayesi fonu sınırı (%10 ve %20) aşılmadı mı?</t>
  </si>
  <si>
    <t>KVK Md.10/1-g sınır kontrol.</t>
  </si>
  <si>
    <t>Bağış/sponsorluk oran sınırı (%5 veya %10) aşılmadı mı?</t>
  </si>
  <si>
    <t>KVK Md.10 oran sınır kontrol.</t>
  </si>
  <si>
    <t>K9</t>
  </si>
  <si>
    <t>KVK Md.10 indirimleri sırası doğru mu?</t>
  </si>
  <si>
    <t>İstisna sonrası matrahtan indirim sırası.</t>
  </si>
  <si>
    <t>K10</t>
  </si>
  <si>
    <t>350 toplamı C tablosu D39 ile uyumlu mu?</t>
  </si>
  <si>
    <t>Beyanname 350 = D39.</t>
  </si>
  <si>
    <t>K11</t>
  </si>
  <si>
    <t>Tartışmalı kalemler için özelge alındı mı?</t>
  </si>
  <si>
    <t>Az emsal, yeni veya tartışmalı özel kanun kalemleri.</t>
  </si>
  <si>
    <t>K12</t>
  </si>
  <si>
    <t>350 zararla beyan döneminde doğru uygulandı mı?</t>
  </si>
  <si>
    <t>KB Halinde kalemler → Kazanç yoksa uygulanamaz.</t>
  </si>
  <si>
    <t>K13</t>
  </si>
  <si>
    <t>Önceki dönem 350 ile karşılaştırma yapıldı mı?</t>
  </si>
  <si>
    <t>Büyük fark → Açıklama notu hazırlanmalı.</t>
  </si>
  <si>
    <t>K14</t>
  </si>
  <si>
    <t>YMM Tasdik Raporu (49 No.lu Tebliğ) değerlendirildi mi?</t>
  </si>
  <si>
    <t>350 – DİĞER İNDİRİMLER VE İSTİSNALAR | MUHASEBE KAYITLARI</t>
  </si>
  <si>
    <t>Her 350 kalemi kendi kanun hükmüne göre muhasebeleştirilir.</t>
  </si>
  <si>
    <t>K1 — SERBEST BÖLGE KAZANCI (3218 s.K.)</t>
  </si>
  <si>
    <t>Tarih</t>
  </si>
  <si>
    <t>Hesap</t>
  </si>
  <si>
    <t>Not</t>
  </si>
  <si>
    <t>Dr</t>
  </si>
  <si>
    <t>Kr</t>
  </si>
  <si>
    <t>Ref</t>
  </si>
  <si>
    <t>[Dönem]</t>
  </si>
  <si>
    <t>645/679 Serbest Bölge Kazancı</t>
  </si>
  <si>
    <t>3218 s.K. Geçici Md.3 istisna — Beyanname 350 K1</t>
  </si>
  <si>
    <t>[Tutar]</t>
  </si>
  <si>
    <t>350 K1 — SB belgesi</t>
  </si>
  <si>
    <t xml:space="preserve">  Kapsam dışı finansal gelirler (faiz, kur farkı) ayrı hesapta — 350 K1'e dahil edilmez.</t>
  </si>
  <si>
    <t>645/679 TGB Yazılım/Ar-Ge Kazancı</t>
  </si>
  <si>
    <t>4691 GVM Md.2 — Beyanname 350 K2 (Yönetici Şirket DEĞİL → 311)</t>
  </si>
  <si>
    <t>350 K2 — TGB kiracı belgesi</t>
  </si>
  <si>
    <t xml:space="preserve">  TGB Yönetici Şirket → 311 satırı (350 değil). TGB kiracısı (girişimci firma) → 350 K2.</t>
  </si>
  <si>
    <t>K3 — AR-GE VE TASARIM İNDİRİMİ (5746 s.K. Md.3)</t>
  </si>
  <si>
    <t>[Beyan]</t>
  </si>
  <si>
    <t>770 Ar-Ge Gideri (Matrahtan İndirilecek)</t>
  </si>
  <si>
    <t>5746 s.K. Md.3 — %100 indirim — Zarar Olsa Dahi — Beyanname 350 K3</t>
  </si>
  <si>
    <t>350 K3 — Ar-Ge Merkezi belgesi</t>
  </si>
  <si>
    <t xml:space="preserve">  Devreden kısım: Matrahı aşan Ar-Ge indirimi sonraki yıla devreder — yıllık takip zorunlu.</t>
  </si>
  <si>
    <t>K4 — GİRİŞİM SERMAYESİ FONU İNDİRİMİ (KVK Md.10/1-g)</t>
  </si>
  <si>
    <t>549 Girişim Sermayesi Fonu</t>
  </si>
  <si>
    <t>KVK Md.10/1-g — %10 ve %20 sınırı — Beyanname 350 K4</t>
  </si>
  <si>
    <t>350 K4 — Fon belgesi</t>
  </si>
  <si>
    <t xml:space="preserve">  Fon 5 yıl içinde kullanılmalı. Amaç dışı kullanım → Vergi + gecikme zammı riski.</t>
  </si>
  <si>
    <t>350 – DİĞER İNDİRİMLER VE İSTİSNALAR | DENETÇİ NOTLARI</t>
  </si>
  <si>
    <t>302–349 Dışı Tüm İstisna/İndirimler | SB | Teknokent | Ar-Ge | GS Fonu | 5/1-d Dağıtım Şartı | KOBİ Birleşme | GİB Rehberleri No:606,605</t>
  </si>
  <si>
    <t>Kod</t>
  </si>
  <si>
    <t>Konu</t>
  </si>
  <si>
    <t>Mesleki Değerlendirme</t>
  </si>
  <si>
    <t>Mevzuat</t>
  </si>
  <si>
    <t>N1</t>
  </si>
  <si>
    <t>350 Satırının Yapısı ve Ana Kurallar</t>
  </si>
  <si>
    <t>KV BEYANNAMESİ 350 'DİĞER' KAVRAMI:
302–349: Belirli istisnalara özgü satırlar.
350: Bu satırlara girmeyen TÜM istisna ve indirimlerin toplandığı catch-all satır.
ANA KURAL — KALEM BAZINDA ŞEFFAFLIK:
350'ye yazılan her TL kanun/madde/fıkra bazında ayrıştırılmalıdır.
GİB incelemesinde 350 kalemi tek tek açıklanmak zorunda kalınabilir.
EN SIK YAPILAN HATALAR:
① Özel satırı olan istisnayı 350'ye yazmak (TGB Yönetici Şirket → 311, 350 değil)
② 350'ye toplu tutar yazıp kalem detayını belgede bırakmamak
③ 'Zarar Olsa Dahi' (Ar-Ge) ile 'Kazancın Bulunması Halinde' ayrımını karıştırmak
④ İstisna ve indirim sıralamasını yanlış yapmak
BEYANNAME 350: = C tablosu K1+K2+...+K8 Toplamı (D39)
Her dönem önceki dönemle karşılaştır — büyük fark → Not ekle.</t>
  </si>
  <si>
    <t>KVK Md.5,10 | 5746 s.K. | 3218 s.K. | 4691 s.K.</t>
  </si>
  <si>
    <t>N2</t>
  </si>
  <si>
    <t>K1 Serbest Bölge + K2 Teknokent — Kritik Ayrımlar</t>
  </si>
  <si>
    <t>3218 s.K. | 4691 s.K. | GİB Tebliğleri</t>
  </si>
  <si>
    <t>N3</t>
  </si>
  <si>
    <t>K3 Ar-Ge İndirimi + K4 Girişim Sermayesi + Sıralama</t>
  </si>
  <si>
    <t>AR-GE VE TASARIM İNDİRİMİ (5746 s.K.):
Ar-Ge Merkezi belgesi — Sanayi Bakanlığı onaylı — zorunlu.
'Zarar Olsa Dahi' — Matrahı aşan kısım sonraki yıllara devrede.
Devreden tutar yıllık takip listesi — beyanname ekinde gösterilmeli.
GİRİŞİM SERMAYESİ FONU:
Sınır: Beyan edilen kazancın %10'u VE %20'yi aşamaz (ikisi birlikte).
549 fon hesabı — 5 yıl içinde kullanılmalı — amaç dışı kullanım → Vergi + ZZ riski.
MATRAH HESABINDA DOĞRU SIRALAMA:
Ticari Bilanço Kârı
− KVK Md.5 İstisnaları (K1 SB, K2 TGB, K5 Okul/Hastane vb.)
− KVK Md.10 İndirimleri (K3 Ar-Ge, K4 GS Fonu, K5 Bağış/Sponsorluk)
= KV Matrahı (Kurumlar Vergisi Matrahı)
YMM: '...beyan edilen kazancın %100'ü 5746 sayılı Kanun Md.3 kapsamında
Ar-Ge indirimi olarak, toplam [XX] TL'si devreden indirim olarak beyan edilmiştir'</t>
  </si>
  <si>
    <t>5746 s.K. | KVK Md.10 | 49 No.lu Tebliğ</t>
  </si>
  <si>
    <t>N4</t>
  </si>
  <si>
    <t>★ 5/1-d Dağıtım Şartı (1/1/2025+) + KOBİ Birleşme İndirimli Oran — GİB Rehberleri 2026 Güncellemeleri</t>
  </si>
  <si>
    <t>★ KVK 5/1-d DAĞITIM ŞARTI (7524 s.K. Md.32 — 1/1/2025 tarihinden itibaren):
GYO, GKO, GSYF ve SPK kapsamlı fon/ortaklıklar (emeklilik fonları HARİÇ),
5/1-d istisna kazançlarından yararlanabilmek için taşınmaz gelirlerinin en az
%50'sini KV beyan ayını izleyen 2. ayın sonuna kadar kar payı olarak DAĞITMALIDIR.
350 SATIRI ÜZERINDEKI ETKİSİ:
• Yatırım Ortaklığı/Fon Kazanç İstisnası (5/1-d) bir 350 kalemi olarak kullanılıyorsa:
  → Dağıtım şartı SAĞLANIYORSA: 5/1-d taşınmaz dışı kazancı 350'ye yazılabilir.
  → Dağıtım şartı SAĞLANAMIYORSA: Hem taşınmaz hem taşınmaz dışı istisna KALKAR —
    350'ye hiçbir tutar yazılamaz.
• 5/1-d dağıtım şartını sağlayan fon/ort.'dan alınan kâr payı → 5/1-a (301)
  istisnasına konu edilemez. Sağlayamayan fon/ort.'dan alınan → 5/1-a uygulanabilir.
★ KOBİ BİRLEŞME İNDİRİMLİ KV ORANI (KVK Md.32/f — KV Oran Rehberi 2026 — Yayın No:605):
KOBİ niteliğindeki kurumların birleşmesinde birleşilen kuruma, üretim faaliyetinden
elde edilen kazançlar üzerinden 5 yıl boyunca indirimli KV oranı uygulanmaktadır.
YMM DİKKAT: Bu düzenleme 350 SATIRINDA DEĞİL — indirimli oran uygulaması olarak
doğrudan vergi hesabında (KVK 32 kapsamında) değerlendirilir. İhracat/üretim indirimlerine
benzer şekilde, matrah indirimi değil oran indirimi söz konusudur.</t>
  </si>
  <si>
    <t>7524 s.K. Md.32 | KVK Md.5/1-d
KV Beyan Rehberi Mart 2026 (No:606)
KV Oran Rehberi Mart 2026 (No:605)
KVK Md.32/f (KOBİ Birleşme)</t>
  </si>
  <si>
    <t xml:space="preserve">  350 SATIRI KAPANIŞ: YMM 350'yi tasdik ederken temel sorumluluk: (1) Her kalemin bağımsız yasal dayanağı var mı? (2) 302–349 özel satırlarında daha uygun satır yoktu mu? (3) KB Halinde/Zarar Olsa Dahi bölüm seçimi doğru mu? (4) Özelge gerektiren kalemler için özelge alındı mı? Şeffaflık = En iyi 350 tasdik savunması. YMM müteselsil sorumluluk: SM-SMMM-YMM Kanunu Md.12.</t>
  </si>
  <si>
    <t>350 – DİĞER İNDİRİMLER VE İSTİSNALAR | BELGE LİSTESİ | YMM TASDİK</t>
  </si>
  <si>
    <t>Her 350 Kalemi İçin Ayrı Belge Paketi | Serbest Bölge / Teknokent / Ar-Ge / GS Fonu / Bağış | Kalem Bazında Şeffaflık | 49 No.lu Tebliğ</t>
  </si>
  <si>
    <t>KATEGORİ 1 — TEMEL ZORUNLU BELGELER</t>
  </si>
  <si>
    <t xml:space="preserve">  Her kalem için (1) Yasal Dayanak Belgesi + (2) Kazanç/Harcama Hesabı + (3) Destekleyici Belge</t>
  </si>
  <si>
    <t>Detay</t>
  </si>
  <si>
    <t>Temin</t>
  </si>
  <si>
    <t>1</t>
  </si>
  <si>
    <t>★ C Tablosu — Dönem 350 Kalem Envanteri</t>
  </si>
  <si>
    <t>VERİ GİRİŞİ C tablosu: Tüm kalemler yasal dayanak, tutar, bölüm ve YMM durumu ile eksiksiz doldurulmuş.
YMM tasdik dosyasının 350 bölümü omurgası.</t>
  </si>
  <si>
    <t>VERİ GİRİŞİ C bölümü çıktısı</t>
  </si>
  <si>
    <t>2</t>
  </si>
  <si>
    <t>K1 Serbest Bölge — Faaliyet Lisansı + Kazanç Ayrıştırma</t>
  </si>
  <si>
    <t>3218 s.K. kapsamında SB faaliyet lisansı.
Kapsam içi (üretim) ve kapsam dışı (finansal gelir) kazanç ayrıştırma tablosu.</t>
  </si>
  <si>
    <t>SB Bölge Müdürlüğü + Bakanlık</t>
  </si>
  <si>
    <t>3</t>
  </si>
  <si>
    <t>K2 Teknokent Girişimci — TGB Kiracı Belgesi</t>
  </si>
  <si>
    <t>4691 s.K. kapsamında TGB kiracısı olduğunu gösteren kira sözleşmesi/yerleşim belgesi.
TGB'deki yazılım/Ar-Ge kazancı ayrıştırma tablosu.</t>
  </si>
  <si>
    <t>TGB Yönetici Şirketi belgesi</t>
  </si>
  <si>
    <t>4</t>
  </si>
  <si>
    <t>K3 Ar-Ge İndirimi — Ar-Ge Merkezi Belgesi + Devreden Takibi</t>
  </si>
  <si>
    <t>Sanayi Bakanlığı onaylı Ar-Ge Merkezi belgesi.
Dönem Ar-Ge harcamaları listesi + Devreden Ar-Ge indirimi yıllık takip tablosu.</t>
  </si>
  <si>
    <t>Ar-Ge Merkezi Belgesi + Muhasebe ekstresi</t>
  </si>
  <si>
    <t>5</t>
  </si>
  <si>
    <t>K4 Girişim Sermayesi Fonu — Fon Belgesi + Sınır Hesabı</t>
  </si>
  <si>
    <t>Girişim sermayesi yatırım fonu/ortaklık belgesi (SPK kayıtlı).
Sınır hesabı: %10 ve %20 kontrol. 549 fon hesabı açılışı.</t>
  </si>
  <si>
    <t>SPK kaydı + 549 hesap ekstresi</t>
  </si>
  <si>
    <t>6</t>
  </si>
  <si>
    <t>K5 Bağış/Sponsorluk — Sözleşme + Makbuz + Oran Sınırı</t>
  </si>
  <si>
    <t>Sözleşme/Makbuz/Banka dekontu.
KVK Md.10 oran sınırı hesabı (%5 veya %10).</t>
  </si>
  <si>
    <t>Sözleşme + Makbuz</t>
  </si>
  <si>
    <t>7</t>
  </si>
  <si>
    <t>KV Beyannamesi Taslağı — 350. Satır</t>
  </si>
  <si>
    <t>350 = C tablosu D39 ile uyumlu.
Doğru bölüm seçimi kontrolü.</t>
  </si>
  <si>
    <t>GİB e-Beyanname sistemi</t>
  </si>
  <si>
    <t>KATEGORİ 2 — EK BELGELER</t>
  </si>
  <si>
    <t>8</t>
  </si>
  <si>
    <t>GİB Özelgesi (Tartışmalı Kalemler İçin)</t>
  </si>
  <si>
    <t>Az emsal, yeni veya tartışmalı özel kanun kalemleri için GİB özelgesi.
Özellikle serbest bölge, yeni teknokent ve özel haller.</t>
  </si>
  <si>
    <t>GİB özelge başvuru sistemi</t>
  </si>
  <si>
    <t>9</t>
  </si>
  <si>
    <t>Önceki Dönem Beyanname ve Devreden İndirimler</t>
  </si>
  <si>
    <t>Ar-Ge devreden tutarı önceki dönem beyanname ekinden gelmeli.
Önceki dönem 350 tutarı karşılaştırma referansı.</t>
  </si>
  <si>
    <t>Önceki dönem KV Beyannamesi</t>
  </si>
  <si>
    <t>KATEGORİ 3 — YMM TASDİK KONTROL SORULARI</t>
  </si>
  <si>
    <t>Beklenen Sonuç</t>
  </si>
  <si>
    <t>YMM Aksiyonu</t>
  </si>
  <si>
    <t>S1</t>
  </si>
  <si>
    <t>★ 302–349 özel satırlarında daha uygun satır olmadığı teyit edildi mi?</t>
  </si>
  <si>
    <t>YMM kontrolü</t>
  </si>
  <si>
    <t>S2</t>
  </si>
  <si>
    <t>Toplu tutar kabul edilemez.</t>
  </si>
  <si>
    <t>S3</t>
  </si>
  <si>
    <t>★ Her kalemin beyanname bölümü doğru mu?</t>
  </si>
  <si>
    <t>KB Halinde / Zarar Olsa Dahi ayrımı.</t>
  </si>
  <si>
    <t>S4</t>
  </si>
  <si>
    <t>Serbest bölge finansal gelirler ayrıştırıldı mı?</t>
  </si>
  <si>
    <t>S5</t>
  </si>
  <si>
    <t>S6</t>
  </si>
  <si>
    <t>Ar-Ge indirimi Ar-Ge Merkezi belgesiyle desteklendi mi?</t>
  </si>
  <si>
    <t>Devreden yıllık takip belgesi.</t>
  </si>
  <si>
    <t>S7</t>
  </si>
  <si>
    <t>GS Fonu sınırı (%10 ve %20) aşılmadı mı?</t>
  </si>
  <si>
    <t>KVK Md.10/1-g sınır kontrolü.</t>
  </si>
  <si>
    <t>S8</t>
  </si>
  <si>
    <t>D39 = Beyanname 350.</t>
  </si>
  <si>
    <t>S9</t>
  </si>
  <si>
    <t>Matrah sıralaması (istisna → indirim) doğru mu?</t>
  </si>
  <si>
    <t>KVK 5 sonrası KVK 10.</t>
  </si>
  <si>
    <t>S10</t>
  </si>
  <si>
    <t>SON NOT: 49 No.lu Tebliğ: &gt;=500.000 TL → YMM raporu. Tam tasdik → ayrıca rapor yok. 350'nin setin diğer dosyalarından özgün yeri: Catch-all satır — tek bir istisnayı değil, 302–349 dışındaki TÜM istisna ve indirimlerin havuzunu kapsar. YMM sorumluluğu: Her kalem kendi yasal dayanağıyla, bağımsız belgelenmiş, doğru bölümde, özelge gerektirenlerde özelge alınmış olmalıdır. Şeffaflık = En iyi 350 tasdik savunması. YMM müteselsil sorumluluk: SM-SMMM-YMM Kanunu Md.12.</t>
  </si>
  <si>
    <t>K2 — TEKNOKENT GİRİŞİMCİ (4691 s.K. GVM Md.2)</t>
  </si>
  <si>
    <t>SERBEST BÖLGE (3218 s.K. Geçici Md.3):
Yalnızca üretim lisansı olanlar → Üretim kazancı istisna.
Alım-satım faaliyeti → Kapsam tartışmalı.
Finansal gelirler (faiz, kur farkı) → Kesin kapsam dışı.
Güncel yürürlük durumu kontrol edilmeli.
TEKNOKENT GİRİŞİMCİ (4691 s.K. GVM Md.2):
TGB içinde Ar-Ge, yazılım, tasarım yapan KİRACI firma → K2/350.
TGB YÖNETİCİ ŞİRKET → 311 satırı (350 DEĞİL) — KARIŞTIRILMAMALI.
İstisna belirli tarihe kadar — güncel kontrol zorunlu.
YMM KULLANSIN:
K1: '...3218 sayılı Kanun kapsamında [SB adı]’ndaki üretim faaliyetinden...'
K2: '...4691 sayılı Kanun Geçici Madde 2 kapsamında TGB kiracısı sıfatıyla...'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</si>
</sst>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C0392B"/>
      <name val="Arial"/>
    </font>
    <font>
      <sz val="8"/>
      <color rgb="FF4527A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sz val="9"/>
      <color rgb="FF1A5276"/>
      <name val="Arial"/>
    </font>
    <font>
      <sz val="8"/>
      <color rgb="FF1F3864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1B5E20"/>
      <name val="Arial"/>
    </font>
    <font>
      <b/>
      <sz val="9"/>
      <color rgb="FF7B5E00"/>
      <name val="Arial"/>
    </font>
    <font>
      <b/>
      <sz val="9"/>
      <color rgb="FF4527A0"/>
      <name val="Arial"/>
    </font>
    <font>
      <sz val="9"/>
      <color rgb="FF1F3864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FFFFFF"/>
      <name val="Arial"/>
    </font>
    <font>
      <b/>
      <sz val="13"/>
      <color rgb="FF1B5E20"/>
      <name val="Arial"/>
    </font>
    <font>
      <i/>
      <sz val="8"/>
      <color rgb="FF888888"/>
      <name val="Arial"/>
    </font>
    <font>
      <b/>
      <sz val="36"/>
      <color rgb="FFFFFFFF"/>
      <name val="Arial"/>
    </font>
    <font>
      <sz val="8"/>
      <color rgb="FFC0392B"/>
      <name val="Arial"/>
    </font>
    <font>
      <sz val="8"/>
      <color rgb="FF7B5E00"/>
      <name val="Arial"/>
    </font>
    <font>
      <b/>
      <sz val="11"/>
      <color rgb="FFFFFFFF"/>
      <name val="Arial"/>
    </font>
    <font>
      <sz val="9"/>
      <color rgb="FFFFFFFF"/>
      <name val="Arial"/>
    </font>
    <font>
      <b/>
      <sz val="9"/>
      <color rgb="FF1565C0"/>
      <name val="Arial"/>
    </font>
    <font>
      <i/>
      <sz val="8"/>
      <color rgb="FF1565C0"/>
      <name val="Arial"/>
    </font>
    <font>
      <sz val="11"/>
      <color rgb="FF000000"/>
      <name val="Calibri"/>
      <scheme val="minor"/>
    </font>
    <font>
      <sz val="9"/>
      <color rgb="FF1B5E20"/>
      <name val="Arial"/>
    </font>
    <font>
      <sz val="9"/>
      <color rgb="FF7B5E00"/>
      <name val="Arial"/>
    </font>
    <font>
      <b/>
      <sz val="9"/>
      <color rgb="FFFFFFFF"/>
      <name val="Arial"/>
    </font>
    <font>
      <b/>
      <sz val="9"/>
      <color rgb="FFB71C1C"/>
      <name val="Arial"/>
    </font>
    <font>
      <sz val="8"/>
      <color rgb="FF333333"/>
      <name val="Arial"/>
    </font>
    <font>
      <i/>
      <sz val="8"/>
      <color rgb="FF444444"/>
      <name val="Arial"/>
    </font>
  </fonts>
  <fills count="40">
    <fill>
      <patternFill patternType="none"/>
    </fill>
    <fill>
      <patternFill patternType="gray125"/>
    </fill>
    <fill>
      <patternFill patternType="solid">
        <fgColor rgb="FF4527A0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EF4FF"/>
      </patternFill>
    </fill>
    <fill>
      <patternFill patternType="solid">
        <fgColor rgb="FFC6EFCE"/>
      </patternFill>
    </fill>
    <fill>
      <patternFill patternType="solid">
        <fgColor rgb="FF00695C"/>
      </patternFill>
    </fill>
    <fill>
      <patternFill patternType="solid">
        <fgColor rgb="FFF1F3FF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004D40"/>
      </patternFill>
    </fill>
    <fill>
      <patternFill patternType="solid">
        <fgColor rgb="FF0277BD"/>
      </patternFill>
    </fill>
    <fill>
      <patternFill patternType="solid">
        <fgColor rgb="FF5D4037"/>
      </patternFill>
    </fill>
    <fill>
      <patternFill patternType="solid">
        <fgColor rgb="FF37474F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F3E5F5"/>
      </patternFill>
    </fill>
    <fill>
      <patternFill patternType="solid">
        <fgColor rgb="FFE8F4F8"/>
      </patternFill>
    </fill>
    <fill>
      <patternFill patternType="solid">
        <fgColor rgb="FFD0EAF0"/>
      </patternFill>
    </fill>
    <fill>
      <patternFill patternType="solid">
        <fgColor rgb="FFE3F2FD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B3F00"/>
      </patternFill>
    </fill>
    <fill>
      <patternFill patternType="solid">
        <fgColor rgb="FFFCE4D6"/>
      </patternFill>
    </fill>
    <fill>
      <patternFill patternType="solid">
        <fgColor rgb="FFFFF5F5"/>
      </patternFill>
    </fill>
  </fills>
  <borders count="1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999999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9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1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1" fillId="1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1" fillId="17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1" fillId="1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19" borderId="1" xfId="0" applyFill="1" applyBorder="1"/>
    <xf numFmtId="0" fontId="1" fillId="19" borderId="1" xfId="0" applyFont="1" applyFill="1" applyBorder="1" applyAlignment="1">
      <alignment horizontal="left" vertical="center" wrapText="1"/>
    </xf>
    <xf numFmtId="0" fontId="0" fillId="20" borderId="1" xfId="0" applyFill="1" applyBorder="1"/>
    <xf numFmtId="0" fontId="1" fillId="20" borderId="1" xfId="0" applyFont="1" applyFill="1" applyBorder="1" applyAlignment="1">
      <alignment horizontal="left" vertical="center" wrapText="1"/>
    </xf>
    <xf numFmtId="0" fontId="0" fillId="21" borderId="1" xfId="0" applyFill="1" applyBorder="1"/>
    <xf numFmtId="0" fontId="1" fillId="21" borderId="1" xfId="0" applyFont="1" applyFill="1" applyBorder="1" applyAlignment="1">
      <alignment horizontal="left" vertical="center" wrapText="1"/>
    </xf>
    <xf numFmtId="0" fontId="0" fillId="22" borderId="1" xfId="0" applyFill="1" applyBorder="1"/>
    <xf numFmtId="0" fontId="1" fillId="2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left" vertical="top" wrapText="1"/>
    </xf>
    <xf numFmtId="0" fontId="14" fillId="11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 vertical="top"/>
    </xf>
    <xf numFmtId="0" fontId="8" fillId="12" borderId="1" xfId="0" applyFont="1" applyFill="1" applyBorder="1" applyAlignment="1">
      <alignment horizontal="left" vertical="top" wrapText="1"/>
    </xf>
    <xf numFmtId="0" fontId="13" fillId="26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 wrapText="1"/>
    </xf>
    <xf numFmtId="0" fontId="13" fillId="28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1" fillId="17" borderId="2" xfId="0" applyFont="1" applyFill="1" applyBorder="1" applyAlignment="1">
      <alignment horizontal="center" vertical="center"/>
    </xf>
    <xf numFmtId="0" fontId="0" fillId="29" borderId="1" xfId="0" applyFill="1" applyBorder="1"/>
    <xf numFmtId="0" fontId="29" fillId="29" borderId="1" xfId="0" applyFont="1" applyFill="1" applyBorder="1" applyAlignment="1">
      <alignment horizontal="center" vertical="top"/>
    </xf>
    <xf numFmtId="0" fontId="29" fillId="29" borderId="1" xfId="0" applyFont="1" applyFill="1" applyBorder="1" applyAlignment="1">
      <alignment horizontal="left" vertical="top" wrapText="1"/>
    </xf>
    <xf numFmtId="0" fontId="13" fillId="30" borderId="1" xfId="0" applyFont="1" applyFill="1" applyBorder="1" applyAlignment="1">
      <alignment horizontal="left" vertical="top" wrapText="1"/>
    </xf>
    <xf numFmtId="0" fontId="30" fillId="29" borderId="1" xfId="0" applyFont="1" applyFill="1" applyBorder="1" applyAlignment="1">
      <alignment horizontal="center" vertical="top"/>
    </xf>
    <xf numFmtId="0" fontId="0" fillId="31" borderId="1" xfId="0" applyFill="1" applyBorder="1"/>
    <xf numFmtId="0" fontId="29" fillId="31" borderId="1" xfId="0" applyFont="1" applyFill="1" applyBorder="1" applyAlignment="1">
      <alignment horizontal="center" vertical="top"/>
    </xf>
    <xf numFmtId="0" fontId="29" fillId="31" borderId="1" xfId="0" applyFont="1" applyFill="1" applyBorder="1" applyAlignment="1">
      <alignment horizontal="left" vertical="top" wrapText="1"/>
    </xf>
    <xf numFmtId="0" fontId="30" fillId="31" borderId="1" xfId="0" applyFont="1" applyFill="1" applyBorder="1" applyAlignment="1">
      <alignment horizontal="center" vertical="top"/>
    </xf>
    <xf numFmtId="0" fontId="31" fillId="32" borderId="1" xfId="0" applyFont="1" applyFill="1" applyBorder="1" applyAlignment="1">
      <alignment horizontal="center" vertical="center"/>
    </xf>
    <xf numFmtId="0" fontId="32" fillId="34" borderId="1" xfId="0" applyFont="1" applyFill="1" applyBorder="1" applyAlignment="1">
      <alignment horizontal="center"/>
    </xf>
    <xf numFmtId="0" fontId="32" fillId="35" borderId="1" xfId="0" applyFont="1" applyFill="1" applyBorder="1" applyAlignment="1">
      <alignment horizontal="center"/>
    </xf>
    <xf numFmtId="0" fontId="32" fillId="36" borderId="1" xfId="0" applyFont="1" applyFill="1" applyBorder="1" applyAlignment="1">
      <alignment horizontal="center"/>
    </xf>
    <xf numFmtId="0" fontId="33" fillId="36" borderId="1" xfId="0" applyFont="1" applyFill="1" applyBorder="1" applyAlignment="1">
      <alignment horizontal="center"/>
    </xf>
    <xf numFmtId="0" fontId="33" fillId="35" borderId="1" xfId="0" applyFont="1" applyFill="1" applyBorder="1" applyAlignment="1">
      <alignment horizontal="center"/>
    </xf>
    <xf numFmtId="0" fontId="32" fillId="34" borderId="5" xfId="0" applyFont="1" applyFill="1" applyBorder="1" applyAlignment="1">
      <alignment horizontal="center"/>
    </xf>
    <xf numFmtId="0" fontId="0" fillId="24" borderId="6" xfId="0" applyFill="1" applyBorder="1"/>
    <xf numFmtId="0" fontId="0" fillId="11" borderId="6" xfId="0" applyFill="1" applyBorder="1"/>
    <xf numFmtId="0" fontId="0" fillId="10" borderId="6" xfId="0" applyFill="1" applyBorder="1"/>
    <xf numFmtId="0" fontId="0" fillId="9" borderId="7" xfId="0" applyFill="1" applyBorder="1" applyAlignment="1">
      <alignment horizontal="center" vertical="top"/>
    </xf>
    <xf numFmtId="0" fontId="1" fillId="8" borderId="8" xfId="0" applyFont="1" applyFill="1" applyBorder="1" applyAlignment="1">
      <alignment horizontal="center" vertical="center"/>
    </xf>
    <xf numFmtId="0" fontId="34" fillId="37" borderId="14" xfId="0" applyFont="1" applyFill="1" applyBorder="1" applyAlignment="1">
      <alignment horizontal="center" vertical="top"/>
    </xf>
    <xf numFmtId="0" fontId="35" fillId="38" borderId="14" xfId="0" applyFont="1" applyFill="1" applyBorder="1" applyAlignment="1">
      <alignment horizontal="left" vertical="top" wrapText="1"/>
    </xf>
    <xf numFmtId="0" fontId="36" fillId="39" borderId="14" xfId="0" applyFont="1" applyFill="1" applyBorder="1" applyAlignment="1">
      <alignment horizontal="left" vertical="top" wrapText="1"/>
    </xf>
    <xf numFmtId="0" fontId="37" fillId="38" borderId="14" xfId="0" applyFont="1" applyFill="1" applyBorder="1" applyAlignment="1">
      <alignment horizontal="left" vertical="top" wrapText="1"/>
    </xf>
    <xf numFmtId="0" fontId="0" fillId="38" borderId="14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0" fillId="0" borderId="7" xfId="0" applyBorder="1"/>
    <xf numFmtId="0" fontId="4" fillId="2" borderId="2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9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0" borderId="9" xfId="0" applyBorder="1"/>
    <xf numFmtId="0" fontId="8" fillId="11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15" fillId="12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top" wrapText="1"/>
    </xf>
    <xf numFmtId="0" fontId="20" fillId="12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9" fillId="33" borderId="1" xfId="0" quotePrefix="1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left" vertical="center"/>
    </xf>
    <xf numFmtId="0" fontId="4" fillId="23" borderId="2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27" fillId="2" borderId="2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4" fillId="27" borderId="2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DD14A1-AEA7-4A1E-B547-AC134300022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56dd850-5641-4c5b-8abd-90a12c08593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sqref="A1:H1"/>
    </sheetView>
  </sheetViews>
  <sheetFormatPr defaultRowHeight="14.4" x14ac:dyDescent="0.55000000000000004"/>
  <cols>
    <col min="1" max="1" width="3" customWidth="1"/>
    <col min="2" max="2" width="28" customWidth="1"/>
    <col min="3" max="3" width="16" customWidth="1"/>
    <col min="4" max="4" width="24" customWidth="1"/>
    <col min="5" max="5" width="16" customWidth="1"/>
    <col min="6" max="7" width="14" customWidth="1"/>
    <col min="8" max="8" width="22" customWidth="1"/>
  </cols>
  <sheetData>
    <row r="1" spans="1:8" ht="48" customHeight="1" x14ac:dyDescent="0.55000000000000004">
      <c r="A1" s="110" t="s">
        <v>0</v>
      </c>
      <c r="B1" s="108"/>
      <c r="C1" s="108"/>
      <c r="D1" s="108"/>
      <c r="E1" s="108"/>
      <c r="F1" s="108"/>
      <c r="G1" s="108"/>
      <c r="H1" s="102"/>
    </row>
    <row r="2" spans="1:8" ht="20.05" customHeight="1" x14ac:dyDescent="0.55000000000000004">
      <c r="A2" s="124" t="s">
        <v>1</v>
      </c>
      <c r="B2" s="108"/>
      <c r="C2" s="108"/>
      <c r="D2" s="108"/>
      <c r="E2" s="108"/>
      <c r="F2" s="108"/>
      <c r="G2" s="108"/>
      <c r="H2" s="102"/>
    </row>
    <row r="3" spans="1:8" ht="40" customHeight="1" x14ac:dyDescent="0.55000000000000004">
      <c r="A3" s="116" t="s">
        <v>2</v>
      </c>
      <c r="B3" s="108"/>
      <c r="C3" s="108"/>
      <c r="D3" s="108"/>
      <c r="E3" s="108"/>
      <c r="F3" s="108"/>
      <c r="G3" s="108"/>
      <c r="H3" s="102"/>
    </row>
    <row r="4" spans="1:8" ht="40" customHeight="1" x14ac:dyDescent="0.55000000000000004">
      <c r="A4" s="125" t="s">
        <v>3</v>
      </c>
      <c r="B4" s="108"/>
      <c r="C4" s="108"/>
      <c r="D4" s="108"/>
      <c r="E4" s="108"/>
      <c r="F4" s="108"/>
      <c r="G4" s="108"/>
      <c r="H4" s="102"/>
    </row>
    <row r="5" spans="1:8" ht="5.05" customHeight="1" x14ac:dyDescent="0.55000000000000004">
      <c r="A5" s="4"/>
      <c r="B5" s="4"/>
      <c r="C5" s="4"/>
      <c r="D5" s="4"/>
      <c r="E5" s="4"/>
      <c r="F5" s="4"/>
      <c r="G5" s="4"/>
      <c r="H5" s="4"/>
    </row>
    <row r="6" spans="1:8" ht="24" customHeight="1" x14ac:dyDescent="0.55000000000000004">
      <c r="A6" s="112" t="s">
        <v>4</v>
      </c>
      <c r="B6" s="104"/>
      <c r="C6" s="104"/>
      <c r="D6" s="104"/>
      <c r="E6" s="104"/>
      <c r="F6" s="104"/>
      <c r="G6" s="104"/>
      <c r="H6" s="105"/>
    </row>
    <row r="7" spans="1:8" ht="24" customHeight="1" x14ac:dyDescent="0.55000000000000004">
      <c r="A7" s="116" t="s">
        <v>5</v>
      </c>
      <c r="B7" s="108"/>
      <c r="C7" s="108"/>
      <c r="D7" s="108"/>
      <c r="E7" s="108"/>
      <c r="F7" s="108"/>
      <c r="G7" s="108"/>
      <c r="H7" s="102"/>
    </row>
    <row r="8" spans="1:8" ht="18" customHeight="1" x14ac:dyDescent="0.55000000000000004">
      <c r="A8" s="5"/>
      <c r="B8" s="5" t="s">
        <v>6</v>
      </c>
      <c r="C8" s="5"/>
      <c r="D8" s="5"/>
      <c r="E8" s="5"/>
      <c r="F8" s="5" t="s">
        <v>7</v>
      </c>
      <c r="G8" s="5"/>
      <c r="H8" s="5" t="s">
        <v>8</v>
      </c>
    </row>
    <row r="9" spans="1:8" ht="26.05" customHeight="1" x14ac:dyDescent="0.55000000000000004">
      <c r="A9" s="126" t="s">
        <v>9</v>
      </c>
      <c r="B9" s="108"/>
      <c r="C9" s="108"/>
      <c r="D9" s="108"/>
      <c r="E9" s="102"/>
      <c r="F9" s="6" t="s">
        <v>10</v>
      </c>
      <c r="G9" s="117" t="s">
        <v>11</v>
      </c>
      <c r="H9" s="102"/>
    </row>
    <row r="10" spans="1:8" ht="26.05" customHeight="1" x14ac:dyDescent="0.55000000000000004">
      <c r="A10" s="126" t="s">
        <v>12</v>
      </c>
      <c r="B10" s="108"/>
      <c r="C10" s="108"/>
      <c r="D10" s="108"/>
      <c r="E10" s="102"/>
      <c r="F10" s="6" t="s">
        <v>10</v>
      </c>
      <c r="G10" s="117" t="s">
        <v>13</v>
      </c>
      <c r="H10" s="102"/>
    </row>
    <row r="11" spans="1:8" ht="26.05" customHeight="1" x14ac:dyDescent="0.55000000000000004">
      <c r="A11" s="107" t="s">
        <v>14</v>
      </c>
      <c r="B11" s="108"/>
      <c r="C11" s="108"/>
      <c r="D11" s="108"/>
      <c r="E11" s="102"/>
      <c r="F11" s="6" t="s">
        <v>10</v>
      </c>
      <c r="G11" s="106" t="s">
        <v>15</v>
      </c>
      <c r="H11" s="102"/>
    </row>
    <row r="12" spans="1:8" ht="26.05" customHeight="1" x14ac:dyDescent="0.55000000000000004">
      <c r="A12" s="120" t="s">
        <v>16</v>
      </c>
      <c r="B12" s="108"/>
      <c r="C12" s="108"/>
      <c r="D12" s="108"/>
      <c r="E12" s="102"/>
      <c r="F12" s="6" t="s">
        <v>10</v>
      </c>
      <c r="G12" s="101" t="s">
        <v>17</v>
      </c>
      <c r="H12" s="102"/>
    </row>
    <row r="13" spans="1:8" ht="22" customHeight="1" x14ac:dyDescent="0.55000000000000004">
      <c r="A13" s="127" t="s">
        <v>18</v>
      </c>
      <c r="B13" s="108"/>
      <c r="C13" s="108"/>
      <c r="D13" s="108"/>
      <c r="E13" s="102"/>
      <c r="F13" s="14" t="str">
        <f>IF(AND(F9="EVET",F10="EVET",F11="EVET",F12="EVET"),"OK - Hesaplanabilir","HATA - Ön koşul eksik")</f>
        <v>OK - Hesaplanabilir</v>
      </c>
      <c r="G13" s="119" t="s">
        <v>19</v>
      </c>
      <c r="H13" s="102"/>
    </row>
    <row r="14" spans="1:8" ht="5.05" customHeight="1" x14ac:dyDescent="0.55000000000000004">
      <c r="A14" s="4"/>
      <c r="B14" s="4"/>
      <c r="C14" s="4"/>
      <c r="D14" s="4"/>
      <c r="E14" s="4"/>
      <c r="F14" s="4"/>
      <c r="G14" s="4"/>
      <c r="H14" s="4"/>
    </row>
    <row r="15" spans="1:8" ht="24" customHeight="1" x14ac:dyDescent="0.55000000000000004">
      <c r="A15" s="103" t="s">
        <v>20</v>
      </c>
      <c r="B15" s="104"/>
      <c r="C15" s="104"/>
      <c r="D15" s="104"/>
      <c r="E15" s="104"/>
      <c r="F15" s="104"/>
      <c r="G15" s="104"/>
      <c r="H15" s="105"/>
    </row>
    <row r="16" spans="1:8" ht="22" customHeight="1" x14ac:dyDescent="0.55000000000000004">
      <c r="A16" s="118" t="s">
        <v>21</v>
      </c>
      <c r="B16" s="108"/>
      <c r="C16" s="108"/>
      <c r="D16" s="108"/>
      <c r="E16" s="108"/>
      <c r="F16" s="108"/>
      <c r="G16" s="108"/>
      <c r="H16" s="102"/>
    </row>
    <row r="17" spans="1:8" ht="18" customHeight="1" x14ac:dyDescent="0.55000000000000004">
      <c r="A17" s="5"/>
      <c r="B17" s="5" t="s">
        <v>22</v>
      </c>
      <c r="C17" s="5" t="s">
        <v>23</v>
      </c>
      <c r="D17" s="5" t="s">
        <v>24</v>
      </c>
      <c r="E17" s="5" t="s">
        <v>25</v>
      </c>
      <c r="F17" s="5" t="s">
        <v>26</v>
      </c>
      <c r="G17" s="5" t="s">
        <v>27</v>
      </c>
      <c r="H17" s="5" t="s">
        <v>28</v>
      </c>
    </row>
    <row r="18" spans="1:8" ht="30" customHeight="1" x14ac:dyDescent="0.55000000000000004">
      <c r="A18" s="15"/>
      <c r="B18" s="16" t="s">
        <v>29</v>
      </c>
      <c r="C18" s="17" t="s">
        <v>30</v>
      </c>
      <c r="D18" s="18" t="s">
        <v>31</v>
      </c>
      <c r="E18" s="19" t="s">
        <v>32</v>
      </c>
      <c r="F18" s="20" t="s">
        <v>10</v>
      </c>
      <c r="G18" s="21" t="s">
        <v>33</v>
      </c>
      <c r="H18" s="22" t="s">
        <v>34</v>
      </c>
    </row>
    <row r="19" spans="1:8" ht="30" customHeight="1" x14ac:dyDescent="0.55000000000000004">
      <c r="A19" s="23"/>
      <c r="B19" s="24" t="s">
        <v>35</v>
      </c>
      <c r="C19" s="25" t="s">
        <v>36</v>
      </c>
      <c r="D19" s="26" t="s">
        <v>37</v>
      </c>
      <c r="E19" s="27" t="s">
        <v>32</v>
      </c>
      <c r="F19" s="20" t="s">
        <v>10</v>
      </c>
      <c r="G19" s="28" t="s">
        <v>33</v>
      </c>
      <c r="H19" s="22" t="s">
        <v>34</v>
      </c>
    </row>
    <row r="20" spans="1:8" ht="30" customHeight="1" x14ac:dyDescent="0.55000000000000004">
      <c r="A20" s="29"/>
      <c r="B20" s="30" t="s">
        <v>38</v>
      </c>
      <c r="C20" s="17" t="s">
        <v>39</v>
      </c>
      <c r="D20" s="18" t="s">
        <v>40</v>
      </c>
      <c r="E20" s="19" t="s">
        <v>41</v>
      </c>
      <c r="F20" s="21" t="s">
        <v>33</v>
      </c>
      <c r="G20" s="31" t="s">
        <v>10</v>
      </c>
      <c r="H20" s="22" t="s">
        <v>42</v>
      </c>
    </row>
    <row r="21" spans="1:8" ht="30" customHeight="1" x14ac:dyDescent="0.55000000000000004">
      <c r="A21" s="32"/>
      <c r="B21" s="33" t="s">
        <v>43</v>
      </c>
      <c r="C21" s="25" t="s">
        <v>44</v>
      </c>
      <c r="D21" s="26" t="s">
        <v>45</v>
      </c>
      <c r="E21" s="27" t="s">
        <v>32</v>
      </c>
      <c r="F21" s="28" t="s">
        <v>33</v>
      </c>
      <c r="G21" s="31" t="s">
        <v>10</v>
      </c>
      <c r="H21" s="22" t="s">
        <v>42</v>
      </c>
    </row>
    <row r="22" spans="1:8" ht="30" customHeight="1" x14ac:dyDescent="0.55000000000000004">
      <c r="A22" s="1"/>
      <c r="B22" s="34" t="s">
        <v>46</v>
      </c>
      <c r="C22" s="17" t="s">
        <v>47</v>
      </c>
      <c r="D22" s="18" t="s">
        <v>48</v>
      </c>
      <c r="E22" s="19" t="s">
        <v>32</v>
      </c>
      <c r="F22" s="20" t="s">
        <v>10</v>
      </c>
      <c r="G22" s="21" t="s">
        <v>33</v>
      </c>
      <c r="H22" s="22" t="s">
        <v>34</v>
      </c>
    </row>
    <row r="23" spans="1:8" ht="30" customHeight="1" x14ac:dyDescent="0.55000000000000004">
      <c r="A23" s="35"/>
      <c r="B23" s="36" t="s">
        <v>49</v>
      </c>
      <c r="C23" s="25" t="s">
        <v>50</v>
      </c>
      <c r="D23" s="26" t="s">
        <v>51</v>
      </c>
      <c r="E23" s="27" t="s">
        <v>32</v>
      </c>
      <c r="F23" s="20" t="s">
        <v>10</v>
      </c>
      <c r="G23" s="28" t="s">
        <v>33</v>
      </c>
      <c r="H23" s="22" t="s">
        <v>34</v>
      </c>
    </row>
    <row r="24" spans="1:8" ht="30" customHeight="1" x14ac:dyDescent="0.55000000000000004">
      <c r="A24" s="37"/>
      <c r="B24" s="38" t="s">
        <v>52</v>
      </c>
      <c r="C24" s="17" t="s">
        <v>53</v>
      </c>
      <c r="D24" s="18" t="s">
        <v>54</v>
      </c>
      <c r="E24" s="19" t="s">
        <v>32</v>
      </c>
      <c r="F24" s="21" t="s">
        <v>33</v>
      </c>
      <c r="G24" s="31" t="s">
        <v>10</v>
      </c>
      <c r="H24" s="21" t="s">
        <v>55</v>
      </c>
    </row>
    <row r="25" spans="1:8" ht="30" customHeight="1" x14ac:dyDescent="0.55000000000000004">
      <c r="A25" s="39"/>
      <c r="B25" s="40" t="s">
        <v>56</v>
      </c>
      <c r="C25" s="25" t="s">
        <v>57</v>
      </c>
      <c r="D25" s="26" t="s">
        <v>58</v>
      </c>
      <c r="E25" s="27" t="s">
        <v>32</v>
      </c>
      <c r="F25" s="28" t="s">
        <v>33</v>
      </c>
      <c r="G25" s="31" t="s">
        <v>10</v>
      </c>
      <c r="H25" s="28" t="s">
        <v>55</v>
      </c>
    </row>
    <row r="26" spans="1:8" ht="30" customHeight="1" x14ac:dyDescent="0.55000000000000004">
      <c r="A26" s="41"/>
      <c r="B26" s="42" t="s">
        <v>59</v>
      </c>
      <c r="C26" s="17" t="s">
        <v>60</v>
      </c>
      <c r="D26" s="18" t="s">
        <v>61</v>
      </c>
      <c r="E26" s="19" t="s">
        <v>62</v>
      </c>
      <c r="F26" s="21" t="s">
        <v>63</v>
      </c>
      <c r="G26" s="21" t="s">
        <v>63</v>
      </c>
      <c r="H26" s="43" t="s">
        <v>64</v>
      </c>
    </row>
    <row r="27" spans="1:8" ht="5.05" customHeight="1" x14ac:dyDescent="0.55000000000000004">
      <c r="A27" s="4"/>
      <c r="B27" s="4"/>
      <c r="C27" s="4"/>
      <c r="D27" s="4"/>
      <c r="E27" s="4"/>
      <c r="F27" s="4"/>
      <c r="G27" s="4"/>
      <c r="H27" s="4"/>
    </row>
    <row r="28" spans="1:8" ht="24" customHeight="1" x14ac:dyDescent="0.55000000000000004">
      <c r="A28" s="103" t="s">
        <v>65</v>
      </c>
      <c r="B28" s="104"/>
      <c r="C28" s="104"/>
      <c r="D28" s="104"/>
      <c r="E28" s="104"/>
      <c r="F28" s="104"/>
      <c r="G28" s="104"/>
      <c r="H28" s="105"/>
    </row>
    <row r="29" spans="1:8" ht="24" customHeight="1" x14ac:dyDescent="0.55000000000000004">
      <c r="A29" s="118" t="s">
        <v>66</v>
      </c>
      <c r="B29" s="108"/>
      <c r="C29" s="108"/>
      <c r="D29" s="108"/>
      <c r="E29" s="108"/>
      <c r="F29" s="108"/>
      <c r="G29" s="108"/>
      <c r="H29" s="102"/>
    </row>
    <row r="30" spans="1:8" ht="18" customHeight="1" x14ac:dyDescent="0.55000000000000004">
      <c r="A30" s="5"/>
      <c r="B30" s="5" t="s">
        <v>67</v>
      </c>
      <c r="C30" s="5" t="s">
        <v>68</v>
      </c>
      <c r="D30" s="5" t="s">
        <v>23</v>
      </c>
      <c r="E30" s="5" t="s">
        <v>69</v>
      </c>
      <c r="F30" s="5" t="s">
        <v>70</v>
      </c>
      <c r="G30" s="5" t="s">
        <v>71</v>
      </c>
      <c r="H30" s="5" t="s">
        <v>72</v>
      </c>
    </row>
    <row r="31" spans="1:8" ht="26.05" customHeight="1" x14ac:dyDescent="0.55000000000000004">
      <c r="A31" s="44" t="s">
        <v>73</v>
      </c>
      <c r="B31" s="7" t="s">
        <v>29</v>
      </c>
      <c r="C31" s="25" t="s">
        <v>30</v>
      </c>
      <c r="D31" s="45"/>
      <c r="E31" s="46" t="s">
        <v>32</v>
      </c>
      <c r="F31" s="9" t="s">
        <v>74</v>
      </c>
      <c r="G31" s="20" t="s">
        <v>75</v>
      </c>
    </row>
    <row r="32" spans="1:8" ht="26.05" customHeight="1" x14ac:dyDescent="0.55000000000000004">
      <c r="A32" s="44" t="s">
        <v>76</v>
      </c>
      <c r="B32" s="10" t="s">
        <v>77</v>
      </c>
      <c r="C32" s="46" t="s">
        <v>36</v>
      </c>
      <c r="D32" s="45"/>
      <c r="E32" s="46" t="s">
        <v>32</v>
      </c>
      <c r="F32" s="12" t="s">
        <v>78</v>
      </c>
      <c r="G32" s="20" t="s">
        <v>75</v>
      </c>
    </row>
    <row r="33" spans="1:8" ht="26.05" customHeight="1" x14ac:dyDescent="0.55000000000000004">
      <c r="A33" s="44" t="s">
        <v>79</v>
      </c>
      <c r="B33" s="7" t="s">
        <v>38</v>
      </c>
      <c r="C33" s="25" t="s">
        <v>39</v>
      </c>
      <c r="D33" s="45"/>
      <c r="E33" s="46" t="s">
        <v>41</v>
      </c>
      <c r="F33" s="9" t="s">
        <v>80</v>
      </c>
      <c r="G33" s="20" t="s">
        <v>75</v>
      </c>
    </row>
    <row r="34" spans="1:8" ht="26.05" customHeight="1" x14ac:dyDescent="0.55000000000000004">
      <c r="A34" s="44" t="s">
        <v>81</v>
      </c>
      <c r="B34" s="10" t="s">
        <v>43</v>
      </c>
      <c r="C34" s="46" t="s">
        <v>44</v>
      </c>
      <c r="D34" s="45"/>
      <c r="E34" s="46" t="s">
        <v>32</v>
      </c>
      <c r="F34" s="12" t="s">
        <v>82</v>
      </c>
      <c r="G34" s="20" t="s">
        <v>75</v>
      </c>
    </row>
    <row r="35" spans="1:8" ht="26.05" customHeight="1" x14ac:dyDescent="0.55000000000000004">
      <c r="A35" s="44" t="s">
        <v>83</v>
      </c>
      <c r="B35" s="7" t="s">
        <v>84</v>
      </c>
      <c r="C35" s="25" t="s">
        <v>85</v>
      </c>
      <c r="D35" s="45"/>
      <c r="E35" s="46" t="s">
        <v>32</v>
      </c>
      <c r="F35" s="9" t="s">
        <v>86</v>
      </c>
      <c r="G35" s="20" t="s">
        <v>75</v>
      </c>
    </row>
    <row r="36" spans="1:8" ht="26.05" customHeight="1" x14ac:dyDescent="0.55000000000000004">
      <c r="A36" s="44" t="s">
        <v>87</v>
      </c>
      <c r="B36" s="47" t="s">
        <v>88</v>
      </c>
      <c r="C36" s="48" t="s">
        <v>89</v>
      </c>
      <c r="D36" s="45"/>
      <c r="E36" s="48"/>
      <c r="F36" s="49" t="s">
        <v>90</v>
      </c>
      <c r="G36" s="50" t="s">
        <v>91</v>
      </c>
    </row>
    <row r="37" spans="1:8" ht="26.05" customHeight="1" x14ac:dyDescent="0.55000000000000004">
      <c r="A37" s="44" t="s">
        <v>92</v>
      </c>
      <c r="B37" s="47" t="s">
        <v>88</v>
      </c>
      <c r="C37" s="48" t="s">
        <v>89</v>
      </c>
      <c r="D37" s="45"/>
      <c r="E37" s="48"/>
      <c r="F37" s="49" t="s">
        <v>90</v>
      </c>
      <c r="G37" s="50" t="s">
        <v>91</v>
      </c>
    </row>
    <row r="38" spans="1:8" ht="26.05" customHeight="1" x14ac:dyDescent="0.55000000000000004">
      <c r="A38" s="44" t="s">
        <v>93</v>
      </c>
      <c r="B38" s="47" t="s">
        <v>88</v>
      </c>
      <c r="C38" s="48" t="s">
        <v>89</v>
      </c>
      <c r="D38" s="45"/>
      <c r="E38" s="48"/>
      <c r="F38" s="49" t="s">
        <v>90</v>
      </c>
      <c r="G38" s="50" t="s">
        <v>91</v>
      </c>
    </row>
    <row r="39" spans="1:8" ht="30" customHeight="1" x14ac:dyDescent="0.55000000000000004">
      <c r="A39" s="44" t="s">
        <v>94</v>
      </c>
      <c r="B39" s="114" t="s">
        <v>95</v>
      </c>
      <c r="C39" s="102"/>
      <c r="D39" s="51">
        <f>SUM(D31:D38)</f>
        <v>0</v>
      </c>
      <c r="E39" s="122" t="s">
        <v>96</v>
      </c>
      <c r="F39" s="108"/>
      <c r="G39" s="108"/>
      <c r="H39" s="102"/>
    </row>
    <row r="40" spans="1:8" ht="5.05" customHeight="1" x14ac:dyDescent="0.55000000000000004">
      <c r="A40" s="4"/>
      <c r="B40" s="4"/>
      <c r="C40" s="4"/>
      <c r="D40" s="4"/>
      <c r="E40" s="4"/>
      <c r="F40" s="4"/>
      <c r="G40" s="4"/>
      <c r="H40" s="4"/>
    </row>
    <row r="41" spans="1:8" ht="22" customHeight="1" x14ac:dyDescent="0.55000000000000004">
      <c r="A41" s="112" t="s">
        <v>97</v>
      </c>
      <c r="B41" s="104"/>
      <c r="C41" s="104"/>
      <c r="D41" s="104"/>
      <c r="E41" s="104"/>
      <c r="F41" s="104"/>
      <c r="G41" s="104"/>
      <c r="H41" s="105"/>
    </row>
    <row r="42" spans="1:8" ht="26.05" customHeight="1" x14ac:dyDescent="0.55000000000000004">
      <c r="A42" s="52" t="s">
        <v>98</v>
      </c>
      <c r="B42" s="113" t="s">
        <v>99</v>
      </c>
      <c r="C42" s="102"/>
      <c r="D42" s="123" t="s">
        <v>100</v>
      </c>
      <c r="E42" s="108"/>
      <c r="F42" s="108"/>
      <c r="G42" s="108"/>
      <c r="H42" s="102"/>
    </row>
    <row r="43" spans="1:8" ht="26.05" customHeight="1" x14ac:dyDescent="0.55000000000000004">
      <c r="A43" s="52" t="s">
        <v>101</v>
      </c>
      <c r="B43" s="113" t="s">
        <v>102</v>
      </c>
      <c r="C43" s="102"/>
      <c r="D43" s="123" t="s">
        <v>103</v>
      </c>
      <c r="E43" s="108"/>
      <c r="F43" s="108"/>
      <c r="G43" s="108"/>
      <c r="H43" s="102"/>
    </row>
    <row r="44" spans="1:8" ht="26.05" customHeight="1" x14ac:dyDescent="0.55000000000000004">
      <c r="A44" s="52" t="s">
        <v>104</v>
      </c>
      <c r="B44" s="121" t="s">
        <v>105</v>
      </c>
      <c r="C44" s="102"/>
      <c r="D44" s="115" t="s">
        <v>106</v>
      </c>
      <c r="E44" s="108"/>
      <c r="F44" s="108"/>
      <c r="G44" s="108"/>
      <c r="H44" s="102"/>
    </row>
    <row r="45" spans="1:8" ht="26.05" customHeight="1" x14ac:dyDescent="0.55000000000000004">
      <c r="A45" s="52" t="s">
        <v>107</v>
      </c>
      <c r="B45" s="121" t="s">
        <v>108</v>
      </c>
      <c r="C45" s="102"/>
      <c r="D45" s="115" t="s">
        <v>109</v>
      </c>
      <c r="E45" s="108"/>
      <c r="F45" s="108"/>
      <c r="G45" s="108"/>
      <c r="H45" s="102"/>
    </row>
    <row r="46" spans="1:8" ht="26.05" customHeight="1" x14ac:dyDescent="0.55000000000000004">
      <c r="A46" s="52" t="s">
        <v>110</v>
      </c>
      <c r="B46" s="109" t="s">
        <v>111</v>
      </c>
      <c r="C46" s="102"/>
      <c r="D46" s="111" t="s">
        <v>112</v>
      </c>
      <c r="E46" s="108"/>
      <c r="F46" s="108"/>
      <c r="G46" s="108"/>
      <c r="H46" s="102"/>
    </row>
  </sheetData>
  <mergeCells count="33">
    <mergeCell ref="A2:H2"/>
    <mergeCell ref="A4:H4"/>
    <mergeCell ref="A29:H29"/>
    <mergeCell ref="A10:E10"/>
    <mergeCell ref="D42:H42"/>
    <mergeCell ref="A28:H28"/>
    <mergeCell ref="A13:E13"/>
    <mergeCell ref="G9:H9"/>
    <mergeCell ref="A9:E9"/>
    <mergeCell ref="A1:H1"/>
    <mergeCell ref="D46:H46"/>
    <mergeCell ref="A6:H6"/>
    <mergeCell ref="B43:C43"/>
    <mergeCell ref="B39:C39"/>
    <mergeCell ref="D45:H45"/>
    <mergeCell ref="A7:H7"/>
    <mergeCell ref="G10:H10"/>
    <mergeCell ref="A16:H16"/>
    <mergeCell ref="B42:C42"/>
    <mergeCell ref="A41:H41"/>
    <mergeCell ref="G13:H13"/>
    <mergeCell ref="A3:H3"/>
    <mergeCell ref="A12:E12"/>
    <mergeCell ref="B44:C44"/>
    <mergeCell ref="E39:H39"/>
    <mergeCell ref="G12:H12"/>
    <mergeCell ref="A15:H15"/>
    <mergeCell ref="G11:H11"/>
    <mergeCell ref="A11:E11"/>
    <mergeCell ref="B46:C46"/>
    <mergeCell ref="D43:H43"/>
    <mergeCell ref="B45:C45"/>
    <mergeCell ref="D44:H44"/>
  </mergeCells>
  <conditionalFormatting sqref="F13">
    <cfRule type="containsText" dxfId="3" priority="1" operator="containsText" text="OK">
      <formula>NOT(ISERROR(SEARCH("OK",F13)))</formula>
    </cfRule>
    <cfRule type="containsText" dxfId="2" priority="2" operator="containsText" text="HATA">
      <formula>NOT(ISERROR(SEARCH("HATA",F13)))</formula>
    </cfRule>
  </conditionalFormatting>
  <dataValidations count="5">
    <dataValidation type="list" sqref="F9" xr:uid="{00000000-0002-0000-0000-000000000000}">
      <formula1>"EVET,HAYIR-Özel Satır Kullan"</formula1>
    </dataValidation>
    <dataValidation type="list" sqref="F10:F11" xr:uid="{00000000-0002-0000-0000-000001000000}">
      <formula1>"EVET,HAYIR-Risk"</formula1>
    </dataValidation>
    <dataValidation type="list" sqref="F12" xr:uid="{00000000-0002-0000-0000-000002000000}">
      <formula1>"EVET,Tam Tasdik"</formula1>
    </dataValidation>
    <dataValidation type="list" sqref="F31:F38" xr:uid="{00000000-0002-0000-0000-000003000000}">
      <formula1>"Kazancın Bulunması Halinde,Zarar Olsa Dahi — İndirim"</formula1>
    </dataValidation>
    <dataValidation type="list" sqref="H31:H38" xr:uid="{00000000-0002-0000-0000-000004000000}">
      <formula1>"Tamamlandı,Eksik Belge,Risk — Özelge Alınmalı,Uygulanmıyor"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4.4" x14ac:dyDescent="0.55000000000000004"/>
  <cols>
    <col min="1" max="1" width="4" customWidth="1"/>
    <col min="2" max="2" width="32" customWidth="1"/>
    <col min="3" max="3" width="18" customWidth="1"/>
    <col min="4" max="4" width="16" customWidth="1"/>
    <col min="5" max="5" width="14" customWidth="1"/>
    <col min="6" max="7" width="12" customWidth="1"/>
    <col min="8" max="8" width="20" customWidth="1"/>
  </cols>
  <sheetData>
    <row r="1" spans="1:8" ht="36" customHeight="1" x14ac:dyDescent="0.55000000000000004">
      <c r="A1" s="130" t="s">
        <v>113</v>
      </c>
      <c r="B1" s="104"/>
      <c r="C1" s="104"/>
      <c r="D1" s="104"/>
      <c r="E1" s="104"/>
      <c r="F1" s="104"/>
      <c r="G1" s="104"/>
      <c r="H1" s="105"/>
    </row>
    <row r="2" spans="1:8" ht="20.05" customHeight="1" x14ac:dyDescent="0.55000000000000004">
      <c r="A2" s="124" t="s">
        <v>114</v>
      </c>
      <c r="B2" s="108"/>
      <c r="C2" s="108"/>
      <c r="D2" s="108"/>
      <c r="E2" s="108"/>
      <c r="F2" s="108"/>
      <c r="G2" s="108"/>
      <c r="H2" s="102"/>
    </row>
    <row r="3" spans="1:8" ht="5.05" customHeight="1" x14ac:dyDescent="0.55000000000000004">
      <c r="A3" s="4"/>
      <c r="B3" s="4"/>
      <c r="C3" s="4"/>
      <c r="D3" s="4"/>
      <c r="E3" s="4"/>
      <c r="F3" s="4"/>
      <c r="G3" s="4"/>
      <c r="H3" s="4"/>
    </row>
    <row r="4" spans="1:8" ht="22" customHeight="1" x14ac:dyDescent="0.55000000000000004">
      <c r="A4" s="138" t="s">
        <v>115</v>
      </c>
      <c r="B4" s="104"/>
      <c r="C4" s="104"/>
      <c r="D4" s="104"/>
      <c r="E4" s="104"/>
      <c r="F4" s="104"/>
      <c r="G4" s="104"/>
      <c r="H4" s="105"/>
    </row>
    <row r="5" spans="1:8" ht="22" customHeight="1" x14ac:dyDescent="0.55000000000000004">
      <c r="A5" s="132" t="s">
        <v>116</v>
      </c>
      <c r="B5" s="108"/>
      <c r="C5" s="102"/>
      <c r="D5" s="56" t="str">
        <f>'VERİ GİRİŞİ'!F13</f>
        <v>OK - Hesaplanabilir</v>
      </c>
      <c r="E5" s="106" t="s">
        <v>117</v>
      </c>
      <c r="F5" s="108"/>
      <c r="G5" s="108"/>
      <c r="H5" s="102"/>
    </row>
    <row r="6" spans="1:8" ht="22" customHeight="1" x14ac:dyDescent="0.55000000000000004">
      <c r="A6" s="133" t="s">
        <v>118</v>
      </c>
      <c r="B6" s="108"/>
      <c r="C6" s="102"/>
      <c r="D6" s="56">
        <f>'VERİ GİRİŞİ'!D31</f>
        <v>0</v>
      </c>
      <c r="E6" s="101" t="s">
        <v>119</v>
      </c>
      <c r="F6" s="108"/>
      <c r="G6" s="108"/>
      <c r="H6" s="102"/>
    </row>
    <row r="7" spans="1:8" ht="22" customHeight="1" x14ac:dyDescent="0.55000000000000004">
      <c r="A7" s="132" t="s">
        <v>120</v>
      </c>
      <c r="B7" s="108"/>
      <c r="C7" s="102"/>
      <c r="D7" s="56">
        <f>'VERİ GİRİŞİ'!D32</f>
        <v>0</v>
      </c>
      <c r="E7" s="106" t="s">
        <v>119</v>
      </c>
      <c r="F7" s="108"/>
      <c r="G7" s="108"/>
      <c r="H7" s="102"/>
    </row>
    <row r="8" spans="1:8" ht="22" customHeight="1" x14ac:dyDescent="0.55000000000000004">
      <c r="A8" s="133" t="s">
        <v>121</v>
      </c>
      <c r="B8" s="108"/>
      <c r="C8" s="102"/>
      <c r="D8" s="56">
        <f>'VERİ GİRİŞİ'!D33</f>
        <v>0</v>
      </c>
      <c r="E8" s="101" t="s">
        <v>119</v>
      </c>
      <c r="F8" s="108"/>
      <c r="G8" s="108"/>
      <c r="H8" s="102"/>
    </row>
    <row r="9" spans="1:8" ht="22" customHeight="1" x14ac:dyDescent="0.55000000000000004">
      <c r="A9" s="132" t="s">
        <v>122</v>
      </c>
      <c r="B9" s="108"/>
      <c r="C9" s="102"/>
      <c r="D9" s="56">
        <f>'VERİ GİRİŞİ'!D34</f>
        <v>0</v>
      </c>
      <c r="E9" s="106" t="s">
        <v>119</v>
      </c>
      <c r="F9" s="108"/>
      <c r="G9" s="108"/>
      <c r="H9" s="102"/>
    </row>
    <row r="10" spans="1:8" ht="22" customHeight="1" x14ac:dyDescent="0.55000000000000004">
      <c r="A10" s="133" t="s">
        <v>123</v>
      </c>
      <c r="B10" s="108"/>
      <c r="C10" s="102"/>
      <c r="D10" s="56">
        <f>'VERİ GİRİŞİ'!D35</f>
        <v>0</v>
      </c>
      <c r="E10" s="101" t="s">
        <v>119</v>
      </c>
      <c r="F10" s="108"/>
      <c r="G10" s="108"/>
      <c r="H10" s="102"/>
    </row>
    <row r="11" spans="1:8" ht="22" customHeight="1" x14ac:dyDescent="0.55000000000000004">
      <c r="A11" s="132" t="s">
        <v>124</v>
      </c>
      <c r="B11" s="108"/>
      <c r="C11" s="102"/>
      <c r="D11" s="56">
        <f>SUM('VERİ GİRİŞİ'!D36:D38)</f>
        <v>0</v>
      </c>
      <c r="E11" s="106" t="s">
        <v>125</v>
      </c>
      <c r="F11" s="108"/>
      <c r="G11" s="108"/>
      <c r="H11" s="102"/>
    </row>
    <row r="12" spans="1:8" ht="22" customHeight="1" x14ac:dyDescent="0.55000000000000004">
      <c r="A12" s="127" t="s">
        <v>126</v>
      </c>
      <c r="B12" s="108"/>
      <c r="C12" s="102"/>
      <c r="D12" s="57">
        <f>'VERİ GİRİŞİ'!D39</f>
        <v>0</v>
      </c>
      <c r="E12" s="134" t="s">
        <v>127</v>
      </c>
      <c r="F12" s="108"/>
      <c r="G12" s="108"/>
      <c r="H12" s="102"/>
    </row>
    <row r="13" spans="1:8" ht="5.05" customHeight="1" x14ac:dyDescent="0.55000000000000004">
      <c r="A13" s="4"/>
      <c r="B13" s="4"/>
      <c r="C13" s="4"/>
      <c r="D13" s="4"/>
      <c r="E13" s="4"/>
      <c r="F13" s="4"/>
      <c r="G13" s="4"/>
      <c r="H13" s="4"/>
    </row>
    <row r="14" spans="1:8" ht="22" customHeight="1" x14ac:dyDescent="0.55000000000000004">
      <c r="A14" s="136" t="s">
        <v>128</v>
      </c>
      <c r="B14" s="104"/>
      <c r="C14" s="104"/>
      <c r="D14" s="104"/>
      <c r="E14" s="104"/>
      <c r="F14" s="104"/>
      <c r="G14" s="104"/>
      <c r="H14" s="105"/>
    </row>
    <row r="15" spans="1:8" ht="24" customHeight="1" x14ac:dyDescent="0.55000000000000004">
      <c r="A15" s="118" t="s">
        <v>129</v>
      </c>
      <c r="B15" s="108"/>
      <c r="C15" s="108"/>
      <c r="D15" s="108"/>
      <c r="E15" s="108"/>
      <c r="F15" s="108"/>
      <c r="G15" s="108"/>
      <c r="H15" s="102"/>
    </row>
    <row r="16" spans="1:8" ht="18" customHeight="1" x14ac:dyDescent="0.55000000000000004">
      <c r="A16" s="5"/>
      <c r="B16" s="5" t="s">
        <v>130</v>
      </c>
      <c r="C16" s="5"/>
      <c r="D16" s="5" t="s">
        <v>131</v>
      </c>
      <c r="E16" s="5"/>
      <c r="F16" s="5" t="s">
        <v>132</v>
      </c>
      <c r="G16" s="5"/>
      <c r="H16" s="5" t="s">
        <v>133</v>
      </c>
    </row>
    <row r="17" spans="1:8" ht="24" customHeight="1" x14ac:dyDescent="0.55000000000000004">
      <c r="A17" s="107" t="s">
        <v>134</v>
      </c>
      <c r="B17" s="102"/>
      <c r="C17" s="6" t="s">
        <v>10</v>
      </c>
      <c r="D17" s="128" t="s">
        <v>135</v>
      </c>
      <c r="E17" s="108"/>
      <c r="F17" s="102"/>
      <c r="G17" s="129" t="s">
        <v>136</v>
      </c>
      <c r="H17" s="102"/>
    </row>
    <row r="18" spans="1:8" ht="24" customHeight="1" x14ac:dyDescent="0.55000000000000004">
      <c r="A18" s="120" t="s">
        <v>137</v>
      </c>
      <c r="B18" s="102"/>
      <c r="C18" s="6" t="s">
        <v>138</v>
      </c>
      <c r="D18" s="131" t="s">
        <v>139</v>
      </c>
      <c r="E18" s="108"/>
      <c r="F18" s="102"/>
      <c r="G18" s="135" t="s">
        <v>140</v>
      </c>
      <c r="H18" s="102"/>
    </row>
    <row r="19" spans="1:8" ht="24" customHeight="1" x14ac:dyDescent="0.55000000000000004">
      <c r="A19" s="107" t="s">
        <v>141</v>
      </c>
      <c r="B19" s="102"/>
      <c r="C19" s="84">
        <f>'VERİ GİRİŞİ'!D31</f>
        <v>0</v>
      </c>
      <c r="D19" s="128" t="s">
        <v>142</v>
      </c>
      <c r="E19" s="108"/>
      <c r="F19" s="102"/>
      <c r="G19" s="129" t="s">
        <v>143</v>
      </c>
      <c r="H19" s="102"/>
    </row>
    <row r="20" spans="1:8" ht="24" customHeight="1" x14ac:dyDescent="0.55000000000000004">
      <c r="A20" s="120" t="s">
        <v>144</v>
      </c>
      <c r="B20" s="102"/>
      <c r="C20" s="84">
        <v>0</v>
      </c>
      <c r="D20" s="131"/>
      <c r="E20" s="108"/>
      <c r="F20" s="102"/>
      <c r="G20" s="135"/>
      <c r="H20" s="102"/>
    </row>
    <row r="21" spans="1:8" ht="5.05" customHeight="1" x14ac:dyDescent="0.55000000000000004">
      <c r="A21" s="4"/>
      <c r="B21" s="4"/>
      <c r="C21" s="4"/>
      <c r="D21" s="4"/>
      <c r="E21" s="4"/>
      <c r="F21" s="4"/>
      <c r="G21" s="4"/>
      <c r="H21" s="4"/>
    </row>
    <row r="22" spans="1:8" ht="22" customHeight="1" x14ac:dyDescent="0.55000000000000004">
      <c r="A22" s="137" t="s">
        <v>145</v>
      </c>
      <c r="B22" s="104"/>
      <c r="C22" s="104"/>
      <c r="D22" s="104"/>
      <c r="E22" s="104"/>
      <c r="F22" s="104"/>
      <c r="G22" s="104"/>
      <c r="H22" s="105"/>
    </row>
    <row r="23" spans="1:8" ht="24" customHeight="1" x14ac:dyDescent="0.55000000000000004">
      <c r="A23" s="118" t="s">
        <v>146</v>
      </c>
      <c r="B23" s="108"/>
      <c r="C23" s="108"/>
      <c r="D23" s="108"/>
      <c r="E23" s="108"/>
      <c r="F23" s="108"/>
      <c r="G23" s="108"/>
      <c r="H23" s="102"/>
    </row>
    <row r="24" spans="1:8" ht="18" customHeight="1" x14ac:dyDescent="0.55000000000000004">
      <c r="A24" s="5"/>
      <c r="B24" s="5" t="s">
        <v>130</v>
      </c>
      <c r="C24" s="5"/>
      <c r="D24" s="5" t="s">
        <v>147</v>
      </c>
      <c r="E24" s="5"/>
      <c r="F24" s="5" t="s">
        <v>132</v>
      </c>
      <c r="G24" s="5"/>
      <c r="H24" s="5" t="s">
        <v>133</v>
      </c>
    </row>
    <row r="25" spans="1:8" ht="24" customHeight="1" x14ac:dyDescent="0.55000000000000004">
      <c r="A25" s="107" t="s">
        <v>148</v>
      </c>
      <c r="B25" s="102"/>
      <c r="C25" s="6" t="s">
        <v>10</v>
      </c>
      <c r="D25" s="128" t="s">
        <v>149</v>
      </c>
      <c r="E25" s="108"/>
      <c r="F25" s="102"/>
      <c r="G25" s="129" t="s">
        <v>150</v>
      </c>
      <c r="H25" s="102"/>
    </row>
    <row r="26" spans="1:8" ht="24" customHeight="1" x14ac:dyDescent="0.55000000000000004">
      <c r="A26" s="120" t="s">
        <v>151</v>
      </c>
      <c r="B26" s="102"/>
      <c r="C26" s="84">
        <f>'VERİ GİRİŞİ'!D33</f>
        <v>0</v>
      </c>
      <c r="D26" s="131" t="s">
        <v>152</v>
      </c>
      <c r="E26" s="108"/>
      <c r="F26" s="102"/>
      <c r="G26" s="135" t="s">
        <v>153</v>
      </c>
      <c r="H26" s="102"/>
    </row>
    <row r="27" spans="1:8" ht="24" customHeight="1" x14ac:dyDescent="0.55000000000000004">
      <c r="A27" s="107" t="s">
        <v>154</v>
      </c>
      <c r="B27" s="102"/>
      <c r="C27" s="84">
        <f>C26</f>
        <v>0</v>
      </c>
      <c r="D27" s="128" t="s">
        <v>155</v>
      </c>
      <c r="E27" s="108"/>
      <c r="F27" s="102"/>
      <c r="G27" s="129"/>
      <c r="H27" s="102"/>
    </row>
    <row r="28" spans="1:8" ht="24" customHeight="1" x14ac:dyDescent="0.55000000000000004">
      <c r="A28" s="120" t="s">
        <v>156</v>
      </c>
      <c r="B28" s="102"/>
      <c r="C28" s="84">
        <v>0</v>
      </c>
      <c r="D28" s="131" t="s">
        <v>157</v>
      </c>
      <c r="E28" s="108"/>
      <c r="F28" s="102"/>
      <c r="G28" s="135" t="s">
        <v>158</v>
      </c>
      <c r="H28" s="102"/>
    </row>
    <row r="29" spans="1:8" ht="24" customHeight="1" x14ac:dyDescent="0.55000000000000004">
      <c r="A29" s="107" t="s">
        <v>159</v>
      </c>
      <c r="B29" s="102"/>
      <c r="C29" s="84">
        <f>C27+C28</f>
        <v>0</v>
      </c>
      <c r="D29" s="128" t="s">
        <v>160</v>
      </c>
      <c r="E29" s="108"/>
      <c r="F29" s="102"/>
      <c r="G29" s="129"/>
      <c r="H29" s="102"/>
    </row>
    <row r="30" spans="1:8" ht="5.05" customHeight="1" x14ac:dyDescent="0.55000000000000004">
      <c r="A30" s="4"/>
      <c r="B30" s="4"/>
      <c r="C30" s="4"/>
      <c r="D30" s="4"/>
      <c r="E30" s="4"/>
      <c r="F30" s="4"/>
      <c r="G30" s="4"/>
      <c r="H30" s="4"/>
    </row>
    <row r="31" spans="1:8" ht="22" customHeight="1" x14ac:dyDescent="0.55000000000000004">
      <c r="A31" s="103" t="s">
        <v>161</v>
      </c>
      <c r="B31" s="104"/>
      <c r="C31" s="104"/>
      <c r="D31" s="104"/>
      <c r="E31" s="104"/>
      <c r="F31" s="104"/>
      <c r="G31" s="104"/>
      <c r="H31" s="105"/>
    </row>
    <row r="32" spans="1:8" ht="18" customHeight="1" x14ac:dyDescent="0.55000000000000004">
      <c r="A32" s="5"/>
      <c r="B32" s="5" t="s">
        <v>162</v>
      </c>
      <c r="C32" s="5"/>
      <c r="D32" s="5" t="s">
        <v>132</v>
      </c>
      <c r="E32" s="5"/>
      <c r="F32" s="95" t="s">
        <v>163</v>
      </c>
      <c r="G32" s="5"/>
      <c r="H32" s="5"/>
    </row>
    <row r="33" spans="1:8" ht="22" customHeight="1" x14ac:dyDescent="0.55000000000000004">
      <c r="A33" s="52" t="s">
        <v>73</v>
      </c>
      <c r="B33" s="53" t="s">
        <v>164</v>
      </c>
      <c r="C33" s="2"/>
      <c r="D33" s="58" t="s">
        <v>165</v>
      </c>
      <c r="E33" s="91"/>
      <c r="F33" s="90" t="str">
        <f>IF('VERİ GİRİŞİ'!F9="EVET","Uygun","Eksik")</f>
        <v>Uygun</v>
      </c>
      <c r="G33" s="94" t="s">
        <v>166</v>
      </c>
      <c r="H33" s="8"/>
    </row>
    <row r="34" spans="1:8" ht="22" customHeight="1" x14ac:dyDescent="0.55000000000000004">
      <c r="A34" s="52" t="s">
        <v>76</v>
      </c>
      <c r="B34" s="53" t="s">
        <v>167</v>
      </c>
      <c r="C34" s="2"/>
      <c r="D34" s="58" t="s">
        <v>168</v>
      </c>
      <c r="E34" s="91"/>
      <c r="F34" s="85" t="str">
        <f>IF('VERİ GİRİŞİ'!F10="EVET","Uygun","Eksik")</f>
        <v>Uygun</v>
      </c>
      <c r="G34" s="94" t="s">
        <v>166</v>
      </c>
      <c r="H34" s="11"/>
    </row>
    <row r="35" spans="1:8" ht="22" customHeight="1" x14ac:dyDescent="0.55000000000000004">
      <c r="A35" s="52" t="s">
        <v>79</v>
      </c>
      <c r="B35" s="53" t="s">
        <v>169</v>
      </c>
      <c r="C35" s="2"/>
      <c r="D35" s="58" t="s">
        <v>170</v>
      </c>
      <c r="E35" s="91"/>
      <c r="F35" s="85" t="str">
        <f>IF('VERİ GİRİŞİ'!F11="EVET","Uygun","Eksik")</f>
        <v>Uygun</v>
      </c>
      <c r="G35" s="94" t="s">
        <v>166</v>
      </c>
      <c r="H35" s="8"/>
    </row>
    <row r="36" spans="1:8" ht="22" customHeight="1" x14ac:dyDescent="0.55000000000000004">
      <c r="A36" s="52" t="s">
        <v>81</v>
      </c>
      <c r="B36" s="54" t="s">
        <v>171</v>
      </c>
      <c r="C36" s="11"/>
      <c r="D36" s="55" t="s">
        <v>172</v>
      </c>
      <c r="E36" s="92"/>
      <c r="F36" s="86" t="str">
        <f>IF(C19&gt;0,IF(C20&gt;0,"Kontrol","Uygun"),"Uygun")</f>
        <v>Uygun</v>
      </c>
      <c r="G36" s="94" t="s">
        <v>166</v>
      </c>
      <c r="H36" s="11"/>
    </row>
    <row r="37" spans="1:8" ht="22" customHeight="1" x14ac:dyDescent="0.55000000000000004">
      <c r="A37" s="52" t="s">
        <v>83</v>
      </c>
      <c r="B37" s="59" t="s">
        <v>173</v>
      </c>
      <c r="C37" s="8"/>
      <c r="D37" s="60" t="s">
        <v>174</v>
      </c>
      <c r="E37" s="93"/>
      <c r="F37" s="87" t="str">
        <f>IF(D7&gt;0,"Kontrol","Uygun")</f>
        <v>Uygun</v>
      </c>
      <c r="G37" s="94" t="s">
        <v>166</v>
      </c>
      <c r="H37" s="8"/>
    </row>
    <row r="38" spans="1:8" ht="22" customHeight="1" x14ac:dyDescent="0.55000000000000004">
      <c r="A38" s="52" t="s">
        <v>87</v>
      </c>
      <c r="B38" s="54" t="s">
        <v>175</v>
      </c>
      <c r="C38" s="11"/>
      <c r="D38" s="55" t="s">
        <v>176</v>
      </c>
      <c r="E38" s="92"/>
      <c r="F38" s="86" t="str">
        <f>IF(C25="EVET","Uygun","Eksik")</f>
        <v>Uygun</v>
      </c>
      <c r="G38" s="94" t="s">
        <v>166</v>
      </c>
      <c r="H38" s="11"/>
    </row>
    <row r="39" spans="1:8" ht="22" customHeight="1" x14ac:dyDescent="0.55000000000000004">
      <c r="A39" s="52" t="s">
        <v>92</v>
      </c>
      <c r="B39" s="59" t="s">
        <v>177</v>
      </c>
      <c r="C39" s="8"/>
      <c r="D39" s="60" t="s">
        <v>178</v>
      </c>
      <c r="E39" s="93"/>
      <c r="F39" s="87" t="str">
        <f>IF(D9&gt;0,"Kontrol","Uygun")</f>
        <v>Uygun</v>
      </c>
      <c r="G39" s="94" t="s">
        <v>166</v>
      </c>
      <c r="H39" s="8"/>
    </row>
    <row r="40" spans="1:8" ht="22" customHeight="1" x14ac:dyDescent="0.55000000000000004">
      <c r="A40" s="52" t="s">
        <v>93</v>
      </c>
      <c r="B40" s="54" t="s">
        <v>179</v>
      </c>
      <c r="C40" s="11"/>
      <c r="D40" s="55" t="s">
        <v>180</v>
      </c>
      <c r="E40" s="92"/>
      <c r="F40" s="86" t="str">
        <f>IF(D10&gt;0,"Kontrol","Uygun")</f>
        <v>Uygun</v>
      </c>
      <c r="G40" s="94" t="s">
        <v>166</v>
      </c>
      <c r="H40" s="11"/>
    </row>
    <row r="41" spans="1:8" ht="22" customHeight="1" x14ac:dyDescent="0.55000000000000004">
      <c r="A41" s="52" t="s">
        <v>181</v>
      </c>
      <c r="B41" s="59" t="s">
        <v>182</v>
      </c>
      <c r="C41" s="8"/>
      <c r="D41" s="60" t="s">
        <v>183</v>
      </c>
      <c r="E41" s="93"/>
      <c r="F41" s="88" t="s">
        <v>162</v>
      </c>
      <c r="G41" s="94" t="s">
        <v>166</v>
      </c>
      <c r="H41" s="8"/>
    </row>
    <row r="42" spans="1:8" ht="22" customHeight="1" x14ac:dyDescent="0.55000000000000004">
      <c r="A42" s="52" t="s">
        <v>184</v>
      </c>
      <c r="B42" s="54" t="s">
        <v>185</v>
      </c>
      <c r="C42" s="11"/>
      <c r="D42" s="55" t="s">
        <v>186</v>
      </c>
      <c r="E42" s="92"/>
      <c r="F42" s="86" t="str">
        <f>IF(D12='VERİ GİRİŞİ'!D39,"Uygun","HATA")</f>
        <v>Uygun</v>
      </c>
      <c r="G42" s="94" t="s">
        <v>166</v>
      </c>
      <c r="H42" s="11"/>
    </row>
    <row r="43" spans="1:8" ht="22" customHeight="1" x14ac:dyDescent="0.55000000000000004">
      <c r="A43" s="52" t="s">
        <v>187</v>
      </c>
      <c r="B43" s="59" t="s">
        <v>188</v>
      </c>
      <c r="C43" s="8"/>
      <c r="D43" s="60" t="s">
        <v>189</v>
      </c>
      <c r="E43" s="93"/>
      <c r="F43" s="88" t="s">
        <v>162</v>
      </c>
      <c r="G43" s="94" t="s">
        <v>166</v>
      </c>
      <c r="H43" s="8"/>
    </row>
    <row r="44" spans="1:8" ht="22" customHeight="1" x14ac:dyDescent="0.55000000000000004">
      <c r="A44" s="52" t="s">
        <v>190</v>
      </c>
      <c r="B44" s="54" t="s">
        <v>191</v>
      </c>
      <c r="C44" s="11"/>
      <c r="D44" s="55" t="s">
        <v>192</v>
      </c>
      <c r="E44" s="92"/>
      <c r="F44" s="89" t="s">
        <v>162</v>
      </c>
      <c r="G44" s="94" t="s">
        <v>166</v>
      </c>
      <c r="H44" s="11"/>
    </row>
    <row r="45" spans="1:8" ht="22" customHeight="1" x14ac:dyDescent="0.55000000000000004">
      <c r="A45" s="52" t="s">
        <v>193</v>
      </c>
      <c r="B45" s="59" t="s">
        <v>194</v>
      </c>
      <c r="C45" s="8"/>
      <c r="D45" s="60" t="s">
        <v>195</v>
      </c>
      <c r="E45" s="93"/>
      <c r="F45" s="88" t="s">
        <v>162</v>
      </c>
      <c r="G45" s="94" t="s">
        <v>166</v>
      </c>
      <c r="H45" s="8"/>
    </row>
    <row r="46" spans="1:8" ht="22" customHeight="1" x14ac:dyDescent="0.55000000000000004">
      <c r="A46" s="52" t="s">
        <v>196</v>
      </c>
      <c r="B46" s="54" t="s">
        <v>197</v>
      </c>
      <c r="C46" s="11"/>
      <c r="D46" s="55" t="s">
        <v>17</v>
      </c>
      <c r="E46" s="92"/>
      <c r="F46" s="86" t="str">
        <f>IF('VERİ GİRİŞİ'!F12="EVET","Uygun","Eksik")</f>
        <v>Uygun</v>
      </c>
      <c r="G46" s="94" t="s">
        <v>166</v>
      </c>
      <c r="H46" s="11"/>
    </row>
  </sheetData>
  <mergeCells count="51">
    <mergeCell ref="A31:H31"/>
    <mergeCell ref="A2:H2"/>
    <mergeCell ref="A9:C9"/>
    <mergeCell ref="D26:F26"/>
    <mergeCell ref="A14:H14"/>
    <mergeCell ref="A17:B17"/>
    <mergeCell ref="A23:H23"/>
    <mergeCell ref="D20:F20"/>
    <mergeCell ref="E10:H10"/>
    <mergeCell ref="G26:H26"/>
    <mergeCell ref="A22:H22"/>
    <mergeCell ref="A4:H4"/>
    <mergeCell ref="A20:B20"/>
    <mergeCell ref="D19:F19"/>
    <mergeCell ref="G20:H20"/>
    <mergeCell ref="E9:H9"/>
    <mergeCell ref="A11:C11"/>
    <mergeCell ref="E5:H5"/>
    <mergeCell ref="A10:C10"/>
    <mergeCell ref="A26:B26"/>
    <mergeCell ref="D29:F29"/>
    <mergeCell ref="E8:H8"/>
    <mergeCell ref="G29:H29"/>
    <mergeCell ref="A29:B29"/>
    <mergeCell ref="A19:B19"/>
    <mergeCell ref="G25:H25"/>
    <mergeCell ref="A6:C6"/>
    <mergeCell ref="E6:H6"/>
    <mergeCell ref="A28:B28"/>
    <mergeCell ref="A7:C7"/>
    <mergeCell ref="A1:H1"/>
    <mergeCell ref="A12:C12"/>
    <mergeCell ref="G17:H17"/>
    <mergeCell ref="E11:H11"/>
    <mergeCell ref="D28:F28"/>
    <mergeCell ref="A25:B25"/>
    <mergeCell ref="A5:C5"/>
    <mergeCell ref="A8:C8"/>
    <mergeCell ref="E12:H12"/>
    <mergeCell ref="G19:H19"/>
    <mergeCell ref="D18:F18"/>
    <mergeCell ref="G28:H28"/>
    <mergeCell ref="A18:B18"/>
    <mergeCell ref="G18:H18"/>
    <mergeCell ref="D25:F25"/>
    <mergeCell ref="A27:B27"/>
    <mergeCell ref="D27:F27"/>
    <mergeCell ref="A15:H15"/>
    <mergeCell ref="G27:H27"/>
    <mergeCell ref="D17:F17"/>
    <mergeCell ref="E7:H7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dataValidations count="2">
    <dataValidation type="list" sqref="C17 C25" xr:uid="{00000000-0002-0000-0100-000000000000}">
      <formula1>"EVET,HAYIR"</formula1>
    </dataValidation>
    <dataValidation type="list" sqref="C18" xr:uid="{00000000-0002-0000-0100-000001000000}">
      <formula1>"Üretim,Alım-Satım,Hizmet,Karma"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8" ht="28" customHeight="1" x14ac:dyDescent="0.55000000000000004">
      <c r="A1" s="144" t="s">
        <v>198</v>
      </c>
      <c r="B1" s="104"/>
      <c r="C1" s="104"/>
      <c r="D1" s="104"/>
      <c r="E1" s="104"/>
      <c r="F1" s="104"/>
      <c r="G1" s="104"/>
      <c r="H1" s="105"/>
    </row>
    <row r="2" spans="1:8" ht="20.05" customHeight="1" x14ac:dyDescent="0.55000000000000004">
      <c r="A2" s="124" t="s">
        <v>199</v>
      </c>
      <c r="B2" s="108"/>
      <c r="C2" s="108"/>
      <c r="D2" s="108"/>
      <c r="E2" s="108"/>
      <c r="F2" s="108"/>
      <c r="G2" s="108"/>
      <c r="H2" s="102"/>
    </row>
    <row r="3" spans="1:8" ht="26.05" customHeight="1" x14ac:dyDescent="0.55000000000000004">
      <c r="A3" s="136" t="s">
        <v>200</v>
      </c>
      <c r="B3" s="104"/>
      <c r="C3" s="104"/>
      <c r="D3" s="104"/>
      <c r="E3" s="104"/>
      <c r="F3" s="104"/>
      <c r="G3" s="105"/>
    </row>
    <row r="4" spans="1:8" ht="18" customHeight="1" x14ac:dyDescent="0.55000000000000004">
      <c r="A4" s="5"/>
      <c r="B4" s="5" t="s">
        <v>201</v>
      </c>
      <c r="C4" s="5" t="s">
        <v>202</v>
      </c>
      <c r="D4" s="5" t="s">
        <v>203</v>
      </c>
      <c r="E4" s="5" t="s">
        <v>204</v>
      </c>
      <c r="F4" s="5" t="s">
        <v>205</v>
      </c>
      <c r="G4" s="5" t="s">
        <v>206</v>
      </c>
    </row>
    <row r="5" spans="1:8" ht="26.05" customHeight="1" x14ac:dyDescent="0.55000000000000004">
      <c r="A5" s="61" t="s">
        <v>205</v>
      </c>
      <c r="B5" s="61" t="s">
        <v>207</v>
      </c>
      <c r="C5" s="61" t="s">
        <v>208</v>
      </c>
      <c r="D5" s="61" t="s">
        <v>209</v>
      </c>
      <c r="E5" s="61" t="s">
        <v>33</v>
      </c>
      <c r="F5" s="61" t="s">
        <v>210</v>
      </c>
      <c r="G5" s="61" t="s">
        <v>211</v>
      </c>
    </row>
    <row r="6" spans="1:8" ht="22" customHeight="1" x14ac:dyDescent="0.55000000000000004">
      <c r="A6" s="141" t="s">
        <v>212</v>
      </c>
      <c r="B6" s="108"/>
      <c r="C6" s="108"/>
      <c r="D6" s="108"/>
      <c r="E6" s="108"/>
      <c r="F6" s="108"/>
      <c r="G6" s="102"/>
    </row>
    <row r="7" spans="1:8" ht="26.05" customHeight="1" x14ac:dyDescent="0.55000000000000004">
      <c r="A7" s="143" t="s">
        <v>320</v>
      </c>
      <c r="B7" s="104"/>
      <c r="C7" s="104"/>
      <c r="D7" s="104"/>
      <c r="E7" s="104"/>
      <c r="F7" s="104"/>
      <c r="G7" s="105"/>
    </row>
    <row r="8" spans="1:8" ht="18" customHeight="1" x14ac:dyDescent="0.55000000000000004">
      <c r="A8" s="5"/>
      <c r="B8" s="5" t="s">
        <v>201</v>
      </c>
      <c r="C8" s="5" t="s">
        <v>202</v>
      </c>
      <c r="D8" s="5" t="s">
        <v>203</v>
      </c>
      <c r="E8" s="5" t="s">
        <v>204</v>
      </c>
      <c r="F8" s="5" t="s">
        <v>205</v>
      </c>
      <c r="G8" s="5" t="s">
        <v>206</v>
      </c>
    </row>
    <row r="9" spans="1:8" ht="26.05" customHeight="1" x14ac:dyDescent="0.55000000000000004">
      <c r="A9" s="62" t="s">
        <v>205</v>
      </c>
      <c r="B9" s="62" t="s">
        <v>207</v>
      </c>
      <c r="C9" s="62" t="s">
        <v>213</v>
      </c>
      <c r="D9" s="62" t="s">
        <v>214</v>
      </c>
      <c r="E9" s="62" t="s">
        <v>33</v>
      </c>
      <c r="F9" s="62" t="s">
        <v>210</v>
      </c>
      <c r="G9" s="62" t="s">
        <v>215</v>
      </c>
    </row>
    <row r="10" spans="1:8" ht="22" customHeight="1" x14ac:dyDescent="0.55000000000000004">
      <c r="A10" s="145" t="s">
        <v>216</v>
      </c>
      <c r="B10" s="108"/>
      <c r="C10" s="108"/>
      <c r="D10" s="108"/>
      <c r="E10" s="108"/>
      <c r="F10" s="108"/>
      <c r="G10" s="102"/>
    </row>
    <row r="11" spans="1:8" ht="26.05" customHeight="1" x14ac:dyDescent="0.55000000000000004">
      <c r="A11" s="137" t="s">
        <v>217</v>
      </c>
      <c r="B11" s="104"/>
      <c r="C11" s="104"/>
      <c r="D11" s="104"/>
      <c r="E11" s="104"/>
      <c r="F11" s="104"/>
      <c r="G11" s="105"/>
    </row>
    <row r="12" spans="1:8" ht="18" customHeight="1" x14ac:dyDescent="0.55000000000000004">
      <c r="A12" s="5"/>
      <c r="B12" s="5" t="s">
        <v>201</v>
      </c>
      <c r="C12" s="5" t="s">
        <v>202</v>
      </c>
      <c r="D12" s="5" t="s">
        <v>203</v>
      </c>
      <c r="E12" s="5" t="s">
        <v>204</v>
      </c>
      <c r="F12" s="5" t="s">
        <v>205</v>
      </c>
      <c r="G12" s="5" t="s">
        <v>206</v>
      </c>
    </row>
    <row r="13" spans="1:8" ht="26.05" customHeight="1" x14ac:dyDescent="0.55000000000000004">
      <c r="A13" s="61" t="s">
        <v>204</v>
      </c>
      <c r="B13" s="61" t="s">
        <v>218</v>
      </c>
      <c r="C13" s="61" t="s">
        <v>219</v>
      </c>
      <c r="D13" s="61" t="s">
        <v>220</v>
      </c>
      <c r="E13" s="61" t="s">
        <v>33</v>
      </c>
      <c r="F13" s="61" t="s">
        <v>210</v>
      </c>
      <c r="G13" s="61" t="s">
        <v>221</v>
      </c>
    </row>
    <row r="14" spans="1:8" ht="22" customHeight="1" x14ac:dyDescent="0.55000000000000004">
      <c r="A14" s="139" t="s">
        <v>222</v>
      </c>
      <c r="B14" s="108"/>
      <c r="C14" s="108"/>
      <c r="D14" s="108"/>
      <c r="E14" s="108"/>
      <c r="F14" s="108"/>
      <c r="G14" s="102"/>
    </row>
    <row r="15" spans="1:8" ht="26.05" customHeight="1" x14ac:dyDescent="0.55000000000000004">
      <c r="A15" s="142" t="s">
        <v>223</v>
      </c>
      <c r="B15" s="104"/>
      <c r="C15" s="104"/>
      <c r="D15" s="104"/>
      <c r="E15" s="104"/>
      <c r="F15" s="104"/>
      <c r="G15" s="105"/>
    </row>
    <row r="16" spans="1:8" ht="18" customHeight="1" x14ac:dyDescent="0.55000000000000004">
      <c r="A16" s="5"/>
      <c r="B16" s="5" t="s">
        <v>201</v>
      </c>
      <c r="C16" s="5" t="s">
        <v>202</v>
      </c>
      <c r="D16" s="5" t="s">
        <v>203</v>
      </c>
      <c r="E16" s="5" t="s">
        <v>204</v>
      </c>
      <c r="F16" s="5" t="s">
        <v>205</v>
      </c>
      <c r="G16" s="5" t="s">
        <v>206</v>
      </c>
    </row>
    <row r="17" spans="1:7" ht="26.05" customHeight="1" x14ac:dyDescent="0.55000000000000004">
      <c r="A17" s="62" t="s">
        <v>204</v>
      </c>
      <c r="B17" s="62" t="s">
        <v>218</v>
      </c>
      <c r="C17" s="62" t="s">
        <v>224</v>
      </c>
      <c r="D17" s="62" t="s">
        <v>225</v>
      </c>
      <c r="E17" s="62" t="s">
        <v>33</v>
      </c>
      <c r="F17" s="62" t="s">
        <v>210</v>
      </c>
      <c r="G17" s="62" t="s">
        <v>226</v>
      </c>
    </row>
    <row r="18" spans="1:7" ht="22" customHeight="1" x14ac:dyDescent="0.55000000000000004">
      <c r="A18" s="140" t="s">
        <v>227</v>
      </c>
      <c r="B18" s="108"/>
      <c r="C18" s="108"/>
      <c r="D18" s="108"/>
      <c r="E18" s="108"/>
      <c r="F18" s="108"/>
      <c r="G18" s="102"/>
    </row>
  </sheetData>
  <mergeCells count="10">
    <mergeCell ref="A1:H1"/>
    <mergeCell ref="A11:G11"/>
    <mergeCell ref="A10:G10"/>
    <mergeCell ref="A14:G14"/>
    <mergeCell ref="A18:G18"/>
    <mergeCell ref="A3:G3"/>
    <mergeCell ref="A6:G6"/>
    <mergeCell ref="A2:H2"/>
    <mergeCell ref="A15:G15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8" ht="36" customHeight="1" x14ac:dyDescent="0.55000000000000004">
      <c r="A1" s="148" t="s">
        <v>228</v>
      </c>
      <c r="B1" s="104"/>
      <c r="C1" s="104"/>
      <c r="D1" s="104"/>
      <c r="E1" s="104"/>
      <c r="F1" s="104"/>
      <c r="G1" s="104"/>
      <c r="H1" s="105"/>
    </row>
    <row r="2" spans="1:8" ht="20.05" customHeight="1" x14ac:dyDescent="0.55000000000000004">
      <c r="A2" s="147" t="s">
        <v>229</v>
      </c>
      <c r="B2" s="104"/>
      <c r="C2" s="104"/>
      <c r="D2" s="104"/>
      <c r="E2" s="104"/>
      <c r="F2" s="104"/>
      <c r="G2" s="104"/>
      <c r="H2" s="105"/>
    </row>
    <row r="3" spans="1:8" ht="18" customHeight="1" x14ac:dyDescent="0.55000000000000004">
      <c r="A3" s="5" t="s">
        <v>230</v>
      </c>
      <c r="B3" s="5" t="s">
        <v>231</v>
      </c>
      <c r="C3" s="5" t="s">
        <v>232</v>
      </c>
      <c r="D3" s="5" t="s">
        <v>233</v>
      </c>
    </row>
    <row r="4" spans="1:8" ht="80.05" customHeight="1" x14ac:dyDescent="0.55000000000000004">
      <c r="A4" s="52" t="s">
        <v>234</v>
      </c>
      <c r="B4" s="54" t="s">
        <v>235</v>
      </c>
      <c r="C4" s="63" t="s">
        <v>236</v>
      </c>
      <c r="D4" s="64" t="s">
        <v>237</v>
      </c>
    </row>
    <row r="5" spans="1:8" ht="80.05" customHeight="1" x14ac:dyDescent="0.55000000000000004">
      <c r="A5" s="52" t="s">
        <v>238</v>
      </c>
      <c r="B5" s="59" t="s">
        <v>239</v>
      </c>
      <c r="C5" s="58" t="s">
        <v>321</v>
      </c>
      <c r="D5" s="65" t="s">
        <v>240</v>
      </c>
    </row>
    <row r="6" spans="1:8" ht="88" customHeight="1" x14ac:dyDescent="0.55000000000000004">
      <c r="A6" s="52" t="s">
        <v>241</v>
      </c>
      <c r="B6" s="54" t="s">
        <v>242</v>
      </c>
      <c r="C6" s="63" t="s">
        <v>243</v>
      </c>
      <c r="D6" s="64" t="s">
        <v>244</v>
      </c>
    </row>
    <row r="7" spans="1:8" ht="140.05000000000001" customHeight="1" x14ac:dyDescent="0.55000000000000004">
      <c r="A7" s="96" t="s">
        <v>245</v>
      </c>
      <c r="B7" s="97" t="s">
        <v>246</v>
      </c>
      <c r="C7" s="98" t="s">
        <v>247</v>
      </c>
      <c r="D7" s="99" t="s">
        <v>248</v>
      </c>
      <c r="E7" s="100"/>
      <c r="F7" s="100"/>
      <c r="G7" s="100"/>
      <c r="H7" s="100"/>
    </row>
    <row r="8" spans="1:8" ht="50.05" customHeight="1" x14ac:dyDescent="0.55000000000000004">
      <c r="A8" s="146" t="s">
        <v>249</v>
      </c>
      <c r="B8" s="104"/>
      <c r="C8" s="104"/>
      <c r="D8" s="104"/>
      <c r="E8" s="104"/>
      <c r="F8" s="104"/>
      <c r="G8" s="104"/>
      <c r="H8" s="105"/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0" t="s">
        <v>250</v>
      </c>
      <c r="B1" s="151"/>
      <c r="C1" s="151"/>
      <c r="D1" s="151"/>
      <c r="E1" s="151"/>
      <c r="F1" s="152"/>
    </row>
    <row r="2" spans="1:6" ht="20.05" customHeight="1" x14ac:dyDescent="0.55000000000000004">
      <c r="A2" s="149" t="s">
        <v>251</v>
      </c>
      <c r="B2" s="108"/>
      <c r="C2" s="108"/>
      <c r="D2" s="108"/>
      <c r="E2" s="108"/>
      <c r="F2" s="102"/>
    </row>
    <row r="3" spans="1:6" ht="5.05" customHeight="1" x14ac:dyDescent="0.55000000000000004">
      <c r="A3" s="4"/>
      <c r="B3" s="4"/>
      <c r="C3" s="4"/>
      <c r="D3" s="4"/>
      <c r="E3" s="4"/>
      <c r="F3" s="4"/>
    </row>
    <row r="4" spans="1:6" ht="26.05" customHeight="1" x14ac:dyDescent="0.55000000000000004">
      <c r="A4" s="138" t="s">
        <v>252</v>
      </c>
      <c r="B4" s="104"/>
      <c r="C4" s="104"/>
      <c r="D4" s="104"/>
      <c r="E4" s="104"/>
      <c r="F4" s="105"/>
    </row>
    <row r="5" spans="1:6" ht="22" customHeight="1" x14ac:dyDescent="0.55000000000000004">
      <c r="A5" s="116" t="s">
        <v>253</v>
      </c>
      <c r="B5" s="108"/>
      <c r="C5" s="108"/>
      <c r="D5" s="108"/>
      <c r="E5" s="108"/>
      <c r="F5" s="102"/>
    </row>
    <row r="6" spans="1:6" ht="18" customHeight="1" x14ac:dyDescent="0.55000000000000004">
      <c r="A6" s="5"/>
      <c r="B6" s="5" t="s">
        <v>67</v>
      </c>
      <c r="C6" s="5" t="s">
        <v>133</v>
      </c>
      <c r="D6" s="5" t="s">
        <v>254</v>
      </c>
      <c r="E6" s="5" t="s">
        <v>255</v>
      </c>
      <c r="F6" s="5"/>
    </row>
    <row r="7" spans="1:6" ht="44.05" customHeight="1" x14ac:dyDescent="0.55000000000000004">
      <c r="A7" s="13"/>
      <c r="B7" s="66" t="s">
        <v>256</v>
      </c>
      <c r="C7" s="67" t="s">
        <v>257</v>
      </c>
      <c r="D7" s="68" t="s">
        <v>258</v>
      </c>
      <c r="E7" s="69" t="s">
        <v>259</v>
      </c>
      <c r="F7" s="13"/>
    </row>
    <row r="8" spans="1:6" ht="40" customHeight="1" x14ac:dyDescent="0.55000000000000004">
      <c r="A8" s="13"/>
      <c r="B8" s="66" t="s">
        <v>260</v>
      </c>
      <c r="C8" s="67" t="s">
        <v>261</v>
      </c>
      <c r="D8" s="68" t="s">
        <v>262</v>
      </c>
      <c r="E8" s="69" t="s">
        <v>263</v>
      </c>
      <c r="F8" s="13"/>
    </row>
    <row r="9" spans="1:6" ht="40" customHeight="1" x14ac:dyDescent="0.55000000000000004">
      <c r="A9" s="13"/>
      <c r="B9" s="66" t="s">
        <v>264</v>
      </c>
      <c r="C9" s="67" t="s">
        <v>265</v>
      </c>
      <c r="D9" s="68" t="s">
        <v>266</v>
      </c>
      <c r="E9" s="69" t="s">
        <v>267</v>
      </c>
      <c r="F9" s="13"/>
    </row>
    <row r="10" spans="1:6" ht="44.05" customHeight="1" x14ac:dyDescent="0.55000000000000004">
      <c r="A10" s="13"/>
      <c r="B10" s="66" t="s">
        <v>268</v>
      </c>
      <c r="C10" s="67" t="s">
        <v>269</v>
      </c>
      <c r="D10" s="68" t="s">
        <v>270</v>
      </c>
      <c r="E10" s="69" t="s">
        <v>271</v>
      </c>
      <c r="F10" s="13"/>
    </row>
    <row r="11" spans="1:6" ht="44.05" customHeight="1" x14ac:dyDescent="0.55000000000000004">
      <c r="A11" s="13"/>
      <c r="B11" s="66" t="s">
        <v>272</v>
      </c>
      <c r="C11" s="67" t="s">
        <v>273</v>
      </c>
      <c r="D11" s="68" t="s">
        <v>274</v>
      </c>
      <c r="E11" s="69" t="s">
        <v>275</v>
      </c>
      <c r="F11" s="13"/>
    </row>
    <row r="12" spans="1:6" ht="40" customHeight="1" x14ac:dyDescent="0.55000000000000004">
      <c r="A12" s="13"/>
      <c r="B12" s="66" t="s">
        <v>276</v>
      </c>
      <c r="C12" s="67" t="s">
        <v>277</v>
      </c>
      <c r="D12" s="68" t="s">
        <v>278</v>
      </c>
      <c r="E12" s="69" t="s">
        <v>279</v>
      </c>
      <c r="F12" s="13"/>
    </row>
    <row r="13" spans="1:6" ht="36" customHeight="1" x14ac:dyDescent="0.55000000000000004">
      <c r="A13" s="13"/>
      <c r="B13" s="66" t="s">
        <v>280</v>
      </c>
      <c r="C13" s="67" t="s">
        <v>281</v>
      </c>
      <c r="D13" s="68" t="s">
        <v>282</v>
      </c>
      <c r="E13" s="69" t="s">
        <v>283</v>
      </c>
      <c r="F13" s="13"/>
    </row>
    <row r="14" spans="1:6" ht="5.05" customHeight="1" x14ac:dyDescent="0.55000000000000004">
      <c r="A14" s="4"/>
      <c r="B14" s="4"/>
      <c r="C14" s="4"/>
      <c r="D14" s="4"/>
      <c r="E14" s="4"/>
      <c r="F14" s="4"/>
    </row>
    <row r="15" spans="1:6" ht="26.05" customHeight="1" x14ac:dyDescent="0.55000000000000004">
      <c r="A15" s="153" t="s">
        <v>284</v>
      </c>
      <c r="B15" s="104"/>
      <c r="C15" s="104"/>
      <c r="D15" s="104"/>
      <c r="E15" s="104"/>
      <c r="F15" s="105"/>
    </row>
    <row r="16" spans="1:6" ht="18" customHeight="1" x14ac:dyDescent="0.55000000000000004">
      <c r="A16" s="5"/>
      <c r="B16" s="5" t="s">
        <v>67</v>
      </c>
      <c r="C16" s="5" t="s">
        <v>133</v>
      </c>
      <c r="D16" s="5" t="s">
        <v>254</v>
      </c>
      <c r="E16" s="5" t="s">
        <v>255</v>
      </c>
      <c r="F16" s="5"/>
    </row>
    <row r="17" spans="1:6" ht="40" customHeight="1" x14ac:dyDescent="0.55000000000000004">
      <c r="A17" s="3"/>
      <c r="B17" s="70" t="s">
        <v>285</v>
      </c>
      <c r="C17" s="71" t="s">
        <v>286</v>
      </c>
      <c r="D17" s="72" t="s">
        <v>287</v>
      </c>
      <c r="E17" s="73" t="s">
        <v>288</v>
      </c>
      <c r="F17" s="3"/>
    </row>
    <row r="18" spans="1:6" ht="36" customHeight="1" x14ac:dyDescent="0.55000000000000004">
      <c r="A18" s="3"/>
      <c r="B18" s="70" t="s">
        <v>289</v>
      </c>
      <c r="C18" s="71" t="s">
        <v>290</v>
      </c>
      <c r="D18" s="72" t="s">
        <v>291</v>
      </c>
      <c r="E18" s="73" t="s">
        <v>292</v>
      </c>
      <c r="F18" s="3"/>
    </row>
    <row r="19" spans="1:6" ht="5.05" customHeight="1" x14ac:dyDescent="0.55000000000000004">
      <c r="A19" s="4"/>
      <c r="B19" s="4"/>
      <c r="C19" s="4"/>
      <c r="D19" s="4"/>
      <c r="E19" s="4"/>
      <c r="F19" s="4"/>
    </row>
    <row r="20" spans="1:6" ht="26.05" customHeight="1" x14ac:dyDescent="0.55000000000000004">
      <c r="A20" s="137" t="s">
        <v>293</v>
      </c>
      <c r="B20" s="104"/>
      <c r="C20" s="104"/>
      <c r="D20" s="104"/>
      <c r="E20" s="104"/>
      <c r="F20" s="105"/>
    </row>
    <row r="21" spans="1:6" ht="18" customHeight="1" x14ac:dyDescent="0.55000000000000004">
      <c r="A21" s="74"/>
      <c r="B21" s="74" t="s">
        <v>67</v>
      </c>
      <c r="C21" s="74" t="s">
        <v>6</v>
      </c>
      <c r="D21" s="74" t="s">
        <v>294</v>
      </c>
      <c r="E21" s="74" t="s">
        <v>295</v>
      </c>
      <c r="F21" s="74"/>
    </row>
    <row r="22" spans="1:6" ht="44.05" customHeight="1" x14ac:dyDescent="0.55000000000000004">
      <c r="A22" s="75"/>
      <c r="B22" s="76" t="s">
        <v>296</v>
      </c>
      <c r="C22" s="77" t="s">
        <v>297</v>
      </c>
      <c r="D22" s="78" t="s">
        <v>165</v>
      </c>
      <c r="E22" s="79" t="s">
        <v>298</v>
      </c>
      <c r="F22" s="75"/>
    </row>
    <row r="23" spans="1:6" ht="44.05" customHeight="1" x14ac:dyDescent="0.55000000000000004">
      <c r="A23" s="75"/>
      <c r="B23" s="76" t="s">
        <v>299</v>
      </c>
      <c r="C23" s="77" t="s">
        <v>167</v>
      </c>
      <c r="D23" s="78" t="s">
        <v>300</v>
      </c>
      <c r="E23" s="79" t="s">
        <v>298</v>
      </c>
      <c r="F23" s="75"/>
    </row>
    <row r="24" spans="1:6" ht="44.05" customHeight="1" x14ac:dyDescent="0.55000000000000004">
      <c r="A24" s="75"/>
      <c r="B24" s="76" t="s">
        <v>301</v>
      </c>
      <c r="C24" s="77" t="s">
        <v>302</v>
      </c>
      <c r="D24" s="78" t="s">
        <v>303</v>
      </c>
      <c r="E24" s="79" t="s">
        <v>298</v>
      </c>
      <c r="F24" s="75"/>
    </row>
    <row r="25" spans="1:6" ht="44.05" customHeight="1" x14ac:dyDescent="0.55000000000000004">
      <c r="A25" s="80"/>
      <c r="B25" s="81" t="s">
        <v>304</v>
      </c>
      <c r="C25" s="82" t="s">
        <v>305</v>
      </c>
      <c r="D25" s="55" t="s">
        <v>172</v>
      </c>
      <c r="E25" s="83" t="s">
        <v>298</v>
      </c>
      <c r="F25" s="80"/>
    </row>
    <row r="26" spans="1:6" ht="44.05" customHeight="1" x14ac:dyDescent="0.55000000000000004">
      <c r="A26" s="80"/>
      <c r="B26" s="81" t="s">
        <v>306</v>
      </c>
      <c r="C26" s="82" t="s">
        <v>173</v>
      </c>
      <c r="D26" s="55" t="s">
        <v>174</v>
      </c>
      <c r="E26" s="83" t="s">
        <v>298</v>
      </c>
      <c r="F26" s="80"/>
    </row>
    <row r="27" spans="1:6" ht="44.05" customHeight="1" x14ac:dyDescent="0.55000000000000004">
      <c r="A27" s="80"/>
      <c r="B27" s="81" t="s">
        <v>307</v>
      </c>
      <c r="C27" s="82" t="s">
        <v>308</v>
      </c>
      <c r="D27" s="55" t="s">
        <v>309</v>
      </c>
      <c r="E27" s="83" t="s">
        <v>298</v>
      </c>
      <c r="F27" s="80"/>
    </row>
    <row r="28" spans="1:6" ht="44.05" customHeight="1" x14ac:dyDescent="0.55000000000000004">
      <c r="A28" s="80"/>
      <c r="B28" s="81" t="s">
        <v>310</v>
      </c>
      <c r="C28" s="82" t="s">
        <v>311</v>
      </c>
      <c r="D28" s="55" t="s">
        <v>312</v>
      </c>
      <c r="E28" s="83" t="s">
        <v>298</v>
      </c>
      <c r="F28" s="80"/>
    </row>
    <row r="29" spans="1:6" ht="44.05" customHeight="1" x14ac:dyDescent="0.55000000000000004">
      <c r="A29" s="80"/>
      <c r="B29" s="81" t="s">
        <v>313</v>
      </c>
      <c r="C29" s="82" t="s">
        <v>185</v>
      </c>
      <c r="D29" s="55" t="s">
        <v>314</v>
      </c>
      <c r="E29" s="83" t="s">
        <v>298</v>
      </c>
      <c r="F29" s="80"/>
    </row>
    <row r="30" spans="1:6" ht="44.05" customHeight="1" x14ac:dyDescent="0.55000000000000004">
      <c r="A30" s="80"/>
      <c r="B30" s="81" t="s">
        <v>315</v>
      </c>
      <c r="C30" s="82" t="s">
        <v>316</v>
      </c>
      <c r="D30" s="55" t="s">
        <v>317</v>
      </c>
      <c r="E30" s="83" t="s">
        <v>298</v>
      </c>
      <c r="F30" s="80"/>
    </row>
    <row r="31" spans="1:6" ht="44.05" customHeight="1" x14ac:dyDescent="0.55000000000000004">
      <c r="A31" s="80"/>
      <c r="B31" s="81" t="s">
        <v>318</v>
      </c>
      <c r="C31" s="82" t="s">
        <v>197</v>
      </c>
      <c r="D31" s="55" t="s">
        <v>17</v>
      </c>
      <c r="E31" s="83" t="s">
        <v>298</v>
      </c>
      <c r="F31" s="80"/>
    </row>
    <row r="32" spans="1:6" ht="5.05" customHeight="1" x14ac:dyDescent="0.55000000000000004">
      <c r="A32" s="4"/>
      <c r="B32" s="4"/>
      <c r="C32" s="4"/>
      <c r="D32" s="4"/>
      <c r="E32" s="4"/>
      <c r="F32" s="4"/>
    </row>
    <row r="33" spans="1:6" ht="52" customHeight="1" x14ac:dyDescent="0.55000000000000004">
      <c r="A33" s="146" t="s">
        <v>319</v>
      </c>
      <c r="B33" s="104"/>
      <c r="C33" s="104"/>
      <c r="D33" s="104"/>
      <c r="E33" s="104"/>
      <c r="F33" s="105"/>
    </row>
  </sheetData>
  <mergeCells count="7">
    <mergeCell ref="A2:F2"/>
    <mergeCell ref="A33:F33"/>
    <mergeCell ref="A1:F1"/>
    <mergeCell ref="A5:F5"/>
    <mergeCell ref="A4:F4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2026-04-04T20:59:31Z</dcterms:created>
  <dcterms:modified xsi:type="dcterms:W3CDTF">2026-04-05T10:58:38Z</dcterms:modified>
</cp:coreProperties>
</file>