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CC13FE56-B651-4B3E-86C5-9A82BF698FE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D10" i="2"/>
  <c r="D9" i="2"/>
  <c r="D8" i="2"/>
  <c r="E58" i="1"/>
  <c r="C55" i="1"/>
  <c r="C54" i="1"/>
  <c r="C52" i="1"/>
  <c r="C50" i="1"/>
  <c r="F19" i="2"/>
  <c r="E19" i="2"/>
  <c r="C19" i="2"/>
  <c r="B19" i="2"/>
  <c r="E18" i="2"/>
  <c r="C18" i="2"/>
  <c r="B18" i="2"/>
  <c r="E17" i="2"/>
  <c r="D17" i="2"/>
  <c r="C17" i="2"/>
  <c r="B17" i="2"/>
  <c r="E16" i="2"/>
  <c r="C16" i="2"/>
  <c r="B16" i="2"/>
  <c r="E15" i="2"/>
  <c r="C15" i="2"/>
  <c r="B15" i="2"/>
  <c r="D7" i="2"/>
  <c r="D6" i="2"/>
  <c r="F43" i="1"/>
  <c r="G43" i="1" s="1"/>
  <c r="G19" i="2" s="1"/>
  <c r="D43" i="1"/>
  <c r="D19" i="2" s="1"/>
  <c r="F42" i="1"/>
  <c r="G42" i="1" s="1"/>
  <c r="G18" i="2" s="1"/>
  <c r="D42" i="1"/>
  <c r="D18" i="2" s="1"/>
  <c r="G41" i="1"/>
  <c r="G17" i="2" s="1"/>
  <c r="F41" i="1"/>
  <c r="F17" i="2" s="1"/>
  <c r="D41" i="1"/>
  <c r="F40" i="1"/>
  <c r="F16" i="2" s="1"/>
  <c r="D40" i="1"/>
  <c r="D16" i="2" s="1"/>
  <c r="F39" i="1"/>
  <c r="F44" i="1" s="1"/>
  <c r="D39" i="1"/>
  <c r="D15" i="2" s="1"/>
  <c r="E15" i="1"/>
  <c r="D5" i="2" s="1"/>
  <c r="F18" i="2" l="1"/>
  <c r="G40" i="1"/>
  <c r="G16" i="2" s="1"/>
  <c r="F15" i="2"/>
  <c r="G39" i="1"/>
  <c r="C51" i="1"/>
  <c r="G44" i="1" l="1"/>
  <c r="G15" i="2"/>
  <c r="F20" i="2" l="1"/>
</calcChain>
</file>

<file path=xl/sharedStrings.xml><?xml version="1.0" encoding="utf-8"?>
<sst xmlns="http://schemas.openxmlformats.org/spreadsheetml/2006/main" count="378" uniqueCount="314">
  <si>
    <t>370 – KVK GEÇİCİ MADDE 14/1-a | DEĞERLEMEDen DOĞAN KUR FARKI KAZANCI İSTİSNASI | KUR KORUMALI MEVDUAT (KKM) | YMM TASDİK ÇALIŞMA KÂĞIDI</t>
  </si>
  <si>
    <t>KVK Geçici Md.14/1-a | 31/12/2021 Bilanço Yabancı Para → TL KKM Dönüşümü | Dönüşüm Anındaki Kur Farkı Kazancı İstisnası | Beyanname 370 | ★ YİAKV MATRAHINDA DÜŞÜLEMEZ | GİB KV Beyan Rehberi Mart 2026 (No:606)</t>
  </si>
  <si>
    <t xml:space="preserve">  ★★ YİAKV (KVK Md.32/C) KRİTİK: 370 kapsamındaki değerleme kazancı istisnası YİAKV matrahından DÜŞÜLEMEZ — asgari vergide matrahta kalır. (KV Beyan Rehberi 2026 No:606 | YİAKV Reh. No:607 Bölüm 3.3 | E.7 DÜŞÜLEMEZ listesi)</t>
  </si>
  <si>
    <t>A0. KAPSAM VE NİTELİK UYGUNLUK ÖN KONTROLÜ</t>
  </si>
  <si>
    <t>Kontrol Sorusu</t>
  </si>
  <si>
    <t>Yanıt</t>
  </si>
  <si>
    <t>YMM Tasdik Notu</t>
  </si>
  <si>
    <t>A0.1  Kurumun 31/12/2021 tarihli bilançosunda yabancı para (döviz tevdiat hesabı dahil) bakiyesi var mıydı?</t>
  </si>
  <si>
    <t>EVET</t>
  </si>
  <si>
    <t>KVK Geçici Md.14 kapsamı YALNIZCA 31/12/2021 bilanço yabancı para bakiyelerini kapsar. Sonradan edinilen yabancı paralar kapsam dışı.</t>
  </si>
  <si>
    <t>A0.2  ★ Bu yabancı paralar yasal süre içinde TL mevduat/katılım hesabına (KKM) dönüştürüldü mü?</t>
  </si>
  <si>
    <t>Orijinal süre: 17/2/2022 – 31/3/2022. Cumhurbaşkanı kararlarıyla uzatıldı. Güncel dönüşüm son tarihi kontrol edilmeli. B bölümünde tarih doğrulaması zorunlu.</t>
  </si>
  <si>
    <t>A0.3  Dönüşüm esnasında kur farkı (değerleme) kazancı oluştu mu?</t>
  </si>
  <si>
    <t>Bilanço tarihindeki kur ile dönüşüm günü kuru arasında pozitif fark varsa kazanç oluşur. Negatif fark olursa (TL değer kaybı döneminde) 370 tutarı sıfır olabilir.</t>
  </si>
  <si>
    <t>A0.4  KKM hesabının TL cinsinden açıldığı ve korumalı (garantili) olduğu teyit edildi mi?</t>
  </si>
  <si>
    <t>Sadece TL mevduat veya TL katılım hesabı (KKM) kapsamda. Döviz korumalı hesap farklıdır — Geçici Md.14 koşullarına uygunluk bankadan teyit alınmalıdır.</t>
  </si>
  <si>
    <t>A0.5  370 (değerleme kazancı) ile 371 (faiz/kâr payı) doğru ayrıştırıldı mı?</t>
  </si>
  <si>
    <t>370: Dönüşüm anındaki tek seferlik kur farkı kazancı (değerleme). 371: KKM hesabından elde edilen faiz ve kâr payı geliri. Her ikisi de ayrı beyanname satırı — karıştırılmamalı. 371 için ayrı çalışma kâğıdı düzenleyin.</t>
  </si>
  <si>
    <t>A0.6  ★ 370 tutarının YİAKV matrahından DÜŞÜLMEDIĞI teyit edildi mi?</t>
  </si>
  <si>
    <t>KVK Geçici Md.14 kapsamı kazançlar YİAKV matrahından DÜŞÜLEMEZ (E.7). Hatalı uygulama → YİAKV tarhiyatı + vergi ziyaı cezası + gecikme faizi. YİAKV çalışma kâğıdında da çift kontrol yapılmalıdır.</t>
  </si>
  <si>
    <t>A0.7  Dönüşüm tarihi ve tutarı banka belgesiyle teyit edildi mi?</t>
  </si>
  <si>
    <t>Döviz dönüşüm dekontu + KKM hesap açılış belgesi zorunludur. Banka tarafından düzenlenen resmi belge olmadan istisna savunulamaz.</t>
  </si>
  <si>
    <t>A0.8  YMM Tasdik Raporu gereksinimi değerlendirildi mi? (49 No.lu Tebliğ)</t>
  </si>
  <si>
    <t>&gt;=500.000 TL → YMM raporu. KV beyannamesi ile birlikte veya 2 ay içinde elektronik. Tam tasdik sözleşmesi olanlar ayrıca rapor düzenlemez.</t>
  </si>
  <si>
    <t>A0.9  Tasdik Uygunluk Sonucu</t>
  </si>
  <si>
    <t>★ A0.2 (dönüşüm tarihi), A0.6 (YİAKV düşülemez) kritik.</t>
  </si>
  <si>
    <t>A. GENEL BİLGİLER</t>
  </si>
  <si>
    <t>Kurumun Unvanı</t>
  </si>
  <si>
    <t>Tam ticaret unvanı — beyannamedeki ile aynı</t>
  </si>
  <si>
    <t>VKN</t>
  </si>
  <si>
    <t>10 haneli VKN</t>
  </si>
  <si>
    <t>Hesap Dönemi</t>
  </si>
  <si>
    <t>Örn: 01.01.2025 – 31.12.2025</t>
  </si>
  <si>
    <t>KV Oranı (%)</t>
  </si>
  <si>
    <t>2025: %25 | Banka/Finans: %30 | YİD/KÖİ: %30</t>
  </si>
  <si>
    <t>Dosya Referansı</t>
  </si>
  <si>
    <t>YMM-2025/370-01</t>
  </si>
  <si>
    <t>Bankacıyla İletişim Kişisi</t>
  </si>
  <si>
    <t>KKM koşulları için banka yetkilisi adı/iletişim</t>
  </si>
  <si>
    <t>B. DÖNÜŞÜM KOŞULLARI VE YASAL DAYANAĞA UYGUNLUK KONTROLÜ (KVK Geçici Md.14/1-a)</t>
  </si>
  <si>
    <t xml:space="preserve">  Dönüşüm tarihinin Cumhurbaşkanı kararlarıyla belirlenen yasal süre içinde olduğu teyit edilmelidir. 31/12/2021 bilanço bakiyesini aşan dönüşümler kapsam dışıdır.</t>
  </si>
  <si>
    <t>Parametre</t>
  </si>
  <si>
    <t>Değer / Tarih</t>
  </si>
  <si>
    <t>Açıklama</t>
  </si>
  <si>
    <t>Yasal Dayanak</t>
  </si>
  <si>
    <t>B.1  31/12/2021 Bilançosundaki Toplam Yabancı Para Bakiyesi (TL karşılığı)</t>
  </si>
  <si>
    <t>31/12/2021 TCMB kapanış kuru × Döviz miktarı. Bilanço ile mutabık olmalı.</t>
  </si>
  <si>
    <t>Bilanço</t>
  </si>
  <si>
    <t>B.2  Dönüşüme Konu Edilen Yabancı Para Miktarı (Döviz cinsinden, toplam)</t>
  </si>
  <si>
    <t>31/12/2021 bakiyesini aşamaz. Aşan kısım kapsam dışı.</t>
  </si>
  <si>
    <t>Banka dekontu</t>
  </si>
  <si>
    <t>B.3  ★ Dönüşüm Tarihi (TL KKM hesabına geçiş tarihi)</t>
  </si>
  <si>
    <t>Yasal süre içinde olduğu banka belgesiyle kanıtlanmalıdır.</t>
  </si>
  <si>
    <t>B.4  Dönüşüm Günü TCMB Döviz Alış Kuru (C. tablosunda her döviz için ayrı girilecek)</t>
  </si>
  <si>
    <t>TCMB resmi kuru — dönüşüm günü itibarıyla (tcmb.gov.tr)</t>
  </si>
  <si>
    <t>TCMB kur tablosu</t>
  </si>
  <si>
    <t>B.5  KKM Hesap Türü</t>
  </si>
  <si>
    <t>TL Mevduat (KKM)</t>
  </si>
  <si>
    <t>Yalnızca TL KKM (mevduat veya katılım) kapsamda. Döviz hesabı kapsamda değil.</t>
  </si>
  <si>
    <t>Banka belgesi</t>
  </si>
  <si>
    <t>B.6  KKM Hesap Vade Tarihi</t>
  </si>
  <si>
    <t>Hesap vadesi — 371 faiz hesabı için de referans</t>
  </si>
  <si>
    <t>Banka hesap cüzdanı</t>
  </si>
  <si>
    <t>B.7  Dönüşüm 31/12/2021 Bilançosu Bakiyesi İle Sınırlı mı?</t>
  </si>
  <si>
    <t>Dönüşüm tutarı 31/12/2021 bakiyesini aşamaz. B.2 ≤ Bilanço bakiyesi.</t>
  </si>
  <si>
    <t>KVK Geç.Md.14/1</t>
  </si>
  <si>
    <t>C. PARA BİRİMİ BAZINDA DÖNÜŞÜM VE DEĞERLEME KAZANCI HESABI</t>
  </si>
  <si>
    <t xml:space="preserve">  Her yabancı para birimi için ayrı satır doldurun. Değerleme Kazancı = (Dönüşüm Günü Kuru × Döviz Miktarı) − (31/12/2021 Kuru × Döviz Miktarı).
  Bilanço kuru: 31/12/2021 TCMB döviz alış kuru. Negatif fark → o döviz için 370 kazancı yok (0).</t>
  </si>
  <si>
    <t>Döviz</t>
  </si>
  <si>
    <t>31/12/2021 Bakiye (Döviz)</t>
  </si>
  <si>
    <t>31/12/2021 TCMB Kuru</t>
  </si>
  <si>
    <t>Bilanço TL Değeri</t>
  </si>
  <si>
    <t>Dönüşüm Günü Kuru</t>
  </si>
  <si>
    <t>Dönüşüm TL Tutarı</t>
  </si>
  <si>
    <t>Değerleme Kazancı (TL)</t>
  </si>
  <si>
    <t>USD</t>
  </si>
  <si>
    <t>EUR</t>
  </si>
  <si>
    <t>GBP</t>
  </si>
  <si>
    <t>CHF</t>
  </si>
  <si>
    <t>Diğer Döviz</t>
  </si>
  <si>
    <t>TOPLAM</t>
  </si>
  <si>
    <t>Toplam Değerleme Kazancı (Tüm Dövizler)</t>
  </si>
  <si>
    <t xml:space="preserve">  NOT: Dönüşüm günü kuru 31/12/2021 kurundan DÜŞÜK ise (TL değer kazandığı dönem) ilgili döviz için değerleme kazancı SIFIR kabul edilir (negatif = zarar, formül MAX(...,0) ile sıfırlanır). Bu durumda 370 istisnası oluşmaz.</t>
  </si>
  <si>
    <t>D. DEĞERLEMEden DOĞAN KUR FARKI KAZANCI — İSTİSNA HESABI (KVK Geçici Md.14/1-a)</t>
  </si>
  <si>
    <t xml:space="preserve">  Değerleme kazancının tamamı istisna kapsamındadır (oransal indirim yok). Beyanname 370: Kazancın Bulunması Halinde İndirilecek bölümü. ★ YİAKV matrahından DÜŞÜLEMEZ.</t>
  </si>
  <si>
    <t>Hesap Kalemi</t>
  </si>
  <si>
    <t>Tutar (TL)</t>
  </si>
  <si>
    <t>YMM Notu</t>
  </si>
  <si>
    <t>D.1  Toplam Dönüşüm TL Tutarı (C tablosu — tüm dövizler)</t>
  </si>
  <si>
    <t>C tablosu toplam dönüşüm TL</t>
  </si>
  <si>
    <t>Dönüşüm anındaki toplam değer</t>
  </si>
  <si>
    <t>D.2  31/12/2021 Bilanço TL Değeri (C tablosu — tüm dövizler)</t>
  </si>
  <si>
    <t>C tablosu bilanço TL</t>
  </si>
  <si>
    <t>Muhasebe kayıtlarıyla mutabık olmalı</t>
  </si>
  <si>
    <t>D.3  BRÜT DEĞERLEMEden DOĞAN KAZANÇ (D.1 − D.2)</t>
  </si>
  <si>
    <t>Pozitifse kazanç | Negatifse 0 (kapsam dışı)</t>
  </si>
  <si>
    <t>Negatif → 370 oluşmaz</t>
  </si>
  <si>
    <t>D.4  Kapsam Dışı Kazanç Ayrıştırması (31/12/2021 bakiyesini aşan dönüşümler)</t>
  </si>
  <si>
    <t>31/12/2021 bakiyesi aşıldıysa orantılı ayrıştırma zorunlu</t>
  </si>
  <si>
    <t>B.2 ≤ Bilanço bakiyesi sağlanıyorsa 0</t>
  </si>
  <si>
    <t>D.5  ★ NET İSTİSNA TUTARI (D.3 − D.4) → BEYANNAME 370</t>
  </si>
  <si>
    <t>→ Beyanname 370 satırı</t>
  </si>
  <si>
    <t>Kazancın Bulunması Halinde İndirilecek</t>
  </si>
  <si>
    <t>D.6  Vergiye Tabi Kalan Kur Farkı Kazancı (Varsa — Kapsam Dışı Kısım)</t>
  </si>
  <si>
    <t>Bu kısım KV matrahında kalır</t>
  </si>
  <si>
    <t>D.4 &gt; 0 ise vergilendirilir</t>
  </si>
  <si>
    <t>E. BEYANNAME 370 — DEĞERLEMEden DOĞAN KUR FARKI KAZANCI İSTİSNASI</t>
  </si>
  <si>
    <t>E.1  TOPLAM İSTİSNA → Beyanname Satır 370 (Kazancın Bulunması Halinde İndirilecek)</t>
  </si>
  <si>
    <t>D.5 — KVK Geçici Md.14/1-a | Tüm dövizler toplamı</t>
  </si>
  <si>
    <t xml:space="preserve">  ★★ KRİTİK UYARILAR:
(1) YİAKV MATRAHINDA DÜŞÜLEMEZ: 370 istisnası asgari kurumlar vergisi matrahından ÇIKARILMAZ — YİAKV çalışma kâğıdı E.7 satırında bu tutar DÜŞÜLEMEZ olarak raporlanmalıdır.
(2) BEYANNAME BÖLÜMÜ: 'Kazancın Bulunması Halinde İndirilecek' — Dönemde zarar varsa istisna uygulanamaz.
(3) 370 TEK SEFERLİK: Değerleme kazancı genellikle dönüşüm yılında oluşur. İzleyen dönemlerde 370 tutarı sıfır olabilir — 371 (faiz/kâr payı) devam eder.
(4) 371 İLE KARIŞTIRILMAMALI: Faiz ve kâr payı geliri ayrı beyanname satırı (371) ve ayrı çalışma kâğıdı.</t>
  </si>
  <si>
    <t>370 – KVK GEÇİCİ MD.14/1-a DEĞERLEMEden DOĞAN KAZANÇ | HESAPLAMALAR VE DENETİM</t>
  </si>
  <si>
    <t>KVK Geçici Md.14/1-a | KKM Dönüşüm Kur Farkı Kazancı | Beyanname 370 | YİAKV MATRAHINDA DÜŞÜLEMEZ</t>
  </si>
  <si>
    <t>A. TASDİK ÖZETİ — VERİ GİRİŞİNDEN OTOMATİK</t>
  </si>
  <si>
    <t>A0 Tasdik Uygunluğu</t>
  </si>
  <si>
    <t>OK ise devam</t>
  </si>
  <si>
    <t>KKM Hesap Türü (B.5)</t>
  </si>
  <si>
    <t>TL Mevduat/Katılım</t>
  </si>
  <si>
    <t>Dönüşüm Süresi Uygunluğu (B.7)</t>
  </si>
  <si>
    <t>EVET = Uygun</t>
  </si>
  <si>
    <t>Toplam Brüt Kazanç (D.3)</t>
  </si>
  <si>
    <t>Değerleme kazancı toplamı</t>
  </si>
  <si>
    <t>Kapsam Dışı Ayrıştırma (D.4)</t>
  </si>
  <si>
    <t>Varsa orantılı ayrıştırma</t>
  </si>
  <si>
    <t>370 İSTİSNA TUTARI (D.5)</t>
  </si>
  <si>
    <t>★ YİAKV'de DÜŞÜLEMEZ</t>
  </si>
  <si>
    <t>Evet — E.7 kapsamında</t>
  </si>
  <si>
    <t>Her zaman DÜŞÜLEMEZ</t>
  </si>
  <si>
    <t>B. PARA BİRİMİ BAZINDA DEĞERLEME KAZANCI ÖZET (VERİ GİRİŞİ C Tablosundan)</t>
  </si>
  <si>
    <t>31/12/2021 Kuru (TL)</t>
  </si>
  <si>
    <t>Bilanço TL</t>
  </si>
  <si>
    <t>Dönüşüm Kuru (TL)</t>
  </si>
  <si>
    <t>Dönüşüm TL</t>
  </si>
  <si>
    <t>Diğer</t>
  </si>
  <si>
    <t>Toplam Değerleme Kazancı → Beyanname 370</t>
  </si>
  <si>
    <t>C. DENETİM KONTROL LİSTESİ (K1–K12) — KVK GEÇİCİ MD.14/1-a</t>
  </si>
  <si>
    <t>Kontrol</t>
  </si>
  <si>
    <t>Açıklama / Yasal Dayanak</t>
  </si>
  <si>
    <t>Sonuç</t>
  </si>
  <si>
    <t>K1</t>
  </si>
  <si>
    <t>★ Dönüşüme konu yabancı para 31/12/2021 bilançosunda mevcut muydu?</t>
  </si>
  <si>
    <t>Bilanço yabancı para hesabı (döviz tevdiat dahil) teyit edilmeli. Sonradan edinilen döviz kapsam dışı.</t>
  </si>
  <si>
    <t>Uygun/Eksik/Risk</t>
  </si>
  <si>
    <t>K2</t>
  </si>
  <si>
    <t>★ Dönüşüm tarihi yasal süre içinde mi? (CB Kararlarıyla uzatılan son tarih kontrol edildi mi?)</t>
  </si>
  <si>
    <t>Orijinal: 17/2/2022 – 31/3/2022. Cumhurbaşkanı kararlarıyla uzatıldı. Güncel son tarih banka belgesiyle teyit.</t>
  </si>
  <si>
    <t>K3</t>
  </si>
  <si>
    <t>Dönüşüm tutarı 31/12/2021 bilançosu bakiyesini aşmıyor mu?</t>
  </si>
  <si>
    <t>Aşan kısım kapsam dışı — kapsam içi kısım orantılı hesaplanır. B.2 ≤ B.1 kontrol.</t>
  </si>
  <si>
    <t>K4</t>
  </si>
  <si>
    <t>★ 31/12/2021 TCMB döviz kurları resmi kaynaktan alındı mı?</t>
  </si>
  <si>
    <t>TCMB resmi kapanış kuru (alış kuru). Bilanço değerlemesiyle uyumlu olmalı. tcmb.gov.tr.</t>
  </si>
  <si>
    <t>K5</t>
  </si>
  <si>
    <t>Dönüşüm günü TCMB döviz kurları resmi kaynaktan alındı mı?</t>
  </si>
  <si>
    <t>Dönüşüm tarihi TCMB resmi kuru. Banka dekontu ile çapraz kontrol edilmeli.</t>
  </si>
  <si>
    <t>K6</t>
  </si>
  <si>
    <t>Değerleme kazancı (D.3) muhasebe kayıtlarıyla mutabık mı?</t>
  </si>
  <si>
    <t>680/679 hesabındaki kur farkı geliri ile C tablosu toplamı uyumlu olmalı.</t>
  </si>
  <si>
    <t>K7</t>
  </si>
  <si>
    <t>★ 370 ve 371 (faiz/kâr payı) doğru ayrıştırıldı mı?</t>
  </si>
  <si>
    <t>370: Dönüşüm anındaki tek seferlik kur farkı. 371: KKM hesabından süregelen faiz/kâr payı. Her ikisi ayrı satır.</t>
  </si>
  <si>
    <t>K8</t>
  </si>
  <si>
    <t>★★ 370 istisnası YİAKV matrahından DÜŞÜLMEDI mi?</t>
  </si>
  <si>
    <t>KVK Geçici Md.14 kazançları YİAKV matrahından DÜŞÜLEMEZ (E.7). YİAKV çalışma kâğıdında E.7 satırında bu tutar DÜŞÜLEMEZ listesinde yer almalıdır. EN KRİTİK KONTROL.</t>
  </si>
  <si>
    <t>K9</t>
  </si>
  <si>
    <t>Beyanname 370 tutarı D.5 ile uyumlu mu? 'Kazancın Bulunması Halinde' bölümünde mi?</t>
  </si>
  <si>
    <t>370 → Kazancın Bulunması Halinde İndirilecek. Zarar döneminde uygulanamaz.</t>
  </si>
  <si>
    <t>K10</t>
  </si>
  <si>
    <t>KKM hesap belgesi (banka dekontu + hesap açılış belgesi) dosyada mevcut mu?</t>
  </si>
  <si>
    <t>Döviz dönüşüm dekontu + KKM hesap açılışı — her ikisi zorunlu. Banka teyidi gerekebilir.</t>
  </si>
  <si>
    <t>K11</t>
  </si>
  <si>
    <t>Kapsam dışı kazanç (D.4) varsa orantılı ayrıştırma yapıldı mı?</t>
  </si>
  <si>
    <t>31/12/2021 bakiyesini aşan dönüşüm tutarı kapsam dışı ve vergiye tabidir.</t>
  </si>
  <si>
    <t>K12</t>
  </si>
  <si>
    <t>YMM Tasdik Raporu (49 No.lu Tebliğ) değerlendirildi mi?</t>
  </si>
  <si>
    <t>&gt;=500.000 TL → YMM raporu. KV beyannamesi ile birlikte veya 2 ay içinde elektronik gönderim.</t>
  </si>
  <si>
    <t>370 – KVK GEÇİCİ MD.14/1-a DEĞERLEMEden DOĞAN KAZANÇ | MUHASEBE KAYITLARI</t>
  </si>
  <si>
    <t>KKM Dönüşüm Günü | Kur Farkı Değerleme Kaydı | İstisna Kaydı | YİAKV Uyarısı</t>
  </si>
  <si>
    <t xml:space="preserve">  NOT: Aşağıdaki kayıtlar örnek niteliğindedir. Muhasebe politikasına ve kurlara göre uyarlanmalıdır.</t>
  </si>
  <si>
    <t>KAYIT 1 — DÖNÜŞÜM GÜNÜ: YABANCI PARA ÇIKIŞI VE TL KKM AÇILIŞI</t>
  </si>
  <si>
    <t>Tarih</t>
  </si>
  <si>
    <t>Hesap</t>
  </si>
  <si>
    <t>Not</t>
  </si>
  <si>
    <t>Dr</t>
  </si>
  <si>
    <t>Kr</t>
  </si>
  <si>
    <t>Ref</t>
  </si>
  <si>
    <t>[Dönüşüm Tarihi]</t>
  </si>
  <si>
    <t>108 Diğer Hazır Değerler / KKM Hesabı</t>
  </si>
  <si>
    <t>TL KKM hesabına dönüştürülen tutar (Dönüşüm günü kuru × Döviz miktarı)</t>
  </si>
  <si>
    <t>[Dönüşüm TL]</t>
  </si>
  <si>
    <t>—</t>
  </si>
  <si>
    <t>100/102 Kasa veya 121 Döviz Hesabı</t>
  </si>
  <si>
    <t>Yabancı para çıkışı (bilanço değeri üzerinden)</t>
  </si>
  <si>
    <t>[Bilanço TL]</t>
  </si>
  <si>
    <t>Döviz hesap kartı</t>
  </si>
  <si>
    <t>646 Kambiyo Kârları / 679 Diğer Olağandışı Kâr</t>
  </si>
  <si>
    <t>Dönüşüm anındaki kur farkı kazancı — KVK Geçici Md.14/1-a kapsamı → Beyanname 370</t>
  </si>
  <si>
    <t>[Kur Farkı]</t>
  </si>
  <si>
    <t>KV 370</t>
  </si>
  <si>
    <t xml:space="preserve">  KUR FARKI = (Dönüşüm Günü Kuru − 31/12/2021 Kuru) × Döviz Miktarı. Bu fark 646/679 hesabına kaydedilir. Dönüşüm günü kuruna göre değerleme yapılmaktadır.</t>
  </si>
  <si>
    <t>KAYIT 2 — BEYANNAME DÖNEMİ: KUR FARKI KAZANCININ İSTİSNA OLARAK GÖSTERİLMESİ</t>
  </si>
  <si>
    <t xml:space="preserve">  Muhasebe kaydı yapılmaz. KV Beyannamesinde 370 satırına istisna tutarı yazılır. Kaydı açıklayan not aşağıdadır.</t>
  </si>
  <si>
    <t xml:space="preserve">  BEYANNAME AKIŞI — KVK GEÇİCİ MD.14/1-a:
1. Dönüşüm günü 646/679 hesabına kaydedilen kur farkı kazancı → Ticari kârda yer alır.
2. KV Beyannamesi 370. Satır: 'Kazancın Bulunması Halinde İndirilecek' bölümü → İstisna tutarı (D.5) buraya yazılır.
3. Genel KV matrahı: Ticari kâr + KKEG − (370 dahil izin verilen istisnalar).
4. ★★ YİAKV MATRAHI: 370 tutarı buradan ÇIKARILMAZ — asgari vergi matrahında kalır.
   YİAKV çalışma kâğıdı E.7 satırında: 'KKM Değerleme Kazancı (KVK Geçici Md.14) → DÜŞÜLEMEZ ✗'</t>
  </si>
  <si>
    <t>KAYIT 3 — 370 DEĞERLEME KAZANCI vs 371 FAİZ/KÂR PAYI AYRIMI</t>
  </si>
  <si>
    <t>370</t>
  </si>
  <si>
    <t>646/679 — KUR FARKI KAZANCI</t>
  </si>
  <si>
    <t>Dönüşüm anında bir kez oluşan kur farkı → Beyanname 370 (Geçici Md.14/1-a)</t>
  </si>
  <si>
    <t>[Tutar]</t>
  </si>
  <si>
    <t>371</t>
  </si>
  <si>
    <t>[Faiz Tarihi]</t>
  </si>
  <si>
    <t>642 Faiz Gelirleri / 644 Temettü ve Kâr Payları</t>
  </si>
  <si>
    <t>KKM hesabından dönem içinde tahakkuk eden faiz/kâr payı → Beyanname 371 (Geçici Md.14/1-b)</t>
  </si>
  <si>
    <t>KV 371</t>
  </si>
  <si>
    <t xml:space="preserve">  370 genellikle TEK SEFERLİK dönüşüm yılında oluşur. 371 KKM hesabı yaşadığı sürece her dönem devam eder. Her ikisi de YİAKV matrahından DÜŞÜLEMEZ. Ayrı çalışma kâğıtları düzenlenmelidir.</t>
  </si>
  <si>
    <t>370 – KVK GEÇİCİ MD.14/1-a DEĞERLEMEden DOĞAN KAZANÇ | DENETÇİ NOTLARI</t>
  </si>
  <si>
    <t>GİB KV Beyan Rehberi Mart 2026 (Yayın No:606) | KVK Geçici Md.14 | 7352 s.K. | ★★ YİAKV MATRAHINDA DÜŞÜLEMEZ (E.7)</t>
  </si>
  <si>
    <t>Kod</t>
  </si>
  <si>
    <t>Konu</t>
  </si>
  <si>
    <t>Mesleki Değerlendirme / Tasdik Standardı</t>
  </si>
  <si>
    <t>Mevzuat / Kaynak</t>
  </si>
  <si>
    <t>N1</t>
  </si>
  <si>
    <t>KVK Geçici Md.14/1-a — Yasal Çerçeve ve Güncel Durum (GİB No:606 Bölüm 2.2.15)</t>
  </si>
  <si>
    <t>KVK GEÇİCİ MADDE 14/1-a TANIMI:
Kurumların 31/12/2021 tarihli bilançolarında yer alan yabancı paralarını, Cumhurbaşkanı Kararıyla belirlenen süre içinde TL mevduat veya TL katılım hesabına (Kur Korumalı Mevduat — KKM) dönüştürmeleri halinde, bu dönüşüm esnasında oluşan kur farkı kazancı (değerleme farkı) kurumlar vergisinden istisna edilmiştir.
TEMEL KOŞULLAR:
① 31/12/2021 bilanço bakiyesi şartı: Yalnızca bu tarihteki yabancı para bakiyesi kapsam dahili.
② TL KKM hesabı: Yalnızca TL mevduat veya TL katılım hesabına dönüşüm.
③ Dönüşüm süresi: Cumhurbaşkanı Kararıyla belirlenen son tarih içinde.
④ Değerleme kazancı: Bilanço kuru ile dönüşüm günü kuru arasındaki pozitif fark.
BEYANNAME: 370 | Kazancın Bulunması Halinde İndirilecek
GİB KV Beyan Rehberi 2026 (Yayın No:606), Bölüm 2.2.15 kapsamında yer almaktadır.</t>
  </si>
  <si>
    <t>KVK Geçici Md.14/1-a | 7352 s.K. Md.8 | GİB KV Beyan Reh. 2026 (No:606)</t>
  </si>
  <si>
    <t>N2</t>
  </si>
  <si>
    <t>★ Değerleme Kazancı Hesaplama Yöntemi ve Teknik Detaylar</t>
  </si>
  <si>
    <t>DEĞERLEME KAZANCI HESABI:
Her yabancı para birimi için ayrı ayrı hesaplanır:
Değerleme Kazancı = (Dönüşüm Günü TCMB Kuru × Döviz Miktarı) − (31/12/2021 TCMB Kuru × Döviz Miktarı)
TCMB KURU: Her iki tarih için de TCMB resmi döviz alış kuru esas alınır.
KAPSAM SINIRI:
Dönüşüm tutarı 31/12/2021 bilanço bakiyesini aşamaz. Aşan kısım kapsam dışıdır ve
vergi matrahında kalır. Bu durumda orantılı hesaplama yapılır:
İstisna Oranı = 31/12/2021 Bakiyesi / Toplam Dönüşüm Tutarı
POZİTİF FAZ KOŞULU: Dönüşüm günü kuru 31/12/2021 kurundan düşükse (TL değer kazanmış dönem),
değerleme kazancı negatif olabilir. Bu durumda 370 tutarı sıfırdır — istisna oluşmaz.
MUHASEBE: 646 Kambiyo Kârları veya 679 hesabında izlenir. Ticari kâra dahildir.
Beyannamede 370 satırıyla istisna olarak indirilir.</t>
  </si>
  <si>
    <t>KVK Geçici Md.14/1-a | TCMB Kur Tablosu | VUK Md.280</t>
  </si>
  <si>
    <t>N3</t>
  </si>
  <si>
    <t>★★ YİAKV ile İlişki — EN KRİTİK YMM KONTROL NOKTASI</t>
  </si>
  <si>
    <t>KVK GEÇİCİ MD.14 KAZANÇLARI YİAKV MATRAHINDA DÜŞÜLEMEZ:
KVK Md.32/C (YİAKV) kapsamında asgari kurumlar vergisi hesaplamasında,
KVK Geçici Md.14 kapsamındaki değerleme kazancı istisnası MATRAHTAN DÜŞÜLEMEZ.
BEYANNAME AKIŞI:
① Ticari bilanço kârı + KKEG = YİAKV kazanç tabanı
② 370 tutarı bu tabanı AZALTMAZ — matrahta kalır
③ YİAKV × %10 = Ham asgari vergi
④ Genel KV ve YİAKV karşılaştırılır — büyük olan ödenir
YİAKV ÇALIŞMA KÂĞIDI KONTROLÜ:
E.7 satırı: 'KKM Değerleme + Faiz/Kâr Payı İstisnası (KVK Geçici Md.14) → YİAKV'de DÜŞÜLEMEZ ✗ | Beyanname 370/371'
SIKLIKLA YAPILAN HATA: 370 tutarını YİAKV matrahından düşmek → Asgari vergi eksik hesaplanır
→ Tarhiyat + vergi ziyaı cezası + gecikme faizi riski. YMM müteselsil sorumluluğu kapsamındadır.</t>
  </si>
  <si>
    <t>KVK Md.32/C | YİAKV Rehberi (No:607) Bölüm 3.3 | GİB KV Beyan Reh. (No:606)</t>
  </si>
  <si>
    <t>N4</t>
  </si>
  <si>
    <t>370 (Değerleme Kazancı) ile 371 (Faiz/Kâr Payı) Ayrımı ve Birlikte Kullanım</t>
  </si>
  <si>
    <t>KVK GEÇİCİ MD.14 İKİ AYRI İSTİSNA:
370 — DEĞERLEMEden DOĞAN KAZANCbeyanname (Geçici Md.14/1-a):
• OLUŞMA ZAMANI: Yalnızca dönüşüm anında, tek seferlik.
• TUTAR: Bilanço kuru ile dönüşüm günü kuru arasındaki pozitif fark.
• SONRAKI DÖNEMLER: 370 tutarı artık sıfırdır (hesap değerleme kürü değişmez).
• MUHASEBE HESABI: 646 Kambiyo Kârları / 679 Diğer Olağandışı Kâr.
371 — FAİZ VE KÂR PAYI İSTİSNASI (Geçici Md.14/1-b):
• OLUŞMA ZAMANI: KKM hesabı yaşadığı sürece her dönem süregelen gelir.
• TUTAR: KKM hesabından tahakkuk eden faiz ve kâr payı.
• SONRAKI DÖNEMLER: Hesap aktif olduğu sürece devam eder.
• MUHASEBE HESABI: 642 Faiz Gelirleri / 644 Temettü ve Kâr Payları.
HER İKİSİ DE YİAKV MATRAHINDA DÜŞÜLEMEZ. Ayrı çalışma kâğıtları (370 ve 371).</t>
  </si>
  <si>
    <t>KVK Geçici Md.14/1-a (Beyanname 370) | KVK Geçici Md.14/1-b (Beyanname 371)</t>
  </si>
  <si>
    <t>N5</t>
  </si>
  <si>
    <t>49 No.lu Tebliğ + YMM Tasdik Dil Standardı</t>
  </si>
  <si>
    <t>49 No.lu Tebliğ: &gt;=500.000 TL → YMM raporu. KV beyannamesi ile birlikte veya 2 ay içinde elektronik.
KULLANIN:
'...31/12/2021 tarihli bilançoda kayıtlı [Döviz Miktarı] ABD Doları'nın [Tarih] tarihinde TL kur korumalı mevduat hesabına dönüştürülmesi sonucunda KVK Geçici Madde 14/1-a kapsamında oluşan [Tutar] TL tutarındaki değerleme kazancı kurumlar vergisinden istisna edilmiştir. Söz konusu tutar beyanname 370. satırında gösterilmiş olup yurt içi asgari kurumlar vergisi matrahından indirilmemiştir.'
KULLANMAYIN:
'...370 tutarı YİAKV matrahından düşülmüştür.' (YANLIŞ — YİAKV matrahında kalır)
'...31/12/2021 sonrası edinilen dövizler de 370 kapsamında istisnaya tabidir.' (Kapsam dışı)
'...dönüşüm tutarı bilanço bakiyesini aştığından tamamına istisna uygulanmıştır.' (Hatalı)
KRİTİK RİSK ALANLARI:
(1) 370 tutarını YİAKV matrahından düşmek → EN SIK YAPILAN HATA.
(2) 31/12/2021 sonrası edinilen dövizlerin dönüşümünü kapsama dahil etmek.
(3) 370 ve 371'i aynı satıra yazmak veya karıştırmak.
(4) Dönüşüm tarihinin yasal süre dışında olmasını gözden kaçırmak.</t>
  </si>
  <si>
    <t>49 No.lu Tebliğ | KVK Geçici Md.14 | SM-SMMM-YMM K. Md.12</t>
  </si>
  <si>
    <t xml:space="preserve">  GİB KV BEYAN REHBERİ MART 2026 (YAYIN NO:606) — BÖLÜM 2.2.15 KAPANIŞ: KVK Geçici Md.14 kapsamındaki istisnalar 2025 KV beyannamesi için günceldir. En kritik kontrol: 370 ve 371 tutarlarının YİAKV matrahından düşülmemesi. Bu hata vergi ziyaı cezası ve gecikme faiziyle sonuçlanır. YMM müteselsil sorumluluk: SM-SMMM-YMM Kanunu Md.12.</t>
  </si>
  <si>
    <t>370 – KVK GEÇİCİ MD.14/1-a DEĞERLEMEden DOĞAN KAZANÇ | BELGE LİSTESİ | YMM TASDİK</t>
  </si>
  <si>
    <t>GİB KV Beyan Rehberi Mart 2026 (No:606) | KKM Dönüşüm | TCMB Kur | Banka Belgesi | 49 No.lu Tebliğ</t>
  </si>
  <si>
    <t>KATEGORİ 1 — ZORUNLU BELGELER (Tamamı Olmadan Tasdik Tamamlanmaz)</t>
  </si>
  <si>
    <t>No</t>
  </si>
  <si>
    <t>Belge / Bilgi</t>
  </si>
  <si>
    <t>Açıklama / YMM Kontrol</t>
  </si>
  <si>
    <t>Temin Yeri</t>
  </si>
  <si>
    <t>1</t>
  </si>
  <si>
    <t>★ 31/12/2021 Bilançosu (Kesinleşmiş) — Yabancı Para Bakiyeleri</t>
  </si>
  <si>
    <t>31/12/2021 tarihli bilanço — yabancı para hesapları (döviz tevdiat + kasa) açık bakiyeleri.
YMM: Dönüşüm tutarı bu bakiyeleri aşmamalı. Aşma varsa orantılı ayrıştırma zorunlu.</t>
  </si>
  <si>
    <t>Kesinleşmiş Bilanço / Mizan</t>
  </si>
  <si>
    <t>2</t>
  </si>
  <si>
    <t>★ Döviz Dönüşüm Dekontu — Dönüşüm Günü Banka Belgesi</t>
  </si>
  <si>
    <t>KKM hesabına dönüşümün gerçekleştiğini gösteren resmi banka dekontu.
Dönüşüm tarihi, döviz miktarı, TL karşılığı ve uygulanan kur açıkça görünmeli.
YMM: Dönüşüm tarihinin yasal süre içinde olduğu bu belgeden teyit edilir.</t>
  </si>
  <si>
    <t>Banka dekontu / Online bankacılık çıktısı</t>
  </si>
  <si>
    <t>3</t>
  </si>
  <si>
    <t>★ KKM Hesap Açılış Belgesi (TL Mevduat / Katılım Hesabı Sözleşmesi)</t>
  </si>
  <si>
    <t>TL kur korumalı mevduat veya katılım hesabı sözleşmesi.
Hesap türü, vade, başlangıç tutarı, kur garantisi koşulları görünmeli.
YMM: Hesabın TL KKM niteliğinde olduğu bu belgeden teyit edilir.</t>
  </si>
  <si>
    <t>Banka sözleşmesi / KKM belgesi</t>
  </si>
  <si>
    <t>4</t>
  </si>
  <si>
    <t>★ TCMB Resmi Döviz Kurları (31/12/2021 ve Dönüşüm Günü)</t>
  </si>
  <si>
    <t>Her iki tarih için TCMB resmi döviz alış kurları.
tcmb.gov.tr → Döviz Kurları → İlgili tarihlerin kur tablosu.
YMM: C tablosundaki kurların TCMB resmi kurlarıyla uyumlu olduğu teyit edilmeli.</t>
  </si>
  <si>
    <t>TCMB web sitesi (tcmb.gov.tr)</t>
  </si>
  <si>
    <t>5</t>
  </si>
  <si>
    <t>Dönüşüm Kazancı Hesaplama Tablosu (Bu Çalışma Kâğıdı C Bölümü)</t>
  </si>
  <si>
    <t>Her döviz bazında değerleme kazancı hesabı (bilanço kuru vs dönüşüm günü kuru).
YMM: D.5 istisna tutarı ile beyanname 370 tutarının uyumlu olduğu teyit edilmeli.</t>
  </si>
  <si>
    <t>Bu çalışma kâğıdı — C ve D bölümleri</t>
  </si>
  <si>
    <t>6</t>
  </si>
  <si>
    <t>KV Beyannamesi Taslağı — 370. Satır</t>
  </si>
  <si>
    <t>'Kazancın Bulunması Halinde İndirilecek' bölümünde.
370 tutarı D.5 ile birebir uyumlu olmalı.
★★ YİAKV: Beyannamedeki 370 tutarı YİAKV matrahından çıkarılmamış olmalı.</t>
  </si>
  <si>
    <t>GİB e-Beyanname sistemi</t>
  </si>
  <si>
    <t>KATEGORİ 2 — EK BELGELER</t>
  </si>
  <si>
    <t>7</t>
  </si>
  <si>
    <t>Dönüşüm Tarihinin Yasal Süre İçinde Olduğunu Gösteren CB Kararı</t>
  </si>
  <si>
    <t>İlgili Cumhurbaşkanı Kararı — orijinal veya uzatma kararı.
Dönüşüm tarihinin kararla belirlenen son tarih içinde olduğu kontrol edilmeli.</t>
  </si>
  <si>
    <t>Resmî Gazete / mevzuat.gov.tr</t>
  </si>
  <si>
    <t>8</t>
  </si>
  <si>
    <t>Muhasebe Yevmiye Kaydı — Kur Farkı Kazancı (646/679)</t>
  </si>
  <si>
    <t>Dönüşüm günü yevmiye kaydı: Döviz çıkışı + KKM açılışı + 646/679 kur farkı kaydı.
C tablosu hesabıyla mutabık olmalı.</t>
  </si>
  <si>
    <t>Yevmiye defteri / Muhasebe ekstresi</t>
  </si>
  <si>
    <t>9</t>
  </si>
  <si>
    <t>370 ve 371 Karşılaştırma Notu (İki İstisna Ayrıştırması)</t>
  </si>
  <si>
    <t>370 (değerleme kazancı) ve 371 (faiz/kâr payı) tutarlarının ayrı ayrı belgelendiğini
gösteren çapraz referans. Her iki istisnada da YİAKV düşülemez notu bulunmalı.</t>
  </si>
  <si>
    <t>Bu çalışma kâğıdı + 371 çalışma kâğıdı</t>
  </si>
  <si>
    <t>KATEGORİ 3 — YMM TASDİK KONTROL SORULARI</t>
  </si>
  <si>
    <t>Beklenen Sonuç</t>
  </si>
  <si>
    <t>YMM Aksiyonu</t>
  </si>
  <si>
    <t>S1</t>
  </si>
  <si>
    <t>★ Yabancı para 31/12/2021 bilançosunda mevcut muydu?</t>
  </si>
  <si>
    <t>Bilanço teyidi zorunlu. Sonraki edinimler kapsam dışı.</t>
  </si>
  <si>
    <t>YMM kontrolü</t>
  </si>
  <si>
    <t>S2</t>
  </si>
  <si>
    <t>★ Dönüşüm tarihi yasal süre (CB Kararı) içinde mi?</t>
  </si>
  <si>
    <t>Dönüşüm dekontu tarihi ≤ Yasal son tarih.</t>
  </si>
  <si>
    <t>S3</t>
  </si>
  <si>
    <t>Dönüşüm tutarı bilanço bakiyesini aşmıyor mu?</t>
  </si>
  <si>
    <t>Aşma → Orantılı ayrıştırma zorunlu.</t>
  </si>
  <si>
    <t>S4</t>
  </si>
  <si>
    <t>★ TCMB kurları resmi kaynaktan alındı mı? (Her iki tarih)</t>
  </si>
  <si>
    <t>tcmb.gov.tr — bilanço ve dönüşüm günü kurları.</t>
  </si>
  <si>
    <t>S5</t>
  </si>
  <si>
    <t>Değerleme kazancı (D.3) muhasebe ile mutabık mı?</t>
  </si>
  <si>
    <t>646/679 kur farkı tutarı ile uyumlu.</t>
  </si>
  <si>
    <t>S6</t>
  </si>
  <si>
    <t>★ 370 ve 371 doğru ayrıştırıldı mı?</t>
  </si>
  <si>
    <t>370: Dönüşüm kazancı. 371: Faiz/kâr payı. Ayrı satırlar.</t>
  </si>
  <si>
    <t>S7</t>
  </si>
  <si>
    <t>YİAKV MATRAHINDA KALMALI — en kritik kontrol.</t>
  </si>
  <si>
    <t>S8</t>
  </si>
  <si>
    <t>Beyanname 370 'Kazancın Bulunması Halinde' bölümünde mi?</t>
  </si>
  <si>
    <t>Zarar döneminde istisna uygulanamaz.</t>
  </si>
  <si>
    <t>S9</t>
  </si>
  <si>
    <t>&gt;=500.000 TL → YMM raporu.</t>
  </si>
  <si>
    <t>SON NOT: GİB KV Beyan Rehberi Mart 2026 (Yayın No:606) Bölüm 2.2.15 esas alınarak hazırlanmıştır. EN KRİTİK KONTROL: 370 tutarının YİAKV matrahından düşülmemesi — asgari kurumlar vergisi matrahında kalması zorunludur. 370 (değerleme kazancı) ve 371 (faiz/kâr payı) ayrı satırlar ve ayrı çalışma kâğıtları gerektirir.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</si>
</sst>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9"/>
      <color rgb="FFC0392B"/>
      <name val="Arial"/>
    </font>
    <font>
      <i/>
      <sz val="8"/>
      <color rgb="FFC0392B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F3864"/>
      <name val="Arial"/>
    </font>
    <font>
      <i/>
      <sz val="8"/>
      <color rgb="FF00574B"/>
      <name val="Arial"/>
    </font>
    <font>
      <b/>
      <sz val="9"/>
      <color rgb="FF00574B"/>
      <name val="Arial"/>
    </font>
    <font>
      <sz val="9"/>
      <color rgb="FF1B5E20"/>
      <name val="Arial"/>
    </font>
    <font>
      <b/>
      <sz val="9"/>
      <color rgb="FF1B5E20"/>
      <name val="Arial"/>
    </font>
    <font>
      <b/>
      <sz val="12"/>
      <color rgb="FFFFFFFF"/>
      <name val="Arial"/>
    </font>
    <font>
      <i/>
      <sz val="8"/>
      <color rgb="FFE65100"/>
      <name val="Arial"/>
    </font>
    <font>
      <b/>
      <sz val="13"/>
      <color rgb="FF1B5E20"/>
      <name val="Arial"/>
    </font>
    <font>
      <b/>
      <sz val="11"/>
      <color rgb="FFFFFFFF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1B5E20"/>
      <name val="Arial"/>
    </font>
    <font>
      <b/>
      <sz val="10"/>
      <color rgb="FFE65100"/>
      <name val="Arial"/>
    </font>
    <font>
      <b/>
      <sz val="13"/>
      <color rgb="FFFFFFFF"/>
      <name val="Arial"/>
    </font>
    <font>
      <sz val="8"/>
      <color rgb="FF333333"/>
      <name val="Arial"/>
    </font>
    <font>
      <b/>
      <sz val="36"/>
      <color rgb="FFFFFFFF"/>
      <name val="Arial"/>
    </font>
    <font>
      <sz val="8"/>
      <color rgb="FFFFFFFF"/>
      <name val="Arial"/>
    </font>
    <font>
      <sz val="8"/>
      <color rgb="FFC0392B"/>
      <name val="Arial"/>
    </font>
    <font>
      <sz val="8"/>
      <color rgb="FF1F3864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b/>
      <sz val="9"/>
      <color rgb="FF1565C0"/>
      <name val="Arial"/>
    </font>
    <font>
      <i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00574B"/>
      </patternFill>
    </fill>
    <fill>
      <patternFill patternType="solid">
        <fgColor rgb="FF2C3E50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E0F2F1"/>
      </patternFill>
    </fill>
    <fill>
      <patternFill patternType="solid">
        <fgColor rgb="FFC6EFCE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FEBEE"/>
      </patternFill>
    </fill>
    <fill>
      <patternFill patternType="solid">
        <fgColor rgb="FFF7F7F7"/>
      </patternFill>
    </fill>
    <fill>
      <patternFill patternType="solid">
        <fgColor rgb="FFFFF9C4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5" borderId="1" xfId="0" applyFill="1" applyBorder="1"/>
    <xf numFmtId="0" fontId="1" fillId="7" borderId="2" xfId="0" applyFont="1" applyFill="1" applyBorder="1" applyAlignment="1">
      <alignment horizontal="center" vertical="center"/>
    </xf>
    <xf numFmtId="0" fontId="0" fillId="8" borderId="1" xfId="0" applyFill="1" applyBorder="1"/>
    <xf numFmtId="0" fontId="5" fillId="9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2" borderId="1" xfId="0" applyFill="1" applyBorder="1"/>
    <xf numFmtId="0" fontId="9" fillId="1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4" fontId="0" fillId="9" borderId="1" xfId="0" applyNumberFormat="1" applyFill="1" applyBorder="1" applyAlignment="1">
      <alignment horizontal="right" vertical="center"/>
    </xf>
    <xf numFmtId="164" fontId="0" fillId="9" borderId="1" xfId="0" applyNumberFormat="1" applyFill="1" applyBorder="1" applyAlignment="1">
      <alignment horizontal="right" vertical="center"/>
    </xf>
    <xf numFmtId="3" fontId="14" fillId="11" borderId="1" xfId="0" applyNumberFormat="1" applyFont="1" applyFill="1" applyBorder="1" applyAlignment="1">
      <alignment horizontal="right" vertical="center"/>
    </xf>
    <xf numFmtId="3" fontId="15" fillId="12" borderId="3" xfId="0" applyNumberFormat="1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right" vertical="center"/>
    </xf>
    <xf numFmtId="3" fontId="16" fillId="2" borderId="1" xfId="0" applyNumberFormat="1" applyFont="1" applyFill="1" applyBorder="1" applyAlignment="1">
      <alignment horizontal="right" vertical="center"/>
    </xf>
    <xf numFmtId="3" fontId="9" fillId="11" borderId="1" xfId="0" applyNumberFormat="1" applyFont="1" applyFill="1" applyBorder="1" applyAlignment="1">
      <alignment horizontal="right" vertical="center"/>
    </xf>
    <xf numFmtId="3" fontId="18" fillId="12" borderId="3" xfId="0" applyNumberFormat="1" applyFont="1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3" fontId="20" fillId="12" borderId="3" xfId="0" applyNumberFormat="1" applyFont="1" applyFill="1" applyBorder="1" applyAlignment="1">
      <alignment horizontal="right" vertical="center"/>
    </xf>
    <xf numFmtId="3" fontId="9" fillId="11" borderId="1" xfId="0" applyNumberFormat="1" applyFont="1" applyFill="1" applyBorder="1" applyAlignment="1">
      <alignment horizontal="center" vertical="center"/>
    </xf>
    <xf numFmtId="3" fontId="22" fillId="12" borderId="1" xfId="0" applyNumberFormat="1" applyFont="1" applyFill="1" applyBorder="1" applyAlignment="1">
      <alignment horizontal="right" vertical="center"/>
    </xf>
    <xf numFmtId="0" fontId="23" fillId="13" borderId="1" xfId="0" applyFont="1" applyFill="1" applyBorder="1" applyAlignment="1">
      <alignment horizontal="center" vertical="center"/>
    </xf>
    <xf numFmtId="4" fontId="11" fillId="8" borderId="1" xfId="0" applyNumberFormat="1" applyFont="1" applyFill="1" applyBorder="1" applyAlignment="1">
      <alignment horizontal="right" vertical="center"/>
    </xf>
    <xf numFmtId="164" fontId="11" fillId="8" borderId="1" xfId="0" applyNumberFormat="1" applyFont="1" applyFill="1" applyBorder="1" applyAlignment="1">
      <alignment horizontal="right" vertical="center"/>
    </xf>
    <xf numFmtId="3" fontId="11" fillId="8" borderId="1" xfId="0" applyNumberFormat="1" applyFont="1" applyFill="1" applyBorder="1" applyAlignment="1">
      <alignment horizontal="right" vertical="center"/>
    </xf>
    <xf numFmtId="3" fontId="14" fillId="12" borderId="1" xfId="0" applyNumberFormat="1" applyFont="1" applyFill="1" applyBorder="1" applyAlignment="1">
      <alignment horizontal="right" vertical="center"/>
    </xf>
    <xf numFmtId="4" fontId="11" fillId="11" borderId="1" xfId="0" applyNumberFormat="1" applyFont="1" applyFill="1" applyBorder="1" applyAlignment="1">
      <alignment horizontal="right" vertical="center"/>
    </xf>
    <xf numFmtId="164" fontId="11" fillId="11" borderId="1" xfId="0" applyNumberFormat="1" applyFont="1" applyFill="1" applyBorder="1" applyAlignment="1">
      <alignment horizontal="right" vertical="center"/>
    </xf>
    <xf numFmtId="3" fontId="11" fillId="11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right" vertical="center"/>
    </xf>
    <xf numFmtId="3" fontId="24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top"/>
    </xf>
    <xf numFmtId="0" fontId="7" fillId="10" borderId="1" xfId="0" applyFont="1" applyFill="1" applyBorder="1" applyAlignment="1">
      <alignment horizontal="left" vertical="top" wrapText="1"/>
    </xf>
    <xf numFmtId="0" fontId="25" fillId="15" borderId="1" xfId="0" applyFont="1" applyFill="1" applyBorder="1" applyAlignment="1">
      <alignment horizontal="left" vertical="top" wrapText="1"/>
    </xf>
    <xf numFmtId="0" fontId="0" fillId="9" borderId="1" xfId="0" applyFill="1" applyBorder="1" applyAlignment="1">
      <alignment horizontal="center" vertical="top"/>
    </xf>
    <xf numFmtId="0" fontId="4" fillId="11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top"/>
    </xf>
    <xf numFmtId="0" fontId="7" fillId="16" borderId="1" xfId="0" applyFont="1" applyFill="1" applyBorder="1" applyAlignment="1">
      <alignment horizontal="left" vertical="top" wrapText="1"/>
    </xf>
    <xf numFmtId="0" fontId="0" fillId="16" borderId="1" xfId="0" applyFill="1" applyBorder="1"/>
    <xf numFmtId="0" fontId="0" fillId="17" borderId="1" xfId="0" applyFill="1" applyBorder="1"/>
    <xf numFmtId="0" fontId="11" fillId="11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top" wrapText="1"/>
    </xf>
    <xf numFmtId="0" fontId="30" fillId="11" borderId="1" xfId="0" applyFont="1" applyFill="1" applyBorder="1" applyAlignment="1">
      <alignment horizontal="left" vertical="top" wrapText="1"/>
    </xf>
    <xf numFmtId="0" fontId="30" fillId="8" borderId="1" xfId="0" applyFont="1" applyFill="1" applyBorder="1" applyAlignment="1">
      <alignment horizontal="left" vertical="top" wrapText="1"/>
    </xf>
    <xf numFmtId="0" fontId="30" fillId="10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horizontal="left" vertical="top" wrapText="1"/>
    </xf>
    <xf numFmtId="0" fontId="25" fillId="20" borderId="1" xfId="0" applyFont="1" applyFill="1" applyBorder="1" applyAlignment="1">
      <alignment horizontal="left" vertical="top" wrapText="1"/>
    </xf>
    <xf numFmtId="0" fontId="30" fillId="12" borderId="1" xfId="0" applyFont="1" applyFill="1" applyBorder="1" applyAlignment="1">
      <alignment horizontal="left" vertical="top" wrapText="1"/>
    </xf>
    <xf numFmtId="0" fontId="0" fillId="21" borderId="1" xfId="0" applyFill="1" applyBorder="1"/>
    <xf numFmtId="0" fontId="4" fillId="21" borderId="1" xfId="0" applyFont="1" applyFill="1" applyBorder="1" applyAlignment="1">
      <alignment horizontal="center" vertical="top"/>
    </xf>
    <xf numFmtId="0" fontId="4" fillId="21" borderId="1" xfId="0" applyFont="1" applyFill="1" applyBorder="1" applyAlignment="1">
      <alignment horizontal="left" vertical="top" wrapText="1"/>
    </xf>
    <xf numFmtId="0" fontId="25" fillId="22" borderId="1" xfId="0" applyFont="1" applyFill="1" applyBorder="1" applyAlignment="1">
      <alignment horizontal="left" vertical="top" wrapText="1"/>
    </xf>
    <xf numFmtId="0" fontId="30" fillId="21" borderId="1" xfId="0" applyFont="1" applyFill="1" applyBorder="1" applyAlignment="1">
      <alignment horizontal="left" vertical="top" wrapText="1"/>
    </xf>
    <xf numFmtId="0" fontId="1" fillId="23" borderId="2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top"/>
    </xf>
    <xf numFmtId="0" fontId="7" fillId="17" borderId="1" xfId="0" applyFont="1" applyFill="1" applyBorder="1" applyAlignment="1">
      <alignment horizontal="left" vertical="top" wrapText="1"/>
    </xf>
    <xf numFmtId="0" fontId="25" fillId="16" borderId="1" xfId="0" applyFont="1" applyFill="1" applyBorder="1" applyAlignment="1">
      <alignment horizontal="left" vertical="top" wrapText="1"/>
    </xf>
    <xf numFmtId="0" fontId="33" fillId="17" borderId="1" xfId="0" applyFont="1" applyFill="1" applyBorder="1" applyAlignment="1">
      <alignment horizontal="center" vertical="top"/>
    </xf>
    <xf numFmtId="0" fontId="32" fillId="21" borderId="1" xfId="0" applyFont="1" applyFill="1" applyBorder="1" applyAlignment="1">
      <alignment horizontal="center" vertical="top"/>
    </xf>
    <xf numFmtId="0" fontId="32" fillId="21" borderId="1" xfId="0" applyFont="1" applyFill="1" applyBorder="1" applyAlignment="1">
      <alignment horizontal="left" vertical="top" wrapText="1"/>
    </xf>
    <xf numFmtId="0" fontId="33" fillId="21" borderId="1" xfId="0" applyFont="1" applyFill="1" applyBorder="1" applyAlignment="1">
      <alignment horizontal="center" vertical="top"/>
    </xf>
    <xf numFmtId="0" fontId="32" fillId="16" borderId="1" xfId="0" applyFont="1" applyFill="1" applyBorder="1" applyAlignment="1">
      <alignment horizontal="center" vertical="top"/>
    </xf>
    <xf numFmtId="0" fontId="25" fillId="24" borderId="1" xfId="0" applyFont="1" applyFill="1" applyBorder="1" applyAlignment="1">
      <alignment horizontal="left" vertical="top" wrapText="1"/>
    </xf>
    <xf numFmtId="0" fontId="33" fillId="16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12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4" fillId="8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0" fillId="8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9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4" fillId="12" borderId="1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17" fillId="13" borderId="2" xfId="0" applyFont="1" applyFill="1" applyBorder="1" applyAlignment="1">
      <alignment horizontal="left" vertical="center" wrapText="1"/>
    </xf>
    <xf numFmtId="0" fontId="0" fillId="13" borderId="2" xfId="0" applyFill="1" applyBorder="1"/>
    <xf numFmtId="0" fontId="6" fillId="8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4" borderId="2" xfId="0" applyFont="1" applyFill="1" applyBorder="1" applyAlignment="1">
      <alignment horizontal="left" vertical="center"/>
    </xf>
    <xf numFmtId="0" fontId="0" fillId="4" borderId="2" xfId="0" applyFill="1" applyBorder="1"/>
    <xf numFmtId="0" fontId="19" fillId="2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0" fillId="6" borderId="2" xfId="0" applyFill="1" applyBorder="1"/>
    <xf numFmtId="0" fontId="7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10" fillId="1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21" fillId="12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top" wrapText="1"/>
    </xf>
    <xf numFmtId="0" fontId="25" fillId="11" borderId="1" xfId="0" applyFont="1" applyFill="1" applyBorder="1" applyAlignment="1">
      <alignment horizontal="left" vertical="top" wrapText="1"/>
    </xf>
    <xf numFmtId="0" fontId="3" fillId="14" borderId="2" xfId="0" applyFont="1" applyFill="1" applyBorder="1" applyAlignment="1">
      <alignment horizontal="left" vertical="center"/>
    </xf>
    <xf numFmtId="0" fontId="0" fillId="14" borderId="2" xfId="0" applyFill="1" applyBorder="1"/>
    <xf numFmtId="0" fontId="7" fillId="16" borderId="1" xfId="0" applyFont="1" applyFill="1" applyBorder="1" applyAlignment="1">
      <alignment horizontal="left" vertical="top" wrapText="1"/>
    </xf>
    <xf numFmtId="0" fontId="0" fillId="16" borderId="1" xfId="0" applyFill="1" applyBorder="1"/>
    <xf numFmtId="0" fontId="25" fillId="17" borderId="1" xfId="0" applyFont="1" applyFill="1" applyBorder="1" applyAlignment="1">
      <alignment horizontal="left" vertical="top" wrapText="1"/>
    </xf>
    <xf numFmtId="0" fontId="0" fillId="17" borderId="1" xfId="0" applyFill="1" applyBorder="1"/>
    <xf numFmtId="0" fontId="6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4" fillId="8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25" fillId="15" borderId="1" xfId="0" applyFont="1" applyFill="1" applyBorder="1" applyAlignment="1">
      <alignment horizontal="left" vertical="top" wrapText="1"/>
    </xf>
    <xf numFmtId="0" fontId="0" fillId="15" borderId="1" xfId="0" applyFill="1" applyBorder="1"/>
    <xf numFmtId="0" fontId="16" fillId="2" borderId="2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26" fillId="2" borderId="2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left" vertical="center" wrapText="1"/>
    </xf>
    <xf numFmtId="0" fontId="29" fillId="11" borderId="1" xfId="0" applyFont="1" applyFill="1" applyBorder="1" applyAlignment="1">
      <alignment horizontal="left" vertical="center" wrapText="1"/>
    </xf>
    <xf numFmtId="0" fontId="25" fillId="13" borderId="2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31" fillId="19" borderId="2" xfId="0" applyFont="1" applyFill="1" applyBorder="1" applyAlignment="1">
      <alignment horizontal="left" vertical="center" wrapText="1"/>
    </xf>
    <xf numFmtId="0" fontId="0" fillId="19" borderId="2" xfId="0" applyFill="1" applyBorder="1"/>
    <xf numFmtId="0" fontId="3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3" fillId="3" borderId="4" xfId="0" applyFont="1" applyFill="1" applyBorder="1" applyAlignment="1">
      <alignment horizontal="left" vertical="center"/>
    </xf>
    <xf numFmtId="0" fontId="0" fillId="3" borderId="4" xfId="0" applyFill="1" applyBorder="1"/>
    <xf numFmtId="0" fontId="3" fillId="7" borderId="4" xfId="0" applyFont="1" applyFill="1" applyBorder="1" applyAlignment="1">
      <alignment horizontal="left" vertical="center"/>
    </xf>
    <xf numFmtId="0" fontId="0" fillId="7" borderId="4" xfId="0" applyFill="1" applyBorder="1"/>
    <xf numFmtId="0" fontId="3" fillId="23" borderId="4" xfId="0" applyFont="1" applyFill="1" applyBorder="1" applyAlignment="1">
      <alignment horizontal="left" vertical="center"/>
    </xf>
    <xf numFmtId="0" fontId="0" fillId="23" borderId="4" xfId="0" applyFill="1" applyBorder="1"/>
    <xf numFmtId="0" fontId="3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3" fillId="14" borderId="4" xfId="0" applyFont="1" applyFill="1" applyBorder="1" applyAlignment="1">
      <alignment horizontal="left" vertical="center"/>
    </xf>
    <xf numFmtId="0" fontId="0" fillId="14" borderId="4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46E744-5587-494F-9F66-DED98DFF572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d9aadde-2333-4bb7-8b64-f50f46e25ba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J8" sqref="J8"/>
    </sheetView>
  </sheetViews>
  <sheetFormatPr defaultRowHeight="14.4" x14ac:dyDescent="0.55000000000000004"/>
  <cols>
    <col min="1" max="1" width="3" customWidth="1"/>
    <col min="2" max="2" width="34" customWidth="1"/>
    <col min="3" max="4" width="18" customWidth="1"/>
    <col min="5" max="5" width="16" customWidth="1"/>
    <col min="6" max="6" width="14" customWidth="1"/>
    <col min="7" max="7" width="22" customWidth="1"/>
  </cols>
  <sheetData>
    <row r="1" spans="1:7" ht="52" customHeight="1" x14ac:dyDescent="0.55000000000000004">
      <c r="A1" s="99" t="s">
        <v>0</v>
      </c>
      <c r="B1" s="100"/>
      <c r="C1" s="100"/>
      <c r="D1" s="100"/>
      <c r="E1" s="100"/>
      <c r="F1" s="100"/>
      <c r="G1" s="100"/>
    </row>
    <row r="2" spans="1:7" ht="22" customHeight="1" x14ac:dyDescent="0.55000000000000004">
      <c r="A2" s="110" t="s">
        <v>1</v>
      </c>
      <c r="B2" s="111"/>
      <c r="C2" s="111"/>
      <c r="D2" s="111"/>
      <c r="E2" s="111"/>
      <c r="F2" s="111"/>
      <c r="G2" s="111"/>
    </row>
    <row r="3" spans="1:7" ht="22" customHeight="1" x14ac:dyDescent="0.55000000000000004">
      <c r="A3" s="101" t="s">
        <v>2</v>
      </c>
      <c r="B3" s="102"/>
      <c r="C3" s="102"/>
      <c r="D3" s="102"/>
      <c r="E3" s="102"/>
      <c r="F3" s="102"/>
      <c r="G3" s="102"/>
    </row>
    <row r="4" spans="1:7" ht="5.05" customHeight="1" x14ac:dyDescent="0.55000000000000004">
      <c r="A4" s="1"/>
      <c r="B4" s="1"/>
      <c r="C4" s="1"/>
      <c r="D4" s="1"/>
      <c r="E4" s="1"/>
      <c r="F4" s="1"/>
      <c r="G4" s="1"/>
    </row>
    <row r="5" spans="1:7" ht="24" customHeight="1" x14ac:dyDescent="0.55000000000000004">
      <c r="A5" s="104" t="s">
        <v>3</v>
      </c>
      <c r="B5" s="105"/>
      <c r="C5" s="105"/>
      <c r="D5" s="105"/>
      <c r="E5" s="105"/>
      <c r="F5" s="105"/>
      <c r="G5" s="105"/>
    </row>
    <row r="6" spans="1:7" ht="18" customHeight="1" x14ac:dyDescent="0.55000000000000004">
      <c r="A6" s="2"/>
      <c r="B6" s="2" t="s">
        <v>4</v>
      </c>
      <c r="C6" s="2"/>
      <c r="D6" s="2"/>
      <c r="E6" s="2" t="s">
        <v>5</v>
      </c>
      <c r="F6" s="2"/>
      <c r="G6" s="2" t="s">
        <v>6</v>
      </c>
    </row>
    <row r="7" spans="1:7" ht="30" customHeight="1" x14ac:dyDescent="0.55000000000000004">
      <c r="A7" s="78" t="s">
        <v>7</v>
      </c>
      <c r="B7" s="77"/>
      <c r="C7" s="77"/>
      <c r="D7" s="77"/>
      <c r="E7" s="4" t="s">
        <v>8</v>
      </c>
      <c r="F7" s="92" t="s">
        <v>9</v>
      </c>
      <c r="G7" s="77"/>
    </row>
    <row r="8" spans="1:7" ht="30" customHeight="1" x14ac:dyDescent="0.55000000000000004">
      <c r="A8" s="106" t="s">
        <v>10</v>
      </c>
      <c r="B8" s="107"/>
      <c r="C8" s="107"/>
      <c r="D8" s="107"/>
      <c r="E8" s="4" t="s">
        <v>8</v>
      </c>
      <c r="F8" s="109" t="s">
        <v>11</v>
      </c>
      <c r="G8" s="107"/>
    </row>
    <row r="9" spans="1:7" ht="30" customHeight="1" x14ac:dyDescent="0.55000000000000004">
      <c r="A9" s="78" t="s">
        <v>12</v>
      </c>
      <c r="B9" s="77"/>
      <c r="C9" s="77"/>
      <c r="D9" s="77"/>
      <c r="E9" s="4" t="s">
        <v>8</v>
      </c>
      <c r="F9" s="92" t="s">
        <v>13</v>
      </c>
      <c r="G9" s="77"/>
    </row>
    <row r="10" spans="1:7" ht="30" customHeight="1" x14ac:dyDescent="0.55000000000000004">
      <c r="A10" s="93" t="s">
        <v>14</v>
      </c>
      <c r="B10" s="86"/>
      <c r="C10" s="86"/>
      <c r="D10" s="86"/>
      <c r="E10" s="4" t="s">
        <v>8</v>
      </c>
      <c r="F10" s="95" t="s">
        <v>15</v>
      </c>
      <c r="G10" s="86"/>
    </row>
    <row r="11" spans="1:7" ht="30" customHeight="1" x14ac:dyDescent="0.55000000000000004">
      <c r="A11" s="78" t="s">
        <v>16</v>
      </c>
      <c r="B11" s="77"/>
      <c r="C11" s="77"/>
      <c r="D11" s="77"/>
      <c r="E11" s="4" t="s">
        <v>8</v>
      </c>
      <c r="F11" s="92" t="s">
        <v>17</v>
      </c>
      <c r="G11" s="77"/>
    </row>
    <row r="12" spans="1:7" ht="30" customHeight="1" x14ac:dyDescent="0.55000000000000004">
      <c r="A12" s="106" t="s">
        <v>18</v>
      </c>
      <c r="B12" s="107"/>
      <c r="C12" s="107"/>
      <c r="D12" s="107"/>
      <c r="E12" s="4" t="s">
        <v>8</v>
      </c>
      <c r="F12" s="109" t="s">
        <v>19</v>
      </c>
      <c r="G12" s="107"/>
    </row>
    <row r="13" spans="1:7" ht="30" customHeight="1" x14ac:dyDescent="0.55000000000000004">
      <c r="A13" s="78" t="s">
        <v>20</v>
      </c>
      <c r="B13" s="77"/>
      <c r="C13" s="77"/>
      <c r="D13" s="77"/>
      <c r="E13" s="4" t="s">
        <v>8</v>
      </c>
      <c r="F13" s="92" t="s">
        <v>21</v>
      </c>
      <c r="G13" s="77"/>
    </row>
    <row r="14" spans="1:7" ht="30" customHeight="1" x14ac:dyDescent="0.55000000000000004">
      <c r="A14" s="93" t="s">
        <v>22</v>
      </c>
      <c r="B14" s="86"/>
      <c r="C14" s="86"/>
      <c r="D14" s="86"/>
      <c r="E14" s="4" t="s">
        <v>8</v>
      </c>
      <c r="F14" s="95" t="s">
        <v>23</v>
      </c>
      <c r="G14" s="86"/>
    </row>
    <row r="15" spans="1:7" ht="24" customHeight="1" x14ac:dyDescent="0.55000000000000004">
      <c r="A15" s="87" t="s">
        <v>24</v>
      </c>
      <c r="B15" s="82"/>
      <c r="C15" s="82"/>
      <c r="D15" s="82"/>
      <c r="E15" s="7" t="str">
        <f>IF(AND(E7="EVET",E8="EVET",E9="EVET",E12="EVET"),"OK - Hesaplanabilir","HATA - Ön koşul eksik")</f>
        <v>OK - Hesaplanabilir</v>
      </c>
      <c r="F15" s="84" t="s">
        <v>25</v>
      </c>
      <c r="G15" s="82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74" t="s">
        <v>26</v>
      </c>
      <c r="B17" s="75"/>
      <c r="C17" s="75"/>
      <c r="D17" s="75"/>
      <c r="E17" s="75"/>
      <c r="F17" s="75"/>
      <c r="G17" s="75"/>
    </row>
    <row r="18" spans="1:7" ht="22" customHeight="1" x14ac:dyDescent="0.55000000000000004">
      <c r="A18" s="93" t="s">
        <v>27</v>
      </c>
      <c r="B18" s="86"/>
      <c r="C18" s="79"/>
      <c r="D18" s="79"/>
      <c r="E18" s="79"/>
      <c r="F18" s="8" t="s">
        <v>28</v>
      </c>
      <c r="G18" s="5"/>
    </row>
    <row r="19" spans="1:7" ht="22" customHeight="1" x14ac:dyDescent="0.55000000000000004">
      <c r="A19" s="78" t="s">
        <v>29</v>
      </c>
      <c r="B19" s="77"/>
      <c r="C19" s="79"/>
      <c r="D19" s="79"/>
      <c r="E19" s="79"/>
      <c r="F19" s="9" t="s">
        <v>30</v>
      </c>
      <c r="G19" s="3"/>
    </row>
    <row r="20" spans="1:7" ht="22" customHeight="1" x14ac:dyDescent="0.55000000000000004">
      <c r="A20" s="93" t="s">
        <v>31</v>
      </c>
      <c r="B20" s="86"/>
      <c r="C20" s="79"/>
      <c r="D20" s="79"/>
      <c r="E20" s="79"/>
      <c r="F20" s="8" t="s">
        <v>32</v>
      </c>
      <c r="G20" s="5"/>
    </row>
    <row r="21" spans="1:7" ht="22" customHeight="1" x14ac:dyDescent="0.55000000000000004">
      <c r="A21" s="78" t="s">
        <v>33</v>
      </c>
      <c r="B21" s="77"/>
      <c r="C21" s="79"/>
      <c r="D21" s="79"/>
      <c r="E21" s="79"/>
      <c r="F21" s="9" t="s">
        <v>34</v>
      </c>
      <c r="G21" s="3"/>
    </row>
    <row r="22" spans="1:7" ht="22" customHeight="1" x14ac:dyDescent="0.55000000000000004">
      <c r="A22" s="93" t="s">
        <v>35</v>
      </c>
      <c r="B22" s="86"/>
      <c r="C22" s="79"/>
      <c r="D22" s="79"/>
      <c r="E22" s="79"/>
      <c r="F22" s="8" t="s">
        <v>36</v>
      </c>
      <c r="G22" s="5"/>
    </row>
    <row r="23" spans="1:7" ht="22" customHeight="1" x14ac:dyDescent="0.55000000000000004">
      <c r="A23" s="78" t="s">
        <v>37</v>
      </c>
      <c r="B23" s="77"/>
      <c r="C23" s="79"/>
      <c r="D23" s="79"/>
      <c r="E23" s="79"/>
      <c r="F23" s="9" t="s">
        <v>38</v>
      </c>
      <c r="G23" s="3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4" customHeight="1" x14ac:dyDescent="0.55000000000000004">
      <c r="A25" s="74" t="s">
        <v>39</v>
      </c>
      <c r="B25" s="75"/>
      <c r="C25" s="75"/>
      <c r="D25" s="75"/>
      <c r="E25" s="75"/>
      <c r="F25" s="75"/>
      <c r="G25" s="75"/>
    </row>
    <row r="26" spans="1:7" ht="24" customHeight="1" x14ac:dyDescent="0.55000000000000004">
      <c r="A26" s="85" t="s">
        <v>40</v>
      </c>
      <c r="B26" s="86"/>
      <c r="C26" s="86"/>
      <c r="D26" s="86"/>
      <c r="E26" s="86"/>
      <c r="F26" s="86"/>
      <c r="G26" s="86"/>
    </row>
    <row r="27" spans="1:7" ht="18" customHeight="1" x14ac:dyDescent="0.55000000000000004">
      <c r="A27" s="2"/>
      <c r="B27" s="2" t="s">
        <v>41</v>
      </c>
      <c r="C27" s="2"/>
      <c r="D27" s="2" t="s">
        <v>42</v>
      </c>
      <c r="E27" s="2"/>
      <c r="F27" s="2" t="s">
        <v>43</v>
      </c>
      <c r="G27" s="2" t="s">
        <v>44</v>
      </c>
    </row>
    <row r="28" spans="1:7" ht="28" customHeight="1" x14ac:dyDescent="0.55000000000000004">
      <c r="A28" s="93" t="s">
        <v>45</v>
      </c>
      <c r="B28" s="86"/>
      <c r="C28" s="10"/>
      <c r="D28" s="97" t="s">
        <v>46</v>
      </c>
      <c r="E28" s="86"/>
      <c r="F28" s="98" t="s">
        <v>47</v>
      </c>
      <c r="G28" s="86"/>
    </row>
    <row r="29" spans="1:7" ht="28" customHeight="1" x14ac:dyDescent="0.55000000000000004">
      <c r="A29" s="78" t="s">
        <v>48</v>
      </c>
      <c r="B29" s="77"/>
      <c r="C29" s="10"/>
      <c r="D29" s="80" t="s">
        <v>49</v>
      </c>
      <c r="E29" s="77"/>
      <c r="F29" s="76" t="s">
        <v>50</v>
      </c>
      <c r="G29" s="77"/>
    </row>
    <row r="30" spans="1:7" ht="28" customHeight="1" x14ac:dyDescent="0.55000000000000004">
      <c r="A30" s="94" t="s">
        <v>51</v>
      </c>
      <c r="B30" s="86"/>
      <c r="C30" s="10"/>
      <c r="D30" s="97" t="s">
        <v>52</v>
      </c>
      <c r="E30" s="86"/>
      <c r="F30" s="98" t="s">
        <v>50</v>
      </c>
      <c r="G30" s="86"/>
    </row>
    <row r="31" spans="1:7" ht="28" customHeight="1" x14ac:dyDescent="0.55000000000000004">
      <c r="A31" s="78" t="s">
        <v>53</v>
      </c>
      <c r="B31" s="77"/>
      <c r="C31" s="10"/>
      <c r="D31" s="80" t="s">
        <v>54</v>
      </c>
      <c r="E31" s="77"/>
      <c r="F31" s="76" t="s">
        <v>55</v>
      </c>
      <c r="G31" s="77"/>
    </row>
    <row r="32" spans="1:7" ht="28" customHeight="1" x14ac:dyDescent="0.55000000000000004">
      <c r="A32" s="93" t="s">
        <v>56</v>
      </c>
      <c r="B32" s="86"/>
      <c r="C32" s="4" t="s">
        <v>57</v>
      </c>
      <c r="D32" s="97" t="s">
        <v>58</v>
      </c>
      <c r="E32" s="86"/>
      <c r="F32" s="98" t="s">
        <v>59</v>
      </c>
      <c r="G32" s="86"/>
    </row>
    <row r="33" spans="1:7" ht="28" customHeight="1" x14ac:dyDescent="0.55000000000000004">
      <c r="A33" s="78" t="s">
        <v>60</v>
      </c>
      <c r="B33" s="77"/>
      <c r="C33" s="10"/>
      <c r="D33" s="80" t="s">
        <v>61</v>
      </c>
      <c r="E33" s="77"/>
      <c r="F33" s="76" t="s">
        <v>62</v>
      </c>
      <c r="G33" s="77"/>
    </row>
    <row r="34" spans="1:7" ht="28" customHeight="1" x14ac:dyDescent="0.55000000000000004">
      <c r="A34" s="93" t="s">
        <v>63</v>
      </c>
      <c r="B34" s="86"/>
      <c r="C34" s="4" t="s">
        <v>8</v>
      </c>
      <c r="D34" s="97" t="s">
        <v>64</v>
      </c>
      <c r="E34" s="86"/>
      <c r="F34" s="98" t="s">
        <v>65</v>
      </c>
      <c r="G34" s="86"/>
    </row>
    <row r="35" spans="1:7" ht="5.05" customHeight="1" x14ac:dyDescent="0.55000000000000004">
      <c r="A35" s="1"/>
      <c r="B35" s="1"/>
      <c r="C35" s="1"/>
      <c r="D35" s="1"/>
      <c r="E35" s="1"/>
      <c r="F35" s="1"/>
      <c r="G35" s="1"/>
    </row>
    <row r="36" spans="1:7" ht="24" customHeight="1" x14ac:dyDescent="0.55000000000000004">
      <c r="A36" s="74" t="s">
        <v>66</v>
      </c>
      <c r="B36" s="75"/>
      <c r="C36" s="75"/>
      <c r="D36" s="75"/>
      <c r="E36" s="75"/>
      <c r="F36" s="75"/>
      <c r="G36" s="75"/>
    </row>
    <row r="37" spans="1:7" ht="30" customHeight="1" x14ac:dyDescent="0.55000000000000004">
      <c r="A37" s="85" t="s">
        <v>67</v>
      </c>
      <c r="B37" s="86"/>
      <c r="C37" s="86"/>
      <c r="D37" s="86"/>
      <c r="E37" s="86"/>
      <c r="F37" s="86"/>
      <c r="G37" s="86"/>
    </row>
    <row r="38" spans="1:7" ht="18" customHeight="1" x14ac:dyDescent="0.55000000000000004">
      <c r="A38" s="11" t="s">
        <v>68</v>
      </c>
      <c r="B38" s="11" t="s">
        <v>69</v>
      </c>
      <c r="C38" s="11" t="s">
        <v>70</v>
      </c>
      <c r="D38" s="11" t="s">
        <v>71</v>
      </c>
      <c r="E38" s="11" t="s">
        <v>72</v>
      </c>
      <c r="F38" s="11" t="s">
        <v>73</v>
      </c>
      <c r="G38" s="11" t="s">
        <v>74</v>
      </c>
    </row>
    <row r="39" spans="1:7" ht="26.05" customHeight="1" x14ac:dyDescent="0.55000000000000004">
      <c r="A39" s="12" t="s">
        <v>75</v>
      </c>
      <c r="B39" s="13"/>
      <c r="C39" s="14"/>
      <c r="D39" s="15">
        <f>IF(B39&gt;0,B39*C39,0)</f>
        <v>0</v>
      </c>
      <c r="E39" s="14"/>
      <c r="F39" s="15">
        <f>IF(B39&gt;0,B39*E39,0)</f>
        <v>0</v>
      </c>
      <c r="G39" s="16">
        <f>MAX(F39-D39,0)</f>
        <v>0</v>
      </c>
    </row>
    <row r="40" spans="1:7" ht="26.05" customHeight="1" x14ac:dyDescent="0.55000000000000004">
      <c r="A40" s="17" t="s">
        <v>76</v>
      </c>
      <c r="B40" s="13"/>
      <c r="C40" s="14"/>
      <c r="D40" s="15">
        <f>IF(B40&gt;0,B40*C40,0)</f>
        <v>0</v>
      </c>
      <c r="E40" s="14"/>
      <c r="F40" s="15">
        <f>IF(B40&gt;0,B40*E40,0)</f>
        <v>0</v>
      </c>
      <c r="G40" s="16">
        <f>MAX(F40-D40,0)</f>
        <v>0</v>
      </c>
    </row>
    <row r="41" spans="1:7" ht="26.05" customHeight="1" x14ac:dyDescent="0.55000000000000004">
      <c r="A41" s="12" t="s">
        <v>77</v>
      </c>
      <c r="B41" s="13"/>
      <c r="C41" s="14"/>
      <c r="D41" s="15">
        <f>IF(B41&gt;0,B41*C41,0)</f>
        <v>0</v>
      </c>
      <c r="E41" s="14"/>
      <c r="F41" s="15">
        <f>IF(B41&gt;0,B41*E41,0)</f>
        <v>0</v>
      </c>
      <c r="G41" s="16">
        <f>MAX(F41-D41,0)</f>
        <v>0</v>
      </c>
    </row>
    <row r="42" spans="1:7" ht="26.05" customHeight="1" x14ac:dyDescent="0.55000000000000004">
      <c r="A42" s="17" t="s">
        <v>78</v>
      </c>
      <c r="B42" s="13"/>
      <c r="C42" s="14"/>
      <c r="D42" s="15">
        <f>IF(B42&gt;0,B42*C42,0)</f>
        <v>0</v>
      </c>
      <c r="E42" s="14"/>
      <c r="F42" s="15">
        <f>IF(B42&gt;0,B42*E42,0)</f>
        <v>0</v>
      </c>
      <c r="G42" s="16">
        <f>MAX(F42-D42,0)</f>
        <v>0</v>
      </c>
    </row>
    <row r="43" spans="1:7" ht="26.05" customHeight="1" x14ac:dyDescent="0.55000000000000004">
      <c r="A43" s="12" t="s">
        <v>79</v>
      </c>
      <c r="B43" s="13"/>
      <c r="C43" s="14"/>
      <c r="D43" s="15">
        <f>IF(B43&gt;0,B43*C43,0)</f>
        <v>0</v>
      </c>
      <c r="E43" s="14"/>
      <c r="F43" s="15">
        <f>IF(B43&gt;0,B43*E43,0)</f>
        <v>0</v>
      </c>
      <c r="G43" s="16">
        <f>MAX(F43-D43,0)</f>
        <v>0</v>
      </c>
    </row>
    <row r="44" spans="1:7" ht="28" customHeight="1" x14ac:dyDescent="0.55000000000000004">
      <c r="A44" s="18" t="s">
        <v>80</v>
      </c>
      <c r="B44" s="99" t="s">
        <v>81</v>
      </c>
      <c r="C44" s="100"/>
      <c r="D44" s="100"/>
      <c r="E44" s="100"/>
      <c r="F44" s="19">
        <f>SUM(F39:F43)</f>
        <v>0</v>
      </c>
      <c r="G44" s="20">
        <f>SUM(G39:G43)</f>
        <v>0</v>
      </c>
    </row>
    <row r="45" spans="1:7" ht="28" customHeight="1" x14ac:dyDescent="0.55000000000000004">
      <c r="A45" s="90" t="s">
        <v>82</v>
      </c>
      <c r="B45" s="91"/>
      <c r="C45" s="91"/>
      <c r="D45" s="91"/>
      <c r="E45" s="91"/>
      <c r="F45" s="91"/>
      <c r="G45" s="91"/>
    </row>
    <row r="46" spans="1:7" ht="5.05" customHeight="1" x14ac:dyDescent="0.55000000000000004">
      <c r="A46" s="1"/>
      <c r="B46" s="1"/>
      <c r="C46" s="1"/>
      <c r="D46" s="1"/>
      <c r="E46" s="1"/>
      <c r="F46" s="1"/>
      <c r="G46" s="1"/>
    </row>
    <row r="47" spans="1:7" ht="24" customHeight="1" x14ac:dyDescent="0.55000000000000004">
      <c r="A47" s="74" t="s">
        <v>83</v>
      </c>
      <c r="B47" s="75"/>
      <c r="C47" s="75"/>
      <c r="D47" s="75"/>
      <c r="E47" s="75"/>
      <c r="F47" s="75"/>
      <c r="G47" s="75"/>
    </row>
    <row r="48" spans="1:7" ht="24" customHeight="1" x14ac:dyDescent="0.55000000000000004">
      <c r="A48" s="85" t="s">
        <v>84</v>
      </c>
      <c r="B48" s="86"/>
      <c r="C48" s="86"/>
      <c r="D48" s="86"/>
      <c r="E48" s="86"/>
      <c r="F48" s="86"/>
      <c r="G48" s="86"/>
    </row>
    <row r="49" spans="1:7" ht="18" customHeight="1" x14ac:dyDescent="0.55000000000000004">
      <c r="A49" s="2"/>
      <c r="B49" s="2" t="s">
        <v>85</v>
      </c>
      <c r="C49" s="2"/>
      <c r="D49" s="2" t="s">
        <v>86</v>
      </c>
      <c r="E49" s="2"/>
      <c r="F49" s="2" t="s">
        <v>43</v>
      </c>
      <c r="G49" s="2" t="s">
        <v>87</v>
      </c>
    </row>
    <row r="50" spans="1:7" ht="28" customHeight="1" x14ac:dyDescent="0.55000000000000004">
      <c r="A50" s="93" t="s">
        <v>88</v>
      </c>
      <c r="B50" s="86"/>
      <c r="C50" s="21">
        <f>F44</f>
        <v>0</v>
      </c>
      <c r="D50" s="97" t="s">
        <v>89</v>
      </c>
      <c r="E50" s="86"/>
      <c r="F50" s="95" t="s">
        <v>90</v>
      </c>
      <c r="G50" s="86"/>
    </row>
    <row r="51" spans="1:7" ht="28" customHeight="1" x14ac:dyDescent="0.55000000000000004">
      <c r="A51" s="78" t="s">
        <v>91</v>
      </c>
      <c r="B51" s="77"/>
      <c r="C51" s="21">
        <f>SUM(D39:D43)</f>
        <v>0</v>
      </c>
      <c r="D51" s="80" t="s">
        <v>92</v>
      </c>
      <c r="E51" s="77"/>
      <c r="F51" s="92" t="s">
        <v>93</v>
      </c>
      <c r="G51" s="77"/>
    </row>
    <row r="52" spans="1:7" ht="28" customHeight="1" x14ac:dyDescent="0.55000000000000004">
      <c r="A52" s="81" t="s">
        <v>94</v>
      </c>
      <c r="B52" s="82"/>
      <c r="C52" s="22">
        <f>MAX(C50-C51,0)</f>
        <v>0</v>
      </c>
      <c r="D52" s="108" t="s">
        <v>95</v>
      </c>
      <c r="E52" s="82"/>
      <c r="F52" s="96" t="s">
        <v>96</v>
      </c>
      <c r="G52" s="82"/>
    </row>
    <row r="53" spans="1:7" ht="28" customHeight="1" x14ac:dyDescent="0.55000000000000004">
      <c r="A53" s="78" t="s">
        <v>97</v>
      </c>
      <c r="B53" s="77"/>
      <c r="C53" s="23"/>
      <c r="D53" s="80" t="s">
        <v>98</v>
      </c>
      <c r="E53" s="77"/>
      <c r="F53" s="92" t="s">
        <v>99</v>
      </c>
      <c r="G53" s="77"/>
    </row>
    <row r="54" spans="1:7" ht="28" customHeight="1" x14ac:dyDescent="0.55000000000000004">
      <c r="A54" s="81" t="s">
        <v>100</v>
      </c>
      <c r="B54" s="82"/>
      <c r="C54" s="22">
        <f>MAX(C52-C53,0)</f>
        <v>0</v>
      </c>
      <c r="D54" s="108" t="s">
        <v>101</v>
      </c>
      <c r="E54" s="82"/>
      <c r="F54" s="96" t="s">
        <v>102</v>
      </c>
      <c r="G54" s="82"/>
    </row>
    <row r="55" spans="1:7" ht="28" customHeight="1" x14ac:dyDescent="0.55000000000000004">
      <c r="A55" s="78" t="s">
        <v>103</v>
      </c>
      <c r="B55" s="77"/>
      <c r="C55" s="21">
        <f>C53</f>
        <v>0</v>
      </c>
      <c r="D55" s="80" t="s">
        <v>104</v>
      </c>
      <c r="E55" s="77"/>
      <c r="F55" s="92" t="s">
        <v>105</v>
      </c>
      <c r="G55" s="77"/>
    </row>
    <row r="56" spans="1:7" ht="5.05" customHeight="1" x14ac:dyDescent="0.55000000000000004">
      <c r="A56" s="1"/>
      <c r="B56" s="1"/>
      <c r="C56" s="1"/>
      <c r="D56" s="1"/>
      <c r="E56" s="1"/>
      <c r="F56" s="1"/>
      <c r="G56" s="1"/>
    </row>
    <row r="57" spans="1:7" ht="26.05" customHeight="1" x14ac:dyDescent="0.55000000000000004">
      <c r="A57" s="103" t="s">
        <v>106</v>
      </c>
      <c r="B57" s="75"/>
      <c r="C57" s="75"/>
      <c r="D57" s="75"/>
      <c r="E57" s="75"/>
      <c r="F57" s="75"/>
      <c r="G57" s="75"/>
    </row>
    <row r="58" spans="1:7" ht="32.049999999999997" customHeight="1" x14ac:dyDescent="0.55000000000000004">
      <c r="A58" s="83" t="s">
        <v>107</v>
      </c>
      <c r="B58" s="82"/>
      <c r="C58" s="82"/>
      <c r="D58" s="82"/>
      <c r="E58" s="24">
        <f>C54</f>
        <v>0</v>
      </c>
      <c r="F58" s="112" t="s">
        <v>108</v>
      </c>
      <c r="G58" s="82"/>
    </row>
    <row r="59" spans="1:7" ht="60" customHeight="1" x14ac:dyDescent="0.55000000000000004">
      <c r="A59" s="88" t="s">
        <v>109</v>
      </c>
      <c r="B59" s="89"/>
      <c r="C59" s="89"/>
      <c r="D59" s="89"/>
      <c r="E59" s="89"/>
      <c r="F59" s="89"/>
      <c r="G59" s="89"/>
    </row>
  </sheetData>
  <mergeCells count="86">
    <mergeCell ref="A2:G2"/>
    <mergeCell ref="F14:G14"/>
    <mergeCell ref="D54:E54"/>
    <mergeCell ref="A47:G47"/>
    <mergeCell ref="A14:D14"/>
    <mergeCell ref="F11:G11"/>
    <mergeCell ref="F12:G12"/>
    <mergeCell ref="F51:G51"/>
    <mergeCell ref="D32:E32"/>
    <mergeCell ref="F32:G32"/>
    <mergeCell ref="A18:B18"/>
    <mergeCell ref="A50:B50"/>
    <mergeCell ref="C19:E19"/>
    <mergeCell ref="F52:G52"/>
    <mergeCell ref="A20:B20"/>
    <mergeCell ref="A29:B29"/>
    <mergeCell ref="A1:G1"/>
    <mergeCell ref="F31:G31"/>
    <mergeCell ref="F28:G28"/>
    <mergeCell ref="F9:G9"/>
    <mergeCell ref="A52:B52"/>
    <mergeCell ref="A3:G3"/>
    <mergeCell ref="D29:E29"/>
    <mergeCell ref="A5:G5"/>
    <mergeCell ref="A34:B34"/>
    <mergeCell ref="A8:D8"/>
    <mergeCell ref="A10:D10"/>
    <mergeCell ref="F7:G7"/>
    <mergeCell ref="D52:E52"/>
    <mergeCell ref="F50:G50"/>
    <mergeCell ref="F8:G8"/>
    <mergeCell ref="A21:B21"/>
    <mergeCell ref="A9:D9"/>
    <mergeCell ref="F30:G30"/>
    <mergeCell ref="F33:G33"/>
    <mergeCell ref="A11:D11"/>
    <mergeCell ref="D53:E53"/>
    <mergeCell ref="A36:G36"/>
    <mergeCell ref="A32:B32"/>
    <mergeCell ref="D28:E28"/>
    <mergeCell ref="A23:B23"/>
    <mergeCell ref="A25:G25"/>
    <mergeCell ref="D30:E30"/>
    <mergeCell ref="A12:D12"/>
    <mergeCell ref="B44:E44"/>
    <mergeCell ref="D50:E50"/>
    <mergeCell ref="A31:B31"/>
    <mergeCell ref="F53:G53"/>
    <mergeCell ref="F10:G10"/>
    <mergeCell ref="F54:G54"/>
    <mergeCell ref="D34:E34"/>
    <mergeCell ref="C22:E22"/>
    <mergeCell ref="F34:G34"/>
    <mergeCell ref="A59:G59"/>
    <mergeCell ref="A45:G45"/>
    <mergeCell ref="A33:B33"/>
    <mergeCell ref="C18:E18"/>
    <mergeCell ref="A7:D7"/>
    <mergeCell ref="F13:G13"/>
    <mergeCell ref="A22:B22"/>
    <mergeCell ref="A53:B53"/>
    <mergeCell ref="A37:G37"/>
    <mergeCell ref="D33:E33"/>
    <mergeCell ref="A19:B19"/>
    <mergeCell ref="D51:E51"/>
    <mergeCell ref="A28:B28"/>
    <mergeCell ref="A26:G26"/>
    <mergeCell ref="C20:E20"/>
    <mergeCell ref="A30:B30"/>
    <mergeCell ref="A13:D13"/>
    <mergeCell ref="A54:B54"/>
    <mergeCell ref="A58:D58"/>
    <mergeCell ref="F15:G15"/>
    <mergeCell ref="C23:E23"/>
    <mergeCell ref="A48:G48"/>
    <mergeCell ref="A15:D15"/>
    <mergeCell ref="A57:G57"/>
    <mergeCell ref="A55:B55"/>
    <mergeCell ref="D55:E55"/>
    <mergeCell ref="F55:G55"/>
    <mergeCell ref="F58:G58"/>
    <mergeCell ref="A17:G17"/>
    <mergeCell ref="F29:G29"/>
    <mergeCell ref="A51:B51"/>
    <mergeCell ref="C21:E21"/>
    <mergeCell ref="D31:E31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6">
    <dataValidation type="list" sqref="E7:E9" xr:uid="{00000000-0002-0000-0000-000000000000}">
      <formula1>"EVET,HAYIR-İstisna Yok"</formula1>
    </dataValidation>
    <dataValidation type="list" sqref="C34 E10:E11" xr:uid="{00000000-0002-0000-0000-000003000000}">
      <formula1>"EVET,HAYIR-Risk"</formula1>
    </dataValidation>
    <dataValidation type="list" sqref="E12" xr:uid="{00000000-0002-0000-0000-000005000000}">
      <formula1>"EVET,HAYIR-KRİTİK HATA"</formula1>
    </dataValidation>
    <dataValidation type="list" sqref="E13" xr:uid="{00000000-0002-0000-0000-000006000000}">
      <formula1>"EVET,HAYIR-Eksik Belge"</formula1>
    </dataValidation>
    <dataValidation type="list" sqref="E14" xr:uid="{00000000-0002-0000-0000-000007000000}">
      <formula1>"EVET,Tam Tasdik"</formula1>
    </dataValidation>
    <dataValidation type="list" sqref="C32" xr:uid="{00000000-0002-0000-0000-000008000000}">
      <formula1>"TL Mevduat (KKM),TL Katılım Hesabı (KKM)"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27" t="s">
        <v>110</v>
      </c>
      <c r="B1" s="75"/>
      <c r="C1" s="75"/>
      <c r="D1" s="75"/>
      <c r="E1" s="75"/>
      <c r="F1" s="75"/>
      <c r="G1" s="75"/>
    </row>
    <row r="2" spans="1:7" ht="20.05" customHeight="1" x14ac:dyDescent="0.55000000000000004">
      <c r="A2" s="110" t="s">
        <v>111</v>
      </c>
      <c r="B2" s="111"/>
      <c r="C2" s="111"/>
      <c r="D2" s="111"/>
      <c r="E2" s="111"/>
      <c r="F2" s="111"/>
      <c r="G2" s="111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5" t="s">
        <v>112</v>
      </c>
      <c r="B4" s="116"/>
      <c r="C4" s="116"/>
      <c r="D4" s="116"/>
      <c r="E4" s="116"/>
      <c r="F4" s="116"/>
      <c r="G4" s="116"/>
    </row>
    <row r="5" spans="1:7" ht="22" customHeight="1" x14ac:dyDescent="0.55000000000000004">
      <c r="A5" s="123" t="s">
        <v>113</v>
      </c>
      <c r="B5" s="77"/>
      <c r="C5" s="77"/>
      <c r="D5" s="25" t="str">
        <f>'VERİ GİRİŞİ'!E15</f>
        <v>OK - Hesaplanabilir</v>
      </c>
      <c r="E5" s="92" t="s">
        <v>114</v>
      </c>
      <c r="F5" s="77"/>
      <c r="G5" s="77"/>
    </row>
    <row r="6" spans="1:7" ht="22" customHeight="1" x14ac:dyDescent="0.55000000000000004">
      <c r="A6" s="124" t="s">
        <v>115</v>
      </c>
      <c r="B6" s="86"/>
      <c r="C6" s="86"/>
      <c r="D6" s="25" t="str">
        <f>'VERİ GİRİŞİ'!C32</f>
        <v>TL Mevduat (KKM)</v>
      </c>
      <c r="E6" s="95" t="s">
        <v>116</v>
      </c>
      <c r="F6" s="86"/>
      <c r="G6" s="86"/>
    </row>
    <row r="7" spans="1:7" ht="22" customHeight="1" x14ac:dyDescent="0.55000000000000004">
      <c r="A7" s="123" t="s">
        <v>117</v>
      </c>
      <c r="B7" s="77"/>
      <c r="C7" s="77"/>
      <c r="D7" s="25" t="str">
        <f>'VERİ GİRİŞİ'!C34</f>
        <v>EVET</v>
      </c>
      <c r="E7" s="92" t="s">
        <v>118</v>
      </c>
      <c r="F7" s="77"/>
      <c r="G7" s="77"/>
    </row>
    <row r="8" spans="1:7" ht="22" customHeight="1" x14ac:dyDescent="0.55000000000000004">
      <c r="A8" s="124" t="s">
        <v>119</v>
      </c>
      <c r="B8" s="86"/>
      <c r="C8" s="86"/>
      <c r="D8" s="25">
        <f>'VERİ GİRİŞİ'!C52</f>
        <v>0</v>
      </c>
      <c r="E8" s="95" t="s">
        <v>120</v>
      </c>
      <c r="F8" s="86"/>
      <c r="G8" s="86"/>
    </row>
    <row r="9" spans="1:7" ht="22" customHeight="1" x14ac:dyDescent="0.55000000000000004">
      <c r="A9" s="123" t="s">
        <v>121</v>
      </c>
      <c r="B9" s="77"/>
      <c r="C9" s="77"/>
      <c r="D9" s="25">
        <f>'VERİ GİRİŞİ'!C53</f>
        <v>0</v>
      </c>
      <c r="E9" s="92" t="s">
        <v>122</v>
      </c>
      <c r="F9" s="77"/>
      <c r="G9" s="77"/>
    </row>
    <row r="10" spans="1:7" ht="22" customHeight="1" x14ac:dyDescent="0.55000000000000004">
      <c r="A10" s="87" t="s">
        <v>123</v>
      </c>
      <c r="B10" s="82"/>
      <c r="C10" s="82"/>
      <c r="D10" s="26">
        <f>'VERİ GİRİŞİ'!C54</f>
        <v>0</v>
      </c>
      <c r="E10" s="96"/>
      <c r="F10" s="82"/>
      <c r="G10" s="82"/>
    </row>
    <row r="11" spans="1:7" ht="22" customHeight="1" x14ac:dyDescent="0.55000000000000004">
      <c r="A11" s="130" t="s">
        <v>124</v>
      </c>
      <c r="B11" s="122"/>
      <c r="C11" s="122"/>
      <c r="D11" s="27" t="s">
        <v>125</v>
      </c>
      <c r="E11" s="121" t="s">
        <v>126</v>
      </c>
      <c r="F11" s="122"/>
      <c r="G11" s="122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74" t="s">
        <v>127</v>
      </c>
      <c r="B13" s="75"/>
      <c r="C13" s="75"/>
      <c r="D13" s="75"/>
      <c r="E13" s="75"/>
      <c r="F13" s="75"/>
      <c r="G13" s="75"/>
    </row>
    <row r="14" spans="1:7" ht="18" customHeight="1" x14ac:dyDescent="0.55000000000000004">
      <c r="A14" s="11" t="s">
        <v>68</v>
      </c>
      <c r="B14" s="11" t="s">
        <v>69</v>
      </c>
      <c r="C14" s="11" t="s">
        <v>128</v>
      </c>
      <c r="D14" s="11" t="s">
        <v>129</v>
      </c>
      <c r="E14" s="11" t="s">
        <v>130</v>
      </c>
      <c r="F14" s="11" t="s">
        <v>131</v>
      </c>
      <c r="G14" s="11" t="s">
        <v>74</v>
      </c>
    </row>
    <row r="15" spans="1:7" ht="24" customHeight="1" x14ac:dyDescent="0.55000000000000004">
      <c r="A15" s="12" t="s">
        <v>75</v>
      </c>
      <c r="B15" s="28">
        <f>'VERİ GİRİŞİ'!B39</f>
        <v>0</v>
      </c>
      <c r="C15" s="29">
        <f>'VERİ GİRİŞİ'!C39</f>
        <v>0</v>
      </c>
      <c r="D15" s="30">
        <f>'VERİ GİRİŞİ'!D39</f>
        <v>0</v>
      </c>
      <c r="E15" s="29">
        <f>'VERİ GİRİŞİ'!E39</f>
        <v>0</v>
      </c>
      <c r="F15" s="30">
        <f>'VERİ GİRİŞİ'!F39</f>
        <v>0</v>
      </c>
      <c r="G15" s="31">
        <f>'VERİ GİRİŞİ'!G39</f>
        <v>0</v>
      </c>
    </row>
    <row r="16" spans="1:7" ht="24" customHeight="1" x14ac:dyDescent="0.55000000000000004">
      <c r="A16" s="17" t="s">
        <v>76</v>
      </c>
      <c r="B16" s="32">
        <f>'VERİ GİRİŞİ'!B40</f>
        <v>0</v>
      </c>
      <c r="C16" s="33">
        <f>'VERİ GİRİŞİ'!C40</f>
        <v>0</v>
      </c>
      <c r="D16" s="34">
        <f>'VERİ GİRİŞİ'!D40</f>
        <v>0</v>
      </c>
      <c r="E16" s="33">
        <f>'VERİ GİRİŞİ'!E40</f>
        <v>0</v>
      </c>
      <c r="F16" s="34">
        <f>'VERİ GİRİŞİ'!F40</f>
        <v>0</v>
      </c>
      <c r="G16" s="31">
        <f>'VERİ GİRİŞİ'!G40</f>
        <v>0</v>
      </c>
    </row>
    <row r="17" spans="1:7" ht="24" customHeight="1" x14ac:dyDescent="0.55000000000000004">
      <c r="A17" s="12" t="s">
        <v>77</v>
      </c>
      <c r="B17" s="28">
        <f>'VERİ GİRİŞİ'!B41</f>
        <v>0</v>
      </c>
      <c r="C17" s="29">
        <f>'VERİ GİRİŞİ'!C41</f>
        <v>0</v>
      </c>
      <c r="D17" s="30">
        <f>'VERİ GİRİŞİ'!D41</f>
        <v>0</v>
      </c>
      <c r="E17" s="29">
        <f>'VERİ GİRİŞİ'!E41</f>
        <v>0</v>
      </c>
      <c r="F17" s="30">
        <f>'VERİ GİRİŞİ'!F41</f>
        <v>0</v>
      </c>
      <c r="G17" s="31">
        <f>'VERİ GİRİŞİ'!G41</f>
        <v>0</v>
      </c>
    </row>
    <row r="18" spans="1:7" ht="24" customHeight="1" x14ac:dyDescent="0.55000000000000004">
      <c r="A18" s="17" t="s">
        <v>78</v>
      </c>
      <c r="B18" s="32">
        <f>'VERİ GİRİŞİ'!B42</f>
        <v>0</v>
      </c>
      <c r="C18" s="33">
        <f>'VERİ GİRİŞİ'!C42</f>
        <v>0</v>
      </c>
      <c r="D18" s="34">
        <f>'VERİ GİRİŞİ'!D42</f>
        <v>0</v>
      </c>
      <c r="E18" s="33">
        <f>'VERİ GİRİŞİ'!E42</f>
        <v>0</v>
      </c>
      <c r="F18" s="34">
        <f>'VERİ GİRİŞİ'!F42</f>
        <v>0</v>
      </c>
      <c r="G18" s="31">
        <f>'VERİ GİRİŞİ'!G42</f>
        <v>0</v>
      </c>
    </row>
    <row r="19" spans="1:7" ht="24" customHeight="1" x14ac:dyDescent="0.55000000000000004">
      <c r="A19" s="12" t="s">
        <v>132</v>
      </c>
      <c r="B19" s="28">
        <f>'VERİ GİRİŞİ'!B43</f>
        <v>0</v>
      </c>
      <c r="C19" s="29">
        <f>'VERİ GİRİŞİ'!C43</f>
        <v>0</v>
      </c>
      <c r="D19" s="30">
        <f>'VERİ GİRİŞİ'!D43</f>
        <v>0</v>
      </c>
      <c r="E19" s="29">
        <f>'VERİ GİRİŞİ'!E43</f>
        <v>0</v>
      </c>
      <c r="F19" s="30">
        <f>'VERİ GİRİŞİ'!F43</f>
        <v>0</v>
      </c>
      <c r="G19" s="31">
        <f>'VERİ GİRİŞİ'!G43</f>
        <v>0</v>
      </c>
    </row>
    <row r="20" spans="1:7" ht="28" customHeight="1" x14ac:dyDescent="0.55000000000000004">
      <c r="A20" s="35" t="s">
        <v>80</v>
      </c>
      <c r="B20" s="99" t="s">
        <v>133</v>
      </c>
      <c r="C20" s="100"/>
      <c r="D20" s="100"/>
      <c r="E20" s="100"/>
      <c r="F20" s="36">
        <f>'VERİ GİRİŞİ'!G44</f>
        <v>0</v>
      </c>
      <c r="G20" s="37">
        <f>'VERİ GİRİŞİ'!C54</f>
        <v>0</v>
      </c>
    </row>
    <row r="21" spans="1:7" ht="5.05" customHeight="1" x14ac:dyDescent="0.55000000000000004">
      <c r="A21" s="1"/>
      <c r="B21" s="1"/>
      <c r="C21" s="1"/>
      <c r="D21" s="1"/>
      <c r="E21" s="1"/>
      <c r="F21" s="1"/>
      <c r="G21" s="1"/>
    </row>
    <row r="22" spans="1:7" ht="22" customHeight="1" x14ac:dyDescent="0.55000000000000004">
      <c r="A22" s="74" t="s">
        <v>134</v>
      </c>
      <c r="B22" s="75"/>
      <c r="C22" s="75"/>
      <c r="D22" s="75"/>
      <c r="E22" s="75"/>
      <c r="F22" s="75"/>
      <c r="G22" s="75"/>
    </row>
    <row r="23" spans="1:7" ht="18" customHeight="1" x14ac:dyDescent="0.55000000000000004">
      <c r="A23" s="2"/>
      <c r="B23" s="2" t="s">
        <v>135</v>
      </c>
      <c r="C23" s="2"/>
      <c r="D23" s="2" t="s">
        <v>136</v>
      </c>
      <c r="E23" s="2"/>
      <c r="F23" s="2" t="s">
        <v>137</v>
      </c>
      <c r="G23" s="2"/>
    </row>
    <row r="24" spans="1:7" ht="22" customHeight="1" x14ac:dyDescent="0.55000000000000004">
      <c r="A24" s="38" t="s">
        <v>138</v>
      </c>
      <c r="B24" s="113" t="s">
        <v>139</v>
      </c>
      <c r="C24" s="107"/>
      <c r="D24" s="125" t="s">
        <v>140</v>
      </c>
      <c r="E24" s="126"/>
      <c r="F24" s="41" t="s">
        <v>141</v>
      </c>
      <c r="G24" s="5"/>
    </row>
    <row r="25" spans="1:7" ht="22" customHeight="1" x14ac:dyDescent="0.55000000000000004">
      <c r="A25" s="38" t="s">
        <v>142</v>
      </c>
      <c r="B25" s="113" t="s">
        <v>143</v>
      </c>
      <c r="C25" s="107"/>
      <c r="D25" s="125" t="s">
        <v>144</v>
      </c>
      <c r="E25" s="126"/>
      <c r="F25" s="41" t="s">
        <v>141</v>
      </c>
      <c r="G25" s="3"/>
    </row>
    <row r="26" spans="1:7" ht="22" customHeight="1" x14ac:dyDescent="0.55000000000000004">
      <c r="A26" s="38" t="s">
        <v>145</v>
      </c>
      <c r="B26" s="129" t="s">
        <v>146</v>
      </c>
      <c r="C26" s="86"/>
      <c r="D26" s="114" t="s">
        <v>147</v>
      </c>
      <c r="E26" s="86"/>
      <c r="F26" s="41" t="s">
        <v>141</v>
      </c>
      <c r="G26" s="5"/>
    </row>
    <row r="27" spans="1:7" ht="22" customHeight="1" x14ac:dyDescent="0.55000000000000004">
      <c r="A27" s="38" t="s">
        <v>148</v>
      </c>
      <c r="B27" s="113" t="s">
        <v>149</v>
      </c>
      <c r="C27" s="107"/>
      <c r="D27" s="125" t="s">
        <v>150</v>
      </c>
      <c r="E27" s="126"/>
      <c r="F27" s="41" t="s">
        <v>141</v>
      </c>
      <c r="G27" s="3"/>
    </row>
    <row r="28" spans="1:7" ht="22" customHeight="1" x14ac:dyDescent="0.55000000000000004">
      <c r="A28" s="38" t="s">
        <v>151</v>
      </c>
      <c r="B28" s="129" t="s">
        <v>152</v>
      </c>
      <c r="C28" s="86"/>
      <c r="D28" s="114" t="s">
        <v>153</v>
      </c>
      <c r="E28" s="86"/>
      <c r="F28" s="41" t="s">
        <v>141</v>
      </c>
      <c r="G28" s="5"/>
    </row>
    <row r="29" spans="1:7" ht="22" customHeight="1" x14ac:dyDescent="0.55000000000000004">
      <c r="A29" s="38" t="s">
        <v>154</v>
      </c>
      <c r="B29" s="128" t="s">
        <v>155</v>
      </c>
      <c r="C29" s="77"/>
      <c r="D29" s="131" t="s">
        <v>156</v>
      </c>
      <c r="E29" s="77"/>
      <c r="F29" s="41" t="s">
        <v>141</v>
      </c>
      <c r="G29" s="3"/>
    </row>
    <row r="30" spans="1:7" ht="22" customHeight="1" x14ac:dyDescent="0.55000000000000004">
      <c r="A30" s="38" t="s">
        <v>157</v>
      </c>
      <c r="B30" s="113" t="s">
        <v>158</v>
      </c>
      <c r="C30" s="107"/>
      <c r="D30" s="125" t="s">
        <v>159</v>
      </c>
      <c r="E30" s="126"/>
      <c r="F30" s="41" t="s">
        <v>141</v>
      </c>
      <c r="G30" s="5"/>
    </row>
    <row r="31" spans="1:7" ht="22" customHeight="1" x14ac:dyDescent="0.55000000000000004">
      <c r="A31" s="44" t="s">
        <v>160</v>
      </c>
      <c r="B31" s="117" t="s">
        <v>161</v>
      </c>
      <c r="C31" s="118"/>
      <c r="D31" s="119" t="s">
        <v>162</v>
      </c>
      <c r="E31" s="120"/>
      <c r="F31" s="41" t="s">
        <v>141</v>
      </c>
      <c r="G31" s="3"/>
    </row>
    <row r="32" spans="1:7" ht="22" customHeight="1" x14ac:dyDescent="0.55000000000000004">
      <c r="A32" s="38" t="s">
        <v>163</v>
      </c>
      <c r="B32" s="129" t="s">
        <v>164</v>
      </c>
      <c r="C32" s="86"/>
      <c r="D32" s="114" t="s">
        <v>165</v>
      </c>
      <c r="E32" s="86"/>
      <c r="F32" s="41" t="s">
        <v>141</v>
      </c>
      <c r="G32" s="5"/>
    </row>
    <row r="33" spans="1:7" ht="22" customHeight="1" x14ac:dyDescent="0.55000000000000004">
      <c r="A33" s="38" t="s">
        <v>166</v>
      </c>
      <c r="B33" s="128" t="s">
        <v>167</v>
      </c>
      <c r="C33" s="77"/>
      <c r="D33" s="131" t="s">
        <v>168</v>
      </c>
      <c r="E33" s="77"/>
      <c r="F33" s="41" t="s">
        <v>141</v>
      </c>
      <c r="G33" s="3"/>
    </row>
    <row r="34" spans="1:7" ht="22" customHeight="1" x14ac:dyDescent="0.55000000000000004">
      <c r="A34" s="38" t="s">
        <v>169</v>
      </c>
      <c r="B34" s="129" t="s">
        <v>170</v>
      </c>
      <c r="C34" s="86"/>
      <c r="D34" s="114" t="s">
        <v>171</v>
      </c>
      <c r="E34" s="86"/>
      <c r="F34" s="41" t="s">
        <v>141</v>
      </c>
      <c r="G34" s="5"/>
    </row>
    <row r="35" spans="1:7" ht="22" customHeight="1" x14ac:dyDescent="0.55000000000000004">
      <c r="A35" s="38" t="s">
        <v>172</v>
      </c>
      <c r="B35" s="128" t="s">
        <v>173</v>
      </c>
      <c r="C35" s="77"/>
      <c r="D35" s="131" t="s">
        <v>174</v>
      </c>
      <c r="E35" s="77"/>
      <c r="F35" s="41" t="s">
        <v>141</v>
      </c>
      <c r="G35" s="3"/>
    </row>
  </sheetData>
  <mergeCells count="44">
    <mergeCell ref="B35:C35"/>
    <mergeCell ref="D35:E35"/>
    <mergeCell ref="B34:C34"/>
    <mergeCell ref="B28:C28"/>
    <mergeCell ref="A9:C9"/>
    <mergeCell ref="D28:E28"/>
    <mergeCell ref="D25:E25"/>
    <mergeCell ref="B24:C24"/>
    <mergeCell ref="B30:C30"/>
    <mergeCell ref="A11:C11"/>
    <mergeCell ref="D24:E24"/>
    <mergeCell ref="D30:E30"/>
    <mergeCell ref="B33:C33"/>
    <mergeCell ref="D33:E33"/>
    <mergeCell ref="D29:E29"/>
    <mergeCell ref="B32:C32"/>
    <mergeCell ref="B26:C26"/>
    <mergeCell ref="D26:E26"/>
    <mergeCell ref="D32:E32"/>
    <mergeCell ref="E7:G7"/>
    <mergeCell ref="A10:C10"/>
    <mergeCell ref="A1:G1"/>
    <mergeCell ref="B29:C29"/>
    <mergeCell ref="E5:G5"/>
    <mergeCell ref="A6:C6"/>
    <mergeCell ref="E8:G8"/>
    <mergeCell ref="A2:G2"/>
    <mergeCell ref="A7:C7"/>
    <mergeCell ref="E10:G10"/>
    <mergeCell ref="B25:C25"/>
    <mergeCell ref="D34:E34"/>
    <mergeCell ref="A22:G22"/>
    <mergeCell ref="A4:G4"/>
    <mergeCell ref="E9:G9"/>
    <mergeCell ref="B31:C31"/>
    <mergeCell ref="B20:E20"/>
    <mergeCell ref="B27:C27"/>
    <mergeCell ref="D31:E31"/>
    <mergeCell ref="E6:G6"/>
    <mergeCell ref="A13:G13"/>
    <mergeCell ref="E11:G11"/>
    <mergeCell ref="A5:C5"/>
    <mergeCell ref="A8:C8"/>
    <mergeCell ref="D27:E27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34" t="s">
        <v>175</v>
      </c>
      <c r="B1" s="75"/>
      <c r="C1" s="75"/>
      <c r="D1" s="75"/>
      <c r="E1" s="75"/>
      <c r="F1" s="75"/>
      <c r="G1" s="75"/>
    </row>
    <row r="2" spans="1:7" ht="20.05" customHeight="1" x14ac:dyDescent="0.55000000000000004">
      <c r="A2" s="138" t="s">
        <v>176</v>
      </c>
      <c r="B2" s="111"/>
      <c r="C2" s="111"/>
      <c r="D2" s="111"/>
      <c r="E2" s="111"/>
      <c r="F2" s="111"/>
      <c r="G2" s="111"/>
    </row>
    <row r="3" spans="1:7" ht="22" customHeight="1" x14ac:dyDescent="0.55000000000000004">
      <c r="A3" s="135" t="s">
        <v>177</v>
      </c>
      <c r="B3" s="107"/>
      <c r="C3" s="107"/>
      <c r="D3" s="107"/>
      <c r="E3" s="107"/>
      <c r="F3" s="107"/>
      <c r="G3" s="107"/>
    </row>
    <row r="4" spans="1:7" ht="26.05" customHeight="1" x14ac:dyDescent="0.55000000000000004">
      <c r="A4" s="74" t="s">
        <v>178</v>
      </c>
      <c r="B4" s="75"/>
      <c r="C4" s="75"/>
      <c r="D4" s="75"/>
      <c r="E4" s="75"/>
      <c r="F4" s="75"/>
      <c r="G4" s="75"/>
    </row>
    <row r="5" spans="1:7" ht="18" customHeight="1" x14ac:dyDescent="0.55000000000000004">
      <c r="A5" s="2"/>
      <c r="B5" s="2" t="s">
        <v>179</v>
      </c>
      <c r="C5" s="2" t="s">
        <v>180</v>
      </c>
      <c r="D5" s="2" t="s">
        <v>181</v>
      </c>
      <c r="E5" s="2" t="s">
        <v>182</v>
      </c>
      <c r="F5" s="2" t="s">
        <v>183</v>
      </c>
      <c r="G5" s="2" t="s">
        <v>184</v>
      </c>
    </row>
    <row r="6" spans="1:7" ht="26.05" customHeight="1" x14ac:dyDescent="0.55000000000000004">
      <c r="A6" s="48" t="s">
        <v>182</v>
      </c>
      <c r="B6" s="48" t="s">
        <v>185</v>
      </c>
      <c r="C6" s="48" t="s">
        <v>186</v>
      </c>
      <c r="D6" s="48" t="s">
        <v>187</v>
      </c>
      <c r="E6" s="48" t="s">
        <v>188</v>
      </c>
      <c r="F6" s="48" t="s">
        <v>189</v>
      </c>
      <c r="G6" s="48" t="s">
        <v>50</v>
      </c>
    </row>
    <row r="7" spans="1:7" ht="26.05" customHeight="1" x14ac:dyDescent="0.55000000000000004">
      <c r="A7" s="49" t="s">
        <v>183</v>
      </c>
      <c r="B7" s="49" t="s">
        <v>185</v>
      </c>
      <c r="C7" s="49" t="s">
        <v>190</v>
      </c>
      <c r="D7" s="49" t="s">
        <v>191</v>
      </c>
      <c r="E7" s="49" t="s">
        <v>189</v>
      </c>
      <c r="F7" s="49" t="s">
        <v>192</v>
      </c>
      <c r="G7" s="49" t="s">
        <v>193</v>
      </c>
    </row>
    <row r="8" spans="1:7" ht="26.05" customHeight="1" x14ac:dyDescent="0.55000000000000004">
      <c r="A8" s="48" t="s">
        <v>183</v>
      </c>
      <c r="B8" s="48" t="s">
        <v>185</v>
      </c>
      <c r="C8" s="48" t="s">
        <v>194</v>
      </c>
      <c r="D8" s="48" t="s">
        <v>195</v>
      </c>
      <c r="E8" s="48" t="s">
        <v>189</v>
      </c>
      <c r="F8" s="48" t="s">
        <v>196</v>
      </c>
      <c r="G8" s="48" t="s">
        <v>197</v>
      </c>
    </row>
    <row r="9" spans="1:7" ht="22" customHeight="1" x14ac:dyDescent="0.55000000000000004">
      <c r="A9" s="136" t="s">
        <v>198</v>
      </c>
      <c r="B9" s="86"/>
      <c r="C9" s="86"/>
      <c r="D9" s="86"/>
      <c r="E9" s="86"/>
      <c r="F9" s="86"/>
      <c r="G9" s="86"/>
    </row>
    <row r="10" spans="1:7" ht="26.05" customHeight="1" x14ac:dyDescent="0.55000000000000004">
      <c r="A10" s="74" t="s">
        <v>199</v>
      </c>
      <c r="B10" s="75"/>
      <c r="C10" s="75"/>
      <c r="D10" s="75"/>
      <c r="E10" s="75"/>
      <c r="F10" s="75"/>
      <c r="G10" s="75"/>
    </row>
    <row r="11" spans="1:7" ht="28" customHeight="1" x14ac:dyDescent="0.55000000000000004">
      <c r="A11" s="136" t="s">
        <v>200</v>
      </c>
      <c r="B11" s="86"/>
      <c r="C11" s="86"/>
      <c r="D11" s="86"/>
      <c r="E11" s="86"/>
      <c r="F11" s="86"/>
      <c r="G11" s="86"/>
    </row>
    <row r="12" spans="1:7" ht="54" customHeight="1" x14ac:dyDescent="0.55000000000000004">
      <c r="A12" s="137" t="s">
        <v>201</v>
      </c>
      <c r="B12" s="91"/>
      <c r="C12" s="91"/>
      <c r="D12" s="91"/>
      <c r="E12" s="91"/>
      <c r="F12" s="91"/>
      <c r="G12" s="91"/>
    </row>
    <row r="13" spans="1:7" ht="26.05" customHeight="1" x14ac:dyDescent="0.55000000000000004">
      <c r="A13" s="132" t="s">
        <v>202</v>
      </c>
      <c r="B13" s="133"/>
      <c r="C13" s="133"/>
      <c r="D13" s="133"/>
      <c r="E13" s="133"/>
      <c r="F13" s="133"/>
      <c r="G13" s="133"/>
    </row>
    <row r="14" spans="1:7" ht="18" customHeight="1" x14ac:dyDescent="0.55000000000000004">
      <c r="A14" s="2"/>
      <c r="B14" s="2" t="s">
        <v>179</v>
      </c>
      <c r="C14" s="2" t="s">
        <v>180</v>
      </c>
      <c r="D14" s="2" t="s">
        <v>181</v>
      </c>
      <c r="E14" s="2" t="s">
        <v>182</v>
      </c>
      <c r="F14" s="2" t="s">
        <v>183</v>
      </c>
      <c r="G14" s="2" t="s">
        <v>184</v>
      </c>
    </row>
    <row r="15" spans="1:7" ht="26.05" customHeight="1" x14ac:dyDescent="0.55000000000000004">
      <c r="A15" s="48" t="s">
        <v>203</v>
      </c>
      <c r="B15" s="48" t="s">
        <v>185</v>
      </c>
      <c r="C15" s="48" t="s">
        <v>204</v>
      </c>
      <c r="D15" s="48" t="s">
        <v>205</v>
      </c>
      <c r="E15" s="48" t="s">
        <v>189</v>
      </c>
      <c r="F15" s="48" t="s">
        <v>206</v>
      </c>
      <c r="G15" s="48" t="s">
        <v>197</v>
      </c>
    </row>
    <row r="16" spans="1:7" ht="26.05" customHeight="1" x14ac:dyDescent="0.55000000000000004">
      <c r="A16" s="49" t="s">
        <v>207</v>
      </c>
      <c r="B16" s="49" t="s">
        <v>208</v>
      </c>
      <c r="C16" s="49" t="s">
        <v>209</v>
      </c>
      <c r="D16" s="49" t="s">
        <v>210</v>
      </c>
      <c r="E16" s="49" t="s">
        <v>189</v>
      </c>
      <c r="F16" s="49" t="s">
        <v>206</v>
      </c>
      <c r="G16" s="49" t="s">
        <v>211</v>
      </c>
    </row>
    <row r="17" spans="1:7" ht="28" customHeight="1" x14ac:dyDescent="0.55000000000000004">
      <c r="A17" s="135" t="s">
        <v>212</v>
      </c>
      <c r="B17" s="107"/>
      <c r="C17" s="107"/>
      <c r="D17" s="107"/>
      <c r="E17" s="107"/>
      <c r="F17" s="107"/>
      <c r="G17" s="107"/>
    </row>
  </sheetData>
  <mergeCells count="10">
    <mergeCell ref="A13:G13"/>
    <mergeCell ref="A1:G1"/>
    <mergeCell ref="A17:G17"/>
    <mergeCell ref="A9:G9"/>
    <mergeCell ref="A3:G3"/>
    <mergeCell ref="A12:G12"/>
    <mergeCell ref="A4:G4"/>
    <mergeCell ref="A2:G2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03" t="s">
        <v>213</v>
      </c>
      <c r="B1" s="75"/>
      <c r="C1" s="75"/>
      <c r="D1" s="75"/>
      <c r="E1" s="75"/>
      <c r="F1" s="75"/>
      <c r="G1" s="75"/>
    </row>
    <row r="2" spans="1:7" ht="22" customHeight="1" x14ac:dyDescent="0.55000000000000004">
      <c r="A2" s="141" t="s">
        <v>214</v>
      </c>
      <c r="B2" s="142"/>
      <c r="C2" s="142"/>
      <c r="D2" s="142"/>
      <c r="E2" s="142"/>
      <c r="F2" s="142"/>
      <c r="G2" s="142"/>
    </row>
    <row r="3" spans="1:7" ht="18" customHeight="1" x14ac:dyDescent="0.55000000000000004">
      <c r="A3" s="2" t="s">
        <v>215</v>
      </c>
      <c r="B3" s="2" t="s">
        <v>216</v>
      </c>
      <c r="C3" s="2" t="s">
        <v>217</v>
      </c>
      <c r="D3" s="2" t="s">
        <v>218</v>
      </c>
    </row>
    <row r="4" spans="1:7" ht="88" customHeight="1" x14ac:dyDescent="0.55000000000000004">
      <c r="A4" s="38" t="s">
        <v>219</v>
      </c>
      <c r="B4" s="42" t="s">
        <v>220</v>
      </c>
      <c r="C4" s="50" t="s">
        <v>221</v>
      </c>
      <c r="D4" s="51" t="s">
        <v>222</v>
      </c>
    </row>
    <row r="5" spans="1:7" ht="80.05" customHeight="1" x14ac:dyDescent="0.55000000000000004">
      <c r="A5" s="38" t="s">
        <v>223</v>
      </c>
      <c r="B5" s="43" t="s">
        <v>224</v>
      </c>
      <c r="C5" s="50" t="s">
        <v>225</v>
      </c>
      <c r="D5" s="52" t="s">
        <v>226</v>
      </c>
    </row>
    <row r="6" spans="1:7" ht="80.05" customHeight="1" x14ac:dyDescent="0.55000000000000004">
      <c r="A6" s="44" t="s">
        <v>227</v>
      </c>
      <c r="B6" s="39" t="s">
        <v>228</v>
      </c>
      <c r="C6" s="40" t="s">
        <v>229</v>
      </c>
      <c r="D6" s="53" t="s">
        <v>230</v>
      </c>
    </row>
    <row r="7" spans="1:7" ht="80.05" customHeight="1" x14ac:dyDescent="0.55000000000000004">
      <c r="A7" s="38" t="s">
        <v>231</v>
      </c>
      <c r="B7" s="42" t="s">
        <v>232</v>
      </c>
      <c r="C7" s="50" t="s">
        <v>233</v>
      </c>
      <c r="D7" s="51" t="s">
        <v>234</v>
      </c>
    </row>
    <row r="8" spans="1:7" ht="80.05" customHeight="1" x14ac:dyDescent="0.55000000000000004">
      <c r="A8" s="38" t="s">
        <v>235</v>
      </c>
      <c r="B8" s="43" t="s">
        <v>236</v>
      </c>
      <c r="C8" s="50" t="s">
        <v>237</v>
      </c>
      <c r="D8" s="52" t="s">
        <v>238</v>
      </c>
    </row>
    <row r="9" spans="1:7" ht="44.05" customHeight="1" x14ac:dyDescent="0.55000000000000004">
      <c r="A9" s="139" t="s">
        <v>239</v>
      </c>
      <c r="B9" s="140"/>
      <c r="C9" s="140"/>
      <c r="D9" s="140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49" t="s">
        <v>240</v>
      </c>
      <c r="B1" s="150"/>
      <c r="C1" s="150"/>
      <c r="D1" s="150"/>
      <c r="E1" s="150"/>
      <c r="F1" s="150"/>
    </row>
    <row r="2" spans="1:6" ht="22" customHeight="1" x14ac:dyDescent="0.55000000000000004">
      <c r="A2" s="143" t="s">
        <v>241</v>
      </c>
      <c r="B2" s="144"/>
      <c r="C2" s="144"/>
      <c r="D2" s="144"/>
      <c r="E2" s="144"/>
      <c r="F2" s="144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51" t="s">
        <v>242</v>
      </c>
      <c r="B4" s="152"/>
      <c r="C4" s="152"/>
      <c r="D4" s="152"/>
      <c r="E4" s="152"/>
      <c r="F4" s="152"/>
    </row>
    <row r="5" spans="1:6" ht="18" customHeight="1" x14ac:dyDescent="0.55000000000000004">
      <c r="A5" s="2"/>
      <c r="B5" s="2" t="s">
        <v>243</v>
      </c>
      <c r="C5" s="2" t="s">
        <v>244</v>
      </c>
      <c r="D5" s="2" t="s">
        <v>245</v>
      </c>
      <c r="E5" s="2" t="s">
        <v>246</v>
      </c>
      <c r="F5" s="2"/>
    </row>
    <row r="6" spans="1:6" ht="44.05" customHeight="1" x14ac:dyDescent="0.55000000000000004">
      <c r="A6" s="6"/>
      <c r="B6" s="54" t="s">
        <v>247</v>
      </c>
      <c r="C6" s="55" t="s">
        <v>248</v>
      </c>
      <c r="D6" s="56" t="s">
        <v>249</v>
      </c>
      <c r="E6" s="57" t="s">
        <v>250</v>
      </c>
      <c r="F6" s="6"/>
    </row>
    <row r="7" spans="1:6" ht="44.05" customHeight="1" x14ac:dyDescent="0.55000000000000004">
      <c r="A7" s="6"/>
      <c r="B7" s="54" t="s">
        <v>251</v>
      </c>
      <c r="C7" s="55" t="s">
        <v>252</v>
      </c>
      <c r="D7" s="56" t="s">
        <v>253</v>
      </c>
      <c r="E7" s="57" t="s">
        <v>254</v>
      </c>
      <c r="F7" s="6"/>
    </row>
    <row r="8" spans="1:6" ht="44.05" customHeight="1" x14ac:dyDescent="0.55000000000000004">
      <c r="A8" s="6"/>
      <c r="B8" s="54" t="s">
        <v>255</v>
      </c>
      <c r="C8" s="55" t="s">
        <v>256</v>
      </c>
      <c r="D8" s="56" t="s">
        <v>257</v>
      </c>
      <c r="E8" s="57" t="s">
        <v>258</v>
      </c>
      <c r="F8" s="6"/>
    </row>
    <row r="9" spans="1:6" ht="40" customHeight="1" x14ac:dyDescent="0.55000000000000004">
      <c r="A9" s="6"/>
      <c r="B9" s="54" t="s">
        <v>259</v>
      </c>
      <c r="C9" s="55" t="s">
        <v>260</v>
      </c>
      <c r="D9" s="56" t="s">
        <v>261</v>
      </c>
      <c r="E9" s="57" t="s">
        <v>262</v>
      </c>
      <c r="F9" s="6"/>
    </row>
    <row r="10" spans="1:6" ht="40" customHeight="1" x14ac:dyDescent="0.55000000000000004">
      <c r="A10" s="6"/>
      <c r="B10" s="54" t="s">
        <v>263</v>
      </c>
      <c r="C10" s="55" t="s">
        <v>264</v>
      </c>
      <c r="D10" s="56" t="s">
        <v>265</v>
      </c>
      <c r="E10" s="57" t="s">
        <v>266</v>
      </c>
      <c r="F10" s="6"/>
    </row>
    <row r="11" spans="1:6" ht="40" customHeight="1" x14ac:dyDescent="0.55000000000000004">
      <c r="A11" s="6"/>
      <c r="B11" s="54" t="s">
        <v>267</v>
      </c>
      <c r="C11" s="55" t="s">
        <v>268</v>
      </c>
      <c r="D11" s="56" t="s">
        <v>269</v>
      </c>
      <c r="E11" s="57" t="s">
        <v>270</v>
      </c>
      <c r="F11" s="6"/>
    </row>
    <row r="12" spans="1:6" ht="5.05" customHeight="1" x14ac:dyDescent="0.55000000000000004">
      <c r="A12" s="1"/>
      <c r="B12" s="1"/>
      <c r="C12" s="1"/>
      <c r="D12" s="1"/>
      <c r="E12" s="1"/>
      <c r="F12" s="1"/>
    </row>
    <row r="13" spans="1:6" ht="36" customHeight="1" x14ac:dyDescent="0.55000000000000004">
      <c r="A13" s="145" t="s">
        <v>271</v>
      </c>
      <c r="B13" s="146"/>
      <c r="C13" s="146"/>
      <c r="D13" s="146"/>
      <c r="E13" s="146"/>
      <c r="F13" s="146"/>
    </row>
    <row r="14" spans="1:6" ht="18" customHeight="1" x14ac:dyDescent="0.55000000000000004">
      <c r="A14" s="2"/>
      <c r="B14" s="2" t="s">
        <v>243</v>
      </c>
      <c r="C14" s="2" t="s">
        <v>244</v>
      </c>
      <c r="D14" s="2" t="s">
        <v>245</v>
      </c>
      <c r="E14" s="2" t="s">
        <v>246</v>
      </c>
      <c r="F14" s="2"/>
    </row>
    <row r="15" spans="1:6" ht="40" customHeight="1" x14ac:dyDescent="0.55000000000000004">
      <c r="A15" s="58"/>
      <c r="B15" s="59" t="s">
        <v>272</v>
      </c>
      <c r="C15" s="60" t="s">
        <v>273</v>
      </c>
      <c r="D15" s="61" t="s">
        <v>274</v>
      </c>
      <c r="E15" s="62" t="s">
        <v>275</v>
      </c>
      <c r="F15" s="58"/>
    </row>
    <row r="16" spans="1:6" ht="36" customHeight="1" x14ac:dyDescent="0.55000000000000004">
      <c r="A16" s="58"/>
      <c r="B16" s="59" t="s">
        <v>276</v>
      </c>
      <c r="C16" s="60" t="s">
        <v>277</v>
      </c>
      <c r="D16" s="61" t="s">
        <v>278</v>
      </c>
      <c r="E16" s="62" t="s">
        <v>279</v>
      </c>
      <c r="F16" s="58"/>
    </row>
    <row r="17" spans="1:6" ht="36" customHeight="1" x14ac:dyDescent="0.55000000000000004">
      <c r="A17" s="58"/>
      <c r="B17" s="59" t="s">
        <v>280</v>
      </c>
      <c r="C17" s="60" t="s">
        <v>281</v>
      </c>
      <c r="D17" s="61" t="s">
        <v>282</v>
      </c>
      <c r="E17" s="62" t="s">
        <v>283</v>
      </c>
      <c r="F17" s="58"/>
    </row>
    <row r="18" spans="1:6" ht="5.05" customHeight="1" x14ac:dyDescent="0.55000000000000004">
      <c r="A18" s="1"/>
      <c r="B18" s="1"/>
      <c r="C18" s="1"/>
      <c r="D18" s="1"/>
      <c r="E18" s="1"/>
      <c r="F18" s="1"/>
    </row>
    <row r="19" spans="1:6" ht="36" customHeight="1" x14ac:dyDescent="0.55000000000000004">
      <c r="A19" s="147" t="s">
        <v>284</v>
      </c>
      <c r="B19" s="148"/>
      <c r="C19" s="148"/>
      <c r="D19" s="148"/>
      <c r="E19" s="148"/>
      <c r="F19" s="148"/>
    </row>
    <row r="20" spans="1:6" ht="18" customHeight="1" x14ac:dyDescent="0.55000000000000004">
      <c r="A20" s="63"/>
      <c r="B20" s="63" t="s">
        <v>243</v>
      </c>
      <c r="C20" s="63" t="s">
        <v>4</v>
      </c>
      <c r="D20" s="63" t="s">
        <v>285</v>
      </c>
      <c r="E20" s="63" t="s">
        <v>286</v>
      </c>
      <c r="F20" s="63"/>
    </row>
    <row r="21" spans="1:6" ht="40" customHeight="1" x14ac:dyDescent="0.55000000000000004">
      <c r="A21" s="47"/>
      <c r="B21" s="64" t="s">
        <v>287</v>
      </c>
      <c r="C21" s="65" t="s">
        <v>288</v>
      </c>
      <c r="D21" s="66" t="s">
        <v>289</v>
      </c>
      <c r="E21" s="67" t="s">
        <v>290</v>
      </c>
      <c r="F21" s="47"/>
    </row>
    <row r="22" spans="1:6" ht="40" customHeight="1" x14ac:dyDescent="0.55000000000000004">
      <c r="A22" s="47"/>
      <c r="B22" s="64" t="s">
        <v>291</v>
      </c>
      <c r="C22" s="65" t="s">
        <v>292</v>
      </c>
      <c r="D22" s="66" t="s">
        <v>293</v>
      </c>
      <c r="E22" s="67" t="s">
        <v>290</v>
      </c>
      <c r="F22" s="47"/>
    </row>
    <row r="23" spans="1:6" ht="40" customHeight="1" x14ac:dyDescent="0.55000000000000004">
      <c r="A23" s="58"/>
      <c r="B23" s="68" t="s">
        <v>294</v>
      </c>
      <c r="C23" s="69" t="s">
        <v>295</v>
      </c>
      <c r="D23" s="61" t="s">
        <v>296</v>
      </c>
      <c r="E23" s="70" t="s">
        <v>290</v>
      </c>
      <c r="F23" s="58"/>
    </row>
    <row r="24" spans="1:6" ht="40" customHeight="1" x14ac:dyDescent="0.55000000000000004">
      <c r="A24" s="47"/>
      <c r="B24" s="64" t="s">
        <v>297</v>
      </c>
      <c r="C24" s="65" t="s">
        <v>298</v>
      </c>
      <c r="D24" s="66" t="s">
        <v>299</v>
      </c>
      <c r="E24" s="67" t="s">
        <v>290</v>
      </c>
      <c r="F24" s="47"/>
    </row>
    <row r="25" spans="1:6" ht="40" customHeight="1" x14ac:dyDescent="0.55000000000000004">
      <c r="A25" s="58"/>
      <c r="B25" s="68" t="s">
        <v>300</v>
      </c>
      <c r="C25" s="69" t="s">
        <v>301</v>
      </c>
      <c r="D25" s="61" t="s">
        <v>302</v>
      </c>
      <c r="E25" s="70" t="s">
        <v>290</v>
      </c>
      <c r="F25" s="58"/>
    </row>
    <row r="26" spans="1:6" ht="40" customHeight="1" x14ac:dyDescent="0.55000000000000004">
      <c r="A26" s="47"/>
      <c r="B26" s="64" t="s">
        <v>303</v>
      </c>
      <c r="C26" s="65" t="s">
        <v>304</v>
      </c>
      <c r="D26" s="66" t="s">
        <v>305</v>
      </c>
      <c r="E26" s="67" t="s">
        <v>290</v>
      </c>
      <c r="F26" s="47"/>
    </row>
    <row r="27" spans="1:6" ht="40" customHeight="1" x14ac:dyDescent="0.55000000000000004">
      <c r="A27" s="46"/>
      <c r="B27" s="71" t="s">
        <v>306</v>
      </c>
      <c r="C27" s="45" t="s">
        <v>161</v>
      </c>
      <c r="D27" s="72" t="s">
        <v>307</v>
      </c>
      <c r="E27" s="73" t="s">
        <v>290</v>
      </c>
      <c r="F27" s="46"/>
    </row>
    <row r="28" spans="1:6" ht="40" customHeight="1" x14ac:dyDescent="0.55000000000000004">
      <c r="A28" s="58"/>
      <c r="B28" s="68" t="s">
        <v>308</v>
      </c>
      <c r="C28" s="69" t="s">
        <v>309</v>
      </c>
      <c r="D28" s="61" t="s">
        <v>310</v>
      </c>
      <c r="E28" s="70" t="s">
        <v>290</v>
      </c>
      <c r="F28" s="58"/>
    </row>
    <row r="29" spans="1:6" ht="40" customHeight="1" x14ac:dyDescent="0.55000000000000004">
      <c r="A29" s="58"/>
      <c r="B29" s="68" t="s">
        <v>311</v>
      </c>
      <c r="C29" s="69" t="s">
        <v>173</v>
      </c>
      <c r="D29" s="61" t="s">
        <v>312</v>
      </c>
      <c r="E29" s="70" t="s">
        <v>290</v>
      </c>
      <c r="F29" s="58"/>
    </row>
    <row r="30" spans="1:6" ht="5.05" customHeight="1" x14ac:dyDescent="0.55000000000000004">
      <c r="A30" s="1"/>
      <c r="B30" s="1"/>
      <c r="C30" s="1"/>
      <c r="D30" s="1"/>
      <c r="E30" s="1"/>
      <c r="F30" s="1"/>
    </row>
    <row r="31" spans="1:6" ht="52" customHeight="1" x14ac:dyDescent="0.55000000000000004">
      <c r="A31" s="139" t="s">
        <v>313</v>
      </c>
      <c r="B31" s="140"/>
      <c r="C31" s="140"/>
      <c r="D31" s="140"/>
      <c r="E31" s="140"/>
      <c r="F31" s="140"/>
    </row>
  </sheetData>
  <mergeCells count="6">
    <mergeCell ref="A2:F2"/>
    <mergeCell ref="A13:F13"/>
    <mergeCell ref="A19:F19"/>
    <mergeCell ref="A1:F1"/>
    <mergeCell ref="A31:F3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2026-04-05T11:22:26Z</dcterms:created>
  <dcterms:modified xsi:type="dcterms:W3CDTF">2026-04-05T11:27:36Z</dcterms:modified>
</cp:coreProperties>
</file>