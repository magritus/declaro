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son standart/"/>
    </mc:Choice>
  </mc:AlternateContent>
  <xr:revisionPtr revIDLastSave="0" documentId="8_{80C524E0-490F-48C1-9C84-D064D61661EC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2" i="1" l="1"/>
  <c r="C53" i="1"/>
  <c r="D7" i="2" s="1"/>
  <c r="C45" i="1"/>
  <c r="D8" i="2" s="1"/>
  <c r="C63" i="1"/>
  <c r="D12" i="2" s="1"/>
  <c r="D14" i="2"/>
  <c r="D13" i="2"/>
  <c r="D11" i="2"/>
  <c r="C45" i="2"/>
  <c r="F66" i="1"/>
  <c r="D9" i="2"/>
  <c r="D6" i="2"/>
  <c r="C60" i="1"/>
  <c r="C52" i="1"/>
  <c r="C44" i="1"/>
  <c r="C41" i="1"/>
  <c r="D35" i="1"/>
  <c r="D10" i="2" s="1"/>
  <c r="E16" i="1"/>
  <c r="D5" i="2" s="1"/>
</calcChain>
</file>

<file path=xl/sharedStrings.xml><?xml version="1.0" encoding="utf-8"?>
<sst xmlns="http://schemas.openxmlformats.org/spreadsheetml/2006/main" count="471" uniqueCount="377">
  <si>
    <t>317 – YURT DIŞI İŞTİRAK KÂR PAYI | %100 TAM İSTİSNA | KVK Md.5/1-b | YMM TASDİK ÇALIŞMA KÂĞIDI</t>
  </si>
  <si>
    <t>KVK Md.5/1-b | 4 Şartın TAMAMININ Sağlanması | %100 Tam İstisna | Zarar Olsa Dahi İndirilecek — Beyanname Satır 317 | YİAKV'den DÜŞÜLEMEZ</t>
  </si>
  <si>
    <t xml:space="preserve">  4 KÜMÜLATİF ŞART: ① Sermaye payı ≥%10 (kesintisiz) | ② 1 Yıl Kesintisiz Elde Tutma | ③ Yurt Dışı Kurumun Vergi Yükü ≥%15 (Finans/Sigortacılık/MK→%25) | ④ Kazancın TAMAMININ KV Beyanname Süresine Kadar Transferi. BİR ŞAR T EKSİK → 317 KULLANILAMAZ (387 değerlendirin).</t>
  </si>
  <si>
    <t xml:space="preserve">  317 vs 387: 317 şartları sağlanıyorsa 317 tercih edilmelidir (%100 tam istisna avantajı). 387 (%50 kısmi) yalnızca 317 şartlarından biri sağlanamadığında devreye girer.</t>
  </si>
  <si>
    <t>A0. KAPSAM VE NİTELİK UYGUNLUK ÖN KONTROLÜ</t>
  </si>
  <si>
    <t>Kontrol Sorusu</t>
  </si>
  <si>
    <t>Yanıt</t>
  </si>
  <si>
    <t>YMM Tasdik Notu</t>
  </si>
  <si>
    <t>A0.1  Yurt dışı iştirak AŞ/Ltd niteliğinde ve kanuni + iş merkezi yurt dışında mı?</t>
  </si>
  <si>
    <t>EVET</t>
  </si>
  <si>
    <t>Kazancı elde eden yurt dışı kurumun AŞ veya Ltd hukuki yapısında olması zorunludur. Kanuni VE iş merkezinin IKISININ de Türkiye dışında bulunması gerekir. Apostilli tescil belgesi zorunludur.</t>
  </si>
  <si>
    <t>A0.2  ★ Sermaye payı elde etme tarihi itibarıyla ≥%10 mi? Kesintisiz mi?</t>
  </si>
  <si>
    <t>KRİTİK: Kazancın elde edildiği tarih itibarıyla ≥%10 olmalıdır. Kesintisiz 1 yılın herhangi bir anında %10'un altına düşülmüşse şart sağlanmamış. Ortaklık belgesi + tarihe göre pay oranı teyidi zorunludur.</t>
  </si>
  <si>
    <t>A0.3  ★ 1 Yıl Kesintisiz Elde Tutma şartı sağlandı mı?</t>
  </si>
  <si>
    <t>KRİTİK: Kazancın elde edildiği tarihten geriye doğru kesintisiz 1 yıl elde tutulmuş olmalı. 1 günlük bile kesinti → Şart sağlanmamış. Devir/bölünmede kaynak kurum süresi hesaba katılabilir.</t>
  </si>
  <si>
    <t>A0.4  ★ Vergi Yükü ≥%15 mi? (Finans/Sigortacılık/MK yatırımında ≥%25)</t>
  </si>
  <si>
    <t>KRİTİK: Yurt dışı iştirakin fiilen ödediği toplam gelir/kurumlar vergisi / Ticari kâr. Düşük vergili ülkelerde bu şart sağlanamayabilir → 387 değerlendirin. Finans/sigortacılık/MK yatırım ortaklığı faaliyeti: Eşik %25'e yükselir.</t>
  </si>
  <si>
    <t>A0.5  ★ Kazancın TAMAMININ KV Beyanname Süresine Kadar Transferi yapıldı mı?</t>
  </si>
  <si>
    <t>KRİTİK: Kazancın TAMAMININ transferi zorunludur. Kısmi transfer → İstisna hakkı TAMAMEN kaybolur. Normal hesap dönemi: 30 Nisan. Geçici vergi: İlgili dönem beyanname tarihi.</t>
  </si>
  <si>
    <t>A0.6  İstisna hesabı BRÜT tutar üzerinden mi? Kur tarihi doğru mu?</t>
  </si>
  <si>
    <t>317 istisnası = Brüt kâr payı (TL) × %100. Stopaj sonrası net tutar değil — brüt tutar esas alınır. Kur: Kâr payının elde edildiği tarihteki TCMB döviz alış kuru.</t>
  </si>
  <si>
    <t>A0.7  ★ YİAKV matrahından 317 DÜŞÜLMEYECEĞI teyit edildi mi?</t>
  </si>
  <si>
    <t>KRİTİK: KVK 5/1-b (317) istisnası YİAKV (KVK 32/C) matrahından DÜŞÜLEMEZ. Yurt dışı kaynaklı gelir olduğu için YİAKV hesabından çıkarılamaz. YİAKV çalışma kâğıdında 317 tutarı matrahtan çıkarılmamalıdır.</t>
  </si>
  <si>
    <t>A0.8  YMM Tasdik Raporu gereksinimi değerlendirildi mi? (49 No.lu Tebliğ)</t>
  </si>
  <si>
    <t>49 No.lu Tebliğ (30.12.2025): Tek satır &gt;=500.000 TL veya toplam &gt;=1.000.000 TL → YMM raporu. Tam tasdik sözleşmesi olanlar ayrıca rapor düzenlemez.</t>
  </si>
  <si>
    <t>A0.9  Tasdik Uygunluk Sonucu (A0.1-A0.8 tümü)</t>
  </si>
  <si>
    <t>★ A0.2-A0.5 (4 şartin tümü) ve A0.7 (YİAKV) kritik.</t>
  </si>
  <si>
    <t>A. GENEL BİLGİLER VE İŞLEM KİMLİĞİ</t>
  </si>
  <si>
    <t>Kurumun Unvanı</t>
  </si>
  <si>
    <t>İstisna uygulayan kurumun tam adı</t>
  </si>
  <si>
    <t>Vergi Kimlik Numarası</t>
  </si>
  <si>
    <t>10 haneli VKN</t>
  </si>
  <si>
    <t>Yurt Dışı İştirakin Unvanı</t>
  </si>
  <si>
    <t>Kanuni + iş merkezi yurt dışı AŞ/Ltd</t>
  </si>
  <si>
    <t>İştirakin Bulunduğu Ülke</t>
  </si>
  <si>
    <t>Ülke adı — ÇVÖA varlığı ve vergi yükü için</t>
  </si>
  <si>
    <t>Kâr Payı Elde Etme Tarihi</t>
  </si>
  <si>
    <t>GG.AA.YYYY — 4 şartın tümü bu tarihe göre</t>
  </si>
  <si>
    <t>Transfer Tarihi</t>
  </si>
  <si>
    <t>GG.AA.YYYY — 30 Nisan veya geçici vergi dönemine kadar</t>
  </si>
  <si>
    <t>Hesap Dönemi</t>
  </si>
  <si>
    <t>Örn: 01.01.2025 – 31.12.2025</t>
  </si>
  <si>
    <t>Genel KV Oranı (%)</t>
  </si>
  <si>
    <t>2025: %25 | Finans sektörü: %30</t>
  </si>
  <si>
    <t>B. 317 TAM İSTİSNA 4 ŞART KONTROLÜ — Hepsinin EVET Olması Zorunlu</t>
  </si>
  <si>
    <t xml:space="preserve">  4 şarttan BİRİ sağlanamaması → 317 kullanilamaz. Bu durumda ≥%50 sermaye payı varsa 387 (%50 kısmi istisna) değerlendirin. Formüllü sonuç satırı tüm şartları otomatik kontrol eder.</t>
  </si>
  <si>
    <t>Şart</t>
  </si>
  <si>
    <t>Durum</t>
  </si>
  <si>
    <t>Açıklama</t>
  </si>
  <si>
    <t>YMM Notu</t>
  </si>
  <si>
    <t>B.1  ★ ŞART 1 — Sermaye Payı ≥%10 (Kesintisiz — Kazancın Elde Edildiği Tarihte)</t>
  </si>
  <si>
    <t>Kazancın elde edildiği tarih itibarıyla kesintisiz ≥%10 olmalıdır. %9,9 → Yetersiz. Ortaklık belgesi + tarihe göre hisse oranı zorunludur.</t>
  </si>
  <si>
    <t>B.2  ★ ŞART 2 — 1 Yıl Kesintisiz Elde Tutma Şartı</t>
  </si>
  <si>
    <t>Kazancın elde edildiği tarihten geriye 1 yıl boyunca KESİNTİSİZ elde tutulmalı. Devir/bölünmede kaynak kurum süresi geçebilir. D bölümündeki tarih hesabı ile teyit edin.</t>
  </si>
  <si>
    <t>B.3  ★ ŞART 3 — Vergi Yükü ≥%15 (Finans/Sigortacılık/MK: ≥%25)</t>
  </si>
  <si>
    <t>C bölümündeki vergi yükü hesabından otomatik değerlendirin. Düşük vergili ülkelerde bu şart sağlanamayabilir → 387 değerlendirin.</t>
  </si>
  <si>
    <t>B.4  ★ ŞART 4 — Kazancın TAMAMININ KV Beyanname Süresine Kadar Transferi</t>
  </si>
  <si>
    <t>Kısmi transfer → Tüm istisna hakkı kaybolur (23 No.lu KV GT). Normal hesap dönemi: 30 Nisan. Geçici vergi: İlgili dönem beyanname tarihi. Banka SWIFT + dekont ile TAMAMİNIN transferi belgelenmelidir.</t>
  </si>
  <si>
    <t>B.5  317 SONUÇ — 4 Şartın TAMAMININ Durumu</t>
  </si>
  <si>
    <t>4 şartın tümü EVET ise 317 uygulanabilir. Eksik şart → 387 değerlendirin.</t>
  </si>
  <si>
    <t>C. VERGİ YÜKÜ HESABI — Şart 3 (≥%15 veya Finans/Sigorta/MK → ≥%25)</t>
  </si>
  <si>
    <t xml:space="preserve">  VERGİ YÜKÜ = Yurt Dışı İştirakin Fiilen Ödediği Toplam Gelir/Kurumlar Vergisi / Ticari Kâr (Vergi Öncesi Kâr) × 100. Bu hesap için iştirakten mali tablo temin edilmeli. Eşik: Genel → ≥%15 | Finansman/Sigortacılık/MK Yatırım Ortaklığı → ≥%25.</t>
  </si>
  <si>
    <t>Hesap Kalemi</t>
  </si>
  <si>
    <t>Tutar</t>
  </si>
  <si>
    <t>C.1  Yurt Dışı İştirakin Faaliyet Türü</t>
  </si>
  <si>
    <t>Genel</t>
  </si>
  <si>
    <t>Faaliyet türü seçin — vergi yükü eşiğini belirler</t>
  </si>
  <si>
    <t>Faaliyet türüne göre vergi yükü eşiği belirlenir.</t>
  </si>
  <si>
    <t>C.2  Vergi Yükü Eşiği (%)</t>
  </si>
  <si>
    <t>Otomatik: Genel → %15 | Finans/Sigortacılık/MK → %25</t>
  </si>
  <si>
    <t>C.1 seçimine göre otomatik</t>
  </si>
  <si>
    <t>C.3  Yurt Dışı İştirakin Ticari Kârı (Vergi Öncesi) — Yerel Para Birimi</t>
  </si>
  <si>
    <t>Mali tablolardan — Vergi ve istisnalar öncesi brüt kâr</t>
  </si>
  <si>
    <t>İştirakin yıllık mali tablosu</t>
  </si>
  <si>
    <t>C.4  Fiilen Ödenen Toplam Gelir/Kurumlar Vergisi — Yerel Para Birimi</t>
  </si>
  <si>
    <t>Peşin vergiler dahil fiilen ödenen toplam vergi</t>
  </si>
  <si>
    <t>İştirakin vergi beyannamesi / mali tablosu</t>
  </si>
  <si>
    <t>C.5  VERGİ YÜKÜ % = C.4 / C.3 × 100</t>
  </si>
  <si>
    <t>Hesaplanan vergi yükü oranı</t>
  </si>
  <si>
    <t>C.2 ile karşılaştırın</t>
  </si>
  <si>
    <t>C.6  Vergi Yükü Şartı Sağlandı mı? (C.5 ≥ C.2)</t>
  </si>
  <si>
    <t>Otomatik değerlendirme</t>
  </si>
  <si>
    <t>HAYIR ise 387 kısmi istisna değerlendirin</t>
  </si>
  <si>
    <t>D. ELDE TUTMA SÜRESİ — Şart 2 (1 Yıl Kesintisiz)</t>
  </si>
  <si>
    <t xml:space="preserve">  Kazancın elde edildiği tarihten geriye doğru kesintisiz 1 yıl (365 gün) elde tutulmuş olmalıdır. Devir/bölünme yoluyla edinilen hisselerde kaynak kurumdaki süre hesaba katılabilir.</t>
  </si>
  <si>
    <t>Kalem</t>
  </si>
  <si>
    <t>Değer</t>
  </si>
  <si>
    <t>D.1  İktisap Tarihi (Aktifte Kayıtlı Olduğu Tarih)</t>
  </si>
  <si>
    <t>GG.AA.YYYY</t>
  </si>
  <si>
    <t>Hisse aktife alındığı tarih. Devir/bölünmede kaynak kurum tarihi geçebilir.</t>
  </si>
  <si>
    <t>D.2  Kâr Payı Elde Etme Tarihi</t>
  </si>
  <si>
    <t>Kazancın elde edildiği tarih. 1 yıl bu tarihten geriye sayılır.</t>
  </si>
  <si>
    <t>D.3  Elde Tutma Süresi (Gün)</t>
  </si>
  <si>
    <t>Otomatik: Elde Etme − İktisap</t>
  </si>
  <si>
    <t>365 gün veya üzeri olmalıdır.</t>
  </si>
  <si>
    <t>D.4  1 Yıl Elde Tutma Şartı</t>
  </si>
  <si>
    <t>HAYIR ise 317 şartı sağlanmamış → 387 değerlendirin.</t>
  </si>
  <si>
    <t>E. İSTİSNA TUTARI HESABI (Brüt Kâr Payı × %100)</t>
  </si>
  <si>
    <t xml:space="preserve">  317 istisnası = BRÜT kâr payı (TL) × %100 = Kazancın TAMAMI istisnadır. Stopaj/withholding tax sonrası net tutar değil — brüt tutar esas alınır. KUR: Kâr payının fiilen elde edildiği tarihteki TCMB döviz alış kuru.</t>
  </si>
  <si>
    <t>E.1  Brüt Kâr Payı (Yabancı Para Birimi)</t>
  </si>
  <si>
    <t>Dağıtım kararındaki stopaj öncesi brüt tutar</t>
  </si>
  <si>
    <t>Yurt dışı iştirak kâr dağıtım kararından</t>
  </si>
  <si>
    <t>E.2  Elde Etme Tarihi TCMB Alış Kuru</t>
  </si>
  <si>
    <t>Kâr payının elde edildiği tarihteki TCMB döviz alış kuru</t>
  </si>
  <si>
    <t>TCMB.gov.tr kur arşivi — transfer tarihi değil!</t>
  </si>
  <si>
    <t>E.3  Brüt Kâr Payı (TL) = E.1 × E.2</t>
  </si>
  <si>
    <t>Elde etme tarihi kuru ile TL karşılığı</t>
  </si>
  <si>
    <t>İstisna bu tutar üzerinden hesaplanır</t>
  </si>
  <si>
    <t>E.4  Yurt Dışında Ödenen Stopaj / Withholding Tax (TL)</t>
  </si>
  <si>
    <t>Yurt dışında kesilen vergi — TL karşılığı</t>
  </si>
  <si>
    <t>ÇVÖA varsa anlaşma stopaj oranı geçerli</t>
  </si>
  <si>
    <t>E.5  Net Transfer Tutarı (TL) = E.3 − E.4</t>
  </si>
  <si>
    <t>Türkiye'ye gelen net tutar (kontrol için)</t>
  </si>
  <si>
    <t>317'de %100 istisna olduğundan KVK 33 mahsup yoktur</t>
  </si>
  <si>
    <t>E.6  317 İSTİSNA TUTARI (%100) = E.3 × 1,00</t>
  </si>
  <si>
    <t>Zarar olsa dahi indirilecek</t>
  </si>
  <si>
    <t>F. BEYANNAME 317 — İSTİSNA TUTARI SONUCU</t>
  </si>
  <si>
    <t>F.1  TOPLAM İSTİSNA → Beyanname Satır 317 (Zarar Olsa Dahi İndirilecek)</t>
  </si>
  <si>
    <t>E.6 brüt × %100 = Kazancın Tamamı</t>
  </si>
  <si>
    <t xml:space="preserve">  KRİTİK UYARILAR: (1) YİAKV: KVK 5/1-b (317) istisnası YİAKV matrahından DÜŞÜLEMEZ. (2) KVK 33 MAHSUP: 317'de tümü istisna olduğundan yurt dışı vergi mahsubu YAPILAMAZ. (3) KISMİ TRANSFER: Tek kuruş eksik transferde istisna TAMAMEN kaybolur. (4) 4 ŞART KÜMÜLATİF: Biri eksikse 317 kullanilamaz → 387 değerlendirin.</t>
  </si>
  <si>
    <t>317 – YD. İŞTİRAK KÂR PAYI %100 TAM İSTİSNA | HESAPLAMALAR VE DENETİM KONTROL</t>
  </si>
  <si>
    <t>KVK Md.5/1-b | 4 Şart Kümülatif | %100 Tam İstisna | Vergi Yükü ≥%15/25 | 1 Yıl Elde Tutma | Tam Transfer | YİAKV'den Düşülemez</t>
  </si>
  <si>
    <t>A. TASDİK ÖZETİ — VERİ GİRİŞİNDEN OTOMATİK</t>
  </si>
  <si>
    <t>A0 Tasdik Uygunluğu</t>
  </si>
  <si>
    <t>A0.9 OK ise devam</t>
  </si>
  <si>
    <t>Şart 1 — Sermaye Payı (B.31)</t>
  </si>
  <si>
    <t>≥%10 zorunlu</t>
  </si>
  <si>
    <t>Şart 2 — Elde Tutma (D.4)</t>
  </si>
  <si>
    <t>1 Yıl Kesintisiz</t>
  </si>
  <si>
    <t>Şart 3 — Vergi Yükü (C.6)</t>
  </si>
  <si>
    <t>≥%15 veya %25</t>
  </si>
  <si>
    <t>Şart 4 — Transfer (B.34)</t>
  </si>
  <si>
    <t>TAMAMININ transferi</t>
  </si>
  <si>
    <t>317 SONUÇ — 4 Şart (B.5)</t>
  </si>
  <si>
    <t>4 şart sağlandıysa EVET</t>
  </si>
  <si>
    <t>Brüt Kâr Payı TL (E.3)</t>
  </si>
  <si>
    <t>Elde etme kuru</t>
  </si>
  <si>
    <t>317 İSTİSNA TUTARI (E.6)</t>
  </si>
  <si>
    <t>Vergi Yükü % (C.5)</t>
  </si>
  <si>
    <t>Hesaplanan oran</t>
  </si>
  <si>
    <t>Vergi Yükü Eşiği % (C.2)</t>
  </si>
  <si>
    <t>Faaliyet türüne göre 15 veya 25</t>
  </si>
  <si>
    <t>B. 317 (TAM) vs 387 (KISMİ) KARŞILAŞTIRMA TABLOSU</t>
  </si>
  <si>
    <t>Kriter</t>
  </si>
  <si>
    <t>317 — Tam İstisna</t>
  </si>
  <si>
    <t>387 — Kısmi İstisna</t>
  </si>
  <si>
    <t>Sermaye Payı Eşiği</t>
  </si>
  <si>
    <t>≥%10</t>
  </si>
  <si>
    <t>≥%50 — Daha Yüksek</t>
  </si>
  <si>
    <t>Elde Tutma Süresi</t>
  </si>
  <si>
    <t>1 Yıl Kesintisiz ZORUNLU</t>
  </si>
  <si>
    <t>YOK</t>
  </si>
  <si>
    <t>Vergi Yükü Şartı</t>
  </si>
  <si>
    <t>≥%15 (Finans: %25) ZORUNLU</t>
  </si>
  <si>
    <t>Transfer Şartı</t>
  </si>
  <si>
    <t>TAMAMININ Transferi</t>
  </si>
  <si>
    <t>İstisna Oranı</t>
  </si>
  <si>
    <t>%100 TAM İSTİSNA</t>
  </si>
  <si>
    <t>%50 KISMİ İSTİSNA</t>
  </si>
  <si>
    <t>KVK 33 Mahsup</t>
  </si>
  <si>
    <t>Tümü istisna — Mahsup YAPILAMAZ</t>
  </si>
  <si>
    <t>Vergiye tabi %50 için mahsup var</t>
  </si>
  <si>
    <t>YİAKV Etkisi</t>
  </si>
  <si>
    <t>DÜŞÜLEMEZ</t>
  </si>
  <si>
    <t>Beyanname Satırı</t>
  </si>
  <si>
    <t>317</t>
  </si>
  <si>
    <t>387</t>
  </si>
  <si>
    <t>Hangisi Avantajlı?</t>
  </si>
  <si>
    <t>317 DAHA AVANTAJLI — Önce bunu dene</t>
  </si>
  <si>
    <t>317 mümkün değilse 387</t>
  </si>
  <si>
    <t>C. DENETİM KONTROL LİSTESİ (K1–K12)</t>
  </si>
  <si>
    <t>Kontrol</t>
  </si>
  <si>
    <t>Açıklama ve Kanıt</t>
  </si>
  <si>
    <t>Sonuç</t>
  </si>
  <si>
    <t>YMM Aksiyonu</t>
  </si>
  <si>
    <t>K1</t>
  </si>
  <si>
    <t>Yurt dışı iştirak AŞ/Ltd mi? Kanuni + iş merkezi yurt dışında mı?</t>
  </si>
  <si>
    <t>Her iki merkez de Türkiye dışında olmalı. Apostilli tescil belgesi zorunludur.</t>
  </si>
  <si>
    <t>Uygun / Eksik / Risk</t>
  </si>
  <si>
    <t>K2</t>
  </si>
  <si>
    <t>★ Sermaye payı kazancın elde edildiği tarihte ≥%10 mi? Kesintisiz mi?</t>
  </si>
  <si>
    <t>%9,9 → Yetersiz. Tarihe göre belge + kesintisizlik teyidi zorunlu.</t>
  </si>
  <si>
    <t>K3</t>
  </si>
  <si>
    <t>★ 1 Yıl Kesintisiz Elde Tutma şartı sağlandı mı?</t>
  </si>
  <si>
    <t>D.3 ≥365 gün. D.4 EVET vermelidir. Devir/bölünmede kaynak kurum süresi hesaba katılabilir.</t>
  </si>
  <si>
    <t>K4</t>
  </si>
  <si>
    <t>★ Vergi yükü ≥%15 mi? (Finans/Sigortacılık/MK → ≥%25)</t>
  </si>
  <si>
    <t>C.5 ≥ C.2 olmalıdır. C.6 EVET vermelidir. İştirakin mali tablosu ve vergi beyannamesi ile teyit.</t>
  </si>
  <si>
    <t>K5</t>
  </si>
  <si>
    <t>★ Kazancın TAMAMI transfer edildi mi? Kısmi transfer var mı?</t>
  </si>
  <si>
    <t>Kısmi transfer → İstisna TAMAMEN kaybolur. SWIFT + dekont ile TAMAMININ transferi belgelenmeli. 30 Nisan öncesi mi?</t>
  </si>
  <si>
    <t>K6</t>
  </si>
  <si>
    <t>İstisna BRÜT tutar üzerinden mi? Kur tarihi doğru mu?</t>
  </si>
  <si>
    <t>Brüt × %100. Net tutar değil. TCMB kuru: Elde etme tarihi.</t>
  </si>
  <si>
    <t>K7</t>
  </si>
  <si>
    <t>★ YİAKV matrahından 317 DÜŞÜLMEDI mi?</t>
  </si>
  <si>
    <t>317 YİAKV'den DÜŞÜLEMEZ. YİAKV çalışma kâğıdında teyit.</t>
  </si>
  <si>
    <t>K8</t>
  </si>
  <si>
    <t>317'de KVK 33 mahsup yapılmadı mı? (Yapılmamalı)</t>
  </si>
  <si>
    <t>%100 tam istisna → Yurt dışı verginin tamamı istisna kapsamında → Mahsup YAPILAMAZ. 387'de kısmen mümkündü — 317'de değil.</t>
  </si>
  <si>
    <t>K9</t>
  </si>
  <si>
    <t>Elde tutma süresinde kesinti var mı? (Satış-Geri Alım, Bölünme vb.)</t>
  </si>
  <si>
    <t>Kesinti anı varsa şart sağlanmamış olabilir. Devir/bölünmede kaynak kurum süresi analizi yapılmalı.</t>
  </si>
  <si>
    <t>K10</t>
  </si>
  <si>
    <t>Faaliyet türü doğru belirlendi mi? Finans/Sigortacılık/MK eşiği uygulandı mı?</t>
  </si>
  <si>
    <t>Finans/Sigortacılık/MK yatırım ortaklığı → Vergi yükü eşiği %25. Yanlış eşik uygulaması → Hatalı değerlendirme.</t>
  </si>
  <si>
    <t>K11</t>
  </si>
  <si>
    <t>TF Formu (Ek:2) yurt dışı iştirak bölümü dolduruldu mu?</t>
  </si>
  <si>
    <t>317 uygulanmış olsa da Ek:2 doldurulmalıdır. Eksiklik → Beyanname hatası.</t>
  </si>
  <si>
    <t>K12</t>
  </si>
  <si>
    <t>ÇVÖA — Stopaj oranı ve vergi yükü hesabına etkisi değerlendirildi mi?</t>
  </si>
  <si>
    <t>ÇVÖA stopaj oranını sınırlayabilir. Vergi yükü hesabında ÇVÖA etkisi ve fiilen ödenen vergi tutarı doğrulanmalı.</t>
  </si>
  <si>
    <t>D. BEYANNAME SATIR EŞLEŞTİRME</t>
  </si>
  <si>
    <t>Satır</t>
  </si>
  <si>
    <t>Tutar / Not</t>
  </si>
  <si>
    <t>KVK 5/1-b %100 Tam İstisna | 4 Şart | Zarar Olsa Dahi İndirilecek</t>
  </si>
  <si>
    <t>Kısmi İstisna (%50)</t>
  </si>
  <si>
    <t>KVK 5/1-b %50 Kısmi — 317 şartlarından biri sağlanamadıysa. 317 ile aynı anda kullanılamaz.</t>
  </si>
  <si>
    <t>297-307</t>
  </si>
  <si>
    <t>YD. İştirak — HAYIR</t>
  </si>
  <si>
    <t>297-307 satırları KVK 5/1-a kapsamı (YURT İÇİ iştirak). 317 yurt dışı — karıştırılmamalı.</t>
  </si>
  <si>
    <t>317 – YD. İŞTİRAK KÂR PAYI %100 TAM İSTİSNA | MUHASEBE KAYITLARI</t>
  </si>
  <si>
    <t>KVK Md.5/1-b | %100 Tam İstisna | 4 Şart | Brüt Kâr Payı | Elde Etme Tarihi Kuru</t>
  </si>
  <si>
    <t xml:space="preserve">  NOT: Rehber niteliğindedir. 317 muhasebe kaydı 387 ile aynıdır. Fark yalnızca beyannamede: 317'de %100 istisna, KVK 33 mahsup YAPILAMAZ.</t>
  </si>
  <si>
    <t>KAYIT 1 — KÂR PAYI TAHAKKUK (ELDE ETME TARİHİ)</t>
  </si>
  <si>
    <t>Elde etme tarihi TCMB alış kuru ile TL'ye çevrilir. Brüt tutar kaydedilir.</t>
  </si>
  <si>
    <t>Tarih</t>
  </si>
  <si>
    <t>Hesap Adı / Kodu</t>
  </si>
  <si>
    <t>Muhasebe Notu</t>
  </si>
  <si>
    <t>Dr (TL)</t>
  </si>
  <si>
    <t>Kr (TL)</t>
  </si>
  <si>
    <t>Referans</t>
  </si>
  <si>
    <t>Dr</t>
  </si>
  <si>
    <t>[Elde etme]</t>
  </si>
  <si>
    <t>241 Bağlı Ortaklıklar / 122 Alacaklar</t>
  </si>
  <si>
    <t>Brüt kâr payı alacağı — Elde etme tarihi TCMB alış kuru × Brüt döviz tutarı</t>
  </si>
  <si>
    <t>[Brüt TL]</t>
  </si>
  <si>
    <t>—</t>
  </si>
  <si>
    <t>TCMB kur + dağıtım kararı</t>
  </si>
  <si>
    <t>Kr</t>
  </si>
  <si>
    <t>642 İştirak Kazançları</t>
  </si>
  <si>
    <t>Brüt kâr payı geliri — 317 istisnasının tamamı bu hesaba yansır</t>
  </si>
  <si>
    <t>KV 317. Satır</t>
  </si>
  <si>
    <t>NOT: Muhasebede BRÜT tutar kaydedilir. 642 hesabındaki tutarın %100'ü beyanname 317'de istisna. KVK 33 mahsubu YAPILAMAZ — tüm kazanç istisna kapsamındadır. 387'de %50 mahsup mümkündü; 317'de değil.</t>
  </si>
  <si>
    <t>KAYIT 2 — STOPAJ / WITHHOLDING TAX</t>
  </si>
  <si>
    <t>[Transfer]</t>
  </si>
  <si>
    <t>193 Peşin Ödenen Vergiler / 689 Diğer Gider</t>
  </si>
  <si>
    <t>Yurt dışında kesilen withholding tax — 317'de KVK 33 mahsup YAPILAMAZ (tüm kazanç istisna → mahsup yok)</t>
  </si>
  <si>
    <t>[Stopaj TL]</t>
  </si>
  <si>
    <t>Vergi makbuzu / ÇVÖA</t>
  </si>
  <si>
    <t>241 / 122 Alacaklar</t>
  </si>
  <si>
    <t>Alacak kapatma</t>
  </si>
  <si>
    <t>ÖNEMLI — 317 vs 387 FARK: 317'de kazancın %100'ü istisna → Yurt dışı stopajın tamamı istisna kapsamı → KVK 33 mahsup YAPILAMAZ. 387'de %50 vergiye tabi kalırdı → Stopajın %50'si mahsup edilebilirdi. Bu fark 317'nin dezavantajı değil; zaten %100 istisna uygulanmaktadır.</t>
  </si>
  <si>
    <t>KAYIT 3 — NET TRANSFER TAHSİLATI</t>
  </si>
  <si>
    <t>102 Bankalar</t>
  </si>
  <si>
    <t>Net transfer tahsilatı (Brüt − Stopaj). Kur farkı varsa 646/656.</t>
  </si>
  <si>
    <t>[Net TL]</t>
  </si>
  <si>
    <t>Banka SWIFT + dekont</t>
  </si>
  <si>
    <t>KAYIT 4 — BEYANNAME 317 SATIRI (%100 TAM İSTİSNA)</t>
  </si>
  <si>
    <t xml:space="preserve">  BEYANNAME AKIŞI:
1. Muhasebede 642 hesabına BRÜT kâr payı kaydedilir → Ticari kâra dahil olur.
2. KV Beyannamesi: 642 tutarı ticari kârda, 317 satırında 'Zarar Olsa Dahi İndirilecek' bölümüne BRÜT tutarın tamamı yazılır.
3. KVK 33 Mahsup: YAPILAMAZ — tüm kazanç istisna kapsamında.
4 ŞART SONUÇ AKIŞI:
B.5 'EVET' → C.6 'Sağlandı' → D.4 'Sağlandı' → Transfer belgesi → E.6 (Brüt × %100) → Beyanname 317. Satır
KRİTİK: YİAKV matrahından 317 DÜŞÜLEMEZ. Muhasebede ayrı kayıt gerekmez — beyanname üzeri işlem.</t>
  </si>
  <si>
    <t>317 – YD. İŞTİRAK KÂR PAYI %100 TAM İSTİSNA | DENETÇİ NOTLARI</t>
  </si>
  <si>
    <t>KVK Md.5/1-b | 4 Şart Kümülatif | %100 Tam İstisna | Vergi Yükü ≥%15/25 | 1 Yıl Elde Tutma | Tam Transfer | YİAKV Düşülemez</t>
  </si>
  <si>
    <t>BÖLÜM 1 — YASAL DAYANAK VE 4 ŞART ANALİZİ</t>
  </si>
  <si>
    <t>Kod</t>
  </si>
  <si>
    <t>Konu</t>
  </si>
  <si>
    <t>Mesleki Değerlendirme</t>
  </si>
  <si>
    <t>Mevzuat</t>
  </si>
  <si>
    <t>N1</t>
  </si>
  <si>
    <t>KVK 5/1-b — 317 Tam İstisna Yasal Çerçevesi</t>
  </si>
  <si>
    <t>KVK Md.5/1-b kapsamında yurt dışı iştirak kâr payı istisnası:
317 TAM İSTİSNA (%100, Zarar Olsa Dahi): 4 ŞARTIN TAMAMININ sağlanması:
① Kazancın elde edildiği tarihte kesintisiz ≥%10 sermaye payı
② Kazancın elde edildiği tarihten geriye kesintisiz 1 yıl elde tutma
③ Yurt dışı iştirakin vergi yükü ≥%15 (Finans/Sigortacılık/MK: ≥%25)
④ Kazancın TAMAMININ KV beyanname süresine kadar Türkiye'ye transferi
Bir şart eksik → 317 kullanılamaz. 387 (%50 kısmi, ≥%50 + tam transfer) değerlendirin.</t>
  </si>
  <si>
    <t>KVK Md.5/1-b | 23 No.lu KV GT</t>
  </si>
  <si>
    <t>N2</t>
  </si>
  <si>
    <t>★ Vergi Yükü Hesabı — En Teknik Şart</t>
  </si>
  <si>
    <t>VERGİ YÜKÜ = Fiilen Ödenen Toplam Gelir/Kurumlar Vergisi / Ticari Kâr × 100
EŞIK:
Genel → ≥%15
Finansman, Sigortacılık, Menkul Kıymet Yatırım Ortaklığı → ≥%25
HESAPTA DİKKAT:
• Ticari kâr = Vergi ve istisnalar öncesi brüt kâr
• Vergi = Fiilen ödenen (tahakkuk eden değil)
• Birden fazla ülkede vergi ödenmişse kümülatif toplam
• ÇVÖA etkisi: Stopaj oranını ÇVÖA sınırlıyorsa anlaşma oranı geçerli
YMM notu: İştirakin yıllık mali tablosu ve vergi beyannamesi birincil kaynak.</t>
  </si>
  <si>
    <t>N3</t>
  </si>
  <si>
    <t>1 Yıl Kesintisiz Elde Tutma — Uygulama Notları</t>
  </si>
  <si>
    <t>Kazancın elde edildiği tarihten geriye KESINTISIZ 1 yıl elde tutma zorunludur.
KESİNTİ SAYILAMAZ:
• Devir veya bölünmede edinilen hisselerde kaynak kurumdaki süre sayılabilir (KVK 18-20)
KESİNTİ SAYILIR:
• Kısmen satış sonrası geri alım (Bazı görüşlere göre)
• Pay bölünmesi/birleşmesinde dikkat
YMM notu: D.3 (elde tutma gün sayısı) ≥365 ve D.4 EVET vermelidir. Kesintili dönemler ayrıca analiz edilmeli.</t>
  </si>
  <si>
    <t>N4</t>
  </si>
  <si>
    <t>★ Kısmi Transfer Yasağı — Tam Transfer Zorunlu</t>
  </si>
  <si>
    <t>Kazancın TAMAMININ transfer edilmesi zorunludur.
Kısmi transfer → İstisna hakkı TAMAMEN kaybolur (23 No.lu KV GT).
Zamanlama:
Normal hesap dönemi → 30 Nisan'a kadar
Geçici vergi dönemi → İlgili dönem beyanname tarihine kadar
YMM notu: Banka SWIFT belgesi + transfer dekontu ile TAMAMININ transferi her zaman belgelenmeli.</t>
  </si>
  <si>
    <t>23 No.lu KV GT | KVK Md.5/1-b</t>
  </si>
  <si>
    <t>BÖLÜM 2 — YMM TASDİK DEĞERLENDİRMESİ VE KRİTİK FARKLAR</t>
  </si>
  <si>
    <t>N5</t>
  </si>
  <si>
    <t>★ YİAKV'den DÜŞÜLEMEZ — 317 ve 387 Ortak Kural</t>
  </si>
  <si>
    <t>KVK 32/C YİAKV hesabında 317 istisnası matrahtan ÇIKARILMAZ.
Yurt dışı kaynaklı gelir olduğundan YİAKV hesabında indirilemez.
Bu kural 387 için de geçerlidir — her iki kod için aynı kuralı uygulayın.
YMM notu: YİAKV çalışma kâğıdında 317 tutarı matrahtan çıkarılmadığı teyit edilmeli.</t>
  </si>
  <si>
    <t>KVK Md.32/C | YİAKV Tebliğleri</t>
  </si>
  <si>
    <t>N6</t>
  </si>
  <si>
    <t>KVK 33 Mahsup — 317'de Yapılamaz (387'den Fark)</t>
  </si>
  <si>
    <t>317'de KVK 33 mahsup YAPILAMAZ — tüm kazanç istisna olduğundan yurt dışı vergi mahsup edilemez.
387 (kısmi istisna) ile KRİTİK FARK:
387'de vergiye tabi %50'ye tekabül eden vergi mahsup edilebiliyordu.
317'de vergiye tabi kısım yok → Mahsup olanağı yok.
YMM notu: 317 kullanıldığında beyannamede KVK 33 satırına bu iştirak için tutar yazılmamalıdır.</t>
  </si>
  <si>
    <t>KVK Md.33 | KVK Md.5/1-b</t>
  </si>
  <si>
    <t>N7</t>
  </si>
  <si>
    <t>49 No.lu Tebliğ + YMM Tasdik Dil Standardı</t>
  </si>
  <si>
    <t>49 No.lu Tebliğ (30.12.2025): &gt;=500.000 TL → YMM raporu. Tam tasdik → ayrıca rapor yok.
KULLANIN:
'...4 şartın tamamı kazancın elde edildiği tarih itibarıyla doğrulanmıştır'
'...vergi yükü hesabı iştirakin mali tablolarına dayandırılmıştır'
'...kazancın tamamının transfer edildiği banka belgesiyle tevsik edilmiştir'
KULLANMAYIN:
'...istisna uygulanır' | '...4 şart sağlandı' (belge olmadan) | '...sorunsuz'
KRİTİK RİSK: (1) Vergi yükü hesabı hatalı, (2) Kısmi transfer, (3) Kesintili elde tutma, (4) YİAKV'den düşüm.</t>
  </si>
  <si>
    <t>49 No.lu Tebliğ | SM-SMMM-YMM K. Md.12</t>
  </si>
  <si>
    <t>N8</t>
  </si>
  <si>
    <t>Vergi Yükü Tartışmalı Durumlar ve Özelge Alanları</t>
  </si>
  <si>
    <t>VERGİ YÜKÜ HESABINDA TARTIŞMALI ALANLAR:
① Vergi tatilinden yararlanan iştiraklerde: Vergi sıfır → Vergi yükü sıfır → Şart sağlanmaz
② Karma faaliyetli iştiraklerde faaliyet türü belirlenmesi
③ Holding yapısında konsolide vergi yükü mü yoksa münferit mi?
④ Transfer fiyatlandırması düzeltmelerinin etkisi
⑤ Vergi sığınakları / düşük vergili bölgeler (OECD Pillar Two etkisi izlenmeli)
YMM notu: Tartışmalı durumlarda özelge alınması ve yazılı belgeleme şiddetle tavsiye edilir.</t>
  </si>
  <si>
    <t>GİB Özelgeleri | OECD Pillar Two</t>
  </si>
  <si>
    <t xml:space="preserve">  GÜNCEL GELİŞME — OECD Pillar Two (Küresel Asgari Vergi): 2024+ yıllarında yürürlüğe giren Pillar Two düzenlemeleri, bazı ülkelerde efektif vergi oranını %15'e yükseltebilir. Bu durum vergi yükü şartını sağlamakta zorlanan iştiraklerde olumlu etki yaratabilir. Ancak kendi ülke düzenlemeleri ayrıca izlenmelidir.</t>
  </si>
  <si>
    <t>317 – YD. İŞTİRAK KÂR PAYI %100 TAM İSTİSNA | BELGE VE BİLGİ LİSTESİ | YMM TASDİK</t>
  </si>
  <si>
    <t>KVK Md.5/1-b | 4 Şart Kümülatif | %100 Tam İstisna | Vergi Yükü ≥%15/25 | 1 Yıl Elde Tutma | Tam Transfer | YİAKV Düşülemez | 49 No.lu Tebliğ</t>
  </si>
  <si>
    <t xml:space="preserve">  Kategori 1: Zorunlu belgeler (4 şartın her biri için). Kategori 2: Destekleyici. Kategori 3: YMM tasdik kontrol soruları (★ kritik).</t>
  </si>
  <si>
    <t>KATEGORİ 1 — ZORUNLU BELGELER  (4 Şartın Her Biri İçin Ayrı Belge)</t>
  </si>
  <si>
    <t>No</t>
  </si>
  <si>
    <t>Belge / Bilgi Adı</t>
  </si>
  <si>
    <t>Detay ve YMM Kontrol Noktaları</t>
  </si>
  <si>
    <t>Temin Yeri</t>
  </si>
  <si>
    <t>1</t>
  </si>
  <si>
    <t>İştirak Tescil + Yerleşiklik Belgesi (Yurt Dışı AŞ/Ltd)</t>
  </si>
  <si>
    <t>Yurt dışı iştirak AŞ/Ltd niteliğinde ve kanuni + iş merkezinin her ikisinin de yurt dışında olduğu teyidi.
Apostilli ticaret sicil belgesi veya konsolosluk tasdikli tescil belgesi.
YMM notu: Güncel tarihli belge tercih edilir.</t>
  </si>
  <si>
    <t>Apostilli tescil belgesi / Konsolosluk tasdikli belge</t>
  </si>
  <si>
    <t>2</t>
  </si>
  <si>
    <t>Sermaye Payı Belgesi ≥%10 (Kazancın Elde Edildiği Tarih İtibarıyla)</t>
  </si>
  <si>
    <t>Kazancın elde edildiği tarihteki kesintisiz ≥%10 sermaye payını kanıtlayan belge.
Ortaklık tescil belgesi + tarihe göre hisse kayıt defteri / pay defteri.
YMM notu: Dönem içi pay değişikliği varsa tarihe göre belgeleme kritiktir.</t>
  </si>
  <si>
    <t>Ortaklık tescil belgesi + Pay defteri / Hisse kayıt defteri</t>
  </si>
  <si>
    <t>3</t>
  </si>
  <si>
    <t>Elde Tutma Süresi — İktisap Tarihi Belgesi (1 Yıl Şartı)</t>
  </si>
  <si>
    <t>Hissenin aktife alındığı tarihi kanıtlayan belge.
Devir/bölünmede kaynak kurum iktisap tarihi belgesi de gerekebilir.
D.1 ve D.2'nin teyidiyle D.3 ≥365 gün sağlanmalıdır.
YMM notu: 1 gün bile eksik → Şart sağlanmamış.</t>
  </si>
  <si>
    <t>Hisse senedi / Transfer belgesi / Pay defteri / Devir tescil belgesi</t>
  </si>
  <si>
    <t>4</t>
  </si>
  <si>
    <t>Vergi Yükü Hesaplama Belgesi — İştirakin Mali Tablosu + Vergi Beyannamesi</t>
  </si>
  <si>
    <t>Vergi Yükü = Fiilen Ödenen Toplam Vergi / Ticari Kâr × 100 hesabının dayanağı.
İştirakin yıllık gelir/kurumlar vergisi beyannamesi veya yerel vergi otoritesi belgesi.
Yılsonu gelir tablosu ve bilanço (denetimli tercih edilir).
YMM notu: Finans/sigortacılık/MK ise eşik %25 — faaliyet türü belgesi de gerekir.</t>
  </si>
  <si>
    <t>İştirakin yıllık mali tablosu + Vergi beyannamesi / Vergi ödeme makbuzu</t>
  </si>
  <si>
    <t>5</t>
  </si>
  <si>
    <t>Transfer Belgesi — TAMAMININ Transferi Kanıtı</t>
  </si>
  <si>
    <t>Kazancın TAMAMININ KV beyanname süresine kadar Türkiye'ye transfer edildiğini gösterir.
Banka SWIFT belgesi + Transfer dekontu — TL karşılığı ve tarih açık olmalı.
YMM notu: Kısmi transfer varsa istisna TAMAMEN kaybolur — mutlaka teyit edin.</t>
  </si>
  <si>
    <t>Banka SWIFT belgesi + Transfer dekontu</t>
  </si>
  <si>
    <t>6</t>
  </si>
  <si>
    <t>Kâr Payı Dağıtım Kararı ve TCMB Kur Belgesi</t>
  </si>
  <si>
    <t>Brüt kâr payı tutarı, para birimi ve dağıtım kararı tarihi.
Elde etme tarihi TCMB döviz alış kuru — TCMB.gov.tr kur arşivinden.
YMM notu: Transfer tarihi kuru değil — elde etme tarihi kuru esas alınır.</t>
  </si>
  <si>
    <t>GK/YK kararı + TCMB.gov.tr kur arşivi</t>
  </si>
  <si>
    <t>7</t>
  </si>
  <si>
    <t>KV Beyannamesi Taslağı — 317. Satır</t>
  </si>
  <si>
    <t>317. satırındaki tutarın VERİ GİRİŞİ F.1 ile birebir uyumlu olduğu teyit edilmeli.
'Zarar Olsa Dahi İndirilecek' bölümünde 317 kodunda konumlandırıldığı kontrol edilmeli.
Beyanname Ek:2 yurt dışı iştirak bölümünün doldurulduğu teyit edilmeli.</t>
  </si>
  <si>
    <t>GİB e-Beyanname sistemi / İnternet Vergi Dairesi</t>
  </si>
  <si>
    <t>KATEGORİ 2 — DESTEKLEYİCİ BELGELER</t>
  </si>
  <si>
    <t>8</t>
  </si>
  <si>
    <t>ÇVÖA (Çifte Vergilendirmeyi Önleme Anlaşması)</t>
  </si>
  <si>
    <t>Türkiye'nin ilgili ülkeyle ÇVÖA'sı varsa: Stopaj oranı ve vergi yükü analizi.
ÇVÖA stopaj oranı fiilen ödenen vergiyi etkileyebilir.
317'de mahsup yoktur ancak vergi yükü hesabında ÇVÖA etkisi değerlendirilmeli.</t>
  </si>
  <si>
    <t>Hazine ve Maliye Bakanlığı ÇVÖA listesi / ÇVÖA metni</t>
  </si>
  <si>
    <t>9</t>
  </si>
  <si>
    <t>Devir/Bölünme Belgesi (Elde Tutma Süresinin Kaynak Kuruma Aktarımı)</t>
  </si>
  <si>
    <t>KVK 18-20 kapsamında devir/bölünmede kaynak kurumdaki süre sayılabiliyorsa:
Devir/bölünme tescil belgesi + Kaynak kurumun iktisap tarihi belgesi.
YMM notu: Süre aktarımının hukuki dayanağı yazılı olarak belgelenmeli.</t>
  </si>
  <si>
    <t>Devir/bölünme tescil belgesi / Birleşme belgesi</t>
  </si>
  <si>
    <t>10</t>
  </si>
  <si>
    <t>YİAKV Matrah Hesaplama Tablosu (317 Dahil Edilmemeli)</t>
  </si>
  <si>
    <t>KVK 5/1-b (317) istisnası YİAKV matrahından DÜŞÜLEMEZ.
YİAKV çalışma kâğıdında 317 tutarının matrahtan düşülmediği teyit edilmeli.
387 için de aynı kural geçerlidir.</t>
  </si>
  <si>
    <t>YİAKV çalışma kâğıdı / KVK 32/C Tebliğleri</t>
  </si>
  <si>
    <t>11</t>
  </si>
  <si>
    <t>Kur Farkı Hesabı (Elde Etme — Transfer Tarihleri Arası)</t>
  </si>
  <si>
    <t>Elde etme kuru ile transfer kuru arasında fark varsa kur farkı kazancı/zararı.
241 hesabına elde etme kurunda kayıt. Transfer tahsilatında kur farkı 646/656.</t>
  </si>
  <si>
    <t>TCMB kur arşivi / Muhasebe hesap kartları</t>
  </si>
  <si>
    <t>KATEGORİ 3 — YMM TASDİK KONTROL SORULARI (★ Kritik)</t>
  </si>
  <si>
    <t>Beklenen Sonuç / Tasdik Standardı</t>
  </si>
  <si>
    <t>S1</t>
  </si>
  <si>
    <t>Yurt dışı iştirak AŞ/Ltd mi? Kanuni + iş merkezleri yurt dışında mı?</t>
  </si>
  <si>
    <t>Her iki merkez yurt dışında. Apostilli tescil belgesi kontrolü.</t>
  </si>
  <si>
    <t>YMM kontrolü</t>
  </si>
  <si>
    <t>S2</t>
  </si>
  <si>
    <t>≥%10 ve kesintisiz. Ortaklık belgesi + tarihe göre teyit. %9,9 → Yetersiz.</t>
  </si>
  <si>
    <t>S3</t>
  </si>
  <si>
    <t>★ 1 Yıl Kesintisiz Elde Tutma sağlandı mı? (D.3 ≥365, D.4 EVET)</t>
  </si>
  <si>
    <t>D.4 EVET vermelidir. Kesintili dönem varsa analiz. Devir/bölünmede kaynak kurum süresi dahil mi kontrol et.</t>
  </si>
  <si>
    <t>S4</t>
  </si>
  <si>
    <t>★ Vergi Yükü ≥%15 mi? (Finans/Sigortacılık/MK → ≥%25) — C.6 EVET mi?</t>
  </si>
  <si>
    <t>C.5 ≥ C.2 ve C.6 EVET. İştirakin mali tablosu + vergi beyannamesi ile teyit. Faaliyet türü doğru sınıflandırıldı mı?</t>
  </si>
  <si>
    <t>S5</t>
  </si>
  <si>
    <t>Kısmi transfer → İstisna TAMAMEN kaybolur. SWIFT + dekont ile teyit. 30 Nisan öncesi mi?</t>
  </si>
  <si>
    <t>S6</t>
  </si>
  <si>
    <t>İstisna BRÜT tutar üzerinden mi? Elde etme tarihi kuru kullanıldı mı?</t>
  </si>
  <si>
    <t>Brüt × %100. Transfer tarihi kuru değil — elde etme tarihi TCMB alış kuru.</t>
  </si>
  <si>
    <t>S7</t>
  </si>
  <si>
    <t>S8</t>
  </si>
  <si>
    <t>%100 istisna → Tüm kazanç istisna → KVK 33 mahsup YAPILAMAZ. Beyanname KVK 33 satırında bu iştirak için tutar olmamalı.</t>
  </si>
  <si>
    <t>S9</t>
  </si>
  <si>
    <t>Beyanname Ek:2 yurt dışı iştirak bölümü dolduruldu mu?</t>
  </si>
  <si>
    <t xml:space="preserve">  SON NOT: 49 No.lu Tebliğ: &gt;=500.000 TL → YMM raporu. Tam tasdik → ayrıca rapor yok. 4 şartten biri eksik → 317 kullanılamaz (387 değerlendirin). Vergi yükü en teknik ve riskli şarttır — mali tablo + beyanname belgesi zorunludur. Kısmi transfer → İstisna TAMAMEN kaybolur. YİAKV'den DÜŞÜLEMEZ. KVK 33 mahsup YAPILAMAZ. YMM müteselsil sorumluluk: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</si>
</sst>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color rgb="FFFFFFFF"/>
      <name val="Arial"/>
    </font>
    <font>
      <sz val="9"/>
      <color rgb="FFC0392B"/>
      <name val="Arial"/>
    </font>
    <font>
      <sz val="8"/>
      <color rgb="FF555555"/>
      <name val="Arial"/>
    </font>
    <font>
      <b/>
      <sz val="10"/>
      <color rgb="FFFFFFFF"/>
      <name val="Arial"/>
    </font>
    <font>
      <b/>
      <sz val="9"/>
      <color rgb="FF1F3864"/>
      <name val="Arial"/>
    </font>
    <font>
      <b/>
      <sz val="10"/>
      <color rgb="FF0000FF"/>
      <name val="Arial"/>
    </font>
    <font>
      <i/>
      <sz val="8"/>
      <color rgb="FF555555"/>
      <name val="Arial"/>
    </font>
    <font>
      <b/>
      <sz val="9"/>
      <color rgb="FFC0392B"/>
      <name val="Arial"/>
    </font>
    <font>
      <i/>
      <sz val="8"/>
      <color rgb="FFC0392B"/>
      <name val="Arial"/>
    </font>
    <font>
      <b/>
      <sz val="10"/>
      <color rgb="FF1B5E20"/>
      <name val="Arial"/>
    </font>
    <font>
      <i/>
      <sz val="8"/>
      <color rgb="FF888888"/>
      <name val="Arial"/>
    </font>
    <font>
      <sz val="9"/>
      <color rgb="FF1A5276"/>
      <name val="Arial"/>
    </font>
    <font>
      <b/>
      <sz val="11"/>
      <color rgb="FF1B5E20"/>
      <name val="Arial"/>
    </font>
    <font>
      <b/>
      <sz val="9"/>
      <color rgb="FF1B5E20"/>
      <name val="Arial"/>
    </font>
    <font>
      <i/>
      <sz val="8"/>
      <color rgb="FF1B5E20"/>
      <name val="Arial"/>
    </font>
    <font>
      <b/>
      <sz val="12"/>
      <color rgb="FF1B5E20"/>
      <name val="Arial"/>
    </font>
    <font>
      <b/>
      <sz val="14"/>
      <color rgb="FF1B5E20"/>
      <name val="Arial"/>
    </font>
    <font>
      <b/>
      <sz val="12"/>
      <color rgb="FFFFFFFF"/>
      <name val="Arial"/>
    </font>
    <font>
      <sz val="9"/>
      <color rgb="FFE65100"/>
      <name val="Arial"/>
    </font>
    <font>
      <b/>
      <sz val="9"/>
      <color rgb="FFE65100"/>
      <name val="Arial"/>
    </font>
    <font>
      <sz val="8"/>
      <color rgb="FF333333"/>
      <name val="Arial"/>
    </font>
    <font>
      <b/>
      <sz val="36"/>
      <color rgb="FFFFFFFF"/>
      <name val="Arial"/>
    </font>
    <font>
      <sz val="9"/>
      <color rgb="FF1F3864"/>
      <name val="Arial"/>
    </font>
    <font>
      <i/>
      <sz val="8"/>
      <color rgb="FF444444"/>
      <name val="Arial"/>
    </font>
    <font>
      <b/>
      <sz val="9"/>
      <color rgb="FF7B5E00"/>
      <name val="Arial"/>
    </font>
    <font>
      <b/>
      <sz val="9"/>
      <color rgb="FF1565C0"/>
      <name val="Arial"/>
    </font>
    <font>
      <i/>
      <sz val="8"/>
      <color rgb="FF1565C0"/>
      <name val="Arial"/>
    </font>
  </fonts>
  <fills count="27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2E4057"/>
      </patternFill>
    </fill>
    <fill>
      <patternFill patternType="solid">
        <fgColor rgb="FFFCE4D6"/>
      </patternFill>
    </fill>
    <fill>
      <patternFill patternType="solid">
        <fgColor rgb="FFF0F4FF"/>
      </patternFill>
    </fill>
    <fill>
      <patternFill patternType="solid">
        <fgColor rgb="FFF0F0F0"/>
      </patternFill>
    </fill>
    <fill>
      <patternFill patternType="solid">
        <fgColor rgb="FFC0392B"/>
      </patternFill>
    </fill>
    <fill>
      <patternFill patternType="solid">
        <fgColor rgb="FF2E5FA3"/>
      </patternFill>
    </fill>
    <fill>
      <patternFill patternType="solid">
        <fgColor rgb="FFEEF4FF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E0B2"/>
      </patternFill>
    </fill>
    <fill>
      <patternFill patternType="solid">
        <fgColor rgb="FFF7F7F7"/>
      </patternFill>
    </fill>
    <fill>
      <patternFill patternType="solid">
        <fgColor rgb="FFFFF5F5"/>
      </patternFill>
    </fill>
    <fill>
      <patternFill patternType="solid">
        <fgColor rgb="FF922B21"/>
      </patternFill>
    </fill>
    <fill>
      <patternFill patternType="solid">
        <fgColor rgb="FFFFF9C4"/>
      </patternFill>
    </fill>
    <fill>
      <patternFill patternType="solid">
        <fgColor rgb="FFEBF5FB"/>
      </patternFill>
    </fill>
    <fill>
      <patternFill patternType="solid">
        <fgColor rgb="FFEBF5EB"/>
      </patternFill>
    </fill>
    <fill>
      <patternFill patternType="solid">
        <fgColor rgb="FF7D3C98"/>
      </patternFill>
    </fill>
    <fill>
      <patternFill patternType="solid">
        <fgColor rgb="FFEDE7F6"/>
      </patternFill>
    </fill>
    <fill>
      <patternFill patternType="solid">
        <fgColor rgb="FFF3E5F5"/>
      </patternFill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E8F4F8"/>
      </patternFill>
    </fill>
    <fill>
      <patternFill patternType="solid">
        <fgColor rgb="FFD0EAF0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4" borderId="2" xfId="0" applyFill="1" applyBorder="1"/>
    <xf numFmtId="0" fontId="0" fillId="6" borderId="2" xfId="0" applyFill="1" applyBorder="1"/>
    <xf numFmtId="0" fontId="2" fillId="8" borderId="1" xfId="0" applyFont="1" applyFill="1" applyBorder="1" applyAlignment="1">
      <alignment horizontal="center" vertical="center"/>
    </xf>
    <xf numFmtId="0" fontId="0" fillId="9" borderId="2" xfId="0" applyFill="1" applyBorder="1"/>
    <xf numFmtId="0" fontId="7" fillId="10" borderId="2" xfId="0" applyFont="1" applyFill="1" applyBorder="1" applyAlignment="1">
      <alignment horizontal="center" vertical="center"/>
    </xf>
    <xf numFmtId="0" fontId="0" fillId="11" borderId="2" xfId="0" applyFill="1" applyBorder="1"/>
    <xf numFmtId="0" fontId="0" fillId="12" borderId="2" xfId="0" applyFill="1" applyBorder="1"/>
    <xf numFmtId="0" fontId="11" fillId="12" borderId="2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0" fontId="16" fillId="12" borderId="2" xfId="0" applyFont="1" applyFill="1" applyBorder="1" applyAlignment="1">
      <alignment horizontal="left" vertical="center" wrapText="1"/>
    </xf>
    <xf numFmtId="0" fontId="17" fillId="12" borderId="2" xfId="0" applyFont="1" applyFill="1" applyBorder="1" applyAlignment="1">
      <alignment horizontal="center" vertical="center"/>
    </xf>
    <xf numFmtId="0" fontId="18" fillId="12" borderId="3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top"/>
    </xf>
    <xf numFmtId="0" fontId="6" fillId="9" borderId="2" xfId="0" applyFont="1" applyFill="1" applyBorder="1" applyAlignment="1">
      <alignment horizontal="left" vertical="top" wrapText="1"/>
    </xf>
    <xf numFmtId="0" fontId="22" fillId="14" borderId="2" xfId="0" applyFont="1" applyFill="1" applyBorder="1" applyAlignment="1">
      <alignment horizontal="left" vertical="top" wrapText="1"/>
    </xf>
    <xf numFmtId="0" fontId="0" fillId="10" borderId="2" xfId="0" applyFill="1" applyBorder="1" applyAlignment="1">
      <alignment horizontal="center" vertical="top"/>
    </xf>
    <xf numFmtId="0" fontId="22" fillId="15" borderId="2" xfId="0" applyFont="1" applyFill="1" applyBorder="1" applyAlignment="1">
      <alignment horizontal="left" vertical="top" wrapText="1"/>
    </xf>
    <xf numFmtId="0" fontId="6" fillId="11" borderId="2" xfId="0" applyFont="1" applyFill="1" applyBorder="1" applyAlignment="1">
      <alignment horizontal="left" vertical="top" wrapText="1"/>
    </xf>
    <xf numFmtId="0" fontId="6" fillId="9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24" fillId="9" borderId="2" xfId="0" applyFont="1" applyFill="1" applyBorder="1" applyAlignment="1">
      <alignment horizontal="center" vertical="center" wrapText="1"/>
    </xf>
    <xf numFmtId="0" fontId="24" fillId="11" borderId="2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25" fillId="9" borderId="2" xfId="0" applyFont="1" applyFill="1" applyBorder="1" applyAlignment="1">
      <alignment horizontal="left" vertical="top" wrapText="1"/>
    </xf>
    <xf numFmtId="0" fontId="25" fillId="11" borderId="2" xfId="0" applyFont="1" applyFill="1" applyBorder="1" applyAlignment="1">
      <alignment horizontal="left" vertical="top" wrapText="1"/>
    </xf>
    <xf numFmtId="0" fontId="6" fillId="12" borderId="2" xfId="0" applyFont="1" applyFill="1" applyBorder="1" applyAlignment="1">
      <alignment horizontal="center" vertical="top"/>
    </xf>
    <xf numFmtId="0" fontId="6" fillId="12" borderId="2" xfId="0" applyFont="1" applyFill="1" applyBorder="1" applyAlignment="1">
      <alignment horizontal="left" vertical="top" wrapText="1"/>
    </xf>
    <xf numFmtId="0" fontId="22" fillId="19" borderId="2" xfId="0" applyFont="1" applyFill="1" applyBorder="1" applyAlignment="1">
      <alignment horizontal="left" vertical="top" wrapText="1"/>
    </xf>
    <xf numFmtId="0" fontId="25" fillId="12" borderId="2" xfId="0" applyFont="1" applyFill="1" applyBorder="1" applyAlignment="1">
      <alignment horizontal="left" vertical="top" wrapText="1"/>
    </xf>
    <xf numFmtId="0" fontId="0" fillId="21" borderId="2" xfId="0" applyFill="1" applyBorder="1"/>
    <xf numFmtId="0" fontId="6" fillId="21" borderId="2" xfId="0" applyFont="1" applyFill="1" applyBorder="1" applyAlignment="1">
      <alignment horizontal="center" vertical="top"/>
    </xf>
    <xf numFmtId="0" fontId="6" fillId="21" borderId="2" xfId="0" applyFont="1" applyFill="1" applyBorder="1" applyAlignment="1">
      <alignment horizontal="left" vertical="top" wrapText="1"/>
    </xf>
    <xf numFmtId="0" fontId="22" fillId="22" borderId="2" xfId="0" applyFont="1" applyFill="1" applyBorder="1" applyAlignment="1">
      <alignment horizontal="left" vertical="top" wrapText="1"/>
    </xf>
    <xf numFmtId="0" fontId="25" fillId="21" borderId="2" xfId="0" applyFont="1" applyFill="1" applyBorder="1" applyAlignment="1">
      <alignment horizontal="left" vertical="top" wrapText="1"/>
    </xf>
    <xf numFmtId="0" fontId="2" fillId="23" borderId="1" xfId="0" applyFont="1" applyFill="1" applyBorder="1" applyAlignment="1">
      <alignment horizontal="center" vertical="center"/>
    </xf>
    <xf numFmtId="0" fontId="0" fillId="24" borderId="2" xfId="0" applyFill="1" applyBorder="1"/>
    <xf numFmtId="0" fontId="27" fillId="24" borderId="2" xfId="0" applyFont="1" applyFill="1" applyBorder="1" applyAlignment="1">
      <alignment horizontal="center" vertical="top"/>
    </xf>
    <xf numFmtId="0" fontId="27" fillId="24" borderId="2" xfId="0" applyFont="1" applyFill="1" applyBorder="1" applyAlignment="1">
      <alignment horizontal="left" vertical="top" wrapText="1"/>
    </xf>
    <xf numFmtId="0" fontId="22" fillId="9" borderId="2" xfId="0" applyFont="1" applyFill="1" applyBorder="1" applyAlignment="1">
      <alignment horizontal="left" vertical="top" wrapText="1"/>
    </xf>
    <xf numFmtId="0" fontId="28" fillId="24" borderId="2" xfId="0" applyFont="1" applyFill="1" applyBorder="1" applyAlignment="1">
      <alignment horizontal="center" vertical="top" wrapText="1"/>
    </xf>
    <xf numFmtId="0" fontId="0" fillId="25" borderId="2" xfId="0" applyFill="1" applyBorder="1"/>
    <xf numFmtId="0" fontId="27" fillId="25" borderId="2" xfId="0" applyFont="1" applyFill="1" applyBorder="1" applyAlignment="1">
      <alignment horizontal="center" vertical="top"/>
    </xf>
    <xf numFmtId="0" fontId="27" fillId="25" borderId="2" xfId="0" applyFont="1" applyFill="1" applyBorder="1" applyAlignment="1">
      <alignment horizontal="left" vertical="top" wrapText="1"/>
    </xf>
    <xf numFmtId="0" fontId="22" fillId="26" borderId="2" xfId="0" applyFont="1" applyFill="1" applyBorder="1" applyAlignment="1">
      <alignment horizontal="left" vertical="top" wrapText="1"/>
    </xf>
    <xf numFmtId="0" fontId="28" fillId="25" borderId="2" xfId="0" applyFont="1" applyFill="1" applyBorder="1" applyAlignment="1">
      <alignment horizontal="center" vertical="top" wrapText="1"/>
    </xf>
    <xf numFmtId="0" fontId="12" fillId="11" borderId="2" xfId="0" applyFont="1" applyFill="1" applyBorder="1" applyAlignment="1">
      <alignment horizontal="left" vertical="center" wrapText="1"/>
    </xf>
    <xf numFmtId="0" fontId="0" fillId="11" borderId="2" xfId="0" applyFill="1" applyBorder="1"/>
    <xf numFmtId="0" fontId="10" fillId="12" borderId="2" xfId="0" applyFont="1" applyFill="1" applyBorder="1" applyAlignment="1">
      <alignment horizontal="left" vertical="center" wrapText="1"/>
    </xf>
    <xf numFmtId="0" fontId="0" fillId="12" borderId="2" xfId="0" applyFill="1" applyBorder="1"/>
    <xf numFmtId="0" fontId="6" fillId="11" borderId="2" xfId="0" applyFont="1" applyFill="1" applyBorder="1" applyAlignment="1">
      <alignment horizontal="left" vertical="center" wrapText="1"/>
    </xf>
    <xf numFmtId="0" fontId="0" fillId="10" borderId="2" xfId="0" applyFill="1" applyBorder="1"/>
    <xf numFmtId="0" fontId="12" fillId="12" borderId="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8" fillId="11" borderId="2" xfId="0" applyFont="1" applyFill="1" applyBorder="1" applyAlignment="1">
      <alignment horizontal="left" vertical="center" wrapText="1"/>
    </xf>
    <xf numFmtId="0" fontId="13" fillId="9" borderId="2" xfId="0" applyFont="1" applyFill="1" applyBorder="1" applyAlignment="1">
      <alignment horizontal="left" vertical="center" wrapText="1"/>
    </xf>
    <xf numFmtId="0" fontId="0" fillId="9" borderId="2" xfId="0" applyFill="1" applyBorder="1"/>
    <xf numFmtId="0" fontId="12" fillId="9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6" fillId="12" borderId="2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left" vertical="center" wrapText="1"/>
    </xf>
    <xf numFmtId="0" fontId="0" fillId="4" borderId="2" xfId="0" applyFill="1" applyBorder="1"/>
    <xf numFmtId="0" fontId="6" fillId="9" borderId="2" xfId="0" applyFont="1" applyFill="1" applyBorder="1" applyAlignment="1">
      <alignment horizontal="left" vertical="center"/>
    </xf>
    <xf numFmtId="0" fontId="15" fillId="12" borderId="2" xfId="0" applyFont="1" applyFill="1" applyBorder="1" applyAlignment="1">
      <alignment horizontal="left" vertical="center" wrapText="1"/>
    </xf>
    <xf numFmtId="0" fontId="6" fillId="11" borderId="2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16" fillId="12" borderId="2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0" fillId="5" borderId="2" xfId="0" applyFill="1" applyBorder="1"/>
    <xf numFmtId="0" fontId="9" fillId="4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5" fillId="2" borderId="2" xfId="0" applyFont="1" applyFill="1" applyBorder="1" applyAlignment="1">
      <alignment horizontal="left" vertical="center"/>
    </xf>
    <xf numFmtId="0" fontId="0" fillId="2" borderId="2" xfId="0" applyFill="1" applyBorder="1"/>
    <xf numFmtId="0" fontId="5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2" fillId="3" borderId="2" xfId="0" applyFont="1" applyFill="1" applyBorder="1" applyAlignment="1">
      <alignment horizontal="left" vertical="center" wrapText="1"/>
    </xf>
    <xf numFmtId="0" fontId="0" fillId="3" borderId="2" xfId="0" applyFill="1" applyBorder="1"/>
    <xf numFmtId="0" fontId="20" fillId="11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left" vertical="top" wrapText="1"/>
    </xf>
    <xf numFmtId="0" fontId="22" fillId="15" borderId="2" xfId="0" applyFont="1" applyFill="1" applyBorder="1" applyAlignment="1">
      <alignment horizontal="left" vertical="top" wrapText="1"/>
    </xf>
    <xf numFmtId="0" fontId="0" fillId="15" borderId="2" xfId="0" applyFill="1" applyBorder="1"/>
    <xf numFmtId="0" fontId="6" fillId="9" borderId="2" xfId="0" applyFont="1" applyFill="1" applyBorder="1" applyAlignment="1">
      <alignment horizontal="left" vertical="top" wrapText="1"/>
    </xf>
    <xf numFmtId="0" fontId="22" fillId="12" borderId="2" xfId="0" applyFont="1" applyFill="1" applyBorder="1" applyAlignment="1">
      <alignment horizontal="left" vertical="center" wrapText="1"/>
    </xf>
    <xf numFmtId="0" fontId="15" fillId="11" borderId="2" xfId="0" applyFont="1" applyFill="1" applyBorder="1" applyAlignment="1">
      <alignment horizontal="center" vertical="center" wrapText="1"/>
    </xf>
    <xf numFmtId="0" fontId="21" fillId="13" borderId="2" xfId="0" applyFont="1" applyFill="1" applyBorder="1" applyAlignment="1">
      <alignment horizontal="center" vertical="center" wrapText="1"/>
    </xf>
    <xf numFmtId="0" fontId="0" fillId="13" borderId="2" xfId="0" applyFill="1" applyBorder="1"/>
    <xf numFmtId="0" fontId="6" fillId="11" borderId="2" xfId="0" applyFont="1" applyFill="1" applyBorder="1" applyAlignment="1">
      <alignment horizontal="left" vertical="top" wrapText="1"/>
    </xf>
    <xf numFmtId="0" fontId="22" fillId="11" borderId="2" xfId="0" applyFont="1" applyFill="1" applyBorder="1" applyAlignment="1">
      <alignment horizontal="left" vertical="top" wrapText="1"/>
    </xf>
    <xf numFmtId="0" fontId="15" fillId="12" borderId="2" xfId="0" applyFont="1" applyFill="1" applyBorder="1" applyAlignment="1">
      <alignment horizontal="left" vertical="center"/>
    </xf>
    <xf numFmtId="0" fontId="19" fillId="2" borderId="1" xfId="0" applyFont="1" applyFill="1" applyBorder="1" applyAlignment="1">
      <alignment horizontal="left" vertical="center"/>
    </xf>
    <xf numFmtId="0" fontId="22" fillId="14" borderId="2" xfId="0" applyFont="1" applyFill="1" applyBorder="1" applyAlignment="1">
      <alignment horizontal="left" vertical="top" wrapText="1"/>
    </xf>
    <xf numFmtId="0" fontId="0" fillId="14" borderId="2" xfId="0" applyFill="1" applyBorder="1"/>
    <xf numFmtId="0" fontId="15" fillId="9" borderId="2" xfId="0" applyFont="1" applyFill="1" applyBorder="1" applyAlignment="1">
      <alignment horizontal="center" vertical="center" wrapText="1"/>
    </xf>
    <xf numFmtId="0" fontId="20" fillId="9" borderId="2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left" vertical="center" wrapText="1"/>
    </xf>
    <xf numFmtId="0" fontId="15" fillId="12" borderId="2" xfId="0" applyFont="1" applyFill="1" applyBorder="1" applyAlignment="1">
      <alignment horizontal="center" vertical="center" wrapText="1"/>
    </xf>
    <xf numFmtId="0" fontId="22" fillId="9" borderId="2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/>
    </xf>
    <xf numFmtId="0" fontId="23" fillId="2" borderId="1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 wrapText="1"/>
    </xf>
    <xf numFmtId="0" fontId="0" fillId="6" borderId="2" xfId="0" applyFill="1" applyBorder="1"/>
    <xf numFmtId="0" fontId="24" fillId="9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/>
    </xf>
    <xf numFmtId="0" fontId="0" fillId="2" borderId="4" xfId="0" applyFill="1" applyBorder="1"/>
    <xf numFmtId="0" fontId="26" fillId="17" borderId="1" xfId="0" applyFont="1" applyFill="1" applyBorder="1" applyAlignment="1">
      <alignment horizontal="left" vertical="center" wrapText="1"/>
    </xf>
    <xf numFmtId="0" fontId="0" fillId="17" borderId="1" xfId="0" applyFill="1" applyBorder="1"/>
    <xf numFmtId="0" fontId="5" fillId="16" borderId="1" xfId="0" applyFont="1" applyFill="1" applyBorder="1" applyAlignment="1">
      <alignment horizontal="left" vertical="center"/>
    </xf>
    <xf numFmtId="0" fontId="0" fillId="16" borderId="1" xfId="0" applyFill="1" applyBorder="1"/>
    <xf numFmtId="0" fontId="5" fillId="23" borderId="1" xfId="0" applyFont="1" applyFill="1" applyBorder="1" applyAlignment="1">
      <alignment horizontal="left" vertical="center"/>
    </xf>
    <xf numFmtId="0" fontId="0" fillId="23" borderId="1" xfId="0" applyFill="1" applyBorder="1"/>
    <xf numFmtId="0" fontId="13" fillId="18" borderId="2" xfId="0" applyFont="1" applyFill="1" applyBorder="1" applyAlignment="1">
      <alignment horizontal="left" vertical="center" wrapText="1"/>
    </xf>
    <xf numFmtId="0" fontId="0" fillId="18" borderId="2" xfId="0" applyFill="1" applyBorder="1"/>
    <xf numFmtId="0" fontId="5" fillId="20" borderId="1" xfId="0" applyFont="1" applyFill="1" applyBorder="1" applyAlignment="1">
      <alignment horizontal="left" vertical="center"/>
    </xf>
    <xf numFmtId="0" fontId="0" fillId="20" borderId="1" xfId="0" applyFill="1" applyBorder="1"/>
  </cellXfs>
  <cellStyles count="1">
    <cellStyle name="Normal" xfId="0" builtinId="0"/>
  </cellStyles>
  <dxfs count="12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47423C7-DF3E-45AD-AD59-CA6C070E570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20ca62a-054c-42e0-b6dc-94447fc99f3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"/>
  <sheetViews>
    <sheetView tabSelected="1" workbookViewId="0">
      <selection sqref="A1:G1"/>
    </sheetView>
  </sheetViews>
  <sheetFormatPr defaultRowHeight="14.4" x14ac:dyDescent="0.55000000000000004"/>
  <cols>
    <col min="1" max="1" width="3" customWidth="1"/>
    <col min="2" max="2" width="32" customWidth="1"/>
    <col min="3" max="4" width="18" customWidth="1"/>
    <col min="5" max="5" width="16" customWidth="1"/>
    <col min="6" max="6" width="12" customWidth="1"/>
    <col min="7" max="7" width="22" customWidth="1"/>
  </cols>
  <sheetData>
    <row r="1" spans="1:7" ht="44.05" customHeight="1" x14ac:dyDescent="0.55000000000000004">
      <c r="A1" s="72" t="s">
        <v>0</v>
      </c>
      <c r="B1" s="56"/>
      <c r="C1" s="56"/>
      <c r="D1" s="56"/>
      <c r="E1" s="56"/>
      <c r="F1" s="56"/>
      <c r="G1" s="56"/>
    </row>
    <row r="2" spans="1:7" ht="20.05" customHeight="1" x14ac:dyDescent="0.55000000000000004">
      <c r="A2" s="82" t="s">
        <v>1</v>
      </c>
      <c r="B2" s="83"/>
      <c r="C2" s="83"/>
      <c r="D2" s="83"/>
      <c r="E2" s="83"/>
      <c r="F2" s="83"/>
      <c r="G2" s="83"/>
    </row>
    <row r="3" spans="1:7" ht="40" customHeight="1" x14ac:dyDescent="0.55000000000000004">
      <c r="A3" s="73" t="s">
        <v>2</v>
      </c>
      <c r="B3" s="64"/>
      <c r="C3" s="64"/>
      <c r="D3" s="64"/>
      <c r="E3" s="64"/>
      <c r="F3" s="64"/>
      <c r="G3" s="64"/>
    </row>
    <row r="4" spans="1:7" ht="22" customHeight="1" x14ac:dyDescent="0.55000000000000004">
      <c r="A4" s="74" t="s">
        <v>3</v>
      </c>
      <c r="B4" s="75"/>
      <c r="C4" s="75"/>
      <c r="D4" s="75"/>
      <c r="E4" s="75"/>
      <c r="F4" s="75"/>
      <c r="G4" s="75"/>
    </row>
    <row r="5" spans="1:7" ht="5.05" customHeight="1" x14ac:dyDescent="0.55000000000000004">
      <c r="A5" s="2"/>
      <c r="B5" s="2"/>
      <c r="C5" s="2"/>
      <c r="D5" s="2"/>
      <c r="E5" s="2"/>
      <c r="F5" s="2"/>
      <c r="G5" s="2"/>
    </row>
    <row r="6" spans="1:7" ht="24" customHeight="1" x14ac:dyDescent="0.55000000000000004">
      <c r="A6" s="80" t="s">
        <v>4</v>
      </c>
      <c r="B6" s="81"/>
      <c r="C6" s="81"/>
      <c r="D6" s="81"/>
      <c r="E6" s="81"/>
      <c r="F6" s="81"/>
      <c r="G6" s="81"/>
    </row>
    <row r="7" spans="1:7" ht="18" customHeight="1" x14ac:dyDescent="0.55000000000000004">
      <c r="A7" s="3"/>
      <c r="B7" s="3" t="s">
        <v>5</v>
      </c>
      <c r="C7" s="3"/>
      <c r="D7" s="3"/>
      <c r="E7" s="3" t="s">
        <v>6</v>
      </c>
      <c r="F7" s="3"/>
      <c r="G7" s="3" t="s">
        <v>7</v>
      </c>
    </row>
    <row r="8" spans="1:7" ht="30" customHeight="1" x14ac:dyDescent="0.55000000000000004">
      <c r="A8" s="61" t="s">
        <v>8</v>
      </c>
      <c r="B8" s="59"/>
      <c r="C8" s="59"/>
      <c r="D8" s="59"/>
      <c r="E8" s="5" t="s">
        <v>9</v>
      </c>
      <c r="F8" s="71" t="s">
        <v>10</v>
      </c>
      <c r="G8" s="59"/>
    </row>
    <row r="9" spans="1:7" ht="30" customHeight="1" x14ac:dyDescent="0.55000000000000004">
      <c r="A9" s="63" t="s">
        <v>11</v>
      </c>
      <c r="B9" s="64"/>
      <c r="C9" s="64"/>
      <c r="D9" s="64"/>
      <c r="E9" s="5" t="s">
        <v>9</v>
      </c>
      <c r="F9" s="68" t="s">
        <v>12</v>
      </c>
      <c r="G9" s="64"/>
    </row>
    <row r="10" spans="1:7" ht="30" customHeight="1" x14ac:dyDescent="0.55000000000000004">
      <c r="A10" s="63" t="s">
        <v>13</v>
      </c>
      <c r="B10" s="64"/>
      <c r="C10" s="64"/>
      <c r="D10" s="64"/>
      <c r="E10" s="5" t="s">
        <v>9</v>
      </c>
      <c r="F10" s="68" t="s">
        <v>14</v>
      </c>
      <c r="G10" s="64"/>
    </row>
    <row r="11" spans="1:7" ht="30" customHeight="1" x14ac:dyDescent="0.55000000000000004">
      <c r="A11" s="63" t="s">
        <v>15</v>
      </c>
      <c r="B11" s="64"/>
      <c r="C11" s="64"/>
      <c r="D11" s="64"/>
      <c r="E11" s="5" t="s">
        <v>9</v>
      </c>
      <c r="F11" s="68" t="s">
        <v>16</v>
      </c>
      <c r="G11" s="64"/>
    </row>
    <row r="12" spans="1:7" ht="30" customHeight="1" x14ac:dyDescent="0.55000000000000004">
      <c r="A12" s="63" t="s">
        <v>17</v>
      </c>
      <c r="B12" s="64"/>
      <c r="C12" s="64"/>
      <c r="D12" s="64"/>
      <c r="E12" s="5" t="s">
        <v>9</v>
      </c>
      <c r="F12" s="68" t="s">
        <v>18</v>
      </c>
      <c r="G12" s="64"/>
    </row>
    <row r="13" spans="1:7" ht="30" customHeight="1" x14ac:dyDescent="0.55000000000000004">
      <c r="A13" s="52" t="s">
        <v>19</v>
      </c>
      <c r="B13" s="49"/>
      <c r="C13" s="49"/>
      <c r="D13" s="49"/>
      <c r="E13" s="5" t="s">
        <v>9</v>
      </c>
      <c r="F13" s="57" t="s">
        <v>20</v>
      </c>
      <c r="G13" s="49"/>
    </row>
    <row r="14" spans="1:7" ht="30" customHeight="1" x14ac:dyDescent="0.55000000000000004">
      <c r="A14" s="63" t="s">
        <v>21</v>
      </c>
      <c r="B14" s="64"/>
      <c r="C14" s="64"/>
      <c r="D14" s="64"/>
      <c r="E14" s="5" t="s">
        <v>9</v>
      </c>
      <c r="F14" s="68" t="s">
        <v>22</v>
      </c>
      <c r="G14" s="64"/>
    </row>
    <row r="15" spans="1:7" ht="30" customHeight="1" x14ac:dyDescent="0.55000000000000004">
      <c r="A15" s="52" t="s">
        <v>23</v>
      </c>
      <c r="B15" s="49"/>
      <c r="C15" s="49"/>
      <c r="D15" s="49"/>
      <c r="E15" s="5" t="s">
        <v>9</v>
      </c>
      <c r="F15" s="57" t="s">
        <v>24</v>
      </c>
      <c r="G15" s="49"/>
    </row>
    <row r="16" spans="1:7" ht="22" customHeight="1" x14ac:dyDescent="0.55000000000000004">
      <c r="A16" s="62" t="s">
        <v>25</v>
      </c>
      <c r="B16" s="51"/>
      <c r="C16" s="51"/>
      <c r="D16" s="51"/>
      <c r="E16" s="8" t="str">
        <f>IF(AND(E8="EVET",E9="EVET",E10="EVET",E11="EVET",E12="EVET",E13="EVET",E14="EVET",E15="EVET"),"OK - Hesaplanabilir","HATA - Ön koşul eksik")</f>
        <v>OK - Hesaplanabilir</v>
      </c>
      <c r="F16" s="50" t="s">
        <v>26</v>
      </c>
      <c r="G16" s="51"/>
    </row>
    <row r="17" spans="1:7" ht="5.05" customHeight="1" x14ac:dyDescent="0.55000000000000004">
      <c r="A17" s="2"/>
      <c r="B17" s="2"/>
      <c r="C17" s="2"/>
      <c r="D17" s="2"/>
      <c r="E17" s="2"/>
      <c r="F17" s="2"/>
      <c r="G17" s="2"/>
    </row>
    <row r="18" spans="1:7" ht="22" customHeight="1" x14ac:dyDescent="0.55000000000000004">
      <c r="A18" s="55" t="s">
        <v>27</v>
      </c>
      <c r="B18" s="56"/>
      <c r="C18" s="56"/>
      <c r="D18" s="56"/>
      <c r="E18" s="56"/>
      <c r="F18" s="56"/>
      <c r="G18" s="56"/>
    </row>
    <row r="19" spans="1:7" ht="20.05" customHeight="1" x14ac:dyDescent="0.55000000000000004">
      <c r="A19" s="67" t="s">
        <v>28</v>
      </c>
      <c r="B19" s="49"/>
      <c r="C19" s="53"/>
      <c r="D19" s="53"/>
      <c r="E19" s="53"/>
      <c r="F19" s="48" t="s">
        <v>29</v>
      </c>
      <c r="G19" s="49"/>
    </row>
    <row r="20" spans="1:7" ht="20.05" customHeight="1" x14ac:dyDescent="0.55000000000000004">
      <c r="A20" s="65" t="s">
        <v>30</v>
      </c>
      <c r="B20" s="59"/>
      <c r="C20" s="53"/>
      <c r="D20" s="53"/>
      <c r="E20" s="53"/>
      <c r="F20" s="60" t="s">
        <v>31</v>
      </c>
      <c r="G20" s="59"/>
    </row>
    <row r="21" spans="1:7" ht="20.05" customHeight="1" x14ac:dyDescent="0.55000000000000004">
      <c r="A21" s="67" t="s">
        <v>32</v>
      </c>
      <c r="B21" s="49"/>
      <c r="C21" s="53"/>
      <c r="D21" s="53"/>
      <c r="E21" s="53"/>
      <c r="F21" s="48" t="s">
        <v>33</v>
      </c>
      <c r="G21" s="49"/>
    </row>
    <row r="22" spans="1:7" ht="20.05" customHeight="1" x14ac:dyDescent="0.55000000000000004">
      <c r="A22" s="65" t="s">
        <v>34</v>
      </c>
      <c r="B22" s="59"/>
      <c r="C22" s="53"/>
      <c r="D22" s="53"/>
      <c r="E22" s="53"/>
      <c r="F22" s="60" t="s">
        <v>35</v>
      </c>
      <c r="G22" s="59"/>
    </row>
    <row r="23" spans="1:7" ht="20.05" customHeight="1" x14ac:dyDescent="0.55000000000000004">
      <c r="A23" s="67" t="s">
        <v>36</v>
      </c>
      <c r="B23" s="49"/>
      <c r="C23" s="53"/>
      <c r="D23" s="53"/>
      <c r="E23" s="53"/>
      <c r="F23" s="48" t="s">
        <v>37</v>
      </c>
      <c r="G23" s="49"/>
    </row>
    <row r="24" spans="1:7" ht="20.05" customHeight="1" x14ac:dyDescent="0.55000000000000004">
      <c r="A24" s="65" t="s">
        <v>38</v>
      </c>
      <c r="B24" s="59"/>
      <c r="C24" s="53"/>
      <c r="D24" s="53"/>
      <c r="E24" s="53"/>
      <c r="F24" s="60" t="s">
        <v>39</v>
      </c>
      <c r="G24" s="59"/>
    </row>
    <row r="25" spans="1:7" ht="20.05" customHeight="1" x14ac:dyDescent="0.55000000000000004">
      <c r="A25" s="67" t="s">
        <v>40</v>
      </c>
      <c r="B25" s="49"/>
      <c r="C25" s="53"/>
      <c r="D25" s="53"/>
      <c r="E25" s="53"/>
      <c r="F25" s="48" t="s">
        <v>41</v>
      </c>
      <c r="G25" s="49"/>
    </row>
    <row r="26" spans="1:7" ht="20.05" customHeight="1" x14ac:dyDescent="0.55000000000000004">
      <c r="A26" s="65" t="s">
        <v>42</v>
      </c>
      <c r="B26" s="59"/>
      <c r="C26" s="53"/>
      <c r="D26" s="53"/>
      <c r="E26" s="53"/>
      <c r="F26" s="60" t="s">
        <v>43</v>
      </c>
      <c r="G26" s="59"/>
    </row>
    <row r="27" spans="1:7" ht="5.05" customHeight="1" x14ac:dyDescent="0.55000000000000004">
      <c r="A27" s="2"/>
      <c r="B27" s="2"/>
      <c r="C27" s="2"/>
      <c r="D27" s="2"/>
      <c r="E27" s="2"/>
      <c r="F27" s="2"/>
      <c r="G27" s="2"/>
    </row>
    <row r="28" spans="1:7" ht="24" customHeight="1" x14ac:dyDescent="0.55000000000000004">
      <c r="A28" s="55" t="s">
        <v>44</v>
      </c>
      <c r="B28" s="56"/>
      <c r="C28" s="56"/>
      <c r="D28" s="56"/>
      <c r="E28" s="56"/>
      <c r="F28" s="56"/>
      <c r="G28" s="56"/>
    </row>
    <row r="29" spans="1:7" ht="32.049999999999997" customHeight="1" x14ac:dyDescent="0.55000000000000004">
      <c r="A29" s="58" t="s">
        <v>45</v>
      </c>
      <c r="B29" s="59"/>
      <c r="C29" s="59"/>
      <c r="D29" s="59"/>
      <c r="E29" s="59"/>
      <c r="F29" s="59"/>
      <c r="G29" s="59"/>
    </row>
    <row r="30" spans="1:7" ht="18" customHeight="1" x14ac:dyDescent="0.55000000000000004">
      <c r="A30" s="3"/>
      <c r="B30" s="3" t="s">
        <v>46</v>
      </c>
      <c r="C30" s="3"/>
      <c r="D30" s="3" t="s">
        <v>47</v>
      </c>
      <c r="E30" s="3"/>
      <c r="F30" s="3" t="s">
        <v>48</v>
      </c>
      <c r="G30" s="3" t="s">
        <v>49</v>
      </c>
    </row>
    <row r="31" spans="1:7" ht="26.05" customHeight="1" x14ac:dyDescent="0.55000000000000004">
      <c r="A31" s="63" t="s">
        <v>50</v>
      </c>
      <c r="B31" s="64"/>
      <c r="C31" s="64"/>
      <c r="D31" s="9"/>
      <c r="E31" s="1"/>
      <c r="F31" s="69" t="s">
        <v>51</v>
      </c>
      <c r="G31" s="64"/>
    </row>
    <row r="32" spans="1:7" ht="26.05" customHeight="1" x14ac:dyDescent="0.55000000000000004">
      <c r="A32" s="63" t="s">
        <v>52</v>
      </c>
      <c r="B32" s="64"/>
      <c r="C32" s="64"/>
      <c r="D32" s="10" t="s">
        <v>9</v>
      </c>
      <c r="E32" s="1"/>
      <c r="F32" s="69" t="s">
        <v>53</v>
      </c>
      <c r="G32" s="64"/>
    </row>
    <row r="33" spans="1:7" ht="26.05" customHeight="1" x14ac:dyDescent="0.55000000000000004">
      <c r="A33" s="63" t="s">
        <v>54</v>
      </c>
      <c r="B33" s="64"/>
      <c r="C33" s="64"/>
      <c r="D33" s="10" t="s">
        <v>9</v>
      </c>
      <c r="E33" s="1"/>
      <c r="F33" s="69" t="s">
        <v>55</v>
      </c>
      <c r="G33" s="64"/>
    </row>
    <row r="34" spans="1:7" ht="26.05" customHeight="1" x14ac:dyDescent="0.55000000000000004">
      <c r="A34" s="63" t="s">
        <v>56</v>
      </c>
      <c r="B34" s="64"/>
      <c r="C34" s="64"/>
      <c r="D34" s="10" t="s">
        <v>9</v>
      </c>
      <c r="E34" s="1"/>
      <c r="F34" s="69" t="s">
        <v>57</v>
      </c>
      <c r="G34" s="64"/>
    </row>
    <row r="35" spans="1:7" ht="28" customHeight="1" x14ac:dyDescent="0.55000000000000004">
      <c r="A35" s="66" t="s">
        <v>58</v>
      </c>
      <c r="B35" s="51"/>
      <c r="C35" s="51"/>
      <c r="D35" s="10" t="str">
        <f>IF(AND(D31&gt;=10,D32="EVET",D33="EVET",D34="EVET"),"EVET — 317 Uygulanabilir","HAYIR — Şart Eksik (387 değerlendirin)")</f>
        <v>HAYIR — Şart Eksik (387 değerlendirin)</v>
      </c>
      <c r="E35" s="7"/>
      <c r="F35" s="70" t="s">
        <v>59</v>
      </c>
      <c r="G35" s="51"/>
    </row>
    <row r="36" spans="1:7" ht="5.05" customHeight="1" x14ac:dyDescent="0.55000000000000004">
      <c r="A36" s="2"/>
      <c r="B36" s="2"/>
      <c r="C36" s="2"/>
      <c r="D36" s="2"/>
      <c r="E36" s="2"/>
      <c r="F36" s="2"/>
      <c r="G36" s="2"/>
    </row>
    <row r="37" spans="1:7" ht="24" customHeight="1" x14ac:dyDescent="0.55000000000000004">
      <c r="A37" s="55" t="s">
        <v>60</v>
      </c>
      <c r="B37" s="56"/>
      <c r="C37" s="56"/>
      <c r="D37" s="56"/>
      <c r="E37" s="56"/>
      <c r="F37" s="56"/>
      <c r="G37" s="56"/>
    </row>
    <row r="38" spans="1:7" ht="40" customHeight="1" x14ac:dyDescent="0.55000000000000004">
      <c r="A38" s="58" t="s">
        <v>61</v>
      </c>
      <c r="B38" s="59"/>
      <c r="C38" s="59"/>
      <c r="D38" s="59"/>
      <c r="E38" s="59"/>
      <c r="F38" s="59"/>
      <c r="G38" s="59"/>
    </row>
    <row r="39" spans="1:7" ht="18" customHeight="1" x14ac:dyDescent="0.55000000000000004">
      <c r="A39" s="3"/>
      <c r="B39" s="3" t="s">
        <v>62</v>
      </c>
      <c r="C39" s="3"/>
      <c r="D39" s="3" t="s">
        <v>63</v>
      </c>
      <c r="E39" s="3"/>
      <c r="F39" s="3" t="s">
        <v>48</v>
      </c>
      <c r="G39" s="3" t="s">
        <v>49</v>
      </c>
    </row>
    <row r="40" spans="1:7" ht="26.05" customHeight="1" x14ac:dyDescent="0.55000000000000004">
      <c r="A40" s="61" t="s">
        <v>64</v>
      </c>
      <c r="B40" s="59"/>
      <c r="C40" s="5" t="s">
        <v>65</v>
      </c>
      <c r="D40" s="60" t="s">
        <v>66</v>
      </c>
      <c r="E40" s="59"/>
      <c r="F40" s="71" t="s">
        <v>67</v>
      </c>
      <c r="G40" s="59"/>
    </row>
    <row r="41" spans="1:7" ht="26.05" customHeight="1" x14ac:dyDescent="0.55000000000000004">
      <c r="A41" s="52" t="s">
        <v>68</v>
      </c>
      <c r="B41" s="49"/>
      <c r="C41" s="8">
        <f>IF(OR(D40="Finansman",D40="Sigortacılık",D40="MK Yatırım Ortaklığı"),25,15)</f>
        <v>15</v>
      </c>
      <c r="D41" s="48" t="s">
        <v>69</v>
      </c>
      <c r="E41" s="49"/>
      <c r="F41" s="57" t="s">
        <v>70</v>
      </c>
      <c r="G41" s="49"/>
    </row>
    <row r="42" spans="1:7" ht="26.05" customHeight="1" x14ac:dyDescent="0.55000000000000004">
      <c r="A42" s="61" t="s">
        <v>71</v>
      </c>
      <c r="B42" s="59"/>
      <c r="C42" s="9"/>
      <c r="D42" s="60" t="s">
        <v>72</v>
      </c>
      <c r="E42" s="59"/>
      <c r="F42" s="71" t="s">
        <v>73</v>
      </c>
      <c r="G42" s="59"/>
    </row>
    <row r="43" spans="1:7" ht="26.05" customHeight="1" x14ac:dyDescent="0.55000000000000004">
      <c r="A43" s="52" t="s">
        <v>74</v>
      </c>
      <c r="B43" s="49"/>
      <c r="C43" s="9"/>
      <c r="D43" s="48" t="s">
        <v>75</v>
      </c>
      <c r="E43" s="49"/>
      <c r="F43" s="57" t="s">
        <v>76</v>
      </c>
      <c r="G43" s="49"/>
    </row>
    <row r="44" spans="1:7" ht="26.05" customHeight="1" x14ac:dyDescent="0.55000000000000004">
      <c r="A44" s="66" t="s">
        <v>77</v>
      </c>
      <c r="B44" s="51"/>
      <c r="C44" s="10" t="e">
        <f>IF(D42&gt;0,D43/D42*100,0)</f>
        <v>#VALUE!</v>
      </c>
      <c r="D44" s="54" t="s">
        <v>78</v>
      </c>
      <c r="E44" s="51"/>
      <c r="F44" s="50" t="s">
        <v>79</v>
      </c>
      <c r="G44" s="51"/>
    </row>
    <row r="45" spans="1:7" ht="26.05" customHeight="1" x14ac:dyDescent="0.55000000000000004">
      <c r="A45" s="66" t="s">
        <v>80</v>
      </c>
      <c r="B45" s="51"/>
      <c r="C45" s="10" t="e">
        <f>IF(C44&gt;=C41,"EVET — Şart 3 Sağlandı",CONCATENATE("HAYIR — ",TEXT(C44,"0.00"),"% &lt; %",TEXT(C41,"0")," Eşiği"))</f>
        <v>#VALUE!</v>
      </c>
      <c r="D45" s="54" t="s">
        <v>81</v>
      </c>
      <c r="E45" s="51"/>
      <c r="F45" s="50" t="s">
        <v>82</v>
      </c>
      <c r="G45" s="51"/>
    </row>
    <row r="46" spans="1:7" ht="5.05" customHeight="1" x14ac:dyDescent="0.55000000000000004">
      <c r="A46" s="2"/>
      <c r="B46" s="2"/>
      <c r="C46" s="2"/>
      <c r="D46" s="2"/>
      <c r="E46" s="2"/>
      <c r="F46" s="2"/>
      <c r="G46" s="2"/>
    </row>
    <row r="47" spans="1:7" ht="22" customHeight="1" x14ac:dyDescent="0.55000000000000004">
      <c r="A47" s="55" t="s">
        <v>83</v>
      </c>
      <c r="B47" s="56"/>
      <c r="C47" s="56"/>
      <c r="D47" s="56"/>
      <c r="E47" s="56"/>
      <c r="F47" s="56"/>
      <c r="G47" s="56"/>
    </row>
    <row r="48" spans="1:7" ht="28" customHeight="1" x14ac:dyDescent="0.55000000000000004">
      <c r="A48" s="58" t="s">
        <v>84</v>
      </c>
      <c r="B48" s="59"/>
      <c r="C48" s="59"/>
      <c r="D48" s="59"/>
      <c r="E48" s="59"/>
      <c r="F48" s="59"/>
      <c r="G48" s="59"/>
    </row>
    <row r="49" spans="1:7" ht="18" customHeight="1" x14ac:dyDescent="0.55000000000000004">
      <c r="A49" s="3"/>
      <c r="B49" s="3" t="s">
        <v>85</v>
      </c>
      <c r="C49" s="3"/>
      <c r="D49" s="3" t="s">
        <v>86</v>
      </c>
      <c r="E49" s="3"/>
      <c r="F49" s="3" t="s">
        <v>48</v>
      </c>
      <c r="G49" s="3" t="s">
        <v>49</v>
      </c>
    </row>
    <row r="50" spans="1:7" ht="26.05" customHeight="1" x14ac:dyDescent="0.55000000000000004">
      <c r="A50" s="61" t="s">
        <v>87</v>
      </c>
      <c r="B50" s="59"/>
      <c r="C50" s="9"/>
      <c r="D50" s="60" t="s">
        <v>88</v>
      </c>
      <c r="E50" s="59"/>
      <c r="F50" s="71" t="s">
        <v>89</v>
      </c>
      <c r="G50" s="59"/>
    </row>
    <row r="51" spans="1:7" ht="26.05" customHeight="1" x14ac:dyDescent="0.55000000000000004">
      <c r="A51" s="52" t="s">
        <v>90</v>
      </c>
      <c r="B51" s="49"/>
      <c r="C51" s="9"/>
      <c r="D51" s="48" t="s">
        <v>88</v>
      </c>
      <c r="E51" s="49"/>
      <c r="F51" s="57" t="s">
        <v>91</v>
      </c>
      <c r="G51" s="49"/>
    </row>
    <row r="52" spans="1:7" ht="26.05" customHeight="1" x14ac:dyDescent="0.55000000000000004">
      <c r="A52" s="66" t="s">
        <v>92</v>
      </c>
      <c r="B52" s="51"/>
      <c r="C52" s="10" t="e">
        <f>IF(AND(D50&lt;&gt;"",D51&lt;&gt;""),D51-D50,0)</f>
        <v>#VALUE!</v>
      </c>
      <c r="D52" s="54" t="s">
        <v>93</v>
      </c>
      <c r="E52" s="51"/>
      <c r="F52" s="50" t="s">
        <v>94</v>
      </c>
      <c r="G52" s="51"/>
    </row>
    <row r="53" spans="1:7" ht="26.05" customHeight="1" x14ac:dyDescent="0.55000000000000004">
      <c r="A53" s="66" t="s">
        <v>95</v>
      </c>
      <c r="B53" s="51"/>
      <c r="C53" s="10" t="e">
        <f>IF(C52&gt;=365,"EVET — 1 Yıl Şartı Sağlandı","HAYIR — Süre Yetersiz")</f>
        <v>#VALUE!</v>
      </c>
      <c r="D53" s="54" t="s">
        <v>81</v>
      </c>
      <c r="E53" s="51"/>
      <c r="F53" s="50" t="s">
        <v>96</v>
      </c>
      <c r="G53" s="51"/>
    </row>
    <row r="54" spans="1:7" ht="5.05" customHeight="1" x14ac:dyDescent="0.55000000000000004">
      <c r="A54" s="2"/>
      <c r="B54" s="2"/>
      <c r="C54" s="2"/>
      <c r="D54" s="2"/>
      <c r="E54" s="2"/>
      <c r="F54" s="2"/>
      <c r="G54" s="2"/>
    </row>
    <row r="55" spans="1:7" ht="24" customHeight="1" x14ac:dyDescent="0.55000000000000004">
      <c r="A55" s="55" t="s">
        <v>97</v>
      </c>
      <c r="B55" s="56"/>
      <c r="C55" s="56"/>
      <c r="D55" s="56"/>
      <c r="E55" s="56"/>
      <c r="F55" s="56"/>
      <c r="G55" s="56"/>
    </row>
    <row r="56" spans="1:7" ht="36" customHeight="1" x14ac:dyDescent="0.55000000000000004">
      <c r="A56" s="58" t="s">
        <v>98</v>
      </c>
      <c r="B56" s="59"/>
      <c r="C56" s="59"/>
      <c r="D56" s="59"/>
      <c r="E56" s="59"/>
      <c r="F56" s="59"/>
      <c r="G56" s="59"/>
    </row>
    <row r="57" spans="1:7" ht="18" customHeight="1" x14ac:dyDescent="0.55000000000000004">
      <c r="A57" s="3"/>
      <c r="B57" s="3" t="s">
        <v>62</v>
      </c>
      <c r="C57" s="3"/>
      <c r="D57" s="3" t="s">
        <v>63</v>
      </c>
      <c r="E57" s="3"/>
      <c r="F57" s="3" t="s">
        <v>48</v>
      </c>
      <c r="G57" s="3" t="s">
        <v>49</v>
      </c>
    </row>
    <row r="58" spans="1:7" ht="26.05" customHeight="1" x14ac:dyDescent="0.55000000000000004">
      <c r="A58" s="52" t="s">
        <v>99</v>
      </c>
      <c r="B58" s="49"/>
      <c r="C58" s="9"/>
      <c r="D58" s="48" t="s">
        <v>100</v>
      </c>
      <c r="E58" s="49"/>
      <c r="F58" s="57" t="s">
        <v>101</v>
      </c>
      <c r="G58" s="49"/>
    </row>
    <row r="59" spans="1:7" ht="26.05" customHeight="1" x14ac:dyDescent="0.55000000000000004">
      <c r="A59" s="61" t="s">
        <v>102</v>
      </c>
      <c r="B59" s="59"/>
      <c r="C59" s="9"/>
      <c r="D59" s="60" t="s">
        <v>103</v>
      </c>
      <c r="E59" s="59"/>
      <c r="F59" s="71" t="s">
        <v>104</v>
      </c>
      <c r="G59" s="59"/>
    </row>
    <row r="60" spans="1:7" ht="26.05" customHeight="1" x14ac:dyDescent="0.55000000000000004">
      <c r="A60" s="52" t="s">
        <v>105</v>
      </c>
      <c r="B60" s="49"/>
      <c r="C60" s="10" t="e">
        <f>D58*D59</f>
        <v>#VALUE!</v>
      </c>
      <c r="D60" s="48" t="s">
        <v>106</v>
      </c>
      <c r="E60" s="49"/>
      <c r="F60" s="57" t="s">
        <v>107</v>
      </c>
      <c r="G60" s="49"/>
    </row>
    <row r="61" spans="1:7" ht="26.05" customHeight="1" x14ac:dyDescent="0.55000000000000004">
      <c r="A61" s="61" t="s">
        <v>108</v>
      </c>
      <c r="B61" s="59"/>
      <c r="C61" s="9"/>
      <c r="D61" s="60" t="s">
        <v>109</v>
      </c>
      <c r="E61" s="59"/>
      <c r="F61" s="71" t="s">
        <v>110</v>
      </c>
      <c r="G61" s="59"/>
    </row>
    <row r="62" spans="1:7" ht="26.05" customHeight="1" x14ac:dyDescent="0.55000000000000004">
      <c r="A62" s="52" t="s">
        <v>111</v>
      </c>
      <c r="B62" s="49"/>
      <c r="C62" s="10" t="e">
        <f>C60-D61</f>
        <v>#VALUE!</v>
      </c>
      <c r="D62" s="48" t="s">
        <v>112</v>
      </c>
      <c r="E62" s="49"/>
      <c r="F62" s="57" t="s">
        <v>113</v>
      </c>
      <c r="G62" s="49"/>
    </row>
    <row r="63" spans="1:7" ht="26.05" customHeight="1" x14ac:dyDescent="0.55000000000000004">
      <c r="A63" s="66" t="s">
        <v>114</v>
      </c>
      <c r="B63" s="51"/>
      <c r="C63" s="12" t="e">
        <f>C60</f>
        <v>#VALUE!</v>
      </c>
      <c r="D63" s="54"/>
      <c r="E63" s="51"/>
      <c r="F63" s="70" t="s">
        <v>115</v>
      </c>
      <c r="G63" s="51"/>
    </row>
    <row r="64" spans="1:7" ht="5.05" customHeight="1" x14ac:dyDescent="0.55000000000000004">
      <c r="A64" s="2"/>
      <c r="B64" s="2"/>
      <c r="C64" s="2"/>
      <c r="D64" s="2"/>
      <c r="E64" s="2"/>
      <c r="F64" s="2"/>
      <c r="G64" s="2"/>
    </row>
    <row r="65" spans="1:7" ht="26.05" customHeight="1" x14ac:dyDescent="0.55000000000000004">
      <c r="A65" s="72" t="s">
        <v>116</v>
      </c>
      <c r="B65" s="56"/>
      <c r="C65" s="56"/>
      <c r="D65" s="56"/>
      <c r="E65" s="56"/>
      <c r="F65" s="56"/>
      <c r="G65" s="56"/>
    </row>
    <row r="66" spans="1:7" ht="30" customHeight="1" x14ac:dyDescent="0.55000000000000004">
      <c r="A66" s="78" t="s">
        <v>117</v>
      </c>
      <c r="B66" s="79"/>
      <c r="C66" s="79"/>
      <c r="D66" s="79"/>
      <c r="E66" s="79"/>
      <c r="F66" s="13" t="e">
        <f>C63</f>
        <v>#VALUE!</v>
      </c>
      <c r="G66" s="11" t="s">
        <v>118</v>
      </c>
    </row>
    <row r="67" spans="1:7" ht="40" customHeight="1" x14ac:dyDescent="0.55000000000000004">
      <c r="A67" s="76" t="s">
        <v>119</v>
      </c>
      <c r="B67" s="77"/>
      <c r="C67" s="77"/>
      <c r="D67" s="77"/>
      <c r="E67" s="77"/>
      <c r="F67" s="77"/>
      <c r="G67" s="77"/>
    </row>
  </sheetData>
  <mergeCells count="117">
    <mergeCell ref="A67:G67"/>
    <mergeCell ref="F50:G50"/>
    <mergeCell ref="A66:E66"/>
    <mergeCell ref="F8:G8"/>
    <mergeCell ref="A21:B21"/>
    <mergeCell ref="A6:G6"/>
    <mergeCell ref="F22:G22"/>
    <mergeCell ref="A23:B23"/>
    <mergeCell ref="A18:G18"/>
    <mergeCell ref="A43:B43"/>
    <mergeCell ref="A12:D12"/>
    <mergeCell ref="F14:G14"/>
    <mergeCell ref="A40:B40"/>
    <mergeCell ref="A47:G47"/>
    <mergeCell ref="A14:D14"/>
    <mergeCell ref="F11:G11"/>
    <mergeCell ref="A24:B24"/>
    <mergeCell ref="A60:B60"/>
    <mergeCell ref="D59:E59"/>
    <mergeCell ref="A29:G29"/>
    <mergeCell ref="D40:E40"/>
    <mergeCell ref="F40:G40"/>
    <mergeCell ref="F59:G59"/>
    <mergeCell ref="F12:G12"/>
    <mergeCell ref="A1:G1"/>
    <mergeCell ref="F62:G62"/>
    <mergeCell ref="A31:C31"/>
    <mergeCell ref="F31:G31"/>
    <mergeCell ref="A65:G65"/>
    <mergeCell ref="F9:G9"/>
    <mergeCell ref="C24:E24"/>
    <mergeCell ref="F61:G61"/>
    <mergeCell ref="A52:B52"/>
    <mergeCell ref="A3:G3"/>
    <mergeCell ref="A63:B63"/>
    <mergeCell ref="A55:G55"/>
    <mergeCell ref="C26:E26"/>
    <mergeCell ref="A8:D8"/>
    <mergeCell ref="D63:E63"/>
    <mergeCell ref="A4:G4"/>
    <mergeCell ref="A38:G38"/>
    <mergeCell ref="A10:D10"/>
    <mergeCell ref="F21:G21"/>
    <mergeCell ref="D52:E52"/>
    <mergeCell ref="F53:G53"/>
    <mergeCell ref="A2:G2"/>
    <mergeCell ref="F24:G24"/>
    <mergeCell ref="A33:C33"/>
    <mergeCell ref="F10:G10"/>
    <mergeCell ref="F19:G19"/>
    <mergeCell ref="C22:E22"/>
    <mergeCell ref="F34:G34"/>
    <mergeCell ref="A45:B45"/>
    <mergeCell ref="F63:G63"/>
    <mergeCell ref="A61:B61"/>
    <mergeCell ref="A9:D9"/>
    <mergeCell ref="A32:C32"/>
    <mergeCell ref="F20:G20"/>
    <mergeCell ref="F33:G33"/>
    <mergeCell ref="F45:G45"/>
    <mergeCell ref="F42:G42"/>
    <mergeCell ref="A11:D11"/>
    <mergeCell ref="D53:E53"/>
    <mergeCell ref="A26:B26"/>
    <mergeCell ref="A25:B25"/>
    <mergeCell ref="F51:G51"/>
    <mergeCell ref="F32:G32"/>
    <mergeCell ref="D41:E41"/>
    <mergeCell ref="A35:C35"/>
    <mergeCell ref="F26:G26"/>
    <mergeCell ref="F41:G41"/>
    <mergeCell ref="F35:G35"/>
    <mergeCell ref="D61:E61"/>
    <mergeCell ref="F23:G23"/>
    <mergeCell ref="A42:B42"/>
    <mergeCell ref="D62:E62"/>
    <mergeCell ref="A16:D16"/>
    <mergeCell ref="F13:G13"/>
    <mergeCell ref="A34:C34"/>
    <mergeCell ref="A22:B22"/>
    <mergeCell ref="A53:B53"/>
    <mergeCell ref="A37:G37"/>
    <mergeCell ref="F43:G43"/>
    <mergeCell ref="A62:B62"/>
    <mergeCell ref="A19:B19"/>
    <mergeCell ref="D51:E51"/>
    <mergeCell ref="C20:E20"/>
    <mergeCell ref="C25:E25"/>
    <mergeCell ref="A59:B59"/>
    <mergeCell ref="A50:B50"/>
    <mergeCell ref="C19:E19"/>
    <mergeCell ref="D43:E43"/>
    <mergeCell ref="D58:E58"/>
    <mergeCell ref="F58:G58"/>
    <mergeCell ref="F52:G52"/>
    <mergeCell ref="A20:B20"/>
    <mergeCell ref="D60:E60"/>
    <mergeCell ref="F16:G16"/>
    <mergeCell ref="A51:B51"/>
    <mergeCell ref="F25:G25"/>
    <mergeCell ref="C21:E21"/>
    <mergeCell ref="D45:E45"/>
    <mergeCell ref="A13:D13"/>
    <mergeCell ref="A28:G28"/>
    <mergeCell ref="F15:G15"/>
    <mergeCell ref="A41:B41"/>
    <mergeCell ref="C23:E23"/>
    <mergeCell ref="A48:G48"/>
    <mergeCell ref="A15:D15"/>
    <mergeCell ref="D42:E42"/>
    <mergeCell ref="A56:G56"/>
    <mergeCell ref="F60:G60"/>
    <mergeCell ref="A44:B44"/>
    <mergeCell ref="D50:E50"/>
    <mergeCell ref="D44:E44"/>
    <mergeCell ref="A58:B58"/>
    <mergeCell ref="F44:G44"/>
  </mergeCells>
  <conditionalFormatting sqref="C45">
    <cfRule type="containsText" dxfId="11" priority="5" operator="containsText" text="Sağlandı">
      <formula>NOT(ISERROR(SEARCH("Sağlandı",C45)))</formula>
    </cfRule>
    <cfRule type="containsText" dxfId="10" priority="6" operator="containsText" text="HAYIR">
      <formula>NOT(ISERROR(SEARCH("HAYIR",C45)))</formula>
    </cfRule>
  </conditionalFormatting>
  <conditionalFormatting sqref="C53">
    <cfRule type="containsText" dxfId="9" priority="7" operator="containsText" text="Sağlandı">
      <formula>NOT(ISERROR(SEARCH("Sağlandı",C53)))</formula>
    </cfRule>
    <cfRule type="containsText" dxfId="8" priority="8" operator="containsText" text="HAYIR">
      <formula>NOT(ISERROR(SEARCH("HAYIR",C53)))</formula>
    </cfRule>
  </conditionalFormatting>
  <conditionalFormatting sqref="D35">
    <cfRule type="containsText" dxfId="7" priority="3" operator="containsText" text="EVET">
      <formula>NOT(ISERROR(SEARCH("EVET",D35)))</formula>
    </cfRule>
    <cfRule type="containsText" dxfId="6" priority="4" operator="containsText" text="HAYIR">
      <formula>NOT(ISERROR(SEARCH("HAYIR",D35)))</formula>
    </cfRule>
  </conditionalFormatting>
  <conditionalFormatting sqref="E16">
    <cfRule type="containsText" dxfId="5" priority="1" operator="containsText" text="OK">
      <formula>NOT(ISERROR(SEARCH("OK",E16)))</formula>
    </cfRule>
    <cfRule type="containsText" dxfId="4" priority="2" operator="containsText" text="HATA">
      <formula>NOT(ISERROR(SEARCH("HATA",E16)))</formula>
    </cfRule>
  </conditionalFormatting>
  <dataValidations count="6">
    <dataValidation type="list" sqref="D32:D33 E13 E8:E11" xr:uid="{00000000-0002-0000-0000-000000000000}">
      <formula1>"EVET,HAYIR"</formula1>
    </dataValidation>
    <dataValidation type="list" sqref="E12" xr:uid="{00000000-0002-0000-0000-000004000000}">
      <formula1>"EVET,HAYIR-Kısmi Transfer"</formula1>
    </dataValidation>
    <dataValidation type="list" sqref="E14" xr:uid="{00000000-0002-0000-0000-000006000000}">
      <formula1>"EVET,HAYIR-Risk"</formula1>
    </dataValidation>
    <dataValidation type="list" sqref="E15" xr:uid="{00000000-0002-0000-0000-000007000000}">
      <formula1>"EVET,Tam Tasdik"</formula1>
    </dataValidation>
    <dataValidation type="list" sqref="D34" xr:uid="{00000000-0002-0000-0000-00000A000000}">
      <formula1>"EVET,HAYIR-Kısmi"</formula1>
    </dataValidation>
    <dataValidation type="list" sqref="C40" xr:uid="{00000000-0002-0000-0000-00000B000000}">
      <formula1>"Genel,Finansman,Sigortacılık,MK Yatırım Ortaklığı"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7"/>
  <sheetViews>
    <sheetView workbookViewId="0"/>
  </sheetViews>
  <sheetFormatPr defaultRowHeight="14.4" x14ac:dyDescent="0.55000000000000004"/>
  <cols>
    <col min="1" max="1" width="4" customWidth="1"/>
    <col min="2" max="2" width="36" customWidth="1"/>
    <col min="3" max="4" width="16" customWidth="1"/>
    <col min="5" max="5" width="14" customWidth="1"/>
    <col min="6" max="6" width="12" customWidth="1"/>
    <col min="7" max="7" width="18" customWidth="1"/>
  </cols>
  <sheetData>
    <row r="1" spans="1:7" ht="36" customHeight="1" x14ac:dyDescent="0.55000000000000004">
      <c r="A1" s="96" t="s">
        <v>120</v>
      </c>
      <c r="B1" s="56"/>
      <c r="C1" s="56"/>
      <c r="D1" s="56"/>
      <c r="E1" s="56"/>
      <c r="F1" s="56"/>
      <c r="G1" s="56"/>
    </row>
    <row r="2" spans="1:7" ht="20.05" customHeight="1" x14ac:dyDescent="0.55000000000000004">
      <c r="A2" s="82" t="s">
        <v>121</v>
      </c>
      <c r="B2" s="83"/>
      <c r="C2" s="83"/>
      <c r="D2" s="83"/>
      <c r="E2" s="83"/>
      <c r="F2" s="83"/>
      <c r="G2" s="83"/>
    </row>
    <row r="3" spans="1:7" ht="5.05" customHeight="1" x14ac:dyDescent="0.55000000000000004">
      <c r="A3" s="2"/>
      <c r="B3" s="2"/>
      <c r="C3" s="2"/>
      <c r="D3" s="2"/>
      <c r="E3" s="2"/>
      <c r="F3" s="2"/>
      <c r="G3" s="2"/>
    </row>
    <row r="4" spans="1:7" ht="22" customHeight="1" x14ac:dyDescent="0.55000000000000004">
      <c r="A4" s="55" t="s">
        <v>122</v>
      </c>
      <c r="B4" s="56"/>
      <c r="C4" s="56"/>
      <c r="D4" s="56"/>
      <c r="E4" s="56"/>
      <c r="F4" s="56"/>
      <c r="G4" s="56"/>
    </row>
    <row r="5" spans="1:7" ht="22" customHeight="1" x14ac:dyDescent="0.55000000000000004">
      <c r="A5" s="67" t="s">
        <v>123</v>
      </c>
      <c r="B5" s="49"/>
      <c r="C5" s="49"/>
      <c r="D5" s="14" t="str">
        <f>'VERİ GİRİŞİ'!E16</f>
        <v>OK - Hesaplanabilir</v>
      </c>
      <c r="E5" s="57" t="s">
        <v>124</v>
      </c>
      <c r="F5" s="49"/>
      <c r="G5" s="49"/>
    </row>
    <row r="6" spans="1:7" ht="22" customHeight="1" x14ac:dyDescent="0.55000000000000004">
      <c r="A6" s="65" t="s">
        <v>125</v>
      </c>
      <c r="B6" s="59"/>
      <c r="C6" s="59"/>
      <c r="D6" s="14">
        <f>'VERİ GİRİŞİ'!D31</f>
        <v>0</v>
      </c>
      <c r="E6" s="71" t="s">
        <v>126</v>
      </c>
      <c r="F6" s="59"/>
      <c r="G6" s="59"/>
    </row>
    <row r="7" spans="1:7" ht="22" customHeight="1" x14ac:dyDescent="0.55000000000000004">
      <c r="A7" s="67" t="s">
        <v>127</v>
      </c>
      <c r="B7" s="49"/>
      <c r="C7" s="49"/>
      <c r="D7" s="14" t="e">
        <f>'VERİ GİRİŞİ'!C53</f>
        <v>#VALUE!</v>
      </c>
      <c r="E7" s="57" t="s">
        <v>128</v>
      </c>
      <c r="F7" s="49"/>
      <c r="G7" s="49"/>
    </row>
    <row r="8" spans="1:7" ht="22" customHeight="1" x14ac:dyDescent="0.55000000000000004">
      <c r="A8" s="65" t="s">
        <v>129</v>
      </c>
      <c r="B8" s="59"/>
      <c r="C8" s="59"/>
      <c r="D8" s="14" t="e">
        <f>'VERİ GİRİŞİ'!C45</f>
        <v>#VALUE!</v>
      </c>
      <c r="E8" s="71" t="s">
        <v>130</v>
      </c>
      <c r="F8" s="59"/>
      <c r="G8" s="59"/>
    </row>
    <row r="9" spans="1:7" ht="22" customHeight="1" x14ac:dyDescent="0.55000000000000004">
      <c r="A9" s="67" t="s">
        <v>131</v>
      </c>
      <c r="B9" s="49"/>
      <c r="C9" s="49"/>
      <c r="D9" s="14" t="str">
        <f>'VERİ GİRİŞİ'!D34</f>
        <v>EVET</v>
      </c>
      <c r="E9" s="57" t="s">
        <v>132</v>
      </c>
      <c r="F9" s="49"/>
      <c r="G9" s="49"/>
    </row>
    <row r="10" spans="1:7" ht="22" customHeight="1" x14ac:dyDescent="0.55000000000000004">
      <c r="A10" s="62" t="s">
        <v>133</v>
      </c>
      <c r="B10" s="51"/>
      <c r="C10" s="51"/>
      <c r="D10" s="10" t="str">
        <f>'VERİ GİRİŞİ'!D35</f>
        <v>HAYIR — Şart Eksik (387 değerlendirin)</v>
      </c>
      <c r="E10" s="101" t="s">
        <v>134</v>
      </c>
      <c r="F10" s="51"/>
      <c r="G10" s="51"/>
    </row>
    <row r="11" spans="1:7" ht="22" customHeight="1" x14ac:dyDescent="0.55000000000000004">
      <c r="A11" s="65" t="s">
        <v>135</v>
      </c>
      <c r="B11" s="59"/>
      <c r="C11" s="59"/>
      <c r="D11" s="14" t="e">
        <f>'VERİ GİRİŞİ'!C60</f>
        <v>#VALUE!</v>
      </c>
      <c r="E11" s="71" t="s">
        <v>136</v>
      </c>
      <c r="F11" s="59"/>
      <c r="G11" s="59"/>
    </row>
    <row r="12" spans="1:7" ht="22" customHeight="1" x14ac:dyDescent="0.55000000000000004">
      <c r="A12" s="62" t="s">
        <v>137</v>
      </c>
      <c r="B12" s="51"/>
      <c r="C12" s="51"/>
      <c r="D12" s="10" t="e">
        <f>'VERİ GİRİŞİ'!C63</f>
        <v>#VALUE!</v>
      </c>
      <c r="E12" s="101"/>
      <c r="F12" s="51"/>
      <c r="G12" s="51"/>
    </row>
    <row r="13" spans="1:7" ht="22" customHeight="1" x14ac:dyDescent="0.55000000000000004">
      <c r="A13" s="67" t="s">
        <v>138</v>
      </c>
      <c r="B13" s="49"/>
      <c r="C13" s="49"/>
      <c r="D13" s="14" t="e">
        <f>'VERİ GİRİŞİ'!C44</f>
        <v>#VALUE!</v>
      </c>
      <c r="E13" s="57" t="s">
        <v>139</v>
      </c>
      <c r="F13" s="49"/>
      <c r="G13" s="49"/>
    </row>
    <row r="14" spans="1:7" ht="22" customHeight="1" x14ac:dyDescent="0.55000000000000004">
      <c r="A14" s="65" t="s">
        <v>140</v>
      </c>
      <c r="B14" s="59"/>
      <c r="C14" s="59"/>
      <c r="D14" s="14">
        <f>'VERİ GİRİŞİ'!C41</f>
        <v>15</v>
      </c>
      <c r="E14" s="71" t="s">
        <v>141</v>
      </c>
      <c r="F14" s="59"/>
      <c r="G14" s="59"/>
    </row>
    <row r="15" spans="1:7" ht="5.05" customHeight="1" x14ac:dyDescent="0.55000000000000004">
      <c r="A15" s="2"/>
      <c r="B15" s="2"/>
      <c r="C15" s="2"/>
      <c r="D15" s="2"/>
      <c r="E15" s="2"/>
      <c r="F15" s="2"/>
      <c r="G15" s="2"/>
    </row>
    <row r="16" spans="1:7" ht="22" customHeight="1" x14ac:dyDescent="0.55000000000000004">
      <c r="A16" s="55" t="s">
        <v>142</v>
      </c>
      <c r="B16" s="56"/>
      <c r="C16" s="56"/>
      <c r="D16" s="56"/>
      <c r="E16" s="56"/>
      <c r="F16" s="56"/>
      <c r="G16" s="56"/>
    </row>
    <row r="17" spans="1:7" ht="18" customHeight="1" x14ac:dyDescent="0.55000000000000004">
      <c r="A17" s="3"/>
      <c r="B17" s="3" t="s">
        <v>143</v>
      </c>
      <c r="C17" s="3"/>
      <c r="D17" s="3" t="s">
        <v>144</v>
      </c>
      <c r="E17" s="3"/>
      <c r="F17" s="3" t="s">
        <v>145</v>
      </c>
      <c r="G17" s="3"/>
    </row>
    <row r="18" spans="1:7" ht="22" customHeight="1" x14ac:dyDescent="0.55000000000000004">
      <c r="A18" s="65" t="s">
        <v>146</v>
      </c>
      <c r="B18" s="59"/>
      <c r="C18" s="99" t="s">
        <v>147</v>
      </c>
      <c r="D18" s="59"/>
      <c r="E18" s="100" t="s">
        <v>148</v>
      </c>
      <c r="F18" s="59"/>
      <c r="G18" s="4"/>
    </row>
    <row r="19" spans="1:7" ht="22" customHeight="1" x14ac:dyDescent="0.55000000000000004">
      <c r="A19" s="67" t="s">
        <v>149</v>
      </c>
      <c r="B19" s="49"/>
      <c r="C19" s="90" t="s">
        <v>150</v>
      </c>
      <c r="D19" s="49"/>
      <c r="E19" s="84" t="s">
        <v>151</v>
      </c>
      <c r="F19" s="49"/>
      <c r="G19" s="6"/>
    </row>
    <row r="20" spans="1:7" ht="22" customHeight="1" x14ac:dyDescent="0.55000000000000004">
      <c r="A20" s="65" t="s">
        <v>152</v>
      </c>
      <c r="B20" s="59"/>
      <c r="C20" s="99" t="s">
        <v>153</v>
      </c>
      <c r="D20" s="59"/>
      <c r="E20" s="100" t="s">
        <v>151</v>
      </c>
      <c r="F20" s="59"/>
      <c r="G20" s="4"/>
    </row>
    <row r="21" spans="1:7" ht="22" customHeight="1" x14ac:dyDescent="0.55000000000000004">
      <c r="A21" s="67" t="s">
        <v>154</v>
      </c>
      <c r="B21" s="49"/>
      <c r="C21" s="90" t="s">
        <v>155</v>
      </c>
      <c r="D21" s="49"/>
      <c r="E21" s="84" t="s">
        <v>155</v>
      </c>
      <c r="F21" s="49"/>
      <c r="G21" s="6"/>
    </row>
    <row r="22" spans="1:7" ht="22" customHeight="1" x14ac:dyDescent="0.55000000000000004">
      <c r="A22" s="65" t="s">
        <v>156</v>
      </c>
      <c r="B22" s="59"/>
      <c r="C22" s="102" t="s">
        <v>157</v>
      </c>
      <c r="D22" s="51"/>
      <c r="E22" s="91" t="s">
        <v>158</v>
      </c>
      <c r="F22" s="92"/>
      <c r="G22" s="4"/>
    </row>
    <row r="23" spans="1:7" ht="22" customHeight="1" x14ac:dyDescent="0.55000000000000004">
      <c r="A23" s="67" t="s">
        <v>159</v>
      </c>
      <c r="B23" s="49"/>
      <c r="C23" s="90" t="s">
        <v>160</v>
      </c>
      <c r="D23" s="49"/>
      <c r="E23" s="84" t="s">
        <v>161</v>
      </c>
      <c r="F23" s="49"/>
      <c r="G23" s="6"/>
    </row>
    <row r="24" spans="1:7" ht="22" customHeight="1" x14ac:dyDescent="0.55000000000000004">
      <c r="A24" s="65" t="s">
        <v>162</v>
      </c>
      <c r="B24" s="59"/>
      <c r="C24" s="99" t="s">
        <v>163</v>
      </c>
      <c r="D24" s="59"/>
      <c r="E24" s="100" t="s">
        <v>163</v>
      </c>
      <c r="F24" s="59"/>
      <c r="G24" s="4"/>
    </row>
    <row r="25" spans="1:7" ht="22" customHeight="1" x14ac:dyDescent="0.55000000000000004">
      <c r="A25" s="67" t="s">
        <v>164</v>
      </c>
      <c r="B25" s="49"/>
      <c r="C25" s="90" t="s">
        <v>165</v>
      </c>
      <c r="D25" s="49"/>
      <c r="E25" s="84" t="s">
        <v>166</v>
      </c>
      <c r="F25" s="49"/>
      <c r="G25" s="6"/>
    </row>
    <row r="26" spans="1:7" ht="22" customHeight="1" x14ac:dyDescent="0.55000000000000004">
      <c r="A26" s="65" t="s">
        <v>167</v>
      </c>
      <c r="B26" s="59"/>
      <c r="C26" s="102" t="s">
        <v>168</v>
      </c>
      <c r="D26" s="51"/>
      <c r="E26" s="91" t="s">
        <v>169</v>
      </c>
      <c r="F26" s="92"/>
      <c r="G26" s="4"/>
    </row>
    <row r="27" spans="1:7" ht="5.05" customHeight="1" x14ac:dyDescent="0.55000000000000004">
      <c r="A27" s="2"/>
      <c r="B27" s="2"/>
      <c r="C27" s="2"/>
      <c r="D27" s="2"/>
      <c r="E27" s="2"/>
      <c r="F27" s="2"/>
      <c r="G27" s="2"/>
    </row>
    <row r="28" spans="1:7" ht="22" customHeight="1" x14ac:dyDescent="0.55000000000000004">
      <c r="A28" s="55" t="s">
        <v>170</v>
      </c>
      <c r="B28" s="56"/>
      <c r="C28" s="56"/>
      <c r="D28" s="56"/>
      <c r="E28" s="56"/>
      <c r="F28" s="56"/>
      <c r="G28" s="56"/>
    </row>
    <row r="29" spans="1:7" ht="18" customHeight="1" x14ac:dyDescent="0.55000000000000004">
      <c r="A29" s="3"/>
      <c r="B29" s="3" t="s">
        <v>171</v>
      </c>
      <c r="C29" s="3"/>
      <c r="D29" s="3" t="s">
        <v>172</v>
      </c>
      <c r="E29" s="3"/>
      <c r="F29" s="3" t="s">
        <v>173</v>
      </c>
      <c r="G29" s="3" t="s">
        <v>174</v>
      </c>
    </row>
    <row r="30" spans="1:7" ht="26.05" customHeight="1" x14ac:dyDescent="0.55000000000000004">
      <c r="A30" s="15" t="s">
        <v>175</v>
      </c>
      <c r="B30" s="88" t="s">
        <v>176</v>
      </c>
      <c r="C30" s="59"/>
      <c r="D30" s="97" t="s">
        <v>177</v>
      </c>
      <c r="E30" s="98"/>
      <c r="F30" s="18" t="s">
        <v>178</v>
      </c>
      <c r="G30" s="4"/>
    </row>
    <row r="31" spans="1:7" ht="26.05" customHeight="1" x14ac:dyDescent="0.55000000000000004">
      <c r="A31" s="15" t="s">
        <v>179</v>
      </c>
      <c r="B31" s="85" t="s">
        <v>180</v>
      </c>
      <c r="C31" s="64"/>
      <c r="D31" s="86" t="s">
        <v>181</v>
      </c>
      <c r="E31" s="87"/>
      <c r="F31" s="18" t="s">
        <v>178</v>
      </c>
      <c r="G31" s="6"/>
    </row>
    <row r="32" spans="1:7" ht="26.05" customHeight="1" x14ac:dyDescent="0.55000000000000004">
      <c r="A32" s="15" t="s">
        <v>182</v>
      </c>
      <c r="B32" s="85" t="s">
        <v>183</v>
      </c>
      <c r="C32" s="64"/>
      <c r="D32" s="86" t="s">
        <v>184</v>
      </c>
      <c r="E32" s="87"/>
      <c r="F32" s="18" t="s">
        <v>178</v>
      </c>
      <c r="G32" s="4"/>
    </row>
    <row r="33" spans="1:7" ht="26.05" customHeight="1" x14ac:dyDescent="0.55000000000000004">
      <c r="A33" s="15" t="s">
        <v>185</v>
      </c>
      <c r="B33" s="85" t="s">
        <v>186</v>
      </c>
      <c r="C33" s="64"/>
      <c r="D33" s="86" t="s">
        <v>187</v>
      </c>
      <c r="E33" s="87"/>
      <c r="F33" s="18" t="s">
        <v>178</v>
      </c>
      <c r="G33" s="6"/>
    </row>
    <row r="34" spans="1:7" ht="26.05" customHeight="1" x14ac:dyDescent="0.55000000000000004">
      <c r="A34" s="15" t="s">
        <v>188</v>
      </c>
      <c r="B34" s="85" t="s">
        <v>189</v>
      </c>
      <c r="C34" s="64"/>
      <c r="D34" s="86" t="s">
        <v>190</v>
      </c>
      <c r="E34" s="87"/>
      <c r="F34" s="18" t="s">
        <v>178</v>
      </c>
      <c r="G34" s="4"/>
    </row>
    <row r="35" spans="1:7" ht="26.05" customHeight="1" x14ac:dyDescent="0.55000000000000004">
      <c r="A35" s="15" t="s">
        <v>191</v>
      </c>
      <c r="B35" s="93" t="s">
        <v>192</v>
      </c>
      <c r="C35" s="49"/>
      <c r="D35" s="94" t="s">
        <v>193</v>
      </c>
      <c r="E35" s="49"/>
      <c r="F35" s="18" t="s">
        <v>178</v>
      </c>
      <c r="G35" s="6"/>
    </row>
    <row r="36" spans="1:7" ht="26.05" customHeight="1" x14ac:dyDescent="0.55000000000000004">
      <c r="A36" s="15" t="s">
        <v>194</v>
      </c>
      <c r="B36" s="85" t="s">
        <v>195</v>
      </c>
      <c r="C36" s="64"/>
      <c r="D36" s="86" t="s">
        <v>196</v>
      </c>
      <c r="E36" s="87"/>
      <c r="F36" s="18" t="s">
        <v>178</v>
      </c>
      <c r="G36" s="4"/>
    </row>
    <row r="37" spans="1:7" ht="26.05" customHeight="1" x14ac:dyDescent="0.55000000000000004">
      <c r="A37" s="15" t="s">
        <v>197</v>
      </c>
      <c r="B37" s="93" t="s">
        <v>198</v>
      </c>
      <c r="C37" s="49"/>
      <c r="D37" s="94" t="s">
        <v>199</v>
      </c>
      <c r="E37" s="49"/>
      <c r="F37" s="18" t="s">
        <v>178</v>
      </c>
      <c r="G37" s="6"/>
    </row>
    <row r="38" spans="1:7" ht="26.05" customHeight="1" x14ac:dyDescent="0.55000000000000004">
      <c r="A38" s="15" t="s">
        <v>200</v>
      </c>
      <c r="B38" s="88" t="s">
        <v>201</v>
      </c>
      <c r="C38" s="59"/>
      <c r="D38" s="97" t="s">
        <v>202</v>
      </c>
      <c r="E38" s="98"/>
      <c r="F38" s="18" t="s">
        <v>178</v>
      </c>
      <c r="G38" s="4"/>
    </row>
    <row r="39" spans="1:7" ht="26.05" customHeight="1" x14ac:dyDescent="0.55000000000000004">
      <c r="A39" s="15" t="s">
        <v>203</v>
      </c>
      <c r="B39" s="93" t="s">
        <v>204</v>
      </c>
      <c r="C39" s="49"/>
      <c r="D39" s="94" t="s">
        <v>205</v>
      </c>
      <c r="E39" s="49"/>
      <c r="F39" s="18" t="s">
        <v>178</v>
      </c>
      <c r="G39" s="6"/>
    </row>
    <row r="40" spans="1:7" ht="26.05" customHeight="1" x14ac:dyDescent="0.55000000000000004">
      <c r="A40" s="15" t="s">
        <v>206</v>
      </c>
      <c r="B40" s="88" t="s">
        <v>207</v>
      </c>
      <c r="C40" s="59"/>
      <c r="D40" s="97" t="s">
        <v>208</v>
      </c>
      <c r="E40" s="98"/>
      <c r="F40" s="18" t="s">
        <v>178</v>
      </c>
      <c r="G40" s="4"/>
    </row>
    <row r="41" spans="1:7" ht="26.05" customHeight="1" x14ac:dyDescent="0.55000000000000004">
      <c r="A41" s="15" t="s">
        <v>209</v>
      </c>
      <c r="B41" s="93" t="s">
        <v>210</v>
      </c>
      <c r="C41" s="49"/>
      <c r="D41" s="94" t="s">
        <v>211</v>
      </c>
      <c r="E41" s="49"/>
      <c r="F41" s="18" t="s">
        <v>178</v>
      </c>
      <c r="G41" s="6"/>
    </row>
    <row r="42" spans="1:7" ht="5.05" customHeight="1" x14ac:dyDescent="0.55000000000000004">
      <c r="A42" s="2"/>
      <c r="B42" s="2"/>
      <c r="C42" s="2"/>
      <c r="D42" s="2"/>
      <c r="E42" s="2"/>
      <c r="F42" s="2"/>
      <c r="G42" s="2"/>
    </row>
    <row r="43" spans="1:7" ht="22" customHeight="1" x14ac:dyDescent="0.55000000000000004">
      <c r="A43" s="55" t="s">
        <v>212</v>
      </c>
      <c r="B43" s="56"/>
      <c r="C43" s="56"/>
      <c r="D43" s="56"/>
      <c r="E43" s="56"/>
      <c r="F43" s="56"/>
      <c r="G43" s="56"/>
    </row>
    <row r="44" spans="1:7" ht="18" customHeight="1" x14ac:dyDescent="0.55000000000000004">
      <c r="A44" s="3"/>
      <c r="B44" s="3" t="s">
        <v>213</v>
      </c>
      <c r="C44" s="3"/>
      <c r="D44" s="3" t="s">
        <v>214</v>
      </c>
      <c r="E44" s="3"/>
      <c r="F44" s="3" t="s">
        <v>48</v>
      </c>
      <c r="G44" s="3"/>
    </row>
    <row r="45" spans="1:7" ht="24" customHeight="1" x14ac:dyDescent="0.55000000000000004">
      <c r="A45" s="95" t="s">
        <v>165</v>
      </c>
      <c r="B45" s="51"/>
      <c r="C45" s="10" t="e">
        <f>'VERİ GİRİŞİ'!C63</f>
        <v>#VALUE!</v>
      </c>
      <c r="D45" s="89" t="s">
        <v>215</v>
      </c>
      <c r="E45" s="51"/>
      <c r="F45" s="51"/>
      <c r="G45" s="51"/>
    </row>
    <row r="46" spans="1:7" ht="24" customHeight="1" x14ac:dyDescent="0.55000000000000004">
      <c r="A46" s="65" t="s">
        <v>166</v>
      </c>
      <c r="B46" s="59"/>
      <c r="C46" s="21" t="s">
        <v>216</v>
      </c>
      <c r="D46" s="103" t="s">
        <v>217</v>
      </c>
      <c r="E46" s="59"/>
      <c r="F46" s="59"/>
      <c r="G46" s="59"/>
    </row>
    <row r="47" spans="1:7" ht="24" customHeight="1" x14ac:dyDescent="0.55000000000000004">
      <c r="A47" s="104" t="s">
        <v>218</v>
      </c>
      <c r="B47" s="64"/>
      <c r="C47" s="22" t="s">
        <v>219</v>
      </c>
      <c r="D47" s="68" t="s">
        <v>220</v>
      </c>
      <c r="E47" s="64"/>
      <c r="F47" s="64"/>
      <c r="G47" s="64"/>
    </row>
  </sheetData>
  <mergeCells count="83">
    <mergeCell ref="E5:G5"/>
    <mergeCell ref="B36:C36"/>
    <mergeCell ref="E21:F21"/>
    <mergeCell ref="D46:G46"/>
    <mergeCell ref="A10:C10"/>
    <mergeCell ref="A47:B47"/>
    <mergeCell ref="A9:C9"/>
    <mergeCell ref="A20:B20"/>
    <mergeCell ref="A11:C11"/>
    <mergeCell ref="D47:G47"/>
    <mergeCell ref="E8:G8"/>
    <mergeCell ref="D38:E38"/>
    <mergeCell ref="C18:D18"/>
    <mergeCell ref="A7:C7"/>
    <mergeCell ref="E18:F18"/>
    <mergeCell ref="E10:G10"/>
    <mergeCell ref="E9:G9"/>
    <mergeCell ref="A43:G43"/>
    <mergeCell ref="C20:D20"/>
    <mergeCell ref="E20:F20"/>
    <mergeCell ref="E11:G11"/>
    <mergeCell ref="C22:D22"/>
    <mergeCell ref="A21:B21"/>
    <mergeCell ref="C21:D21"/>
    <mergeCell ref="B34:C34"/>
    <mergeCell ref="A1:G1"/>
    <mergeCell ref="B37:C37"/>
    <mergeCell ref="D37:E37"/>
    <mergeCell ref="E26:F26"/>
    <mergeCell ref="D39:E39"/>
    <mergeCell ref="E25:F25"/>
    <mergeCell ref="A4:G4"/>
    <mergeCell ref="E12:G12"/>
    <mergeCell ref="A16:G16"/>
    <mergeCell ref="A23:B23"/>
    <mergeCell ref="C23:D23"/>
    <mergeCell ref="B30:C30"/>
    <mergeCell ref="D30:E30"/>
    <mergeCell ref="E14:G14"/>
    <mergeCell ref="A2:G2"/>
    <mergeCell ref="A24:B24"/>
    <mergeCell ref="A5:C5"/>
    <mergeCell ref="A14:C14"/>
    <mergeCell ref="A46:B46"/>
    <mergeCell ref="A26:B26"/>
    <mergeCell ref="A13:C13"/>
    <mergeCell ref="C24:D24"/>
    <mergeCell ref="D40:E40"/>
    <mergeCell ref="C26:D26"/>
    <mergeCell ref="B39:C39"/>
    <mergeCell ref="A25:B25"/>
    <mergeCell ref="C25:D25"/>
    <mergeCell ref="A8:C8"/>
    <mergeCell ref="E19:F19"/>
    <mergeCell ref="D32:E32"/>
    <mergeCell ref="D41:E41"/>
    <mergeCell ref="A18:B18"/>
    <mergeCell ref="A6:C6"/>
    <mergeCell ref="C19:D19"/>
    <mergeCell ref="E22:F22"/>
    <mergeCell ref="B32:C32"/>
    <mergeCell ref="B41:C41"/>
    <mergeCell ref="B35:C35"/>
    <mergeCell ref="D35:E35"/>
    <mergeCell ref="D34:E34"/>
    <mergeCell ref="A12:C12"/>
    <mergeCell ref="E6:G6"/>
    <mergeCell ref="E24:F24"/>
    <mergeCell ref="E7:G7"/>
    <mergeCell ref="B38:C38"/>
    <mergeCell ref="D45:G45"/>
    <mergeCell ref="B40:C40"/>
    <mergeCell ref="A22:B22"/>
    <mergeCell ref="B33:C33"/>
    <mergeCell ref="D33:E33"/>
    <mergeCell ref="A19:B19"/>
    <mergeCell ref="A45:B45"/>
    <mergeCell ref="E13:G13"/>
    <mergeCell ref="E23:F23"/>
    <mergeCell ref="B31:C31"/>
    <mergeCell ref="D36:E36"/>
    <mergeCell ref="D31:E31"/>
    <mergeCell ref="A28:G28"/>
  </mergeCells>
  <conditionalFormatting sqref="D5">
    <cfRule type="containsText" dxfId="3" priority="1" operator="containsText" text="OK">
      <formula>NOT(ISERROR(SEARCH("OK",D5)))</formula>
    </cfRule>
    <cfRule type="containsText" dxfId="2" priority="2" operator="containsText" text="HATA">
      <formula>NOT(ISERROR(SEARCH("HATA",D5)))</formula>
    </cfRule>
  </conditionalFormatting>
  <conditionalFormatting sqref="D10">
    <cfRule type="containsText" dxfId="1" priority="3" operator="containsText" text="EVET">
      <formula>NOT(ISERROR(SEARCH("EVET",D10)))</formula>
    </cfRule>
    <cfRule type="containsText" dxfId="0" priority="4" operator="containsText" text="HAYIR">
      <formula>NOT(ISERROR(SEARCH("HAYIR",D10)))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0" customWidth="1"/>
    <col min="5" max="6" width="14" customWidth="1"/>
    <col min="7" max="7" width="22" customWidth="1"/>
  </cols>
  <sheetData>
    <row r="1" spans="1:7" ht="28" customHeight="1" x14ac:dyDescent="0.55000000000000004">
      <c r="A1" s="105" t="s">
        <v>221</v>
      </c>
      <c r="B1" s="56"/>
      <c r="C1" s="56"/>
      <c r="D1" s="56"/>
      <c r="E1" s="56"/>
      <c r="F1" s="56"/>
      <c r="G1" s="56"/>
    </row>
    <row r="2" spans="1:7" ht="22" customHeight="1" x14ac:dyDescent="0.55000000000000004">
      <c r="A2" s="82" t="s">
        <v>222</v>
      </c>
      <c r="B2" s="83"/>
      <c r="C2" s="83"/>
      <c r="D2" s="83"/>
      <c r="E2" s="83"/>
      <c r="F2" s="83"/>
      <c r="G2" s="83"/>
    </row>
    <row r="3" spans="1:7" ht="28" customHeight="1" x14ac:dyDescent="0.55000000000000004">
      <c r="A3" s="73" t="s">
        <v>223</v>
      </c>
      <c r="B3" s="64"/>
      <c r="C3" s="64"/>
      <c r="D3" s="64"/>
      <c r="E3" s="64"/>
      <c r="F3" s="64"/>
      <c r="G3" s="64"/>
    </row>
    <row r="4" spans="1:7" ht="5.05" customHeight="1" x14ac:dyDescent="0.55000000000000004">
      <c r="A4" s="2"/>
      <c r="B4" s="2"/>
      <c r="C4" s="2"/>
      <c r="D4" s="2"/>
      <c r="E4" s="2"/>
      <c r="F4" s="2"/>
      <c r="G4" s="2"/>
    </row>
    <row r="5" spans="1:7" ht="26.05" customHeight="1" x14ac:dyDescent="0.55000000000000004">
      <c r="A5" s="55" t="s">
        <v>224</v>
      </c>
      <c r="B5" s="56"/>
      <c r="C5" s="56"/>
      <c r="D5" s="56"/>
      <c r="E5" s="56"/>
      <c r="F5" s="56"/>
      <c r="G5" s="56"/>
    </row>
    <row r="6" spans="1:7" ht="22" customHeight="1" x14ac:dyDescent="0.55000000000000004">
      <c r="A6" s="106" t="s">
        <v>225</v>
      </c>
      <c r="B6" s="107"/>
      <c r="C6" s="107"/>
      <c r="D6" s="107"/>
      <c r="E6" s="107"/>
      <c r="F6" s="107"/>
      <c r="G6" s="107"/>
    </row>
    <row r="7" spans="1:7" ht="18" customHeight="1" x14ac:dyDescent="0.55000000000000004">
      <c r="A7" s="3"/>
      <c r="B7" s="3" t="s">
        <v>226</v>
      </c>
      <c r="C7" s="3" t="s">
        <v>227</v>
      </c>
      <c r="D7" s="3" t="s">
        <v>228</v>
      </c>
      <c r="E7" s="3" t="s">
        <v>229</v>
      </c>
      <c r="F7" s="3" t="s">
        <v>230</v>
      </c>
      <c r="G7" s="3" t="s">
        <v>231</v>
      </c>
    </row>
    <row r="8" spans="1:7" ht="30" customHeight="1" x14ac:dyDescent="0.55000000000000004">
      <c r="A8" s="23" t="s">
        <v>232</v>
      </c>
      <c r="B8" s="23" t="s">
        <v>233</v>
      </c>
      <c r="C8" s="23" t="s">
        <v>234</v>
      </c>
      <c r="D8" s="23" t="s">
        <v>235</v>
      </c>
      <c r="E8" s="23" t="s">
        <v>236</v>
      </c>
      <c r="F8" s="23" t="s">
        <v>237</v>
      </c>
      <c r="G8" s="23" t="s">
        <v>238</v>
      </c>
    </row>
    <row r="9" spans="1:7" ht="30" customHeight="1" x14ac:dyDescent="0.55000000000000004">
      <c r="A9" s="24" t="s">
        <v>239</v>
      </c>
      <c r="B9" s="24" t="s">
        <v>233</v>
      </c>
      <c r="C9" s="24" t="s">
        <v>240</v>
      </c>
      <c r="D9" s="24" t="s">
        <v>241</v>
      </c>
      <c r="E9" s="24" t="s">
        <v>237</v>
      </c>
      <c r="F9" s="24" t="s">
        <v>236</v>
      </c>
      <c r="G9" s="24" t="s">
        <v>242</v>
      </c>
    </row>
    <row r="10" spans="1:7" ht="32.049999999999997" customHeight="1" x14ac:dyDescent="0.55000000000000004">
      <c r="A10" s="103" t="s">
        <v>243</v>
      </c>
      <c r="B10" s="59"/>
      <c r="C10" s="59"/>
      <c r="D10" s="59"/>
      <c r="E10" s="59"/>
      <c r="F10" s="59"/>
      <c r="G10" s="59"/>
    </row>
    <row r="11" spans="1:7" ht="5.05" customHeight="1" x14ac:dyDescent="0.55000000000000004">
      <c r="A11" s="2"/>
      <c r="B11" s="2"/>
      <c r="C11" s="2"/>
      <c r="D11" s="2"/>
      <c r="E11" s="2"/>
      <c r="F11" s="2"/>
      <c r="G11" s="2"/>
    </row>
    <row r="12" spans="1:7" ht="26.05" customHeight="1" x14ac:dyDescent="0.55000000000000004">
      <c r="A12" s="55" t="s">
        <v>244</v>
      </c>
      <c r="B12" s="56"/>
      <c r="C12" s="56"/>
      <c r="D12" s="56"/>
      <c r="E12" s="56"/>
      <c r="F12" s="56"/>
      <c r="G12" s="56"/>
    </row>
    <row r="13" spans="1:7" ht="18" customHeight="1" x14ac:dyDescent="0.55000000000000004">
      <c r="A13" s="3"/>
      <c r="B13" s="3" t="s">
        <v>226</v>
      </c>
      <c r="C13" s="3" t="s">
        <v>227</v>
      </c>
      <c r="D13" s="3" t="s">
        <v>228</v>
      </c>
      <c r="E13" s="3" t="s">
        <v>229</v>
      </c>
      <c r="F13" s="3" t="s">
        <v>230</v>
      </c>
      <c r="G13" s="3" t="s">
        <v>231</v>
      </c>
    </row>
    <row r="14" spans="1:7" ht="30" customHeight="1" x14ac:dyDescent="0.55000000000000004">
      <c r="A14" s="23" t="s">
        <v>232</v>
      </c>
      <c r="B14" s="23" t="s">
        <v>245</v>
      </c>
      <c r="C14" s="23" t="s">
        <v>246</v>
      </c>
      <c r="D14" s="23" t="s">
        <v>247</v>
      </c>
      <c r="E14" s="23" t="s">
        <v>248</v>
      </c>
      <c r="F14" s="23" t="s">
        <v>237</v>
      </c>
      <c r="G14" s="23" t="s">
        <v>249</v>
      </c>
    </row>
    <row r="15" spans="1:7" ht="30" customHeight="1" x14ac:dyDescent="0.55000000000000004">
      <c r="A15" s="24" t="s">
        <v>239</v>
      </c>
      <c r="B15" s="24" t="s">
        <v>245</v>
      </c>
      <c r="C15" s="24" t="s">
        <v>250</v>
      </c>
      <c r="D15" s="24" t="s">
        <v>251</v>
      </c>
      <c r="E15" s="24" t="s">
        <v>237</v>
      </c>
      <c r="F15" s="24" t="s">
        <v>248</v>
      </c>
      <c r="G15" s="25"/>
    </row>
    <row r="16" spans="1:7" ht="36" customHeight="1" x14ac:dyDescent="0.55000000000000004">
      <c r="A16" s="103" t="s">
        <v>252</v>
      </c>
      <c r="B16" s="59"/>
      <c r="C16" s="59"/>
      <c r="D16" s="59"/>
      <c r="E16" s="59"/>
      <c r="F16" s="59"/>
      <c r="G16" s="59"/>
    </row>
    <row r="17" spans="1:7" ht="5.05" customHeight="1" x14ac:dyDescent="0.55000000000000004">
      <c r="A17" s="2"/>
      <c r="B17" s="2"/>
      <c r="C17" s="2"/>
      <c r="D17" s="2"/>
      <c r="E17" s="2"/>
      <c r="F17" s="2"/>
      <c r="G17" s="2"/>
    </row>
    <row r="18" spans="1:7" ht="26.05" customHeight="1" x14ac:dyDescent="0.55000000000000004">
      <c r="A18" s="55" t="s">
        <v>253</v>
      </c>
      <c r="B18" s="56"/>
      <c r="C18" s="56"/>
      <c r="D18" s="56"/>
      <c r="E18" s="56"/>
      <c r="F18" s="56"/>
      <c r="G18" s="56"/>
    </row>
    <row r="19" spans="1:7" ht="18" customHeight="1" x14ac:dyDescent="0.55000000000000004">
      <c r="A19" s="3"/>
      <c r="B19" s="3" t="s">
        <v>226</v>
      </c>
      <c r="C19" s="3" t="s">
        <v>227</v>
      </c>
      <c r="D19" s="3" t="s">
        <v>228</v>
      </c>
      <c r="E19" s="3" t="s">
        <v>229</v>
      </c>
      <c r="F19" s="3" t="s">
        <v>230</v>
      </c>
      <c r="G19" s="3" t="s">
        <v>231</v>
      </c>
    </row>
    <row r="20" spans="1:7" ht="28" customHeight="1" x14ac:dyDescent="0.55000000000000004">
      <c r="A20" s="23" t="s">
        <v>232</v>
      </c>
      <c r="B20" s="23" t="s">
        <v>245</v>
      </c>
      <c r="C20" s="23" t="s">
        <v>254</v>
      </c>
      <c r="D20" s="23" t="s">
        <v>255</v>
      </c>
      <c r="E20" s="23" t="s">
        <v>256</v>
      </c>
      <c r="F20" s="23" t="s">
        <v>237</v>
      </c>
      <c r="G20" s="23" t="s">
        <v>257</v>
      </c>
    </row>
    <row r="21" spans="1:7" ht="28" customHeight="1" x14ac:dyDescent="0.55000000000000004">
      <c r="A21" s="24" t="s">
        <v>239</v>
      </c>
      <c r="B21" s="24" t="s">
        <v>245</v>
      </c>
      <c r="C21" s="24" t="s">
        <v>250</v>
      </c>
      <c r="D21" s="24" t="s">
        <v>251</v>
      </c>
      <c r="E21" s="24" t="s">
        <v>237</v>
      </c>
      <c r="F21" s="24" t="s">
        <v>256</v>
      </c>
      <c r="G21" s="25"/>
    </row>
    <row r="22" spans="1:7" ht="5.05" customHeight="1" x14ac:dyDescent="0.55000000000000004">
      <c r="A22" s="2"/>
      <c r="B22" s="2"/>
      <c r="C22" s="2"/>
      <c r="D22" s="2"/>
      <c r="E22" s="2"/>
      <c r="F22" s="2"/>
      <c r="G22" s="2"/>
    </row>
    <row r="23" spans="1:7" ht="26.05" customHeight="1" x14ac:dyDescent="0.55000000000000004">
      <c r="A23" s="55" t="s">
        <v>258</v>
      </c>
      <c r="B23" s="56"/>
      <c r="C23" s="56"/>
      <c r="D23" s="56"/>
      <c r="E23" s="56"/>
      <c r="F23" s="56"/>
      <c r="G23" s="56"/>
    </row>
    <row r="24" spans="1:7" ht="56.05" customHeight="1" x14ac:dyDescent="0.55000000000000004">
      <c r="A24" s="108" t="s">
        <v>259</v>
      </c>
      <c r="B24" s="59"/>
      <c r="C24" s="59"/>
      <c r="D24" s="59"/>
      <c r="E24" s="59"/>
      <c r="F24" s="59"/>
      <c r="G24" s="59"/>
    </row>
  </sheetData>
  <mergeCells count="11">
    <mergeCell ref="A24:G24"/>
    <mergeCell ref="A2:G2"/>
    <mergeCell ref="A16:G16"/>
    <mergeCell ref="A10:G10"/>
    <mergeCell ref="A5:G5"/>
    <mergeCell ref="A23:G23"/>
    <mergeCell ref="A1:G1"/>
    <mergeCell ref="A18:G18"/>
    <mergeCell ref="A3:G3"/>
    <mergeCell ref="A6:G6"/>
    <mergeCell ref="A12:G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workbookViewId="0"/>
  </sheetViews>
  <sheetFormatPr defaultRowHeight="14.4" x14ac:dyDescent="0.55000000000000004"/>
  <cols>
    <col min="1" max="1" width="4" customWidth="1"/>
    <col min="2" max="2" width="22" customWidth="1"/>
    <col min="3" max="3" width="48" customWidth="1"/>
    <col min="4" max="4" width="22" customWidth="1"/>
  </cols>
  <sheetData>
    <row r="1" spans="1:4" ht="36" customHeight="1" x14ac:dyDescent="0.55000000000000004">
      <c r="A1" s="109" t="s">
        <v>260</v>
      </c>
      <c r="B1" s="110"/>
      <c r="C1" s="110"/>
      <c r="D1" s="110"/>
    </row>
    <row r="2" spans="1:4" ht="20.05" customHeight="1" x14ac:dyDescent="0.55000000000000004">
      <c r="A2" s="82" t="s">
        <v>261</v>
      </c>
      <c r="B2" s="83"/>
      <c r="C2" s="83"/>
      <c r="D2" s="83"/>
    </row>
    <row r="3" spans="1:4" ht="5.05" customHeight="1" x14ac:dyDescent="0.55000000000000004">
      <c r="A3" s="2"/>
      <c r="B3" s="2"/>
      <c r="C3" s="2"/>
      <c r="D3" s="2"/>
    </row>
    <row r="4" spans="1:4" ht="26.05" customHeight="1" x14ac:dyDescent="0.55000000000000004">
      <c r="A4" s="55" t="s">
        <v>262</v>
      </c>
      <c r="B4" s="56"/>
      <c r="C4" s="56"/>
      <c r="D4" s="56"/>
    </row>
    <row r="5" spans="1:4" ht="18" customHeight="1" x14ac:dyDescent="0.55000000000000004">
      <c r="A5" s="3" t="s">
        <v>263</v>
      </c>
      <c r="B5" s="3" t="s">
        <v>264</v>
      </c>
      <c r="C5" s="3" t="s">
        <v>265</v>
      </c>
      <c r="D5" s="3" t="s">
        <v>266</v>
      </c>
    </row>
    <row r="6" spans="1:4" ht="52" customHeight="1" x14ac:dyDescent="0.55000000000000004">
      <c r="A6" s="15" t="s">
        <v>267</v>
      </c>
      <c r="B6" s="16" t="s">
        <v>268</v>
      </c>
      <c r="C6" s="17" t="s">
        <v>269</v>
      </c>
      <c r="D6" s="26" t="s">
        <v>270</v>
      </c>
    </row>
    <row r="7" spans="1:4" ht="52" customHeight="1" x14ac:dyDescent="0.55000000000000004">
      <c r="A7" s="15" t="s">
        <v>271</v>
      </c>
      <c r="B7" s="20" t="s">
        <v>272</v>
      </c>
      <c r="C7" s="19" t="s">
        <v>273</v>
      </c>
      <c r="D7" s="27" t="s">
        <v>270</v>
      </c>
    </row>
    <row r="8" spans="1:4" ht="52" customHeight="1" x14ac:dyDescent="0.55000000000000004">
      <c r="A8" s="15" t="s">
        <v>274</v>
      </c>
      <c r="B8" s="16" t="s">
        <v>275</v>
      </c>
      <c r="C8" s="17" t="s">
        <v>276</v>
      </c>
      <c r="D8" s="26" t="s">
        <v>270</v>
      </c>
    </row>
    <row r="9" spans="1:4" ht="52" customHeight="1" x14ac:dyDescent="0.55000000000000004">
      <c r="A9" s="15" t="s">
        <v>277</v>
      </c>
      <c r="B9" s="20" t="s">
        <v>278</v>
      </c>
      <c r="C9" s="19" t="s">
        <v>279</v>
      </c>
      <c r="D9" s="27" t="s">
        <v>280</v>
      </c>
    </row>
    <row r="10" spans="1:4" ht="5.05" customHeight="1" x14ac:dyDescent="0.55000000000000004">
      <c r="A10" s="2"/>
      <c r="B10" s="2"/>
      <c r="C10" s="2"/>
      <c r="D10" s="2"/>
    </row>
    <row r="11" spans="1:4" ht="26.05" customHeight="1" x14ac:dyDescent="0.55000000000000004">
      <c r="A11" s="113" t="s">
        <v>281</v>
      </c>
      <c r="B11" s="114"/>
      <c r="C11" s="114"/>
      <c r="D11" s="114"/>
    </row>
    <row r="12" spans="1:4" ht="18" customHeight="1" x14ac:dyDescent="0.55000000000000004">
      <c r="A12" s="3" t="s">
        <v>263</v>
      </c>
      <c r="B12" s="3" t="s">
        <v>264</v>
      </c>
      <c r="C12" s="3" t="s">
        <v>265</v>
      </c>
      <c r="D12" s="3" t="s">
        <v>266</v>
      </c>
    </row>
    <row r="13" spans="1:4" ht="52" customHeight="1" x14ac:dyDescent="0.55000000000000004">
      <c r="A13" s="15" t="s">
        <v>282</v>
      </c>
      <c r="B13" s="16" t="s">
        <v>283</v>
      </c>
      <c r="C13" s="17" t="s">
        <v>284</v>
      </c>
      <c r="D13" s="26" t="s">
        <v>285</v>
      </c>
    </row>
    <row r="14" spans="1:4" ht="52" customHeight="1" x14ac:dyDescent="0.55000000000000004">
      <c r="A14" s="15" t="s">
        <v>286</v>
      </c>
      <c r="B14" s="20" t="s">
        <v>287</v>
      </c>
      <c r="C14" s="19" t="s">
        <v>288</v>
      </c>
      <c r="D14" s="27" t="s">
        <v>289</v>
      </c>
    </row>
    <row r="15" spans="1:4" ht="52" customHeight="1" x14ac:dyDescent="0.55000000000000004">
      <c r="A15" s="15" t="s">
        <v>290</v>
      </c>
      <c r="B15" s="16" t="s">
        <v>291</v>
      </c>
      <c r="C15" s="17" t="s">
        <v>292</v>
      </c>
      <c r="D15" s="26" t="s">
        <v>293</v>
      </c>
    </row>
    <row r="16" spans="1:4" ht="52" customHeight="1" x14ac:dyDescent="0.55000000000000004">
      <c r="A16" s="15" t="s">
        <v>294</v>
      </c>
      <c r="B16" s="20" t="s">
        <v>295</v>
      </c>
      <c r="C16" s="19" t="s">
        <v>296</v>
      </c>
      <c r="D16" s="27" t="s">
        <v>297</v>
      </c>
    </row>
    <row r="17" spans="1:4" ht="5.05" customHeight="1" x14ac:dyDescent="0.55000000000000004">
      <c r="A17" s="2"/>
      <c r="B17" s="2"/>
      <c r="C17" s="2"/>
      <c r="D17" s="2"/>
    </row>
    <row r="18" spans="1:4" ht="36" customHeight="1" x14ac:dyDescent="0.55000000000000004">
      <c r="A18" s="111" t="s">
        <v>298</v>
      </c>
      <c r="B18" s="112"/>
      <c r="C18" s="112"/>
      <c r="D18" s="112"/>
    </row>
  </sheetData>
  <mergeCells count="5">
    <mergeCell ref="A1:D1"/>
    <mergeCell ref="A18:D18"/>
    <mergeCell ref="A4:D4"/>
    <mergeCell ref="A2:D2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4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38" customWidth="1"/>
    <col min="4" max="4" width="34" customWidth="1"/>
    <col min="5" max="5" width="22" customWidth="1"/>
    <col min="6" max="6" width="3" customWidth="1"/>
  </cols>
  <sheetData>
    <row r="1" spans="1:6" ht="38.049999999999997" customHeight="1" x14ac:dyDescent="0.55000000000000004">
      <c r="A1" s="109" t="s">
        <v>299</v>
      </c>
      <c r="B1" s="110"/>
      <c r="C1" s="110"/>
      <c r="D1" s="110"/>
      <c r="E1" s="110"/>
      <c r="F1" s="110"/>
    </row>
    <row r="2" spans="1:6" ht="20.05" customHeight="1" x14ac:dyDescent="0.55000000000000004">
      <c r="A2" s="82" t="s">
        <v>300</v>
      </c>
      <c r="B2" s="83"/>
      <c r="C2" s="83"/>
      <c r="D2" s="83"/>
      <c r="E2" s="83"/>
      <c r="F2" s="83"/>
    </row>
    <row r="3" spans="1:6" ht="24" customHeight="1" x14ac:dyDescent="0.55000000000000004">
      <c r="A3" s="117" t="s">
        <v>301</v>
      </c>
      <c r="B3" s="118"/>
      <c r="C3" s="118"/>
      <c r="D3" s="118"/>
      <c r="E3" s="118"/>
      <c r="F3" s="118"/>
    </row>
    <row r="4" spans="1:6" ht="5.05" customHeight="1" x14ac:dyDescent="0.55000000000000004">
      <c r="A4" s="2"/>
      <c r="B4" s="2"/>
      <c r="C4" s="2"/>
      <c r="D4" s="2"/>
      <c r="E4" s="2"/>
      <c r="F4" s="2"/>
    </row>
    <row r="5" spans="1:6" ht="26.05" customHeight="1" x14ac:dyDescent="0.55000000000000004">
      <c r="A5" s="55" t="s">
        <v>302</v>
      </c>
      <c r="B5" s="56"/>
      <c r="C5" s="56"/>
      <c r="D5" s="56"/>
      <c r="E5" s="56"/>
      <c r="F5" s="56"/>
    </row>
    <row r="6" spans="1:6" ht="18" customHeight="1" x14ac:dyDescent="0.55000000000000004">
      <c r="A6" s="3"/>
      <c r="B6" s="3" t="s">
        <v>303</v>
      </c>
      <c r="C6" s="3" t="s">
        <v>304</v>
      </c>
      <c r="D6" s="3" t="s">
        <v>305</v>
      </c>
      <c r="E6" s="3" t="s">
        <v>306</v>
      </c>
      <c r="F6" s="3"/>
    </row>
    <row r="7" spans="1:6" ht="48" customHeight="1" x14ac:dyDescent="0.55000000000000004">
      <c r="A7" s="7"/>
      <c r="B7" s="28" t="s">
        <v>307</v>
      </c>
      <c r="C7" s="29" t="s">
        <v>308</v>
      </c>
      <c r="D7" s="30" t="s">
        <v>309</v>
      </c>
      <c r="E7" s="31" t="s">
        <v>310</v>
      </c>
      <c r="F7" s="7"/>
    </row>
    <row r="8" spans="1:6" ht="48" customHeight="1" x14ac:dyDescent="0.55000000000000004">
      <c r="A8" s="7"/>
      <c r="B8" s="28" t="s">
        <v>311</v>
      </c>
      <c r="C8" s="29" t="s">
        <v>312</v>
      </c>
      <c r="D8" s="30" t="s">
        <v>313</v>
      </c>
      <c r="E8" s="31" t="s">
        <v>314</v>
      </c>
      <c r="F8" s="7"/>
    </row>
    <row r="9" spans="1:6" ht="48" customHeight="1" x14ac:dyDescent="0.55000000000000004">
      <c r="A9" s="7"/>
      <c r="B9" s="28" t="s">
        <v>315</v>
      </c>
      <c r="C9" s="29" t="s">
        <v>316</v>
      </c>
      <c r="D9" s="30" t="s">
        <v>317</v>
      </c>
      <c r="E9" s="31" t="s">
        <v>318</v>
      </c>
      <c r="F9" s="7"/>
    </row>
    <row r="10" spans="1:6" ht="52" customHeight="1" x14ac:dyDescent="0.55000000000000004">
      <c r="A10" s="7"/>
      <c r="B10" s="28" t="s">
        <v>319</v>
      </c>
      <c r="C10" s="29" t="s">
        <v>320</v>
      </c>
      <c r="D10" s="30" t="s">
        <v>321</v>
      </c>
      <c r="E10" s="31" t="s">
        <v>322</v>
      </c>
      <c r="F10" s="7"/>
    </row>
    <row r="11" spans="1:6" ht="48" customHeight="1" x14ac:dyDescent="0.55000000000000004">
      <c r="A11" s="7"/>
      <c r="B11" s="28" t="s">
        <v>323</v>
      </c>
      <c r="C11" s="29" t="s">
        <v>324</v>
      </c>
      <c r="D11" s="30" t="s">
        <v>325</v>
      </c>
      <c r="E11" s="31" t="s">
        <v>326</v>
      </c>
      <c r="F11" s="7"/>
    </row>
    <row r="12" spans="1:6" ht="44.05" customHeight="1" x14ac:dyDescent="0.55000000000000004">
      <c r="A12" s="7"/>
      <c r="B12" s="28" t="s">
        <v>327</v>
      </c>
      <c r="C12" s="29" t="s">
        <v>328</v>
      </c>
      <c r="D12" s="30" t="s">
        <v>329</v>
      </c>
      <c r="E12" s="31" t="s">
        <v>330</v>
      </c>
      <c r="F12" s="7"/>
    </row>
    <row r="13" spans="1:6" ht="44.05" customHeight="1" x14ac:dyDescent="0.55000000000000004">
      <c r="A13" s="7"/>
      <c r="B13" s="28" t="s">
        <v>331</v>
      </c>
      <c r="C13" s="29" t="s">
        <v>332</v>
      </c>
      <c r="D13" s="30" t="s">
        <v>333</v>
      </c>
      <c r="E13" s="31" t="s">
        <v>334</v>
      </c>
      <c r="F13" s="7"/>
    </row>
    <row r="14" spans="1:6" ht="5.05" customHeight="1" x14ac:dyDescent="0.55000000000000004">
      <c r="A14" s="2"/>
      <c r="B14" s="2"/>
      <c r="C14" s="2"/>
      <c r="D14" s="2"/>
      <c r="E14" s="2"/>
      <c r="F14" s="2"/>
    </row>
    <row r="15" spans="1:6" ht="26.05" customHeight="1" x14ac:dyDescent="0.55000000000000004">
      <c r="A15" s="119" t="s">
        <v>335</v>
      </c>
      <c r="B15" s="120"/>
      <c r="C15" s="120"/>
      <c r="D15" s="120"/>
      <c r="E15" s="120"/>
      <c r="F15" s="120"/>
    </row>
    <row r="16" spans="1:6" ht="18" customHeight="1" x14ac:dyDescent="0.55000000000000004">
      <c r="A16" s="3"/>
      <c r="B16" s="3" t="s">
        <v>303</v>
      </c>
      <c r="C16" s="3" t="s">
        <v>304</v>
      </c>
      <c r="D16" s="3" t="s">
        <v>305</v>
      </c>
      <c r="E16" s="3" t="s">
        <v>306</v>
      </c>
      <c r="F16" s="3"/>
    </row>
    <row r="17" spans="1:6" ht="40" customHeight="1" x14ac:dyDescent="0.55000000000000004">
      <c r="A17" s="32"/>
      <c r="B17" s="33" t="s">
        <v>336</v>
      </c>
      <c r="C17" s="34" t="s">
        <v>337</v>
      </c>
      <c r="D17" s="35" t="s">
        <v>338</v>
      </c>
      <c r="E17" s="36" t="s">
        <v>339</v>
      </c>
      <c r="F17" s="32"/>
    </row>
    <row r="18" spans="1:6" ht="44.05" customHeight="1" x14ac:dyDescent="0.55000000000000004">
      <c r="A18" s="32"/>
      <c r="B18" s="33" t="s">
        <v>340</v>
      </c>
      <c r="C18" s="34" t="s">
        <v>341</v>
      </c>
      <c r="D18" s="35" t="s">
        <v>342</v>
      </c>
      <c r="E18" s="36" t="s">
        <v>343</v>
      </c>
      <c r="F18" s="32"/>
    </row>
    <row r="19" spans="1:6" ht="40" customHeight="1" x14ac:dyDescent="0.55000000000000004">
      <c r="A19" s="32"/>
      <c r="B19" s="33" t="s">
        <v>344</v>
      </c>
      <c r="C19" s="34" t="s">
        <v>345</v>
      </c>
      <c r="D19" s="35" t="s">
        <v>346</v>
      </c>
      <c r="E19" s="36" t="s">
        <v>347</v>
      </c>
      <c r="F19" s="32"/>
    </row>
    <row r="20" spans="1:6" ht="36" customHeight="1" x14ac:dyDescent="0.55000000000000004">
      <c r="A20" s="32"/>
      <c r="B20" s="33" t="s">
        <v>348</v>
      </c>
      <c r="C20" s="34" t="s">
        <v>349</v>
      </c>
      <c r="D20" s="35" t="s">
        <v>350</v>
      </c>
      <c r="E20" s="36" t="s">
        <v>351</v>
      </c>
      <c r="F20" s="32"/>
    </row>
    <row r="21" spans="1:6" ht="5.05" customHeight="1" x14ac:dyDescent="0.55000000000000004">
      <c r="A21" s="2"/>
      <c r="B21" s="2"/>
      <c r="C21" s="2"/>
      <c r="D21" s="2"/>
      <c r="E21" s="2"/>
      <c r="F21" s="2"/>
    </row>
    <row r="22" spans="1:6" ht="26.05" customHeight="1" x14ac:dyDescent="0.55000000000000004">
      <c r="A22" s="115" t="s">
        <v>352</v>
      </c>
      <c r="B22" s="116"/>
      <c r="C22" s="116"/>
      <c r="D22" s="116"/>
      <c r="E22" s="116"/>
      <c r="F22" s="116"/>
    </row>
    <row r="23" spans="1:6" ht="18" customHeight="1" x14ac:dyDescent="0.55000000000000004">
      <c r="A23" s="37"/>
      <c r="B23" s="37" t="s">
        <v>303</v>
      </c>
      <c r="C23" s="37" t="s">
        <v>5</v>
      </c>
      <c r="D23" s="37" t="s">
        <v>353</v>
      </c>
      <c r="E23" s="37" t="s">
        <v>174</v>
      </c>
      <c r="F23" s="37"/>
    </row>
    <row r="24" spans="1:6" ht="48" customHeight="1" x14ac:dyDescent="0.55000000000000004">
      <c r="A24" s="38"/>
      <c r="B24" s="39" t="s">
        <v>354</v>
      </c>
      <c r="C24" s="40" t="s">
        <v>355</v>
      </c>
      <c r="D24" s="41" t="s">
        <v>356</v>
      </c>
      <c r="E24" s="42" t="s">
        <v>357</v>
      </c>
      <c r="F24" s="38"/>
    </row>
    <row r="25" spans="1:6" ht="48" customHeight="1" x14ac:dyDescent="0.55000000000000004">
      <c r="A25" s="43"/>
      <c r="B25" s="44" t="s">
        <v>358</v>
      </c>
      <c r="C25" s="45" t="s">
        <v>180</v>
      </c>
      <c r="D25" s="46" t="s">
        <v>359</v>
      </c>
      <c r="E25" s="47" t="s">
        <v>357</v>
      </c>
      <c r="F25" s="43"/>
    </row>
    <row r="26" spans="1:6" ht="48" customHeight="1" x14ac:dyDescent="0.55000000000000004">
      <c r="A26" s="43"/>
      <c r="B26" s="44" t="s">
        <v>360</v>
      </c>
      <c r="C26" s="45" t="s">
        <v>361</v>
      </c>
      <c r="D26" s="46" t="s">
        <v>362</v>
      </c>
      <c r="E26" s="47" t="s">
        <v>357</v>
      </c>
      <c r="F26" s="43"/>
    </row>
    <row r="27" spans="1:6" ht="48" customHeight="1" x14ac:dyDescent="0.55000000000000004">
      <c r="A27" s="43"/>
      <c r="B27" s="44" t="s">
        <v>363</v>
      </c>
      <c r="C27" s="45" t="s">
        <v>364</v>
      </c>
      <c r="D27" s="46" t="s">
        <v>365</v>
      </c>
      <c r="E27" s="47" t="s">
        <v>357</v>
      </c>
      <c r="F27" s="43"/>
    </row>
    <row r="28" spans="1:6" ht="48" customHeight="1" x14ac:dyDescent="0.55000000000000004">
      <c r="A28" s="43"/>
      <c r="B28" s="44" t="s">
        <v>366</v>
      </c>
      <c r="C28" s="45" t="s">
        <v>189</v>
      </c>
      <c r="D28" s="46" t="s">
        <v>367</v>
      </c>
      <c r="E28" s="47" t="s">
        <v>357</v>
      </c>
      <c r="F28" s="43"/>
    </row>
    <row r="29" spans="1:6" ht="48" customHeight="1" x14ac:dyDescent="0.55000000000000004">
      <c r="A29" s="38"/>
      <c r="B29" s="39" t="s">
        <v>368</v>
      </c>
      <c r="C29" s="40" t="s">
        <v>369</v>
      </c>
      <c r="D29" s="41" t="s">
        <v>370</v>
      </c>
      <c r="E29" s="42" t="s">
        <v>357</v>
      </c>
      <c r="F29" s="38"/>
    </row>
    <row r="30" spans="1:6" ht="48" customHeight="1" x14ac:dyDescent="0.55000000000000004">
      <c r="A30" s="43"/>
      <c r="B30" s="44" t="s">
        <v>371</v>
      </c>
      <c r="C30" s="45" t="s">
        <v>195</v>
      </c>
      <c r="D30" s="46" t="s">
        <v>196</v>
      </c>
      <c r="E30" s="47" t="s">
        <v>357</v>
      </c>
      <c r="F30" s="43"/>
    </row>
    <row r="31" spans="1:6" ht="48" customHeight="1" x14ac:dyDescent="0.55000000000000004">
      <c r="A31" s="38"/>
      <c r="B31" s="39" t="s">
        <v>372</v>
      </c>
      <c r="C31" s="40" t="s">
        <v>198</v>
      </c>
      <c r="D31" s="41" t="s">
        <v>373</v>
      </c>
      <c r="E31" s="42" t="s">
        <v>357</v>
      </c>
      <c r="F31" s="38"/>
    </row>
    <row r="32" spans="1:6" ht="48" customHeight="1" x14ac:dyDescent="0.55000000000000004">
      <c r="A32" s="38"/>
      <c r="B32" s="39" t="s">
        <v>374</v>
      </c>
      <c r="C32" s="40" t="s">
        <v>375</v>
      </c>
      <c r="D32" s="41" t="s">
        <v>208</v>
      </c>
      <c r="E32" s="42" t="s">
        <v>357</v>
      </c>
      <c r="F32" s="38"/>
    </row>
    <row r="33" spans="1:6" ht="5.05" customHeight="1" x14ac:dyDescent="0.55000000000000004">
      <c r="A33" s="2"/>
      <c r="B33" s="2"/>
      <c r="C33" s="2"/>
      <c r="D33" s="2"/>
      <c r="E33" s="2"/>
      <c r="F33" s="2"/>
    </row>
    <row r="34" spans="1:6" ht="44.05" customHeight="1" x14ac:dyDescent="0.55000000000000004">
      <c r="A34" s="111" t="s">
        <v>376</v>
      </c>
      <c r="B34" s="112"/>
      <c r="C34" s="112"/>
      <c r="D34" s="112"/>
      <c r="E34" s="112"/>
      <c r="F34" s="112"/>
    </row>
  </sheetData>
  <mergeCells count="7">
    <mergeCell ref="A2:F2"/>
    <mergeCell ref="A1:F1"/>
    <mergeCell ref="A5:F5"/>
    <mergeCell ref="A22:F22"/>
    <mergeCell ref="A34:F34"/>
    <mergeCell ref="A3:F3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2026-04-03T20:22:56Z</dcterms:created>
  <dcterms:modified xsi:type="dcterms:W3CDTF">2026-04-03T20:35:07Z</dcterms:modified>
</cp:coreProperties>
</file>