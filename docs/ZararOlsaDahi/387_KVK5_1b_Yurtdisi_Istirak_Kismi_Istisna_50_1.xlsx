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E4BB875D-7E07-4722-BAE1-7BB3D5CBAB6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11" i="2" s="1"/>
  <c r="D53" i="1"/>
  <c r="D10" i="2" s="1"/>
  <c r="D52" i="1"/>
  <c r="C41" i="2" s="1"/>
  <c r="D51" i="1"/>
  <c r="D49" i="1"/>
  <c r="D8" i="2" s="1"/>
  <c r="D6" i="2"/>
  <c r="F57" i="1"/>
  <c r="D42" i="1"/>
  <c r="D7" i="2" s="1"/>
  <c r="E16" i="1"/>
  <c r="D5" i="2" s="1"/>
  <c r="D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Aydın DEDE</author>
  </authors>
  <commentList>
    <comment ref="D47" authorId="0" shapeId="0" xr:uid="{417E0B57-865F-4D60-8F8D-0330370FEDB7}">
      <text>
        <r>
          <rPr>
            <b/>
            <sz val="9"/>
            <color indexed="81"/>
            <rFont val="Tahoma"/>
            <charset val="162"/>
          </rPr>
          <t>Aydın DEDE:</t>
        </r>
        <r>
          <rPr>
            <sz val="9"/>
            <color indexed="81"/>
            <rFont val="Tahoma"/>
            <charset val="162"/>
          </rPr>
          <t xml:space="preserve">
Dağıtım kararındaki brüt tutar (stopaj öncesi)</t>
        </r>
      </text>
    </comment>
    <comment ref="D48" authorId="0" shapeId="0" xr:uid="{EEB2E98F-DF13-4CD2-9C52-DCFB623D7A90}">
      <text>
        <r>
          <rPr>
            <b/>
            <sz val="9"/>
            <color indexed="81"/>
            <rFont val="Tahoma"/>
            <charset val="162"/>
          </rPr>
          <t>Aydın DEDE:</t>
        </r>
        <r>
          <rPr>
            <sz val="9"/>
            <color indexed="81"/>
            <rFont val="Tahoma"/>
            <charset val="162"/>
          </rPr>
          <t xml:space="preserve">
Kâr payının fiilen elde edildiği tarihteki TCMB döviz alış kuru</t>
        </r>
      </text>
    </comment>
    <comment ref="D49" authorId="0" shapeId="0" xr:uid="{089F6CAC-0413-4015-A361-752F87A1D6A3}">
      <text>
        <r>
          <rPr>
            <b/>
            <sz val="9"/>
            <color indexed="81"/>
            <rFont val="Tahoma"/>
            <charset val="162"/>
          </rPr>
          <t>Aydın DEDE:</t>
        </r>
        <r>
          <rPr>
            <sz val="9"/>
            <color indexed="81"/>
            <rFont val="Tahoma"/>
            <charset val="162"/>
          </rPr>
          <t xml:space="preserve">
Elde etme tarihi kuru ile TL karşılığı — Bu hücre C49 formülü ile otomatik hesaplanır</t>
        </r>
      </text>
    </comment>
    <comment ref="D50" authorId="0" shapeId="0" xr:uid="{0699842A-5CD0-4C78-B7E9-52F65C6139FB}">
      <text>
        <r>
          <rPr>
            <b/>
            <sz val="9"/>
            <color indexed="81"/>
            <rFont val="Tahoma"/>
            <charset val="162"/>
          </rPr>
          <t>Aydın DEDE:</t>
        </r>
        <r>
          <rPr>
            <sz val="9"/>
            <color indexed="81"/>
            <rFont val="Tahoma"/>
            <charset val="162"/>
          </rPr>
          <t xml:space="preserve">
Yurt dışında kesilen vergi — TL karşılığı</t>
        </r>
      </text>
    </comment>
    <comment ref="D51" authorId="0" shapeId="0" xr:uid="{D21EA229-4A17-4BB8-B4B3-CA14BDA31290}">
      <text>
        <r>
          <rPr>
            <b/>
            <sz val="9"/>
            <color indexed="81"/>
            <rFont val="Tahoma"/>
            <charset val="162"/>
          </rPr>
          <t>Aydın DEDE:</t>
        </r>
        <r>
          <rPr>
            <sz val="9"/>
            <color indexed="81"/>
            <rFont val="Tahoma"/>
            <charset val="162"/>
          </rPr>
          <t xml:space="preserve">
Türkiye'ye gelen net tutar — Bu hücre C51 formülü ile otomatik hesaplanır</t>
        </r>
      </text>
    </comment>
    <comment ref="D52" authorId="0" shapeId="0" xr:uid="{7962DC14-0076-41CB-A687-F5C86C28E8CB}">
      <text>
        <r>
          <rPr>
            <b/>
            <sz val="9"/>
            <color indexed="81"/>
            <rFont val="Tahoma"/>
            <charset val="162"/>
          </rPr>
          <t>Aydın DEDE:</t>
        </r>
        <r>
          <rPr>
            <sz val="9"/>
            <color indexed="81"/>
            <rFont val="Tahoma"/>
            <charset val="162"/>
          </rPr>
          <t xml:space="preserve">
Zarar olsa dahi indirilecek — Bu hücre C52 formülü ile otomatik hesaplanır</t>
        </r>
      </text>
    </comment>
    <comment ref="D53" authorId="0" shapeId="0" xr:uid="{D846EB62-40FA-471C-BF3C-8D11B0DBCDAD}">
      <text>
        <r>
          <rPr>
            <b/>
            <sz val="9"/>
            <color indexed="81"/>
            <rFont val="Tahoma"/>
            <charset val="162"/>
          </rPr>
          <t>Aydın DEDE:</t>
        </r>
        <r>
          <rPr>
            <sz val="9"/>
            <color indexed="81"/>
            <rFont val="Tahoma"/>
            <charset val="162"/>
          </rPr>
          <t xml:space="preserve">
D.6 ile eşit — KV matrahında kalacak kısım. Bu hücre C53 formülü ile otomatik hesaplanır</t>
        </r>
      </text>
    </comment>
    <comment ref="D54" authorId="0" shapeId="0" xr:uid="{AA96E1A5-425C-4190-A6F3-5660A013B464}">
      <text>
        <r>
          <rPr>
            <b/>
            <sz val="9"/>
            <color indexed="81"/>
            <rFont val="Tahoma"/>
            <charset val="162"/>
          </rPr>
          <t>Aydın DEDE:</t>
        </r>
        <r>
          <rPr>
            <sz val="9"/>
            <color indexed="81"/>
            <rFont val="Tahoma"/>
            <charset val="162"/>
          </rPr>
          <t xml:space="preserve">
Yaklaşık: Stopaj × 0,50. Gerçek: D.7'ye tekabül eden fiili yurt dışı vergi</t>
        </r>
      </text>
    </comment>
  </commentList>
</comments>
</file>

<file path=xl/sharedStrings.xml><?xml version="1.0" encoding="utf-8"?>
<sst xmlns="http://schemas.openxmlformats.org/spreadsheetml/2006/main" count="426" uniqueCount="345">
  <si>
    <t>387 – YURT DIŞI İŞTİRAK KÂR PAYI | %50 KISMİ İSTİSNA | KVK Md.5/1-b | YMM TASDİK ÇALIŞMA KÂĞIDI</t>
  </si>
  <si>
    <t>KVK Md.5/1-b | 7491 s.K. (01.01.2023'ten İtibaren) | SADECE 2 ŞART: ≥%50 Sermaye Payı + TAMAMININ Transferi | %50 Kısmi İstisna | YİAKV'den DÜŞÜLEMEZ — Beyanname Satır 387</t>
  </si>
  <si>
    <t xml:space="preserve">  ★ ÖNCE 317 TAM İSTİSNAYI DEĞERLENDİR! 317 (4 şart + %100) varken 387 (%50) kullanmak avantajsızdır. 387'ye ancak 4 tam şartten biri sağlanamadığında geçilir. KISMİ TRANSFER YASAĞI: Kazancın tek kuruşu bile eksik transferde istisna TAMAMEN kaybolur.</t>
  </si>
  <si>
    <t xml:space="preserve">  RENK KODLARI: Sarı = Manuel giriş  |  Yeşil = Otomatik hesaplama  |  Kırmızı = Kritik uyarı  |  Yeşil banner = 317 tam istisna  |  Turuncu banner = 387 kısmi istisna</t>
  </si>
  <si>
    <t>A0. KAPSAM VE NİTELİK UYGUNLUK ÖN KONTROLÜ</t>
  </si>
  <si>
    <t>Kontrol Sorusu</t>
  </si>
  <si>
    <t>Yanıt</t>
  </si>
  <si>
    <t>YMM Tasdik Notu</t>
  </si>
  <si>
    <t>A0.1  317 Tam İstisna şartları önceden değerlendirildi mi? (Önce 317 — sonra 387)</t>
  </si>
  <si>
    <t>EVET</t>
  </si>
  <si>
    <t>387 İKİNCİ SEÇENEKTİR. Önce 317 (4 şart: %10 pay + 1 yıl elde tutma + %15 vergi yükü + Transfer) değerlendirilmeli. 317 varken 387 kullanmak avantajsızdır (%100 yerine %50 istisna alınmış olur).</t>
  </si>
  <si>
    <t>A0.2  ★ Sermaye payı kazancın elde edildiği tarihte ≥%50 mi?</t>
  </si>
  <si>
    <t>KRİTİK: %49,9 bile yetersizdir. Kazancın elde edildiği tarihteki güncel oran esas alınır. Dönem içinde %50'nin altına düşüldüğü an varsa şart sağlanmamış sayılır.</t>
  </si>
  <si>
    <t>A0.3  Yurt dışı iştirak AŞ/Ltd niteliğinde ve kanuni/iş merkezi yurt dışında mı?</t>
  </si>
  <si>
    <t>387 de 317 ile aynı temel şartı taşır: İştirakin AŞ/Ltd olması, kanuni ve iş merkezinin IKISININ de Türkiye dışında bulunması. Apostilli tescil belgesi zorunludur.</t>
  </si>
  <si>
    <t>A0.4  ★ Kazancın TAMAMI KV beyanname süresine kadar transfer edildi mi?</t>
  </si>
  <si>
    <t>KRİTİK TRANSFER KURALI (23 No.lu KV GT): Kazancın TAMAMININ transferi zorunludur. Kısmi transfer → İstisna hakkı TAMAMEN kaybolur — hatta kısmen bile kullanılamaz. Normal hesap dönemi: 30 Nisan. Geçici vergi: İlgili dönem beyanname tarihine kadar.</t>
  </si>
  <si>
    <t>A0.5  İstisna hesabı BRÜT tutar üzerinden mi? (Net transfer değil)</t>
  </si>
  <si>
    <t>387 istisnası = Brüt kâr payı (TL) × %50. Stopaj sonrası net tutar değil — brüt tutar esas alınır. Kur: Elde etme tarihi TCMB alış kuru (transfer tarihi kuru değil).</t>
  </si>
  <si>
    <t>A0.6  KVK 33 mahsup hesabı — vergiye tabi %50 kısım için değerlendirildi mi?</t>
  </si>
  <si>
    <t>İstisna edilen %50'ye tekabül eden yurt dışı vergi mahsup EDİLEMEZ. Vergiye tabi kalan %50'ye tekabül eden yurt dışı vergi KVK 33 kapsamında mahsup edilebilir. ÇVÖA varlığı stopaj oranını etkileyebilir.</t>
  </si>
  <si>
    <t>A0.7  ★ YİAKV matrahından 387 DÜŞÜLMEYECEĞI teyit edildi mi?</t>
  </si>
  <si>
    <t>KRİTİK: KVK 5/1-b (387) istisnası YİAKV (KVK 32/C) matrahından DÜŞÜLEMEZ. Yurt dışı kaynaklı gelir olduğu için YİAKV hesabından çıkarılamaz. YİAKV çalışma kâğıdında 387 tutarı matrahtan çıkarılmamalıdır.</t>
  </si>
  <si>
    <t>A0.8  YMM Tasdik Raporu gereksinimi değerlendirildi mi? (49 No.lu Tebliğ)</t>
  </si>
  <si>
    <t>49 No.lu Tebliğ (30.12.2025): Tek satır &gt;=500.000 TL veya toplam &gt;=1.000.000 TL → YMM raporu. Tam tasdik sözleşmesi olanlar ayrıca rapor düzenlemez.</t>
  </si>
  <si>
    <t>A0.9  Tasdik Uygunluk Sonucu</t>
  </si>
  <si>
    <t>★ A0.2 (%50 pay), A0.4 (kısmi transfer yasağı), A0.7 (YİAKV) kritik.</t>
  </si>
  <si>
    <t>A. GENEL BİLGİLER VE İŞLEM KİMLİĞİ</t>
  </si>
  <si>
    <t>Kurumun Unvanı</t>
  </si>
  <si>
    <t>İstisna uygulayan kurumun tam adı</t>
  </si>
  <si>
    <t>Vergi Kimlik Numarası</t>
  </si>
  <si>
    <t>10 haneli VKN</t>
  </si>
  <si>
    <t>Yurt Dışı İştirakin Unvanı</t>
  </si>
  <si>
    <t>Kanuni/iş merkezi yurt dışında olan AŞ/Ltd</t>
  </si>
  <si>
    <t>İştirakin Bulunduğu Ülke</t>
  </si>
  <si>
    <t>Ülke adı — ÇVÖA varlığı kontrol edilmeli</t>
  </si>
  <si>
    <t>Kâr Payı Elde Etme Tarihi</t>
  </si>
  <si>
    <t>GG.AA.YYYY — Kur ve %50 pay şartı bu tarihe göre</t>
  </si>
  <si>
    <t>Transfer Tarihi</t>
  </si>
  <si>
    <t>GG.AA.YYYY — 30 Nisan veya geçici vergi dönemine kadar</t>
  </si>
  <si>
    <t>Hesap Dönemi</t>
  </si>
  <si>
    <t>Örn: 01.01.2025 – 31.12.2025</t>
  </si>
  <si>
    <t>Genel KV Oranı (%)</t>
  </si>
  <si>
    <t>2025: %25 | Finans sektörü: %30</t>
  </si>
  <si>
    <t>B. ★ ÖNCE 317 TAM İSTİSNA ŞARTLARI — 4 Şartın Tümü Sağlanıyor mu?</t>
  </si>
  <si>
    <t xml:space="preserve">  KARAR AKIŞI: 4 şartın TAMAMINI sağla → 317 kullan (%100 tam istisna, Zarar Olsa Dahi). Herhangi biri sağlanamıyorsa → 387'ye geç (%50 kısmi). 317 tercih edilmesi avantajlıdır — 387'yi seçmek %50 istisna kaybeder.</t>
  </si>
  <si>
    <t>317 Şartı</t>
  </si>
  <si>
    <t>Durum</t>
  </si>
  <si>
    <t>Açıklama</t>
  </si>
  <si>
    <t>T1 — Sermaye Payı ≥%10 (317 için — 387 için %50 gerekir)</t>
  </si>
  <si>
    <t>317 için %10 yeterlidir. 387 için ≥%50 şartı aranır — bu ayrım kritiktir.</t>
  </si>
  <si>
    <t>T2 — Kazancın Elde Edildiği Tarihten Geriye Kesintisiz 1 Yıl Elde Tutma</t>
  </si>
  <si>
    <t>1 günlük bile kesinti → 317 şartı sağlanmamış. Devir/bölünmede kaynak kurum süresi geçer.</t>
  </si>
  <si>
    <t>T3 — Yurt Dışı Kurumun Vergi Yükü ≥%15 (Finansman/Sigortacılık/MK'da %25)</t>
  </si>
  <si>
    <t>Vergi yükü = İştirak tarafından ödenen toplam gelir/kurumlar vergisi / Ticari kâr. Finans sektörü için eşik %25'tir. Düşük vergili ülkelerde bu şart sağlanamayabilir.</t>
  </si>
  <si>
    <t>T4 — Kazancın TAMAMININ KV Beyanname Süresine Kadar Transferi</t>
  </si>
  <si>
    <t>Kısmi transfer → 317 hakkı kaybolur. 30 Nisan (normal dönem) veya geçici vergi tarihi. Bu şart 387 için de geçerlidir.</t>
  </si>
  <si>
    <t>317 KARAR — 4 Şartın TAMAMININ SONUCU</t>
  </si>
  <si>
    <t>4 şartın TAMAMINI sağlıyorsa 317 (Kod 317, %100 tam istisna) kullanılmalıdır. Eksik şart varsa 387'ye devam edin.</t>
  </si>
  <si>
    <t>C. 387 KISMİ İSTİSNA ŞARTLARI — Sadece 2 Şart</t>
  </si>
  <si>
    <t xml:space="preserve">  387 istisnası (7491 s.K. — 01.01.2023): YALNIZCA 2 şart: (1) Ödenmiş sermayenin ≥%50'sine sahip olmak, (2) Kazancın TAMAMININ KV beyanname süresine kadar Türkiye'ye transfer edilmesi. 317'den farklı olarak elde tutma süresi ve vergi yükü şartı aranmaz.</t>
  </si>
  <si>
    <t>387 Şartı</t>
  </si>
  <si>
    <t>Değer / Durum</t>
  </si>
  <si>
    <t>YMM Notu</t>
  </si>
  <si>
    <t>C.1  ★ ŞART 1 — Sermaye Payı (Kazancın Elde Edildiği Tarih İtibarıyla ≥%50)</t>
  </si>
  <si>
    <t>317'de %10 yeterliydi — 387'de ≥%50 gerekir. Kazancın elde edildiği tarihteki güncel oran esas alınır. %49,9 → YETERSİZ!</t>
  </si>
  <si>
    <t>C.2  ★ ŞART 2 — Kazancın TAMAMININ Transfer Edilmesi</t>
  </si>
  <si>
    <t>KISMİ TRANSFER YASAĞI: Bir kuruş bile eksik transferde istisna hakkı TAMAMEN kaybolur. Normal hesap dönemi sonu: 30 Nisan. Geçici vergi dönemi: İlgili dönem beyanname tarihi.</t>
  </si>
  <si>
    <t>C.3  387 Şartları Sağlandı mı? (C.1 ≥%50 ve C.2 = EVET)</t>
  </si>
  <si>
    <t>İki şart birlikte sağlanmıyorsa 387 istisnası KULLANILAMAZ.</t>
  </si>
  <si>
    <t>D. İSTİSNA TUTARI HESABI (Brüt Kâr Payı × %50)</t>
  </si>
  <si>
    <t xml:space="preserve">  İSTİSNA = BRÜT kâr payı (TL) × %50. Stopaj/withholding tax sonrası net tutar değil — brüt tutar esas alınır. KUR: Kâr payının fiilen elde edildiği tarihteki TCMB döviz alış kuru (transfer tarihi kuru değil!).</t>
  </si>
  <si>
    <t>Hesap Kalemi</t>
  </si>
  <si>
    <t>Tutar</t>
  </si>
  <si>
    <t>D.1  Brüt Kâr Payı (Yabancı Para)</t>
  </si>
  <si>
    <t>Yurt dışı iştirak kâr dağıtım kararından</t>
  </si>
  <si>
    <t>D.2  Elde Etme Tarihi TCMB Alış Kuru</t>
  </si>
  <si>
    <t>TCMB.gov.tr kur arşivi — transfer tarihi kuru değil!</t>
  </si>
  <si>
    <t>D.3  Brüt Kâr Payı (TL) = D.1 × D.2</t>
  </si>
  <si>
    <t>İstisna bu tutar üzerinden hesaplanır</t>
  </si>
  <si>
    <t>D.4  Yurt Dışında Ödenen Stopaj / Withholding Tax (TL)</t>
  </si>
  <si>
    <t>ÇVÖA varsa anlaşma stopaj oranı geçerli</t>
  </si>
  <si>
    <t>D.5  Net Transfer Tutarı (TL) = D.3 − D.4</t>
  </si>
  <si>
    <t>Kontrolde kullanılır — istisna net tutar değil brüt üzerinden</t>
  </si>
  <si>
    <t>D.6  387 İSTİSNA TUTARI (%50) = D.3 × 0,50</t>
  </si>
  <si>
    <t>Zarar olsa dahi indirilecek</t>
  </si>
  <si>
    <t>D.7  Vergiye Tabi Kısım (%50) = D.3 × 0,50</t>
  </si>
  <si>
    <t>Bu kısım için KVK 33 mahsup değerlendir</t>
  </si>
  <si>
    <t>D.8  KVK 33 Mahsup Tutarı (Vergiye Tabi %50'ye İsabet)</t>
  </si>
  <si>
    <t>İstisna kısmına isabet eden vergi mahsup EDİLEMEZ</t>
  </si>
  <si>
    <t>E. BEYANNAME 387 — İSTİSNA TUTARI SONUCU</t>
  </si>
  <si>
    <t>E.1  TOPLAM İSTİSNA → Beyanname Satır 387 (Zarar Olsa Dahi İndirilecek)</t>
  </si>
  <si>
    <t>D.6 tutarından otomatik (Brüt × %50)</t>
  </si>
  <si>
    <t xml:space="preserve">  KRİTİK UYARILAR: (1) YİAKV: KVK 5/1-b (387) istisnası YİAKV matrahından DÜŞÜLEMEZ. (2) KISMİ TRANSFER: Kazancın tek kuruşu bile eksik kalırsa istisna TAMAMEN kaybolur. (3) KVK 33: Vergiye tabi %50 için mahsup, istisna edilen %50 için mahsup KULLANILAMAZ. (4) BRÜT HESAP: İstisna net transfer üzerinden değil brüt kâr payı üzerinden.</t>
  </si>
  <si>
    <t>387 – YD. İŞTİRAK KÂR PAYI %50 KISMİ İSTİSNA | HESAPLAMALAR VE DENETİM KONTROL</t>
  </si>
  <si>
    <t>KVK Md.5/1-b | 7491 s.K. (01.01.2023) | %50 Kısmi İstisna | ≥%50 Sermaye + Tam Transfer | YİAKV'den Düşülemez | KVK 33 Mahsup</t>
  </si>
  <si>
    <t>A. TASDİK ÖZETİ — VERİ GİRİŞİNDEN OTOMATİK</t>
  </si>
  <si>
    <t>A0 Tasdik Uygunluğu</t>
  </si>
  <si>
    <t>A0.9 OK ise devam</t>
  </si>
  <si>
    <t>317 Karar Sonucu (B.35)</t>
  </si>
  <si>
    <t>317 mi yoksa 387 mi?</t>
  </si>
  <si>
    <t>387 Şart Sonucu (C.42)</t>
  </si>
  <si>
    <t>EVET ise devam</t>
  </si>
  <si>
    <t>Brüt Kâr Payı (TL — D.3)</t>
  </si>
  <si>
    <t>Elde etme kuru</t>
  </si>
  <si>
    <t>387 İSTİSNA TUTARI (%50 — D.6)</t>
  </si>
  <si>
    <t>Vergiye Tabi Kısım (%50 — D.7)</t>
  </si>
  <si>
    <t>KVK 33 mahsup için</t>
  </si>
  <si>
    <t>KVK 33 Mahsup Tutarı (D.8)</t>
  </si>
  <si>
    <t>Vergiye tabi kısma tekabül eden yurt dışı vergi</t>
  </si>
  <si>
    <t>B. 317 (TAM) vs 387 (KISMİ) KARŞILAŞTIRMA TABLOSU</t>
  </si>
  <si>
    <t>Kriter</t>
  </si>
  <si>
    <t>317 (Tam İstisna)</t>
  </si>
  <si>
    <t>387 (Kısmi İstisna)</t>
  </si>
  <si>
    <t>Sermaye Payı Eşiği</t>
  </si>
  <si>
    <t>≥%10</t>
  </si>
  <si>
    <t>≥%50 — Daha yüksek eşik</t>
  </si>
  <si>
    <t>Elde Tutma Süresi</t>
  </si>
  <si>
    <t>1 Yıl Kesintisiz Zorunlu</t>
  </si>
  <si>
    <t>YOK — Gerekmiyor</t>
  </si>
  <si>
    <t>Vergi Yükü Şartı</t>
  </si>
  <si>
    <t>≥%15 (Finans: %25)</t>
  </si>
  <si>
    <t>Transfer Şartı</t>
  </si>
  <si>
    <t>TAMAMININ Transferi Zorunlu</t>
  </si>
  <si>
    <t>İstisna Oranı</t>
  </si>
  <si>
    <t>%100 Tam İstisna</t>
  </si>
  <si>
    <t>%50 Kısmi İstisna</t>
  </si>
  <si>
    <t>Beyanname Satırı</t>
  </si>
  <si>
    <t>317</t>
  </si>
  <si>
    <t>387</t>
  </si>
  <si>
    <t>YİAKV Etkisi</t>
  </si>
  <si>
    <t>DÜŞÜLEMEZ</t>
  </si>
  <si>
    <t>KVK 33 Mahsup</t>
  </si>
  <si>
    <t>Tümü istisna → Mahsup yok</t>
  </si>
  <si>
    <t>Vergiye tabi %50 için mahsup var</t>
  </si>
  <si>
    <t>Avantaj</t>
  </si>
  <si>
    <t>Daha avantajlı</t>
  </si>
  <si>
    <t>Daha az avantajlı — 317 yokken kullan</t>
  </si>
  <si>
    <t>C. DENETİM KONTROL LİSTESİ (K1–K11)</t>
  </si>
  <si>
    <t>Kontrol</t>
  </si>
  <si>
    <t>Açıklama ve Kanıt</t>
  </si>
  <si>
    <t>Sonuç</t>
  </si>
  <si>
    <t>YMM Aksiyonu</t>
  </si>
  <si>
    <t>K1</t>
  </si>
  <si>
    <t>317 Tam İstisna şartları önceden değerlendirildi mi?</t>
  </si>
  <si>
    <t>4 şartın tümü değerlendirilmeli. 317 varken 387 seçmek %50 istisna kaybıdır. Neden 317 değil 387 kullanıldığı yazılı olarak belgelenmeli.</t>
  </si>
  <si>
    <t>Uygun / Eksik / Risk</t>
  </si>
  <si>
    <t>K2</t>
  </si>
  <si>
    <t>★ Sermaye payı kazancın elde edildiği tarihte ≥%50 mi?</t>
  </si>
  <si>
    <t>%49,9 bile yetersizdir. Kazancın elde edildiği tarihteki güncel oran esas alınır. Ortaklık belgesi + tarihe göre hisse oranı belgesi zorunludur.</t>
  </si>
  <si>
    <t>K3</t>
  </si>
  <si>
    <t>Yurt dışı iştirak AŞ/Ltd ve kanuni/iş merkezi yurt dışında mı?</t>
  </si>
  <si>
    <t>Her iki merkez de Türkiye dışında bulunmalıdır. Apostilli tescil belgesi + yerleşiklik belgesi zorunludur.</t>
  </si>
  <si>
    <t>K4</t>
  </si>
  <si>
    <t>★ Kazancın TAMAMI transfer edildi mi? Kısmi transfer var mı?</t>
  </si>
  <si>
    <t>23 No.lu KV GT: Kısmi transfer → İstisna hakkı TAMAMEN kaybolur. Banka SWIFT + transfer dekontu ile TAMAMININ transferi belgelenmeli.</t>
  </si>
  <si>
    <t>K5</t>
  </si>
  <si>
    <t>Transfer KV beyanname süresine kadar yapıldı mı?</t>
  </si>
  <si>
    <t>Normal hesap dönemi: 30 Nisan. Geçici vergi: İlgili dönem tarihine kadar. Geç transfer → İstisna hakkı kaybolur.</t>
  </si>
  <si>
    <t>K6</t>
  </si>
  <si>
    <t>İstisna BRÜT tutar üzerinden mi hesaplandı?</t>
  </si>
  <si>
    <t>387 = Brüt kâr payı × %50. Stopaj sonrası net tutar değil. D.3 (Brüt TL) × 0,50 = D.6 (387 istisna) formülü kontrol edilmeli.</t>
  </si>
  <si>
    <t>K7</t>
  </si>
  <si>
    <t>Kur tarihi doğru mu? (Elde etme tarihi — transfer tarihi değil)</t>
  </si>
  <si>
    <t>TCMB döviz alış kuru: Kâr payının elde edildiği tarih. Transfer tarihi kuru kullanılırsa hata. TCMB kur arşivi ile teyit.</t>
  </si>
  <si>
    <t>K8</t>
  </si>
  <si>
    <t>Aynı kâr payı için 317 ve 387 birlikte kullanılmadı mı?</t>
  </si>
  <si>
    <t>Aynı kazanç için yalnızca bir satır kullanılabilir. Çifte istisna yasaktır. Beyanname kontrol.</t>
  </si>
  <si>
    <t>K9</t>
  </si>
  <si>
    <t>KVK 33 mahsup doğru ayrıştırıldı mı?</t>
  </si>
  <si>
    <t>İstisna edilen %50'ye tekabül eden yurt dışı vergi mahsup EDİLEMEZ. Vergiye tabi kalan %50'ye tekabül eden vergi mahsup edilebilir (D.8).</t>
  </si>
  <si>
    <t>K10</t>
  </si>
  <si>
    <t>★ YİAKV matrahından 387 DÜŞÜLMEDI mi?</t>
  </si>
  <si>
    <t>387 istisnası YİAKV matrahından DÜŞÜLEMEZ. YİAKV çalışma kâğıdında 387 tutarı matrahtan çıkarılmamalıdır.</t>
  </si>
  <si>
    <t>K11</t>
  </si>
  <si>
    <t>TF Formu (Ek:2) yurt dışı iştirak bölümü dolduruldu mu?</t>
  </si>
  <si>
    <t>387 uygulanmış olsa dahi yurt dışı iştirak bilgileri Ek:2'de gösterilmeli. Eksik form → Beyanname eksikliği riski.</t>
  </si>
  <si>
    <t>D. BEYANNAME SATIR EŞLEŞTİRME</t>
  </si>
  <si>
    <t>Satır</t>
  </si>
  <si>
    <t>Tutar / Not</t>
  </si>
  <si>
    <t>KVK 5/1-b %50 Kısmi İstisna | ≥%50 Sermaye + Tam Transfer | Zarar Olsa Dahi İndirilecek</t>
  </si>
  <si>
    <t>Tam İstisna (%100)</t>
  </si>
  <si>
    <t>KVK 5/1-b %100 Tam İstisna — 4 şartın tümü sağlandıysa bu kullanılır. 387 ile aynı anda kullanılamaz.</t>
  </si>
  <si>
    <t>297-307</t>
  </si>
  <si>
    <t>YD. İştirak — HAYIR</t>
  </si>
  <si>
    <t>297-307 satırları KVK 5/1-a kapsamı (YURT İÇİ iştirak). 387/317 yurt dışı iştirak — karıştırılmamalıdır.</t>
  </si>
  <si>
    <t>387 – YD. İŞTİRAK KÂR PAYI %50 KISMİ İSTİSNA | MUHASEBE KAYITLARI</t>
  </si>
  <si>
    <t>KVK Md.5/1-b | %50 Kısmi İstisna | Brüt Kâr Payı | Elde Etme Tarihi Kuru | KVK 33 Mahsup</t>
  </si>
  <si>
    <t xml:space="preserve">  NOT: 317 tam istisna ile muhasebe kaydı aynıdır. Fark yalnızca beyannamede: 387'de %50 istisna / vergiye tabi %50 için KVK 33 mahsup.</t>
  </si>
  <si>
    <t>KAYIT 1 — KÂR PAYI TAHAKKUK (KARİN ELDE ETMESİ / DAĞITIM KARARI)</t>
  </si>
  <si>
    <t>Elde etme tarihi TCMB alış kuru ile TL'ye çevrilir. Kâr payı brüt kaydedilir.</t>
  </si>
  <si>
    <t>Tarih</t>
  </si>
  <si>
    <t>Hesap Adı / Kodu</t>
  </si>
  <si>
    <t>Muhasebe Notu</t>
  </si>
  <si>
    <t>Dr (TL)</t>
  </si>
  <si>
    <t>Kr (TL)</t>
  </si>
  <si>
    <t>Referans</t>
  </si>
  <si>
    <t>Dr</t>
  </si>
  <si>
    <t>[Elde etme]</t>
  </si>
  <si>
    <t>241 Bağlı Ortaklıklar (UDS) veya 122 Alacaklar</t>
  </si>
  <si>
    <t>Brüt kâr payı alacağı — Elde etme tarihi TCMB alış kuru × Brüt Döviz Tutarı</t>
  </si>
  <si>
    <t>[Brüt TL]</t>
  </si>
  <si>
    <t>—</t>
  </si>
  <si>
    <t>TCMB kur + dağıtım kararı</t>
  </si>
  <si>
    <t>Kr</t>
  </si>
  <si>
    <t>642 İştirak Kazançları</t>
  </si>
  <si>
    <t>Brüt kâr payı geliri — İstisna tutarı ile uyumlu</t>
  </si>
  <si>
    <t>KV 387. Satır</t>
  </si>
  <si>
    <t>NOT: Muhasebede BRÜT tutar kaydedilir. 642 hesabındaki brüt tutar beyanname matrahına dahil olur. Ardından %50'si 387 satırında istisna olarak düşülür, %50'si vergiye tabi kalır.</t>
  </si>
  <si>
    <t>KAYIT 2 — STOPAJ / WITHHOLDING TAX (YURT DIŞI KESİNTİSİ)</t>
  </si>
  <si>
    <t>[Transfer]</t>
  </si>
  <si>
    <t>193 Peşin Ödenen Vergiler / 689 Diğer Gider</t>
  </si>
  <si>
    <t>Yurt dışında kesilen withholding tax — vergiye tabi %50'ye tekabül eden kısım → KVK 33 mahsup</t>
  </si>
  <si>
    <t>[Stopaj TL]</t>
  </si>
  <si>
    <t>Vergi makbuzu / ÇVÖA</t>
  </si>
  <si>
    <t>241 / 122 Alacaklar</t>
  </si>
  <si>
    <t>Stopaj mahsubundan sonra alacak kapatılır</t>
  </si>
  <si>
    <t>MAHSUP AYRIMI: Stopajın %50 istisna kısmına tekabül eden bölümü mahsup EDİLEMEZ. Sadece vergiye tabi %50'ye tekabül eden bölümü KVK 33 kapsamında mahsup edilebilir. Yaklaşık: Stopaj × 0,50 = Mahsup edilebilir tutar.</t>
  </si>
  <si>
    <t>KAYIT 3 — NET TRANSFER TAHSİLATI</t>
  </si>
  <si>
    <t>102 Bankalar</t>
  </si>
  <si>
    <t>Net transfer tahsilatı (Brüt − Stopaj). Transfer tarihi kuru ile. Kur farkı varsa 646/656 hesabı.</t>
  </si>
  <si>
    <t>[Net TL]</t>
  </si>
  <si>
    <t>Banka SWIFT + dekont</t>
  </si>
  <si>
    <t>Alacak kapatma</t>
  </si>
  <si>
    <t>KAYIT 4 — BEYANNAME 387 SATIRI (%50 KISMİ İSTİSNA)</t>
  </si>
  <si>
    <t xml:space="preserve">  BEYANNAME AKIŞI:
1. Muhasebede 642 hesabına BRÜT kâr payı kaydedilir → Ticari kâra dahil olur.
2. KV Beyannamesi matrahı: Brüt kâr payı KKEG değil; doğrudan ticari kârda.
3. 387. Satır: Brüt kâr payı (TL) × %50 = 'Zarar Olsa Dahi İndirilecek' bölümüne yazılır.
4. Vergiye Tabi Kısım: Brüt × %50 → Kurumlar vergisine tabi.
5. KVK 33 Mahsup: Vergiye tabi %50'ye tekabül eden yurt dışı stopaj → KV'den mahsup.
KRİTİK: YİAKV matrahından 387 DÜŞÜLEMEZ. Muhasebede ayrı kayıt gerekmez — beyanname üzeri işlem.</t>
  </si>
  <si>
    <t>387 – YD. İŞTİRAK KÂR PAYI %50 KISMİ İSTİSNA | DENETÇİ NOTLARI</t>
  </si>
  <si>
    <t>KVK Md.5/1-b | 7491 s.K. (01.01.2023) | %50 Kısmi İstisna | ≥%50 Sermaye + Tam Transfer | YİAKV Düşülemez | KVK 33 Mahsup</t>
  </si>
  <si>
    <t>BÖLÜM 1 — YASAL DAYANAK, 317 vs 387 KARAR AKIŞI</t>
  </si>
  <si>
    <t>Kod</t>
  </si>
  <si>
    <t>Konu</t>
  </si>
  <si>
    <t>Mesleki Değerlendirme</t>
  </si>
  <si>
    <t>Mevzuat</t>
  </si>
  <si>
    <t>N1</t>
  </si>
  <si>
    <t>KVK 5/1-b — 317 Tam İstisna ve 387 Kısmi İstisna Çerçevesi</t>
  </si>
  <si>
    <t>KVK Md.5/1-b: Yurt dışı iştirak kazançları istisnası iki aşamalı yapıdadır:
317 TAM İSTİSNA (%100 — Zarar Olsa Dahi): 4 şartın TAMAMININ sağlanması:
① Sermaye payı ≥%10 ② Kesintisiz 1 yıl elde tutma ③ Yurt dışı vergi yükü ≥%15 (finans: %25) ④ TAMAMININ transferi
387 KISMİ İSTİSNA (%50 — 7491 s.K., 01.01.2023): SADECE 2 şart:
① Sermaye payı ≥%50 ② TAMAMININ transferi
KARAR KURALI: 317 şartları sağlanıyorsa 317 tercih edilmelidir. 387 ancak 317 şartlarından biri sağlanamadığında devreye girer.</t>
  </si>
  <si>
    <t>KVK Md.5/1-b | 7491 s.K. Md.58</t>
  </si>
  <si>
    <t>N2</t>
  </si>
  <si>
    <t>★ Kısmi Transfer Yasağı — En Kritik Risk</t>
  </si>
  <si>
    <t>23 No.lu KV GT: Kazancın TAMAMININ transfer edilmesi zorunludur.
KISMİ TRANSFER SONUCU: İstisna hakkı TAMAMEN kaybolur — kısmen dahi kullanılamaz.
Bu kural hem 317 hem 387 için geçerlidir.
Zamanlama: Normal hesap dönemi → 30 Nisan. Geçici vergi dönemi → İlgili dönem beyanname tarihi.
YMM notu: Banka SWIFT belgesi + transfer dekontu ile TAMAMININ transferi belgesi her zaman tasdik dosyasında bulunmalıdır.</t>
  </si>
  <si>
    <t>23 No.lu KV GT | KVK Md.5/1-b</t>
  </si>
  <si>
    <t>N3</t>
  </si>
  <si>
    <t>Brüt Kâr Payı ve Kur Tarihi</t>
  </si>
  <si>
    <t>387 istisnası = Brüt kâr payı (TL) × %50
STOPAJ SONRASI NET TUTAR DEĞİL — Brüt tutar esas alınır.
KUR TARİHİ: Kâr payının fiilen elde edildiği tarihteki TCMB döviz alış kuru.
Transfer tarihi kuru kullanılması hatalıdır.
YMM notu: Brüt/net ayrımı ve kur tarihi belgesi her zaman tasdik dosyasında yer almalıdır.</t>
  </si>
  <si>
    <t>KVK Md.5/1-b | 23 No.lu KV GT</t>
  </si>
  <si>
    <t>N4</t>
  </si>
  <si>
    <t>KVK 33 Mahsup — %50 İstisna / %50 Vergiye Tabi Ayrımı</t>
  </si>
  <si>
    <t>387'de kazancın %50'si istisna, %50'si vergiye tabidir.
MAHSUP KURALI:
İstisna edilen %50'ye tekabül eden yurt dışı vergi → MAHSUP EDİLEMEZ
Vergiye tabi kalan %50'ye tekabül eden vergi → KVK 33 mahsup EDİLEBİLİR
Yaklaşık hesap: Stopaj × 0,50 = Mahsup edilebilir tutar.
ÇVÖA stopaj oranını sınırlayabilir — ülke anlaşması kontrol edilmeli.</t>
  </si>
  <si>
    <t>KVK Md.33 | ÇVÖA</t>
  </si>
  <si>
    <t>BÖLÜM 2 — YMM TASDİK DEĞERLENDİRMESİ</t>
  </si>
  <si>
    <t>N5</t>
  </si>
  <si>
    <t>★ YİAKV Matrahından DÜŞÜLEMEZ</t>
  </si>
  <si>
    <t>KVK 32/C kapsamındaki YİAKV hesabında 387 istisnası (KVK 5/1-b) matrahtan ÇIKARILMAZ.
Yurt dışı kaynaklı kazanç olduğu için YİAKV dışında tutulması doğru değildir.
YMM notu: YİAKV çalışma kâğıdında 387 tutarı matrahtan çıkarılmamalıdır.
317 tam istisnada da aynı kural geçerlidir.</t>
  </si>
  <si>
    <t>KVK Md.32/C | YİAKV Tebliğleri</t>
  </si>
  <si>
    <t>N6</t>
  </si>
  <si>
    <t>49 No.lu Tebliğ — Tasdik + YMM Dil Standardı</t>
  </si>
  <si>
    <t>49 No.lu Tebliğ (30.12.2025): &gt;=500.000 TL → YMM raporu. Tam tasdik → ayrıca rapor yok.
KULLANIN:
'...%50 sermaye payı şartı kazancın elde edildiği tarih itibarıyla doğrulanmalıdır'
'...kazancın tamamının KV beyanname süresine kadar transfer edildiği belgelenmiştir'
KULLANMAYIN:
'...istisna uygulanır' | '...kısmi transfer sorun teşkil etmez'
KRİTİK RİSK: (1) Kısmi transfer, (2) %50 pay yetersizliği, (3) YİAKV'den düşüm, (4) Net tutar üzerinden hesap.</t>
  </si>
  <si>
    <t>49 No.lu Tebliğ | SM-SMMM-YMM K. Md.12</t>
  </si>
  <si>
    <t>N7</t>
  </si>
  <si>
    <t>317 Tercih Analizi — Neden 387 Kullanıldığının Belgelenmesi</t>
  </si>
  <si>
    <t>387 kullanıldığında neden 317 tercih edilmediği yazılı olarak belgelenmeli:
Hangi şart sağlanamadı? → Vergi yükü &lt;%15 mi? Elde tutma süresi eksik mi?
Bu belgeleme hem tasdik dosyası hem de olası vergi incelemesi için kritiktir.
YMM notu: 317 tercih analizi iç değerlendirme notu olarak dosyaya eklenmelidir.</t>
  </si>
  <si>
    <t>N8</t>
  </si>
  <si>
    <t>Beyanname Ek:2 — Yurt Dışı İştirak Bilgileri</t>
  </si>
  <si>
    <t>KV beyannamesi Ek:2: Yurt dışı iştirak bilgileri bölümü 387 uygulanmış olsa da doldurulmalıdır.
İştirak adı, ülkesi, sermaye payı, kâr payı tutarı, vergi yükü bilgileri.
YMM notu: Ek:2 eksikliği beyanname eksikliği riski taşır.</t>
  </si>
  <si>
    <t>KVK Md.5/1-b | KV Beyannamesi Ek:2</t>
  </si>
  <si>
    <t xml:space="preserve">  TARTIŞMALI ALAN — %50 EŞİĞİ: Kâr payının elde edildiği tarihte geçici olarak %50'nin altına düşüp tekrar %50'ye çıkan durumlarda 'kazancın elde edildiği tarih' belirleyicidir. GİB bu konuda kapsamlı bir özelge yayımlamamıştır. Dönem içi pay değişikliklerinde özelge alınması tavsiye edilir.</t>
  </si>
  <si>
    <t>387 – YD. İŞTİRAK KÂR PAYI %50 KISMİ İSTİSNA | BELGE VE BİLGİ LİSTESİ | YMM TASDİK</t>
  </si>
  <si>
    <t>KVK Md.5/1-b | 7491 s.K. | ≥%50 Sermaye + Tam Transfer | %50 Kısmi İstisna | YİAKV Düşülemez | KVK 33 Mahsup | 49 No.lu Tebliğ</t>
  </si>
  <si>
    <t xml:space="preserve">  Kategori 1: Zorunlu belgeler. Kategori 2: Destekleyici. Kategori 3: YMM tasdik kontrol soruları (★ kritik).</t>
  </si>
  <si>
    <t>KATEGORİ 1 — ZORUNLU BELGELER  (Tamamı Mevcut Olmadan Tasdik Tamamlanmaz)</t>
  </si>
  <si>
    <t>No</t>
  </si>
  <si>
    <t>Belge / Bilgi Adı</t>
  </si>
  <si>
    <t>Detay ve YMM Kontrol Noktaları</t>
  </si>
  <si>
    <t>Temin Yeri</t>
  </si>
  <si>
    <t>1</t>
  </si>
  <si>
    <t>Sermaye Payı Belgesi (≥%50 — Kazancın Elde Edildiği Tarih İtibarıyla)</t>
  </si>
  <si>
    <t>Kazancın elde edildiği tarihteki güncel %50 veya üzeri sermaye payını kanıtlayan belge.
%49,9 bile yetersizdir. Tarihe göre hisse oranını gösteren belge zorunludur.
YMM notu: Dönem içinde pay oranı değişmişse tarih bazlı belge kritiktir.</t>
  </si>
  <si>
    <t>Ortaklık tescil belgesi + tarihe göre hisse kayıt defteri / apostil</t>
  </si>
  <si>
    <t>2</t>
  </si>
  <si>
    <t>İştirak Tescil + Yerleşiklik Belgesi (Yurt Dışı AŞ/Ltd)</t>
  </si>
  <si>
    <t>Yurt dışı iştirak AŞ/Ltd niteliğinde ve kanuni + iş merkezinin ikisinin de yurt dışında olduğu teyidi.
Apostilli ticaret sicil belgesi veya konsolosluk tasdikli belge.
YMM notu: Yerleşiklik belgesi güncel olmalıdır.</t>
  </si>
  <si>
    <t>Apostilli ticaret sicil belgesi / Konsolosluk tasdikli tescil</t>
  </si>
  <si>
    <t>3</t>
  </si>
  <si>
    <t>Kâr Payı Dağıtım Kararı</t>
  </si>
  <si>
    <t>Brüt kâr payı tutarı, para birimi ve dağıtım kararının tarihi.
Bu tarih elde etme tarihi olarak kabul edilir ve TCMB kuru bu tarihte alınır.
YMM notu: Brüt tutar açıkça belirtilmeli — stopaj sonrası net değil.</t>
  </si>
  <si>
    <t>Yönetim kurulu / Genel kurul kararı</t>
  </si>
  <si>
    <t>4</t>
  </si>
  <si>
    <t>Transfer Belgesi — TAMAMININ Transferi Kanıtı</t>
  </si>
  <si>
    <t>Kazancın TAMAMININ KV beyanname süresine kadar Türkiye'ye transfer edildiğini gösterir.
Banka SWIFT belgesi + Transfer dekontu — TL karşılığı ve tarih açık olmalı.
YMM notu: Kısmi transfer varsa istisna hakkı TAMAMEN kaybolur — ayrıca not düşülmeli.</t>
  </si>
  <si>
    <t>Banka SWIFT belgesi + Transfer dekontu</t>
  </si>
  <si>
    <t>5</t>
  </si>
  <si>
    <t>TCMB Kur Belgesi — Elde Etme Tarihi Alış Kuru</t>
  </si>
  <si>
    <t>Kâr payının fiilen elde edildiği tarihteki TCMB döviz alış kuru.
Transfer tarihi kuru değil — kâr payı elde etme tarihi esas alınır.
YMM notu: Yanlış kur tarihi → Hatalı istisna tutarı → Tarhiyat riski.</t>
  </si>
  <si>
    <t>TCMB.gov.tr kur arşivi (tcmb.gov.tr)</t>
  </si>
  <si>
    <t>6</t>
  </si>
  <si>
    <t>317 Tam İstisna Şartları Kontrol Raporu (Neden 317 Değil 387?)</t>
  </si>
  <si>
    <t>387'den önce 4 tam istisna şartı değerlendirilmeli. Neden 317 kullanılmadığı belgelenmeli.
Eksik şart: Vergi yükü &lt;%15 mi? Elde tutma süresi eksik mi? Hangi şart?
YMM notu: Bu belgeleme vergi incelemesinde de savunulan temel delildir.</t>
  </si>
  <si>
    <t>İç değerlendirme notu / YMM çalışma belgesi</t>
  </si>
  <si>
    <t>7</t>
  </si>
  <si>
    <t>Yurt Dışı Stopaj / Withholding Tax Belgesi</t>
  </si>
  <si>
    <t>Yurt dışında kesilen stopaj tutarı ve oranını gösteren vergi makbuzu.
ÇVÖA varsa anlaşma stopaj oranı geçerli — maksimum stopaj oranı anlaşmayla sınırlanabilir.
KVK 33 mahsubu için vergiye tabi %50'ye tekabül eden kısım ayrıştırılmalıdır.</t>
  </si>
  <si>
    <t>Vergi makbuzu / Muhabir banka dekont / ÇVÖA metni</t>
  </si>
  <si>
    <t>8</t>
  </si>
  <si>
    <t>KV Beyannamesi Taslağı — 387. Satır (Nihai veya Taslak)</t>
  </si>
  <si>
    <t>387. satırındaki tutarın VERİ GİRİŞİ E.1 ile birebir uyumlu olduğu teyit edilmeli.
'Zarar Olsa Dahi İndirilecek' bölümünde 387 kodunda doğru konumlandırıldığı kontrol edilmeli.
Beyanname Ek:2 yurt dışı iştirak bölümünün de doldurulduğu kontrol edilmeli.</t>
  </si>
  <si>
    <t>GİB e-Beyanname sistemi / İnternet Vergi Dairesi</t>
  </si>
  <si>
    <t>KATEGORİ 2 — DESTEKLEYİCİ BELGELER</t>
  </si>
  <si>
    <t>9</t>
  </si>
  <si>
    <t>ÇVÖA (Çifte Vergilendirmeyi Önleme Anlaşması)</t>
  </si>
  <si>
    <t>Türkiye'nin ilgili ülkeyle ÇVÖA'sı varsa: Stopaj oranı anlaşmayla sınırlı mı?
KVK 33 mahsup hesabında ÇVÖA stopaj oranı dikkate alınmalıdır.
YMM notu: ÇVÖA metni + uygulanan oran hazine/GİB verilerinden kontrol edilmeli.</t>
  </si>
  <si>
    <t>Hazine ve Maliye Bakanlığı ÇVÖA listesi / GİB</t>
  </si>
  <si>
    <t>10</t>
  </si>
  <si>
    <t>KVK 33 Mahsup Hesaplama Tablosu</t>
  </si>
  <si>
    <t>Vergiye tabi kalan %50'ye tekabül eden yurt dışı stopaj mahsup hesabı.
Mahsup = Stopaj × 0,50 (yaklaşık). Gerçek hesap: D.7'ye isabet eden fiili vergi.
İstisna edilen %50'ye tekabül eden kısım mahsup edilemez.</t>
  </si>
  <si>
    <t>KVK 33 hesaplama tablosu (D bölümü)</t>
  </si>
  <si>
    <t>11</t>
  </si>
  <si>
    <t>YİAKV Matrah Hesaplama Tablosu (387 Dahil Edilmemeli)</t>
  </si>
  <si>
    <t>KVK 5/1-b (387) istisnası YİAKV matrahından DÜŞÜLEMEZ.
YİAKV çalışma kâğıdında 387 tutarının matrahtan düşülmediği teyit edilmeli.</t>
  </si>
  <si>
    <t>YİAKV çalışma kâğıdı / KVK 32/C Tebliğleri</t>
  </si>
  <si>
    <t>12</t>
  </si>
  <si>
    <t>Kur Farkı Hesabı (Transfer Tarihi ile Elde Etme Tarihi Arasındaki Fark)</t>
  </si>
  <si>
    <t>Elde etme kuru ile transfer kuru arasında fark varsa kur farkı kazancı/zararı oluşur.
642 hesabına elde etme tarihindeki kurdan kaydedilir.
Transfer tahsilatındaki kur farkı 646/656 hesabına alınır.</t>
  </si>
  <si>
    <t>TCMB kur arşivi / Muhasebe hesap kartları</t>
  </si>
  <si>
    <t>KATEGORİ 3 — YMM TASDİK KONTROL SORULARI (★ Kritik)</t>
  </si>
  <si>
    <t>Beklenen Sonuç / Tasdik Standardı</t>
  </si>
  <si>
    <t>S1</t>
  </si>
  <si>
    <t>Neden 317 değil 387 kullanıldı? 4 tam şart değerlendirildi mi?</t>
  </si>
  <si>
    <t>317 şart kontrolü belgelenmiş olmalı. Eksik şart açıkça yazılmalı. 317 varken 387 seçmek %50 avantaj kaybıdır.</t>
  </si>
  <si>
    <t>YMM kontrolü</t>
  </si>
  <si>
    <t>S2</t>
  </si>
  <si>
    <t>★ Sermaye payı kazancın elde edildiği tarihte gerçekten ≥%50 mi?</t>
  </si>
  <si>
    <t>%49,9 bile yetersizdir. Tarihe göre belge zorunludur. Dönem içi düşüş varsa şart bozulmuş olabilir.</t>
  </si>
  <si>
    <t>S3</t>
  </si>
  <si>
    <t>Tek kuruş eksik transfer → İstisna TAMAMEN kaybolur. SWIFT + dekont ile TAMAMININ transferi belgelenmeli. 30 Nisan öncesi mi?</t>
  </si>
  <si>
    <t>S4</t>
  </si>
  <si>
    <t>İstisna BRÜT tutar üzerinden mi? Kur tarihi doğru mu?</t>
  </si>
  <si>
    <t>Brüt kâr payı × %50. Net transfer değil. TCMB kuru: Elde etme tarihi — transfer tarihi değil.</t>
  </si>
  <si>
    <t>S5</t>
  </si>
  <si>
    <t>İstisna %50'ye tekabül eden vergi mahsup edilemez. Vergiye tabi %50 için mahsup D.8 ile kontrol edilmeli.</t>
  </si>
  <si>
    <t>S6</t>
  </si>
  <si>
    <t>387 YİAKV'den DÜŞÜLEMEZ. YİAKV çalışma kâğıdında teyit edilmeli.</t>
  </si>
  <si>
    <t>S7</t>
  </si>
  <si>
    <t>Beyanname Ek:2 yurt dışı iştirak bölümü dolduruldu mu?</t>
  </si>
  <si>
    <t>387 uygulanmış olsa da Ek:2 doldurulmalıdır. Eksiklik → Beyanname hatası.</t>
  </si>
  <si>
    <t xml:space="preserve">  SON NOT: 49 No.lu Tebliğ: &gt;=500.000 TL → YMM raporu. Tam tasdik → ayrıca rapor yok. En kritik risk: Kısmi transfer → İstisna TAMAMEN kaybolur. 317 tercih analizi yazılı belgelenmeli. %50 pay şartı tarih bazlı teyit edilmeli. YİAKV'den DÜŞÜLEMEZ. Brüt tutar, elde etme kuru.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</si>
</sst>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C0392B"/>
      <name val="Arial"/>
    </font>
    <font>
      <sz val="8"/>
      <color rgb="FF555555"/>
      <name val="Arial"/>
    </font>
    <font>
      <b/>
      <sz val="10"/>
      <color rgb="FFFFFFFF"/>
      <name val="Arial"/>
    </font>
    <font>
      <b/>
      <sz val="9"/>
      <color rgb="FF1F3864"/>
      <name val="Arial"/>
    </font>
    <font>
      <b/>
      <sz val="10"/>
      <color rgb="FF0000FF"/>
      <name val="Arial"/>
    </font>
    <font>
      <i/>
      <sz val="8"/>
      <color rgb="FF555555"/>
      <name val="Arial"/>
    </font>
    <font>
      <b/>
      <sz val="9"/>
      <color rgb="FFC0392B"/>
      <name val="Arial"/>
    </font>
    <font>
      <i/>
      <sz val="8"/>
      <color rgb="FFC0392B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B5E20"/>
      <name val="Arial"/>
    </font>
    <font>
      <b/>
      <sz val="9"/>
      <color rgb="FF1B5E20"/>
      <name val="Arial"/>
    </font>
    <font>
      <i/>
      <sz val="8"/>
      <color rgb="FF1B5E20"/>
      <name val="Arial"/>
    </font>
    <font>
      <sz val="9"/>
      <color rgb="FF1A5276"/>
      <name val="Arial"/>
    </font>
    <font>
      <b/>
      <sz val="11"/>
      <color rgb="FF1B5E20"/>
      <name val="Arial"/>
    </font>
    <font>
      <b/>
      <sz val="12"/>
      <color rgb="FF1B5E20"/>
      <name val="Arial"/>
    </font>
    <font>
      <b/>
      <sz val="14"/>
      <color rgb="FF1B5E20"/>
      <name val="Arial"/>
    </font>
    <font>
      <b/>
      <sz val="12"/>
      <color rgb="FFFFFFFF"/>
      <name val="Arial"/>
    </font>
    <font>
      <b/>
      <sz val="11"/>
      <color rgb="FFC0392B"/>
      <name val="Arial"/>
    </font>
    <font>
      <sz val="9"/>
      <color rgb="FFE65100"/>
      <name val="Arial"/>
    </font>
    <font>
      <b/>
      <sz val="9"/>
      <color rgb="FFE65100"/>
      <name val="Arial"/>
    </font>
    <font>
      <sz val="8"/>
      <color rgb="FF333333"/>
      <name val="Arial"/>
    </font>
    <font>
      <b/>
      <sz val="36"/>
      <color rgb="FFFFFFFF"/>
      <name val="Arial"/>
    </font>
    <font>
      <sz val="9"/>
      <color rgb="FF1F3864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b/>
      <sz val="9"/>
      <color rgb="FF1565C0"/>
      <name val="Arial"/>
    </font>
    <font>
      <i/>
      <sz val="8"/>
      <color rgb="FF1565C0"/>
      <name val="Arial"/>
    </font>
    <font>
      <sz val="9"/>
      <color indexed="81"/>
      <name val="Tahoma"/>
      <charset val="162"/>
    </font>
    <font>
      <b/>
      <sz val="9"/>
      <color indexed="81"/>
      <name val="Tahoma"/>
      <charset val="162"/>
    </font>
  </fonts>
  <fills count="29">
    <fill>
      <patternFill patternType="none"/>
    </fill>
    <fill>
      <patternFill patternType="gray125"/>
    </fill>
    <fill>
      <patternFill patternType="solid">
        <fgColor rgb="FFE65100"/>
      </patternFill>
    </fill>
    <fill>
      <patternFill patternType="solid">
        <fgColor rgb="FF2E4057"/>
      </patternFill>
    </fill>
    <fill>
      <patternFill patternType="solid">
        <fgColor rgb="FFFCE4D6"/>
      </patternFill>
    </fill>
    <fill>
      <patternFill patternType="solid">
        <fgColor rgb="FFF0F4FF"/>
      </patternFill>
    </fill>
    <fill>
      <patternFill patternType="solid">
        <fgColor rgb="FFF0F0F0"/>
      </patternFill>
    </fill>
    <fill>
      <patternFill patternType="solid">
        <fgColor rgb="FFC0392B"/>
      </patternFill>
    </fill>
    <fill>
      <patternFill patternType="solid">
        <fgColor rgb="FF2E5FA3"/>
      </patternFill>
    </fill>
    <fill>
      <patternFill patternType="solid">
        <fgColor rgb="FFEEF4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1B5E20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922B21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EBF5EB"/>
      </patternFill>
    </fill>
    <fill>
      <patternFill patternType="solid">
        <fgColor rgb="FF7D3C98"/>
      </patternFill>
    </fill>
    <fill>
      <patternFill patternType="solid">
        <fgColor rgb="FFEDE7F6"/>
      </patternFill>
    </fill>
    <fill>
      <patternFill patternType="solid">
        <fgColor rgb="FFF3E5F5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8F4F8"/>
      </patternFill>
    </fill>
    <fill>
      <patternFill patternType="solid">
        <fgColor rgb="FFD0EAF0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4" borderId="2" xfId="0" applyFill="1" applyBorder="1"/>
    <xf numFmtId="0" fontId="0" fillId="6" borderId="2" xfId="0" applyFill="1" applyBorder="1"/>
    <xf numFmtId="0" fontId="2" fillId="8" borderId="1" xfId="0" applyFont="1" applyFill="1" applyBorder="1" applyAlignment="1">
      <alignment horizontal="center" vertical="center"/>
    </xf>
    <xf numFmtId="0" fontId="0" fillId="9" borderId="2" xfId="0" applyFill="1" applyBorder="1"/>
    <xf numFmtId="0" fontId="7" fillId="10" borderId="2" xfId="0" applyFont="1" applyFill="1" applyBorder="1" applyAlignment="1">
      <alignment horizontal="center" vertical="center"/>
    </xf>
    <xf numFmtId="0" fontId="0" fillId="11" borderId="2" xfId="0" applyFill="1" applyBorder="1"/>
    <xf numFmtId="0" fontId="0" fillId="12" borderId="2" xfId="0" applyFill="1" applyBorder="1"/>
    <xf numFmtId="0" fontId="11" fillId="12" borderId="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/>
    </xf>
    <xf numFmtId="0" fontId="6" fillId="11" borderId="2" xfId="0" applyFont="1" applyFill="1" applyBorder="1" applyAlignment="1">
      <alignment horizontal="left" vertical="top" wrapText="1"/>
    </xf>
    <xf numFmtId="0" fontId="0" fillId="10" borderId="2" xfId="0" applyFill="1" applyBorder="1" applyAlignment="1">
      <alignment horizontal="center" vertical="top"/>
    </xf>
    <xf numFmtId="0" fontId="24" fillId="16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24" fillId="17" borderId="2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7" fillId="9" borderId="2" xfId="0" applyFont="1" applyFill="1" applyBorder="1" applyAlignment="1">
      <alignment horizontal="left" vertical="top" wrapText="1"/>
    </xf>
    <xf numFmtId="0" fontId="27" fillId="11" borderId="2" xfId="0" applyFont="1" applyFill="1" applyBorder="1" applyAlignment="1">
      <alignment horizontal="left" vertical="top" wrapText="1"/>
    </xf>
    <xf numFmtId="0" fontId="6" fillId="12" borderId="2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left" vertical="top" wrapText="1"/>
    </xf>
    <xf numFmtId="0" fontId="24" fillId="21" borderId="2" xfId="0" applyFont="1" applyFill="1" applyBorder="1" applyAlignment="1">
      <alignment horizontal="left" vertical="top" wrapText="1"/>
    </xf>
    <xf numFmtId="0" fontId="27" fillId="12" borderId="2" xfId="0" applyFont="1" applyFill="1" applyBorder="1" applyAlignment="1">
      <alignment horizontal="left" vertical="top" wrapText="1"/>
    </xf>
    <xf numFmtId="0" fontId="0" fillId="23" borderId="2" xfId="0" applyFill="1" applyBorder="1"/>
    <xf numFmtId="0" fontId="6" fillId="23" borderId="2" xfId="0" applyFont="1" applyFill="1" applyBorder="1" applyAlignment="1">
      <alignment horizontal="center" vertical="top"/>
    </xf>
    <xf numFmtId="0" fontId="6" fillId="23" borderId="2" xfId="0" applyFont="1" applyFill="1" applyBorder="1" applyAlignment="1">
      <alignment horizontal="left" vertical="top" wrapText="1"/>
    </xf>
    <xf numFmtId="0" fontId="24" fillId="24" borderId="2" xfId="0" applyFont="1" applyFill="1" applyBorder="1" applyAlignment="1">
      <alignment horizontal="left" vertical="top" wrapText="1"/>
    </xf>
    <xf numFmtId="0" fontId="27" fillId="23" borderId="2" xfId="0" applyFont="1" applyFill="1" applyBorder="1" applyAlignment="1">
      <alignment horizontal="left" vertical="top" wrapText="1"/>
    </xf>
    <xf numFmtId="0" fontId="2" fillId="25" borderId="1" xfId="0" applyFont="1" applyFill="1" applyBorder="1" applyAlignment="1">
      <alignment horizontal="center" vertical="center"/>
    </xf>
    <xf numFmtId="0" fontId="0" fillId="26" borderId="2" xfId="0" applyFill="1" applyBorder="1"/>
    <xf numFmtId="0" fontId="29" fillId="26" borderId="2" xfId="0" applyFont="1" applyFill="1" applyBorder="1" applyAlignment="1">
      <alignment horizontal="center" vertical="top"/>
    </xf>
    <xf numFmtId="0" fontId="29" fillId="26" borderId="2" xfId="0" applyFont="1" applyFill="1" applyBorder="1" applyAlignment="1">
      <alignment horizontal="left" vertical="top" wrapText="1"/>
    </xf>
    <xf numFmtId="0" fontId="24" fillId="9" borderId="2" xfId="0" applyFont="1" applyFill="1" applyBorder="1" applyAlignment="1">
      <alignment horizontal="left" vertical="top" wrapText="1"/>
    </xf>
    <xf numFmtId="0" fontId="30" fillId="26" borderId="2" xfId="0" applyFont="1" applyFill="1" applyBorder="1" applyAlignment="1">
      <alignment horizontal="center" vertical="top" wrapText="1"/>
    </xf>
    <xf numFmtId="0" fontId="0" fillId="27" borderId="2" xfId="0" applyFill="1" applyBorder="1"/>
    <xf numFmtId="0" fontId="29" fillId="27" borderId="2" xfId="0" applyFont="1" applyFill="1" applyBorder="1" applyAlignment="1">
      <alignment horizontal="center" vertical="top"/>
    </xf>
    <xf numFmtId="0" fontId="29" fillId="27" borderId="2" xfId="0" applyFont="1" applyFill="1" applyBorder="1" applyAlignment="1">
      <alignment horizontal="left" vertical="top" wrapText="1"/>
    </xf>
    <xf numFmtId="0" fontId="24" fillId="28" borderId="2" xfId="0" applyFont="1" applyFill="1" applyBorder="1" applyAlignment="1">
      <alignment horizontal="left" vertical="top" wrapText="1"/>
    </xf>
    <xf numFmtId="0" fontId="30" fillId="27" borderId="2" xfId="0" applyFont="1" applyFill="1" applyBorder="1" applyAlignment="1">
      <alignment horizontal="center" vertical="top" wrapText="1"/>
    </xf>
    <xf numFmtId="0" fontId="10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6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12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0" fillId="10" borderId="2" xfId="0" applyFill="1" applyBorder="1"/>
    <xf numFmtId="0" fontId="6" fillId="11" borderId="2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8" fillId="11" borderId="2" xfId="0" applyFont="1" applyFill="1" applyBorder="1" applyAlignment="1">
      <alignment horizontal="left" vertical="center" wrapText="1"/>
    </xf>
    <xf numFmtId="0" fontId="16" fillId="9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6" fillId="12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6" fillId="11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8" fillId="1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0" fillId="5" borderId="2" xfId="0" applyFill="1" applyBorder="1"/>
    <xf numFmtId="0" fontId="9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12" fillId="12" borderId="2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" fillId="3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13" fillId="12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left" vertical="top" wrapText="1"/>
    </xf>
    <xf numFmtId="0" fontId="0" fillId="17" borderId="2" xfId="0" applyFill="1" applyBorder="1"/>
    <xf numFmtId="0" fontId="23" fillId="15" borderId="2" xfId="0" applyFont="1" applyFill="1" applyBorder="1" applyAlignment="1">
      <alignment horizontal="center" vertical="center" wrapText="1"/>
    </xf>
    <xf numFmtId="0" fontId="0" fillId="15" borderId="2" xfId="0" applyFill="1" applyBorder="1"/>
    <xf numFmtId="0" fontId="6" fillId="11" borderId="2" xfId="0" applyFont="1" applyFill="1" applyBorder="1" applyAlignment="1">
      <alignment horizontal="left" vertical="top" wrapText="1"/>
    </xf>
    <xf numFmtId="0" fontId="22" fillId="11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left" vertical="top" wrapText="1"/>
    </xf>
    <xf numFmtId="0" fontId="24" fillId="16" borderId="2" xfId="0" applyFont="1" applyFill="1" applyBorder="1" applyAlignment="1">
      <alignment horizontal="left" vertical="top" wrapText="1"/>
    </xf>
    <xf numFmtId="0" fontId="0" fillId="16" borderId="2" xfId="0" applyFill="1" applyBorder="1"/>
    <xf numFmtId="0" fontId="24" fillId="9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14" fillId="12" borderId="2" xfId="0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0" fontId="0" fillId="6" borderId="2" xfId="0" applyFill="1" applyBorder="1"/>
    <xf numFmtId="0" fontId="26" fillId="9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28" fillId="19" borderId="1" xfId="0" applyFont="1" applyFill="1" applyBorder="1" applyAlignment="1">
      <alignment horizontal="left" vertical="center" wrapText="1"/>
    </xf>
    <xf numFmtId="0" fontId="0" fillId="19" borderId="1" xfId="0" applyFill="1" applyBorder="1"/>
    <xf numFmtId="0" fontId="5" fillId="18" borderId="1" xfId="0" applyFont="1" applyFill="1" applyBorder="1" applyAlignment="1">
      <alignment horizontal="left" vertical="center"/>
    </xf>
    <xf numFmtId="0" fontId="0" fillId="18" borderId="1" xfId="0" applyFill="1" applyBorder="1"/>
    <xf numFmtId="0" fontId="5" fillId="22" borderId="1" xfId="0" applyFont="1" applyFill="1" applyBorder="1" applyAlignment="1">
      <alignment horizontal="left" vertical="center"/>
    </xf>
    <xf numFmtId="0" fontId="0" fillId="22" borderId="1" xfId="0" applyFill="1" applyBorder="1"/>
    <xf numFmtId="0" fontId="5" fillId="25" borderId="1" xfId="0" applyFont="1" applyFill="1" applyBorder="1" applyAlignment="1">
      <alignment horizontal="left" vertical="center"/>
    </xf>
    <xf numFmtId="0" fontId="0" fillId="25" borderId="1" xfId="0" applyFill="1" applyBorder="1"/>
    <xf numFmtId="0" fontId="16" fillId="20" borderId="2" xfId="0" applyFont="1" applyFill="1" applyBorder="1" applyAlignment="1">
      <alignment horizontal="left" vertical="center" wrapText="1"/>
    </xf>
    <xf numFmtId="0" fontId="0" fillId="20" borderId="2" xfId="0" applyFill="1" applyBorder="1"/>
  </cellXfs>
  <cellStyles count="1">
    <cellStyle name="Normal" xfId="0" builtinId="0"/>
  </cellStyles>
  <dxfs count="12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7B5E00"/>
        <name val="Arial"/>
      </font>
      <fill>
        <patternFill patternType="solid">
          <fgColor rgb="FFFFF9C4"/>
          <bgColor rgb="FFFFF9C4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7B5E00"/>
        <name val="Arial"/>
      </font>
      <fill>
        <patternFill patternType="solid">
          <fgColor rgb="FFFFF9C4"/>
          <bgColor rgb="FFFFF9C4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49BF27-69D9-4DD0-B2BF-E9FBEA35E32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1c9ddd3-0b65-40d0-8fb5-c1269d91be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3" workbookViewId="0">
      <selection sqref="A1:G1"/>
    </sheetView>
  </sheetViews>
  <sheetFormatPr defaultRowHeight="14.4" x14ac:dyDescent="0.55000000000000004"/>
  <cols>
    <col min="1" max="1" width="3" customWidth="1"/>
    <col min="2" max="2" width="32" customWidth="1"/>
    <col min="3" max="4" width="18" customWidth="1"/>
    <col min="5" max="5" width="16" customWidth="1"/>
    <col min="6" max="6" width="12" customWidth="1"/>
    <col min="7" max="7" width="22" customWidth="1"/>
  </cols>
  <sheetData>
    <row r="1" spans="1:7" ht="44.05" customHeight="1" x14ac:dyDescent="0.55000000000000004">
      <c r="A1" s="75" t="s">
        <v>0</v>
      </c>
      <c r="B1" s="68"/>
      <c r="C1" s="68"/>
      <c r="D1" s="68"/>
      <c r="E1" s="68"/>
      <c r="F1" s="68"/>
      <c r="G1" s="68"/>
    </row>
    <row r="2" spans="1:7" ht="20.05" customHeight="1" x14ac:dyDescent="0.55000000000000004">
      <c r="A2" s="86" t="s">
        <v>1</v>
      </c>
      <c r="B2" s="87"/>
      <c r="C2" s="87"/>
      <c r="D2" s="87"/>
      <c r="E2" s="87"/>
      <c r="F2" s="87"/>
      <c r="G2" s="87"/>
    </row>
    <row r="3" spans="1:7" ht="40" customHeight="1" x14ac:dyDescent="0.55000000000000004">
      <c r="A3" s="78" t="s">
        <v>2</v>
      </c>
      <c r="B3" s="73"/>
      <c r="C3" s="73"/>
      <c r="D3" s="73"/>
      <c r="E3" s="73"/>
      <c r="F3" s="73"/>
      <c r="G3" s="73"/>
    </row>
    <row r="4" spans="1:7" ht="18" customHeight="1" x14ac:dyDescent="0.55000000000000004">
      <c r="A4" s="79" t="s">
        <v>3</v>
      </c>
      <c r="B4" s="80"/>
      <c r="C4" s="80"/>
      <c r="D4" s="80"/>
      <c r="E4" s="80"/>
      <c r="F4" s="80"/>
      <c r="G4" s="80"/>
    </row>
    <row r="5" spans="1:7" ht="5.05" customHeight="1" x14ac:dyDescent="0.55000000000000004">
      <c r="A5" s="2"/>
      <c r="B5" s="2"/>
      <c r="C5" s="2"/>
      <c r="D5" s="2"/>
      <c r="E5" s="2"/>
      <c r="F5" s="2"/>
      <c r="G5" s="2"/>
    </row>
    <row r="6" spans="1:7" ht="24" customHeight="1" x14ac:dyDescent="0.55000000000000004">
      <c r="A6" s="84" t="s">
        <v>4</v>
      </c>
      <c r="B6" s="85"/>
      <c r="C6" s="85"/>
      <c r="D6" s="85"/>
      <c r="E6" s="85"/>
      <c r="F6" s="85"/>
      <c r="G6" s="85"/>
    </row>
    <row r="7" spans="1:7" ht="18" customHeight="1" x14ac:dyDescent="0.55000000000000004">
      <c r="A7" s="3"/>
      <c r="B7" s="3" t="s">
        <v>5</v>
      </c>
      <c r="C7" s="3"/>
      <c r="D7" s="3"/>
      <c r="E7" s="3" t="s">
        <v>6</v>
      </c>
      <c r="F7" s="3"/>
      <c r="G7" s="3" t="s">
        <v>7</v>
      </c>
    </row>
    <row r="8" spans="1:7" ht="30" customHeight="1" x14ac:dyDescent="0.55000000000000004">
      <c r="A8" s="53" t="s">
        <v>8</v>
      </c>
      <c r="B8" s="54"/>
      <c r="C8" s="54"/>
      <c r="D8" s="54"/>
      <c r="E8" s="5" t="s">
        <v>9</v>
      </c>
      <c r="F8" s="71" t="s">
        <v>10</v>
      </c>
      <c r="G8" s="54"/>
    </row>
    <row r="9" spans="1:7" ht="30" customHeight="1" x14ac:dyDescent="0.55000000000000004">
      <c r="A9" s="72" t="s">
        <v>11</v>
      </c>
      <c r="B9" s="73"/>
      <c r="C9" s="73"/>
      <c r="D9" s="73"/>
      <c r="E9" s="5" t="s">
        <v>9</v>
      </c>
      <c r="F9" s="76" t="s">
        <v>12</v>
      </c>
      <c r="G9" s="73"/>
    </row>
    <row r="10" spans="1:7" ht="30" customHeight="1" x14ac:dyDescent="0.55000000000000004">
      <c r="A10" s="53" t="s">
        <v>13</v>
      </c>
      <c r="B10" s="54"/>
      <c r="C10" s="54"/>
      <c r="D10" s="54"/>
      <c r="E10" s="5" t="s">
        <v>9</v>
      </c>
      <c r="F10" s="71" t="s">
        <v>14</v>
      </c>
      <c r="G10" s="54"/>
    </row>
    <row r="11" spans="1:7" ht="30" customHeight="1" x14ac:dyDescent="0.55000000000000004">
      <c r="A11" s="72" t="s">
        <v>15</v>
      </c>
      <c r="B11" s="73"/>
      <c r="C11" s="73"/>
      <c r="D11" s="73"/>
      <c r="E11" s="5" t="s">
        <v>9</v>
      </c>
      <c r="F11" s="76" t="s">
        <v>16</v>
      </c>
      <c r="G11" s="73"/>
    </row>
    <row r="12" spans="1:7" ht="30" customHeight="1" x14ac:dyDescent="0.55000000000000004">
      <c r="A12" s="53" t="s">
        <v>17</v>
      </c>
      <c r="B12" s="54"/>
      <c r="C12" s="54"/>
      <c r="D12" s="54"/>
      <c r="E12" s="5" t="s">
        <v>9</v>
      </c>
      <c r="F12" s="71" t="s">
        <v>18</v>
      </c>
      <c r="G12" s="54"/>
    </row>
    <row r="13" spans="1:7" ht="30" customHeight="1" x14ac:dyDescent="0.55000000000000004">
      <c r="A13" s="58" t="s">
        <v>19</v>
      </c>
      <c r="B13" s="56"/>
      <c r="C13" s="56"/>
      <c r="D13" s="56"/>
      <c r="E13" s="5" t="s">
        <v>9</v>
      </c>
      <c r="F13" s="61" t="s">
        <v>20</v>
      </c>
      <c r="G13" s="56"/>
    </row>
    <row r="14" spans="1:7" ht="30" customHeight="1" x14ac:dyDescent="0.55000000000000004">
      <c r="A14" s="72" t="s">
        <v>21</v>
      </c>
      <c r="B14" s="73"/>
      <c r="C14" s="73"/>
      <c r="D14" s="73"/>
      <c r="E14" s="5" t="s">
        <v>9</v>
      </c>
      <c r="F14" s="76" t="s">
        <v>22</v>
      </c>
      <c r="G14" s="73"/>
    </row>
    <row r="15" spans="1:7" ht="30" customHeight="1" x14ac:dyDescent="0.55000000000000004">
      <c r="A15" s="58" t="s">
        <v>23</v>
      </c>
      <c r="B15" s="56"/>
      <c r="C15" s="56"/>
      <c r="D15" s="56"/>
      <c r="E15" s="5" t="s">
        <v>9</v>
      </c>
      <c r="F15" s="61" t="s">
        <v>24</v>
      </c>
      <c r="G15" s="56"/>
    </row>
    <row r="16" spans="1:7" ht="22" customHeight="1" x14ac:dyDescent="0.55000000000000004">
      <c r="A16" s="65" t="s">
        <v>25</v>
      </c>
      <c r="B16" s="52"/>
      <c r="C16" s="52"/>
      <c r="D16" s="52"/>
      <c r="E16" s="8" t="str">
        <f>IF(AND(E8="EVET",E9="EVET",E10="EVET",E11="EVET",E12="EVET",E13="EVET",E14="EVET",E15="EVET"),"OK - Hesaplanabilir","HATA - Ön koşul eksik")</f>
        <v>OK - Hesaplanabilir</v>
      </c>
      <c r="F16" s="51" t="s">
        <v>26</v>
      </c>
      <c r="G16" s="52"/>
    </row>
    <row r="17" spans="1:7" ht="5.05" customHeight="1" x14ac:dyDescent="0.55000000000000004">
      <c r="A17" s="2"/>
      <c r="B17" s="2"/>
      <c r="C17" s="2"/>
      <c r="D17" s="2"/>
      <c r="E17" s="2"/>
      <c r="F17" s="2"/>
      <c r="G17" s="2"/>
    </row>
    <row r="18" spans="1:7" ht="22" customHeight="1" x14ac:dyDescent="0.55000000000000004">
      <c r="A18" s="67" t="s">
        <v>27</v>
      </c>
      <c r="B18" s="68"/>
      <c r="C18" s="68"/>
      <c r="D18" s="68"/>
      <c r="E18" s="68"/>
      <c r="F18" s="68"/>
      <c r="G18" s="68"/>
    </row>
    <row r="19" spans="1:7" ht="20.05" customHeight="1" x14ac:dyDescent="0.55000000000000004">
      <c r="A19" s="69" t="s">
        <v>28</v>
      </c>
      <c r="B19" s="56"/>
      <c r="C19" s="57"/>
      <c r="D19" s="57"/>
      <c r="E19" s="57"/>
      <c r="F19" s="55" t="s">
        <v>29</v>
      </c>
      <c r="G19" s="56"/>
    </row>
    <row r="20" spans="1:7" ht="20.05" customHeight="1" x14ac:dyDescent="0.55000000000000004">
      <c r="A20" s="66" t="s">
        <v>30</v>
      </c>
      <c r="B20" s="54"/>
      <c r="C20" s="57"/>
      <c r="D20" s="57"/>
      <c r="E20" s="57"/>
      <c r="F20" s="70" t="s">
        <v>31</v>
      </c>
      <c r="G20" s="54"/>
    </row>
    <row r="21" spans="1:7" ht="20.05" customHeight="1" x14ac:dyDescent="0.55000000000000004">
      <c r="A21" s="69" t="s">
        <v>32</v>
      </c>
      <c r="B21" s="56"/>
      <c r="C21" s="57"/>
      <c r="D21" s="57"/>
      <c r="E21" s="57"/>
      <c r="F21" s="55" t="s">
        <v>33</v>
      </c>
      <c r="G21" s="56"/>
    </row>
    <row r="22" spans="1:7" ht="20.05" customHeight="1" x14ac:dyDescent="0.55000000000000004">
      <c r="A22" s="66" t="s">
        <v>34</v>
      </c>
      <c r="B22" s="54"/>
      <c r="C22" s="57"/>
      <c r="D22" s="57"/>
      <c r="E22" s="57"/>
      <c r="F22" s="70" t="s">
        <v>35</v>
      </c>
      <c r="G22" s="54"/>
    </row>
    <row r="23" spans="1:7" ht="20.05" customHeight="1" x14ac:dyDescent="0.55000000000000004">
      <c r="A23" s="69" t="s">
        <v>36</v>
      </c>
      <c r="B23" s="56"/>
      <c r="C23" s="57"/>
      <c r="D23" s="57"/>
      <c r="E23" s="57"/>
      <c r="F23" s="55" t="s">
        <v>37</v>
      </c>
      <c r="G23" s="56"/>
    </row>
    <row r="24" spans="1:7" ht="20.05" customHeight="1" x14ac:dyDescent="0.55000000000000004">
      <c r="A24" s="66" t="s">
        <v>38</v>
      </c>
      <c r="B24" s="54"/>
      <c r="C24" s="57"/>
      <c r="D24" s="57"/>
      <c r="E24" s="57"/>
      <c r="F24" s="70" t="s">
        <v>39</v>
      </c>
      <c r="G24" s="54"/>
    </row>
    <row r="25" spans="1:7" ht="20.05" customHeight="1" x14ac:dyDescent="0.55000000000000004">
      <c r="A25" s="69" t="s">
        <v>40</v>
      </c>
      <c r="B25" s="56"/>
      <c r="C25" s="57"/>
      <c r="D25" s="57"/>
      <c r="E25" s="57"/>
      <c r="F25" s="55" t="s">
        <v>41</v>
      </c>
      <c r="G25" s="56"/>
    </row>
    <row r="26" spans="1:7" ht="20.05" customHeight="1" x14ac:dyDescent="0.55000000000000004">
      <c r="A26" s="66" t="s">
        <v>42</v>
      </c>
      <c r="B26" s="54"/>
      <c r="C26" s="57"/>
      <c r="D26" s="57"/>
      <c r="E26" s="57"/>
      <c r="F26" s="70" t="s">
        <v>43</v>
      </c>
      <c r="G26" s="54"/>
    </row>
    <row r="27" spans="1:7" ht="5.05" customHeight="1" x14ac:dyDescent="0.55000000000000004">
      <c r="A27" s="2"/>
      <c r="B27" s="2"/>
      <c r="C27" s="2"/>
      <c r="D27" s="2"/>
      <c r="E27" s="2"/>
      <c r="F27" s="2"/>
      <c r="G27" s="2"/>
    </row>
    <row r="28" spans="1:7" ht="24" customHeight="1" x14ac:dyDescent="0.55000000000000004">
      <c r="A28" s="59" t="s">
        <v>44</v>
      </c>
      <c r="B28" s="60"/>
      <c r="C28" s="60"/>
      <c r="D28" s="60"/>
      <c r="E28" s="60"/>
      <c r="F28" s="60"/>
      <c r="G28" s="60"/>
    </row>
    <row r="29" spans="1:7" ht="32.049999999999997" customHeight="1" x14ac:dyDescent="0.55000000000000004">
      <c r="A29" s="88" t="s">
        <v>45</v>
      </c>
      <c r="B29" s="52"/>
      <c r="C29" s="52"/>
      <c r="D29" s="52"/>
      <c r="E29" s="52"/>
      <c r="F29" s="52"/>
      <c r="G29" s="52"/>
    </row>
    <row r="30" spans="1:7" ht="18" customHeight="1" x14ac:dyDescent="0.55000000000000004">
      <c r="A30" s="9"/>
      <c r="B30" s="9" t="s">
        <v>46</v>
      </c>
      <c r="C30" s="9"/>
      <c r="D30" s="9" t="s">
        <v>47</v>
      </c>
      <c r="E30" s="9"/>
      <c r="F30" s="9" t="s">
        <v>48</v>
      </c>
      <c r="G30" s="9"/>
    </row>
    <row r="31" spans="1:7" ht="26.05" customHeight="1" x14ac:dyDescent="0.55000000000000004">
      <c r="A31" s="58" t="s">
        <v>49</v>
      </c>
      <c r="B31" s="56"/>
      <c r="C31" s="56"/>
      <c r="D31" s="5" t="s">
        <v>9</v>
      </c>
      <c r="E31" s="6"/>
      <c r="F31" s="61" t="s">
        <v>50</v>
      </c>
      <c r="G31" s="56"/>
    </row>
    <row r="32" spans="1:7" ht="26.05" customHeight="1" x14ac:dyDescent="0.55000000000000004">
      <c r="A32" s="53" t="s">
        <v>51</v>
      </c>
      <c r="B32" s="54"/>
      <c r="C32" s="54"/>
      <c r="D32" s="5" t="s">
        <v>9</v>
      </c>
      <c r="E32" s="4"/>
      <c r="F32" s="71" t="s">
        <v>52</v>
      </c>
      <c r="G32" s="54"/>
    </row>
    <row r="33" spans="1:7" ht="26.05" customHeight="1" x14ac:dyDescent="0.55000000000000004">
      <c r="A33" s="58" t="s">
        <v>53</v>
      </c>
      <c r="B33" s="56"/>
      <c r="C33" s="56"/>
      <c r="D33" s="5" t="s">
        <v>9</v>
      </c>
      <c r="E33" s="6"/>
      <c r="F33" s="61" t="s">
        <v>54</v>
      </c>
      <c r="G33" s="56"/>
    </row>
    <row r="34" spans="1:7" ht="26.05" customHeight="1" x14ac:dyDescent="0.55000000000000004">
      <c r="A34" s="53" t="s">
        <v>55</v>
      </c>
      <c r="B34" s="54"/>
      <c r="C34" s="54"/>
      <c r="D34" s="5" t="s">
        <v>9</v>
      </c>
      <c r="E34" s="4"/>
      <c r="F34" s="71" t="s">
        <v>56</v>
      </c>
      <c r="G34" s="54"/>
    </row>
    <row r="35" spans="1:7" ht="24" customHeight="1" x14ac:dyDescent="0.55000000000000004">
      <c r="A35" s="77" t="s">
        <v>57</v>
      </c>
      <c r="B35" s="52"/>
      <c r="C35" s="52"/>
      <c r="D35" s="8"/>
      <c r="E35" s="7"/>
      <c r="F35" s="90" t="s">
        <v>58</v>
      </c>
      <c r="G35" s="52"/>
    </row>
    <row r="36" spans="1:7" ht="5.05" customHeight="1" x14ac:dyDescent="0.55000000000000004">
      <c r="A36" s="2"/>
      <c r="B36" s="2"/>
      <c r="C36" s="2"/>
      <c r="D36" s="2"/>
      <c r="E36" s="2"/>
      <c r="F36" s="2"/>
      <c r="G36" s="2"/>
    </row>
    <row r="37" spans="1:7" ht="22" customHeight="1" x14ac:dyDescent="0.55000000000000004">
      <c r="A37" s="67" t="s">
        <v>59</v>
      </c>
      <c r="B37" s="68"/>
      <c r="C37" s="68"/>
      <c r="D37" s="68"/>
      <c r="E37" s="68"/>
      <c r="F37" s="68"/>
      <c r="G37" s="68"/>
    </row>
    <row r="38" spans="1:7" ht="36" customHeight="1" x14ac:dyDescent="0.55000000000000004">
      <c r="A38" s="62" t="s">
        <v>60</v>
      </c>
      <c r="B38" s="54"/>
      <c r="C38" s="54"/>
      <c r="D38" s="54"/>
      <c r="E38" s="54"/>
      <c r="F38" s="54"/>
      <c r="G38" s="54"/>
    </row>
    <row r="39" spans="1:7" ht="18" customHeight="1" x14ac:dyDescent="0.55000000000000004">
      <c r="A39" s="11"/>
      <c r="B39" s="11" t="s">
        <v>61</v>
      </c>
      <c r="C39" s="11"/>
      <c r="D39" s="11" t="s">
        <v>62</v>
      </c>
      <c r="E39" s="11"/>
      <c r="F39" s="11" t="s">
        <v>48</v>
      </c>
      <c r="G39" s="11" t="s">
        <v>63</v>
      </c>
    </row>
    <row r="40" spans="1:7" ht="30" customHeight="1" x14ac:dyDescent="0.55000000000000004">
      <c r="A40" s="72" t="s">
        <v>64</v>
      </c>
      <c r="B40" s="73"/>
      <c r="C40" s="73"/>
      <c r="D40" s="12"/>
      <c r="E40" s="1"/>
      <c r="F40" s="89" t="s">
        <v>65</v>
      </c>
      <c r="G40" s="73"/>
    </row>
    <row r="41" spans="1:7" ht="30" customHeight="1" x14ac:dyDescent="0.55000000000000004">
      <c r="A41" s="72" t="s">
        <v>66</v>
      </c>
      <c r="B41" s="73"/>
      <c r="C41" s="73"/>
      <c r="D41" s="13" t="s">
        <v>9</v>
      </c>
      <c r="E41" s="1"/>
      <c r="F41" s="89" t="s">
        <v>67</v>
      </c>
      <c r="G41" s="73"/>
    </row>
    <row r="42" spans="1:7" ht="30" customHeight="1" x14ac:dyDescent="0.55000000000000004">
      <c r="A42" s="77" t="s">
        <v>68</v>
      </c>
      <c r="B42" s="52"/>
      <c r="C42" s="52"/>
      <c r="D42" s="13" t="str">
        <f>IF(AND(D40&gt;=50,D41="EVET"),"EVET — 387 Uygulanabilir","HAYIR — Şart Eksik")</f>
        <v>HAYIR — Şart Eksik</v>
      </c>
      <c r="E42" s="7"/>
      <c r="F42" s="74" t="s">
        <v>69</v>
      </c>
      <c r="G42" s="52"/>
    </row>
    <row r="43" spans="1:7" ht="5.05" customHeight="1" x14ac:dyDescent="0.55000000000000004">
      <c r="A43" s="2"/>
      <c r="B43" s="2"/>
      <c r="C43" s="2"/>
      <c r="D43" s="2"/>
      <c r="E43" s="2"/>
      <c r="F43" s="2"/>
      <c r="G43" s="2"/>
    </row>
    <row r="44" spans="1:7" ht="24" customHeight="1" x14ac:dyDescent="0.55000000000000004">
      <c r="A44" s="67" t="s">
        <v>70</v>
      </c>
      <c r="B44" s="68"/>
      <c r="C44" s="68"/>
      <c r="D44" s="68"/>
      <c r="E44" s="68"/>
      <c r="F44" s="68"/>
      <c r="G44" s="68"/>
    </row>
    <row r="45" spans="1:7" ht="36" customHeight="1" x14ac:dyDescent="0.55000000000000004">
      <c r="A45" s="62" t="s">
        <v>71</v>
      </c>
      <c r="B45" s="54"/>
      <c r="C45" s="54"/>
      <c r="D45" s="54"/>
      <c r="E45" s="54"/>
      <c r="F45" s="54"/>
      <c r="G45" s="54"/>
    </row>
    <row r="46" spans="1:7" ht="18" customHeight="1" x14ac:dyDescent="0.55000000000000004">
      <c r="A46" s="3"/>
      <c r="B46" s="3" t="s">
        <v>72</v>
      </c>
      <c r="C46" s="3"/>
      <c r="D46" s="3" t="s">
        <v>73</v>
      </c>
      <c r="E46" s="3"/>
      <c r="F46" s="3" t="s">
        <v>48</v>
      </c>
      <c r="G46" s="3" t="s">
        <v>63</v>
      </c>
    </row>
    <row r="47" spans="1:7" ht="26.05" customHeight="1" x14ac:dyDescent="0.55000000000000004">
      <c r="A47" s="53" t="s">
        <v>74</v>
      </c>
      <c r="B47" s="54"/>
      <c r="C47" s="12"/>
      <c r="D47" s="70"/>
      <c r="E47" s="54"/>
      <c r="F47" s="71" t="s">
        <v>75</v>
      </c>
      <c r="G47" s="54"/>
    </row>
    <row r="48" spans="1:7" ht="26.05" customHeight="1" x14ac:dyDescent="0.55000000000000004">
      <c r="A48" s="58" t="s">
        <v>76</v>
      </c>
      <c r="B48" s="56"/>
      <c r="C48" s="12"/>
      <c r="D48" s="55"/>
      <c r="E48" s="56"/>
      <c r="F48" s="61" t="s">
        <v>77</v>
      </c>
      <c r="G48" s="56"/>
    </row>
    <row r="49" spans="1:7" ht="26.05" customHeight="1" x14ac:dyDescent="0.55000000000000004">
      <c r="A49" s="53" t="s">
        <v>78</v>
      </c>
      <c r="B49" s="54"/>
      <c r="C49" s="13"/>
      <c r="D49" s="70">
        <f>D47*D48</f>
        <v>0</v>
      </c>
      <c r="E49" s="54"/>
      <c r="F49" s="71" t="s">
        <v>79</v>
      </c>
      <c r="G49" s="54"/>
    </row>
    <row r="50" spans="1:7" ht="26.05" customHeight="1" x14ac:dyDescent="0.55000000000000004">
      <c r="A50" s="58" t="s">
        <v>80</v>
      </c>
      <c r="B50" s="56"/>
      <c r="C50" s="12"/>
      <c r="D50" s="55"/>
      <c r="E50" s="56"/>
      <c r="F50" s="61" t="s">
        <v>81</v>
      </c>
      <c r="G50" s="56"/>
    </row>
    <row r="51" spans="1:7" ht="26.05" customHeight="1" x14ac:dyDescent="0.55000000000000004">
      <c r="A51" s="53" t="s">
        <v>82</v>
      </c>
      <c r="B51" s="54"/>
      <c r="C51" s="13"/>
      <c r="D51" s="70">
        <f>D49-D50</f>
        <v>0</v>
      </c>
      <c r="E51" s="54"/>
      <c r="F51" s="71" t="s">
        <v>83</v>
      </c>
      <c r="G51" s="54"/>
    </row>
    <row r="52" spans="1:7" ht="26.05" customHeight="1" x14ac:dyDescent="0.55000000000000004">
      <c r="A52" s="77" t="s">
        <v>84</v>
      </c>
      <c r="B52" s="52"/>
      <c r="C52" s="14"/>
      <c r="D52" s="83">
        <f>D49*0.5</f>
        <v>0</v>
      </c>
      <c r="E52" s="52"/>
      <c r="F52" s="51" t="s">
        <v>85</v>
      </c>
      <c r="G52" s="52"/>
    </row>
    <row r="53" spans="1:7" ht="26.05" customHeight="1" x14ac:dyDescent="0.55000000000000004">
      <c r="A53" s="53" t="s">
        <v>86</v>
      </c>
      <c r="B53" s="54"/>
      <c r="C53" s="13"/>
      <c r="D53" s="70">
        <f>D49*0.5</f>
        <v>0</v>
      </c>
      <c r="E53" s="54"/>
      <c r="F53" s="71" t="s">
        <v>87</v>
      </c>
      <c r="G53" s="54"/>
    </row>
    <row r="54" spans="1:7" ht="26.05" customHeight="1" x14ac:dyDescent="0.55000000000000004">
      <c r="A54" s="58" t="s">
        <v>88</v>
      </c>
      <c r="B54" s="56"/>
      <c r="C54" s="13"/>
      <c r="D54" s="55">
        <f>D50*0.5</f>
        <v>0</v>
      </c>
      <c r="E54" s="56"/>
      <c r="F54" s="61" t="s">
        <v>89</v>
      </c>
      <c r="G54" s="56"/>
    </row>
    <row r="55" spans="1:7" ht="5.05" customHeight="1" x14ac:dyDescent="0.55000000000000004">
      <c r="A55" s="2"/>
      <c r="B55" s="2"/>
      <c r="C55" s="2"/>
      <c r="D55" s="2"/>
      <c r="E55" s="2"/>
      <c r="F55" s="2"/>
      <c r="G55" s="2"/>
    </row>
    <row r="56" spans="1:7" ht="26.05" customHeight="1" x14ac:dyDescent="0.55000000000000004">
      <c r="A56" s="75" t="s">
        <v>90</v>
      </c>
      <c r="B56" s="68"/>
      <c r="C56" s="68"/>
      <c r="D56" s="68"/>
      <c r="E56" s="68"/>
      <c r="F56" s="68"/>
      <c r="G56" s="68"/>
    </row>
    <row r="57" spans="1:7" ht="30" customHeight="1" x14ac:dyDescent="0.55000000000000004">
      <c r="A57" s="63" t="s">
        <v>91</v>
      </c>
      <c r="B57" s="64"/>
      <c r="C57" s="64"/>
      <c r="D57" s="64"/>
      <c r="E57" s="64"/>
      <c r="F57" s="15">
        <f>D52</f>
        <v>0</v>
      </c>
      <c r="G57" s="10" t="s">
        <v>92</v>
      </c>
    </row>
    <row r="58" spans="1:7" ht="40" customHeight="1" x14ac:dyDescent="0.55000000000000004">
      <c r="A58" s="81" t="s">
        <v>93</v>
      </c>
      <c r="B58" s="82"/>
      <c r="C58" s="82"/>
      <c r="D58" s="82"/>
      <c r="E58" s="82"/>
      <c r="F58" s="82"/>
      <c r="G58" s="82"/>
    </row>
  </sheetData>
  <mergeCells count="97">
    <mergeCell ref="A56:G56"/>
    <mergeCell ref="D50:E50"/>
    <mergeCell ref="F53:G53"/>
    <mergeCell ref="A2:G2"/>
    <mergeCell ref="F14:G14"/>
    <mergeCell ref="D54:E54"/>
    <mergeCell ref="A14:D14"/>
    <mergeCell ref="F11:G11"/>
    <mergeCell ref="A24:B24"/>
    <mergeCell ref="A41:C41"/>
    <mergeCell ref="A29:G29"/>
    <mergeCell ref="F40:G40"/>
    <mergeCell ref="A44:G44"/>
    <mergeCell ref="F12:G12"/>
    <mergeCell ref="F24:G24"/>
    <mergeCell ref="A33:C33"/>
    <mergeCell ref="A25:B25"/>
    <mergeCell ref="F51:G51"/>
    <mergeCell ref="F32:G32"/>
    <mergeCell ref="A58:G58"/>
    <mergeCell ref="D52:E52"/>
    <mergeCell ref="D49:E49"/>
    <mergeCell ref="F50:G50"/>
    <mergeCell ref="F8:G8"/>
    <mergeCell ref="A21:B21"/>
    <mergeCell ref="F22:G22"/>
    <mergeCell ref="A23:B23"/>
    <mergeCell ref="A18:G18"/>
    <mergeCell ref="A12:D12"/>
    <mergeCell ref="F49:G49"/>
    <mergeCell ref="A35:C35"/>
    <mergeCell ref="F26:G26"/>
    <mergeCell ref="F41:G41"/>
    <mergeCell ref="F35:G35"/>
    <mergeCell ref="A50:B50"/>
    <mergeCell ref="A1:G1"/>
    <mergeCell ref="F47:G47"/>
    <mergeCell ref="A31:C31"/>
    <mergeCell ref="A40:C40"/>
    <mergeCell ref="F31:G31"/>
    <mergeCell ref="F9:G9"/>
    <mergeCell ref="C24:E24"/>
    <mergeCell ref="A3:G3"/>
    <mergeCell ref="C26:E26"/>
    <mergeCell ref="A8:D8"/>
    <mergeCell ref="A4:G4"/>
    <mergeCell ref="A38:G38"/>
    <mergeCell ref="A10:D10"/>
    <mergeCell ref="F21:G21"/>
    <mergeCell ref="A42:C42"/>
    <mergeCell ref="A6:G6"/>
    <mergeCell ref="A9:D9"/>
    <mergeCell ref="A32:C32"/>
    <mergeCell ref="F20:G20"/>
    <mergeCell ref="F33:G33"/>
    <mergeCell ref="F42:G42"/>
    <mergeCell ref="A11:D11"/>
    <mergeCell ref="A26:B26"/>
    <mergeCell ref="C19:E19"/>
    <mergeCell ref="A20:B20"/>
    <mergeCell ref="F10:G10"/>
    <mergeCell ref="F54:G54"/>
    <mergeCell ref="F19:G19"/>
    <mergeCell ref="C22:E22"/>
    <mergeCell ref="F34:G34"/>
    <mergeCell ref="D53:E53"/>
    <mergeCell ref="D47:E47"/>
    <mergeCell ref="F48:G48"/>
    <mergeCell ref="F52:G52"/>
    <mergeCell ref="A57:E57"/>
    <mergeCell ref="F23:G23"/>
    <mergeCell ref="A16:D16"/>
    <mergeCell ref="F13:G13"/>
    <mergeCell ref="A34:C34"/>
    <mergeCell ref="A22:B22"/>
    <mergeCell ref="A53:B53"/>
    <mergeCell ref="A37:G37"/>
    <mergeCell ref="A19:B19"/>
    <mergeCell ref="D51:E51"/>
    <mergeCell ref="C20:E20"/>
    <mergeCell ref="C25:E25"/>
    <mergeCell ref="A48:B48"/>
    <mergeCell ref="A52:B52"/>
    <mergeCell ref="A49:B49"/>
    <mergeCell ref="A47:B47"/>
    <mergeCell ref="A54:B54"/>
    <mergeCell ref="F15:G15"/>
    <mergeCell ref="C23:E23"/>
    <mergeCell ref="A15:D15"/>
    <mergeCell ref="D48:E48"/>
    <mergeCell ref="A45:G45"/>
    <mergeCell ref="F16:G16"/>
    <mergeCell ref="A51:B51"/>
    <mergeCell ref="F25:G25"/>
    <mergeCell ref="C21:E21"/>
    <mergeCell ref="A13:D13"/>
    <mergeCell ref="A28:G28"/>
  </mergeCells>
  <conditionalFormatting sqref="D35">
    <cfRule type="containsText" dxfId="11" priority="3" operator="containsText" text="317 Kullan">
      <formula>NOT(ISERROR(SEARCH("317 Kullan",D35)))</formula>
    </cfRule>
    <cfRule type="containsText" dxfId="10" priority="4" operator="containsText" text="387">
      <formula>NOT(ISERROR(SEARCH("387",D35)))</formula>
    </cfRule>
  </conditionalFormatting>
  <conditionalFormatting sqref="D42">
    <cfRule type="containsText" dxfId="9" priority="5" operator="containsText" text="EVET">
      <formula>NOT(ISERROR(SEARCH("EVET",D42)))</formula>
    </cfRule>
    <cfRule type="containsText" dxfId="8" priority="6" operator="containsText" text="HAYIR">
      <formula>NOT(ISERROR(SEARCH("HAYIR",D42)))</formula>
    </cfRule>
  </conditionalFormatting>
  <conditionalFormatting sqref="E16">
    <cfRule type="containsText" dxfId="7" priority="1" operator="containsText" text="OK">
      <formula>NOT(ISERROR(SEARCH("OK",E16)))</formula>
    </cfRule>
    <cfRule type="containsText" dxfId="6" priority="2" operator="containsText" text="HATA">
      <formula>NOT(ISERROR(SEARCH("HATA",E16)))</formula>
    </cfRule>
  </conditionalFormatting>
  <dataValidations count="6">
    <dataValidation type="list" sqref="D31:D34 E12 E8:E10" xr:uid="{00000000-0002-0000-0000-000000000000}">
      <formula1>"EVET,HAYIR"</formula1>
    </dataValidation>
    <dataValidation type="list" sqref="E11 D41" xr:uid="{00000000-0002-0000-0000-000003000000}">
      <formula1>"EVET,HAYIR-Kısmi Transfer"</formula1>
    </dataValidation>
    <dataValidation type="list" sqref="E13" xr:uid="{00000000-0002-0000-0000-000005000000}">
      <formula1>"EVET,Analiz Gerekli"</formula1>
    </dataValidation>
    <dataValidation type="list" sqref="E14" xr:uid="{00000000-0002-0000-0000-000006000000}">
      <formula1>"EVET,HAYIR-Risk"</formula1>
    </dataValidation>
    <dataValidation type="list" sqref="E15" xr:uid="{00000000-0002-0000-0000-000007000000}">
      <formula1>"EVET,Tam Tasdik"</formula1>
    </dataValidation>
    <dataValidation type="list" sqref="D35" xr:uid="{00000000-0002-0000-0000-00000C000000}">
      <formula1>"4 Şart Sağlandı-317 Kullan,Şart Eksik-387'ye Geç"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defaultRowHeight="14.4" x14ac:dyDescent="0.55000000000000004"/>
  <cols>
    <col min="1" max="1" width="4" customWidth="1"/>
    <col min="2" max="2" width="36" customWidth="1"/>
    <col min="3" max="4" width="16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6" t="s">
        <v>94</v>
      </c>
      <c r="B1" s="68"/>
      <c r="C1" s="68"/>
      <c r="D1" s="68"/>
      <c r="E1" s="68"/>
      <c r="F1" s="68"/>
      <c r="G1" s="68"/>
    </row>
    <row r="2" spans="1:7" ht="20.05" customHeight="1" x14ac:dyDescent="0.55000000000000004">
      <c r="A2" s="86" t="s">
        <v>95</v>
      </c>
      <c r="B2" s="87"/>
      <c r="C2" s="87"/>
      <c r="D2" s="87"/>
      <c r="E2" s="87"/>
      <c r="F2" s="87"/>
      <c r="G2" s="87"/>
    </row>
    <row r="3" spans="1:7" ht="5.05" customHeight="1" x14ac:dyDescent="0.55000000000000004">
      <c r="A3" s="2"/>
      <c r="B3" s="2"/>
      <c r="C3" s="2"/>
      <c r="D3" s="2"/>
      <c r="E3" s="2"/>
      <c r="F3" s="2"/>
      <c r="G3" s="2"/>
    </row>
    <row r="4" spans="1:7" ht="22" customHeight="1" x14ac:dyDescent="0.55000000000000004">
      <c r="A4" s="59" t="s">
        <v>96</v>
      </c>
      <c r="B4" s="60"/>
      <c r="C4" s="60"/>
      <c r="D4" s="60"/>
      <c r="E4" s="60"/>
      <c r="F4" s="60"/>
      <c r="G4" s="60"/>
    </row>
    <row r="5" spans="1:7" ht="22" customHeight="1" x14ac:dyDescent="0.55000000000000004">
      <c r="A5" s="69" t="s">
        <v>97</v>
      </c>
      <c r="B5" s="56"/>
      <c r="C5" s="56"/>
      <c r="D5" s="16" t="str">
        <f>'VERİ GİRİŞİ'!E16</f>
        <v>OK - Hesaplanabilir</v>
      </c>
      <c r="E5" s="61" t="s">
        <v>98</v>
      </c>
      <c r="F5" s="56"/>
      <c r="G5" s="56"/>
    </row>
    <row r="6" spans="1:7" ht="22" customHeight="1" x14ac:dyDescent="0.55000000000000004">
      <c r="A6" s="66" t="s">
        <v>99</v>
      </c>
      <c r="B6" s="54"/>
      <c r="C6" s="54"/>
      <c r="D6" s="16">
        <f>'VERİ GİRİŞİ'!D35</f>
        <v>0</v>
      </c>
      <c r="E6" s="71" t="s">
        <v>100</v>
      </c>
      <c r="F6" s="54"/>
      <c r="G6" s="54"/>
    </row>
    <row r="7" spans="1:7" ht="22" customHeight="1" x14ac:dyDescent="0.55000000000000004">
      <c r="A7" s="69" t="s">
        <v>101</v>
      </c>
      <c r="B7" s="56"/>
      <c r="C7" s="56"/>
      <c r="D7" s="16" t="str">
        <f>'VERİ GİRİŞİ'!D42</f>
        <v>HAYIR — Şart Eksik</v>
      </c>
      <c r="E7" s="61" t="s">
        <v>102</v>
      </c>
      <c r="F7" s="56"/>
      <c r="G7" s="56"/>
    </row>
    <row r="8" spans="1:7" ht="22" customHeight="1" x14ac:dyDescent="0.55000000000000004">
      <c r="A8" s="66" t="s">
        <v>103</v>
      </c>
      <c r="B8" s="54"/>
      <c r="C8" s="54"/>
      <c r="D8" s="16">
        <f>'VERİ GİRİŞİ'!D49</f>
        <v>0</v>
      </c>
      <c r="E8" s="71" t="s">
        <v>104</v>
      </c>
      <c r="F8" s="54"/>
      <c r="G8" s="54"/>
    </row>
    <row r="9" spans="1:7" ht="22" customHeight="1" x14ac:dyDescent="0.55000000000000004">
      <c r="A9" s="65" t="s">
        <v>105</v>
      </c>
      <c r="B9" s="52"/>
      <c r="C9" s="52"/>
      <c r="D9" s="13">
        <f>'VERİ GİRİŞİ'!D52</f>
        <v>0</v>
      </c>
      <c r="E9" s="74"/>
      <c r="F9" s="52"/>
      <c r="G9" s="52"/>
    </row>
    <row r="10" spans="1:7" ht="22" customHeight="1" x14ac:dyDescent="0.55000000000000004">
      <c r="A10" s="105" t="s">
        <v>106</v>
      </c>
      <c r="B10" s="73"/>
      <c r="C10" s="73"/>
      <c r="D10" s="17">
        <f>'VERİ GİRİŞİ'!D53</f>
        <v>0</v>
      </c>
      <c r="E10" s="89" t="s">
        <v>107</v>
      </c>
      <c r="F10" s="73"/>
      <c r="G10" s="73"/>
    </row>
    <row r="11" spans="1:7" ht="22" customHeight="1" x14ac:dyDescent="0.55000000000000004">
      <c r="A11" s="69" t="s">
        <v>108</v>
      </c>
      <c r="B11" s="56"/>
      <c r="C11" s="56"/>
      <c r="D11" s="16">
        <f>'VERİ GİRİŞİ'!D54</f>
        <v>0</v>
      </c>
      <c r="E11" s="61" t="s">
        <v>109</v>
      </c>
      <c r="F11" s="56"/>
      <c r="G11" s="56"/>
    </row>
    <row r="12" spans="1:7" ht="5.05" customHeight="1" x14ac:dyDescent="0.55000000000000004">
      <c r="A12" s="2"/>
      <c r="B12" s="2"/>
      <c r="C12" s="2"/>
      <c r="D12" s="2"/>
      <c r="E12" s="2"/>
      <c r="F12" s="2"/>
      <c r="G12" s="2"/>
    </row>
    <row r="13" spans="1:7" ht="22" customHeight="1" x14ac:dyDescent="0.55000000000000004">
      <c r="A13" s="67" t="s">
        <v>110</v>
      </c>
      <c r="B13" s="68"/>
      <c r="C13" s="68"/>
      <c r="D13" s="68"/>
      <c r="E13" s="68"/>
      <c r="F13" s="68"/>
      <c r="G13" s="68"/>
    </row>
    <row r="14" spans="1:7" ht="18" customHeight="1" x14ac:dyDescent="0.55000000000000004">
      <c r="A14" s="3"/>
      <c r="B14" s="3" t="s">
        <v>111</v>
      </c>
      <c r="C14" s="3"/>
      <c r="D14" s="3" t="s">
        <v>112</v>
      </c>
      <c r="E14" s="3"/>
      <c r="F14" s="3" t="s">
        <v>113</v>
      </c>
      <c r="G14" s="3"/>
    </row>
    <row r="15" spans="1:7" ht="22" customHeight="1" x14ac:dyDescent="0.55000000000000004">
      <c r="A15" s="69" t="s">
        <v>114</v>
      </c>
      <c r="B15" s="56"/>
      <c r="C15" s="91" t="s">
        <v>115</v>
      </c>
      <c r="D15" s="56"/>
      <c r="E15" s="97" t="s">
        <v>116</v>
      </c>
      <c r="F15" s="56"/>
      <c r="G15" s="6"/>
    </row>
    <row r="16" spans="1:7" ht="22" customHeight="1" x14ac:dyDescent="0.55000000000000004">
      <c r="A16" s="66" t="s">
        <v>117</v>
      </c>
      <c r="B16" s="54"/>
      <c r="C16" s="102" t="s">
        <v>118</v>
      </c>
      <c r="D16" s="54"/>
      <c r="E16" s="103" t="s">
        <v>119</v>
      </c>
      <c r="F16" s="54"/>
      <c r="G16" s="4"/>
    </row>
    <row r="17" spans="1:7" ht="22" customHeight="1" x14ac:dyDescent="0.55000000000000004">
      <c r="A17" s="69" t="s">
        <v>120</v>
      </c>
      <c r="B17" s="56"/>
      <c r="C17" s="91" t="s">
        <v>121</v>
      </c>
      <c r="D17" s="56"/>
      <c r="E17" s="97" t="s">
        <v>119</v>
      </c>
      <c r="F17" s="56"/>
      <c r="G17" s="6"/>
    </row>
    <row r="18" spans="1:7" ht="22" customHeight="1" x14ac:dyDescent="0.55000000000000004">
      <c r="A18" s="66" t="s">
        <v>122</v>
      </c>
      <c r="B18" s="54"/>
      <c r="C18" s="109" t="s">
        <v>123</v>
      </c>
      <c r="D18" s="52"/>
      <c r="E18" s="94" t="s">
        <v>123</v>
      </c>
      <c r="F18" s="95"/>
      <c r="G18" s="4"/>
    </row>
    <row r="19" spans="1:7" ht="22" customHeight="1" x14ac:dyDescent="0.55000000000000004">
      <c r="A19" s="69" t="s">
        <v>124</v>
      </c>
      <c r="B19" s="56"/>
      <c r="C19" s="109" t="s">
        <v>125</v>
      </c>
      <c r="D19" s="52"/>
      <c r="E19" s="94" t="s">
        <v>126</v>
      </c>
      <c r="F19" s="95"/>
      <c r="G19" s="6"/>
    </row>
    <row r="20" spans="1:7" ht="22" customHeight="1" x14ac:dyDescent="0.55000000000000004">
      <c r="A20" s="66" t="s">
        <v>127</v>
      </c>
      <c r="B20" s="54"/>
      <c r="C20" s="102" t="s">
        <v>128</v>
      </c>
      <c r="D20" s="54"/>
      <c r="E20" s="103" t="s">
        <v>129</v>
      </c>
      <c r="F20" s="54"/>
      <c r="G20" s="4"/>
    </row>
    <row r="21" spans="1:7" ht="22" customHeight="1" x14ac:dyDescent="0.55000000000000004">
      <c r="A21" s="69" t="s">
        <v>130</v>
      </c>
      <c r="B21" s="56"/>
      <c r="C21" s="91" t="s">
        <v>131</v>
      </c>
      <c r="D21" s="56"/>
      <c r="E21" s="97" t="s">
        <v>131</v>
      </c>
      <c r="F21" s="56"/>
      <c r="G21" s="6"/>
    </row>
    <row r="22" spans="1:7" ht="22" customHeight="1" x14ac:dyDescent="0.55000000000000004">
      <c r="A22" s="66" t="s">
        <v>132</v>
      </c>
      <c r="B22" s="54"/>
      <c r="C22" s="102" t="s">
        <v>133</v>
      </c>
      <c r="D22" s="54"/>
      <c r="E22" s="103" t="s">
        <v>134</v>
      </c>
      <c r="F22" s="54"/>
      <c r="G22" s="4"/>
    </row>
    <row r="23" spans="1:7" ht="22" customHeight="1" x14ac:dyDescent="0.55000000000000004">
      <c r="A23" s="69" t="s">
        <v>135</v>
      </c>
      <c r="B23" s="56"/>
      <c r="C23" s="109" t="s">
        <v>136</v>
      </c>
      <c r="D23" s="52"/>
      <c r="E23" s="94" t="s">
        <v>137</v>
      </c>
      <c r="F23" s="95"/>
      <c r="G23" s="6"/>
    </row>
    <row r="24" spans="1:7" ht="5.05" customHeight="1" x14ac:dyDescent="0.55000000000000004">
      <c r="A24" s="2"/>
      <c r="B24" s="2"/>
      <c r="C24" s="2"/>
      <c r="D24" s="2"/>
      <c r="E24" s="2"/>
      <c r="F24" s="2"/>
      <c r="G24" s="2"/>
    </row>
    <row r="25" spans="1:7" ht="22" customHeight="1" x14ac:dyDescent="0.55000000000000004">
      <c r="A25" s="67" t="s">
        <v>138</v>
      </c>
      <c r="B25" s="68"/>
      <c r="C25" s="68"/>
      <c r="D25" s="68"/>
      <c r="E25" s="68"/>
      <c r="F25" s="68"/>
      <c r="G25" s="68"/>
    </row>
    <row r="26" spans="1:7" ht="18" customHeight="1" x14ac:dyDescent="0.55000000000000004">
      <c r="A26" s="3"/>
      <c r="B26" s="3" t="s">
        <v>139</v>
      </c>
      <c r="C26" s="3"/>
      <c r="D26" s="3" t="s">
        <v>140</v>
      </c>
      <c r="E26" s="3"/>
      <c r="F26" s="3" t="s">
        <v>141</v>
      </c>
      <c r="G26" s="3" t="s">
        <v>142</v>
      </c>
    </row>
    <row r="27" spans="1:7" ht="28" customHeight="1" x14ac:dyDescent="0.55000000000000004">
      <c r="A27" s="18" t="s">
        <v>143</v>
      </c>
      <c r="B27" s="96" t="s">
        <v>144</v>
      </c>
      <c r="C27" s="56"/>
      <c r="D27" s="98" t="s">
        <v>145</v>
      </c>
      <c r="E27" s="56"/>
      <c r="F27" s="20" t="s">
        <v>146</v>
      </c>
      <c r="G27" s="6"/>
    </row>
    <row r="28" spans="1:7" ht="28" customHeight="1" x14ac:dyDescent="0.55000000000000004">
      <c r="A28" s="18" t="s">
        <v>147</v>
      </c>
      <c r="B28" s="108" t="s">
        <v>148</v>
      </c>
      <c r="C28" s="73"/>
      <c r="D28" s="99" t="s">
        <v>149</v>
      </c>
      <c r="E28" s="100"/>
      <c r="F28" s="20" t="s">
        <v>146</v>
      </c>
      <c r="G28" s="4"/>
    </row>
    <row r="29" spans="1:7" ht="28" customHeight="1" x14ac:dyDescent="0.55000000000000004">
      <c r="A29" s="18" t="s">
        <v>150</v>
      </c>
      <c r="B29" s="96" t="s">
        <v>151</v>
      </c>
      <c r="C29" s="56"/>
      <c r="D29" s="98" t="s">
        <v>152</v>
      </c>
      <c r="E29" s="56"/>
      <c r="F29" s="20" t="s">
        <v>146</v>
      </c>
      <c r="G29" s="6"/>
    </row>
    <row r="30" spans="1:7" ht="28" customHeight="1" x14ac:dyDescent="0.55000000000000004">
      <c r="A30" s="18" t="s">
        <v>153</v>
      </c>
      <c r="B30" s="108" t="s">
        <v>154</v>
      </c>
      <c r="C30" s="73"/>
      <c r="D30" s="99" t="s">
        <v>155</v>
      </c>
      <c r="E30" s="100"/>
      <c r="F30" s="20" t="s">
        <v>146</v>
      </c>
      <c r="G30" s="4"/>
    </row>
    <row r="31" spans="1:7" ht="28" customHeight="1" x14ac:dyDescent="0.55000000000000004">
      <c r="A31" s="18" t="s">
        <v>156</v>
      </c>
      <c r="B31" s="96" t="s">
        <v>157</v>
      </c>
      <c r="C31" s="56"/>
      <c r="D31" s="98" t="s">
        <v>158</v>
      </c>
      <c r="E31" s="56"/>
      <c r="F31" s="20" t="s">
        <v>146</v>
      </c>
      <c r="G31" s="6"/>
    </row>
    <row r="32" spans="1:7" ht="28" customHeight="1" x14ac:dyDescent="0.55000000000000004">
      <c r="A32" s="18" t="s">
        <v>159</v>
      </c>
      <c r="B32" s="107" t="s">
        <v>160</v>
      </c>
      <c r="C32" s="54"/>
      <c r="D32" s="92" t="s">
        <v>161</v>
      </c>
      <c r="E32" s="93"/>
      <c r="F32" s="20" t="s">
        <v>146</v>
      </c>
      <c r="G32" s="4"/>
    </row>
    <row r="33" spans="1:7" ht="28" customHeight="1" x14ac:dyDescent="0.55000000000000004">
      <c r="A33" s="18" t="s">
        <v>162</v>
      </c>
      <c r="B33" s="96" t="s">
        <v>163</v>
      </c>
      <c r="C33" s="56"/>
      <c r="D33" s="98" t="s">
        <v>164</v>
      </c>
      <c r="E33" s="56"/>
      <c r="F33" s="20" t="s">
        <v>146</v>
      </c>
      <c r="G33" s="6"/>
    </row>
    <row r="34" spans="1:7" ht="28" customHeight="1" x14ac:dyDescent="0.55000000000000004">
      <c r="A34" s="18" t="s">
        <v>165</v>
      </c>
      <c r="B34" s="107" t="s">
        <v>166</v>
      </c>
      <c r="C34" s="54"/>
      <c r="D34" s="92" t="s">
        <v>167</v>
      </c>
      <c r="E34" s="93"/>
      <c r="F34" s="20" t="s">
        <v>146</v>
      </c>
      <c r="G34" s="4"/>
    </row>
    <row r="35" spans="1:7" ht="28" customHeight="1" x14ac:dyDescent="0.55000000000000004">
      <c r="A35" s="18" t="s">
        <v>168</v>
      </c>
      <c r="B35" s="96" t="s">
        <v>169</v>
      </c>
      <c r="C35" s="56"/>
      <c r="D35" s="98" t="s">
        <v>170</v>
      </c>
      <c r="E35" s="56"/>
      <c r="F35" s="20" t="s">
        <v>146</v>
      </c>
      <c r="G35" s="6"/>
    </row>
    <row r="36" spans="1:7" ht="28" customHeight="1" x14ac:dyDescent="0.55000000000000004">
      <c r="A36" s="18" t="s">
        <v>171</v>
      </c>
      <c r="B36" s="108" t="s">
        <v>172</v>
      </c>
      <c r="C36" s="73"/>
      <c r="D36" s="99" t="s">
        <v>173</v>
      </c>
      <c r="E36" s="100"/>
      <c r="F36" s="20" t="s">
        <v>146</v>
      </c>
      <c r="G36" s="4"/>
    </row>
    <row r="37" spans="1:7" ht="28" customHeight="1" x14ac:dyDescent="0.55000000000000004">
      <c r="A37" s="18" t="s">
        <v>174</v>
      </c>
      <c r="B37" s="96" t="s">
        <v>175</v>
      </c>
      <c r="C37" s="56"/>
      <c r="D37" s="98" t="s">
        <v>176</v>
      </c>
      <c r="E37" s="56"/>
      <c r="F37" s="20" t="s">
        <v>146</v>
      </c>
      <c r="G37" s="6"/>
    </row>
    <row r="38" spans="1:7" ht="5.05" customHeight="1" x14ac:dyDescent="0.55000000000000004">
      <c r="A38" s="2"/>
      <c r="B38" s="2"/>
      <c r="C38" s="2"/>
      <c r="D38" s="2"/>
      <c r="E38" s="2"/>
      <c r="F38" s="2"/>
      <c r="G38" s="2"/>
    </row>
    <row r="39" spans="1:7" ht="22" customHeight="1" x14ac:dyDescent="0.55000000000000004">
      <c r="A39" s="67" t="s">
        <v>177</v>
      </c>
      <c r="B39" s="68"/>
      <c r="C39" s="68"/>
      <c r="D39" s="68"/>
      <c r="E39" s="68"/>
      <c r="F39" s="68"/>
      <c r="G39" s="68"/>
    </row>
    <row r="40" spans="1:7" ht="18" customHeight="1" x14ac:dyDescent="0.55000000000000004">
      <c r="A40" s="3"/>
      <c r="B40" s="3" t="s">
        <v>178</v>
      </c>
      <c r="C40" s="3"/>
      <c r="D40" s="3" t="s">
        <v>179</v>
      </c>
      <c r="E40" s="3"/>
      <c r="F40" s="3" t="s">
        <v>48</v>
      </c>
      <c r="G40" s="3"/>
    </row>
    <row r="41" spans="1:7" ht="24" customHeight="1" x14ac:dyDescent="0.55000000000000004">
      <c r="A41" s="104" t="s">
        <v>129</v>
      </c>
      <c r="B41" s="52"/>
      <c r="C41" s="13">
        <f>'VERİ GİRİŞİ'!D52</f>
        <v>0</v>
      </c>
      <c r="D41" s="110" t="s">
        <v>180</v>
      </c>
      <c r="E41" s="52"/>
      <c r="F41" s="52"/>
      <c r="G41" s="52"/>
    </row>
    <row r="42" spans="1:7" ht="24" customHeight="1" x14ac:dyDescent="0.55000000000000004">
      <c r="A42" s="66" t="s">
        <v>128</v>
      </c>
      <c r="B42" s="54"/>
      <c r="C42" s="24" t="s">
        <v>181</v>
      </c>
      <c r="D42" s="101" t="s">
        <v>182</v>
      </c>
      <c r="E42" s="54"/>
      <c r="F42" s="54"/>
      <c r="G42" s="54"/>
    </row>
    <row r="43" spans="1:7" ht="24" customHeight="1" x14ac:dyDescent="0.55000000000000004">
      <c r="A43" s="111" t="s">
        <v>183</v>
      </c>
      <c r="B43" s="73"/>
      <c r="C43" s="25" t="s">
        <v>184</v>
      </c>
      <c r="D43" s="76" t="s">
        <v>185</v>
      </c>
      <c r="E43" s="73"/>
      <c r="F43" s="73"/>
      <c r="G43" s="73"/>
    </row>
  </sheetData>
  <mergeCells count="75">
    <mergeCell ref="A43:B43"/>
    <mergeCell ref="E5:G5"/>
    <mergeCell ref="A19:B19"/>
    <mergeCell ref="D29:E29"/>
    <mergeCell ref="D33:E33"/>
    <mergeCell ref="A6:C6"/>
    <mergeCell ref="E8:G8"/>
    <mergeCell ref="C19:D19"/>
    <mergeCell ref="B36:C36"/>
    <mergeCell ref="E22:F22"/>
    <mergeCell ref="B32:C32"/>
    <mergeCell ref="D43:G43"/>
    <mergeCell ref="C18:D18"/>
    <mergeCell ref="A7:C7"/>
    <mergeCell ref="E18:F18"/>
    <mergeCell ref="B35:C35"/>
    <mergeCell ref="A42:B42"/>
    <mergeCell ref="A17:B17"/>
    <mergeCell ref="A23:B23"/>
    <mergeCell ref="A25:G25"/>
    <mergeCell ref="C17:D17"/>
    <mergeCell ref="C23:D23"/>
    <mergeCell ref="A22:B22"/>
    <mergeCell ref="A20:B20"/>
    <mergeCell ref="B30:C30"/>
    <mergeCell ref="D41:G41"/>
    <mergeCell ref="D30:E30"/>
    <mergeCell ref="B33:C33"/>
    <mergeCell ref="E21:F21"/>
    <mergeCell ref="B34:C34"/>
    <mergeCell ref="B37:C37"/>
    <mergeCell ref="B28:C28"/>
    <mergeCell ref="D37:E37"/>
    <mergeCell ref="A9:C9"/>
    <mergeCell ref="D28:E28"/>
    <mergeCell ref="A11:C11"/>
    <mergeCell ref="E16:F16"/>
    <mergeCell ref="A21:B21"/>
    <mergeCell ref="A1:G1"/>
    <mergeCell ref="C21:D21"/>
    <mergeCell ref="B29:C29"/>
    <mergeCell ref="E15:F15"/>
    <mergeCell ref="A2:G2"/>
    <mergeCell ref="D36:E36"/>
    <mergeCell ref="D42:G42"/>
    <mergeCell ref="E6:G6"/>
    <mergeCell ref="A13:G13"/>
    <mergeCell ref="C20:D20"/>
    <mergeCell ref="A16:B16"/>
    <mergeCell ref="E20:F20"/>
    <mergeCell ref="E11:G11"/>
    <mergeCell ref="C16:D16"/>
    <mergeCell ref="D35:E35"/>
    <mergeCell ref="A41:B41"/>
    <mergeCell ref="A8:C8"/>
    <mergeCell ref="E19:F19"/>
    <mergeCell ref="D27:E27"/>
    <mergeCell ref="A39:G39"/>
    <mergeCell ref="D32:E32"/>
    <mergeCell ref="E10:G10"/>
    <mergeCell ref="A15:B15"/>
    <mergeCell ref="C15:D15"/>
    <mergeCell ref="D34:E34"/>
    <mergeCell ref="A4:G4"/>
    <mergeCell ref="E23:F23"/>
    <mergeCell ref="E9:G9"/>
    <mergeCell ref="B31:C31"/>
    <mergeCell ref="B27:C27"/>
    <mergeCell ref="E17:F17"/>
    <mergeCell ref="D31:E31"/>
    <mergeCell ref="A5:C5"/>
    <mergeCell ref="C22:D22"/>
    <mergeCell ref="A18:B18"/>
    <mergeCell ref="E7:G7"/>
    <mergeCell ref="A10:C10"/>
  </mergeCells>
  <conditionalFormatting sqref="D5">
    <cfRule type="containsText" dxfId="5" priority="1" operator="containsText" text="OK">
      <formula>NOT(ISERROR(SEARCH("OK",D5)))</formula>
    </cfRule>
    <cfRule type="containsText" dxfId="4" priority="2" operator="containsText" text="HATA">
      <formula>NOT(ISERROR(SEARCH("HATA",D5)))</formula>
    </cfRule>
  </conditionalFormatting>
  <conditionalFormatting sqref="D6">
    <cfRule type="containsText" dxfId="3" priority="3" operator="containsText" text="317 Kullan">
      <formula>NOT(ISERROR(SEARCH("317 Kullan",D6)))</formula>
    </cfRule>
    <cfRule type="containsText" dxfId="2" priority="4" operator="containsText" text="387">
      <formula>NOT(ISERROR(SEARCH("387",D6)))</formula>
    </cfRule>
  </conditionalFormatting>
  <conditionalFormatting sqref="D7">
    <cfRule type="containsText" dxfId="1" priority="5" operator="containsText" text="EVET">
      <formula>NOT(ISERROR(SEARCH("EVET",D7)))</formula>
    </cfRule>
    <cfRule type="containsText" dxfId="0" priority="6" operator="containsText" text="HAYIR">
      <formula>NOT(ISERROR(SEARCH("HAYIR",D7)))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0" customWidth="1"/>
    <col min="5" max="6" width="14" customWidth="1"/>
    <col min="7" max="7" width="22" customWidth="1"/>
  </cols>
  <sheetData>
    <row r="1" spans="1:7" ht="28" customHeight="1" x14ac:dyDescent="0.55000000000000004">
      <c r="A1" s="112" t="s">
        <v>186</v>
      </c>
      <c r="B1" s="68"/>
      <c r="C1" s="68"/>
      <c r="D1" s="68"/>
      <c r="E1" s="68"/>
      <c r="F1" s="68"/>
      <c r="G1" s="68"/>
    </row>
    <row r="2" spans="1:7" ht="22" customHeight="1" x14ac:dyDescent="0.55000000000000004">
      <c r="A2" s="86" t="s">
        <v>187</v>
      </c>
      <c r="B2" s="87"/>
      <c r="C2" s="87"/>
      <c r="D2" s="87"/>
      <c r="E2" s="87"/>
      <c r="F2" s="87"/>
      <c r="G2" s="87"/>
    </row>
    <row r="3" spans="1:7" ht="28" customHeight="1" x14ac:dyDescent="0.55000000000000004">
      <c r="A3" s="78" t="s">
        <v>188</v>
      </c>
      <c r="B3" s="73"/>
      <c r="C3" s="73"/>
      <c r="D3" s="73"/>
      <c r="E3" s="73"/>
      <c r="F3" s="73"/>
      <c r="G3" s="73"/>
    </row>
    <row r="4" spans="1:7" ht="5.05" customHeight="1" x14ac:dyDescent="0.55000000000000004">
      <c r="A4" s="2"/>
      <c r="B4" s="2"/>
      <c r="C4" s="2"/>
      <c r="D4" s="2"/>
      <c r="E4" s="2"/>
      <c r="F4" s="2"/>
      <c r="G4" s="2"/>
    </row>
    <row r="5" spans="1:7" ht="26.05" customHeight="1" x14ac:dyDescent="0.55000000000000004">
      <c r="A5" s="67" t="s">
        <v>189</v>
      </c>
      <c r="B5" s="68"/>
      <c r="C5" s="68"/>
      <c r="D5" s="68"/>
      <c r="E5" s="68"/>
      <c r="F5" s="68"/>
      <c r="G5" s="68"/>
    </row>
    <row r="6" spans="1:7" ht="22" customHeight="1" x14ac:dyDescent="0.55000000000000004">
      <c r="A6" s="113" t="s">
        <v>190</v>
      </c>
      <c r="B6" s="114"/>
      <c r="C6" s="114"/>
      <c r="D6" s="114"/>
      <c r="E6" s="114"/>
      <c r="F6" s="114"/>
      <c r="G6" s="114"/>
    </row>
    <row r="7" spans="1:7" ht="18" customHeight="1" x14ac:dyDescent="0.55000000000000004">
      <c r="A7" s="3"/>
      <c r="B7" s="3" t="s">
        <v>191</v>
      </c>
      <c r="C7" s="3" t="s">
        <v>192</v>
      </c>
      <c r="D7" s="3" t="s">
        <v>193</v>
      </c>
      <c r="E7" s="3" t="s">
        <v>194</v>
      </c>
      <c r="F7" s="3" t="s">
        <v>195</v>
      </c>
      <c r="G7" s="3" t="s">
        <v>196</v>
      </c>
    </row>
    <row r="8" spans="1:7" ht="30" customHeight="1" x14ac:dyDescent="0.55000000000000004">
      <c r="A8" s="26" t="s">
        <v>197</v>
      </c>
      <c r="B8" s="26" t="s">
        <v>198</v>
      </c>
      <c r="C8" s="26" t="s">
        <v>199</v>
      </c>
      <c r="D8" s="26" t="s">
        <v>200</v>
      </c>
      <c r="E8" s="26" t="s">
        <v>201</v>
      </c>
      <c r="F8" s="26" t="s">
        <v>202</v>
      </c>
      <c r="G8" s="26" t="s">
        <v>203</v>
      </c>
    </row>
    <row r="9" spans="1:7" ht="30" customHeight="1" x14ac:dyDescent="0.55000000000000004">
      <c r="A9" s="27" t="s">
        <v>204</v>
      </c>
      <c r="B9" s="27" t="s">
        <v>198</v>
      </c>
      <c r="C9" s="27" t="s">
        <v>205</v>
      </c>
      <c r="D9" s="27" t="s">
        <v>206</v>
      </c>
      <c r="E9" s="27" t="s">
        <v>202</v>
      </c>
      <c r="F9" s="27" t="s">
        <v>201</v>
      </c>
      <c r="G9" s="27" t="s">
        <v>207</v>
      </c>
    </row>
    <row r="10" spans="1:7" ht="28" customHeight="1" x14ac:dyDescent="0.55000000000000004">
      <c r="A10" s="101" t="s">
        <v>208</v>
      </c>
      <c r="B10" s="54"/>
      <c r="C10" s="54"/>
      <c r="D10" s="54"/>
      <c r="E10" s="54"/>
      <c r="F10" s="54"/>
      <c r="G10" s="54"/>
    </row>
    <row r="11" spans="1:7" ht="5.05" customHeight="1" x14ac:dyDescent="0.55000000000000004">
      <c r="A11" s="2"/>
      <c r="B11" s="2"/>
      <c r="C11" s="2"/>
      <c r="D11" s="2"/>
      <c r="E11" s="2"/>
      <c r="F11" s="2"/>
      <c r="G11" s="2"/>
    </row>
    <row r="12" spans="1:7" ht="26.05" customHeight="1" x14ac:dyDescent="0.55000000000000004">
      <c r="A12" s="67" t="s">
        <v>209</v>
      </c>
      <c r="B12" s="68"/>
      <c r="C12" s="68"/>
      <c r="D12" s="68"/>
      <c r="E12" s="68"/>
      <c r="F12" s="68"/>
      <c r="G12" s="68"/>
    </row>
    <row r="13" spans="1:7" ht="18" customHeight="1" x14ac:dyDescent="0.55000000000000004">
      <c r="A13" s="3"/>
      <c r="B13" s="3" t="s">
        <v>191</v>
      </c>
      <c r="C13" s="3" t="s">
        <v>192</v>
      </c>
      <c r="D13" s="3" t="s">
        <v>193</v>
      </c>
      <c r="E13" s="3" t="s">
        <v>194</v>
      </c>
      <c r="F13" s="3" t="s">
        <v>195</v>
      </c>
      <c r="G13" s="3" t="s">
        <v>196</v>
      </c>
    </row>
    <row r="14" spans="1:7" ht="30" customHeight="1" x14ac:dyDescent="0.55000000000000004">
      <c r="A14" s="26" t="s">
        <v>197</v>
      </c>
      <c r="B14" s="26" t="s">
        <v>210</v>
      </c>
      <c r="C14" s="26" t="s">
        <v>211</v>
      </c>
      <c r="D14" s="26" t="s">
        <v>212</v>
      </c>
      <c r="E14" s="26" t="s">
        <v>213</v>
      </c>
      <c r="F14" s="26" t="s">
        <v>202</v>
      </c>
      <c r="G14" s="26" t="s">
        <v>214</v>
      </c>
    </row>
    <row r="15" spans="1:7" ht="30" customHeight="1" x14ac:dyDescent="0.55000000000000004">
      <c r="A15" s="27" t="s">
        <v>204</v>
      </c>
      <c r="B15" s="27" t="s">
        <v>210</v>
      </c>
      <c r="C15" s="27" t="s">
        <v>215</v>
      </c>
      <c r="D15" s="27" t="s">
        <v>216</v>
      </c>
      <c r="E15" s="27" t="s">
        <v>202</v>
      </c>
      <c r="F15" s="27" t="s">
        <v>213</v>
      </c>
      <c r="G15" s="28"/>
    </row>
    <row r="16" spans="1:7" ht="32.049999999999997" customHeight="1" x14ac:dyDescent="0.55000000000000004">
      <c r="A16" s="101" t="s">
        <v>217</v>
      </c>
      <c r="B16" s="54"/>
      <c r="C16" s="54"/>
      <c r="D16" s="54"/>
      <c r="E16" s="54"/>
      <c r="F16" s="54"/>
      <c r="G16" s="54"/>
    </row>
    <row r="17" spans="1:7" ht="5.05" customHeight="1" x14ac:dyDescent="0.55000000000000004">
      <c r="A17" s="2"/>
      <c r="B17" s="2"/>
      <c r="C17" s="2"/>
      <c r="D17" s="2"/>
      <c r="E17" s="2"/>
      <c r="F17" s="2"/>
      <c r="G17" s="2"/>
    </row>
    <row r="18" spans="1:7" ht="26.05" customHeight="1" x14ac:dyDescent="0.55000000000000004">
      <c r="A18" s="67" t="s">
        <v>218</v>
      </c>
      <c r="B18" s="68"/>
      <c r="C18" s="68"/>
      <c r="D18" s="68"/>
      <c r="E18" s="68"/>
      <c r="F18" s="68"/>
      <c r="G18" s="68"/>
    </row>
    <row r="19" spans="1:7" ht="18" customHeight="1" x14ac:dyDescent="0.55000000000000004">
      <c r="A19" s="3"/>
      <c r="B19" s="3" t="s">
        <v>191</v>
      </c>
      <c r="C19" s="3" t="s">
        <v>192</v>
      </c>
      <c r="D19" s="3" t="s">
        <v>193</v>
      </c>
      <c r="E19" s="3" t="s">
        <v>194</v>
      </c>
      <c r="F19" s="3" t="s">
        <v>195</v>
      </c>
      <c r="G19" s="3" t="s">
        <v>196</v>
      </c>
    </row>
    <row r="20" spans="1:7" ht="28" customHeight="1" x14ac:dyDescent="0.55000000000000004">
      <c r="A20" s="26" t="s">
        <v>197</v>
      </c>
      <c r="B20" s="26" t="s">
        <v>210</v>
      </c>
      <c r="C20" s="26" t="s">
        <v>219</v>
      </c>
      <c r="D20" s="26" t="s">
        <v>220</v>
      </c>
      <c r="E20" s="26" t="s">
        <v>221</v>
      </c>
      <c r="F20" s="26" t="s">
        <v>202</v>
      </c>
      <c r="G20" s="26" t="s">
        <v>222</v>
      </c>
    </row>
    <row r="21" spans="1:7" ht="28" customHeight="1" x14ac:dyDescent="0.55000000000000004">
      <c r="A21" s="27" t="s">
        <v>204</v>
      </c>
      <c r="B21" s="27" t="s">
        <v>210</v>
      </c>
      <c r="C21" s="27" t="s">
        <v>215</v>
      </c>
      <c r="D21" s="27" t="s">
        <v>223</v>
      </c>
      <c r="E21" s="27" t="s">
        <v>202</v>
      </c>
      <c r="F21" s="27" t="s">
        <v>221</v>
      </c>
      <c r="G21" s="28"/>
    </row>
    <row r="22" spans="1:7" ht="5.05" customHeight="1" x14ac:dyDescent="0.55000000000000004">
      <c r="A22" s="2"/>
      <c r="B22" s="2"/>
      <c r="C22" s="2"/>
      <c r="D22" s="2"/>
      <c r="E22" s="2"/>
      <c r="F22" s="2"/>
      <c r="G22" s="2"/>
    </row>
    <row r="23" spans="1:7" ht="26.05" customHeight="1" x14ac:dyDescent="0.55000000000000004">
      <c r="A23" s="67" t="s">
        <v>224</v>
      </c>
      <c r="B23" s="68"/>
      <c r="C23" s="68"/>
      <c r="D23" s="68"/>
      <c r="E23" s="68"/>
      <c r="F23" s="68"/>
      <c r="G23" s="68"/>
    </row>
    <row r="24" spans="1:7" ht="52" customHeight="1" x14ac:dyDescent="0.55000000000000004">
      <c r="A24" s="115" t="s">
        <v>225</v>
      </c>
      <c r="B24" s="54"/>
      <c r="C24" s="54"/>
      <c r="D24" s="54"/>
      <c r="E24" s="54"/>
      <c r="F24" s="54"/>
      <c r="G24" s="54"/>
    </row>
  </sheetData>
  <mergeCells count="11">
    <mergeCell ref="A24:G24"/>
    <mergeCell ref="A2:G2"/>
    <mergeCell ref="A16:G16"/>
    <mergeCell ref="A10:G10"/>
    <mergeCell ref="A5:G5"/>
    <mergeCell ref="A23:G23"/>
    <mergeCell ref="A1:G1"/>
    <mergeCell ref="A18:G18"/>
    <mergeCell ref="A3:G3"/>
    <mergeCell ref="A6:G6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4.4" x14ac:dyDescent="0.55000000000000004"/>
  <cols>
    <col min="1" max="1" width="4" customWidth="1"/>
    <col min="2" max="2" width="22" customWidth="1"/>
    <col min="3" max="3" width="48" customWidth="1"/>
    <col min="4" max="4" width="22" customWidth="1"/>
  </cols>
  <sheetData>
    <row r="1" spans="1:4" ht="36" customHeight="1" x14ac:dyDescent="0.55000000000000004">
      <c r="A1" s="116" t="s">
        <v>226</v>
      </c>
      <c r="B1" s="117"/>
      <c r="C1" s="117"/>
      <c r="D1" s="117"/>
    </row>
    <row r="2" spans="1:4" ht="20.05" customHeight="1" x14ac:dyDescent="0.55000000000000004">
      <c r="A2" s="86" t="s">
        <v>227</v>
      </c>
      <c r="B2" s="87"/>
      <c r="C2" s="87"/>
      <c r="D2" s="87"/>
    </row>
    <row r="3" spans="1:4" ht="5.05" customHeight="1" x14ac:dyDescent="0.55000000000000004">
      <c r="A3" s="2"/>
      <c r="B3" s="2"/>
      <c r="C3" s="2"/>
      <c r="D3" s="2"/>
    </row>
    <row r="4" spans="1:4" ht="26.05" customHeight="1" x14ac:dyDescent="0.55000000000000004">
      <c r="A4" s="59" t="s">
        <v>228</v>
      </c>
      <c r="B4" s="60"/>
      <c r="C4" s="60"/>
      <c r="D4" s="60"/>
    </row>
    <row r="5" spans="1:4" ht="18" customHeight="1" x14ac:dyDescent="0.55000000000000004">
      <c r="A5" s="3" t="s">
        <v>229</v>
      </c>
      <c r="B5" s="3" t="s">
        <v>230</v>
      </c>
      <c r="C5" s="3" t="s">
        <v>231</v>
      </c>
      <c r="D5" s="3" t="s">
        <v>232</v>
      </c>
    </row>
    <row r="6" spans="1:4" ht="52" customHeight="1" x14ac:dyDescent="0.55000000000000004">
      <c r="A6" s="18" t="s">
        <v>233</v>
      </c>
      <c r="B6" s="22" t="s">
        <v>234</v>
      </c>
      <c r="C6" s="23" t="s">
        <v>235</v>
      </c>
      <c r="D6" s="29" t="s">
        <v>236</v>
      </c>
    </row>
    <row r="7" spans="1:4" ht="52" customHeight="1" x14ac:dyDescent="0.55000000000000004">
      <c r="A7" s="18" t="s">
        <v>237</v>
      </c>
      <c r="B7" s="19" t="s">
        <v>238</v>
      </c>
      <c r="C7" s="21" t="s">
        <v>239</v>
      </c>
      <c r="D7" s="30" t="s">
        <v>240</v>
      </c>
    </row>
    <row r="8" spans="1:4" ht="52" customHeight="1" x14ac:dyDescent="0.55000000000000004">
      <c r="A8" s="18" t="s">
        <v>241</v>
      </c>
      <c r="B8" s="22" t="s">
        <v>242</v>
      </c>
      <c r="C8" s="23" t="s">
        <v>243</v>
      </c>
      <c r="D8" s="29" t="s">
        <v>244</v>
      </c>
    </row>
    <row r="9" spans="1:4" ht="52" customHeight="1" x14ac:dyDescent="0.55000000000000004">
      <c r="A9" s="18" t="s">
        <v>245</v>
      </c>
      <c r="B9" s="19" t="s">
        <v>246</v>
      </c>
      <c r="C9" s="21" t="s">
        <v>247</v>
      </c>
      <c r="D9" s="30" t="s">
        <v>248</v>
      </c>
    </row>
    <row r="10" spans="1:4" ht="5.05" customHeight="1" x14ac:dyDescent="0.55000000000000004">
      <c r="A10" s="2"/>
      <c r="B10" s="2"/>
      <c r="C10" s="2"/>
      <c r="D10" s="2"/>
    </row>
    <row r="11" spans="1:4" ht="26.05" customHeight="1" x14ac:dyDescent="0.55000000000000004">
      <c r="A11" s="120" t="s">
        <v>249</v>
      </c>
      <c r="B11" s="121"/>
      <c r="C11" s="121"/>
      <c r="D11" s="121"/>
    </row>
    <row r="12" spans="1:4" ht="18" customHeight="1" x14ac:dyDescent="0.55000000000000004">
      <c r="A12" s="3" t="s">
        <v>229</v>
      </c>
      <c r="B12" s="3" t="s">
        <v>230</v>
      </c>
      <c r="C12" s="3" t="s">
        <v>231</v>
      </c>
      <c r="D12" s="3" t="s">
        <v>232</v>
      </c>
    </row>
    <row r="13" spans="1:4" ht="52" customHeight="1" x14ac:dyDescent="0.55000000000000004">
      <c r="A13" s="18" t="s">
        <v>250</v>
      </c>
      <c r="B13" s="22" t="s">
        <v>251</v>
      </c>
      <c r="C13" s="23" t="s">
        <v>252</v>
      </c>
      <c r="D13" s="29" t="s">
        <v>253</v>
      </c>
    </row>
    <row r="14" spans="1:4" ht="52" customHeight="1" x14ac:dyDescent="0.55000000000000004">
      <c r="A14" s="18" t="s">
        <v>254</v>
      </c>
      <c r="B14" s="19" t="s">
        <v>255</v>
      </c>
      <c r="C14" s="21" t="s">
        <v>256</v>
      </c>
      <c r="D14" s="30" t="s">
        <v>257</v>
      </c>
    </row>
    <row r="15" spans="1:4" ht="52" customHeight="1" x14ac:dyDescent="0.55000000000000004">
      <c r="A15" s="18" t="s">
        <v>258</v>
      </c>
      <c r="B15" s="22" t="s">
        <v>259</v>
      </c>
      <c r="C15" s="23" t="s">
        <v>260</v>
      </c>
      <c r="D15" s="29" t="s">
        <v>244</v>
      </c>
    </row>
    <row r="16" spans="1:4" ht="52" customHeight="1" x14ac:dyDescent="0.55000000000000004">
      <c r="A16" s="18" t="s">
        <v>261</v>
      </c>
      <c r="B16" s="19" t="s">
        <v>262</v>
      </c>
      <c r="C16" s="21" t="s">
        <v>263</v>
      </c>
      <c r="D16" s="30" t="s">
        <v>264</v>
      </c>
    </row>
    <row r="17" spans="1:4" ht="5.05" customHeight="1" x14ac:dyDescent="0.55000000000000004">
      <c r="A17" s="2"/>
      <c r="B17" s="2"/>
      <c r="C17" s="2"/>
      <c r="D17" s="2"/>
    </row>
    <row r="18" spans="1:4" ht="36" customHeight="1" x14ac:dyDescent="0.55000000000000004">
      <c r="A18" s="118" t="s">
        <v>265</v>
      </c>
      <c r="B18" s="119"/>
      <c r="C18" s="119"/>
      <c r="D18" s="119"/>
    </row>
  </sheetData>
  <mergeCells count="5">
    <mergeCell ref="A1:D1"/>
    <mergeCell ref="A18:D18"/>
    <mergeCell ref="A4:D4"/>
    <mergeCell ref="A2:D2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38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16" t="s">
        <v>266</v>
      </c>
      <c r="B1" s="117"/>
      <c r="C1" s="117"/>
      <c r="D1" s="117"/>
      <c r="E1" s="117"/>
      <c r="F1" s="117"/>
    </row>
    <row r="2" spans="1:6" ht="20.05" customHeight="1" x14ac:dyDescent="0.55000000000000004">
      <c r="A2" s="86" t="s">
        <v>267</v>
      </c>
      <c r="B2" s="87"/>
      <c r="C2" s="87"/>
      <c r="D2" s="87"/>
      <c r="E2" s="87"/>
      <c r="F2" s="87"/>
    </row>
    <row r="3" spans="1:6" ht="24" customHeight="1" x14ac:dyDescent="0.55000000000000004">
      <c r="A3" s="126" t="s">
        <v>268</v>
      </c>
      <c r="B3" s="127"/>
      <c r="C3" s="127"/>
      <c r="D3" s="127"/>
      <c r="E3" s="127"/>
      <c r="F3" s="127"/>
    </row>
    <row r="4" spans="1:6" ht="5.05" customHeight="1" x14ac:dyDescent="0.55000000000000004">
      <c r="A4" s="2"/>
      <c r="B4" s="2"/>
      <c r="C4" s="2"/>
      <c r="D4" s="2"/>
      <c r="E4" s="2"/>
      <c r="F4" s="2"/>
    </row>
    <row r="5" spans="1:6" ht="26.05" customHeight="1" x14ac:dyDescent="0.55000000000000004">
      <c r="A5" s="59" t="s">
        <v>269</v>
      </c>
      <c r="B5" s="60"/>
      <c r="C5" s="60"/>
      <c r="D5" s="60"/>
      <c r="E5" s="60"/>
      <c r="F5" s="60"/>
    </row>
    <row r="6" spans="1:6" ht="18" customHeight="1" x14ac:dyDescent="0.55000000000000004">
      <c r="A6" s="3"/>
      <c r="B6" s="3" t="s">
        <v>270</v>
      </c>
      <c r="C6" s="3" t="s">
        <v>271</v>
      </c>
      <c r="D6" s="3" t="s">
        <v>272</v>
      </c>
      <c r="E6" s="3" t="s">
        <v>273</v>
      </c>
      <c r="F6" s="3"/>
    </row>
    <row r="7" spans="1:6" ht="52" customHeight="1" x14ac:dyDescent="0.55000000000000004">
      <c r="A7" s="7"/>
      <c r="B7" s="31" t="s">
        <v>274</v>
      </c>
      <c r="C7" s="32" t="s">
        <v>275</v>
      </c>
      <c r="D7" s="33" t="s">
        <v>276</v>
      </c>
      <c r="E7" s="34" t="s">
        <v>277</v>
      </c>
      <c r="F7" s="7"/>
    </row>
    <row r="8" spans="1:6" ht="48" customHeight="1" x14ac:dyDescent="0.55000000000000004">
      <c r="A8" s="7"/>
      <c r="B8" s="31" t="s">
        <v>278</v>
      </c>
      <c r="C8" s="32" t="s">
        <v>279</v>
      </c>
      <c r="D8" s="33" t="s">
        <v>280</v>
      </c>
      <c r="E8" s="34" t="s">
        <v>281</v>
      </c>
      <c r="F8" s="7"/>
    </row>
    <row r="9" spans="1:6" ht="44.05" customHeight="1" x14ac:dyDescent="0.55000000000000004">
      <c r="A9" s="7"/>
      <c r="B9" s="31" t="s">
        <v>282</v>
      </c>
      <c r="C9" s="32" t="s">
        <v>283</v>
      </c>
      <c r="D9" s="33" t="s">
        <v>284</v>
      </c>
      <c r="E9" s="34" t="s">
        <v>285</v>
      </c>
      <c r="F9" s="7"/>
    </row>
    <row r="10" spans="1:6" ht="48" customHeight="1" x14ac:dyDescent="0.55000000000000004">
      <c r="A10" s="7"/>
      <c r="B10" s="31" t="s">
        <v>286</v>
      </c>
      <c r="C10" s="32" t="s">
        <v>287</v>
      </c>
      <c r="D10" s="33" t="s">
        <v>288</v>
      </c>
      <c r="E10" s="34" t="s">
        <v>289</v>
      </c>
      <c r="F10" s="7"/>
    </row>
    <row r="11" spans="1:6" ht="44.05" customHeight="1" x14ac:dyDescent="0.55000000000000004">
      <c r="A11" s="7"/>
      <c r="B11" s="31" t="s">
        <v>290</v>
      </c>
      <c r="C11" s="32" t="s">
        <v>291</v>
      </c>
      <c r="D11" s="33" t="s">
        <v>292</v>
      </c>
      <c r="E11" s="34" t="s">
        <v>293</v>
      </c>
      <c r="F11" s="7"/>
    </row>
    <row r="12" spans="1:6" ht="48" customHeight="1" x14ac:dyDescent="0.55000000000000004">
      <c r="A12" s="7"/>
      <c r="B12" s="31" t="s">
        <v>294</v>
      </c>
      <c r="C12" s="32" t="s">
        <v>295</v>
      </c>
      <c r="D12" s="33" t="s">
        <v>296</v>
      </c>
      <c r="E12" s="34" t="s">
        <v>297</v>
      </c>
      <c r="F12" s="7"/>
    </row>
    <row r="13" spans="1:6" ht="48" customHeight="1" x14ac:dyDescent="0.55000000000000004">
      <c r="A13" s="7"/>
      <c r="B13" s="31" t="s">
        <v>298</v>
      </c>
      <c r="C13" s="32" t="s">
        <v>299</v>
      </c>
      <c r="D13" s="33" t="s">
        <v>300</v>
      </c>
      <c r="E13" s="34" t="s">
        <v>301</v>
      </c>
      <c r="F13" s="7"/>
    </row>
    <row r="14" spans="1:6" ht="44.05" customHeight="1" x14ac:dyDescent="0.55000000000000004">
      <c r="A14" s="7"/>
      <c r="B14" s="31" t="s">
        <v>302</v>
      </c>
      <c r="C14" s="32" t="s">
        <v>303</v>
      </c>
      <c r="D14" s="33" t="s">
        <v>304</v>
      </c>
      <c r="E14" s="34" t="s">
        <v>305</v>
      </c>
      <c r="F14" s="7"/>
    </row>
    <row r="15" spans="1:6" ht="5.05" customHeight="1" x14ac:dyDescent="0.55000000000000004">
      <c r="A15" s="2"/>
      <c r="B15" s="2"/>
      <c r="C15" s="2"/>
      <c r="D15" s="2"/>
      <c r="E15" s="2"/>
      <c r="F15" s="2"/>
    </row>
    <row r="16" spans="1:6" ht="26.05" customHeight="1" x14ac:dyDescent="0.55000000000000004">
      <c r="A16" s="122" t="s">
        <v>306</v>
      </c>
      <c r="B16" s="123"/>
      <c r="C16" s="123"/>
      <c r="D16" s="123"/>
      <c r="E16" s="123"/>
      <c r="F16" s="123"/>
    </row>
    <row r="17" spans="1:6" ht="18" customHeight="1" x14ac:dyDescent="0.55000000000000004">
      <c r="A17" s="3"/>
      <c r="B17" s="3" t="s">
        <v>270</v>
      </c>
      <c r="C17" s="3" t="s">
        <v>271</v>
      </c>
      <c r="D17" s="3" t="s">
        <v>272</v>
      </c>
      <c r="E17" s="3" t="s">
        <v>273</v>
      </c>
      <c r="F17" s="3"/>
    </row>
    <row r="18" spans="1:6" ht="44.05" customHeight="1" x14ac:dyDescent="0.55000000000000004">
      <c r="A18" s="35"/>
      <c r="B18" s="36" t="s">
        <v>307</v>
      </c>
      <c r="C18" s="37" t="s">
        <v>308</v>
      </c>
      <c r="D18" s="38" t="s">
        <v>309</v>
      </c>
      <c r="E18" s="39" t="s">
        <v>310</v>
      </c>
      <c r="F18" s="35"/>
    </row>
    <row r="19" spans="1:6" ht="40" customHeight="1" x14ac:dyDescent="0.55000000000000004">
      <c r="A19" s="35"/>
      <c r="B19" s="36" t="s">
        <v>311</v>
      </c>
      <c r="C19" s="37" t="s">
        <v>312</v>
      </c>
      <c r="D19" s="38" t="s">
        <v>313</v>
      </c>
      <c r="E19" s="39" t="s">
        <v>314</v>
      </c>
      <c r="F19" s="35"/>
    </row>
    <row r="20" spans="1:6" ht="40" customHeight="1" x14ac:dyDescent="0.55000000000000004">
      <c r="A20" s="35"/>
      <c r="B20" s="36" t="s">
        <v>315</v>
      </c>
      <c r="C20" s="37" t="s">
        <v>316</v>
      </c>
      <c r="D20" s="38" t="s">
        <v>317</v>
      </c>
      <c r="E20" s="39" t="s">
        <v>318</v>
      </c>
      <c r="F20" s="35"/>
    </row>
    <row r="21" spans="1:6" ht="36" customHeight="1" x14ac:dyDescent="0.55000000000000004">
      <c r="A21" s="35"/>
      <c r="B21" s="36" t="s">
        <v>319</v>
      </c>
      <c r="C21" s="37" t="s">
        <v>320</v>
      </c>
      <c r="D21" s="38" t="s">
        <v>321</v>
      </c>
      <c r="E21" s="39" t="s">
        <v>322</v>
      </c>
      <c r="F21" s="35"/>
    </row>
    <row r="22" spans="1:6" ht="5.05" customHeight="1" x14ac:dyDescent="0.55000000000000004">
      <c r="A22" s="2"/>
      <c r="B22" s="2"/>
      <c r="C22" s="2"/>
      <c r="D22" s="2"/>
      <c r="E22" s="2"/>
      <c r="F22" s="2"/>
    </row>
    <row r="23" spans="1:6" ht="26.05" customHeight="1" x14ac:dyDescent="0.55000000000000004">
      <c r="A23" s="124" t="s">
        <v>323</v>
      </c>
      <c r="B23" s="125"/>
      <c r="C23" s="125"/>
      <c r="D23" s="125"/>
      <c r="E23" s="125"/>
      <c r="F23" s="125"/>
    </row>
    <row r="24" spans="1:6" ht="18" customHeight="1" x14ac:dyDescent="0.55000000000000004">
      <c r="A24" s="40"/>
      <c r="B24" s="40" t="s">
        <v>270</v>
      </c>
      <c r="C24" s="40" t="s">
        <v>5</v>
      </c>
      <c r="D24" s="40" t="s">
        <v>324</v>
      </c>
      <c r="E24" s="40" t="s">
        <v>142</v>
      </c>
      <c r="F24" s="40"/>
    </row>
    <row r="25" spans="1:6" ht="50.05" customHeight="1" x14ac:dyDescent="0.55000000000000004">
      <c r="A25" s="41"/>
      <c r="B25" s="42" t="s">
        <v>325</v>
      </c>
      <c r="C25" s="43" t="s">
        <v>326</v>
      </c>
      <c r="D25" s="44" t="s">
        <v>327</v>
      </c>
      <c r="E25" s="45" t="s">
        <v>328</v>
      </c>
      <c r="F25" s="41"/>
    </row>
    <row r="26" spans="1:6" ht="50.05" customHeight="1" x14ac:dyDescent="0.55000000000000004">
      <c r="A26" s="46"/>
      <c r="B26" s="47" t="s">
        <v>329</v>
      </c>
      <c r="C26" s="48" t="s">
        <v>330</v>
      </c>
      <c r="D26" s="49" t="s">
        <v>331</v>
      </c>
      <c r="E26" s="50" t="s">
        <v>328</v>
      </c>
      <c r="F26" s="46"/>
    </row>
    <row r="27" spans="1:6" ht="50.05" customHeight="1" x14ac:dyDescent="0.55000000000000004">
      <c r="A27" s="46"/>
      <c r="B27" s="47" t="s">
        <v>332</v>
      </c>
      <c r="C27" s="48" t="s">
        <v>154</v>
      </c>
      <c r="D27" s="49" t="s">
        <v>333</v>
      </c>
      <c r="E27" s="50" t="s">
        <v>328</v>
      </c>
      <c r="F27" s="46"/>
    </row>
    <row r="28" spans="1:6" ht="50.05" customHeight="1" x14ac:dyDescent="0.55000000000000004">
      <c r="A28" s="41"/>
      <c r="B28" s="42" t="s">
        <v>334</v>
      </c>
      <c r="C28" s="43" t="s">
        <v>335</v>
      </c>
      <c r="D28" s="44" t="s">
        <v>336</v>
      </c>
      <c r="E28" s="45" t="s">
        <v>328</v>
      </c>
      <c r="F28" s="41"/>
    </row>
    <row r="29" spans="1:6" ht="50.05" customHeight="1" x14ac:dyDescent="0.55000000000000004">
      <c r="A29" s="41"/>
      <c r="B29" s="42" t="s">
        <v>337</v>
      </c>
      <c r="C29" s="43" t="s">
        <v>169</v>
      </c>
      <c r="D29" s="44" t="s">
        <v>338</v>
      </c>
      <c r="E29" s="45" t="s">
        <v>328</v>
      </c>
      <c r="F29" s="41"/>
    </row>
    <row r="30" spans="1:6" ht="50.05" customHeight="1" x14ac:dyDescent="0.55000000000000004">
      <c r="A30" s="46"/>
      <c r="B30" s="47" t="s">
        <v>339</v>
      </c>
      <c r="C30" s="48" t="s">
        <v>172</v>
      </c>
      <c r="D30" s="49" t="s">
        <v>340</v>
      </c>
      <c r="E30" s="50" t="s">
        <v>328</v>
      </c>
      <c r="F30" s="46"/>
    </row>
    <row r="31" spans="1:6" ht="50.05" customHeight="1" x14ac:dyDescent="0.55000000000000004">
      <c r="A31" s="41"/>
      <c r="B31" s="42" t="s">
        <v>341</v>
      </c>
      <c r="C31" s="43" t="s">
        <v>342</v>
      </c>
      <c r="D31" s="44" t="s">
        <v>343</v>
      </c>
      <c r="E31" s="45" t="s">
        <v>328</v>
      </c>
      <c r="F31" s="41"/>
    </row>
    <row r="32" spans="1:6" ht="5.05" customHeight="1" x14ac:dyDescent="0.55000000000000004">
      <c r="A32" s="2"/>
      <c r="B32" s="2"/>
      <c r="C32" s="2"/>
      <c r="D32" s="2"/>
      <c r="E32" s="2"/>
      <c r="F32" s="2"/>
    </row>
    <row r="33" spans="1:6" ht="44.05" customHeight="1" x14ac:dyDescent="0.55000000000000004">
      <c r="A33" s="118" t="s">
        <v>344</v>
      </c>
      <c r="B33" s="119"/>
      <c r="C33" s="119"/>
      <c r="D33" s="119"/>
      <c r="E33" s="119"/>
      <c r="F33" s="119"/>
    </row>
  </sheetData>
  <mergeCells count="7">
    <mergeCell ref="A2:F2"/>
    <mergeCell ref="A16:F16"/>
    <mergeCell ref="A33:F33"/>
    <mergeCell ref="A1:F1"/>
    <mergeCell ref="A5:F5"/>
    <mergeCell ref="A23:F23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2026-04-03T20:06:08Z</dcterms:created>
  <dcterms:modified xsi:type="dcterms:W3CDTF">2026-04-03T20:12:33Z</dcterms:modified>
</cp:coreProperties>
</file>