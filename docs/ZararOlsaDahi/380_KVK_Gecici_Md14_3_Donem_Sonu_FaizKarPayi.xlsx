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6A163B56-41C5-41CD-B8EE-13A46CF6E406}"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 r="E62" i="1"/>
  <c r="C53" i="1"/>
  <c r="C51" i="1"/>
  <c r="D8" i="2"/>
  <c r="D7" i="2"/>
  <c r="D6" i="2"/>
  <c r="C50" i="1"/>
  <c r="E45" i="1"/>
  <c r="G44" i="1"/>
  <c r="G43" i="1"/>
  <c r="G42" i="1"/>
  <c r="G41" i="1"/>
  <c r="G40" i="1"/>
  <c r="G39" i="1"/>
  <c r="G38" i="1"/>
  <c r="G37" i="1"/>
  <c r="G45" i="1" s="1"/>
  <c r="E14" i="1"/>
  <c r="D5" i="2" s="1"/>
  <c r="C52" i="1" l="1"/>
</calcChain>
</file>

<file path=xl/sharedStrings.xml><?xml version="1.0" encoding="utf-8"?>
<sst xmlns="http://schemas.openxmlformats.org/spreadsheetml/2006/main" count="477" uniqueCount="341">
  <si>
    <t>380 – KVK GEÇİCİ MADDE 14/3 | DÖNEM SONU DEĞERLEMESİNDEN DOĞAN KÂR PAYI VE FAİZ İSTİSNASI | PARAGRAF 3 — ALTIN HESABI DÖNÜŞÜMÜ SONRASI | YMM TASDİK</t>
  </si>
  <si>
    <t>KVK Geçici Md.14/3 (Paragraf 3) | Altın Hesabı Dönüşümü Sonrası TL Araçtan Dönem Sonu Tahakkuk | Beyanname 380 | ★ YİAKV MATRAHINDA DÜŞÜLEMEZ</t>
  </si>
  <si>
    <t xml:space="preserve">  372 / 376 / 380 PARAGRAF KARŞILAŞTIRMASI — Her üçü de DÖNEM SONU DEĞERLEMESİNDEN DOĞAN KÂR PAYI VE FAİZ:
  372 (Md.14/1-b): Paragraf 1 AKTİF — Yabancı para/altın → TL KKM dönüşümü sonrası araç.
  376 (Md.14/2): Paragraf 2 PASİF — Yabancı para borç → TL dönüşümü sonrası araç.
  380 (Md.14/3): Paragraf 3 ALTIN — Altın hesabı → TL dönüşümü (379) sonrası TL araç → BU DOSYA.
  Her üçü de VUK Md.280/281 dönem sonu tahakkuku (181 Dr / 642 Kr). Fark: yasal dayanak ve bağlantılı dönüşüm.</t>
  </si>
  <si>
    <t xml:space="preserve">  ★★ YİAKV (KVK Md.32/C) KRİTİK: 380 kapsamındaki dönem sonu kâr payı/faiz istisnası YİAKV matrahından DÜŞÜLEMEZ. 370–380 tamamı E.7 DÜŞÜLEMEZ listesindedir (11 kod).</t>
  </si>
  <si>
    <t>A0. KAPSAM VE NİTELİK UYGUNLUK ÖN KONTROLÜ</t>
  </si>
  <si>
    <t>Kontrol Sorusu</t>
  </si>
  <si>
    <t>Yanıt</t>
  </si>
  <si>
    <t>YMM Tasdik Notu</t>
  </si>
  <si>
    <t>A0.1  KVK Geçici Md.14/3 kapsamında altın hesabı dönüşümü (379) gerçekleştirildi mi?</t>
  </si>
  <si>
    <t>EVET</t>
  </si>
  <si>
    <t>380, 379 ile bağlantılıdır. Altın hesabı TL'ye dönüştürülmeden (379) dönüşüm sonrası TL araçtan 380 tahakkuku oluşamaz.</t>
  </si>
  <si>
    <t>A0.2  ★ Altın hesabı dönüşümü sonrası kurulan TL araçtan dönem sonu faiz/kâr payı tahakkuku yapıldı mı?</t>
  </si>
  <si>
    <t>VUK Md.280/281 gereği dönem sonu (31 Aralık) itibariyle TL araçtan tahakkuk eden faiz/kâr payı kayıtlara alınmalıdır. Bu tahakkuk 380 kapsamında istisnadır.</t>
  </si>
  <si>
    <t>A0.3  Tahakkuk muhasebe kaydı yapıldı mı? (181 Gelir Tahakkukları / 642 Faiz Gelirleri)</t>
  </si>
  <si>
    <t>Dönem sonu: Dr 181 / Kr 642 (veya 644). Kayıt olmadan 380 istisnasının muhasebe dayanağı yoktur.</t>
  </si>
  <si>
    <t>A0.4  ★ 372 (Paragraf 1) ve 376 (Paragraf 2) ile mükerrerlik analizi yapıldı mı?</t>
  </si>
  <si>
    <t>372: Paragraf 1 araçları (mevduat/altın → KKM). 376: Paragraf 2 araçları (borç → TL). 380: Paragraf 3 araçları (altın → TL). Aynı araç için yalnızca biri uygulanabilir.</t>
  </si>
  <si>
    <t>A0.5  ★ 380 tutarının YİAKV matrahından DÜŞÜLMEDIĞI teyit edildi mi?</t>
  </si>
  <si>
    <t>370–380 tamamı YİAKV matrahından DÜŞÜLEMEZ. YİAKV E.7'de 380 de kontrol edilmeli.</t>
  </si>
  <si>
    <t>A0.6  YMM Tasdik Raporu gereksinimi değerlendirildi mi? (49 No.lu Tebliğ)</t>
  </si>
  <si>
    <t>&gt;=500.000 TL → YMM raporu.</t>
  </si>
  <si>
    <t>A0.7  Tasdik Uygunluk Sonucu</t>
  </si>
  <si>
    <t>★ A0.2 (tahakkuk yapıldı), A0.4 (mükerrerlik), A0.5 (YİAKV) kritik.</t>
  </si>
  <si>
    <t>A. GENEL BİLGİLER</t>
  </si>
  <si>
    <t>Kurumun Unvanı</t>
  </si>
  <si>
    <t>Tam ticaret unvanı</t>
  </si>
  <si>
    <t>VKN</t>
  </si>
  <si>
    <t>10 haneli VKN</t>
  </si>
  <si>
    <t>Hesap Dönemi / Değerleme Tarihi</t>
  </si>
  <si>
    <t>31.12.2025 — VUK dönem sonu değerleme tarihi</t>
  </si>
  <si>
    <t>KV Oranı (%)</t>
  </si>
  <si>
    <t>2025: %25 | Banka/Finans: %30</t>
  </si>
  <si>
    <t>Dosya Referansı</t>
  </si>
  <si>
    <t>YMM-2025/380-01</t>
  </si>
  <si>
    <t>379 Çalışma Kâğıdı Referansı</t>
  </si>
  <si>
    <t>Paragraf 3 altın dönüşümü — 379 ile bağlantılı zorunlu</t>
  </si>
  <si>
    <t>B. PARAGRAF 3 (ALTIN DÖNÜŞÜMÜ) SONRASI TL ARAÇ BİLGİLERİ</t>
  </si>
  <si>
    <t xml:space="preserve">  380 Mekanizması: KVK Geçici Md.14/3 kapsamında altın hesabının TL'ye dönüştürülmesi (379) sonrası kurulan TL mevduat veya katılım hesabından dönem sonu VUK değerlemesiyle tahakkuk eden faiz ve kâr payı.</t>
  </si>
  <si>
    <t>Parametre</t>
  </si>
  <si>
    <t>Değer / Tarih</t>
  </si>
  <si>
    <t>Açıklama</t>
  </si>
  <si>
    <t>Kaynak</t>
  </si>
  <si>
    <t>B.1  379 (Altın Dönüşüm Kazancı) Çalışma Kâğıdı Referansı</t>
  </si>
  <si>
    <t>380, 379 bağlantısı zorunlu. 379 dönüşüm tutarı ve tarihi buradan alınır.</t>
  </si>
  <si>
    <t>379 çalışma kâğıdı</t>
  </si>
  <si>
    <t>B.2  Paragraf 3 Dönüşümü Sonrası TL Araç Türü</t>
  </si>
  <si>
    <t>TL Mevduat</t>
  </si>
  <si>
    <t>Altın hesabı TL'ye dönüşümü sonrasında kurulan TL araç türü.</t>
  </si>
  <si>
    <t>Araç sözleşmesi</t>
  </si>
  <si>
    <t>B.3  Dönem Sonu Değerleme Tarihi</t>
  </si>
  <si>
    <t>31.12.2025</t>
  </si>
  <si>
    <t>VUK dönem sonu tarihi — tahakkuk bu tarih itibarıyla yapılır.</t>
  </si>
  <si>
    <t>VUK Md.280</t>
  </si>
  <si>
    <t>B.4  Faiz/Kâr Payı Hesaplama Yöntemi</t>
  </si>
  <si>
    <t>Banka Bildirimi</t>
  </si>
  <si>
    <t>Banka dönem sonu bildirimi veya sözleşme oranı esaslı tahakkuk.</t>
  </si>
  <si>
    <t>Banka belgesi</t>
  </si>
  <si>
    <t>B.5  TL Araç Bakiyesi (Dönem Sonu)</t>
  </si>
  <si>
    <t>31 Aralık itibarıyla TL araç bakiyesi.</t>
  </si>
  <si>
    <t>Hesap ekstresi</t>
  </si>
  <si>
    <t>B.6  ★ 379 Kapsamı Altın Dönüşümünden Kaynaklandığı Teyit Edildi mi?</t>
  </si>
  <si>
    <t>380, yalnızca 379 kapsamı altın hesabı dönüşümünden kurulan TL araçlara uygulanır.</t>
  </si>
  <si>
    <t>KVK Geç.Md.14/3</t>
  </si>
  <si>
    <t>C. PARAGRAF 3 TL ARAÇ BAZINDA DÖNEM SONU FAİZ/KÂR PAYI TAHAKKUK TABLOSU (380)</t>
  </si>
  <si>
    <t xml:space="preserve">  SÜTUN 5 (teal çerçeve): ANA VERİ — Dönem sonu tahakkuk eden faiz/kâr payı (banka bildirimi veya hesaplama).
  181 Dr / 642 Kr muhasebe kaydıyla mutabık olmalıdır. Sütun 6 (İstisna Oranı): Normalde 100.</t>
  </si>
  <si>
    <t>Araç Adı/No</t>
  </si>
  <si>
    <t>Açılış Tarihi</t>
  </si>
  <si>
    <t>Araç Türü</t>
  </si>
  <si>
    <t>Bakiye (TL)</t>
  </si>
  <si>
    <t>Dönem Sonu Tahakkuk (TL)</t>
  </si>
  <si>
    <t>İstisna Oranı (%)</t>
  </si>
  <si>
    <t>380 İstisna (TL)</t>
  </si>
  <si>
    <t>TOPLAM</t>
  </si>
  <si>
    <t>Toplam Dönem Sonu Faiz/Kâr Payı Tahakkuku → Beyanname 380</t>
  </si>
  <si>
    <t>—</t>
  </si>
  <si>
    <t xml:space="preserve">  SÜTUN 5 (teal çerçeve): Banka dönem sonu bildirimi veya (Bakiye × Yıllık Oran × Gün/365). 181 Dr / 642 Kr muhasebe kaydıyla mutabık. Sütun 6 (İstisna Oranı): Normalde 100 (%). Kapsam dışı araç → 0.</t>
  </si>
  <si>
    <t>D. DÖNEM SONU KÂR PAYI/FAİZ İSTİSNASI ÖZET — BEYANNAME 380</t>
  </si>
  <si>
    <t>Hesap Kalemi</t>
  </si>
  <si>
    <t>Tutar (TL)</t>
  </si>
  <si>
    <t>YMM Notu</t>
  </si>
  <si>
    <t>D.1  Toplam Dönem Sonu Faiz/Kâr Payı Tahakkuku</t>
  </si>
  <si>
    <t>C tablosu toplam</t>
  </si>
  <si>
    <t>181/642 muhasebe kaydıyla mutabık</t>
  </si>
  <si>
    <t>D.2  Kapsam Dışı Tahakkuk (Paragraf 3 dışı araçlar)</t>
  </si>
  <si>
    <t>İstisna oranı 0 girilenler</t>
  </si>
  <si>
    <t>Vergiye tabi kısım</t>
  </si>
  <si>
    <t>D.3  ★ NET 380 İSTİSNA TUTARI → BEYANNAME 380</t>
  </si>
  <si>
    <t>→ Beyanname 380 | Kazancın Bulunması Halinde</t>
  </si>
  <si>
    <t>KVK Geçici Md.14/3</t>
  </si>
  <si>
    <t>D.4  Vergiye Tabi Faiz/Kâr Payı (Kapsam Dışı)</t>
  </si>
  <si>
    <t>Bu kısım KV matrahında kalır</t>
  </si>
  <si>
    <t>E. 372 – 376 – 380 DÖNEM SONU TAHAKKUK KARŞILAŞTIRMASI</t>
  </si>
  <si>
    <t>Özellik</t>
  </si>
  <si>
    <t>372 (Md.14/1-b) P1</t>
  </si>
  <si>
    <t>376 (Md.14/2) P2</t>
  </si>
  <si>
    <t>380 (Md.14/3) P3</t>
  </si>
  <si>
    <t>Ortak</t>
  </si>
  <si>
    <t>YİAKV</t>
  </si>
  <si>
    <t>Dayanak</t>
  </si>
  <si>
    <t>Paragraf 1 (Yab. para/altın → KKM)</t>
  </si>
  <si>
    <t>Paragraf 2 (Borç → TL araç)</t>
  </si>
  <si>
    <t>Paragraf 3 (Altın → TL araç)</t>
  </si>
  <si>
    <t>Aynı mekanizma</t>
  </si>
  <si>
    <t>Üçü DÜŞÜLEMEZ</t>
  </si>
  <si>
    <t>Araç</t>
  </si>
  <si>
    <t>TL KKM (mevduat/katılım)</t>
  </si>
  <si>
    <t>TL mevduat/tahvil vb.</t>
  </si>
  <si>
    <t>TL mevduat/katılım vb.</t>
  </si>
  <si>
    <t>Vadeye göre değişir</t>
  </si>
  <si>
    <t>E.7'de üçü</t>
  </si>
  <si>
    <t>Muhasebe</t>
  </si>
  <si>
    <t>181 Dr / 642 Kr</t>
  </si>
  <si>
    <t>Aynı muhasebe</t>
  </si>
  <si>
    <t>Tahakkuk esaslı</t>
  </si>
  <si>
    <t>Zaman</t>
  </si>
  <si>
    <t>31 Aralık</t>
  </si>
  <si>
    <t>Dönem sonu</t>
  </si>
  <si>
    <t>Her yıl yeniden</t>
  </si>
  <si>
    <t>Bağlantılı Kod</t>
  </si>
  <si>
    <t>370/371 (P1 dönüşümü)</t>
  </si>
  <si>
    <t>375 (P2 dönüşümü)</t>
  </si>
  <si>
    <t>379 (P3 altın dönüşümü)</t>
  </si>
  <si>
    <t>Ayrı zincirler</t>
  </si>
  <si>
    <t>Bağlantı zorunlu</t>
  </si>
  <si>
    <t>F.1  TOPLAM İSTİSNA → Beyanname Satır 380 (Kazancın Bulunması Halinde)</t>
  </si>
  <si>
    <t>D.3 — KVK Geçici Md.14/3 | Paragraf 3 Dönem Sonu Tahakkuk</t>
  </si>
  <si>
    <t xml:space="preserve">  ★★ KRİTİK UYARILAR:
(1) YİAKV MATRAHINDA DÜŞÜLEMEZ: 370–380 (11 kod) tamamı asgari KV matrahından çıkarılmaz — YİAKV E.7.
(2) 379 BAĞLANTISI ZORUNLU: 380, yalnızca 379 kapsamı altın dönüşümü sonrası TL araçlara uygulanır.
(3) 372/376 İLE MÜKERRERLİK: Aynı TL araç için hem 372 hem 380 ya da hem 376 hem 380 yazılamaz.
(4) TAHSİL DÖNEMİNDE TEKRAR YOK: 181 kapatıldığında yeni 380 uygulanmaz.</t>
  </si>
  <si>
    <t>380 – KVK GEÇİCİ MD.14/3 DÖNEM SONU FAİZ/KÂR PAYI | HESAPLAMALAR VE DENETİM</t>
  </si>
  <si>
    <t>Paragraf 3 Altın Dönüşümü Sonrası TL Araç | VUK 280/281 | Beyanname 380 | YİAKV MATRAHINDA DÜŞÜLEMEZ</t>
  </si>
  <si>
    <t>A. TASDİK ÖZETİ</t>
  </si>
  <si>
    <t>A0 Uygunluğu</t>
  </si>
  <si>
    <t>OK ise devam</t>
  </si>
  <si>
    <t>379 Bağlantısı (A0.1)</t>
  </si>
  <si>
    <t>EVET — Altın dönüşümü (379) mevcut</t>
  </si>
  <si>
    <t>Tahakkuk Kaydı (A0.3)</t>
  </si>
  <si>
    <t>181/642 kaydı zorunlu</t>
  </si>
  <si>
    <t>372/376 Mükerrerlik (A0.4)</t>
  </si>
  <si>
    <t>Ayrı araçlar teyit</t>
  </si>
  <si>
    <t>380 NET İSTİSNA (D.3)</t>
  </si>
  <si>
    <t>★★ YİAKV'de DÜŞÜLEMEZ</t>
  </si>
  <si>
    <t>370–380 tamamı E.7 (11 kod)</t>
  </si>
  <si>
    <t>Her zaman DÜŞÜLEMEZ</t>
  </si>
  <si>
    <t>B. KVK GEÇİCİ MD.14 — 370'DEN 380'E ON BİR KOD TABLOSU</t>
  </si>
  <si>
    <t>Kod</t>
  </si>
  <si>
    <t>Paragraf</t>
  </si>
  <si>
    <t>Kapsam</t>
  </si>
  <si>
    <t>Beyanname</t>
  </si>
  <si>
    <t>370</t>
  </si>
  <si>
    <t>1-a</t>
  </si>
  <si>
    <t>AKT: Döviz/altın → TL KKM kur farkı</t>
  </si>
  <si>
    <t>646/679</t>
  </si>
  <si>
    <t>Dönüşüm</t>
  </si>
  <si>
    <t>DÜŞÜLEMEZ</t>
  </si>
  <si>
    <t>371</t>
  </si>
  <si>
    <t>1-b</t>
  </si>
  <si>
    <t>AKT: Bankadan kur farkı tazminat</t>
  </si>
  <si>
    <t>102/648</t>
  </si>
  <si>
    <t>Ödeme</t>
  </si>
  <si>
    <t>372</t>
  </si>
  <si>
    <t>AKT: Dönem sonu faiz/kâr payı tahakkuk</t>
  </si>
  <si>
    <t>181/642</t>
  </si>
  <si>
    <t>373</t>
  </si>
  <si>
    <t>AKT: Vade sonu faiz/kâr payı tahsilat</t>
  </si>
  <si>
    <t>102/(181+642)</t>
  </si>
  <si>
    <t>Vade</t>
  </si>
  <si>
    <t>374</t>
  </si>
  <si>
    <t>AKT: Vade sonu diğer kazançlar</t>
  </si>
  <si>
    <t>646/648/679</t>
  </si>
  <si>
    <t>375</t>
  </si>
  <si>
    <t>2</t>
  </si>
  <si>
    <t>PAS: Borç kur farkı kazancı</t>
  </si>
  <si>
    <t>376</t>
  </si>
  <si>
    <t>PAS: Dönem sonu faiz/kâr payı tahakkuk</t>
  </si>
  <si>
    <t>377</t>
  </si>
  <si>
    <t>PAS: Vade sonu faiz/kâr payı tahsilat</t>
  </si>
  <si>
    <t>378</t>
  </si>
  <si>
    <t>PAS: Vade sonu diğer kazançlar</t>
  </si>
  <si>
    <t>379</t>
  </si>
  <si>
    <t>3</t>
  </si>
  <si>
    <t>ALTIN: Altın hesabı dönüşüm kazancı</t>
  </si>
  <si>
    <t>380</t>
  </si>
  <si>
    <t>ALTIN: Dönem sonu faiz/kâr payı tahakkuk (BU)</t>
  </si>
  <si>
    <t>C. DENETİM KONTROL LİSTESİ (K1–K12)</t>
  </si>
  <si>
    <t>Kontrol</t>
  </si>
  <si>
    <t>Sonuç</t>
  </si>
  <si>
    <t>K1</t>
  </si>
  <si>
    <t>★ 379 kapsamı altın dönüşümü var mı? (379 ÇK hazır mı?)</t>
  </si>
  <si>
    <t>380, yalnızca 379 kapsamı altın hesabı dönüşümü sonrası araçlara uygulanır.</t>
  </si>
  <si>
    <t>Uygun/Eksik/Risk</t>
  </si>
  <si>
    <t>K2</t>
  </si>
  <si>
    <t>★ Dönem sonu faiz/kâr payı tahakkuk muhasebe kaydı yapıldı mı? (181/642)</t>
  </si>
  <si>
    <t>Kayıt olmadan 380 istisnasının muhasebe dayanağı yoktur.</t>
  </si>
  <si>
    <t>K3</t>
  </si>
  <si>
    <t>★ C tablosundaki tahakkuk tutarları 181/642 muhasebe kayıtlarıyla mutabık mı?</t>
  </si>
  <si>
    <t>Her araç satırı muhasebe ekstresiyle doğrulanmış.</t>
  </si>
  <si>
    <t>K4</t>
  </si>
  <si>
    <t>Banka dönem sonu tahakkuk bildirimi mevcut mu?</t>
  </si>
  <si>
    <t>Resmi banka dönem sonu bildirimi zorunludur.</t>
  </si>
  <si>
    <t>K5</t>
  </si>
  <si>
    <t>★ 372 (Paragraf 1) ve 376 (Paragraf 2) ile mükerrerlik kontrolü yapıldı mı?</t>
  </si>
  <si>
    <t>Aynı TL araç için 372 veya 376 veya 380 — yalnızca biri uygulanabilir.</t>
  </si>
  <si>
    <t>K6</t>
  </si>
  <si>
    <t>379 çalışma kâğıdıyla çapraz mutabakat yapıldı mı?</t>
  </si>
  <si>
    <t>Altın dönüşüm tutarı ile TL araç bakiyeleri uyumlu.</t>
  </si>
  <si>
    <t>K7</t>
  </si>
  <si>
    <t>Kapsam dışı araçlar (D.2) ayrıştırıldı mı?</t>
  </si>
  <si>
    <t>Paragraf 3 dışındaki araçlar — vergilendirilir.</t>
  </si>
  <si>
    <t>K8</t>
  </si>
  <si>
    <t>★★ 380 istisnası YİAKV matrahından DÜŞÜLMEDI mi?</t>
  </si>
  <si>
    <t>370–380 (11 kod) tamamı YİAKV matrahından DÜŞÜLEMEZ. E.7'de 380 de kontrol edilmeli.</t>
  </si>
  <si>
    <t>K9</t>
  </si>
  <si>
    <t>YİAKV E.7 satırı 380'i de kapsayacak şekilde güncellendi mi?</t>
  </si>
  <si>
    <t>11 kodun tamamı E.7'de listede.</t>
  </si>
  <si>
    <t>K10</t>
  </si>
  <si>
    <t>Beyanname 380 'Kazancın Bulunması Halinde' bölümünde mi?</t>
  </si>
  <si>
    <t>Zarar döneminde uygulanamaz.</t>
  </si>
  <si>
    <t>K11</t>
  </si>
  <si>
    <t>Tahsil döneminde 181 kapatma kaydı yapılıp 380 tekrar uygulanmadı mı?</t>
  </si>
  <si>
    <t>Yalnızca tahakkuk anında — tahsil döneminde tekrar yok.</t>
  </si>
  <si>
    <t>K12</t>
  </si>
  <si>
    <t>YMM Tasdik Raporu (49 No.lu Tebliğ) değerlendirildi mi?</t>
  </si>
  <si>
    <t>380 – KVK GEÇİCİ MD.14/3 DÖNEM SONU FAİZ/KÂR PAYI | MUHASEBE KAYITLARI</t>
  </si>
  <si>
    <t>Tahakkuk Kaydı | Tahsil Kaydı | 372 / 376 / 380 Karşılaştırma | 370–380 Tam Tablo</t>
  </si>
  <si>
    <t>KAYIT 1 — DÖNEM SONU (31 ARALIK): PARAGRAF 3 TL ARACI FAİZ/KÂR PAYI TAHAKKUKU</t>
  </si>
  <si>
    <t>Tarih</t>
  </si>
  <si>
    <t>Hesap</t>
  </si>
  <si>
    <t>Not</t>
  </si>
  <si>
    <t>Dr</t>
  </si>
  <si>
    <t>Kr</t>
  </si>
  <si>
    <t>Ref</t>
  </si>
  <si>
    <t>[31.12.YYYY]</t>
  </si>
  <si>
    <t>181 Gelir Tahakkukları</t>
  </si>
  <si>
    <t>Paragraf 3 altın dönüşümü sonrası TL araçtan tahakkuk eden faiz/kâr payı</t>
  </si>
  <si>
    <t>[Tutar]</t>
  </si>
  <si>
    <t>Banka bildirimi</t>
  </si>
  <si>
    <t>642 Faiz Gelirleri / 644 Kâr Payları</t>
  </si>
  <si>
    <t>KVK Geçici Md.14/3 kapsamı → Beyanname 380</t>
  </si>
  <si>
    <t>KV 380</t>
  </si>
  <si>
    <t xml:space="preserve">  372/376 ile AYNI muhasebe mekanizması (181/642). Fark: yasal dayanak Paragraf 3 ve 379 bağlantısı.</t>
  </si>
  <si>
    <t>KAYIT 2 — TAHSİL (İZLEYEN DÖNEM): 181 KAPATMA</t>
  </si>
  <si>
    <t>[Tahsil]</t>
  </si>
  <si>
    <t>102 Bankalar</t>
  </si>
  <si>
    <t>Faiz/kâr payı tahsilatı</t>
  </si>
  <si>
    <t>Banka ekstresi</t>
  </si>
  <si>
    <t>Önceki dönem 380 tahakkuku kapatma — tekrar 380 uygulanmaz</t>
  </si>
  <si>
    <t>181 kapatma</t>
  </si>
  <si>
    <t>KAYIT 3 — 372 / 376 / 380 YAN YANA + PARAGRAF 1/2/3 KARŞILAŞTIRMA</t>
  </si>
  <si>
    <t>31.12</t>
  </si>
  <si>
    <t>P1 AKT: Yab.para/altın → TL KKM araç → Dönem sonu tahakkuk → 372</t>
  </si>
  <si>
    <t>[372]</t>
  </si>
  <si>
    <t>KV 372</t>
  </si>
  <si>
    <t>P2 PAS: Borç → TL araç → Dönem sonu tahakkuk → 376</t>
  </si>
  <si>
    <t>[376]</t>
  </si>
  <si>
    <t>KV 376</t>
  </si>
  <si>
    <t>P3 ALTIN: Altın → TL araç (379 sonrası) → Dönem sonu tahakkuk → 380 (BU)</t>
  </si>
  <si>
    <t>[380]</t>
  </si>
  <si>
    <t xml:space="preserve">  YİAKV: 372+376+380 üçünün de geliri (181/642 tahakkuk) YİAKV MATRAHINDA DÜŞÜLEMEZ (E.7). Aynı TL araç için yalnızca biri uygulanabilir — hangi paragraf kapsamında olduğu belirlenmelidir. 370–380 (11 kod) E.7'de eksiksiz listelenmeli. YİAKV E.7 güncellemesi zorunlu.</t>
  </si>
  <si>
    <t>380 – KVK GEÇİCİ MD.14/3 DÖNEM SONU FAİZ/KÂR PAYI | DENETÇİ NOTLARI</t>
  </si>
  <si>
    <t>GİB KV Beyan Rehberi Mart 2026 (No:606) | 372/376 Karşılaştırması | 379 Bağlantısı | ★★ YİAKV</t>
  </si>
  <si>
    <t>Konu</t>
  </si>
  <si>
    <t>Mesleki Değerlendirme / Tasdik Standardı</t>
  </si>
  <si>
    <t>Mevzuat / Kaynak</t>
  </si>
  <si>
    <t>N1</t>
  </si>
  <si>
    <t>KVK Geçici Md.14/3 — 380 Dönem Sonu Mekanizması</t>
  </si>
  <si>
    <t>380 (PARAGRAF 3 — ALTIN DÖNÜŞÜMÜ SONRASI DÖNEM SONU KÂR PAYI VE FAİZ) TANIMI:
KVK Geçici Madde 14/3 kapsamında altın hesaplarını TL'ye dönüştüren kurumların,
dönüşüm sonrası sahip oldukları TL araçlardan dönem sonu itibarıyla
VUK Md.280/281 gereği tahakkuk ettirilen faiz ve kâr payı geliri istisnadır.
372/376/380 KARŞILAŞTIRMASI:
• 372 (Paragraf 1): Aktif — Yabancı para/altın → TL KKM dönüşümü sonrası araç
• 376 (Paragraf 2): Pasif — Yabancı para borç → TL araç dönüşümü sonrası
• 380 (Paragraf 3): Altın — Altın hesabı → TL araç dönüşümü (379) sonrası
Her üçü de aynı muhasebe mekanizması (181/642). Fark: yasal dayanak.
379 BAĞLANTISI ZORUNLU:
380, 379 (altın hesabı dönüşüm kazancı) olmadan oluşamaz.
379 çalışma kâğıdı dayanağı olmadan 380 uygulanamaz.
BEYANNAME: 380 | Kazancın Bulunması Halinde İndirilecek</t>
  </si>
  <si>
    <t>KVK Geçici Md.14/3 | GİB KV Beyan Reh. 2026 (No:606) | VUK Md.280/281</t>
  </si>
  <si>
    <t>N2</t>
  </si>
  <si>
    <t>372/376/380 Mükerrerlik Analizi — Aynı TL Araç İçin Yalnızca Biri</t>
  </si>
  <si>
    <t>MÜKERRERLİK KURAL:
Bir TL araç için yalnızca bir paragraf kapsamı tahakkuk kodu uygulanabilir:
• Araç Paragraf 1 kapsamı mı? → 372
• Araç Paragraf 2 kapsamı mı? → 376
• Araç Paragraf 3 (altın dönüşümü) kapsamı mı? → 380
ANCAK — 372/376/380 BİRLİKTE UYGULANABİLİR (farklı araçlar için):
Kurum hem Paragraf 1 hem Paragraf 2 hem Paragraf 3 dönüşümü yaptıysa:
• Paragraf 1 TL araç → 372 | Paragraf 2 TL araç → 376 | Paragraf 3 TL araç → 380
Bu MÜKERRERLİK DEĞİL — her biri farklı araç.
HATA: Aynı TL aracı hem 372 hem 380'e yazmak → Mükerrerlik → Tarhiyat.</t>
  </si>
  <si>
    <t>KVK Geçici Md.14/1-b (372) | Md.14/2 (376) | Md.14/3 (380)</t>
  </si>
  <si>
    <t>N3</t>
  </si>
  <si>
    <t>★★ YİAKV ile İlişki — 370–380 On Bir Kodun Tamamı DÜŞÜLEMEZ + E.7 Güncellemesi</t>
  </si>
  <si>
    <t>YİAKV (KVK Md.32/C) MATRAHINDA ON BİR KODUN DÜŞÜLEMEZLİĞİ:
Paragraf 1: 370|371|372|373|374 → BEŞİ DE DÜŞÜLEMEZ
Paragraf 2: 375|376|377|378 → DÖRDÜ DE DÜŞÜLEMEZ
Paragraf 3: 379|380 → İKİSİ DE DÜŞÜLEMEZ
YİAKV E.7 (Güncellenmeli — 380 eklenmeli):
'KVK Geçici Md.14 (Tüm Paragraflar 1-3, Tüm Kodlar 370-380)
→ DÜŞÜLEMEZ ✗ | Beyanname 370/371/372/373/374/375/376/377/378/379/380'
YMM, 380'in eklenmesiyle E.7'yi güncellemelidir.</t>
  </si>
  <si>
    <t>KVK Md.32/C | YİAKV Reh. (No:607) | GİB KV Beyan Reh. (No:606)</t>
  </si>
  <si>
    <t>N4</t>
  </si>
  <si>
    <t>Altın Hesabı Dönüşümü Zinciri: 379 → 380 → (381?)</t>
  </si>
  <si>
    <t>PARAGRAF 3 ZİNCİRİ:
379 (Md.14/3): Altın hesabı → TL dönüşüm kazancı (tek seferlik)
380 (Md.14/3): Dönüşüm sonrası TL araçtan dönem sonu tahakkuk (yıllık)
Zincir analizi:
• 379 = Altın dönüşüm anında tek seferlik kazanç
• 380 = Dönüşüm sonrası TL araç dönem sonu faiz/kâr payı (yıllık 31 Aralık)
Paragraf 3'te başka kodlar olabilir (vade sonu için 381?).
Mevcut beyanname yapısında 380'den sonraki kodlar varsa aynı zincir mantığı geçerli.
TAHSİL DÖNEMINDE:
Dönem sonu 181/642 tahakkuku izleyen dönemde tahsil edildiğinde:
Dr 102 / Kr 181 → 380 tekrar uygulanmaz.</t>
  </si>
  <si>
    <t>KVK Geçici Md.14/3 | VUK Md.280/281</t>
  </si>
  <si>
    <t>N5</t>
  </si>
  <si>
    <t>49 No.lu Tebliğ + YMM Tasdik Dil Standardı</t>
  </si>
  <si>
    <t>KULLANIN:
'...KVK Geçici Madde 14/3 kapsamında altın hesabının TL'ye dönüştürülmesi sonucunda
kurulan [Araç Türü] hesabından [dönem] hesap döneminin bitiş tarihi itibarıyla
VUK Md.280/281 gereği tahakkuk ettirilen [Tutar] TL faiz/kâr payı geliri,
KVK Geçici Madde 14/3 kapsamında kurumlar vergisinden istisna edilmiş ve yurt içi
asgari kurumlar vergisi matrahından indirilmemiştir.'
KULLANMAYIN:
'...380 tutarı YİAKV matrahından düşülmüştür.' (YANLIŞ)
'...Aynı araç hem 372 hem 380 kapsamındadır.' (Mükerrerlik)
'...379 olmadan 380 uygulanmıştır.' (Bağlantı kopuk)
KRİTİK RİSKLER:
(1) 380'i YİAKV matrahından düşmek.
(2) 379 olmadan 380 uygulamak.
(3) 372 veya 376 ile aynı araç için mükerrer 380 uygulamak.
(4) Tahsil döneminde tekrar 380 uygulamak.
(5) YİAKV E.7'yi 380'i kapsayacak şekilde güncellememek.</t>
  </si>
  <si>
    <t>49 No.lu Tebliğ | KVK Geçici Md.14/3 | SM-SMMM-YMM K. Md.12</t>
  </si>
  <si>
    <t xml:space="preserve">  GİB KV BEYAN REHBERİ MART 2026 (No:606) KAPANIŞ (380): 380 = 372 ve 376'nın Paragraf 3 (altın) karşılığı. 379 (altın dönüşümü) olmadan oluşamaz. 372/376/380 aynı mekanizma — farklı paragraf. 370–380 (11 kod) YİAKV E.7'de eksiksiz listeli. YMM müteselsil: SM-SMMM-YMM Kanunu Md.12.</t>
  </si>
  <si>
    <t>380 – KVK GEÇİCİ MD.14/3 DÖNEM SONU FAİZ/KÂR PAYI | BELGE LİSTESİ | YMM TASDİK</t>
  </si>
  <si>
    <t>GİB KV Beyan Rehberi Mart 2026 (No:606) | VUK Md.280/281 | 379 Bağlantısı | 372/376 Karşılaştırma</t>
  </si>
  <si>
    <t>KATEGORİ 1 — ZORUNLU BELGELER</t>
  </si>
  <si>
    <t>No</t>
  </si>
  <si>
    <t>Belge</t>
  </si>
  <si>
    <t>Temin</t>
  </si>
  <si>
    <t>1</t>
  </si>
  <si>
    <t>★ 379 Çalışma Kâğıdı — Paragraf 3 Altın Dönüşümü Dayanağı</t>
  </si>
  <si>
    <t>380, 379 olmadan oluşamaz. 379 dönüşüm tutarı ile 380 TL araç bakiyeleri mutabık olmalı.
En temel bağlantı belgesidir.</t>
  </si>
  <si>
    <t>★ Muhasebe Yevmiyesi — 181 Dr / 642 Kr Tahakkuk Kaydı</t>
  </si>
  <si>
    <t>Dönem sonu (31 Aralık) tahakkuk yevmiye kaydı. C tablosu toplamıyla birebir uyumlu.
Kayıt olmadan 380 istisnasının muhasebe dayanağı yoktur.</t>
  </si>
  <si>
    <t>Yevmiye defteri</t>
  </si>
  <si>
    <t>★ Banka Dönem Sonu Tahakkuk Bildirimi</t>
  </si>
  <si>
    <t>Dönem sonu tahakkuk eden faiz/kâr payı tutarını gösteren resmi banka belgesi.</t>
  </si>
  <si>
    <t>Banka şubesi/internet bankacılığı</t>
  </si>
  <si>
    <t>4</t>
  </si>
  <si>
    <t>TL Araç Sözleşmesi (Altın Dönüşümü Sonrası Kurulan)</t>
  </si>
  <si>
    <t>Paragraf 3 dönüşümü sonrası kurulan TL araç sözleşmesi — faiz oranı ve vade bilgisi.</t>
  </si>
  <si>
    <t>Banka TL araç sözleşmesi</t>
  </si>
  <si>
    <t>5</t>
  </si>
  <si>
    <t>KV Beyannamesi Taslağı — 380. Satır</t>
  </si>
  <si>
    <t>'Kazancın Bulunması Halinde' bölümü. ★★ YİAKV E.7 güncellenmiş (380 dahil 11 kod).</t>
  </si>
  <si>
    <t>GİB e-Beyanname sistemi</t>
  </si>
  <si>
    <t>KATEGORİ 2 — EK BELGELER</t>
  </si>
  <si>
    <t>6</t>
  </si>
  <si>
    <t>181 Hesap Kapatma Kaydı (İzleyen Dönem Tahsilat)</t>
  </si>
  <si>
    <t>Önceki dönem 380 tahakkuklarının tahsil edildiğinde 181 kapatıldığını gösteren yevmiye.
Tahsil döneminde yeni 380 uygulanmamış olmalı.</t>
  </si>
  <si>
    <t>7</t>
  </si>
  <si>
    <t>372 ve 376 Çalışma Kâğıtları (Mükerrerlik Kontrolü)</t>
  </si>
  <si>
    <t>Aynı TL araç için 372 veya 376 uygulanmadığının teyidi.
Paragraf analizi: Araç hangi dönüşümden kaynaklanıyor?</t>
  </si>
  <si>
    <t>372/376 çalışma kâğıtları</t>
  </si>
  <si>
    <t>KATEGORİ 3 — YMM TASDİK KONTROL SORULARI</t>
  </si>
  <si>
    <t>Beklenen Sonuç</t>
  </si>
  <si>
    <t>YMM Aksiyonu</t>
  </si>
  <si>
    <t>S1</t>
  </si>
  <si>
    <t>380 bağlantısı zorunlu.</t>
  </si>
  <si>
    <t>YMM kontrolü</t>
  </si>
  <si>
    <t>S2</t>
  </si>
  <si>
    <t>★ Dönem sonu tahakkuk muhasebe kaydı (181/642) yapıldı mı?</t>
  </si>
  <si>
    <t>Kayıt olmadan istisna uygulanamaz.</t>
  </si>
  <si>
    <t>S3</t>
  </si>
  <si>
    <t>★ Tahakkuk tutarları banka bildirimi ile mutabık mı?</t>
  </si>
  <si>
    <t>Her araç satırı belgeyle doğrulanmalı.</t>
  </si>
  <si>
    <t>S4</t>
  </si>
  <si>
    <t>★ 372/376 ile mükerrerlik analizi yapıldı mı?</t>
  </si>
  <si>
    <t>Aynı araç için yalnızca biri (372, 376 veya 380).</t>
  </si>
  <si>
    <t>S5</t>
  </si>
  <si>
    <t>379 çalışma kâğıdıyla çapraz mutabakat tamam mı?</t>
  </si>
  <si>
    <t>Altın dönüşüm tutarı ile araç bakiyeleri uyumlu.</t>
  </si>
  <si>
    <t>S6</t>
  </si>
  <si>
    <t>Paragraf 3 dışı araçlar → vergilendirilir.</t>
  </si>
  <si>
    <t>S7</t>
  </si>
  <si>
    <t>370–380 tamamı YİAKV E.7'de DÜŞÜLEMEZ.</t>
  </si>
  <si>
    <t>S8</t>
  </si>
  <si>
    <t>★ YİAKV E.7 satırı 380'i de kapsayacak şekilde güncellendi mi?</t>
  </si>
  <si>
    <t>S9</t>
  </si>
  <si>
    <t>S10</t>
  </si>
  <si>
    <t>SON NOT: GİB KV Beyan Rehberi Mart 2026 (No:606) esas alınmıştır. 380 = 372 ve 376'nın Paragraf 3 (altın) karşılığı. 379 (altın dönüşüm kazancı) olmadan oluşamaz. Aynı TL araç için 372/376/380 yalnızca biri uygulanabilir. 370–380 on bir kodun tamamı YİAKV E.7'de DÜŞÜLEMEZ. E.7 güncellenmelidir.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</si>
</sst>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b/>
      <sz val="9"/>
      <color rgb="FFFFFFFF"/>
      <name val="Arial"/>
      <family val="2"/>
      <charset val="162"/>
    </font>
    <font>
      <b/>
      <sz val="8"/>
      <color rgb="FF7B5E00"/>
      <name val="Arial"/>
      <family val="2"/>
      <charset val="162"/>
    </font>
    <font>
      <b/>
      <sz val="8"/>
      <color rgb="FFFFFFFF"/>
      <name val="Arial"/>
      <family val="2"/>
      <charset val="162"/>
    </font>
    <font>
      <b/>
      <sz val="10"/>
      <color rgb="FFFFFFFF"/>
      <name val="Arial"/>
      <family val="2"/>
      <charset val="162"/>
    </font>
    <font>
      <b/>
      <sz val="9"/>
      <color rgb="FF1F3864"/>
      <name val="Arial"/>
      <family val="2"/>
      <charset val="162"/>
    </font>
    <font>
      <b/>
      <sz val="10"/>
      <color rgb="FF0000FF"/>
      <name val="Arial"/>
      <family val="2"/>
      <charset val="162"/>
    </font>
    <font>
      <i/>
      <sz val="8"/>
      <color rgb="FF555555"/>
      <name val="Arial"/>
      <family val="2"/>
      <charset val="162"/>
    </font>
    <font>
      <b/>
      <sz val="9"/>
      <color rgb="FFC0392B"/>
      <name val="Arial"/>
      <family val="2"/>
      <charset val="162"/>
    </font>
    <font>
      <i/>
      <sz val="8"/>
      <color rgb="FFC0392B"/>
      <name val="Arial"/>
      <family val="2"/>
      <charset val="162"/>
    </font>
    <font>
      <b/>
      <sz val="10"/>
      <color rgb="FF1B5E20"/>
      <name val="Arial"/>
      <family val="2"/>
      <charset val="162"/>
    </font>
    <font>
      <i/>
      <sz val="8"/>
      <color rgb="FF888888"/>
      <name val="Arial"/>
      <family val="2"/>
      <charset val="162"/>
    </font>
    <font>
      <sz val="9"/>
      <color rgb="FF1F3864"/>
      <name val="Arial"/>
      <family val="2"/>
      <charset val="162"/>
    </font>
    <font>
      <i/>
      <sz val="8"/>
      <color rgb="FF00838F"/>
      <name val="Arial"/>
      <family val="2"/>
      <charset val="162"/>
    </font>
    <font>
      <b/>
      <sz val="10"/>
      <color rgb="FF1F3864"/>
      <name val="Arial"/>
      <family val="2"/>
      <charset val="162"/>
    </font>
    <font>
      <b/>
      <sz val="9"/>
      <color rgb="FF00838F"/>
      <name val="Arial"/>
      <family val="2"/>
      <charset val="162"/>
    </font>
    <font>
      <b/>
      <sz val="9"/>
      <color rgb="FF1B5E20"/>
      <name val="Arial"/>
      <family val="2"/>
      <charset val="162"/>
    </font>
    <font>
      <b/>
      <sz val="11"/>
      <color rgb="FFFFFFFF"/>
      <name val="Arial"/>
      <family val="2"/>
      <charset val="162"/>
    </font>
    <font>
      <b/>
      <sz val="13"/>
      <color rgb="FFFFFFFF"/>
      <name val="Arial"/>
      <family val="2"/>
      <charset val="162"/>
    </font>
    <font>
      <b/>
      <sz val="13"/>
      <color rgb="FF1B5E20"/>
      <name val="Arial"/>
      <family val="2"/>
      <charset val="162"/>
    </font>
    <font>
      <sz val="8"/>
      <color rgb="FF01579B"/>
      <name val="Arial"/>
      <family val="2"/>
      <charset val="162"/>
    </font>
    <font>
      <sz val="8"/>
      <color rgb="FF283593"/>
      <name val="Arial"/>
      <family val="2"/>
      <charset val="162"/>
    </font>
    <font>
      <sz val="8"/>
      <color rgb="FF00838F"/>
      <name val="Arial"/>
      <family val="2"/>
      <charset val="162"/>
    </font>
    <font>
      <sz val="8"/>
      <color rgb="FF1F3864"/>
      <name val="Arial"/>
      <family val="2"/>
      <charset val="162"/>
    </font>
    <font>
      <b/>
      <sz val="8"/>
      <color rgb="FFC0392B"/>
      <name val="Arial"/>
      <family val="2"/>
      <charset val="162"/>
    </font>
    <font>
      <b/>
      <sz val="8"/>
      <color rgb="FF1B5E20"/>
      <name val="Arial"/>
      <family val="2"/>
      <charset val="162"/>
    </font>
    <font>
      <b/>
      <sz val="14"/>
      <color rgb="FF1B5E20"/>
      <name val="Arial"/>
      <family val="2"/>
      <charset val="162"/>
    </font>
    <font>
      <i/>
      <sz val="8"/>
      <color rgb="FF1B5E20"/>
      <name val="Arial"/>
      <family val="2"/>
      <charset val="162"/>
    </font>
    <font>
      <b/>
      <sz val="12"/>
      <color rgb="FFFFFFFF"/>
      <name val="Arial"/>
      <family val="2"/>
      <charset val="162"/>
    </font>
    <font>
      <b/>
      <sz val="12"/>
      <color rgb="FF1B5E20"/>
      <name val="Arial"/>
      <family val="2"/>
      <charset val="162"/>
    </font>
    <font>
      <b/>
      <sz val="10"/>
      <color rgb="FFE65100"/>
      <name val="Arial"/>
      <family val="2"/>
      <charset val="162"/>
    </font>
    <font>
      <sz val="8"/>
      <color rgb="FF7B3F00"/>
      <name val="Arial"/>
      <family val="2"/>
      <charset val="162"/>
    </font>
    <font>
      <sz val="8"/>
      <color rgb="FF333333"/>
      <name val="Arial"/>
      <family val="2"/>
      <charset val="162"/>
    </font>
    <font>
      <b/>
      <sz val="36"/>
      <color rgb="FFFFFFFF"/>
      <name val="Arial"/>
      <family val="2"/>
      <charset val="162"/>
    </font>
    <font>
      <sz val="8"/>
      <color rgb="FFFFFFFF"/>
      <name val="Arial"/>
      <family val="2"/>
      <charset val="162"/>
    </font>
    <font>
      <i/>
      <sz val="8"/>
      <color rgb="FF444444"/>
      <name val="Arial"/>
      <family val="2"/>
      <charset val="162"/>
    </font>
    <font>
      <b/>
      <sz val="9"/>
      <color rgb="FF7B5E00"/>
      <name val="Arial"/>
      <family val="2"/>
      <charset val="162"/>
    </font>
    <font>
      <b/>
      <sz val="9"/>
      <color rgb="FF1565C0"/>
      <name val="Arial"/>
      <family val="2"/>
      <charset val="162"/>
    </font>
    <font>
      <i/>
      <sz val="8"/>
      <color rgb="FF1565C0"/>
      <name val="Arial"/>
      <family val="2"/>
      <charset val="162"/>
    </font>
  </fonts>
  <fills count="37">
    <fill>
      <patternFill patternType="none"/>
    </fill>
    <fill>
      <patternFill patternType="gray125"/>
    </fill>
    <fill>
      <patternFill patternType="solid">
        <fgColor rgb="FF00838F"/>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E0F7FA"/>
      </patternFill>
    </fill>
    <fill>
      <patternFill patternType="solid">
        <fgColor rgb="FFFFFF00"/>
      </patternFill>
    </fill>
    <fill>
      <patternFill patternType="solid">
        <fgColor rgb="FFFCE4D6"/>
      </patternFill>
    </fill>
    <fill>
      <patternFill patternType="solid">
        <fgColor rgb="FFFFFFFF"/>
      </patternFill>
    </fill>
    <fill>
      <patternFill patternType="solid">
        <fgColor rgb="FFC6EFCE"/>
      </patternFill>
    </fill>
    <fill>
      <patternFill patternType="solid">
        <fgColor rgb="FFFFF3E0"/>
      </patternFill>
    </fill>
    <fill>
      <patternFill patternType="solid">
        <fgColor rgb="FFE8EAF6"/>
      </patternFill>
    </fill>
    <fill>
      <patternFill patternType="solid">
        <fgColor rgb="FFFFEBEE"/>
      </patternFill>
    </fill>
    <fill>
      <patternFill patternType="solid">
        <fgColor rgb="FF1B5E20"/>
      </patternFill>
    </fill>
    <fill>
      <patternFill patternType="solid">
        <fgColor rgb="FF00574B"/>
      </patternFill>
    </fill>
    <fill>
      <patternFill patternType="solid">
        <fgColor rgb="FF004D40"/>
      </patternFill>
    </fill>
    <fill>
      <patternFill patternType="solid">
        <fgColor rgb="FF01579B"/>
      </patternFill>
    </fill>
    <fill>
      <patternFill patternType="solid">
        <fgColor rgb="FF0D47A1"/>
      </patternFill>
    </fill>
    <fill>
      <patternFill patternType="solid">
        <fgColor rgb="FF880E4F"/>
      </patternFill>
    </fill>
    <fill>
      <patternFill patternType="solid">
        <fgColor rgb="FF1A237E"/>
      </patternFill>
    </fill>
    <fill>
      <patternFill patternType="solid">
        <fgColor rgb="FF283593"/>
      </patternFill>
    </fill>
    <fill>
      <patternFill patternType="solid">
        <fgColor rgb="FF303F9F"/>
      </patternFill>
    </fill>
    <fill>
      <patternFill patternType="solid">
        <fgColor rgb="FF3949AB"/>
      </patternFill>
    </fill>
    <fill>
      <patternFill patternType="solid">
        <fgColor rgb="FF006064"/>
      </patternFill>
    </fill>
    <fill>
      <patternFill patternType="solid">
        <fgColor rgb="FFFFF8E1"/>
      </patternFill>
    </fill>
    <fill>
      <patternFill patternType="solid">
        <fgColor rgb="FFFFF5F5"/>
      </patternFill>
    </fill>
    <fill>
      <patternFill patternType="solid">
        <fgColor rgb="FFFFD0D0"/>
      </patternFill>
    </fill>
    <fill>
      <patternFill patternType="solid">
        <fgColor rgb="FFF7F7F7"/>
      </patternFill>
    </fill>
    <fill>
      <patternFill patternType="solid">
        <fgColor rgb="FFEBF5EB"/>
      </patternFill>
    </fill>
    <fill>
      <patternFill patternType="solid">
        <fgColor rgb="FFE3F2FD"/>
      </patternFill>
    </fill>
    <fill>
      <patternFill patternType="solid">
        <fgColor rgb="FFEEF4FF"/>
      </patternFill>
    </fill>
    <fill>
      <patternFill patternType="solid">
        <fgColor rgb="FFB71C1C"/>
      </patternFill>
    </fill>
    <fill>
      <patternFill patternType="solid">
        <fgColor rgb="FFFFB0B0"/>
      </patternFill>
    </fill>
  </fills>
  <borders count="6">
    <border>
      <left/>
      <right/>
      <top/>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00838F"/>
      </left>
      <right style="thin">
        <color rgb="FF00838F"/>
      </right>
      <top style="thin">
        <color rgb="FF00838F"/>
      </top>
      <bottom style="thin">
        <color rgb="FF00838F"/>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67">
    <xf numFmtId="0" fontId="0" fillId="0" borderId="0" xfId="0"/>
    <xf numFmtId="0" fontId="0" fillId="6" borderId="1" xfId="0" applyFill="1" applyBorder="1"/>
    <xf numFmtId="0" fontId="1" fillId="8" borderId="2" xfId="0" applyFont="1" applyFill="1" applyBorder="1" applyAlignment="1">
      <alignment horizontal="center" vertical="center" wrapText="1"/>
    </xf>
    <xf numFmtId="0" fontId="0" fillId="9" borderId="1" xfId="0" applyFill="1" applyBorder="1"/>
    <xf numFmtId="0" fontId="6" fillId="10" borderId="1" xfId="0" applyFont="1" applyFill="1" applyBorder="1" applyAlignment="1">
      <alignment horizontal="center" vertical="center"/>
    </xf>
    <xf numFmtId="0" fontId="0" fillId="12" borderId="1" xfId="0" applyFill="1" applyBorder="1"/>
    <xf numFmtId="0" fontId="0" fillId="13" borderId="1" xfId="0" applyFill="1" applyBorder="1"/>
    <xf numFmtId="0" fontId="10" fillId="13" borderId="1" xfId="0" applyFont="1" applyFill="1" applyBorder="1" applyAlignment="1">
      <alignment horizontal="center" vertical="center"/>
    </xf>
    <xf numFmtId="0" fontId="11" fillId="12"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0" fillId="10" borderId="1" xfId="0" applyFill="1" applyBorder="1" applyAlignment="1">
      <alignment horizontal="center" vertical="center"/>
    </xf>
    <xf numFmtId="0" fontId="14" fillId="10"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2" fillId="10" borderId="1" xfId="0" applyFont="1" applyFill="1" applyBorder="1" applyAlignment="1">
      <alignment horizontal="left" vertical="center"/>
    </xf>
    <xf numFmtId="0" fontId="12" fillId="10" borderId="1" xfId="0" applyFont="1" applyFill="1" applyBorder="1" applyAlignment="1">
      <alignment horizontal="center" vertical="center"/>
    </xf>
    <xf numFmtId="3" fontId="0" fillId="10" borderId="1" xfId="0" applyNumberFormat="1" applyFill="1" applyBorder="1" applyAlignment="1">
      <alignment horizontal="right" vertical="center"/>
    </xf>
    <xf numFmtId="3" fontId="15" fillId="9" borderId="3" xfId="0" applyNumberFormat="1" applyFont="1" applyFill="1" applyBorder="1" applyAlignment="1">
      <alignment horizontal="right" vertical="center"/>
    </xf>
    <xf numFmtId="1" fontId="0" fillId="10" borderId="1" xfId="0" applyNumberFormat="1" applyFill="1" applyBorder="1" applyAlignment="1">
      <alignment horizontal="center" vertical="center"/>
    </xf>
    <xf numFmtId="3" fontId="16" fillId="13" borderId="4" xfId="0" applyNumberFormat="1" applyFont="1" applyFill="1" applyBorder="1" applyAlignment="1">
      <alignment horizontal="right" vertical="center"/>
    </xf>
    <xf numFmtId="0" fontId="4"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3" fontId="18" fillId="2" borderId="1" xfId="0" applyNumberFormat="1" applyFont="1" applyFill="1" applyBorder="1" applyAlignment="1">
      <alignment horizontal="right" vertical="center"/>
    </xf>
    <xf numFmtId="3" fontId="10" fillId="9" borderId="1" xfId="0" applyNumberFormat="1" applyFont="1" applyFill="1" applyBorder="1" applyAlignment="1">
      <alignment horizontal="right" vertical="center"/>
    </xf>
    <xf numFmtId="3" fontId="19" fillId="13" borderId="4"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1" fillId="15"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23" fillId="13"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25" fillId="13" borderId="1" xfId="0" applyFont="1" applyFill="1" applyBorder="1" applyAlignment="1">
      <alignment horizontal="center" vertical="center" wrapText="1"/>
    </xf>
    <xf numFmtId="3" fontId="26" fillId="13" borderId="4" xfId="0" applyNumberFormat="1" applyFont="1" applyFill="1" applyBorder="1" applyAlignment="1">
      <alignment horizontal="right" vertical="center"/>
    </xf>
    <xf numFmtId="3" fontId="10" fillId="9" borderId="1" xfId="0" applyNumberFormat="1" applyFont="1" applyFill="1" applyBorder="1" applyAlignment="1">
      <alignment horizontal="center" vertical="center"/>
    </xf>
    <xf numFmtId="3" fontId="29" fillId="13" borderId="1" xfId="0" applyNumberFormat="1" applyFont="1" applyFill="1" applyBorder="1" applyAlignment="1">
      <alignment horizontal="right" vertical="center"/>
    </xf>
    <xf numFmtId="0" fontId="30" fillId="14" borderId="1" xfId="0" applyFont="1" applyFill="1" applyBorder="1" applyAlignment="1">
      <alignment horizontal="center" vertical="center"/>
    </xf>
    <xf numFmtId="0" fontId="1" fillId="18" borderId="1" xfId="0" applyFont="1" applyFill="1" applyBorder="1" applyAlignment="1">
      <alignment horizontal="center" vertical="center"/>
    </xf>
    <xf numFmtId="0" fontId="23" fillId="9" borderId="1" xfId="0" applyFont="1" applyFill="1" applyBorder="1" applyAlignment="1">
      <alignment horizontal="center" vertical="center" wrapText="1"/>
    </xf>
    <xf numFmtId="0" fontId="1" fillId="19" borderId="1" xfId="0" applyFont="1" applyFill="1" applyBorder="1" applyAlignment="1">
      <alignment horizontal="center" vertical="center"/>
    </xf>
    <xf numFmtId="0" fontId="23" fillId="12" borderId="1" xfId="0" applyFont="1" applyFill="1" applyBorder="1" applyAlignment="1">
      <alignment horizontal="center" vertical="center" wrapText="1"/>
    </xf>
    <xf numFmtId="0" fontId="1" fillId="20" borderId="1" xfId="0" applyFont="1" applyFill="1" applyBorder="1" applyAlignment="1">
      <alignment horizontal="center" vertical="center"/>
    </xf>
    <xf numFmtId="0" fontId="1" fillId="21" borderId="1" xfId="0" applyFont="1" applyFill="1" applyBorder="1" applyAlignment="1">
      <alignment horizontal="center" vertical="center"/>
    </xf>
    <xf numFmtId="0" fontId="1" fillId="22" borderId="1" xfId="0" applyFont="1" applyFill="1" applyBorder="1" applyAlignment="1">
      <alignment horizontal="center" vertical="center"/>
    </xf>
    <xf numFmtId="0" fontId="1" fillId="23" borderId="1" xfId="0" applyFont="1" applyFill="1" applyBorder="1" applyAlignment="1">
      <alignment horizontal="center" vertical="center"/>
    </xf>
    <xf numFmtId="0" fontId="1" fillId="24" borderId="1" xfId="0" applyFont="1" applyFill="1" applyBorder="1" applyAlignment="1">
      <alignment horizontal="center" vertical="center"/>
    </xf>
    <xf numFmtId="0" fontId="1" fillId="25" borderId="1" xfId="0" applyFont="1" applyFill="1" applyBorder="1" applyAlignment="1">
      <alignment horizontal="center" vertical="center"/>
    </xf>
    <xf numFmtId="0" fontId="1" fillId="26" borderId="1" xfId="0" applyFont="1" applyFill="1" applyBorder="1" applyAlignment="1">
      <alignment horizontal="center" vertical="center"/>
    </xf>
    <xf numFmtId="0" fontId="1" fillId="27" borderId="1" xfId="0" applyFont="1" applyFill="1" applyBorder="1" applyAlignment="1">
      <alignment horizontal="center" vertical="center"/>
    </xf>
    <xf numFmtId="0" fontId="31" fillId="28"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32" fillId="29" borderId="1" xfId="0" applyFont="1" applyFill="1" applyBorder="1" applyAlignment="1">
      <alignment horizontal="left" vertical="top" wrapText="1"/>
    </xf>
    <xf numFmtId="0" fontId="0" fillId="10" borderId="1" xfId="0" applyFill="1" applyBorder="1" applyAlignment="1">
      <alignment horizontal="center" vertical="top"/>
    </xf>
    <xf numFmtId="0" fontId="5" fillId="12"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1" fillId="7" borderId="1" xfId="0" applyFont="1" applyFill="1" applyBorder="1" applyAlignment="1">
      <alignment horizontal="center" vertical="top"/>
    </xf>
    <xf numFmtId="0" fontId="8" fillId="30" borderId="1" xfId="0" applyFont="1" applyFill="1" applyBorder="1" applyAlignment="1">
      <alignment horizontal="left" vertical="top" wrapText="1"/>
    </xf>
    <xf numFmtId="0" fontId="0" fillId="30" borderId="1" xfId="0" applyFill="1" applyBorder="1"/>
    <xf numFmtId="0" fontId="0" fillId="16" borderId="1" xfId="0" applyFill="1" applyBorder="1"/>
    <xf numFmtId="0" fontId="1" fillId="8" borderId="2" xfId="0" applyFont="1" applyFill="1" applyBorder="1" applyAlignment="1">
      <alignment horizontal="center" vertical="center"/>
    </xf>
    <xf numFmtId="0" fontId="12" fillId="9"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32" fillId="31" borderId="1" xfId="0" applyFont="1" applyFill="1" applyBorder="1" applyAlignment="1">
      <alignment horizontal="left" vertical="top" wrapText="1"/>
    </xf>
    <xf numFmtId="0" fontId="35" fillId="9" borderId="1" xfId="0" applyFont="1" applyFill="1" applyBorder="1" applyAlignment="1">
      <alignment horizontal="left" vertical="top" wrapText="1"/>
    </xf>
    <xf numFmtId="0" fontId="5" fillId="11" borderId="1" xfId="0" applyFont="1" applyFill="1" applyBorder="1" applyAlignment="1">
      <alignment horizontal="left" vertical="top" wrapText="1"/>
    </xf>
    <xf numFmtId="0" fontId="35" fillId="11" borderId="1" xfId="0" applyFont="1" applyFill="1" applyBorder="1" applyAlignment="1">
      <alignment horizontal="left" vertical="top" wrapText="1"/>
    </xf>
    <xf numFmtId="0" fontId="8" fillId="16" borderId="1" xfId="0" applyFont="1" applyFill="1" applyBorder="1" applyAlignment="1">
      <alignment horizontal="left" vertical="top" wrapText="1"/>
    </xf>
    <xf numFmtId="0" fontId="35" fillId="16" borderId="1" xfId="0" applyFont="1" applyFill="1" applyBorder="1" applyAlignment="1">
      <alignment horizontal="left" vertical="top" wrapText="1"/>
    </xf>
    <xf numFmtId="0" fontId="35" fillId="12" borderId="1" xfId="0" applyFont="1" applyFill="1" applyBorder="1" applyAlignment="1">
      <alignment horizontal="left" vertical="top" wrapText="1"/>
    </xf>
    <xf numFmtId="0" fontId="5" fillId="13" borderId="1" xfId="0" applyFont="1" applyFill="1" applyBorder="1" applyAlignment="1">
      <alignment horizontal="center" vertical="top"/>
    </xf>
    <xf numFmtId="0" fontId="5" fillId="13" borderId="1" xfId="0" applyFont="1" applyFill="1" applyBorder="1" applyAlignment="1">
      <alignment horizontal="left" vertical="top" wrapText="1"/>
    </xf>
    <xf numFmtId="0" fontId="32" fillId="32" borderId="1" xfId="0" applyFont="1" applyFill="1" applyBorder="1" applyAlignment="1">
      <alignment horizontal="left" vertical="top" wrapText="1"/>
    </xf>
    <xf numFmtId="0" fontId="35" fillId="13" borderId="1" xfId="0" applyFont="1" applyFill="1" applyBorder="1" applyAlignment="1">
      <alignment horizontal="left" vertical="top" wrapText="1"/>
    </xf>
    <xf numFmtId="0" fontId="0" fillId="33" borderId="1" xfId="0" applyFill="1" applyBorder="1"/>
    <xf numFmtId="0" fontId="5" fillId="33" borderId="1" xfId="0" applyFont="1" applyFill="1" applyBorder="1" applyAlignment="1">
      <alignment horizontal="center" vertical="top"/>
    </xf>
    <xf numFmtId="0" fontId="5" fillId="33" borderId="1" xfId="0" applyFont="1" applyFill="1" applyBorder="1" applyAlignment="1">
      <alignment horizontal="left" vertical="top" wrapText="1"/>
    </xf>
    <xf numFmtId="0" fontId="32" fillId="34" borderId="1" xfId="0" applyFont="1" applyFill="1" applyBorder="1" applyAlignment="1">
      <alignment horizontal="left" vertical="top" wrapText="1"/>
    </xf>
    <xf numFmtId="0" fontId="35" fillId="33" borderId="1" xfId="0" applyFont="1" applyFill="1" applyBorder="1" applyAlignment="1">
      <alignment horizontal="left" vertical="top" wrapText="1"/>
    </xf>
    <xf numFmtId="0" fontId="1" fillId="35" borderId="2" xfId="0" applyFont="1" applyFill="1" applyBorder="1" applyAlignment="1">
      <alignment horizontal="center" vertical="center"/>
    </xf>
    <xf numFmtId="0" fontId="37" fillId="16" borderId="1" xfId="0" applyFont="1" applyFill="1" applyBorder="1" applyAlignment="1">
      <alignment horizontal="center" vertical="top"/>
    </xf>
    <xf numFmtId="0" fontId="32" fillId="30" borderId="1" xfId="0" applyFont="1" applyFill="1" applyBorder="1" applyAlignment="1">
      <alignment horizontal="left" vertical="top" wrapText="1"/>
    </xf>
    <xf numFmtId="0" fontId="38" fillId="16" borderId="1" xfId="0" applyFont="1" applyFill="1" applyBorder="1" applyAlignment="1">
      <alignment horizontal="center" vertical="top"/>
    </xf>
    <xf numFmtId="0" fontId="37" fillId="33" borderId="1" xfId="0" applyFont="1" applyFill="1" applyBorder="1" applyAlignment="1">
      <alignment horizontal="center" vertical="top"/>
    </xf>
    <xf numFmtId="0" fontId="37" fillId="33" borderId="1" xfId="0" applyFont="1" applyFill="1" applyBorder="1" applyAlignment="1">
      <alignment horizontal="left" vertical="top" wrapText="1"/>
    </xf>
    <xf numFmtId="0" fontId="38" fillId="33" borderId="1" xfId="0" applyFont="1" applyFill="1" applyBorder="1" applyAlignment="1">
      <alignment horizontal="center" vertical="top"/>
    </xf>
    <xf numFmtId="0" fontId="37" fillId="30" borderId="1" xfId="0" applyFont="1" applyFill="1" applyBorder="1" applyAlignment="1">
      <alignment horizontal="center" vertical="top"/>
    </xf>
    <xf numFmtId="0" fontId="32" fillId="36" borderId="1" xfId="0" applyFont="1" applyFill="1" applyBorder="1" applyAlignment="1">
      <alignment horizontal="left" vertical="top" wrapText="1"/>
    </xf>
    <xf numFmtId="0" fontId="38" fillId="30" borderId="1" xfId="0" applyFont="1" applyFill="1" applyBorder="1" applyAlignment="1">
      <alignment horizontal="center" vertical="top"/>
    </xf>
    <xf numFmtId="0" fontId="5" fillId="12" borderId="1" xfId="0" applyFont="1" applyFill="1" applyBorder="1" applyAlignment="1">
      <alignment horizontal="left" vertical="center" wrapText="1"/>
    </xf>
    <xf numFmtId="0" fontId="0" fillId="12" borderId="1" xfId="0" applyFill="1" applyBorder="1"/>
    <xf numFmtId="0" fontId="9" fillId="11" borderId="1" xfId="0" applyFont="1" applyFill="1" applyBorder="1" applyAlignment="1">
      <alignment horizontal="left" vertical="center" wrapText="1"/>
    </xf>
    <xf numFmtId="0" fontId="0" fillId="11" borderId="1" xfId="0" applyFill="1" applyBorder="1"/>
    <xf numFmtId="0" fontId="5" fillId="9" borderId="1" xfId="0" applyFont="1" applyFill="1" applyBorder="1" applyAlignment="1">
      <alignment horizontal="left" vertical="center" wrapText="1"/>
    </xf>
    <xf numFmtId="0" fontId="0" fillId="9" borderId="1" xfId="0" applyFill="1" applyBorder="1"/>
    <xf numFmtId="0" fontId="13" fillId="12"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0" fillId="13" borderId="1" xfId="0" applyFont="1" applyFill="1" applyBorder="1" applyAlignment="1">
      <alignment horizontal="left" vertical="center"/>
    </xf>
    <xf numFmtId="0" fontId="0" fillId="13" borderId="1" xfId="0" applyFill="1" applyBorder="1"/>
    <xf numFmtId="0" fontId="0" fillId="10" borderId="1" xfId="0" applyFill="1" applyBorder="1"/>
    <xf numFmtId="0" fontId="3" fillId="5" borderId="2" xfId="0" applyFont="1" applyFill="1" applyBorder="1" applyAlignment="1">
      <alignment horizontal="left" vertical="center"/>
    </xf>
    <xf numFmtId="0" fontId="0" fillId="5" borderId="2" xfId="0" applyFill="1" applyBorder="1"/>
    <xf numFmtId="0" fontId="12" fillId="9"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8" fillId="11" borderId="2" xfId="0" applyFont="1" applyFill="1" applyBorder="1" applyAlignment="1">
      <alignment horizontal="left" vertical="center" wrapText="1"/>
    </xf>
    <xf numFmtId="0" fontId="0" fillId="11" borderId="2" xfId="0" applyFill="1" applyBorder="1"/>
    <xf numFmtId="0" fontId="8" fillId="11"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4" fillId="2" borderId="2" xfId="0" applyFont="1" applyFill="1" applyBorder="1" applyAlignment="1">
      <alignment horizontal="left" vertical="center"/>
    </xf>
    <xf numFmtId="0" fontId="0" fillId="2" borderId="2" xfId="0" applyFill="1" applyBorder="1"/>
    <xf numFmtId="0" fontId="11" fillId="9"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1" xfId="0" applyFill="1" applyBorder="1"/>
    <xf numFmtId="0" fontId="27" fillId="13" borderId="1" xfId="0" applyFont="1" applyFill="1" applyBorder="1" applyAlignment="1">
      <alignment horizontal="left" vertical="center" wrapText="1"/>
    </xf>
    <xf numFmtId="0" fontId="4" fillId="7" borderId="2" xfId="0" applyFont="1" applyFill="1" applyBorder="1" applyAlignment="1">
      <alignment horizontal="left" vertical="center"/>
    </xf>
    <xf numFmtId="0" fontId="0" fillId="7" borderId="2" xfId="0" applyFill="1" applyBorder="1"/>
    <xf numFmtId="0" fontId="8" fillId="9" borderId="1"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0" fillId="9" borderId="2" xfId="0" applyFill="1" applyBorder="1"/>
    <xf numFmtId="0" fontId="7" fillId="13" borderId="1" xfId="0" applyFont="1" applyFill="1" applyBorder="1" applyAlignment="1">
      <alignment horizontal="left" vertical="center" wrapText="1"/>
    </xf>
    <xf numFmtId="0" fontId="16" fillId="13"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0" fillId="4" borderId="2" xfId="0" applyFill="1" applyBorder="1"/>
    <xf numFmtId="0" fontId="1" fillId="3" borderId="1" xfId="0" applyFont="1" applyFill="1" applyBorder="1" applyAlignment="1">
      <alignment horizontal="left" vertical="center" wrapText="1"/>
    </xf>
    <xf numFmtId="0" fontId="0" fillId="3" borderId="1" xfId="0" applyFill="1" applyBorder="1"/>
    <xf numFmtId="0" fontId="9" fillId="13" borderId="1" xfId="0" applyFont="1" applyFill="1" applyBorder="1" applyAlignment="1">
      <alignment horizontal="left" vertical="center" wrapText="1"/>
    </xf>
    <xf numFmtId="0" fontId="5" fillId="13" borderId="1" xfId="0" applyFont="1" applyFill="1" applyBorder="1" applyAlignment="1">
      <alignment horizontal="left" vertical="center"/>
    </xf>
    <xf numFmtId="0" fontId="7" fillId="14" borderId="1" xfId="0" applyFont="1" applyFill="1" applyBorder="1" applyAlignment="1">
      <alignment horizontal="left" vertical="center" wrapText="1"/>
    </xf>
    <xf numFmtId="0" fontId="0" fillId="14" borderId="1" xfId="0" applyFill="1" applyBorder="1"/>
    <xf numFmtId="0" fontId="32" fillId="9" borderId="1" xfId="0" applyFont="1" applyFill="1" applyBorder="1" applyAlignment="1">
      <alignment horizontal="left" vertical="top" wrapText="1"/>
    </xf>
    <xf numFmtId="0" fontId="4" fillId="17" borderId="2" xfId="0" applyFont="1" applyFill="1" applyBorder="1" applyAlignment="1">
      <alignment horizontal="left" vertical="center"/>
    </xf>
    <xf numFmtId="0" fontId="0" fillId="17" borderId="2" xfId="0" applyFill="1" applyBorder="1"/>
    <xf numFmtId="0" fontId="5" fillId="12" borderId="1" xfId="0" applyFont="1" applyFill="1" applyBorder="1" applyAlignment="1">
      <alignment horizontal="left" vertical="top" wrapText="1"/>
    </xf>
    <xf numFmtId="0" fontId="32" fillId="12" borderId="1" xfId="0" applyFont="1" applyFill="1" applyBorder="1" applyAlignment="1">
      <alignment horizontal="left" vertical="top" wrapText="1"/>
    </xf>
    <xf numFmtId="0" fontId="5" fillId="12" borderId="1" xfId="0" applyFont="1" applyFill="1" applyBorder="1" applyAlignment="1">
      <alignment horizontal="left" vertical="center"/>
    </xf>
    <xf numFmtId="0" fontId="5" fillId="9" borderId="1" xfId="0" applyFont="1" applyFill="1" applyBorder="1" applyAlignment="1">
      <alignment horizontal="left" vertical="center"/>
    </xf>
    <xf numFmtId="0" fontId="32" fillId="29" borderId="1" xfId="0" applyFont="1" applyFill="1" applyBorder="1" applyAlignment="1">
      <alignment horizontal="left" vertical="top" wrapText="1"/>
    </xf>
    <xf numFmtId="0" fontId="0" fillId="29" borderId="1" xfId="0" applyFill="1" applyBorder="1"/>
    <xf numFmtId="0" fontId="5" fillId="14" borderId="1" xfId="0" applyFont="1" applyFill="1" applyBorder="1" applyAlignment="1">
      <alignment horizontal="left" vertical="center"/>
    </xf>
    <xf numFmtId="0" fontId="5" fillId="9" borderId="1" xfId="0" applyFont="1" applyFill="1" applyBorder="1" applyAlignment="1">
      <alignment horizontal="left" vertical="top" wrapText="1"/>
    </xf>
    <xf numFmtId="0" fontId="28" fillId="2" borderId="2" xfId="0" applyFont="1" applyFill="1" applyBorder="1" applyAlignment="1">
      <alignment horizontal="left" vertical="center"/>
    </xf>
    <xf numFmtId="0" fontId="8" fillId="11" borderId="1" xfId="0" applyFont="1" applyFill="1" applyBorder="1" applyAlignment="1">
      <alignment horizontal="left" vertical="top" wrapText="1"/>
    </xf>
    <xf numFmtId="0" fontId="8" fillId="30" borderId="1" xfId="0" applyFont="1" applyFill="1" applyBorder="1" applyAlignment="1">
      <alignment horizontal="left" vertical="top" wrapText="1"/>
    </xf>
    <xf numFmtId="0" fontId="0" fillId="30" borderId="1" xfId="0" applyFill="1" applyBorder="1"/>
    <xf numFmtId="0" fontId="32" fillId="16" borderId="1" xfId="0" applyFont="1" applyFill="1" applyBorder="1" applyAlignment="1">
      <alignment horizontal="left" vertical="top" wrapText="1"/>
    </xf>
    <xf numFmtId="0" fontId="0" fillId="16" borderId="1" xfId="0" applyFill="1" applyBorder="1"/>
    <xf numFmtId="0" fontId="4" fillId="8" borderId="2" xfId="0" applyFont="1" applyFill="1" applyBorder="1" applyAlignment="1">
      <alignment horizontal="left" vertical="center"/>
    </xf>
    <xf numFmtId="0" fontId="0" fillId="8" borderId="2" xfId="0" applyFill="1" applyBorder="1"/>
    <xf numFmtId="0" fontId="33" fillId="2" borderId="2" xfId="0" applyFont="1" applyFill="1" applyBorder="1" applyAlignment="1">
      <alignment horizontal="left" vertical="center"/>
    </xf>
    <xf numFmtId="0" fontId="32" fillId="14" borderId="2" xfId="0" applyFont="1" applyFill="1" applyBorder="1" applyAlignment="1">
      <alignment horizontal="left" vertical="center" wrapText="1"/>
    </xf>
    <xf numFmtId="0" fontId="0" fillId="14" borderId="2" xfId="0" applyFill="1" applyBorder="1"/>
    <xf numFmtId="0" fontId="23" fillId="9" borderId="1" xfId="0" applyFont="1" applyFill="1" applyBorder="1" applyAlignment="1">
      <alignment horizontal="left" vertical="center" wrapText="1"/>
    </xf>
    <xf numFmtId="0" fontId="34" fillId="3" borderId="1" xfId="0" applyFont="1" applyFill="1" applyBorder="1" applyAlignment="1">
      <alignment horizontal="left" vertical="center" wrapText="1"/>
    </xf>
    <xf numFmtId="0" fontId="36" fillId="4" borderId="2" xfId="0" applyFont="1" applyFill="1" applyBorder="1" applyAlignment="1">
      <alignment horizontal="left" vertical="center" wrapText="1"/>
    </xf>
    <xf numFmtId="0" fontId="4" fillId="3" borderId="2" xfId="0" applyFont="1" applyFill="1" applyBorder="1" applyAlignment="1">
      <alignment horizontal="left" vertical="center"/>
    </xf>
    <xf numFmtId="0" fontId="0" fillId="3" borderId="2" xfId="0" applyFill="1" applyBorder="1"/>
    <xf numFmtId="0" fontId="17" fillId="2" borderId="2" xfId="0" applyFont="1" applyFill="1" applyBorder="1" applyAlignment="1">
      <alignment horizontal="left" vertical="center"/>
    </xf>
    <xf numFmtId="0" fontId="4" fillId="3" borderId="5" xfId="0" applyFont="1" applyFill="1" applyBorder="1" applyAlignment="1">
      <alignment horizontal="left" vertical="center"/>
    </xf>
    <xf numFmtId="0" fontId="0" fillId="3" borderId="5" xfId="0" applyFill="1" applyBorder="1"/>
    <xf numFmtId="0" fontId="4" fillId="2" borderId="5" xfId="0" applyFont="1" applyFill="1" applyBorder="1" applyAlignment="1">
      <alignment horizontal="left" vertical="center"/>
    </xf>
    <xf numFmtId="0" fontId="0" fillId="2" borderId="5" xfId="0" applyFill="1" applyBorder="1"/>
    <xf numFmtId="0" fontId="4" fillId="35" borderId="5" xfId="0" applyFont="1" applyFill="1" applyBorder="1" applyAlignment="1">
      <alignment horizontal="left" vertical="center"/>
    </xf>
    <xf numFmtId="0" fontId="0" fillId="35" borderId="5" xfId="0" applyFill="1" applyBorder="1"/>
    <xf numFmtId="0" fontId="4" fillId="8" borderId="5" xfId="0" applyFont="1" applyFill="1" applyBorder="1" applyAlignment="1">
      <alignment horizontal="left" vertical="center"/>
    </xf>
    <xf numFmtId="0" fontId="0" fillId="8" borderId="5" xfId="0" applyFill="1" applyBorder="1"/>
    <xf numFmtId="0" fontId="4" fillId="17" borderId="5" xfId="0" applyFont="1" applyFill="1" applyBorder="1" applyAlignment="1">
      <alignment horizontal="left" vertical="center"/>
    </xf>
    <xf numFmtId="0" fontId="0" fillId="17" borderId="5"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20260F-8337-4037-A8ED-A4E6038369A6}">
  <we:reference id="WA200009404" version="1.0.0.8" store="Omex" storeType="OMEX"/>
  <we:alternateReferences>
    <we:reference id="WA200009404" version="1.0.0.8" store="WA200009404" storeType="OMEX"/>
  </we:alternateReferences>
  <we:properties>
    <we:property name="claude.fileId" value="&quot;2cb7038b-089b-436f-be8d-e7e8190b0d7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topLeftCell="A9" workbookViewId="0">
      <selection sqref="A1:G1"/>
    </sheetView>
  </sheetViews>
  <sheetFormatPr defaultRowHeight="14.4" x14ac:dyDescent="0.55000000000000004"/>
  <cols>
    <col min="1" max="1" width="3" customWidth="1"/>
    <col min="2" max="2" width="32" customWidth="1"/>
    <col min="3" max="4" width="18" customWidth="1"/>
    <col min="5" max="5" width="16" customWidth="1"/>
    <col min="6" max="6" width="14" customWidth="1"/>
    <col min="7" max="7" width="22" customWidth="1"/>
  </cols>
  <sheetData>
    <row r="1" spans="1:7" ht="52" customHeight="1" x14ac:dyDescent="0.55000000000000004">
      <c r="A1" s="111" t="s">
        <v>0</v>
      </c>
      <c r="B1" s="112"/>
      <c r="C1" s="112"/>
      <c r="D1" s="112"/>
      <c r="E1" s="112"/>
      <c r="F1" s="112"/>
      <c r="G1" s="112"/>
    </row>
    <row r="2" spans="1:7" ht="22" customHeight="1" x14ac:dyDescent="0.55000000000000004">
      <c r="A2" s="123" t="s">
        <v>1</v>
      </c>
      <c r="B2" s="124"/>
      <c r="C2" s="124"/>
      <c r="D2" s="124"/>
      <c r="E2" s="124"/>
      <c r="F2" s="124"/>
      <c r="G2" s="124"/>
    </row>
    <row r="3" spans="1:7" ht="36" customHeight="1" x14ac:dyDescent="0.55000000000000004">
      <c r="A3" s="121" t="s">
        <v>2</v>
      </c>
      <c r="B3" s="122"/>
      <c r="C3" s="122"/>
      <c r="D3" s="122"/>
      <c r="E3" s="122"/>
      <c r="F3" s="122"/>
      <c r="G3" s="122"/>
    </row>
    <row r="4" spans="1:7" ht="22" customHeight="1" x14ac:dyDescent="0.55000000000000004">
      <c r="A4" s="98" t="s">
        <v>3</v>
      </c>
      <c r="B4" s="99"/>
      <c r="C4" s="99"/>
      <c r="D4" s="99"/>
      <c r="E4" s="99"/>
      <c r="F4" s="99"/>
      <c r="G4" s="99"/>
    </row>
    <row r="5" spans="1:7" ht="5.05" customHeight="1" x14ac:dyDescent="0.55000000000000004">
      <c r="A5" s="1"/>
      <c r="B5" s="1"/>
      <c r="C5" s="1"/>
      <c r="D5" s="1"/>
      <c r="E5" s="1"/>
      <c r="F5" s="1"/>
      <c r="G5" s="1"/>
    </row>
    <row r="6" spans="1:7" ht="24" customHeight="1" x14ac:dyDescent="0.55000000000000004">
      <c r="A6" s="114" t="s">
        <v>4</v>
      </c>
      <c r="B6" s="115"/>
      <c r="C6" s="115"/>
      <c r="D6" s="115"/>
      <c r="E6" s="115"/>
      <c r="F6" s="115"/>
      <c r="G6" s="115"/>
    </row>
    <row r="7" spans="1:7" ht="18" customHeight="1" x14ac:dyDescent="0.55000000000000004">
      <c r="A7" s="2"/>
      <c r="B7" s="2" t="s">
        <v>5</v>
      </c>
      <c r="C7" s="2"/>
      <c r="D7" s="2"/>
      <c r="E7" s="2" t="s">
        <v>6</v>
      </c>
      <c r="F7" s="2"/>
      <c r="G7" s="2" t="s">
        <v>7</v>
      </c>
    </row>
    <row r="8" spans="1:7" ht="28" customHeight="1" x14ac:dyDescent="0.55000000000000004">
      <c r="A8" s="91" t="s">
        <v>8</v>
      </c>
      <c r="B8" s="92"/>
      <c r="C8" s="92"/>
      <c r="D8" s="92"/>
      <c r="E8" s="4" t="s">
        <v>9</v>
      </c>
      <c r="F8" s="94" t="s">
        <v>10</v>
      </c>
      <c r="G8" s="92"/>
    </row>
    <row r="9" spans="1:7" ht="28" customHeight="1" x14ac:dyDescent="0.55000000000000004">
      <c r="A9" s="104" t="s">
        <v>11</v>
      </c>
      <c r="B9" s="90"/>
      <c r="C9" s="90"/>
      <c r="D9" s="90"/>
      <c r="E9" s="4" t="s">
        <v>9</v>
      </c>
      <c r="F9" s="89" t="s">
        <v>12</v>
      </c>
      <c r="G9" s="90"/>
    </row>
    <row r="10" spans="1:7" ht="28" customHeight="1" x14ac:dyDescent="0.55000000000000004">
      <c r="A10" s="91" t="s">
        <v>13</v>
      </c>
      <c r="B10" s="92"/>
      <c r="C10" s="92"/>
      <c r="D10" s="92"/>
      <c r="E10" s="4" t="s">
        <v>9</v>
      </c>
      <c r="F10" s="94" t="s">
        <v>14</v>
      </c>
      <c r="G10" s="92"/>
    </row>
    <row r="11" spans="1:7" ht="28" customHeight="1" x14ac:dyDescent="0.55000000000000004">
      <c r="A11" s="104" t="s">
        <v>15</v>
      </c>
      <c r="B11" s="90"/>
      <c r="C11" s="90"/>
      <c r="D11" s="90"/>
      <c r="E11" s="4" t="s">
        <v>9</v>
      </c>
      <c r="F11" s="89" t="s">
        <v>16</v>
      </c>
      <c r="G11" s="90"/>
    </row>
    <row r="12" spans="1:7" ht="28" customHeight="1" x14ac:dyDescent="0.55000000000000004">
      <c r="A12" s="104" t="s">
        <v>17</v>
      </c>
      <c r="B12" s="90"/>
      <c r="C12" s="90"/>
      <c r="D12" s="90"/>
      <c r="E12" s="4" t="s">
        <v>9</v>
      </c>
      <c r="F12" s="89" t="s">
        <v>18</v>
      </c>
      <c r="G12" s="90"/>
    </row>
    <row r="13" spans="1:7" ht="28" customHeight="1" x14ac:dyDescent="0.55000000000000004">
      <c r="A13" s="87" t="s">
        <v>19</v>
      </c>
      <c r="B13" s="88"/>
      <c r="C13" s="88"/>
      <c r="D13" s="88"/>
      <c r="E13" s="4" t="s">
        <v>9</v>
      </c>
      <c r="F13" s="107" t="s">
        <v>20</v>
      </c>
      <c r="G13" s="88"/>
    </row>
    <row r="14" spans="1:7" ht="24" customHeight="1" x14ac:dyDescent="0.55000000000000004">
      <c r="A14" s="126" t="s">
        <v>21</v>
      </c>
      <c r="B14" s="96"/>
      <c r="C14" s="96"/>
      <c r="D14" s="96"/>
      <c r="E14" s="7" t="str">
        <f>IF(AND(E8="EVET",E9="EVET",E10="EVET",E12="EVET"),"OK - Hesaplanabilir","HATA - Ön koşul eksik")</f>
        <v>OK - Hesaplanabilir</v>
      </c>
      <c r="F14" s="125" t="s">
        <v>22</v>
      </c>
      <c r="G14" s="96"/>
    </row>
    <row r="15" spans="1:7" ht="5.05" customHeight="1" x14ac:dyDescent="0.55000000000000004">
      <c r="A15" s="1"/>
      <c r="B15" s="1"/>
      <c r="C15" s="1"/>
      <c r="D15" s="1"/>
      <c r="E15" s="1"/>
      <c r="F15" s="1"/>
      <c r="G15" s="1"/>
    </row>
    <row r="16" spans="1:7" ht="22" customHeight="1" x14ac:dyDescent="0.55000000000000004">
      <c r="A16" s="108" t="s">
        <v>23</v>
      </c>
      <c r="B16" s="109"/>
      <c r="C16" s="109"/>
      <c r="D16" s="109"/>
      <c r="E16" s="109"/>
      <c r="F16" s="109"/>
      <c r="G16" s="109"/>
    </row>
    <row r="17" spans="1:7" ht="22" customHeight="1" x14ac:dyDescent="0.55000000000000004">
      <c r="A17" s="87" t="s">
        <v>24</v>
      </c>
      <c r="B17" s="88"/>
      <c r="C17" s="97"/>
      <c r="D17" s="97"/>
      <c r="E17" s="97"/>
      <c r="F17" s="8" t="s">
        <v>25</v>
      </c>
      <c r="G17" s="5"/>
    </row>
    <row r="18" spans="1:7" ht="22" customHeight="1" x14ac:dyDescent="0.55000000000000004">
      <c r="A18" s="91" t="s">
        <v>26</v>
      </c>
      <c r="B18" s="92"/>
      <c r="C18" s="97"/>
      <c r="D18" s="97"/>
      <c r="E18" s="97"/>
      <c r="F18" s="9" t="s">
        <v>27</v>
      </c>
      <c r="G18" s="3"/>
    </row>
    <row r="19" spans="1:7" ht="22" customHeight="1" x14ac:dyDescent="0.55000000000000004">
      <c r="A19" s="87" t="s">
        <v>28</v>
      </c>
      <c r="B19" s="88"/>
      <c r="C19" s="97"/>
      <c r="D19" s="97"/>
      <c r="E19" s="97"/>
      <c r="F19" s="8" t="s">
        <v>29</v>
      </c>
      <c r="G19" s="5"/>
    </row>
    <row r="20" spans="1:7" ht="22" customHeight="1" x14ac:dyDescent="0.55000000000000004">
      <c r="A20" s="91" t="s">
        <v>30</v>
      </c>
      <c r="B20" s="92"/>
      <c r="C20" s="97"/>
      <c r="D20" s="97"/>
      <c r="E20" s="97"/>
      <c r="F20" s="9" t="s">
        <v>31</v>
      </c>
      <c r="G20" s="3"/>
    </row>
    <row r="21" spans="1:7" ht="22" customHeight="1" x14ac:dyDescent="0.55000000000000004">
      <c r="A21" s="87" t="s">
        <v>32</v>
      </c>
      <c r="B21" s="88"/>
      <c r="C21" s="97"/>
      <c r="D21" s="97"/>
      <c r="E21" s="97"/>
      <c r="F21" s="8" t="s">
        <v>33</v>
      </c>
      <c r="G21" s="5"/>
    </row>
    <row r="22" spans="1:7" ht="22" customHeight="1" x14ac:dyDescent="0.55000000000000004">
      <c r="A22" s="91" t="s">
        <v>34</v>
      </c>
      <c r="B22" s="92"/>
      <c r="C22" s="97"/>
      <c r="D22" s="97"/>
      <c r="E22" s="97"/>
      <c r="F22" s="9" t="s">
        <v>35</v>
      </c>
      <c r="G22" s="3"/>
    </row>
    <row r="23" spans="1:7" ht="5.05" customHeight="1" x14ac:dyDescent="0.55000000000000004">
      <c r="A23" s="1"/>
      <c r="B23" s="1"/>
      <c r="C23" s="1"/>
      <c r="D23" s="1"/>
      <c r="E23" s="1"/>
      <c r="F23" s="1"/>
      <c r="G23" s="1"/>
    </row>
    <row r="24" spans="1:7" ht="24" customHeight="1" x14ac:dyDescent="0.55000000000000004">
      <c r="A24" s="108" t="s">
        <v>36</v>
      </c>
      <c r="B24" s="109"/>
      <c r="C24" s="109"/>
      <c r="D24" s="109"/>
      <c r="E24" s="109"/>
      <c r="F24" s="109"/>
      <c r="G24" s="109"/>
    </row>
    <row r="25" spans="1:7" ht="26.05" customHeight="1" x14ac:dyDescent="0.55000000000000004">
      <c r="A25" s="100" t="s">
        <v>37</v>
      </c>
      <c r="B25" s="92"/>
      <c r="C25" s="92"/>
      <c r="D25" s="92"/>
      <c r="E25" s="92"/>
      <c r="F25" s="92"/>
      <c r="G25" s="92"/>
    </row>
    <row r="26" spans="1:7" ht="18" customHeight="1" x14ac:dyDescent="0.55000000000000004">
      <c r="A26" s="2"/>
      <c r="B26" s="2" t="s">
        <v>38</v>
      </c>
      <c r="C26" s="2"/>
      <c r="D26" s="2" t="s">
        <v>39</v>
      </c>
      <c r="E26" s="2"/>
      <c r="F26" s="2" t="s">
        <v>40</v>
      </c>
      <c r="G26" s="2" t="s">
        <v>41</v>
      </c>
    </row>
    <row r="27" spans="1:7" ht="26.05" customHeight="1" x14ac:dyDescent="0.55000000000000004">
      <c r="A27" s="87" t="s">
        <v>42</v>
      </c>
      <c r="B27" s="88"/>
      <c r="C27" s="10"/>
      <c r="D27" s="101" t="s">
        <v>43</v>
      </c>
      <c r="E27" s="88"/>
      <c r="F27" s="93" t="s">
        <v>44</v>
      </c>
      <c r="G27" s="88"/>
    </row>
    <row r="28" spans="1:7" ht="26.05" customHeight="1" x14ac:dyDescent="0.55000000000000004">
      <c r="A28" s="91" t="s">
        <v>45</v>
      </c>
      <c r="B28" s="92"/>
      <c r="C28" s="4" t="s">
        <v>46</v>
      </c>
      <c r="D28" s="110" t="s">
        <v>47</v>
      </c>
      <c r="E28" s="92"/>
      <c r="F28" s="105" t="s">
        <v>48</v>
      </c>
      <c r="G28" s="92"/>
    </row>
    <row r="29" spans="1:7" ht="26.05" customHeight="1" x14ac:dyDescent="0.55000000000000004">
      <c r="A29" s="87" t="s">
        <v>49</v>
      </c>
      <c r="B29" s="88"/>
      <c r="C29" s="11" t="s">
        <v>50</v>
      </c>
      <c r="D29" s="101" t="s">
        <v>51</v>
      </c>
      <c r="E29" s="88"/>
      <c r="F29" s="93" t="s">
        <v>52</v>
      </c>
      <c r="G29" s="88"/>
    </row>
    <row r="30" spans="1:7" ht="26.05" customHeight="1" x14ac:dyDescent="0.55000000000000004">
      <c r="A30" s="91" t="s">
        <v>53</v>
      </c>
      <c r="B30" s="92"/>
      <c r="C30" s="4" t="s">
        <v>54</v>
      </c>
      <c r="D30" s="110" t="s">
        <v>55</v>
      </c>
      <c r="E30" s="92"/>
      <c r="F30" s="105" t="s">
        <v>56</v>
      </c>
      <c r="G30" s="92"/>
    </row>
    <row r="31" spans="1:7" ht="26.05" customHeight="1" x14ac:dyDescent="0.55000000000000004">
      <c r="A31" s="87" t="s">
        <v>57</v>
      </c>
      <c r="B31" s="88"/>
      <c r="C31" s="10"/>
      <c r="D31" s="101" t="s">
        <v>58</v>
      </c>
      <c r="E31" s="88"/>
      <c r="F31" s="93" t="s">
        <v>59</v>
      </c>
      <c r="G31" s="88"/>
    </row>
    <row r="32" spans="1:7" ht="26.05" customHeight="1" x14ac:dyDescent="0.55000000000000004">
      <c r="A32" s="116" t="s">
        <v>60</v>
      </c>
      <c r="B32" s="92"/>
      <c r="C32" s="4" t="s">
        <v>9</v>
      </c>
      <c r="D32" s="110" t="s">
        <v>61</v>
      </c>
      <c r="E32" s="92"/>
      <c r="F32" s="105" t="s">
        <v>62</v>
      </c>
      <c r="G32" s="92"/>
    </row>
    <row r="33" spans="1:7" ht="5.05" customHeight="1" x14ac:dyDescent="0.55000000000000004">
      <c r="A33" s="1"/>
      <c r="B33" s="1"/>
      <c r="C33" s="1"/>
      <c r="D33" s="1"/>
      <c r="E33" s="1"/>
      <c r="F33" s="1"/>
      <c r="G33" s="1"/>
    </row>
    <row r="34" spans="1:7" ht="24" customHeight="1" x14ac:dyDescent="0.55000000000000004">
      <c r="A34" s="108" t="s">
        <v>63</v>
      </c>
      <c r="B34" s="109"/>
      <c r="C34" s="109"/>
      <c r="D34" s="109"/>
      <c r="E34" s="109"/>
      <c r="F34" s="109"/>
      <c r="G34" s="109"/>
    </row>
    <row r="35" spans="1:7" ht="26.05" customHeight="1" x14ac:dyDescent="0.55000000000000004">
      <c r="A35" s="100" t="s">
        <v>64</v>
      </c>
      <c r="B35" s="92"/>
      <c r="C35" s="92"/>
      <c r="D35" s="92"/>
      <c r="E35" s="92"/>
      <c r="F35" s="92"/>
      <c r="G35" s="92"/>
    </row>
    <row r="36" spans="1:7" ht="18" customHeight="1" x14ac:dyDescent="0.55000000000000004">
      <c r="A36" s="12" t="s">
        <v>65</v>
      </c>
      <c r="B36" s="12" t="s">
        <v>66</v>
      </c>
      <c r="C36" s="12" t="s">
        <v>67</v>
      </c>
      <c r="D36" s="12" t="s">
        <v>68</v>
      </c>
      <c r="E36" s="12" t="s">
        <v>69</v>
      </c>
      <c r="F36" s="12" t="s">
        <v>70</v>
      </c>
      <c r="G36" s="12" t="s">
        <v>71</v>
      </c>
    </row>
    <row r="37" spans="1:7" ht="26.05" customHeight="1" x14ac:dyDescent="0.55000000000000004">
      <c r="A37" s="13"/>
      <c r="B37" s="10"/>
      <c r="C37" s="14"/>
      <c r="D37" s="15"/>
      <c r="E37" s="16"/>
      <c r="F37" s="17">
        <v>100</v>
      </c>
      <c r="G37" s="18">
        <f t="shared" ref="G37:G44" si="0">IF(E37&gt;0,E37*F37/100,0)</f>
        <v>0</v>
      </c>
    </row>
    <row r="38" spans="1:7" ht="26.05" customHeight="1" x14ac:dyDescent="0.55000000000000004">
      <c r="A38" s="13"/>
      <c r="B38" s="10"/>
      <c r="C38" s="14"/>
      <c r="D38" s="15"/>
      <c r="E38" s="16"/>
      <c r="F38" s="17">
        <v>100</v>
      </c>
      <c r="G38" s="18">
        <f t="shared" si="0"/>
        <v>0</v>
      </c>
    </row>
    <row r="39" spans="1:7" ht="26.05" customHeight="1" x14ac:dyDescent="0.55000000000000004">
      <c r="A39" s="13"/>
      <c r="B39" s="10"/>
      <c r="C39" s="14"/>
      <c r="D39" s="15"/>
      <c r="E39" s="16"/>
      <c r="F39" s="17">
        <v>100</v>
      </c>
      <c r="G39" s="18">
        <f t="shared" si="0"/>
        <v>0</v>
      </c>
    </row>
    <row r="40" spans="1:7" ht="26.05" customHeight="1" x14ac:dyDescent="0.55000000000000004">
      <c r="A40" s="13"/>
      <c r="B40" s="10"/>
      <c r="C40" s="14"/>
      <c r="D40" s="15"/>
      <c r="E40" s="16"/>
      <c r="F40" s="17">
        <v>100</v>
      </c>
      <c r="G40" s="18">
        <f t="shared" si="0"/>
        <v>0</v>
      </c>
    </row>
    <row r="41" spans="1:7" ht="26.05" customHeight="1" x14ac:dyDescent="0.55000000000000004">
      <c r="A41" s="13"/>
      <c r="B41" s="10"/>
      <c r="C41" s="14"/>
      <c r="D41" s="15"/>
      <c r="E41" s="16"/>
      <c r="F41" s="17">
        <v>100</v>
      </c>
      <c r="G41" s="18">
        <f t="shared" si="0"/>
        <v>0</v>
      </c>
    </row>
    <row r="42" spans="1:7" ht="26.05" customHeight="1" x14ac:dyDescent="0.55000000000000004">
      <c r="A42" s="13"/>
      <c r="B42" s="10"/>
      <c r="C42" s="14"/>
      <c r="D42" s="15"/>
      <c r="E42" s="16"/>
      <c r="F42" s="17">
        <v>100</v>
      </c>
      <c r="G42" s="18">
        <f t="shared" si="0"/>
        <v>0</v>
      </c>
    </row>
    <row r="43" spans="1:7" ht="26.05" customHeight="1" x14ac:dyDescent="0.55000000000000004">
      <c r="A43" s="13"/>
      <c r="B43" s="10"/>
      <c r="C43" s="14"/>
      <c r="D43" s="15"/>
      <c r="E43" s="16"/>
      <c r="F43" s="17">
        <v>100</v>
      </c>
      <c r="G43" s="18">
        <f t="shared" si="0"/>
        <v>0</v>
      </c>
    </row>
    <row r="44" spans="1:7" ht="26.05" customHeight="1" x14ac:dyDescent="0.55000000000000004">
      <c r="A44" s="13"/>
      <c r="B44" s="10"/>
      <c r="C44" s="14"/>
      <c r="D44" s="15"/>
      <c r="E44" s="16"/>
      <c r="F44" s="17">
        <v>100</v>
      </c>
      <c r="G44" s="18">
        <f t="shared" si="0"/>
        <v>0</v>
      </c>
    </row>
    <row r="45" spans="1:7" ht="30" customHeight="1" x14ac:dyDescent="0.55000000000000004">
      <c r="A45" s="19" t="s">
        <v>72</v>
      </c>
      <c r="B45" s="111" t="s">
        <v>73</v>
      </c>
      <c r="C45" s="112"/>
      <c r="D45" s="112"/>
      <c r="E45" s="20">
        <f>SUM(E37:E44)</f>
        <v>0</v>
      </c>
      <c r="F45" s="19" t="s">
        <v>74</v>
      </c>
      <c r="G45" s="21">
        <f>SUM(G37:G44)</f>
        <v>0</v>
      </c>
    </row>
    <row r="46" spans="1:7" ht="26.05" customHeight="1" x14ac:dyDescent="0.55000000000000004">
      <c r="A46" s="117" t="s">
        <v>75</v>
      </c>
      <c r="B46" s="118"/>
      <c r="C46" s="118"/>
      <c r="D46" s="118"/>
      <c r="E46" s="118"/>
      <c r="F46" s="118"/>
      <c r="G46" s="118"/>
    </row>
    <row r="47" spans="1:7" ht="5.05" customHeight="1" x14ac:dyDescent="0.55000000000000004">
      <c r="A47" s="1"/>
      <c r="B47" s="1"/>
      <c r="C47" s="1"/>
      <c r="D47" s="1"/>
      <c r="E47" s="1"/>
      <c r="F47" s="1"/>
      <c r="G47" s="1"/>
    </row>
    <row r="48" spans="1:7" ht="24" customHeight="1" x14ac:dyDescent="0.55000000000000004">
      <c r="A48" s="108" t="s">
        <v>76</v>
      </c>
      <c r="B48" s="109"/>
      <c r="C48" s="109"/>
      <c r="D48" s="109"/>
      <c r="E48" s="109"/>
      <c r="F48" s="109"/>
      <c r="G48" s="109"/>
    </row>
    <row r="49" spans="1:7" ht="18" customHeight="1" x14ac:dyDescent="0.55000000000000004">
      <c r="A49" s="2"/>
      <c r="B49" s="2" t="s">
        <v>77</v>
      </c>
      <c r="C49" s="2"/>
      <c r="D49" s="2" t="s">
        <v>78</v>
      </c>
      <c r="E49" s="2"/>
      <c r="F49" s="2" t="s">
        <v>40</v>
      </c>
      <c r="G49" s="2" t="s">
        <v>79</v>
      </c>
    </row>
    <row r="50" spans="1:7" ht="28" customHeight="1" x14ac:dyDescent="0.55000000000000004">
      <c r="A50" s="91" t="s">
        <v>80</v>
      </c>
      <c r="B50" s="92"/>
      <c r="C50" s="22">
        <f>E45</f>
        <v>0</v>
      </c>
      <c r="D50" s="110" t="s">
        <v>81</v>
      </c>
      <c r="E50" s="92"/>
      <c r="F50" s="94" t="s">
        <v>82</v>
      </c>
      <c r="G50" s="92"/>
    </row>
    <row r="51" spans="1:7" ht="28" customHeight="1" x14ac:dyDescent="0.55000000000000004">
      <c r="A51" s="87" t="s">
        <v>83</v>
      </c>
      <c r="B51" s="88"/>
      <c r="C51" s="22">
        <f>E45-G45</f>
        <v>0</v>
      </c>
      <c r="D51" s="101" t="s">
        <v>84</v>
      </c>
      <c r="E51" s="88"/>
      <c r="F51" s="107" t="s">
        <v>85</v>
      </c>
      <c r="G51" s="88"/>
    </row>
    <row r="52" spans="1:7" ht="28" customHeight="1" x14ac:dyDescent="0.55000000000000004">
      <c r="A52" s="120" t="s">
        <v>86</v>
      </c>
      <c r="B52" s="96"/>
      <c r="C52" s="23">
        <f>G45</f>
        <v>0</v>
      </c>
      <c r="D52" s="106" t="s">
        <v>87</v>
      </c>
      <c r="E52" s="96"/>
      <c r="F52" s="119" t="s">
        <v>88</v>
      </c>
      <c r="G52" s="96"/>
    </row>
    <row r="53" spans="1:7" ht="28" customHeight="1" x14ac:dyDescent="0.55000000000000004">
      <c r="A53" s="87" t="s">
        <v>89</v>
      </c>
      <c r="B53" s="88"/>
      <c r="C53" s="22">
        <f>C51</f>
        <v>0</v>
      </c>
      <c r="D53" s="101" t="s">
        <v>90</v>
      </c>
      <c r="E53" s="88"/>
      <c r="F53" s="107"/>
      <c r="G53" s="88"/>
    </row>
    <row r="54" spans="1:7" ht="5.05" customHeight="1" x14ac:dyDescent="0.55000000000000004">
      <c r="A54" s="1"/>
      <c r="B54" s="1"/>
      <c r="C54" s="1"/>
      <c r="D54" s="1"/>
      <c r="E54" s="1"/>
      <c r="F54" s="1"/>
      <c r="G54" s="1"/>
    </row>
    <row r="55" spans="1:7" ht="22" customHeight="1" x14ac:dyDescent="0.55000000000000004">
      <c r="A55" s="108" t="s">
        <v>91</v>
      </c>
      <c r="B55" s="109"/>
      <c r="C55" s="109"/>
      <c r="D55" s="109"/>
      <c r="E55" s="109"/>
      <c r="F55" s="109"/>
      <c r="G55" s="109"/>
    </row>
    <row r="56" spans="1:7" ht="18" customHeight="1" x14ac:dyDescent="0.55000000000000004">
      <c r="A56" s="2"/>
      <c r="B56" s="2" t="s">
        <v>92</v>
      </c>
      <c r="C56" s="2" t="s">
        <v>93</v>
      </c>
      <c r="D56" s="2" t="s">
        <v>94</v>
      </c>
      <c r="E56" s="2" t="s">
        <v>95</v>
      </c>
      <c r="F56" s="2" t="s">
        <v>96</v>
      </c>
      <c r="G56" s="2" t="s">
        <v>97</v>
      </c>
    </row>
    <row r="57" spans="1:7" ht="22" customHeight="1" x14ac:dyDescent="0.55000000000000004">
      <c r="A57" s="24" t="s">
        <v>98</v>
      </c>
      <c r="B57" s="5"/>
      <c r="C57" s="25" t="s">
        <v>99</v>
      </c>
      <c r="D57" s="26" t="s">
        <v>100</v>
      </c>
      <c r="E57" s="27" t="s">
        <v>101</v>
      </c>
      <c r="F57" s="28" t="s">
        <v>102</v>
      </c>
      <c r="G57" s="29" t="s">
        <v>103</v>
      </c>
    </row>
    <row r="58" spans="1:7" ht="22" customHeight="1" x14ac:dyDescent="0.55000000000000004">
      <c r="A58" s="24" t="s">
        <v>104</v>
      </c>
      <c r="B58" s="3"/>
      <c r="C58" s="25" t="s">
        <v>105</v>
      </c>
      <c r="D58" s="26" t="s">
        <v>106</v>
      </c>
      <c r="E58" s="27" t="s">
        <v>107</v>
      </c>
      <c r="F58" s="28" t="s">
        <v>108</v>
      </c>
      <c r="G58" s="30" t="s">
        <v>109</v>
      </c>
    </row>
    <row r="59" spans="1:7" ht="22" customHeight="1" x14ac:dyDescent="0.55000000000000004">
      <c r="A59" s="24" t="s">
        <v>110</v>
      </c>
      <c r="B59" s="5"/>
      <c r="C59" s="25" t="s">
        <v>111</v>
      </c>
      <c r="D59" s="26" t="s">
        <v>111</v>
      </c>
      <c r="E59" s="27" t="s">
        <v>111</v>
      </c>
      <c r="F59" s="28" t="s">
        <v>112</v>
      </c>
      <c r="G59" s="30" t="s">
        <v>113</v>
      </c>
    </row>
    <row r="60" spans="1:7" ht="22" customHeight="1" x14ac:dyDescent="0.55000000000000004">
      <c r="A60" s="24" t="s">
        <v>114</v>
      </c>
      <c r="B60" s="3"/>
      <c r="C60" s="25" t="s">
        <v>115</v>
      </c>
      <c r="D60" s="26" t="s">
        <v>115</v>
      </c>
      <c r="E60" s="27" t="s">
        <v>115</v>
      </c>
      <c r="F60" s="28" t="s">
        <v>116</v>
      </c>
      <c r="G60" s="30" t="s">
        <v>117</v>
      </c>
    </row>
    <row r="61" spans="1:7" ht="22" customHeight="1" x14ac:dyDescent="0.55000000000000004">
      <c r="A61" s="24" t="s">
        <v>118</v>
      </c>
      <c r="B61" s="5"/>
      <c r="C61" s="25" t="s">
        <v>119</v>
      </c>
      <c r="D61" s="26" t="s">
        <v>120</v>
      </c>
      <c r="E61" s="27" t="s">
        <v>121</v>
      </c>
      <c r="F61" s="28" t="s">
        <v>122</v>
      </c>
      <c r="G61" s="30" t="s">
        <v>123</v>
      </c>
    </row>
    <row r="62" spans="1:7" ht="32.049999999999997" customHeight="1" x14ac:dyDescent="0.55000000000000004">
      <c r="A62" s="95" t="s">
        <v>124</v>
      </c>
      <c r="B62" s="96"/>
      <c r="C62" s="96"/>
      <c r="D62" s="96"/>
      <c r="E62" s="31">
        <f>C52</f>
        <v>0</v>
      </c>
      <c r="F62" s="113" t="s">
        <v>125</v>
      </c>
      <c r="G62" s="96"/>
    </row>
    <row r="63" spans="1:7" ht="48" customHeight="1" x14ac:dyDescent="0.55000000000000004">
      <c r="A63" s="102" t="s">
        <v>126</v>
      </c>
      <c r="B63" s="103"/>
      <c r="C63" s="103"/>
      <c r="D63" s="103"/>
      <c r="E63" s="103"/>
      <c r="F63" s="103"/>
      <c r="G63" s="103"/>
    </row>
  </sheetData>
  <mergeCells count="73">
    <mergeCell ref="A55:G55"/>
    <mergeCell ref="A2:G2"/>
    <mergeCell ref="F14:G14"/>
    <mergeCell ref="D50:E50"/>
    <mergeCell ref="C20:E20"/>
    <mergeCell ref="A14:D14"/>
    <mergeCell ref="A3:G3"/>
    <mergeCell ref="A12:D12"/>
    <mergeCell ref="A19:B19"/>
    <mergeCell ref="D29:E29"/>
    <mergeCell ref="D51:E51"/>
    <mergeCell ref="A28:B28"/>
    <mergeCell ref="A46:G46"/>
    <mergeCell ref="F52:G52"/>
    <mergeCell ref="A53:B53"/>
    <mergeCell ref="A20:B20"/>
    <mergeCell ref="A29:B29"/>
    <mergeCell ref="D30:E30"/>
    <mergeCell ref="A52:B52"/>
    <mergeCell ref="A1:G1"/>
    <mergeCell ref="F62:G62"/>
    <mergeCell ref="C19:E19"/>
    <mergeCell ref="B45:D45"/>
    <mergeCell ref="A6:G6"/>
    <mergeCell ref="C18:E18"/>
    <mergeCell ref="F31:G31"/>
    <mergeCell ref="D28:E28"/>
    <mergeCell ref="A16:G16"/>
    <mergeCell ref="F28:G28"/>
    <mergeCell ref="A32:B32"/>
    <mergeCell ref="F13:G13"/>
    <mergeCell ref="A17:B17"/>
    <mergeCell ref="A25:G25"/>
    <mergeCell ref="F27:G27"/>
    <mergeCell ref="F9:G9"/>
    <mergeCell ref="A63:G63"/>
    <mergeCell ref="A13:D13"/>
    <mergeCell ref="A9:D9"/>
    <mergeCell ref="F12:G12"/>
    <mergeCell ref="F30:G30"/>
    <mergeCell ref="D52:E52"/>
    <mergeCell ref="F53:G53"/>
    <mergeCell ref="D27:E27"/>
    <mergeCell ref="A34:G34"/>
    <mergeCell ref="F51:G51"/>
    <mergeCell ref="A48:G48"/>
    <mergeCell ref="A24:G24"/>
    <mergeCell ref="C17:E17"/>
    <mergeCell ref="D32:E32"/>
    <mergeCell ref="F32:G32"/>
    <mergeCell ref="A11:D11"/>
    <mergeCell ref="A51:B51"/>
    <mergeCell ref="A62:D62"/>
    <mergeCell ref="C22:E22"/>
    <mergeCell ref="A4:G4"/>
    <mergeCell ref="A35:G35"/>
    <mergeCell ref="C21:E21"/>
    <mergeCell ref="A10:D10"/>
    <mergeCell ref="D31:E31"/>
    <mergeCell ref="A18:B18"/>
    <mergeCell ref="A27:B27"/>
    <mergeCell ref="F50:G50"/>
    <mergeCell ref="F8:G8"/>
    <mergeCell ref="A50:B50"/>
    <mergeCell ref="D53:E53"/>
    <mergeCell ref="A21:B21"/>
    <mergeCell ref="A22:B22"/>
    <mergeCell ref="A31:B31"/>
    <mergeCell ref="F11:G11"/>
    <mergeCell ref="A30:B30"/>
    <mergeCell ref="A8:D8"/>
    <mergeCell ref="F29:G29"/>
    <mergeCell ref="F10:G10"/>
  </mergeCells>
  <conditionalFormatting sqref="E14">
    <cfRule type="containsText" dxfId="3" priority="1" operator="containsText" text="OK">
      <formula>NOT(ISERROR(SEARCH("OK",E14)))</formula>
    </cfRule>
    <cfRule type="containsText" dxfId="2" priority="2" operator="containsText" text="HATA">
      <formula>NOT(ISERROR(SEARCH("HATA",E14)))</formula>
    </cfRule>
  </conditionalFormatting>
  <dataValidations count="7">
    <dataValidation type="list" sqref="E8:E9" xr:uid="{00000000-0002-0000-0000-000000000000}">
      <formula1>"EVET,HAYIR-İstisna Yok"</formula1>
    </dataValidation>
    <dataValidation type="list" sqref="E10" xr:uid="{00000000-0002-0000-0000-000002000000}">
      <formula1>"EVET,HAYIR-Eksik Kayıt"</formula1>
    </dataValidation>
    <dataValidation type="list" sqref="E11 C32" xr:uid="{00000000-0002-0000-0000-000003000000}">
      <formula1>"EVET,HAYIR-Risk"</formula1>
    </dataValidation>
    <dataValidation type="list" sqref="E12" xr:uid="{00000000-0002-0000-0000-000004000000}">
      <formula1>"EVET,HAYIR-KRİTİK HATA"</formula1>
    </dataValidation>
    <dataValidation type="list" sqref="E13" xr:uid="{00000000-0002-0000-0000-000005000000}">
      <formula1>"EVET,Tam Tasdik"</formula1>
    </dataValidation>
    <dataValidation type="list" sqref="C28" xr:uid="{00000000-0002-0000-0000-000006000000}">
      <formula1>"TL Mevduat,TL Katılım Hesabı,TL Tahvil/Bono,Diğer TL Araç"</formula1>
    </dataValidation>
    <dataValidation type="list" sqref="C30" xr:uid="{00000000-0002-0000-0000-000007000000}">
      <formula1>"Banka Bildirimi,Sözleşme Oranı × Bakiye × Gün"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workbookViewId="0"/>
  </sheetViews>
  <sheetFormatPr defaultRowHeight="14.4" x14ac:dyDescent="0.55000000000000004"/>
  <cols>
    <col min="1" max="1" width="4" customWidth="1"/>
    <col min="2" max="2" width="40" customWidth="1"/>
    <col min="3" max="3" width="18" customWidth="1"/>
    <col min="4" max="4" width="16" customWidth="1"/>
    <col min="5" max="5" width="14" customWidth="1"/>
    <col min="6" max="6" width="12" customWidth="1"/>
    <col min="7" max="7" width="20" customWidth="1"/>
  </cols>
  <sheetData>
    <row r="1" spans="1:7" ht="36" customHeight="1" x14ac:dyDescent="0.55000000000000004">
      <c r="A1" s="140" t="s">
        <v>127</v>
      </c>
      <c r="B1" s="109"/>
      <c r="C1" s="109"/>
      <c r="D1" s="109"/>
      <c r="E1" s="109"/>
      <c r="F1" s="109"/>
      <c r="G1" s="109"/>
    </row>
    <row r="2" spans="1:7" ht="20.05" customHeight="1" x14ac:dyDescent="0.55000000000000004">
      <c r="A2" s="123" t="s">
        <v>128</v>
      </c>
      <c r="B2" s="124"/>
      <c r="C2" s="124"/>
      <c r="D2" s="124"/>
      <c r="E2" s="124"/>
      <c r="F2" s="124"/>
      <c r="G2" s="124"/>
    </row>
    <row r="3" spans="1:7" ht="5.05" customHeight="1" x14ac:dyDescent="0.55000000000000004">
      <c r="A3" s="1"/>
      <c r="B3" s="1"/>
      <c r="C3" s="1"/>
      <c r="D3" s="1"/>
      <c r="E3" s="1"/>
      <c r="F3" s="1"/>
      <c r="G3" s="1"/>
    </row>
    <row r="4" spans="1:7" ht="22" customHeight="1" x14ac:dyDescent="0.55000000000000004">
      <c r="A4" s="130" t="s">
        <v>129</v>
      </c>
      <c r="B4" s="131"/>
      <c r="C4" s="131"/>
      <c r="D4" s="131"/>
      <c r="E4" s="131"/>
      <c r="F4" s="131"/>
      <c r="G4" s="131"/>
    </row>
    <row r="5" spans="1:7" ht="22" customHeight="1" x14ac:dyDescent="0.55000000000000004">
      <c r="A5" s="134" t="s">
        <v>130</v>
      </c>
      <c r="B5" s="88"/>
      <c r="C5" s="88"/>
      <c r="D5" s="32" t="str">
        <f>'VERİ GİRİŞİ'!E14</f>
        <v>OK - Hesaplanabilir</v>
      </c>
      <c r="E5" s="107" t="s">
        <v>131</v>
      </c>
      <c r="F5" s="88"/>
      <c r="G5" s="88"/>
    </row>
    <row r="6" spans="1:7" ht="22" customHeight="1" x14ac:dyDescent="0.55000000000000004">
      <c r="A6" s="135" t="s">
        <v>132</v>
      </c>
      <c r="B6" s="92"/>
      <c r="C6" s="92"/>
      <c r="D6" s="32" t="str">
        <f>'VERİ GİRİŞİ'!E8</f>
        <v>EVET</v>
      </c>
      <c r="E6" s="94" t="s">
        <v>133</v>
      </c>
      <c r="F6" s="92"/>
      <c r="G6" s="92"/>
    </row>
    <row r="7" spans="1:7" ht="22" customHeight="1" x14ac:dyDescent="0.55000000000000004">
      <c r="A7" s="134" t="s">
        <v>134</v>
      </c>
      <c r="B7" s="88"/>
      <c r="C7" s="88"/>
      <c r="D7" s="32" t="str">
        <f>'VERİ GİRİŞİ'!E10</f>
        <v>EVET</v>
      </c>
      <c r="E7" s="107" t="s">
        <v>135</v>
      </c>
      <c r="F7" s="88"/>
      <c r="G7" s="88"/>
    </row>
    <row r="8" spans="1:7" ht="22" customHeight="1" x14ac:dyDescent="0.55000000000000004">
      <c r="A8" s="135" t="s">
        <v>136</v>
      </c>
      <c r="B8" s="92"/>
      <c r="C8" s="92"/>
      <c r="D8" s="32" t="str">
        <f>'VERİ GİRİŞİ'!E11</f>
        <v>EVET</v>
      </c>
      <c r="E8" s="94" t="s">
        <v>137</v>
      </c>
      <c r="F8" s="92"/>
      <c r="G8" s="92"/>
    </row>
    <row r="9" spans="1:7" ht="22" customHeight="1" x14ac:dyDescent="0.55000000000000004">
      <c r="A9" s="126" t="s">
        <v>138</v>
      </c>
      <c r="B9" s="96"/>
      <c r="C9" s="96"/>
      <c r="D9" s="33">
        <f>'VERİ GİRİŞİ'!C52</f>
        <v>0</v>
      </c>
      <c r="E9" s="119"/>
      <c r="F9" s="96"/>
      <c r="G9" s="96"/>
    </row>
    <row r="10" spans="1:7" ht="22" customHeight="1" x14ac:dyDescent="0.55000000000000004">
      <c r="A10" s="138" t="s">
        <v>139</v>
      </c>
      <c r="B10" s="128"/>
      <c r="C10" s="128"/>
      <c r="D10" s="34" t="s">
        <v>140</v>
      </c>
      <c r="E10" s="127" t="s">
        <v>141</v>
      </c>
      <c r="F10" s="128"/>
      <c r="G10" s="128"/>
    </row>
    <row r="11" spans="1:7" ht="5.05" customHeight="1" x14ac:dyDescent="0.55000000000000004">
      <c r="A11" s="1"/>
      <c r="B11" s="1"/>
      <c r="C11" s="1"/>
      <c r="D11" s="1"/>
      <c r="E11" s="1"/>
      <c r="F11" s="1"/>
      <c r="G11" s="1"/>
    </row>
    <row r="12" spans="1:7" ht="22" customHeight="1" x14ac:dyDescent="0.55000000000000004">
      <c r="A12" s="108" t="s">
        <v>142</v>
      </c>
      <c r="B12" s="109"/>
      <c r="C12" s="109"/>
      <c r="D12" s="109"/>
      <c r="E12" s="109"/>
      <c r="F12" s="109"/>
      <c r="G12" s="109"/>
    </row>
    <row r="13" spans="1:7" ht="18" customHeight="1" x14ac:dyDescent="0.55000000000000004">
      <c r="A13" s="12" t="s">
        <v>143</v>
      </c>
      <c r="B13" s="12" t="s">
        <v>144</v>
      </c>
      <c r="C13" s="12" t="s">
        <v>145</v>
      </c>
      <c r="D13" s="12" t="s">
        <v>110</v>
      </c>
      <c r="E13" s="12" t="s">
        <v>114</v>
      </c>
      <c r="F13" s="12" t="s">
        <v>146</v>
      </c>
      <c r="G13" s="12" t="s">
        <v>97</v>
      </c>
    </row>
    <row r="14" spans="1:7" ht="22" customHeight="1" x14ac:dyDescent="0.55000000000000004">
      <c r="A14" s="35" t="s">
        <v>147</v>
      </c>
      <c r="B14" s="36" t="s">
        <v>148</v>
      </c>
      <c r="C14" s="36" t="s">
        <v>149</v>
      </c>
      <c r="D14" s="36" t="s">
        <v>150</v>
      </c>
      <c r="E14" s="36" t="s">
        <v>151</v>
      </c>
      <c r="F14" s="36" t="s">
        <v>147</v>
      </c>
      <c r="G14" s="29" t="s">
        <v>152</v>
      </c>
    </row>
    <row r="15" spans="1:7" ht="22" customHeight="1" x14ac:dyDescent="0.55000000000000004">
      <c r="A15" s="37" t="s">
        <v>153</v>
      </c>
      <c r="B15" s="38" t="s">
        <v>154</v>
      </c>
      <c r="C15" s="38" t="s">
        <v>155</v>
      </c>
      <c r="D15" s="38" t="s">
        <v>156</v>
      </c>
      <c r="E15" s="38" t="s">
        <v>157</v>
      </c>
      <c r="F15" s="38" t="s">
        <v>153</v>
      </c>
      <c r="G15" s="29" t="s">
        <v>152</v>
      </c>
    </row>
    <row r="16" spans="1:7" ht="22" customHeight="1" x14ac:dyDescent="0.55000000000000004">
      <c r="A16" s="39" t="s">
        <v>158</v>
      </c>
      <c r="B16" s="36" t="s">
        <v>154</v>
      </c>
      <c r="C16" s="36" t="s">
        <v>159</v>
      </c>
      <c r="D16" s="36" t="s">
        <v>160</v>
      </c>
      <c r="E16" s="36" t="s">
        <v>115</v>
      </c>
      <c r="F16" s="36" t="s">
        <v>158</v>
      </c>
      <c r="G16" s="29" t="s">
        <v>152</v>
      </c>
    </row>
    <row r="17" spans="1:7" ht="22" customHeight="1" x14ac:dyDescent="0.55000000000000004">
      <c r="A17" s="40" t="s">
        <v>161</v>
      </c>
      <c r="B17" s="38" t="s">
        <v>154</v>
      </c>
      <c r="C17" s="38" t="s">
        <v>162</v>
      </c>
      <c r="D17" s="38" t="s">
        <v>163</v>
      </c>
      <c r="E17" s="38" t="s">
        <v>164</v>
      </c>
      <c r="F17" s="38" t="s">
        <v>161</v>
      </c>
      <c r="G17" s="29" t="s">
        <v>152</v>
      </c>
    </row>
    <row r="18" spans="1:7" ht="22" customHeight="1" x14ac:dyDescent="0.55000000000000004">
      <c r="A18" s="41" t="s">
        <v>165</v>
      </c>
      <c r="B18" s="36" t="s">
        <v>154</v>
      </c>
      <c r="C18" s="36" t="s">
        <v>166</v>
      </c>
      <c r="D18" s="36" t="s">
        <v>167</v>
      </c>
      <c r="E18" s="36" t="s">
        <v>164</v>
      </c>
      <c r="F18" s="36" t="s">
        <v>165</v>
      </c>
      <c r="G18" s="29" t="s">
        <v>152</v>
      </c>
    </row>
    <row r="19" spans="1:7" ht="22" customHeight="1" x14ac:dyDescent="0.55000000000000004">
      <c r="A19" s="42" t="s">
        <v>168</v>
      </c>
      <c r="B19" s="38" t="s">
        <v>169</v>
      </c>
      <c r="C19" s="38" t="s">
        <v>170</v>
      </c>
      <c r="D19" s="38" t="s">
        <v>150</v>
      </c>
      <c r="E19" s="38" t="s">
        <v>151</v>
      </c>
      <c r="F19" s="38" t="s">
        <v>168</v>
      </c>
      <c r="G19" s="29" t="s">
        <v>152</v>
      </c>
    </row>
    <row r="20" spans="1:7" ht="22" customHeight="1" x14ac:dyDescent="0.55000000000000004">
      <c r="A20" s="43" t="s">
        <v>171</v>
      </c>
      <c r="B20" s="36" t="s">
        <v>169</v>
      </c>
      <c r="C20" s="36" t="s">
        <v>172</v>
      </c>
      <c r="D20" s="36" t="s">
        <v>160</v>
      </c>
      <c r="E20" s="36" t="s">
        <v>115</v>
      </c>
      <c r="F20" s="36" t="s">
        <v>171</v>
      </c>
      <c r="G20" s="29" t="s">
        <v>152</v>
      </c>
    </row>
    <row r="21" spans="1:7" ht="22" customHeight="1" x14ac:dyDescent="0.55000000000000004">
      <c r="A21" s="44" t="s">
        <v>173</v>
      </c>
      <c r="B21" s="38" t="s">
        <v>169</v>
      </c>
      <c r="C21" s="38" t="s">
        <v>174</v>
      </c>
      <c r="D21" s="38" t="s">
        <v>163</v>
      </c>
      <c r="E21" s="38" t="s">
        <v>164</v>
      </c>
      <c r="F21" s="38" t="s">
        <v>173</v>
      </c>
      <c r="G21" s="29" t="s">
        <v>152</v>
      </c>
    </row>
    <row r="22" spans="1:7" ht="22" customHeight="1" x14ac:dyDescent="0.55000000000000004">
      <c r="A22" s="45" t="s">
        <v>175</v>
      </c>
      <c r="B22" s="36" t="s">
        <v>169</v>
      </c>
      <c r="C22" s="36" t="s">
        <v>176</v>
      </c>
      <c r="D22" s="36" t="s">
        <v>167</v>
      </c>
      <c r="E22" s="36" t="s">
        <v>164</v>
      </c>
      <c r="F22" s="36" t="s">
        <v>175</v>
      </c>
      <c r="G22" s="29" t="s">
        <v>152</v>
      </c>
    </row>
    <row r="23" spans="1:7" ht="22" customHeight="1" x14ac:dyDescent="0.55000000000000004">
      <c r="A23" s="46" t="s">
        <v>177</v>
      </c>
      <c r="B23" s="47" t="s">
        <v>178</v>
      </c>
      <c r="C23" s="47" t="s">
        <v>179</v>
      </c>
      <c r="D23" s="47" t="s">
        <v>150</v>
      </c>
      <c r="E23" s="47" t="s">
        <v>151</v>
      </c>
      <c r="F23" s="47" t="s">
        <v>177</v>
      </c>
      <c r="G23" s="29" t="s">
        <v>152</v>
      </c>
    </row>
    <row r="24" spans="1:7" ht="22" customHeight="1" x14ac:dyDescent="0.55000000000000004">
      <c r="A24" s="48" t="s">
        <v>180</v>
      </c>
      <c r="B24" s="27" t="s">
        <v>178</v>
      </c>
      <c r="C24" s="27" t="s">
        <v>181</v>
      </c>
      <c r="D24" s="27" t="s">
        <v>160</v>
      </c>
      <c r="E24" s="27" t="s">
        <v>115</v>
      </c>
      <c r="F24" s="27" t="s">
        <v>180</v>
      </c>
      <c r="G24" s="29" t="s">
        <v>152</v>
      </c>
    </row>
    <row r="25" spans="1:7" ht="5.05" customHeight="1" x14ac:dyDescent="0.55000000000000004">
      <c r="A25" s="1"/>
      <c r="B25" s="1"/>
      <c r="C25" s="1"/>
      <c r="D25" s="1"/>
      <c r="E25" s="1"/>
      <c r="F25" s="1"/>
      <c r="G25" s="1"/>
    </row>
    <row r="26" spans="1:7" ht="22" customHeight="1" x14ac:dyDescent="0.55000000000000004">
      <c r="A26" s="108" t="s">
        <v>182</v>
      </c>
      <c r="B26" s="109"/>
      <c r="C26" s="109"/>
      <c r="D26" s="109"/>
      <c r="E26" s="109"/>
      <c r="F26" s="109"/>
      <c r="G26" s="109"/>
    </row>
    <row r="27" spans="1:7" ht="18" customHeight="1" x14ac:dyDescent="0.55000000000000004">
      <c r="A27" s="2"/>
      <c r="B27" s="2" t="s">
        <v>183</v>
      </c>
      <c r="C27" s="2"/>
      <c r="D27" s="2" t="s">
        <v>40</v>
      </c>
      <c r="E27" s="2"/>
      <c r="F27" s="2" t="s">
        <v>184</v>
      </c>
      <c r="G27" s="2"/>
    </row>
    <row r="28" spans="1:7" ht="22" customHeight="1" x14ac:dyDescent="0.55000000000000004">
      <c r="A28" s="49" t="s">
        <v>185</v>
      </c>
      <c r="B28" s="141" t="s">
        <v>186</v>
      </c>
      <c r="C28" s="90"/>
      <c r="D28" s="136" t="s">
        <v>187</v>
      </c>
      <c r="E28" s="137"/>
      <c r="F28" s="51" t="s">
        <v>188</v>
      </c>
      <c r="G28" s="3"/>
    </row>
    <row r="29" spans="1:7" ht="22" customHeight="1" x14ac:dyDescent="0.55000000000000004">
      <c r="A29" s="49" t="s">
        <v>189</v>
      </c>
      <c r="B29" s="141" t="s">
        <v>190</v>
      </c>
      <c r="C29" s="90"/>
      <c r="D29" s="136" t="s">
        <v>191</v>
      </c>
      <c r="E29" s="137"/>
      <c r="F29" s="51" t="s">
        <v>188</v>
      </c>
      <c r="G29" s="5"/>
    </row>
    <row r="30" spans="1:7" ht="22" customHeight="1" x14ac:dyDescent="0.55000000000000004">
      <c r="A30" s="49" t="s">
        <v>192</v>
      </c>
      <c r="B30" s="141" t="s">
        <v>193</v>
      </c>
      <c r="C30" s="90"/>
      <c r="D30" s="136" t="s">
        <v>194</v>
      </c>
      <c r="E30" s="137"/>
      <c r="F30" s="51" t="s">
        <v>188</v>
      </c>
      <c r="G30" s="3"/>
    </row>
    <row r="31" spans="1:7" ht="22" customHeight="1" x14ac:dyDescent="0.55000000000000004">
      <c r="A31" s="49" t="s">
        <v>195</v>
      </c>
      <c r="B31" s="132" t="s">
        <v>196</v>
      </c>
      <c r="C31" s="88"/>
      <c r="D31" s="133" t="s">
        <v>197</v>
      </c>
      <c r="E31" s="88"/>
      <c r="F31" s="51" t="s">
        <v>188</v>
      </c>
      <c r="G31" s="5"/>
    </row>
    <row r="32" spans="1:7" ht="22" customHeight="1" x14ac:dyDescent="0.55000000000000004">
      <c r="A32" s="49" t="s">
        <v>198</v>
      </c>
      <c r="B32" s="141" t="s">
        <v>199</v>
      </c>
      <c r="C32" s="90"/>
      <c r="D32" s="136" t="s">
        <v>200</v>
      </c>
      <c r="E32" s="137"/>
      <c r="F32" s="51" t="s">
        <v>188</v>
      </c>
      <c r="G32" s="3"/>
    </row>
    <row r="33" spans="1:7" ht="22" customHeight="1" x14ac:dyDescent="0.55000000000000004">
      <c r="A33" s="49" t="s">
        <v>201</v>
      </c>
      <c r="B33" s="132" t="s">
        <v>202</v>
      </c>
      <c r="C33" s="88"/>
      <c r="D33" s="133" t="s">
        <v>203</v>
      </c>
      <c r="E33" s="88"/>
      <c r="F33" s="51" t="s">
        <v>188</v>
      </c>
      <c r="G33" s="5"/>
    </row>
    <row r="34" spans="1:7" ht="22" customHeight="1" x14ac:dyDescent="0.55000000000000004">
      <c r="A34" s="49" t="s">
        <v>204</v>
      </c>
      <c r="B34" s="139" t="s">
        <v>205</v>
      </c>
      <c r="C34" s="92"/>
      <c r="D34" s="129" t="s">
        <v>206</v>
      </c>
      <c r="E34" s="92"/>
      <c r="F34" s="51" t="s">
        <v>188</v>
      </c>
      <c r="G34" s="3"/>
    </row>
    <row r="35" spans="1:7" ht="22" customHeight="1" x14ac:dyDescent="0.55000000000000004">
      <c r="A35" s="54" t="s">
        <v>207</v>
      </c>
      <c r="B35" s="142" t="s">
        <v>208</v>
      </c>
      <c r="C35" s="143"/>
      <c r="D35" s="144" t="s">
        <v>209</v>
      </c>
      <c r="E35" s="145"/>
      <c r="F35" s="51" t="s">
        <v>188</v>
      </c>
      <c r="G35" s="5"/>
    </row>
    <row r="36" spans="1:7" ht="22" customHeight="1" x14ac:dyDescent="0.55000000000000004">
      <c r="A36" s="49" t="s">
        <v>210</v>
      </c>
      <c r="B36" s="139" t="s">
        <v>211</v>
      </c>
      <c r="C36" s="92"/>
      <c r="D36" s="129" t="s">
        <v>212</v>
      </c>
      <c r="E36" s="92"/>
      <c r="F36" s="51" t="s">
        <v>188</v>
      </c>
      <c r="G36" s="3"/>
    </row>
    <row r="37" spans="1:7" ht="22" customHeight="1" x14ac:dyDescent="0.55000000000000004">
      <c r="A37" s="49" t="s">
        <v>213</v>
      </c>
      <c r="B37" s="132" t="s">
        <v>214</v>
      </c>
      <c r="C37" s="88"/>
      <c r="D37" s="133" t="s">
        <v>215</v>
      </c>
      <c r="E37" s="88"/>
      <c r="F37" s="51" t="s">
        <v>188</v>
      </c>
      <c r="G37" s="5"/>
    </row>
    <row r="38" spans="1:7" ht="22" customHeight="1" x14ac:dyDescent="0.55000000000000004">
      <c r="A38" s="49" t="s">
        <v>216</v>
      </c>
      <c r="B38" s="139" t="s">
        <v>217</v>
      </c>
      <c r="C38" s="92"/>
      <c r="D38" s="129" t="s">
        <v>218</v>
      </c>
      <c r="E38" s="92"/>
      <c r="F38" s="51" t="s">
        <v>188</v>
      </c>
      <c r="G38" s="3"/>
    </row>
    <row r="39" spans="1:7" ht="22" customHeight="1" x14ac:dyDescent="0.55000000000000004">
      <c r="A39" s="49" t="s">
        <v>219</v>
      </c>
      <c r="B39" s="132" t="s">
        <v>220</v>
      </c>
      <c r="C39" s="88"/>
      <c r="D39" s="133" t="s">
        <v>20</v>
      </c>
      <c r="E39" s="88"/>
      <c r="F39" s="51" t="s">
        <v>188</v>
      </c>
      <c r="G39" s="5"/>
    </row>
  </sheetData>
  <mergeCells count="41">
    <mergeCell ref="A2:G2"/>
    <mergeCell ref="B32:C32"/>
    <mergeCell ref="D38:E38"/>
    <mergeCell ref="A7:C7"/>
    <mergeCell ref="B35:C35"/>
    <mergeCell ref="D35:E35"/>
    <mergeCell ref="A1:G1"/>
    <mergeCell ref="B29:C29"/>
    <mergeCell ref="B34:C34"/>
    <mergeCell ref="B37:C37"/>
    <mergeCell ref="B28:C28"/>
    <mergeCell ref="D37:E37"/>
    <mergeCell ref="A9:C9"/>
    <mergeCell ref="D28:E28"/>
    <mergeCell ref="B30:C30"/>
    <mergeCell ref="D30:E30"/>
    <mergeCell ref="B33:C33"/>
    <mergeCell ref="E5:G5"/>
    <mergeCell ref="D33:E33"/>
    <mergeCell ref="D29:E29"/>
    <mergeCell ref="A6:C6"/>
    <mergeCell ref="E8:G8"/>
    <mergeCell ref="D36:E36"/>
    <mergeCell ref="D31:E31"/>
    <mergeCell ref="E6:G6"/>
    <mergeCell ref="B39:C39"/>
    <mergeCell ref="A5:C5"/>
    <mergeCell ref="A8:C8"/>
    <mergeCell ref="D32:E32"/>
    <mergeCell ref="E7:G7"/>
    <mergeCell ref="A10:C10"/>
    <mergeCell ref="B38:C38"/>
    <mergeCell ref="D39:E39"/>
    <mergeCell ref="A12:G12"/>
    <mergeCell ref="A26:G26"/>
    <mergeCell ref="B36:C36"/>
    <mergeCell ref="E10:G10"/>
    <mergeCell ref="D34:E34"/>
    <mergeCell ref="A4:G4"/>
    <mergeCell ref="E9:G9"/>
    <mergeCell ref="B31:C31"/>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48" t="s">
        <v>221</v>
      </c>
      <c r="B1" s="109"/>
      <c r="C1" s="109"/>
      <c r="D1" s="109"/>
      <c r="E1" s="109"/>
      <c r="F1" s="109"/>
      <c r="G1" s="109"/>
    </row>
    <row r="2" spans="1:7" ht="20.05" customHeight="1" x14ac:dyDescent="0.55000000000000004">
      <c r="A2" s="152" t="s">
        <v>222</v>
      </c>
      <c r="B2" s="124"/>
      <c r="C2" s="124"/>
      <c r="D2" s="124"/>
      <c r="E2" s="124"/>
      <c r="F2" s="124"/>
      <c r="G2" s="124"/>
    </row>
    <row r="4" spans="1:7" ht="26.05" customHeight="1" x14ac:dyDescent="0.55000000000000004">
      <c r="A4" s="108" t="s">
        <v>223</v>
      </c>
      <c r="B4" s="109"/>
      <c r="C4" s="109"/>
      <c r="D4" s="109"/>
      <c r="E4" s="109"/>
      <c r="F4" s="109"/>
      <c r="G4" s="109"/>
    </row>
    <row r="5" spans="1:7" ht="18" customHeight="1" x14ac:dyDescent="0.55000000000000004">
      <c r="A5" s="58"/>
      <c r="B5" s="58" t="s">
        <v>224</v>
      </c>
      <c r="C5" s="58" t="s">
        <v>225</v>
      </c>
      <c r="D5" s="58" t="s">
        <v>226</v>
      </c>
      <c r="E5" s="58" t="s">
        <v>227</v>
      </c>
      <c r="F5" s="58" t="s">
        <v>228</v>
      </c>
      <c r="G5" s="58" t="s">
        <v>229</v>
      </c>
    </row>
    <row r="6" spans="1:7" ht="26.05" customHeight="1" x14ac:dyDescent="0.55000000000000004">
      <c r="A6" s="59" t="s">
        <v>227</v>
      </c>
      <c r="B6" s="59" t="s">
        <v>230</v>
      </c>
      <c r="C6" s="59" t="s">
        <v>231</v>
      </c>
      <c r="D6" s="59" t="s">
        <v>232</v>
      </c>
      <c r="E6" s="59" t="s">
        <v>233</v>
      </c>
      <c r="F6" s="59" t="s">
        <v>74</v>
      </c>
      <c r="G6" s="59" t="s">
        <v>234</v>
      </c>
    </row>
    <row r="7" spans="1:7" ht="26.05" customHeight="1" x14ac:dyDescent="0.55000000000000004">
      <c r="A7" s="60" t="s">
        <v>228</v>
      </c>
      <c r="B7" s="60" t="s">
        <v>230</v>
      </c>
      <c r="C7" s="60" t="s">
        <v>235</v>
      </c>
      <c r="D7" s="60" t="s">
        <v>236</v>
      </c>
      <c r="E7" s="60" t="s">
        <v>74</v>
      </c>
      <c r="F7" s="60" t="s">
        <v>233</v>
      </c>
      <c r="G7" s="60" t="s">
        <v>237</v>
      </c>
    </row>
    <row r="8" spans="1:7" ht="20.05" customHeight="1" x14ac:dyDescent="0.55000000000000004">
      <c r="A8" s="151" t="s">
        <v>238</v>
      </c>
      <c r="B8" s="92"/>
      <c r="C8" s="92"/>
      <c r="D8" s="92"/>
      <c r="E8" s="92"/>
      <c r="F8" s="92"/>
      <c r="G8" s="92"/>
    </row>
    <row r="9" spans="1:7" ht="26.05" customHeight="1" x14ac:dyDescent="0.55000000000000004">
      <c r="A9" s="108" t="s">
        <v>239</v>
      </c>
      <c r="B9" s="109"/>
      <c r="C9" s="109"/>
      <c r="D9" s="109"/>
      <c r="E9" s="109"/>
      <c r="F9" s="109"/>
      <c r="G9" s="109"/>
    </row>
    <row r="10" spans="1:7" ht="18" customHeight="1" x14ac:dyDescent="0.55000000000000004">
      <c r="A10" s="58"/>
      <c r="B10" s="58" t="s">
        <v>224</v>
      </c>
      <c r="C10" s="58" t="s">
        <v>225</v>
      </c>
      <c r="D10" s="58" t="s">
        <v>226</v>
      </c>
      <c r="E10" s="58" t="s">
        <v>227</v>
      </c>
      <c r="F10" s="58" t="s">
        <v>228</v>
      </c>
      <c r="G10" s="58" t="s">
        <v>229</v>
      </c>
    </row>
    <row r="11" spans="1:7" ht="24" customHeight="1" x14ac:dyDescent="0.55000000000000004">
      <c r="A11" s="59" t="s">
        <v>227</v>
      </c>
      <c r="B11" s="59" t="s">
        <v>240</v>
      </c>
      <c r="C11" s="59" t="s">
        <v>241</v>
      </c>
      <c r="D11" s="59" t="s">
        <v>242</v>
      </c>
      <c r="E11" s="59" t="s">
        <v>233</v>
      </c>
      <c r="F11" s="59" t="s">
        <v>74</v>
      </c>
      <c r="G11" s="59" t="s">
        <v>243</v>
      </c>
    </row>
    <row r="12" spans="1:7" ht="24" customHeight="1" x14ac:dyDescent="0.55000000000000004">
      <c r="A12" s="60" t="s">
        <v>228</v>
      </c>
      <c r="B12" s="60" t="s">
        <v>240</v>
      </c>
      <c r="C12" s="60" t="s">
        <v>231</v>
      </c>
      <c r="D12" s="60" t="s">
        <v>244</v>
      </c>
      <c r="E12" s="60" t="s">
        <v>74</v>
      </c>
      <c r="F12" s="60" t="s">
        <v>233</v>
      </c>
      <c r="G12" s="60" t="s">
        <v>245</v>
      </c>
    </row>
    <row r="13" spans="1:7" ht="26.05" customHeight="1" x14ac:dyDescent="0.55000000000000004">
      <c r="A13" s="146" t="s">
        <v>246</v>
      </c>
      <c r="B13" s="147"/>
      <c r="C13" s="147"/>
      <c r="D13" s="147"/>
      <c r="E13" s="147"/>
      <c r="F13" s="147"/>
      <c r="G13" s="147"/>
    </row>
    <row r="14" spans="1:7" ht="18" customHeight="1" x14ac:dyDescent="0.55000000000000004">
      <c r="A14" s="58"/>
      <c r="B14" s="58" t="s">
        <v>224</v>
      </c>
      <c r="C14" s="58" t="s">
        <v>225</v>
      </c>
      <c r="D14" s="58" t="s">
        <v>226</v>
      </c>
      <c r="E14" s="58" t="s">
        <v>227</v>
      </c>
      <c r="F14" s="58" t="s">
        <v>228</v>
      </c>
      <c r="G14" s="58" t="s">
        <v>229</v>
      </c>
    </row>
    <row r="15" spans="1:7" ht="22" customHeight="1" x14ac:dyDescent="0.55000000000000004">
      <c r="A15" s="59" t="s">
        <v>158</v>
      </c>
      <c r="B15" s="59" t="s">
        <v>247</v>
      </c>
      <c r="C15" s="59" t="s">
        <v>160</v>
      </c>
      <c r="D15" s="59" t="s">
        <v>248</v>
      </c>
      <c r="E15" s="59" t="s">
        <v>74</v>
      </c>
      <c r="F15" s="59" t="s">
        <v>249</v>
      </c>
      <c r="G15" s="59" t="s">
        <v>250</v>
      </c>
    </row>
    <row r="16" spans="1:7" ht="22" customHeight="1" x14ac:dyDescent="0.55000000000000004">
      <c r="A16" s="60" t="s">
        <v>171</v>
      </c>
      <c r="B16" s="60" t="s">
        <v>247</v>
      </c>
      <c r="C16" s="60" t="s">
        <v>160</v>
      </c>
      <c r="D16" s="60" t="s">
        <v>251</v>
      </c>
      <c r="E16" s="60" t="s">
        <v>74</v>
      </c>
      <c r="F16" s="60" t="s">
        <v>252</v>
      </c>
      <c r="G16" s="60" t="s">
        <v>253</v>
      </c>
    </row>
    <row r="17" spans="1:7" ht="22" customHeight="1" x14ac:dyDescent="0.55000000000000004">
      <c r="A17" s="59" t="s">
        <v>180</v>
      </c>
      <c r="B17" s="59" t="s">
        <v>247</v>
      </c>
      <c r="C17" s="59" t="s">
        <v>160</v>
      </c>
      <c r="D17" s="59" t="s">
        <v>254</v>
      </c>
      <c r="E17" s="59" t="s">
        <v>74</v>
      </c>
      <c r="F17" s="59" t="s">
        <v>255</v>
      </c>
      <c r="G17" s="59" t="s">
        <v>237</v>
      </c>
    </row>
    <row r="18" spans="1:7" ht="36" customHeight="1" x14ac:dyDescent="0.55000000000000004">
      <c r="A18" s="149" t="s">
        <v>256</v>
      </c>
      <c r="B18" s="150"/>
      <c r="C18" s="150"/>
      <c r="D18" s="150"/>
      <c r="E18" s="150"/>
      <c r="F18" s="150"/>
      <c r="G18" s="150"/>
    </row>
  </sheetData>
  <mergeCells count="7">
    <mergeCell ref="A13:G13"/>
    <mergeCell ref="A1:G1"/>
    <mergeCell ref="A9:G9"/>
    <mergeCell ref="A18:G18"/>
    <mergeCell ref="A8:G8"/>
    <mergeCell ref="A4:G4"/>
    <mergeCell ref="A2:G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6" customHeight="1" x14ac:dyDescent="0.55000000000000004">
      <c r="A1" s="156" t="s">
        <v>257</v>
      </c>
      <c r="B1" s="109"/>
      <c r="C1" s="109"/>
      <c r="D1" s="109"/>
      <c r="E1" s="109"/>
      <c r="F1" s="109"/>
      <c r="G1" s="109"/>
    </row>
    <row r="2" spans="1:7" ht="22" customHeight="1" x14ac:dyDescent="0.55000000000000004">
      <c r="A2" s="154" t="s">
        <v>258</v>
      </c>
      <c r="B2" s="155"/>
      <c r="C2" s="155"/>
      <c r="D2" s="155"/>
      <c r="E2" s="155"/>
      <c r="F2" s="155"/>
      <c r="G2" s="155"/>
    </row>
    <row r="3" spans="1:7" ht="18" customHeight="1" x14ac:dyDescent="0.55000000000000004">
      <c r="A3" s="58" t="s">
        <v>143</v>
      </c>
      <c r="B3" s="58" t="s">
        <v>259</v>
      </c>
      <c r="C3" s="58" t="s">
        <v>260</v>
      </c>
      <c r="D3" s="58" t="s">
        <v>261</v>
      </c>
    </row>
    <row r="4" spans="1:7" ht="72" customHeight="1" x14ac:dyDescent="0.55000000000000004">
      <c r="A4" s="49" t="s">
        <v>262</v>
      </c>
      <c r="B4" s="53" t="s">
        <v>263</v>
      </c>
      <c r="C4" s="61" t="s">
        <v>264</v>
      </c>
      <c r="D4" s="62" t="s">
        <v>265</v>
      </c>
    </row>
    <row r="5" spans="1:7" ht="64" customHeight="1" x14ac:dyDescent="0.55000000000000004">
      <c r="A5" s="54" t="s">
        <v>266</v>
      </c>
      <c r="B5" s="63" t="s">
        <v>267</v>
      </c>
      <c r="C5" s="50" t="s">
        <v>268</v>
      </c>
      <c r="D5" s="64" t="s">
        <v>269</v>
      </c>
    </row>
    <row r="6" spans="1:7" ht="56.05" customHeight="1" x14ac:dyDescent="0.55000000000000004">
      <c r="A6" s="54" t="s">
        <v>270</v>
      </c>
      <c r="B6" s="65" t="s">
        <v>271</v>
      </c>
      <c r="C6" s="50" t="s">
        <v>272</v>
      </c>
      <c r="D6" s="66" t="s">
        <v>273</v>
      </c>
    </row>
    <row r="7" spans="1:7" ht="56.05" customHeight="1" x14ac:dyDescent="0.55000000000000004">
      <c r="A7" s="49" t="s">
        <v>274</v>
      </c>
      <c r="B7" s="53" t="s">
        <v>275</v>
      </c>
      <c r="C7" s="61" t="s">
        <v>276</v>
      </c>
      <c r="D7" s="62" t="s">
        <v>277</v>
      </c>
    </row>
    <row r="8" spans="1:7" ht="72" customHeight="1" x14ac:dyDescent="0.55000000000000004">
      <c r="A8" s="49" t="s">
        <v>278</v>
      </c>
      <c r="B8" s="52" t="s">
        <v>279</v>
      </c>
      <c r="C8" s="61" t="s">
        <v>280</v>
      </c>
      <c r="D8" s="67" t="s">
        <v>281</v>
      </c>
    </row>
    <row r="9" spans="1:7" ht="40" customHeight="1" x14ac:dyDescent="0.55000000000000004">
      <c r="A9" s="153" t="s">
        <v>282</v>
      </c>
      <c r="B9" s="122"/>
      <c r="C9" s="122"/>
      <c r="D9" s="122"/>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6" ht="38.049999999999997" customHeight="1" x14ac:dyDescent="0.55000000000000004">
      <c r="A1" s="159" t="s">
        <v>283</v>
      </c>
      <c r="B1" s="160"/>
      <c r="C1" s="160"/>
      <c r="D1" s="160"/>
      <c r="E1" s="160"/>
      <c r="F1" s="160"/>
    </row>
    <row r="2" spans="1:6" ht="22" customHeight="1" x14ac:dyDescent="0.55000000000000004">
      <c r="A2" s="157" t="s">
        <v>284</v>
      </c>
      <c r="B2" s="158"/>
      <c r="C2" s="158"/>
      <c r="D2" s="158"/>
      <c r="E2" s="158"/>
      <c r="F2" s="158"/>
    </row>
    <row r="3" spans="1:6" ht="5.05" customHeight="1" x14ac:dyDescent="0.55000000000000004">
      <c r="A3" s="1"/>
      <c r="B3" s="1"/>
      <c r="C3" s="1"/>
      <c r="D3" s="1"/>
      <c r="E3" s="1"/>
      <c r="F3" s="1"/>
    </row>
    <row r="4" spans="1:6" ht="36" customHeight="1" x14ac:dyDescent="0.55000000000000004">
      <c r="A4" s="165" t="s">
        <v>285</v>
      </c>
      <c r="B4" s="166"/>
      <c r="C4" s="166"/>
      <c r="D4" s="166"/>
      <c r="E4" s="166"/>
      <c r="F4" s="166"/>
    </row>
    <row r="5" spans="1:6" ht="18" customHeight="1" x14ac:dyDescent="0.55000000000000004">
      <c r="A5" s="58"/>
      <c r="B5" s="58" t="s">
        <v>286</v>
      </c>
      <c r="C5" s="58" t="s">
        <v>287</v>
      </c>
      <c r="D5" s="58" t="s">
        <v>40</v>
      </c>
      <c r="E5" s="58" t="s">
        <v>288</v>
      </c>
      <c r="F5" s="58"/>
    </row>
    <row r="6" spans="1:6" ht="36" customHeight="1" x14ac:dyDescent="0.55000000000000004">
      <c r="A6" s="6"/>
      <c r="B6" s="68" t="s">
        <v>289</v>
      </c>
      <c r="C6" s="69" t="s">
        <v>290</v>
      </c>
      <c r="D6" s="70" t="s">
        <v>291</v>
      </c>
      <c r="E6" s="71" t="s">
        <v>44</v>
      </c>
      <c r="F6" s="6"/>
    </row>
    <row r="7" spans="1:6" ht="36" customHeight="1" x14ac:dyDescent="0.55000000000000004">
      <c r="A7" s="6"/>
      <c r="B7" s="68" t="s">
        <v>169</v>
      </c>
      <c r="C7" s="69" t="s">
        <v>292</v>
      </c>
      <c r="D7" s="70" t="s">
        <v>293</v>
      </c>
      <c r="E7" s="71" t="s">
        <v>294</v>
      </c>
      <c r="F7" s="6"/>
    </row>
    <row r="8" spans="1:6" ht="32.049999999999997" customHeight="1" x14ac:dyDescent="0.55000000000000004">
      <c r="A8" s="6"/>
      <c r="B8" s="68" t="s">
        <v>178</v>
      </c>
      <c r="C8" s="69" t="s">
        <v>295</v>
      </c>
      <c r="D8" s="70" t="s">
        <v>296</v>
      </c>
      <c r="E8" s="71" t="s">
        <v>297</v>
      </c>
      <c r="F8" s="6"/>
    </row>
    <row r="9" spans="1:6" ht="28" customHeight="1" x14ac:dyDescent="0.55000000000000004">
      <c r="A9" s="6"/>
      <c r="B9" s="68" t="s">
        <v>298</v>
      </c>
      <c r="C9" s="69" t="s">
        <v>299</v>
      </c>
      <c r="D9" s="70" t="s">
        <v>300</v>
      </c>
      <c r="E9" s="71" t="s">
        <v>301</v>
      </c>
      <c r="F9" s="6"/>
    </row>
    <row r="10" spans="1:6" ht="28" customHeight="1" x14ac:dyDescent="0.55000000000000004">
      <c r="A10" s="6"/>
      <c r="B10" s="68" t="s">
        <v>302</v>
      </c>
      <c r="C10" s="69" t="s">
        <v>303</v>
      </c>
      <c r="D10" s="70" t="s">
        <v>304</v>
      </c>
      <c r="E10" s="71" t="s">
        <v>305</v>
      </c>
      <c r="F10" s="6"/>
    </row>
    <row r="11" spans="1:6" ht="5.05" customHeight="1" x14ac:dyDescent="0.55000000000000004">
      <c r="A11" s="1"/>
      <c r="B11" s="1"/>
      <c r="C11" s="1"/>
      <c r="D11" s="1"/>
      <c r="E11" s="1"/>
      <c r="F11" s="1"/>
    </row>
    <row r="12" spans="1:6" ht="36" customHeight="1" x14ac:dyDescent="0.55000000000000004">
      <c r="A12" s="163" t="s">
        <v>306</v>
      </c>
      <c r="B12" s="164"/>
      <c r="C12" s="164"/>
      <c r="D12" s="164"/>
      <c r="E12" s="164"/>
      <c r="F12" s="164"/>
    </row>
    <row r="13" spans="1:6" ht="18" customHeight="1" x14ac:dyDescent="0.55000000000000004">
      <c r="A13" s="58"/>
      <c r="B13" s="58" t="s">
        <v>286</v>
      </c>
      <c r="C13" s="58" t="s">
        <v>287</v>
      </c>
      <c r="D13" s="58" t="s">
        <v>40</v>
      </c>
      <c r="E13" s="58" t="s">
        <v>288</v>
      </c>
      <c r="F13" s="58"/>
    </row>
    <row r="14" spans="1:6" ht="28" customHeight="1" x14ac:dyDescent="0.55000000000000004">
      <c r="A14" s="72"/>
      <c r="B14" s="73" t="s">
        <v>307</v>
      </c>
      <c r="C14" s="74" t="s">
        <v>308</v>
      </c>
      <c r="D14" s="75" t="s">
        <v>309</v>
      </c>
      <c r="E14" s="76" t="s">
        <v>294</v>
      </c>
      <c r="F14" s="72"/>
    </row>
    <row r="15" spans="1:6" ht="28" customHeight="1" x14ac:dyDescent="0.55000000000000004">
      <c r="A15" s="72"/>
      <c r="B15" s="73" t="s">
        <v>310</v>
      </c>
      <c r="C15" s="74" t="s">
        <v>311</v>
      </c>
      <c r="D15" s="75" t="s">
        <v>312</v>
      </c>
      <c r="E15" s="76" t="s">
        <v>313</v>
      </c>
      <c r="F15" s="72"/>
    </row>
    <row r="16" spans="1:6" ht="5.05" customHeight="1" x14ac:dyDescent="0.55000000000000004">
      <c r="A16" s="1"/>
      <c r="B16" s="1"/>
      <c r="C16" s="1"/>
      <c r="D16" s="1"/>
      <c r="E16" s="1"/>
      <c r="F16" s="1"/>
    </row>
    <row r="17" spans="1:6" ht="36" customHeight="1" x14ac:dyDescent="0.55000000000000004">
      <c r="A17" s="161" t="s">
        <v>314</v>
      </c>
      <c r="B17" s="162"/>
      <c r="C17" s="162"/>
      <c r="D17" s="162"/>
      <c r="E17" s="162"/>
      <c r="F17" s="162"/>
    </row>
    <row r="18" spans="1:6" ht="18" customHeight="1" x14ac:dyDescent="0.55000000000000004">
      <c r="A18" s="77"/>
      <c r="B18" s="77" t="s">
        <v>286</v>
      </c>
      <c r="C18" s="77" t="s">
        <v>5</v>
      </c>
      <c r="D18" s="77" t="s">
        <v>315</v>
      </c>
      <c r="E18" s="77" t="s">
        <v>316</v>
      </c>
      <c r="F18" s="77"/>
    </row>
    <row r="19" spans="1:6" ht="32.049999999999997" customHeight="1" x14ac:dyDescent="0.55000000000000004">
      <c r="A19" s="57"/>
      <c r="B19" s="78" t="s">
        <v>317</v>
      </c>
      <c r="C19" s="65" t="s">
        <v>186</v>
      </c>
      <c r="D19" s="79" t="s">
        <v>318</v>
      </c>
      <c r="E19" s="80" t="s">
        <v>319</v>
      </c>
      <c r="F19" s="57"/>
    </row>
    <row r="20" spans="1:6" ht="32.049999999999997" customHeight="1" x14ac:dyDescent="0.55000000000000004">
      <c r="A20" s="57"/>
      <c r="B20" s="78" t="s">
        <v>320</v>
      </c>
      <c r="C20" s="65" t="s">
        <v>321</v>
      </c>
      <c r="D20" s="79" t="s">
        <v>322</v>
      </c>
      <c r="E20" s="80" t="s">
        <v>319</v>
      </c>
      <c r="F20" s="57"/>
    </row>
    <row r="21" spans="1:6" ht="32.049999999999997" customHeight="1" x14ac:dyDescent="0.55000000000000004">
      <c r="A21" s="57"/>
      <c r="B21" s="78" t="s">
        <v>323</v>
      </c>
      <c r="C21" s="65" t="s">
        <v>324</v>
      </c>
      <c r="D21" s="79" t="s">
        <v>325</v>
      </c>
      <c r="E21" s="80" t="s">
        <v>319</v>
      </c>
      <c r="F21" s="57"/>
    </row>
    <row r="22" spans="1:6" ht="32.049999999999997" customHeight="1" x14ac:dyDescent="0.55000000000000004">
      <c r="A22" s="57"/>
      <c r="B22" s="78" t="s">
        <v>326</v>
      </c>
      <c r="C22" s="65" t="s">
        <v>327</v>
      </c>
      <c r="D22" s="79" t="s">
        <v>328</v>
      </c>
      <c r="E22" s="80" t="s">
        <v>319</v>
      </c>
      <c r="F22" s="57"/>
    </row>
    <row r="23" spans="1:6" ht="32.049999999999997" customHeight="1" x14ac:dyDescent="0.55000000000000004">
      <c r="A23" s="72"/>
      <c r="B23" s="81" t="s">
        <v>329</v>
      </c>
      <c r="C23" s="82" t="s">
        <v>330</v>
      </c>
      <c r="D23" s="75" t="s">
        <v>331</v>
      </c>
      <c r="E23" s="83" t="s">
        <v>319</v>
      </c>
      <c r="F23" s="72"/>
    </row>
    <row r="24" spans="1:6" ht="32.049999999999997" customHeight="1" x14ac:dyDescent="0.55000000000000004">
      <c r="A24" s="72"/>
      <c r="B24" s="81" t="s">
        <v>332</v>
      </c>
      <c r="C24" s="82" t="s">
        <v>205</v>
      </c>
      <c r="D24" s="75" t="s">
        <v>333</v>
      </c>
      <c r="E24" s="83" t="s">
        <v>319</v>
      </c>
      <c r="F24" s="72"/>
    </row>
    <row r="25" spans="1:6" ht="32.049999999999997" customHeight="1" x14ac:dyDescent="0.55000000000000004">
      <c r="A25" s="56"/>
      <c r="B25" s="84" t="s">
        <v>334</v>
      </c>
      <c r="C25" s="55" t="s">
        <v>208</v>
      </c>
      <c r="D25" s="85" t="s">
        <v>335</v>
      </c>
      <c r="E25" s="86" t="s">
        <v>319</v>
      </c>
      <c r="F25" s="56"/>
    </row>
    <row r="26" spans="1:6" ht="32.049999999999997" customHeight="1" x14ac:dyDescent="0.55000000000000004">
      <c r="A26" s="57"/>
      <c r="B26" s="78" t="s">
        <v>336</v>
      </c>
      <c r="C26" s="65" t="s">
        <v>337</v>
      </c>
      <c r="D26" s="79" t="s">
        <v>212</v>
      </c>
      <c r="E26" s="80" t="s">
        <v>319</v>
      </c>
      <c r="F26" s="57"/>
    </row>
    <row r="27" spans="1:6" ht="32.049999999999997" customHeight="1" x14ac:dyDescent="0.55000000000000004">
      <c r="A27" s="72"/>
      <c r="B27" s="81" t="s">
        <v>338</v>
      </c>
      <c r="C27" s="82" t="s">
        <v>214</v>
      </c>
      <c r="D27" s="75" t="s">
        <v>215</v>
      </c>
      <c r="E27" s="83" t="s">
        <v>319</v>
      </c>
      <c r="F27" s="72"/>
    </row>
    <row r="28" spans="1:6" ht="32.049999999999997" customHeight="1" x14ac:dyDescent="0.55000000000000004">
      <c r="A28" s="72"/>
      <c r="B28" s="81" t="s">
        <v>339</v>
      </c>
      <c r="C28" s="82" t="s">
        <v>220</v>
      </c>
      <c r="D28" s="75" t="s">
        <v>20</v>
      </c>
      <c r="E28" s="83" t="s">
        <v>319</v>
      </c>
      <c r="F28" s="72"/>
    </row>
    <row r="29" spans="1:6" ht="5.05" customHeight="1" x14ac:dyDescent="0.55000000000000004">
      <c r="A29" s="1"/>
      <c r="B29" s="1"/>
      <c r="C29" s="1"/>
      <c r="D29" s="1"/>
      <c r="E29" s="1"/>
      <c r="F29" s="1"/>
    </row>
    <row r="30" spans="1:6" ht="52" customHeight="1" x14ac:dyDescent="0.55000000000000004">
      <c r="A30" s="153" t="s">
        <v>340</v>
      </c>
      <c r="B30" s="122"/>
      <c r="C30" s="122"/>
      <c r="D30" s="122"/>
      <c r="E30" s="122"/>
      <c r="F30" s="122"/>
    </row>
  </sheetData>
  <mergeCells count="6">
    <mergeCell ref="A30:F30"/>
    <mergeCell ref="A2:F2"/>
    <mergeCell ref="A1:F1"/>
    <mergeCell ref="A17:F17"/>
    <mergeCell ref="A12:F12"/>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2026-04-05T14:50:38Z</dcterms:created>
  <dcterms:modified xsi:type="dcterms:W3CDTF">2026-04-05T14:55:45Z</dcterms:modified>
</cp:coreProperties>
</file>