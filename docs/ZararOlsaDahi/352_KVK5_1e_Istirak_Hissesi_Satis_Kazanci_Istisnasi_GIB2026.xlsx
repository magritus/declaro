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B395ABBE-7C6B-40E6-87B2-EF5BDC49F7C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D10" i="2"/>
  <c r="D9" i="2"/>
  <c r="E87" i="1"/>
  <c r="C71" i="1"/>
  <c r="C67" i="1"/>
  <c r="C66" i="1"/>
  <c r="C65" i="1"/>
  <c r="C64" i="1"/>
  <c r="C62" i="1"/>
  <c r="D13" i="2"/>
  <c r="D8" i="2"/>
  <c r="C61" i="1"/>
  <c r="C60" i="1"/>
  <c r="C59" i="1"/>
  <c r="C46" i="1"/>
  <c r="C47" i="1" s="1"/>
  <c r="D6" i="2" s="1"/>
  <c r="E18" i="1"/>
  <c r="D5" i="2" s="1"/>
  <c r="D7" i="2" l="1"/>
</calcChain>
</file>

<file path=xl/sharedStrings.xml><?xml version="1.0" encoding="utf-8"?>
<sst xmlns="http://schemas.openxmlformats.org/spreadsheetml/2006/main" count="545" uniqueCount="438">
  <si>
    <t>352 – İŞTİRAK HİSSESİ SATIŞ KAZANCI İSTİSNASI | KVK Md.5/1-e | GİB REHBERİ MART 2026 (YAYIN NO:601) | YMM TASDİK ÇALIŞMA KÂĞIDI</t>
  </si>
  <si>
    <t>KVK Md.5/1-e | %75 → %50 (9160 s.CB Kararı, 27/11/2024) | 2 Yıl Aktifinde | FIFO | Menkul Kıymet Ticareti Yasağı | 549 Fon (5 Yıl) | Rüçhan/Kurucu/İntifa/GS Fonu | KDVK 17/4-r | Beyanname 352</t>
  </si>
  <si>
    <t xml:space="preserve">  GİB REHBERİ MART 2026 — İŞTİRAK HİSSESİ SATIŞ KAZANCI İSTİSNA ORAN DEĞİŞİMİ</t>
  </si>
  <si>
    <t>%75</t>
  </si>
  <si>
    <t>27/11/2024 TARİHİNDEN ÖNCE gerçekleştirilen iştirak hissesi satışları</t>
  </si>
  <si>
    <t>%50</t>
  </si>
  <si>
    <t>9160 SAYILI CB KARARI ile 27/11/2024 TARİHİNDEN İTİBAREN (bu tarih dahil) satışlar</t>
  </si>
  <si>
    <t xml:space="preserve">  KAPSAM: İştirak hisseleri (A.Ş. payları, Ltd. payları, Koop. payları, İş Ort. payları) + Kurucu senetleri + İntifa senetleri + Rüçhan hakları + KVK 5/1-a kapsamı GS Yatırım Fonu katılma payları</t>
  </si>
  <si>
    <t>A0. KAPSAM VE NİTELİK UYGUNLUK ÖN KONTROLÜ — GİB Rehberi Mart 2026 Bölüm B</t>
  </si>
  <si>
    <t>Kontrol Sorusu</t>
  </si>
  <si>
    <t>Yanıt</t>
  </si>
  <si>
    <t>YMM Tasdik Notu</t>
  </si>
  <si>
    <t>A0.1  Satılan varlık türü nedir?</t>
  </si>
  <si>
    <t>İştirak Hissesi (Ortaklık Payı)</t>
  </si>
  <si>
    <t>Beyanname 352. SPK fonlarının katılma belgeleri iştirak hissesi sayılmaz (GİB Rehberi Md.2).</t>
  </si>
  <si>
    <t>A0.2  ★ Satış tarihi 27/11/2024 öncesi mi sonrası mı?</t>
  </si>
  <si>
    <t>27/11/2024 SONRASI → %50</t>
  </si>
  <si>
    <t>9160 s. CB Kararı: 27/11/2024 tarihinden itibaren istisna oranı %50 olarak belirlenmiştir.</t>
  </si>
  <si>
    <t>A0.3  ★ 2 Tam Yıl (730 Gün) Aktifinde Bulundurma şartı sağlandı mı?</t>
  </si>
  <si>
    <t>EVET</t>
  </si>
  <si>
    <t>2 yıl (730 gün) aktifinde bulundurma zorunlu. Aynı kuruma farklı tarihlerde alınan hisseler → FIFO uygulanır.</t>
  </si>
  <si>
    <t>A0.4  ★ Menkul kıymet ticareti ile uğraşılmıyor mu? İştirak amaçlı elde tutuluyor mu?</t>
  </si>
  <si>
    <t>EVET — İştirak Amaçlı</t>
  </si>
  <si>
    <t>Menkul kıymet ticareti yapan mükelleflerde ticari amaçlı hisseler kapsam dışı. Holding: 24-Mali Duran Varlıklar'dakiler istisna kapsamında.</t>
  </si>
  <si>
    <t>A0.5  İstisna edilen kazanç süresi içinde 549 Özel Fonlar hesabına alınacak mı?</t>
  </si>
  <si>
    <t>Satışı izleyen hesap döneminin başından KV beyan süresine kadar 549'a alınmalı. 5 yıl tutulacak.</t>
  </si>
  <si>
    <t>A0.6  KDV istisnası (KDVK 17/4-r) değerlendirildi mi?</t>
  </si>
  <si>
    <t>İştirak hissesi satışında KDV istisnası 15/7/2023 tarihinden ETKİLENMEZ — süresiz devam eder.</t>
  </si>
  <si>
    <t>A0.7  YİAKV matrahında 352 istisnasının etkisi analiz edildi mi?</t>
  </si>
  <si>
    <t>KVK 5/1-e iştirak hissesi istisnası YİAKV (KVK 32/C) matrahından DÜŞÜLEMEZ — matrahta kalır.</t>
  </si>
  <si>
    <t>A0.8  YMM Tasdik Raporu gereksinimi değerlendirildi mi? (49 No.lu Tebliğ)</t>
  </si>
  <si>
    <t>&gt;=500.000 TL → YMM raporu. KV beyannamesi ile birlikte veya 2 ay içinde elektronik. Tam tasdik → Ayrıca rapor yok.</t>
  </si>
  <si>
    <t>A0.9  Tasdik Uygunluk Sonucu</t>
  </si>
  <si>
    <t>★ A0.3 (2 yıl), A0.4 (MK ticareti yasağı), A0.5 (549 fon)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</si>
  <si>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</si>
  <si>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</si>
  <si>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</si>
  <si>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</si>
  <si>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</si>
  <si>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</si>
  <si>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Örn: 01.01.2025 – 31.12.2025</t>
  </si>
  <si>
    <t>KV Oranı (%)</t>
  </si>
  <si>
    <t>2025: %25</t>
  </si>
  <si>
    <t>Dosya Referansı</t>
  </si>
  <si>
    <t>YMM-2025/İŞT-01</t>
  </si>
  <si>
    <t>B. SATIŞA KONU İŞTİRAK HİSSESİ / DEĞER — KİMLİK VE NİTELİK KONTROLÜ</t>
  </si>
  <si>
    <t xml:space="preserve">  GİB Rehberi Mart 2026 Bölüm B: İştirak hisseleri, rüçhan hakları, kurucu senetleri, intifa senetleri, GS fonu katılma payları.</t>
  </si>
  <si>
    <t>Parametre</t>
  </si>
  <si>
    <t>Değer / Seçim</t>
  </si>
  <si>
    <t>Açıklama</t>
  </si>
  <si>
    <t>GİB Rehberi</t>
  </si>
  <si>
    <t>B.1  Satılan Varlığın Türü</t>
  </si>
  <si>
    <t>İştirak Hissesi (A.Ş. Ortaklık Payı)</t>
  </si>
  <si>
    <t>Her türün FIFO ve süre hesabı farklı olabilir</t>
  </si>
  <si>
    <t>GİB Rehberi Bölüm B-I.1-5</t>
  </si>
  <si>
    <t>B.2  İştirak Edilen Şirket Unvanı</t>
  </si>
  <si>
    <t>Hissenin ait olduğu şirket</t>
  </si>
  <si>
    <t>Hisse devir sözleşmesi</t>
  </si>
  <si>
    <t>B.3  Aktife Giriş Türü / İktisap Şekli</t>
  </si>
  <si>
    <t>Satın Alma</t>
  </si>
  <si>
    <t>İktisap şekli süre başlangıcını etkiler</t>
  </si>
  <si>
    <t>GİB Rehberi Bölüm B-I.3-4</t>
  </si>
  <si>
    <t>B.4  Hissenin İzlendiği Muhasebe Hesabı</t>
  </si>
  <si>
    <t>24 — Mali Duran Varlıklar</t>
  </si>
  <si>
    <t>HOLDİNG: 24-Mali Duran Varlıklar → İstisna kapsamı. 11-Menkul Kıymetler → İstisna dışı.</t>
  </si>
  <si>
    <t>GİB Rehberi Md.8</t>
  </si>
  <si>
    <t>B.5  Birim Hisse Sayısı (Satılan)</t>
  </si>
  <si>
    <t>Satılan adet — FIFO hesabı için</t>
  </si>
  <si>
    <t>242/245 kartı</t>
  </si>
  <si>
    <t>B.6  Satış Tarihi</t>
  </si>
  <si>
    <t>GG.AA.YYYY — 27/11/2024 öncesi/sonrası oranı etkiler</t>
  </si>
  <si>
    <t>B.7  Satış Bedeli (TL)</t>
  </si>
  <si>
    <t>Fiili satış bedeli — yabancı para ise TCMB kuru × Miktar</t>
  </si>
  <si>
    <t>GİB Rehberi Md.29</t>
  </si>
  <si>
    <t>B.8  ★ İlk İktisap (Aktife Giriş) Tarihi — FIFO için en eski tarih</t>
  </si>
  <si>
    <t>Aynı kuruma ait farklı tarihlerde alınan hisseler → FIFO uygulanır (GİB Md.6)</t>
  </si>
  <si>
    <t>GİB Rehberi Md.6</t>
  </si>
  <si>
    <t>B.9  Hissenin Defter Değeri / Birim Maliyet (TL)</t>
  </si>
  <si>
    <t>FIFO bazında satılan hissenin birim maliyeti</t>
  </si>
  <si>
    <t>242/245 hesap kartı</t>
  </si>
  <si>
    <t>B.10  Satış Giderleri (Broker, Komisyon, Damga vb., TL)</t>
  </si>
  <si>
    <t>KVK 5/3: Giderlerin vergiye tabi kısma isabet eden payı gider yazılabilir</t>
  </si>
  <si>
    <t>KVK 5/3</t>
  </si>
  <si>
    <t>C. FIFO YÖNTEMİ VE AKTİFTE BULUNDURMA SÜRESİ HESABI (GİB Rehberi Md.6)</t>
  </si>
  <si>
    <t xml:space="preserve">  FIFO: Aynı kuruma ait farklı tarihlerde iktisap edilen hisselerin bir kısmının satışında 'ilk giren ilk çıkar' uygulanır.</t>
  </si>
  <si>
    <t>Hesap Kalemi</t>
  </si>
  <si>
    <t>Değer / Tarih</t>
  </si>
  <si>
    <t>C.1  FIFO Kapsamında: En Eski İktisap Tarihi</t>
  </si>
  <si>
    <t>GG.AA.YYYY — Satılan birimler bu tarihten başlanarak çıkış yapılır</t>
  </si>
  <si>
    <t>GİB Md.6</t>
  </si>
  <si>
    <t>C.2  Satış / Elden Çıkarma Tarihi</t>
  </si>
  <si>
    <t>GG.AA.YYYY — 27/11/2024 öncesi/sonrası oran belirler</t>
  </si>
  <si>
    <t>C.3  FIFO Bazında Elde Tutma Süresi (Gün)</t>
  </si>
  <si>
    <t>Otomatik: C.2 − C.1</t>
  </si>
  <si>
    <t>730 gün eşiği</t>
  </si>
  <si>
    <t>C.4  ★ 2 Tam Yıl (730 Gün) Şartı</t>
  </si>
  <si>
    <t>Otomatik değerlendirme</t>
  </si>
  <si>
    <t>730 gün</t>
  </si>
  <si>
    <t xml:space="preserve">  FIFO VE ÖZEL İKTİSAP TARİHİ KURALLARI (GİB Rehberi Md.3-6):
① Rüçhan hakkı kullanımı (nominal bedelle): Eski hissenin iktisap tarihi esas alınır.
② Bedelsiz hisse (sermaye yedeklerinden): Eski hissenin iktisap tarihi esas — bedel değişmez.
③ Bedelsiz hisse (kâr yedeklerinden): Nominal bedelle iştirak hesaplarında izlenir — fiili aktife giriş tarihi esas.
④ Rüçhan hakkı (nominal dışı bedelle): Fiilen kurumun aktifine girdiği tarih esas.
⑤ Devir/bölünme: Devralınan kurumun iktisap tarihi esas alınır.</t>
  </si>
  <si>
    <t>D. İSTİSNA ORANI BELİRLEME (GİB Rehberi Bölüm B-I.1)</t>
  </si>
  <si>
    <t>Dönem / Durum</t>
  </si>
  <si>
    <t>Satış Tarihi</t>
  </si>
  <si>
    <t>İstisna Oranı</t>
  </si>
  <si>
    <t>Yasal Dayanak</t>
  </si>
  <si>
    <t>27/11/2024 ÖNCESİ satış</t>
  </si>
  <si>
    <t>27/11/2024 Öncesi</t>
  </si>
  <si>
    <t>KVK 5/1-e — Eski</t>
  </si>
  <si>
    <t>27/11/2024 TARİHİNDEN İTİBAREN satış (bu tarih dahil)</t>
  </si>
  <si>
    <t>27/11/2024 ve Sonrası</t>
  </si>
  <si>
    <t>9160 s. CB Kararı — GÜNCEL</t>
  </si>
  <si>
    <t>D.1  Bu satış için geçerli olan istisna oranı:</t>
  </si>
  <si>
    <t>B.6 Satış Tarihi'ne göre yukarıdaki tablodan seçin → E bölümündeki hesapta kullanılacak</t>
  </si>
  <si>
    <t>E. SATIŞ KAZANCI VE İSTİSNA HESABI</t>
  </si>
  <si>
    <t xml:space="preserve">  KAZANÇ = Satış Bedeli − FIFO Bazında Birim Maliyet × Satılan Adet − Satış Giderleri | KVK 5/3: Zarar durumunda zararın %75 veya %50'si KKEG.</t>
  </si>
  <si>
    <t>Tutar (TL)</t>
  </si>
  <si>
    <t>YMM Notu</t>
  </si>
  <si>
    <t>E.1  Satış Bedeli</t>
  </si>
  <si>
    <t>B.7'den otomatik</t>
  </si>
  <si>
    <t>Fiili satış bedeli (GİB Md.29)</t>
  </si>
  <si>
    <t>E.2  FIFO Bazında Birim Maliyet × Satılan Adet</t>
  </si>
  <si>
    <t>B.9 × B.5</t>
  </si>
  <si>
    <t>FIFO yöntemi — en eski iktisap maliyeti esas</t>
  </si>
  <si>
    <t>E.3  Satış Giderleri</t>
  </si>
  <si>
    <t>B.10'dan otomatik</t>
  </si>
  <si>
    <t>Broker, komisyon, damga vb.</t>
  </si>
  <si>
    <t>E.4  SATIŞ KAZANCI (E.1 − E.2 − E.3)</t>
  </si>
  <si>
    <t>Pozitif veya negatif olabilir</t>
  </si>
  <si>
    <t>Negatif ise zarar — zararın istisna oranına denk payı KKEG</t>
  </si>
  <si>
    <t>E.5  Seçilen İstisna Oranı (D.1'den)</t>
  </si>
  <si>
    <t>D.1 seçiminden manuel girin (0.75 veya 0.50)</t>
  </si>
  <si>
    <t>GİB Rehberi D bölümü</t>
  </si>
  <si>
    <t>E.6  ★ İSTİSNA TUTARI (E.4 × Oran — Kazanç varsa)</t>
  </si>
  <si>
    <t>→ Beyanname 352</t>
  </si>
  <si>
    <t>Kazanç varsa istisna hesaplanır</t>
  </si>
  <si>
    <t>E.7  Vergiye Tabi Kısım (E.4 − E.6 — Kazanç varsa)</t>
  </si>
  <si>
    <t>KV matrahına dahil</t>
  </si>
  <si>
    <t>E.8  ZARAR Durumu — İstisna Oranına Denk Pay KKEG</t>
  </si>
  <si>
    <t>Zarar varsa bu kısım KKEG sayılır</t>
  </si>
  <si>
    <t>Zararlı satışta zararın %75/%50'si KKEG</t>
  </si>
  <si>
    <t>E.9  549 FONA ALINACAK TUTAR (= E.6)</t>
  </si>
  <si>
    <t>İstisna edilen kazanç = Fon tutarı</t>
  </si>
  <si>
    <t>549 Özel Fonlar — 5 yıl</t>
  </si>
  <si>
    <t>F. 549 ÖZEL FONLAR HESABI TAKİBİ — 5 YIL ZORUNLU SÜRE (GİB Rehberi Md.19-22)</t>
  </si>
  <si>
    <t>Fon Kalemi</t>
  </si>
  <si>
    <t>Tutar / Tarih</t>
  </si>
  <si>
    <t>F.1  Fona Alınacak Tutar (= E.9)</t>
  </si>
  <si>
    <t>Otomatik</t>
  </si>
  <si>
    <t>İstisna tutarı = Fon tutarı</t>
  </si>
  <si>
    <t>F.2  Fona Alınma Son Tarihi</t>
  </si>
  <si>
    <t>Satışı izleyen hesap döneminin başından KV beyan süresine kadar</t>
  </si>
  <si>
    <t>GG.AA.YYYY — genellikle 30 Nisan</t>
  </si>
  <si>
    <t>F.3  Fon Hesabına Alındı mı?</t>
  </si>
  <si>
    <t>EVET,HAYIR-İstisna Geçersiz</t>
  </si>
  <si>
    <t>549 hesabına kayıt yoksa istisna tamamen geçersiz</t>
  </si>
  <si>
    <t>F.4  5 Yıl Tutma Süresi Sonu</t>
  </si>
  <si>
    <t>Satış yılından itibaren 5. yıl sonu</t>
  </si>
  <si>
    <t>GG.AA.YYYY</t>
  </si>
  <si>
    <t>F.5  Fon Hesabından Erken Çekim Riski</t>
  </si>
  <si>
    <t>Yok</t>
  </si>
  <si>
    <t>Yok,Var-Risk,Tasfiye-Risk</t>
  </si>
  <si>
    <t>Tasfiye = Otomatik çekim → Vergi ziyaı. İflas erteleme = İstisna yok.</t>
  </si>
  <si>
    <t>F.6  Satış Bedeli Tahsil Durumu (2. Takvim Yılı Sonu)</t>
  </si>
  <si>
    <t>Satışı izleyen ikinci takvim yılı sonuna kadar tahsil</t>
  </si>
  <si>
    <t>GG.AA.YYYY — Tahsil edilmezse vergi ziyaı</t>
  </si>
  <si>
    <t>F.7  Tahsil Aracı Türü (GİB Md.25)</t>
  </si>
  <si>
    <t>Nakit</t>
  </si>
  <si>
    <t>Nakit,Altın (2 Yıl İçinde Nakde),Devlet Tahvili (2 Yıl İçinde Nakde),Hazine Bonosu (2 Yıl İçinde Nakde),BİST Hisse Senedi (2 Yıl İçinde Nakde)</t>
  </si>
  <si>
    <t>Nakit veya belirtilen araçlar — 2 yıl içinde nakde çevrilmeli</t>
  </si>
  <si>
    <t>G. KDV BOYUTU — KDVK Md.17/4-r (İŞTİRAK HİSSESİNDE 15/7/2023 SINIRI YOK)</t>
  </si>
  <si>
    <t xml:space="preserve">  İştirak hissesi satışında KDVK 17/4-r KDV istisnası 15/7/2023 tarihinden ETKİLENMEZ — süresiz devam eder (taşınmaz istisnasından farklı).</t>
  </si>
  <si>
    <t>KDV Kontrol</t>
  </si>
  <si>
    <t>Değerlendirme</t>
  </si>
  <si>
    <t>KDVK</t>
  </si>
  <si>
    <t>G.1  Satıcı KDV Mükellefi mi?</t>
  </si>
  <si>
    <t>KDV mükellefiyeti yoksa bu bölüm uygulanmaz.</t>
  </si>
  <si>
    <t>G.2  Satılan varlık iştirak hissesi kapsamında mı?</t>
  </si>
  <si>
    <t>SPK fonları katılma belgeleri iştirak hissesi sayılmaz.</t>
  </si>
  <si>
    <t>KDVK 17/4-r</t>
  </si>
  <si>
    <t>G.3  KDV İstisnası Uygulanacak mı?</t>
  </si>
  <si>
    <t>G.1=EVET ve G.2=EVET ise KDV istisnası uygulanır. İştirak hissesinde 15/7/2023 sınırı yoktur.</t>
  </si>
  <si>
    <t>H. BEYANNAME SATIR 352 — İŞTİRAK HİSSESİ SATIŞ KAZANCI İSTİSNASI</t>
  </si>
  <si>
    <t>H.1  TOPLAM İSTİSNA → Beyanname Satır 352 (Kazancın Bulunması Halinde)</t>
  </si>
  <si>
    <t>E.6 — %75 veya %50 × Satış Kazancı</t>
  </si>
  <si>
    <t xml:space="preserve">  KRİTİK UYARILAR:
(1) 352 — 'KAZANCIN BULUNMASI HALİNDE İNDİRİLECEK' — dönemde zarar varsa istisna uygulanamaz.
(2) ZARAR durumunda: Zararın istisna oranına (%75/%50) denk gelen kısmı KKEG sayılır (E.8).
(3) Menkul kıymet ticareti yapan mükelleflerde ticari amaçlı hisseler kapsam dışı (GİB Md.7).
(4) Holding şirketler: 11-Menkul Kıymetler hesabındaki hisseler kapsam dışı, 24-Mali Duran Varlıklar kapsamında (GİB Md.8).
(5) Grup şirketleri arası satışta nakit girişi zorunlu — ayni sermaye devri istisna kapsamı dışı.
(6) YİAKV (KVK 32/C) matrahından bu istisna DÜŞÜLEMEZ — matrahta kalır.</t>
  </si>
  <si>
    <t>352 – İŞTİRAK HİSSESİ SATIŞ KAZANCI İSTİSNASI | HESAPLAMALAR VE DENETİM</t>
  </si>
  <si>
    <t>GİB Rehberi Mart 2026 (Yayın No:601) | %75→%50 (27/11/2024 CB Kararı) | FIFO | Menkul Kıymet Ticareti Yasağı | Holding | 549 Fon | KDVK 17/4-r | Beyanname 352</t>
  </si>
  <si>
    <t>A. TASDİK ÖZETİ</t>
  </si>
  <si>
    <t>A0 Uygunluk</t>
  </si>
  <si>
    <t>OK ise devam</t>
  </si>
  <si>
    <t>2 Yıl FIFO Şartı (C.4)</t>
  </si>
  <si>
    <t>730 gün EVET</t>
  </si>
  <si>
    <t>Elde Tutma (Gün)</t>
  </si>
  <si>
    <t>730 eşiği</t>
  </si>
  <si>
    <t>İstisna Oranı (D.1)</t>
  </si>
  <si>
    <t>Seçilen oran</t>
  </si>
  <si>
    <t>Satış Kazancı (E.4)</t>
  </si>
  <si>
    <t>Kazanç veya Zarar</t>
  </si>
  <si>
    <t>352 İSTİSNA (E.6)</t>
  </si>
  <si>
    <t>ZARAR KKEG (E.8)</t>
  </si>
  <si>
    <t>Zarar durumunda</t>
  </si>
  <si>
    <t>549 Fon (F.1)</t>
  </si>
  <si>
    <t>5 yıl tutulacak</t>
  </si>
  <si>
    <t>KDV İstisnası (G.3)</t>
  </si>
  <si>
    <t>Süresiz devam</t>
  </si>
  <si>
    <t>B. İŞTİRAK HİSSESİ — ÖZEL KONULAR MATRİSİ (GİB Rehberi Mart 2026 Bölüm B)</t>
  </si>
  <si>
    <t>Konu</t>
  </si>
  <si>
    <t>Kural / GİB Rehberi</t>
  </si>
  <si>
    <t>Risk</t>
  </si>
  <si>
    <t>FIFO Yöntemi</t>
  </si>
  <si>
    <t>Aynı kuruma ait farklı tarihlerde alınan hisselerin bir kısmı satılırsa: İlk giren ilk çıkar (FIFO). En eski iktisap tarihi esas.</t>
  </si>
  <si>
    <t>OK</t>
  </si>
  <si>
    <t>Rüçhan Hakkı — Nominal Bedel</t>
  </si>
  <si>
    <t>Rüçhan hakkı kullanımıyla nominal bedelle yeni hisse → Eski hissenin iktisap tarihi esas.</t>
  </si>
  <si>
    <t>GİB Md.3-4</t>
  </si>
  <si>
    <t>Rüçhan Hakkı — Nominal Dışı Bedel</t>
  </si>
  <si>
    <t>Nominal dışı bedelle rüçhan hakkı → Fiili aktife giriş tarihi esas.</t>
  </si>
  <si>
    <t>GİB Md.4</t>
  </si>
  <si>
    <t>Bedelsiz Hisse (Sermaye Yedeklerinden)</t>
  </si>
  <si>
    <t>Bedelsiz hisse aktif ve pasifi artırmaz — eski tarih esas. Bedelde değişme olmaz.</t>
  </si>
  <si>
    <t>GİB Md.9</t>
  </si>
  <si>
    <t>Bedelsiz Hisse (Kâr Yedeklerinden)</t>
  </si>
  <si>
    <t>Nominal bedelle iştirak hesabına. Fiili aktife giriş tarihi esas. İştirak kazancı istisnası nedeniyle KV'ye tabi olmaz.</t>
  </si>
  <si>
    <t>Dikkat</t>
  </si>
  <si>
    <t>Menkul Kıymet Ticareti Yasağı</t>
  </si>
  <si>
    <t>MK ticareti yapanlar: Ticari amaçlı hisseler kapsam dışı. İştirak amaçlı (yönetim/politika belirleme) hisseler kapsamda.</t>
  </si>
  <si>
    <t>GİB Md.7</t>
  </si>
  <si>
    <t>Holding Şirketler</t>
  </si>
  <si>
    <t>24-Mali Duran Varlıklar → İstisna kapsamı. 11-Menkul Kıymetler → İstisna dışı. Esas faaliyet iştirak olan holding için özel kural.</t>
  </si>
  <si>
    <t>GİB Md.8</t>
  </si>
  <si>
    <t>Zarar Durumunda KKEG</t>
  </si>
  <si>
    <t>İştirak hissesi zararlı satılırsa: Zararın istisna oranına (%75/%50) denk gelen kısmı KKEG sayılır.</t>
  </si>
  <si>
    <t>GS Yatırım Fonu Katılma Payı</t>
  </si>
  <si>
    <t>SPK'dan izinli girişim sermayesi fonları. Katılma payları satış kazancına %75/%50 istisna. SPK fonları katılma belgeleri hariç.</t>
  </si>
  <si>
    <t>GİB Md.5</t>
  </si>
  <si>
    <t>KDV İstisnası — 15/7/2023 Sınırı YOK</t>
  </si>
  <si>
    <t>İştirak hissesi KDV istisnası taşınmazdan farklı: 15/7/2023 sınırından ETKİLENMEZ. Süresiz devam.</t>
  </si>
  <si>
    <t>C. DENETİM KONTROL LİSTESİ (K1–K14) — İŞTİRAK HİSSESİ SATIŞI</t>
  </si>
  <si>
    <t>Kontrol</t>
  </si>
  <si>
    <t>Açıklama / GİB Rehberi</t>
  </si>
  <si>
    <t>Sonuç</t>
  </si>
  <si>
    <t>K1</t>
  </si>
  <si>
    <t>★ İstisna oranı doğru mu? 27/11/2024 öncesi/sonrası ayrımı yapıldı mı?</t>
  </si>
  <si>
    <t>9160 s. CB Kararı: 27/11/2024+ → %50. Öncesi → %75. Satış tarihi kritik.</t>
  </si>
  <si>
    <t>Uygun/Eksik/Risk</t>
  </si>
  <si>
    <t>K2</t>
  </si>
  <si>
    <t>★ 2 Tam Yıl (730 gün) FIFO bazında şartı sağlandı mı?</t>
  </si>
  <si>
    <t>FIFO: En eski iktisap tarihinden itibaren sayılır. Birden fazla alım varsa her birini ayrı kontrol et.</t>
  </si>
  <si>
    <t>K3</t>
  </si>
  <si>
    <t>★ Menkul kıymet ticareti yasağı kontrol edildi mi?</t>
  </si>
  <si>
    <t>GİB Md.7: Ticari amaçlı hisseler kapsam dışı. İştirak amaçlı (yönetim/politika belirleme) kapsam içi.</t>
  </si>
  <si>
    <t>K4</t>
  </si>
  <si>
    <t>Holding şirket ise hisse hangi hesapta izleniyor?</t>
  </si>
  <si>
    <t>GİB Md.8: 24-Mali Duran Varlıklar → Kapsamda. 11-Menkul Kıymetler → Kapsam dışı.</t>
  </si>
  <si>
    <t>K5</t>
  </si>
  <si>
    <t>FIFO uygulaması doğru mu? Birden fazla farklı tarihlerde alım varsa?</t>
  </si>
  <si>
    <t>GİB Md.6: Aynı kuruma farklı tarihlerde alınan hisseler → FIFO. En eski önce çıkar.</t>
  </si>
  <si>
    <t>K6</t>
  </si>
  <si>
    <t>Rüçhan hakkı kullanımında iktisap tarihi doğru belirlendi mi?</t>
  </si>
  <si>
    <t>GİB Md.3-4: Nominal bedelle → Eski hissenin tarihi. Nominal dışı bedelle → Fiili aktife giriş tarihi.</t>
  </si>
  <si>
    <t>K7</t>
  </si>
  <si>
    <t>Bedelsiz hisselerin iktisap tarihi ve maliyeti doğru mu?</t>
  </si>
  <si>
    <t>GİB Md.9: Sermaye yedeklerinden → Eski tarih, bedel değişmez. Kâr yedeklerinden → Aktife giriş tarihi.</t>
  </si>
  <si>
    <t>K8</t>
  </si>
  <si>
    <t>Satış bedelinin fiili satış bedeli olduğu teyit edildi mi?</t>
  </si>
  <si>
    <t>GİB Md.29: Fiili bedel esas. KVK Md.13: İlişkili kişi satışında emsal bedel.</t>
  </si>
  <si>
    <t>K9</t>
  </si>
  <si>
    <t>Grup şirketleri satışında nakit girişi sağlandı mı?</t>
  </si>
  <si>
    <t>Nakit girişi olmayan satış veya ayni sermaye devri → İstisna uygulanmaz.</t>
  </si>
  <si>
    <t>K10</t>
  </si>
  <si>
    <t>★ Satış bedeli 2. takvim yılı sonuna kadar tahsil edilecek mi?</t>
  </si>
  <si>
    <t>Nakit veya Altın/DT/HB/BİST hisseleri (2 yıl içinde nakde). Tahsil edilmezse → Vergi ziyaı.</t>
  </si>
  <si>
    <t>K11</t>
  </si>
  <si>
    <t>★ İstisna tutarı (E.6) süresi içinde 549 hesabına alındı mı?</t>
  </si>
  <si>
    <t>Satışı izleyen dönem KV beyan süresi içinde. Fon kaydı yoksa istisna tamamen geçersiz.</t>
  </si>
  <si>
    <t>K12</t>
  </si>
  <si>
    <t>Zarar durumunda KKEG hesabı yapıldı mı? (E.8)</t>
  </si>
  <si>
    <t>Zararlı satışta zararın %75/%50'si (istisna oranı) KKEG. Kalan kısım indirilir.</t>
  </si>
  <si>
    <t>K13</t>
  </si>
  <si>
    <t>KDV 17/4-r istisnası uygulandı mı? (İştirak hissesinde 15/7/2023 sınırı yok)</t>
  </si>
  <si>
    <t>İştirak hissesi KDV istisnası taşınmaz gibi 15/7/2023'den etkilenmez — süresiz devam.</t>
  </si>
  <si>
    <t>K14</t>
  </si>
  <si>
    <t>Beyanname 352 'Kazancın Bulunması Halinde' bölümünde mi? YMM raporu?</t>
  </si>
  <si>
    <t>352 → 'Kazancın Bulunması Halinde'. Zarar varsa istisna uygulanamaz. &gt;=500.000 TL → YMM raporu.</t>
  </si>
  <si>
    <t>352 – İŞTİRAK HİSSESİ SATIŞ KAZANCI İSTİSNASI | MUHASEBE KAYITLARI</t>
  </si>
  <si>
    <t>GİB Rehberi Mart 2026 | %75/%50 Oran | FIFO | 549 Fon | KDVK 17/4-r Süresiz | Zarar Durumu KKEG</t>
  </si>
  <si>
    <t xml:space="preserve">  NOT: Aşağıdaki kayıtlar örnek niteliğindedir. Şirkete özgü muhasebe politikasına göre uyarlanmalıdır.</t>
  </si>
  <si>
    <t>KAYIT 1 — İŞTİRAK HİSSESİ SATIŞ KAYDI (KAZANÇ DURUMU — GİB Rehberi Md.29)</t>
  </si>
  <si>
    <t>Tarih</t>
  </si>
  <si>
    <t>Hesap</t>
  </si>
  <si>
    <t>Not</t>
  </si>
  <si>
    <t>Dr</t>
  </si>
  <si>
    <t>Kr</t>
  </si>
  <si>
    <t>Ref</t>
  </si>
  <si>
    <t>[Satış Tarihi]</t>
  </si>
  <si>
    <t>102 Bankalar / 120 Alıcılar</t>
  </si>
  <si>
    <t>İştirak hissesi satış bedelinin tahsilatı</t>
  </si>
  <si>
    <t>[Satış Bedeli]</t>
  </si>
  <si>
    <t>—</t>
  </si>
  <si>
    <t>Sözleşme+Banka</t>
  </si>
  <si>
    <t>242 İştirakler / 245 Bağlı Ortaklıklar</t>
  </si>
  <si>
    <t>İştirak hissesinin FIFO bazında defter değeriyle aktiften çıkışı</t>
  </si>
  <si>
    <t>[Defter Değeri FIFO]</t>
  </si>
  <si>
    <t>679 Diğer Olağandışı Kâr ve Gelirler</t>
  </si>
  <si>
    <t>Satış kazancı (E.4) — KVK 5/1-e | %75/%50 → Beyanname 352</t>
  </si>
  <si>
    <t>[E.4 TL]</t>
  </si>
  <si>
    <t>KV 352</t>
  </si>
  <si>
    <t xml:space="preserve">  ★ ORAN NOTU: 27/11/2024 ÖNCESİ satış → %75 istisna. 27/11/2024 SONRASI satış → %50 istisna (9160 s. CB Kararı).</t>
  </si>
  <si>
    <t xml:space="preserve">  ★ KDV NOTU: İştirak hissesi satışında KDVK 17/4-r istisnası 15/7/2023 tarihinden ETKİLENMEZ — KDV istisnası süresiz devam eder.</t>
  </si>
  <si>
    <t>KAYIT 2 — 549 ÖZEL FONLAR HESABINA ALMA (Satışı İzleyen Dönem KV Beyan Süresine Kadar)</t>
  </si>
  <si>
    <t>[KV Beyan]</t>
  </si>
  <si>
    <t>İstisna edilen satış kazancının gelir hesabından çıkarılması</t>
  </si>
  <si>
    <t>[İstisna E.6]</t>
  </si>
  <si>
    <t>E.6 tutarı</t>
  </si>
  <si>
    <t>549 Özel Fonlar</t>
  </si>
  <si>
    <t>KVK 5/1-e İstisna | %75/%50 | 5 yıl tutulacak (İştirak Hissesi Satış Kazancı İstisnası)</t>
  </si>
  <si>
    <t>5 Yıl</t>
  </si>
  <si>
    <t xml:space="preserve">  5 YIL KURALI: 5 yıl içinde işletmeden çekilemez. Sermayeye ilave mümkün. Tasfiye = Otomatik çekim → Vergi ziyaı. İflas erteleme = İstisna yok.</t>
  </si>
  <si>
    <t>KAYIT 3 — ZARAR DURUMU VE KKEG KAYDI (GİB Rehberi Md.7 — İştirak Zararı)</t>
  </si>
  <si>
    <t>İştirak hissesi satış bedeli</t>
  </si>
  <si>
    <t>689 Diğer Olağandışı Giderler</t>
  </si>
  <si>
    <t>Satış zararının KKEG olan kısmı (E.8 = Zarar × Oran)</t>
  </si>
  <si>
    <t>[E.8 KKEG]</t>
  </si>
  <si>
    <t>Defter değeriyle aktiften çıkış</t>
  </si>
  <si>
    <t>[Defter Değeri]</t>
  </si>
  <si>
    <t xml:space="preserve">  ZARAR KKEG KURALI: İştirak hissesi zararlı satılırsa zararın istisna oranına (%75/%50) denk gelen kısmı KKEG sayılır. Kalan kısım (vergiye tabi kısma isabet eden) gider olarak indirilebilir.</t>
  </si>
  <si>
    <t>352 – İŞTİRAK HİSSESİ SATIŞ KAZANCI İSTİSNASI | DENETÇİ NOTLARI</t>
  </si>
  <si>
    <t>GİB Rehberi Mart 2026 (Yayın No:601) | 9160 s. CB Kararı (27/11/2024) | FIFO | Menkul Kıymet Ticareti | Holding | YMM Tasdik Standardı</t>
  </si>
  <si>
    <t>Kod</t>
  </si>
  <si>
    <t>Mesleki Değerlendirme / GİB Rehberi Mart 2026</t>
  </si>
  <si>
    <t>Mevzuat / Kaynak</t>
  </si>
  <si>
    <t>N1</t>
  </si>
  <si>
    <t>KVK 5/1-e İştirak Hissesi — İstisna Oranı Değişimi ve Kapsam (GİB Rehberi Bölüm B)</t>
  </si>
  <si>
    <t>KVK 5/1-e İŞTİRAK HİSSESİ SATIŞ KAZANCI İSTİSNASI:
İSTİSNA ORAN DEĞİŞİMİ:
  → 27/11/2024 ÖNCESİ: %75 istisna (KVK 5/1-e).
  → 27/11/2024 SONRASI: %50 istisna (9160 sayılı CB Kararı).
KAPSAM (GİB Rehberi Md.1-5):
  ① İştirak hisseleri: A.Ş. payları, Ltd. payları, Koop. payları, İş Ort. payları.
  ② Kurucu senetleri, İntifa senetleri.
  ③ Rüçhan hakları.
  ④ KVK 5/1-a kapsamında istisna kazançlarına kaynak oluşturan yatırım fonları katılma payları.
  KAPSAM DIŞI: SPK fonlarının katılma belgeleri iştirak hissesi sayılmaz.
TAŞINMAZDAN FARK:
  → İştirak hissesi istisnasında 15/7/2023 tarih sınırı ETKİSİ YOK — tüm tarihlerde geçerli.
  → KDV istisnası (KDVK 17/4-r) süresiz devam eder — 15/7/2023 sınırından etkilenmez.
  → Beyanname: 352 satırı (Taşınmaz → 351).</t>
  </si>
  <si>
    <t>KVK 5/1-e | 9160 s. CB Kararı | KDVK 17/4-r | GİB Rehberi Mart 2026 Bölüm B</t>
  </si>
  <si>
    <t>N2</t>
  </si>
  <si>
    <t>★ FIFO Yöntemi, Rüçhan Hakkı ve Bedelsiz Hisse (GİB Rehberi Md.3-9)</t>
  </si>
  <si>
    <t>FIFO YÖNTEMİ (GİB Md.6):
Aynı kuruma ait farklı tarihlerde iktisap edilen hisselerin bir kısmı satılırsa FIFO uygulanır.
Örnek: 100 hisse (50'si 2022, 50'si 2023 alımı) — 60'ı satılırsa 50 adet 2022'den çıkar.
RÜÇHAN HAKKI (GİB Md.3-4):
  ① Nominal bedelle yeni hisse → Eski hissenin iktisap tarihi esas.
  ② Nominal dışı bedelle hisse → Fiili aktife giriş tarihi esas.
BEDELSİZ HİSSE (GİB Md.9):
  ① Sermaye yedeklerinden → Aktif-pasif artmaz, bedel değişmez, eski tarih esas.
  ② Kâr yedeklerinden → Nominal bedelle iştirak hesabına. Fiilen aktife giriş tarihi esas.
     İştirak kazançları istisnası nedeniyle KV'ye tabi tutulmaz.
DEVIR/BÖLÜNME (GİB Md.10): Devralınan kurumun iktisap tarihi esas alınır.</t>
  </si>
  <si>
    <t>GİB Rehberi Md.3-9 | KVK 5/1-e</t>
  </si>
  <si>
    <t>N3</t>
  </si>
  <si>
    <t>Menkul Kıymet Ticareti Yasağı ve Holding Şirketler (GİB Rehberi Md.7-8)</t>
  </si>
  <si>
    <t>MENKUL KİYMET TİCARETİ YASAĞI (GİB Md.7):
Menkul kıymet ticareti yapan mükelleflerin ticari amaçlı hisseleri kapsam dışı.
Ancak: Doğrudan veya dolaylı olarak diğer şirketlerin yönetimine ve ortaklık politikalarının
belirlenmesine katılmak üzere edinilen paylar istisna kapsamında.
HOLDİNG ŞİRKETLER (GİB Md.8):
Esas faaliyeti iştirakten ibaret holding şirketlerde:
  → 24-Mali Duran Varlıklar hesabında izlenen hisseler → İstisna kapsamında.
  → 11-Menkul Kıymetler hesabında izlenen hisseler → İstisna kapsamı DIŞI.
ZARAR DURUMU (GİB Md.7):
İştirak hissesi zararlı satılırsa: Zararın istisna oranına (%75 veya %50) denk gelen
kısmı KKEG sayılır. Kalan kısım gider olarak indirilebilir.</t>
  </si>
  <si>
    <t>GİB Rehberi Md.7-8 | KVK 5/1-e</t>
  </si>
  <si>
    <t>N4</t>
  </si>
  <si>
    <t>Fon Hesabı, Tahsil ve Grup Şirketleri (GİB Rehberi Md.19-28)</t>
  </si>
  <si>
    <t>FON HESABI (GİB Md.19-22):
  • Satışı izleyen hesap döneminin başından KV beyan süresine kadar 549'a alınmalı.
  • 5 yıl tutma zorunlu. Sermayeye ilave mümkün. Fon çekilirse o dönem gelir sayılır.
  • Tasfiye → Otomatik çekim = Vergi ziyaı. İflas erteleme → İstisna yok.
SATIŞ BEDELİ TAHSİLİ (GİB Md.25):
  • Satışı izleyen 2. takvim yılı sonuna kadar tahsil zorunlu.
  • Nakit + Altın, DT, HB, BİST hisse (2 yıl içinde nakde çevrilmeli).
GRUP ŞİRKETLERİ (GİB Md.27-28):
  • Nakit girişi olmaksızın satış → İstisna uygulanmaz.
  • Ayni sermaye olarak bağlı ortaklığa iştirak hissesi devri → İstisna yok.</t>
  </si>
  <si>
    <t>GİB Rehberi Md.19-28 | KVK 5/1-e</t>
  </si>
  <si>
    <t>N5</t>
  </si>
  <si>
    <t>49 No.lu Tebliğ + YMM Tasdik Dil Standardı (GİB Rehberi Bölüm C)</t>
  </si>
  <si>
    <t>49 No.lu Tebliğ: &gt;=500.000 TL → YMM raporu. KV beyannamesi ile birlikte veya 2 ay içinde elektronik. Tam tasdik → ayrıca rapor yok.
KULLANIN (27/11/2024 SONRASI — %50):
'...en az iki tam yıl süreyle kurum aktifinde yer alan [şirket adı] iştirak
  hissesinin [tarih] tarihinde satışından doğan kazancın 9160 sayılı
  Cumhurbaşkanı Kararı kapsamında %50'si olan [tutar] TL kurumlar
  vergisinden istisna edilmiş, söz konusu kazanç [tarih] tarihine kadar
  549 Özel Fonlar hesabına alınmıştır.'
KULLANMAYIN:
'...%75 istisna uygulanmıştır' (27/11/2024 sonrası → %50)
'...taşınmaz satışında olduğu gibi 15/7/2023 sınırı...' (İştirak hissesinde bu sınır yok)
KRİTİK RİSK ALANLARI:
(1) 27/11/2024 sonrası satışta %75 oran kullanmak — yanlış oran.
(2) FIFO uygulamasını atlamak — aynı şirkete farklı tarihlerde alınan hisseler.
(3) Holding'de 11-MK hesabındaki hisseler için istisna uygulamak.
(4) Zararlı satışta KKEG hesaplamamak.
(5) KDV istisnasında 15/7/2023 sınırı olduğunu düşünmek (iştirak hissesinde sınır yok).</t>
  </si>
  <si>
    <t>49 No.lu Tebliğ | GİB Rehberi Mart 2026 Bölüm C | SM-SMMM-YMM K. Md.12</t>
  </si>
  <si>
    <t xml:space="preserve">  GİB REHBERİ MART 2026 KAPANIŞ (İŞTİRAK HİSSESİ): 9160 s. CB Kararı ile 27/11/2024'ten itibaren oran %50. FIFO, holding 24/11 ayrımı, menkul kıymet ticareti yasağı ve zarar KKEG kuralları kritik. İştirak hissesinde KDV istisnası süresiz devam eder — 15/7/2023 sınırı uygulanmaz. YMM müteselsil sorumluluk: SM-SMMM-YMM K. Md.12.</t>
  </si>
  <si>
    <t>352 – İŞTİRAK HİSSESİ SATIŞ KAZANCI İSTİSNASI | BELGE LİSTESİ | YMM TASDİK</t>
  </si>
  <si>
    <t>GİB Rehberi Mart 2026 (Yayın No:601) | %75→%50 (27/11/2024) | FIFO | Holding | 549 Fon | KDVK 17/4-r | 49 No.lu Tebliğ</t>
  </si>
  <si>
    <t>KATEGORİ 1 — ZORUNLU BELGELER</t>
  </si>
  <si>
    <t>No</t>
  </si>
  <si>
    <t>Belge / Bilgi</t>
  </si>
  <si>
    <t>Açıklama / YMM Kontrol</t>
  </si>
  <si>
    <t>Temin Yeri</t>
  </si>
  <si>
    <t>1</t>
  </si>
  <si>
    <t>★ Hisse Devir Sözleşmesi ve Pay Defteri Kaydı</t>
  </si>
  <si>
    <t>Satılan hissenin devir sözleşmesi ve pay defterindeki kayıt.
YMM: Devir tarihi, bedel ve devreden/devralan bilgileri açık olmalı.</t>
  </si>
  <si>
    <t>Pay defteri + Devir sözleşmesi</t>
  </si>
  <si>
    <t>2</t>
  </si>
  <si>
    <t>★ Aktife Giriş Tarihi İspat Belgesi — FIFO için (GİB Md.6)</t>
  </si>
  <si>
    <t>Aynı kuruma ait tüm iktisap belgelerinin kronolojik listesi.
FIFO: En eski iktisap tarihindeki hisseler önce çıkar. Her alım için ayrı belge.</t>
  </si>
  <si>
    <t>242/245 hesap kartı + İktisap belgeleri</t>
  </si>
  <si>
    <t>3</t>
  </si>
  <si>
    <t>★ İstisna Oranı Belirleme Belgesi (Satış Tarihi — 27/11/2024 Öncesi/Sonrası)</t>
  </si>
  <si>
    <t>Satış tarihi → 27/11/2024 öncesi = %75 | Sonrası = %50 (9160 s. CB Kararı).</t>
  </si>
  <si>
    <t>Bu çalışma kâğıdı D bölümü</t>
  </si>
  <si>
    <t>4</t>
  </si>
  <si>
    <t>İştirak Hissesinin Muhasebe Hesabı Belgesi (Holding İçin — GİB Md.8)</t>
  </si>
  <si>
    <t>24-Mali Duran Varlıklar → İstisna kapsamı. 11-Menkul Kıymetler → Kapsam dışı.</t>
  </si>
  <si>
    <t>242 veya 245 hesap kartı</t>
  </si>
  <si>
    <t>5</t>
  </si>
  <si>
    <t>Satış Kazancı Hesaplama Tablosu (E.4 — FIFO Bazında)</t>
  </si>
  <si>
    <t>E.4 = Satış Bedeli − FIFO Maliyet × Adet − Satış Giderleri. FIFO hesabı dahil.</t>
  </si>
  <si>
    <t>Muhasebe programı — FIFO hesap tablosu</t>
  </si>
  <si>
    <t>6</t>
  </si>
  <si>
    <t>★ 549 Fon Hesabına Alınma Belgesi (Muhasebe Kaydı — GİB Md.19)</t>
  </si>
  <si>
    <t>İstisna tutarının (E.6) 549 hesabına kaydedildiğini gösteren yevmiye. Zamanlama kritik.</t>
  </si>
  <si>
    <t>Yevmiye defteri / 549 hesap ekstresi</t>
  </si>
  <si>
    <t>7</t>
  </si>
  <si>
    <t>KV Beyannamesi Taslağı — 352. Satır</t>
  </si>
  <si>
    <t>352 tutarının E.6 ile uyumlu. 'Kazancın Bulunması Halinde' bölümünde.</t>
  </si>
  <si>
    <t>GİB e-Beyanname sistemi</t>
  </si>
  <si>
    <t>KATEGORİ 2 — EK BELGELER</t>
  </si>
  <si>
    <t>8</t>
  </si>
  <si>
    <t>Rüçhan Hakkı: Kullanım Belgesi + Eski Hisse İktisap Tarihi (GİB Md.3-4)</t>
  </si>
  <si>
    <t>Nominal bedelle kullanım → Eski hissenin tarihi esas. Nominal dışı → Yeni aktife giriş tarihi.</t>
  </si>
  <si>
    <t>Hak kullanım belgesi + Banka dekontu</t>
  </si>
  <si>
    <t>9</t>
  </si>
  <si>
    <t>Bedelsiz Hisse: Sermaye Artırım Belgesi + Tip Tespiti (GİB Md.9)</t>
  </si>
  <si>
    <t>Sermaye yedeklerinden → Bedel değişmez, eski tarih. Kâr yedeklerinden → Yeni aktife giriş.</t>
  </si>
  <si>
    <t>Sermaye artırım kararı + İştirak hesap kartı</t>
  </si>
  <si>
    <t>10</t>
  </si>
  <si>
    <t>GS Yatırım Fonu: SPK Kaydı + Katılma Payı Belgesi (GİB Md.5)</t>
  </si>
  <si>
    <t>SPK'dan izinli girişim sermayesi fonu olduğunu gösteren belge. Katılma payı belgesi.</t>
  </si>
  <si>
    <t>SPK kaydı / Fon belgesi</t>
  </si>
  <si>
    <t>11</t>
  </si>
  <si>
    <t>Zarar Durumu: KKEG Hesabı (E.8) ve Muhasebe Kaydı</t>
  </si>
  <si>
    <t>Zararlı satışta zararın %75/%50'si KKEG. Hesaplama tablosu ve muhasebe kaydı.</t>
  </si>
  <si>
    <t>Bu çalışma kâğıdı E.8 + Muhasebe kaydı</t>
  </si>
  <si>
    <t>KATEGORİ 3 — YMM TASDİK KONTROL SORULARI</t>
  </si>
  <si>
    <t>Beklenen Sonuç</t>
  </si>
  <si>
    <t>YMM Aksiyonu</t>
  </si>
  <si>
    <t>S1</t>
  </si>
  <si>
    <t>★ İstisna oranı doğru mu? 27/11/2024 öncesi/sonrası ayrımı?</t>
  </si>
  <si>
    <t>9160 s. CB Kararı: 27/11/2024+ → %50. Öncesi → %75.</t>
  </si>
  <si>
    <t>YMM kontrolü</t>
  </si>
  <si>
    <t>S2</t>
  </si>
  <si>
    <t>★ 2 Tam Yıl FIFO bazında sağlandı mı?</t>
  </si>
  <si>
    <t>FIFO: En eski iktisap tarihinden sayılır. Ayrı alımlar ayrı kontrol.</t>
  </si>
  <si>
    <t>S3</t>
  </si>
  <si>
    <t>GİB Md.7: Ticari amaçlı → Kapsam dışı. İştirak amaçlı → Kapsamda.</t>
  </si>
  <si>
    <t>S4</t>
  </si>
  <si>
    <t>Holding ise hisse 24-Mali Duran Varlıklar'da mı izleniyor?</t>
  </si>
  <si>
    <t>GİB Md.8: 24-MDV → Kapsamda. 11-MK → Kapsam dışı.</t>
  </si>
  <si>
    <t>S5</t>
  </si>
  <si>
    <t>FIFO uygulaması doğru mu? Birden fazla alım varsa?</t>
  </si>
  <si>
    <t>GİB Md.6: En eski önce çıkar. Her alımın belgesi dosyada.</t>
  </si>
  <si>
    <t>S6</t>
  </si>
  <si>
    <t>Rüçhan hakkı / bedelsiz hisse iktisap tarihi doğru mu?</t>
  </si>
  <si>
    <t>GİB Md.3-4,9: Nominal bedelle → Eski tarih. Nominal dışı/kâr yedeklerinden → Yeni tarih.</t>
  </si>
  <si>
    <t>S7</t>
  </si>
  <si>
    <t>Nakit veya Altın/DT/HB/BİST hisseleri (2 yıl içinde nakde).</t>
  </si>
  <si>
    <t>S8</t>
  </si>
  <si>
    <t>★ İstisna tutarı süresi içinde 549 hesabına alındı mı?</t>
  </si>
  <si>
    <t>Satışı izleyen dönem KV beyan süresi içinde.</t>
  </si>
  <si>
    <t>S9</t>
  </si>
  <si>
    <t>Zararlı satışta zararın %75/%50'si KKEG sayılır.</t>
  </si>
  <si>
    <t>S10</t>
  </si>
  <si>
    <t>KDV istisnası doğru uygulandı mı? (İştirak → 15/7/2023 sınırı yok)</t>
  </si>
  <si>
    <t>İştirak hissesinde KDVK 17/4-r süresiz devam eder.</t>
  </si>
  <si>
    <t>S11</t>
  </si>
  <si>
    <t>YMM Tasdik Raporu (49 No.lu Tebliğ) değerlendirildi mi?</t>
  </si>
  <si>
    <t>&gt;=500.000 TL → YMM raporu.</t>
  </si>
  <si>
    <t>SON NOT: GİB Rehberi Mart 2026 (Yayın No:601). Kritik güncellemeler: (1) 9160 s. CB Kararı: 27/11/2024+ → %50. (2) FIFO yöntemi: Aynı şirkete farklı tarihlerde alınan hisseler. (3) Holding: 24-MDV kapsamda / 11-MK kapsam dışı. (4) Zarar KKEG kuralı. (5) KDV istisnası: İştirak hissesinde 15/7/2023 sınırı YOKTUR — taşınmazdan farklı.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</si>
</sst>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1"/>
      <color rgb="FFFFFFFF"/>
      <name val="Arial"/>
    </font>
    <font>
      <b/>
      <sz val="9"/>
      <color rgb="FF1B5E20"/>
      <name val="Arial"/>
    </font>
    <font>
      <b/>
      <sz val="9"/>
      <color rgb="FF1565C0"/>
      <name val="Arial"/>
    </font>
    <font>
      <sz val="8"/>
      <color rgb="FF1A237E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10"/>
      <color rgb="FF0000FF"/>
      <name val="Arial"/>
    </font>
    <font>
      <i/>
      <sz val="8"/>
      <color rgb="FF555555"/>
      <name val="Arial"/>
    </font>
    <font>
      <b/>
      <sz val="9"/>
      <color rgb="FFC0392B"/>
      <name val="Arial"/>
    </font>
    <font>
      <i/>
      <sz val="8"/>
      <color rgb="FFC0392B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A5276"/>
      <name val="Arial"/>
    </font>
    <font>
      <i/>
      <sz val="8"/>
      <color rgb="FF1A237E"/>
      <name val="Arial"/>
    </font>
    <font>
      <b/>
      <sz val="12"/>
      <color rgb="FF1B5E20"/>
      <name val="Arial"/>
    </font>
    <font>
      <i/>
      <sz val="8"/>
      <color rgb="FF333333"/>
      <name val="Arial"/>
    </font>
    <font>
      <sz val="9"/>
      <color rgb="FF1F3864"/>
      <name val="Arial"/>
    </font>
    <font>
      <b/>
      <sz val="12"/>
      <color rgb="FFFFFFFF"/>
      <name val="Arial"/>
    </font>
    <font>
      <i/>
      <sz val="8"/>
      <color rgb="FF444444"/>
      <name val="Arial"/>
    </font>
    <font>
      <b/>
      <sz val="10"/>
      <color rgb="FF1F3864"/>
      <name val="Arial"/>
    </font>
    <font>
      <b/>
      <sz val="13"/>
      <color rgb="FF1B5E20"/>
      <name val="Arial"/>
    </font>
    <font>
      <b/>
      <sz val="10"/>
      <color rgb="FFC0392B"/>
      <name val="Arial"/>
    </font>
    <font>
      <sz val="9"/>
      <color rgb="FF1B5E20"/>
      <name val="Arial"/>
    </font>
    <font>
      <i/>
      <sz val="8"/>
      <color rgb="FF7D3C98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sz val="8"/>
      <color rgb="FF333333"/>
      <name val="Arial"/>
    </font>
    <font>
      <b/>
      <sz val="36"/>
      <color rgb="FFFFFFFF"/>
      <name val="Arial"/>
    </font>
    <font>
      <sz val="8"/>
      <color rgb="FFFFFFFF"/>
      <name val="Arial"/>
    </font>
    <font>
      <sz val="8"/>
      <color rgb="FFC0392B"/>
      <name val="Arial"/>
    </font>
    <font>
      <sz val="8"/>
      <color rgb="FF1B5E20"/>
      <name val="Arial"/>
    </font>
    <font>
      <b/>
      <sz val="9"/>
      <color rgb="FF7B5E00"/>
      <name val="Arial"/>
    </font>
    <font>
      <i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1565C0"/>
      </patternFill>
    </fill>
    <fill>
      <patternFill patternType="solid">
        <fgColor rgb="FFEEF4FF"/>
      </patternFill>
    </fill>
    <fill>
      <patternFill patternType="solid">
        <fgColor rgb="FFEBEBEB"/>
      </patternFill>
    </fill>
    <fill>
      <patternFill patternType="solid">
        <fgColor rgb="FFC0392B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EE"/>
      </patternFill>
    </fill>
    <fill>
      <patternFill patternType="solid">
        <fgColor rgb="FFFFCDD2"/>
      </patternFill>
    </fill>
    <fill>
      <patternFill patternType="solid">
        <fgColor rgb="FF7D3C98"/>
      </patternFill>
    </fill>
    <fill>
      <patternFill patternType="solid">
        <fgColor rgb="FFF1F8E9"/>
      </patternFill>
    </fill>
    <fill>
      <patternFill patternType="solid">
        <fgColor rgb="FFF7F7F7"/>
      </patternFill>
    </fill>
    <fill>
      <patternFill patternType="solid">
        <fgColor rgb="FFFFF5F5"/>
      </patternFill>
    </fill>
    <fill>
      <patternFill patternType="solid">
        <fgColor rgb="FFEBF5EB"/>
      </patternFill>
    </fill>
    <fill>
      <patternFill patternType="solid">
        <fgColor rgb="FFE3F2FD"/>
      </patternFill>
    </fill>
    <fill>
      <patternFill patternType="solid">
        <fgColor rgb="FFB71C1C"/>
      </patternFill>
    </fill>
    <fill>
      <patternFill patternType="solid">
        <fgColor rgb="FFFFD0D0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  <xf numFmtId="0" fontId="1" fillId="7" borderId="2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0" fillId="14" borderId="1" xfId="0" applyFill="1" applyBorder="1"/>
    <xf numFmtId="0" fontId="13" fillId="14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3" fillId="14" borderId="3" xfId="0" applyFont="1" applyFill="1" applyBorder="1" applyAlignment="1">
      <alignment horizontal="center" vertical="center"/>
    </xf>
    <xf numFmtId="0" fontId="0" fillId="15" borderId="1" xfId="0" applyFill="1" applyBorder="1"/>
    <xf numFmtId="0" fontId="24" fillId="16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7" fillId="14" borderId="3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9" fillId="20" borderId="1" xfId="0" applyFont="1" applyFill="1" applyBorder="1" applyAlignment="1">
      <alignment horizontal="left" vertical="top" wrapText="1"/>
    </xf>
    <xf numFmtId="0" fontId="0" fillId="11" borderId="1" xfId="0" applyFill="1" applyBorder="1" applyAlignment="1">
      <alignment horizontal="center" vertical="top"/>
    </xf>
    <xf numFmtId="0" fontId="8" fillId="13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29" fillId="8" borderId="1" xfId="0" applyFont="1" applyFill="1" applyBorder="1" applyAlignment="1">
      <alignment horizontal="left" vertical="top" wrapText="1"/>
    </xf>
    <xf numFmtId="0" fontId="19" fillId="8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29" fillId="19" borderId="1" xfId="0" applyFont="1" applyFill="1" applyBorder="1" applyAlignment="1">
      <alignment horizontal="left" vertical="top" wrapText="1"/>
    </xf>
    <xf numFmtId="0" fontId="21" fillId="8" borderId="1" xfId="0" applyFont="1" applyFill="1" applyBorder="1" applyAlignment="1">
      <alignment horizontal="left" vertical="top" wrapText="1"/>
    </xf>
    <xf numFmtId="0" fontId="21" fillId="13" borderId="1" xfId="0" applyFont="1" applyFill="1" applyBorder="1" applyAlignment="1">
      <alignment horizontal="left" vertical="top" wrapText="1"/>
    </xf>
    <xf numFmtId="0" fontId="8" fillId="14" borderId="1" xfId="0" applyFont="1" applyFill="1" applyBorder="1" applyAlignment="1">
      <alignment horizontal="center" vertical="top"/>
    </xf>
    <xf numFmtId="0" fontId="8" fillId="14" borderId="1" xfId="0" applyFont="1" applyFill="1" applyBorder="1" applyAlignment="1">
      <alignment horizontal="left" vertical="top" wrapText="1"/>
    </xf>
    <xf numFmtId="0" fontId="29" fillId="21" borderId="1" xfId="0" applyFont="1" applyFill="1" applyBorder="1" applyAlignment="1">
      <alignment horizontal="left" vertical="top" wrapText="1"/>
    </xf>
    <xf numFmtId="0" fontId="21" fillId="14" borderId="1" xfId="0" applyFont="1" applyFill="1" applyBorder="1" applyAlignment="1">
      <alignment horizontal="left" vertical="top" wrapText="1"/>
    </xf>
    <xf numFmtId="0" fontId="0" fillId="22" borderId="1" xfId="0" applyFill="1" applyBorder="1"/>
    <xf numFmtId="0" fontId="8" fillId="22" borderId="1" xfId="0" applyFont="1" applyFill="1" applyBorder="1" applyAlignment="1">
      <alignment horizontal="center" vertical="top"/>
    </xf>
    <xf numFmtId="0" fontId="8" fillId="22" borderId="1" xfId="0" applyFont="1" applyFill="1" applyBorder="1" applyAlignment="1">
      <alignment horizontal="left" vertical="top" wrapText="1"/>
    </xf>
    <xf numFmtId="0" fontId="21" fillId="22" borderId="1" xfId="0" applyFont="1" applyFill="1" applyBorder="1" applyAlignment="1">
      <alignment horizontal="left" vertical="top" wrapText="1"/>
    </xf>
    <xf numFmtId="0" fontId="1" fillId="23" borderId="2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top"/>
    </xf>
    <xf numFmtId="0" fontId="11" fillId="15" borderId="1" xfId="0" applyFont="1" applyFill="1" applyBorder="1" applyAlignment="1">
      <alignment horizontal="left" vertical="top" wrapText="1"/>
    </xf>
    <xf numFmtId="0" fontId="29" fillId="24" borderId="1" xfId="0" applyFont="1" applyFill="1" applyBorder="1" applyAlignment="1">
      <alignment horizontal="left" vertical="top" wrapText="1"/>
    </xf>
    <xf numFmtId="0" fontId="35" fillId="15" borderId="1" xfId="0" applyFont="1" applyFill="1" applyBorder="1" applyAlignment="1">
      <alignment horizontal="center" vertical="top"/>
    </xf>
    <xf numFmtId="0" fontId="5" fillId="22" borderId="1" xfId="0" applyFont="1" applyFill="1" applyBorder="1" applyAlignment="1">
      <alignment horizontal="center" vertical="top"/>
    </xf>
    <xf numFmtId="0" fontId="5" fillId="22" borderId="1" xfId="0" applyFont="1" applyFill="1" applyBorder="1" applyAlignment="1">
      <alignment horizontal="left" vertical="top" wrapText="1"/>
    </xf>
    <xf numFmtId="0" fontId="35" fillId="22" borderId="1" xfId="0" applyFont="1" applyFill="1" applyBorder="1" applyAlignment="1">
      <alignment horizontal="center" vertical="top"/>
    </xf>
    <xf numFmtId="0" fontId="14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4" fillId="14" borderId="1" xfId="0" applyFont="1" applyFill="1" applyBorder="1" applyAlignment="1">
      <alignment horizontal="left" vertical="center" wrapText="1"/>
    </xf>
    <xf numFmtId="0" fontId="0" fillId="14" borderId="1" xfId="0" applyFill="1" applyBorder="1"/>
    <xf numFmtId="0" fontId="10" fillId="8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26" fillId="8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14" fillId="13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15" fillId="8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 wrapText="1"/>
    </xf>
    <xf numFmtId="0" fontId="18" fillId="8" borderId="2" xfId="0" applyFont="1" applyFill="1" applyBorder="1" applyAlignment="1">
      <alignment horizontal="left" vertical="center" wrapText="1"/>
    </xf>
    <xf numFmtId="0" fontId="0" fillId="8" borderId="2" xfId="0" applyFill="1" applyBorder="1"/>
    <xf numFmtId="0" fontId="8" fillId="8" borderId="1" xfId="0" applyFont="1" applyFill="1" applyBorder="1" applyAlignment="1">
      <alignment horizontal="left" vertical="center" wrapText="1"/>
    </xf>
    <xf numFmtId="0" fontId="7" fillId="17" borderId="2" xfId="0" applyFont="1" applyFill="1" applyBorder="1" applyAlignment="1">
      <alignment horizontal="left" vertical="center"/>
    </xf>
    <xf numFmtId="0" fontId="0" fillId="17" borderId="2" xfId="0" applyFill="1" applyBorder="1"/>
    <xf numFmtId="0" fontId="12" fillId="12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0" fillId="10" borderId="2" xfId="0" applyFill="1" applyBorder="1"/>
    <xf numFmtId="0" fontId="16" fillId="8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0" fillId="15" borderId="1" xfId="0" applyFill="1" applyBorder="1"/>
    <xf numFmtId="0" fontId="12" fillId="1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16" fillId="14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25" fillId="1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10" fillId="1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28" fillId="14" borderId="1" xfId="0" applyFont="1" applyFill="1" applyBorder="1" applyAlignment="1">
      <alignment horizontal="left" vertical="center" wrapText="1"/>
    </xf>
    <xf numFmtId="0" fontId="21" fillId="1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3" fillId="2" borderId="2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8" fillId="14" borderId="1" xfId="0" applyFont="1" applyFill="1" applyBorder="1" applyAlignment="1">
      <alignment horizontal="left" vertical="center"/>
    </xf>
    <xf numFmtId="0" fontId="16" fillId="14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top" wrapText="1"/>
    </xf>
    <xf numFmtId="0" fontId="29" fillId="19" borderId="1" xfId="0" applyFont="1" applyFill="1" applyBorder="1" applyAlignment="1">
      <alignment horizontal="left" vertical="center" wrapText="1"/>
    </xf>
    <xf numFmtId="0" fontId="0" fillId="19" borderId="1" xfId="0" applyFill="1" applyBorder="1"/>
    <xf numFmtId="0" fontId="29" fillId="20" borderId="1" xfId="0" applyFont="1" applyFill="1" applyBorder="1" applyAlignment="1">
      <alignment horizontal="left" vertical="top" wrapText="1"/>
    </xf>
    <xf numFmtId="0" fontId="0" fillId="20" borderId="1" xfId="0" applyFill="1" applyBorder="1"/>
    <xf numFmtId="0" fontId="29" fillId="8" borderId="1" xfId="0" applyFont="1" applyFill="1" applyBorder="1" applyAlignment="1">
      <alignment horizontal="left" vertical="top" wrapText="1"/>
    </xf>
    <xf numFmtId="0" fontId="29" fillId="15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top" wrapText="1"/>
    </xf>
    <xf numFmtId="0" fontId="29" fillId="18" borderId="1" xfId="0" applyFont="1" applyFill="1" applyBorder="1" applyAlignment="1">
      <alignment horizontal="left" vertical="center" wrapText="1"/>
    </xf>
    <xf numFmtId="0" fontId="0" fillId="18" borderId="1" xfId="0" applyFill="1" applyBorder="1"/>
    <xf numFmtId="0" fontId="8" fillId="13" borderId="1" xfId="0" applyFont="1" applyFill="1" applyBorder="1" applyAlignment="1">
      <alignment horizontal="left" vertical="top" wrapText="1"/>
    </xf>
    <xf numFmtId="0" fontId="29" fillId="13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20" fillId="2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16" fillId="12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/>
    </xf>
    <xf numFmtId="0" fontId="30" fillId="2" borderId="2" xfId="0" applyFont="1" applyFill="1" applyBorder="1" applyAlignment="1">
      <alignment horizontal="left" vertical="center"/>
    </xf>
    <xf numFmtId="0" fontId="32" fillId="12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left" vertical="center" wrapText="1"/>
    </xf>
    <xf numFmtId="0" fontId="33" fillId="14" borderId="1" xfId="0" applyFont="1" applyFill="1" applyBorder="1" applyAlignment="1">
      <alignment horizontal="left" vertical="center" wrapText="1"/>
    </xf>
    <xf numFmtId="0" fontId="34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7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7" fillId="3" borderId="4" xfId="0" applyFont="1" applyFill="1" applyBorder="1" applyAlignment="1">
      <alignment horizontal="left" vertical="center"/>
    </xf>
    <xf numFmtId="0" fontId="0" fillId="3" borderId="4" xfId="0" applyFill="1" applyBorder="1"/>
    <xf numFmtId="0" fontId="7" fillId="7" borderId="4" xfId="0" applyFont="1" applyFill="1" applyBorder="1" applyAlignment="1">
      <alignment horizontal="left" vertical="center"/>
    </xf>
    <xf numFmtId="0" fontId="0" fillId="7" borderId="4" xfId="0" applyFill="1" applyBorder="1"/>
    <xf numFmtId="0" fontId="7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7" fillId="5" borderId="4" xfId="0" applyFont="1" applyFill="1" applyBorder="1" applyAlignment="1">
      <alignment horizontal="left" vertical="center"/>
    </xf>
    <xf numFmtId="0" fontId="0" fillId="5" borderId="4" xfId="0" applyFill="1" applyBorder="1"/>
    <xf numFmtId="0" fontId="7" fillId="23" borderId="4" xfId="0" applyFont="1" applyFill="1" applyBorder="1" applyAlignment="1">
      <alignment horizontal="left" vertical="center"/>
    </xf>
    <xf numFmtId="0" fontId="0" fillId="23" borderId="4" xfId="0" applyFill="1" applyBorder="1"/>
  </cellXfs>
  <cellStyles count="1">
    <cellStyle name="Normal" xfId="0" builtinId="0"/>
  </cellStyles>
  <dxfs count="8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2F5413-F65C-4A63-A725-E4FEFD0D26E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e4b7f88-30a6-45be-85c8-04c771dbebb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4" customWidth="1"/>
    <col min="3" max="3" width="18" customWidth="1"/>
    <col min="4" max="4" width="20" customWidth="1"/>
    <col min="5" max="5" width="16" customWidth="1"/>
    <col min="6" max="6" width="12" customWidth="1"/>
    <col min="7" max="7" width="24" customWidth="1"/>
  </cols>
  <sheetData>
    <row r="1" spans="1:7" ht="52" customHeight="1" x14ac:dyDescent="0.55000000000000004">
      <c r="A1" s="92" t="s">
        <v>0</v>
      </c>
      <c r="B1" s="93"/>
      <c r="C1" s="93"/>
      <c r="D1" s="93"/>
      <c r="E1" s="93"/>
      <c r="F1" s="93"/>
      <c r="G1" s="93"/>
    </row>
    <row r="2" spans="1:7" ht="22" customHeight="1" x14ac:dyDescent="0.55000000000000004">
      <c r="A2" s="107" t="s">
        <v>1</v>
      </c>
      <c r="B2" s="108"/>
      <c r="C2" s="108"/>
      <c r="D2" s="108"/>
      <c r="E2" s="108"/>
      <c r="F2" s="108"/>
      <c r="G2" s="108"/>
    </row>
    <row r="3" spans="1:7" ht="16" customHeight="1" x14ac:dyDescent="0.55000000000000004">
      <c r="A3" s="98" t="s">
        <v>2</v>
      </c>
      <c r="B3" s="99"/>
      <c r="C3" s="99"/>
      <c r="D3" s="99"/>
      <c r="E3" s="99"/>
      <c r="F3" s="99"/>
      <c r="G3" s="99"/>
    </row>
    <row r="4" spans="1:7" ht="24" customHeight="1" x14ac:dyDescent="0.55000000000000004">
      <c r="A4" s="1" t="s">
        <v>3</v>
      </c>
      <c r="B4" s="101" t="s">
        <v>4</v>
      </c>
      <c r="C4" s="102"/>
      <c r="D4" s="102"/>
      <c r="E4" s="102"/>
      <c r="F4" s="102"/>
      <c r="G4" s="2"/>
    </row>
    <row r="5" spans="1:7" ht="24" customHeight="1" x14ac:dyDescent="0.55000000000000004">
      <c r="A5" s="3" t="s">
        <v>5</v>
      </c>
      <c r="B5" s="79" t="s">
        <v>6</v>
      </c>
      <c r="C5" s="59"/>
      <c r="D5" s="59"/>
      <c r="E5" s="59"/>
      <c r="F5" s="59"/>
      <c r="G5" s="4"/>
    </row>
    <row r="6" spans="1:7" ht="22" customHeight="1" x14ac:dyDescent="0.55000000000000004">
      <c r="A6" s="105" t="s">
        <v>7</v>
      </c>
      <c r="B6" s="59"/>
      <c r="C6" s="59"/>
      <c r="D6" s="59"/>
      <c r="E6" s="59"/>
      <c r="F6" s="59"/>
      <c r="G6" s="59"/>
    </row>
    <row r="7" spans="1:7" ht="5.05" customHeight="1" x14ac:dyDescent="0.55000000000000004">
      <c r="A7" s="5"/>
      <c r="B7" s="5"/>
      <c r="C7" s="5"/>
      <c r="D7" s="5"/>
      <c r="E7" s="5"/>
      <c r="F7" s="5"/>
      <c r="G7" s="5"/>
    </row>
    <row r="8" spans="1:7" ht="24" customHeight="1" x14ac:dyDescent="0.55000000000000004">
      <c r="A8" s="82" t="s">
        <v>8</v>
      </c>
      <c r="B8" s="83"/>
      <c r="C8" s="83"/>
      <c r="D8" s="83"/>
      <c r="E8" s="83"/>
      <c r="F8" s="83"/>
      <c r="G8" s="83"/>
    </row>
    <row r="9" spans="1:7" ht="18" customHeight="1" x14ac:dyDescent="0.55000000000000004">
      <c r="A9" s="6"/>
      <c r="B9" s="6" t="s">
        <v>9</v>
      </c>
      <c r="C9" s="6"/>
      <c r="D9" s="6"/>
      <c r="E9" s="6" t="s">
        <v>10</v>
      </c>
      <c r="F9" s="6"/>
      <c r="G9" s="6" t="s">
        <v>11</v>
      </c>
    </row>
    <row r="10" spans="1:7" ht="26.05" customHeight="1" x14ac:dyDescent="0.55000000000000004">
      <c r="A10" s="75" t="s">
        <v>12</v>
      </c>
      <c r="B10" s="59"/>
      <c r="C10" s="59"/>
      <c r="D10" s="59"/>
      <c r="E10" s="7" t="s">
        <v>13</v>
      </c>
      <c r="F10" s="62" t="s">
        <v>14</v>
      </c>
      <c r="G10" s="59"/>
    </row>
    <row r="11" spans="1:7" ht="26.05" customHeight="1" x14ac:dyDescent="0.55000000000000004">
      <c r="A11" s="68" t="s">
        <v>15</v>
      </c>
      <c r="B11" s="69"/>
      <c r="C11" s="69"/>
      <c r="D11" s="69"/>
      <c r="E11" s="7" t="s">
        <v>16</v>
      </c>
      <c r="F11" s="78" t="s">
        <v>17</v>
      </c>
      <c r="G11" s="69"/>
    </row>
    <row r="12" spans="1:7" ht="26.05" customHeight="1" x14ac:dyDescent="0.55000000000000004">
      <c r="A12" s="68" t="s">
        <v>18</v>
      </c>
      <c r="B12" s="69"/>
      <c r="C12" s="69"/>
      <c r="D12" s="69"/>
      <c r="E12" s="7" t="s">
        <v>19</v>
      </c>
      <c r="F12" s="78" t="s">
        <v>20</v>
      </c>
      <c r="G12" s="69"/>
    </row>
    <row r="13" spans="1:7" ht="26.05" customHeight="1" x14ac:dyDescent="0.55000000000000004">
      <c r="A13" s="68" t="s">
        <v>21</v>
      </c>
      <c r="B13" s="69"/>
      <c r="C13" s="69"/>
      <c r="D13" s="69"/>
      <c r="E13" s="7" t="s">
        <v>22</v>
      </c>
      <c r="F13" s="78" t="s">
        <v>23</v>
      </c>
      <c r="G13" s="69"/>
    </row>
    <row r="14" spans="1:7" ht="26.05" customHeight="1" x14ac:dyDescent="0.55000000000000004">
      <c r="A14" s="75" t="s">
        <v>24</v>
      </c>
      <c r="B14" s="59"/>
      <c r="C14" s="59"/>
      <c r="D14" s="59"/>
      <c r="E14" s="7" t="s">
        <v>19</v>
      </c>
      <c r="F14" s="62" t="s">
        <v>25</v>
      </c>
      <c r="G14" s="59"/>
    </row>
    <row r="15" spans="1:7" ht="26.05" customHeight="1" x14ac:dyDescent="0.55000000000000004">
      <c r="A15" s="63" t="s">
        <v>26</v>
      </c>
      <c r="B15" s="64"/>
      <c r="C15" s="64"/>
      <c r="D15" s="64"/>
      <c r="E15" s="7" t="s">
        <v>19</v>
      </c>
      <c r="F15" s="72" t="s">
        <v>27</v>
      </c>
      <c r="G15" s="64"/>
    </row>
    <row r="16" spans="1:7" ht="26.05" customHeight="1" x14ac:dyDescent="0.55000000000000004">
      <c r="A16" s="75" t="s">
        <v>28</v>
      </c>
      <c r="B16" s="59"/>
      <c r="C16" s="59"/>
      <c r="D16" s="59"/>
      <c r="E16" s="7" t="s">
        <v>19</v>
      </c>
      <c r="F16" s="62" t="s">
        <v>29</v>
      </c>
      <c r="G16" s="59"/>
    </row>
    <row r="17" spans="1:7" ht="26.05" customHeight="1" x14ac:dyDescent="0.55000000000000004">
      <c r="A17" s="63" t="s">
        <v>30</v>
      </c>
      <c r="B17" s="64"/>
      <c r="C17" s="64"/>
      <c r="D17" s="64"/>
      <c r="E17" s="7" t="s">
        <v>19</v>
      </c>
      <c r="F17" s="72" t="s">
        <v>31</v>
      </c>
      <c r="G17" s="64"/>
    </row>
    <row r="18" spans="1:7" ht="22" customHeight="1" x14ac:dyDescent="0.55000000000000004">
      <c r="A18" s="114" t="s">
        <v>32</v>
      </c>
      <c r="B18" s="61"/>
      <c r="C18" s="61"/>
      <c r="D18" s="61"/>
      <c r="E18" s="10" t="str">
        <f>IF(AND(E12="EVET",E13="EVET — İştirak Amaçlı",E14="EVET"),"OK - Hesaplanabilir","HATA - Ön koşul eksik")</f>
        <v>OK - Hesaplanabilir</v>
      </c>
      <c r="F18" s="86" t="s">
        <v>33</v>
      </c>
      <c r="G18" s="61"/>
    </row>
    <row r="19" spans="1:7" ht="5.05" customHeight="1" x14ac:dyDescent="0.55000000000000004">
      <c r="A19" s="5"/>
      <c r="B19" s="5"/>
      <c r="C19" s="5"/>
      <c r="D19" s="5"/>
      <c r="E19" s="5"/>
      <c r="F19" s="5"/>
      <c r="G19" s="5"/>
    </row>
    <row r="20" spans="1:7" ht="22" customHeight="1" x14ac:dyDescent="0.55000000000000004">
      <c r="A20" s="95" t="s">
        <v>34</v>
      </c>
      <c r="B20" s="96"/>
      <c r="C20" s="96"/>
      <c r="D20" s="96"/>
      <c r="E20" s="96"/>
      <c r="F20" s="96"/>
      <c r="G20" s="96"/>
    </row>
    <row r="21" spans="1:7" ht="22" customHeight="1" x14ac:dyDescent="0.55000000000000004">
      <c r="A21" s="63" t="s">
        <v>35</v>
      </c>
      <c r="B21" s="64"/>
      <c r="C21" s="66"/>
      <c r="D21" s="66"/>
      <c r="E21" s="66"/>
      <c r="F21" s="11" t="s">
        <v>36</v>
      </c>
      <c r="G21" s="8"/>
    </row>
    <row r="22" spans="1:7" ht="22" customHeight="1" x14ac:dyDescent="0.55000000000000004">
      <c r="A22" s="75" t="s">
        <v>37</v>
      </c>
      <c r="B22" s="59"/>
      <c r="C22" s="66"/>
      <c r="D22" s="66"/>
      <c r="E22" s="66"/>
      <c r="F22" s="12" t="s">
        <v>38</v>
      </c>
      <c r="G22" s="4"/>
    </row>
    <row r="23" spans="1:7" ht="22" customHeight="1" x14ac:dyDescent="0.55000000000000004">
      <c r="A23" s="63" t="s">
        <v>39</v>
      </c>
      <c r="B23" s="64"/>
      <c r="C23" s="66"/>
      <c r="D23" s="66"/>
      <c r="E23" s="66"/>
      <c r="F23" s="11" t="s">
        <v>40</v>
      </c>
      <c r="G23" s="8"/>
    </row>
    <row r="24" spans="1:7" ht="22" customHeight="1" x14ac:dyDescent="0.55000000000000004">
      <c r="A24" s="75" t="s">
        <v>41</v>
      </c>
      <c r="B24" s="59"/>
      <c r="C24" s="66"/>
      <c r="D24" s="66"/>
      <c r="E24" s="66"/>
      <c r="F24" s="12" t="s">
        <v>42</v>
      </c>
      <c r="G24" s="4"/>
    </row>
    <row r="25" spans="1:7" ht="22" customHeight="1" x14ac:dyDescent="0.55000000000000004">
      <c r="A25" s="63" t="s">
        <v>43</v>
      </c>
      <c r="B25" s="64"/>
      <c r="C25" s="66"/>
      <c r="D25" s="66"/>
      <c r="E25" s="66"/>
      <c r="F25" s="11" t="s">
        <v>44</v>
      </c>
      <c r="G25" s="8"/>
    </row>
    <row r="26" spans="1:7" ht="5.05" customHeight="1" x14ac:dyDescent="0.55000000000000004">
      <c r="A26" s="5"/>
      <c r="B26" s="5"/>
      <c r="C26" s="5"/>
      <c r="D26" s="5"/>
      <c r="E26" s="5"/>
      <c r="F26" s="5"/>
      <c r="G26" s="5"/>
    </row>
    <row r="27" spans="1:7" ht="24" customHeight="1" x14ac:dyDescent="0.55000000000000004">
      <c r="A27" s="95" t="s">
        <v>45</v>
      </c>
      <c r="B27" s="96"/>
      <c r="C27" s="96"/>
      <c r="D27" s="96"/>
      <c r="E27" s="96"/>
      <c r="F27" s="96"/>
      <c r="G27" s="96"/>
    </row>
    <row r="28" spans="1:7" ht="22" customHeight="1" x14ac:dyDescent="0.55000000000000004">
      <c r="A28" s="70" t="s">
        <v>46</v>
      </c>
      <c r="B28" s="59"/>
      <c r="C28" s="59"/>
      <c r="D28" s="59"/>
      <c r="E28" s="59"/>
      <c r="F28" s="59"/>
      <c r="G28" s="59"/>
    </row>
    <row r="29" spans="1:7" ht="18" customHeight="1" x14ac:dyDescent="0.55000000000000004">
      <c r="A29" s="6"/>
      <c r="B29" s="6" t="s">
        <v>47</v>
      </c>
      <c r="C29" s="6"/>
      <c r="D29" s="6" t="s">
        <v>48</v>
      </c>
      <c r="E29" s="6"/>
      <c r="F29" s="6" t="s">
        <v>49</v>
      </c>
      <c r="G29" s="6" t="s">
        <v>50</v>
      </c>
    </row>
    <row r="30" spans="1:7" ht="26.05" customHeight="1" x14ac:dyDescent="0.55000000000000004">
      <c r="A30" s="75" t="s">
        <v>51</v>
      </c>
      <c r="B30" s="59"/>
      <c r="C30" s="7" t="s">
        <v>52</v>
      </c>
      <c r="D30" s="58" t="s">
        <v>53</v>
      </c>
      <c r="E30" s="59"/>
      <c r="F30" s="84" t="s">
        <v>54</v>
      </c>
      <c r="G30" s="59"/>
    </row>
    <row r="31" spans="1:7" ht="26.05" customHeight="1" x14ac:dyDescent="0.55000000000000004">
      <c r="A31" s="63" t="s">
        <v>55</v>
      </c>
      <c r="B31" s="64"/>
      <c r="C31" s="13"/>
      <c r="D31" s="67" t="s">
        <v>56</v>
      </c>
      <c r="E31" s="64"/>
      <c r="F31" s="87" t="s">
        <v>57</v>
      </c>
      <c r="G31" s="64"/>
    </row>
    <row r="32" spans="1:7" ht="26.05" customHeight="1" x14ac:dyDescent="0.55000000000000004">
      <c r="A32" s="75" t="s">
        <v>58</v>
      </c>
      <c r="B32" s="59"/>
      <c r="C32" s="7" t="s">
        <v>59</v>
      </c>
      <c r="D32" s="58" t="s">
        <v>60</v>
      </c>
      <c r="E32" s="59"/>
      <c r="F32" s="84" t="s">
        <v>61</v>
      </c>
      <c r="G32" s="59"/>
    </row>
    <row r="33" spans="1:7" ht="26.05" customHeight="1" x14ac:dyDescent="0.55000000000000004">
      <c r="A33" s="63" t="s">
        <v>62</v>
      </c>
      <c r="B33" s="64"/>
      <c r="C33" s="7" t="s">
        <v>63</v>
      </c>
      <c r="D33" s="67" t="s">
        <v>64</v>
      </c>
      <c r="E33" s="64"/>
      <c r="F33" s="87" t="s">
        <v>65</v>
      </c>
      <c r="G33" s="64"/>
    </row>
    <row r="34" spans="1:7" ht="26.05" customHeight="1" x14ac:dyDescent="0.55000000000000004">
      <c r="A34" s="75" t="s">
        <v>66</v>
      </c>
      <c r="B34" s="59"/>
      <c r="C34" s="13"/>
      <c r="D34" s="58" t="s">
        <v>67</v>
      </c>
      <c r="E34" s="59"/>
      <c r="F34" s="84" t="s">
        <v>68</v>
      </c>
      <c r="G34" s="59"/>
    </row>
    <row r="35" spans="1:7" ht="26.05" customHeight="1" x14ac:dyDescent="0.55000000000000004">
      <c r="A35" s="63" t="s">
        <v>69</v>
      </c>
      <c r="B35" s="64"/>
      <c r="C35" s="13"/>
      <c r="D35" s="67" t="s">
        <v>70</v>
      </c>
      <c r="E35" s="64"/>
      <c r="F35" s="87"/>
      <c r="G35" s="64"/>
    </row>
    <row r="36" spans="1:7" ht="26.05" customHeight="1" x14ac:dyDescent="0.55000000000000004">
      <c r="A36" s="75" t="s">
        <v>71</v>
      </c>
      <c r="B36" s="59"/>
      <c r="C36" s="13"/>
      <c r="D36" s="58" t="s">
        <v>72</v>
      </c>
      <c r="E36" s="59"/>
      <c r="F36" s="84" t="s">
        <v>73</v>
      </c>
      <c r="G36" s="59"/>
    </row>
    <row r="37" spans="1:7" ht="26.05" customHeight="1" x14ac:dyDescent="0.55000000000000004">
      <c r="A37" s="88" t="s">
        <v>74</v>
      </c>
      <c r="B37" s="64"/>
      <c r="C37" s="13"/>
      <c r="D37" s="67" t="s">
        <v>75</v>
      </c>
      <c r="E37" s="64"/>
      <c r="F37" s="87" t="s">
        <v>76</v>
      </c>
      <c r="G37" s="64"/>
    </row>
    <row r="38" spans="1:7" ht="26.05" customHeight="1" x14ac:dyDescent="0.55000000000000004">
      <c r="A38" s="75" t="s">
        <v>77</v>
      </c>
      <c r="B38" s="59"/>
      <c r="C38" s="13"/>
      <c r="D38" s="58" t="s">
        <v>78</v>
      </c>
      <c r="E38" s="59"/>
      <c r="F38" s="84" t="s">
        <v>79</v>
      </c>
      <c r="G38" s="59"/>
    </row>
    <row r="39" spans="1:7" ht="26.05" customHeight="1" x14ac:dyDescent="0.55000000000000004">
      <c r="A39" s="63" t="s">
        <v>80</v>
      </c>
      <c r="B39" s="64"/>
      <c r="C39" s="13"/>
      <c r="D39" s="67" t="s">
        <v>81</v>
      </c>
      <c r="E39" s="64"/>
      <c r="F39" s="87" t="s">
        <v>82</v>
      </c>
      <c r="G39" s="64"/>
    </row>
    <row r="40" spans="1:7" ht="5.05" customHeight="1" x14ac:dyDescent="0.55000000000000004">
      <c r="A40" s="5"/>
      <c r="B40" s="5"/>
      <c r="C40" s="5"/>
      <c r="D40" s="5"/>
      <c r="E40" s="5"/>
      <c r="F40" s="5"/>
      <c r="G40" s="5"/>
    </row>
    <row r="41" spans="1:7" ht="24" customHeight="1" x14ac:dyDescent="0.55000000000000004">
      <c r="A41" s="95" t="s">
        <v>83</v>
      </c>
      <c r="B41" s="96"/>
      <c r="C41" s="96"/>
      <c r="D41" s="96"/>
      <c r="E41" s="96"/>
      <c r="F41" s="96"/>
      <c r="G41" s="96"/>
    </row>
    <row r="42" spans="1:7" ht="22" customHeight="1" x14ac:dyDescent="0.55000000000000004">
      <c r="A42" s="70" t="s">
        <v>84</v>
      </c>
      <c r="B42" s="59"/>
      <c r="C42" s="59"/>
      <c r="D42" s="59"/>
      <c r="E42" s="59"/>
      <c r="F42" s="59"/>
      <c r="G42" s="59"/>
    </row>
    <row r="43" spans="1:7" ht="18" customHeight="1" x14ac:dyDescent="0.55000000000000004">
      <c r="A43" s="6"/>
      <c r="B43" s="6" t="s">
        <v>85</v>
      </c>
      <c r="C43" s="6"/>
      <c r="D43" s="6" t="s">
        <v>86</v>
      </c>
      <c r="E43" s="6"/>
      <c r="F43" s="6" t="s">
        <v>49</v>
      </c>
      <c r="G43" s="6" t="s">
        <v>50</v>
      </c>
    </row>
    <row r="44" spans="1:7" ht="24" customHeight="1" x14ac:dyDescent="0.55000000000000004">
      <c r="A44" s="75" t="s">
        <v>87</v>
      </c>
      <c r="B44" s="59"/>
      <c r="C44" s="13"/>
      <c r="D44" s="58" t="s">
        <v>88</v>
      </c>
      <c r="E44" s="59"/>
      <c r="F44" s="84" t="s">
        <v>89</v>
      </c>
      <c r="G44" s="59"/>
    </row>
    <row r="45" spans="1:7" ht="24" customHeight="1" x14ac:dyDescent="0.55000000000000004">
      <c r="A45" s="63" t="s">
        <v>90</v>
      </c>
      <c r="B45" s="64"/>
      <c r="C45" s="13"/>
      <c r="D45" s="67" t="s">
        <v>91</v>
      </c>
      <c r="E45" s="64"/>
      <c r="F45" s="87"/>
      <c r="G45" s="64"/>
    </row>
    <row r="46" spans="1:7" ht="24" customHeight="1" x14ac:dyDescent="0.55000000000000004">
      <c r="A46" s="75" t="s">
        <v>92</v>
      </c>
      <c r="B46" s="59"/>
      <c r="C46" s="14">
        <f>IF(AND(C44&gt;0,C45&gt;0),C45-C44,0)</f>
        <v>0</v>
      </c>
      <c r="D46" s="58" t="s">
        <v>93</v>
      </c>
      <c r="E46" s="59"/>
      <c r="F46" s="84" t="s">
        <v>94</v>
      </c>
      <c r="G46" s="59"/>
    </row>
    <row r="47" spans="1:7" ht="24" customHeight="1" x14ac:dyDescent="0.55000000000000004">
      <c r="A47" s="60" t="s">
        <v>95</v>
      </c>
      <c r="B47" s="61"/>
      <c r="C47" s="15" t="str">
        <f>IF(C46&gt;=730,"EVET — 2 Yıl Sağlandı","HAYIR — Süre Yetersiz")</f>
        <v>HAYIR — Süre Yetersiz</v>
      </c>
      <c r="D47" s="80" t="s">
        <v>96</v>
      </c>
      <c r="E47" s="61"/>
      <c r="F47" s="94" t="s">
        <v>97</v>
      </c>
      <c r="G47" s="61"/>
    </row>
    <row r="48" spans="1:7" ht="52" customHeight="1" x14ac:dyDescent="0.55000000000000004">
      <c r="A48" s="73" t="s">
        <v>98</v>
      </c>
      <c r="B48" s="74"/>
      <c r="C48" s="74"/>
      <c r="D48" s="74"/>
      <c r="E48" s="74"/>
      <c r="F48" s="74"/>
      <c r="G48" s="74"/>
    </row>
    <row r="49" spans="1:7" ht="5.05" customHeight="1" x14ac:dyDescent="0.55000000000000004">
      <c r="A49" s="5"/>
      <c r="B49" s="5"/>
      <c r="C49" s="5"/>
      <c r="D49" s="5"/>
      <c r="E49" s="5"/>
      <c r="F49" s="5"/>
      <c r="G49" s="5"/>
    </row>
    <row r="50" spans="1:7" ht="22" customHeight="1" x14ac:dyDescent="0.55000000000000004">
      <c r="A50" s="95" t="s">
        <v>99</v>
      </c>
      <c r="B50" s="96"/>
      <c r="C50" s="96"/>
      <c r="D50" s="96"/>
      <c r="E50" s="96"/>
      <c r="F50" s="96"/>
      <c r="G50" s="96"/>
    </row>
    <row r="51" spans="1:7" ht="18" customHeight="1" x14ac:dyDescent="0.55000000000000004">
      <c r="A51" s="6"/>
      <c r="B51" s="6" t="s">
        <v>100</v>
      </c>
      <c r="C51" s="6" t="s">
        <v>101</v>
      </c>
      <c r="D51" s="6" t="s">
        <v>102</v>
      </c>
      <c r="E51" s="6"/>
      <c r="F51" s="6" t="s">
        <v>103</v>
      </c>
      <c r="G51" s="6"/>
    </row>
    <row r="52" spans="1:7" ht="26.05" customHeight="1" x14ac:dyDescent="0.55000000000000004">
      <c r="A52" s="60" t="s">
        <v>104</v>
      </c>
      <c r="B52" s="61"/>
      <c r="C52" s="16" t="s">
        <v>105</v>
      </c>
      <c r="D52" s="17" t="s">
        <v>3</v>
      </c>
      <c r="E52" s="104" t="s">
        <v>106</v>
      </c>
      <c r="F52" s="61"/>
      <c r="G52" s="9"/>
    </row>
    <row r="53" spans="1:7" ht="26.05" customHeight="1" x14ac:dyDescent="0.55000000000000004">
      <c r="A53" s="79" t="s">
        <v>107</v>
      </c>
      <c r="B53" s="59"/>
      <c r="C53" s="18" t="s">
        <v>108</v>
      </c>
      <c r="D53" s="19" t="s">
        <v>5</v>
      </c>
      <c r="E53" s="81" t="s">
        <v>109</v>
      </c>
      <c r="F53" s="59"/>
      <c r="G53" s="4"/>
    </row>
    <row r="54" spans="1:7" ht="22" customHeight="1" x14ac:dyDescent="0.55000000000000004">
      <c r="A54" s="71" t="s">
        <v>110</v>
      </c>
      <c r="B54" s="66"/>
      <c r="C54" s="7" t="s">
        <v>16</v>
      </c>
      <c r="D54" s="110" t="s">
        <v>111</v>
      </c>
      <c r="E54" s="66"/>
      <c r="F54" s="66"/>
      <c r="G54" s="66"/>
    </row>
    <row r="55" spans="1:7" ht="5.05" customHeight="1" x14ac:dyDescent="0.55000000000000004">
      <c r="A55" s="5"/>
      <c r="B55" s="5"/>
      <c r="C55" s="5"/>
      <c r="D55" s="5"/>
      <c r="E55" s="5"/>
      <c r="F55" s="5"/>
      <c r="G55" s="5"/>
    </row>
    <row r="56" spans="1:7" ht="24" customHeight="1" x14ac:dyDescent="0.55000000000000004">
      <c r="A56" s="95" t="s">
        <v>112</v>
      </c>
      <c r="B56" s="96"/>
      <c r="C56" s="96"/>
      <c r="D56" s="96"/>
      <c r="E56" s="96"/>
      <c r="F56" s="96"/>
      <c r="G56" s="96"/>
    </row>
    <row r="57" spans="1:7" ht="24" customHeight="1" x14ac:dyDescent="0.55000000000000004">
      <c r="A57" s="70" t="s">
        <v>113</v>
      </c>
      <c r="B57" s="59"/>
      <c r="C57" s="59"/>
      <c r="D57" s="59"/>
      <c r="E57" s="59"/>
      <c r="F57" s="59"/>
      <c r="G57" s="59"/>
    </row>
    <row r="58" spans="1:7" ht="18" customHeight="1" x14ac:dyDescent="0.55000000000000004">
      <c r="A58" s="6"/>
      <c r="B58" s="6" t="s">
        <v>85</v>
      </c>
      <c r="C58" s="6"/>
      <c r="D58" s="6" t="s">
        <v>114</v>
      </c>
      <c r="E58" s="6"/>
      <c r="F58" s="6" t="s">
        <v>49</v>
      </c>
      <c r="G58" s="6" t="s">
        <v>115</v>
      </c>
    </row>
    <row r="59" spans="1:7" ht="26.05" customHeight="1" x14ac:dyDescent="0.55000000000000004">
      <c r="A59" s="63" t="s">
        <v>116</v>
      </c>
      <c r="B59" s="64"/>
      <c r="C59" s="20">
        <f>B36</f>
        <v>0</v>
      </c>
      <c r="D59" s="67" t="s">
        <v>117</v>
      </c>
      <c r="E59" s="64"/>
      <c r="F59" s="72" t="s">
        <v>118</v>
      </c>
      <c r="G59" s="64"/>
    </row>
    <row r="60" spans="1:7" ht="26.05" customHeight="1" x14ac:dyDescent="0.55000000000000004">
      <c r="A60" s="75" t="s">
        <v>119</v>
      </c>
      <c r="B60" s="59"/>
      <c r="C60" s="20">
        <f>B38*B34</f>
        <v>0</v>
      </c>
      <c r="D60" s="58" t="s">
        <v>120</v>
      </c>
      <c r="E60" s="59"/>
      <c r="F60" s="62" t="s">
        <v>121</v>
      </c>
      <c r="G60" s="59"/>
    </row>
    <row r="61" spans="1:7" ht="26.05" customHeight="1" x14ac:dyDescent="0.55000000000000004">
      <c r="A61" s="63" t="s">
        <v>122</v>
      </c>
      <c r="B61" s="64"/>
      <c r="C61" s="20">
        <f>B39</f>
        <v>0</v>
      </c>
      <c r="D61" s="67" t="s">
        <v>123</v>
      </c>
      <c r="E61" s="64"/>
      <c r="F61" s="72" t="s">
        <v>124</v>
      </c>
      <c r="G61" s="64"/>
    </row>
    <row r="62" spans="1:7" ht="26.05" customHeight="1" x14ac:dyDescent="0.55000000000000004">
      <c r="A62" s="75" t="s">
        <v>125</v>
      </c>
      <c r="B62" s="59"/>
      <c r="C62" s="20">
        <f>C59-C60-C61</f>
        <v>0</v>
      </c>
      <c r="D62" s="58" t="s">
        <v>126</v>
      </c>
      <c r="E62" s="59"/>
      <c r="F62" s="62" t="s">
        <v>127</v>
      </c>
      <c r="G62" s="59"/>
    </row>
    <row r="63" spans="1:7" ht="26.05" customHeight="1" x14ac:dyDescent="0.55000000000000004">
      <c r="A63" s="63" t="s">
        <v>128</v>
      </c>
      <c r="B63" s="64"/>
      <c r="C63" s="13"/>
      <c r="D63" s="67" t="s">
        <v>129</v>
      </c>
      <c r="E63" s="64"/>
      <c r="F63" s="72" t="s">
        <v>130</v>
      </c>
      <c r="G63" s="64"/>
    </row>
    <row r="64" spans="1:7" ht="26.05" customHeight="1" x14ac:dyDescent="0.55000000000000004">
      <c r="A64" s="60" t="s">
        <v>131</v>
      </c>
      <c r="B64" s="61"/>
      <c r="C64" s="21">
        <f>IF(C62&gt;0,C62*C63,0)</f>
        <v>0</v>
      </c>
      <c r="D64" s="80" t="s">
        <v>132</v>
      </c>
      <c r="E64" s="61"/>
      <c r="F64" s="100" t="s">
        <v>133</v>
      </c>
      <c r="G64" s="61"/>
    </row>
    <row r="65" spans="1:7" ht="26.05" customHeight="1" x14ac:dyDescent="0.55000000000000004">
      <c r="A65" s="63" t="s">
        <v>134</v>
      </c>
      <c r="B65" s="64"/>
      <c r="C65" s="20">
        <f>IF(C62&gt;0,C62-C64,0)</f>
        <v>0</v>
      </c>
      <c r="D65" s="67" t="s">
        <v>135</v>
      </c>
      <c r="E65" s="64"/>
      <c r="F65" s="72"/>
      <c r="G65" s="64"/>
    </row>
    <row r="66" spans="1:7" ht="26.05" customHeight="1" x14ac:dyDescent="0.55000000000000004">
      <c r="A66" s="111" t="s">
        <v>136</v>
      </c>
      <c r="B66" s="90"/>
      <c r="C66" s="23">
        <f>IF(C62&lt;0,ABS(C62)*C63,0)</f>
        <v>0</v>
      </c>
      <c r="D66" s="89" t="s">
        <v>137</v>
      </c>
      <c r="E66" s="90"/>
      <c r="F66" s="91" t="s">
        <v>138</v>
      </c>
      <c r="G66" s="90"/>
    </row>
    <row r="67" spans="1:7" ht="26.05" customHeight="1" x14ac:dyDescent="0.55000000000000004">
      <c r="A67" s="60" t="s">
        <v>139</v>
      </c>
      <c r="B67" s="61"/>
      <c r="C67" s="21">
        <f>C64</f>
        <v>0</v>
      </c>
      <c r="D67" s="80" t="s">
        <v>140</v>
      </c>
      <c r="E67" s="61"/>
      <c r="F67" s="100" t="s">
        <v>141</v>
      </c>
      <c r="G67" s="61"/>
    </row>
    <row r="68" spans="1:7" ht="5.05" customHeight="1" x14ac:dyDescent="0.55000000000000004">
      <c r="A68" s="5"/>
      <c r="B68" s="5"/>
      <c r="C68" s="5"/>
      <c r="D68" s="5"/>
      <c r="E68" s="5"/>
      <c r="F68" s="5"/>
      <c r="G68" s="5"/>
    </row>
    <row r="69" spans="1:7" ht="24" customHeight="1" x14ac:dyDescent="0.55000000000000004">
      <c r="A69" s="95" t="s">
        <v>142</v>
      </c>
      <c r="B69" s="96"/>
      <c r="C69" s="96"/>
      <c r="D69" s="96"/>
      <c r="E69" s="96"/>
      <c r="F69" s="96"/>
      <c r="G69" s="96"/>
    </row>
    <row r="70" spans="1:7" ht="18" customHeight="1" x14ac:dyDescent="0.55000000000000004">
      <c r="A70" s="6"/>
      <c r="B70" s="6" t="s">
        <v>143</v>
      </c>
      <c r="C70" s="6"/>
      <c r="D70" s="6" t="s">
        <v>144</v>
      </c>
      <c r="E70" s="6"/>
      <c r="F70" s="6" t="s">
        <v>49</v>
      </c>
      <c r="G70" s="6" t="s">
        <v>115</v>
      </c>
    </row>
    <row r="71" spans="1:7" ht="26.05" customHeight="1" x14ac:dyDescent="0.55000000000000004">
      <c r="A71" s="63" t="s">
        <v>145</v>
      </c>
      <c r="B71" s="64"/>
      <c r="C71" s="10">
        <f>C67</f>
        <v>0</v>
      </c>
      <c r="D71" s="67" t="s">
        <v>146</v>
      </c>
      <c r="E71" s="64"/>
      <c r="F71" s="72" t="s">
        <v>147</v>
      </c>
      <c r="G71" s="64"/>
    </row>
    <row r="72" spans="1:7" ht="26.05" customHeight="1" x14ac:dyDescent="0.55000000000000004">
      <c r="A72" s="75" t="s">
        <v>148</v>
      </c>
      <c r="B72" s="59"/>
      <c r="C72" s="13"/>
      <c r="D72" s="58" t="s">
        <v>149</v>
      </c>
      <c r="E72" s="59"/>
      <c r="F72" s="62" t="s">
        <v>150</v>
      </c>
      <c r="G72" s="59"/>
    </row>
    <row r="73" spans="1:7" ht="26.05" customHeight="1" x14ac:dyDescent="0.55000000000000004">
      <c r="A73" s="63" t="s">
        <v>151</v>
      </c>
      <c r="B73" s="64"/>
      <c r="C73" s="24" t="s">
        <v>19</v>
      </c>
      <c r="D73" s="67" t="s">
        <v>152</v>
      </c>
      <c r="E73" s="64"/>
      <c r="F73" s="72" t="s">
        <v>153</v>
      </c>
      <c r="G73" s="64"/>
    </row>
    <row r="74" spans="1:7" ht="26.05" customHeight="1" x14ac:dyDescent="0.55000000000000004">
      <c r="A74" s="75" t="s">
        <v>154</v>
      </c>
      <c r="B74" s="59"/>
      <c r="C74" s="13"/>
      <c r="D74" s="58" t="s">
        <v>155</v>
      </c>
      <c r="E74" s="59"/>
      <c r="F74" s="62" t="s">
        <v>156</v>
      </c>
      <c r="G74" s="59"/>
    </row>
    <row r="75" spans="1:7" ht="26.05" customHeight="1" x14ac:dyDescent="0.55000000000000004">
      <c r="A75" s="63" t="s">
        <v>157</v>
      </c>
      <c r="B75" s="64"/>
      <c r="C75" s="24" t="s">
        <v>158</v>
      </c>
      <c r="D75" s="67" t="s">
        <v>159</v>
      </c>
      <c r="E75" s="64"/>
      <c r="F75" s="72" t="s">
        <v>160</v>
      </c>
      <c r="G75" s="64"/>
    </row>
    <row r="76" spans="1:7" ht="26.05" customHeight="1" x14ac:dyDescent="0.55000000000000004">
      <c r="A76" s="75" t="s">
        <v>161</v>
      </c>
      <c r="B76" s="59"/>
      <c r="C76" s="13"/>
      <c r="D76" s="58" t="s">
        <v>162</v>
      </c>
      <c r="E76" s="59"/>
      <c r="F76" s="62" t="s">
        <v>163</v>
      </c>
      <c r="G76" s="59"/>
    </row>
    <row r="77" spans="1:7" ht="26.05" customHeight="1" x14ac:dyDescent="0.55000000000000004">
      <c r="A77" s="63" t="s">
        <v>164</v>
      </c>
      <c r="B77" s="64"/>
      <c r="C77" s="24" t="s">
        <v>165</v>
      </c>
      <c r="D77" s="67" t="s">
        <v>166</v>
      </c>
      <c r="E77" s="64"/>
      <c r="F77" s="72" t="s">
        <v>167</v>
      </c>
      <c r="G77" s="64"/>
    </row>
    <row r="78" spans="1:7" ht="5.05" customHeight="1" x14ac:dyDescent="0.55000000000000004">
      <c r="A78" s="5"/>
      <c r="B78" s="5"/>
      <c r="C78" s="5"/>
      <c r="D78" s="5"/>
      <c r="E78" s="5"/>
      <c r="F78" s="5"/>
      <c r="G78" s="5"/>
    </row>
    <row r="79" spans="1:7" ht="24" customHeight="1" x14ac:dyDescent="0.55000000000000004">
      <c r="A79" s="76" t="s">
        <v>168</v>
      </c>
      <c r="B79" s="77"/>
      <c r="C79" s="77"/>
      <c r="D79" s="77"/>
      <c r="E79" s="77"/>
      <c r="F79" s="77"/>
      <c r="G79" s="77"/>
    </row>
    <row r="80" spans="1:7" ht="22" customHeight="1" x14ac:dyDescent="0.55000000000000004">
      <c r="A80" s="97" t="s">
        <v>169</v>
      </c>
      <c r="B80" s="61"/>
      <c r="C80" s="61"/>
      <c r="D80" s="61"/>
      <c r="E80" s="61"/>
      <c r="F80" s="61"/>
      <c r="G80" s="61"/>
    </row>
    <row r="81" spans="1:7" ht="18" customHeight="1" x14ac:dyDescent="0.55000000000000004">
      <c r="A81" s="6"/>
      <c r="B81" s="6" t="s">
        <v>170</v>
      </c>
      <c r="C81" s="6"/>
      <c r="D81" s="6" t="s">
        <v>171</v>
      </c>
      <c r="E81" s="6"/>
      <c r="F81" s="6" t="s">
        <v>49</v>
      </c>
      <c r="G81" s="6" t="s">
        <v>172</v>
      </c>
    </row>
    <row r="82" spans="1:7" ht="26.05" customHeight="1" x14ac:dyDescent="0.55000000000000004">
      <c r="A82" s="75" t="s">
        <v>173</v>
      </c>
      <c r="B82" s="59"/>
      <c r="C82" s="7" t="s">
        <v>19</v>
      </c>
      <c r="D82" s="58" t="s">
        <v>174</v>
      </c>
      <c r="E82" s="59"/>
      <c r="F82" s="65" t="s">
        <v>172</v>
      </c>
      <c r="G82" s="59"/>
    </row>
    <row r="83" spans="1:7" ht="26.05" customHeight="1" x14ac:dyDescent="0.55000000000000004">
      <c r="A83" s="63" t="s">
        <v>175</v>
      </c>
      <c r="B83" s="64"/>
      <c r="C83" s="7" t="s">
        <v>19</v>
      </c>
      <c r="D83" s="67" t="s">
        <v>176</v>
      </c>
      <c r="E83" s="64"/>
      <c r="F83" s="85" t="s">
        <v>177</v>
      </c>
      <c r="G83" s="64"/>
    </row>
    <row r="84" spans="1:7" ht="26.05" customHeight="1" x14ac:dyDescent="0.55000000000000004">
      <c r="A84" s="75" t="s">
        <v>178</v>
      </c>
      <c r="B84" s="59"/>
      <c r="C84" s="7" t="s">
        <v>19</v>
      </c>
      <c r="D84" s="58" t="s">
        <v>179</v>
      </c>
      <c r="E84" s="59"/>
      <c r="F84" s="65" t="s">
        <v>177</v>
      </c>
      <c r="G84" s="59"/>
    </row>
    <row r="85" spans="1:7" ht="5.05" customHeight="1" x14ac:dyDescent="0.55000000000000004">
      <c r="A85" s="5"/>
      <c r="B85" s="5"/>
      <c r="C85" s="5"/>
      <c r="D85" s="5"/>
      <c r="E85" s="5"/>
      <c r="F85" s="5"/>
      <c r="G85" s="5"/>
    </row>
    <row r="86" spans="1:7" ht="26.05" customHeight="1" x14ac:dyDescent="0.55000000000000004">
      <c r="A86" s="109" t="s">
        <v>180</v>
      </c>
      <c r="B86" s="96"/>
      <c r="C86" s="96"/>
      <c r="D86" s="96"/>
      <c r="E86" s="96"/>
      <c r="F86" s="96"/>
      <c r="G86" s="96"/>
    </row>
    <row r="87" spans="1:7" ht="30" customHeight="1" x14ac:dyDescent="0.55000000000000004">
      <c r="A87" s="106" t="s">
        <v>181</v>
      </c>
      <c r="B87" s="61"/>
      <c r="C87" s="61"/>
      <c r="D87" s="61"/>
      <c r="E87" s="25">
        <f>C64</f>
        <v>0</v>
      </c>
      <c r="F87" s="103" t="s">
        <v>182</v>
      </c>
      <c r="G87" s="61"/>
    </row>
    <row r="88" spans="1:7" ht="52" customHeight="1" x14ac:dyDescent="0.55000000000000004">
      <c r="A88" s="112" t="s">
        <v>183</v>
      </c>
      <c r="B88" s="113"/>
      <c r="C88" s="113"/>
      <c r="D88" s="113"/>
      <c r="E88" s="113"/>
      <c r="F88" s="113"/>
      <c r="G88" s="113"/>
    </row>
  </sheetData>
  <mergeCells count="156">
    <mergeCell ref="A84:B84"/>
    <mergeCell ref="D32:E32"/>
    <mergeCell ref="A66:B66"/>
    <mergeCell ref="F32:G32"/>
    <mergeCell ref="F35:G35"/>
    <mergeCell ref="A88:G88"/>
    <mergeCell ref="F38:G38"/>
    <mergeCell ref="A47:B47"/>
    <mergeCell ref="A41:G41"/>
    <mergeCell ref="F67:G67"/>
    <mergeCell ref="F37:G37"/>
    <mergeCell ref="D74:E74"/>
    <mergeCell ref="A72:B72"/>
    <mergeCell ref="A56:G56"/>
    <mergeCell ref="D82:E82"/>
    <mergeCell ref="F82:G82"/>
    <mergeCell ref="F60:G60"/>
    <mergeCell ref="A44:B44"/>
    <mergeCell ref="D44:E44"/>
    <mergeCell ref="D59:E59"/>
    <mergeCell ref="A42:G42"/>
    <mergeCell ref="A82:B82"/>
    <mergeCell ref="A60:B60"/>
    <mergeCell ref="F65:G65"/>
    <mergeCell ref="A20:G20"/>
    <mergeCell ref="D46:E46"/>
    <mergeCell ref="D54:G54"/>
    <mergeCell ref="F59:G59"/>
    <mergeCell ref="F12:G12"/>
    <mergeCell ref="A25:B25"/>
    <mergeCell ref="A18:D18"/>
    <mergeCell ref="A27:G27"/>
    <mergeCell ref="A31:B31"/>
    <mergeCell ref="A83:B83"/>
    <mergeCell ref="F87:G87"/>
    <mergeCell ref="D63:E63"/>
    <mergeCell ref="A36:B36"/>
    <mergeCell ref="E52:F52"/>
    <mergeCell ref="A10:D10"/>
    <mergeCell ref="D65:E65"/>
    <mergeCell ref="A65:B65"/>
    <mergeCell ref="A75:B75"/>
    <mergeCell ref="F36:G36"/>
    <mergeCell ref="A21:B21"/>
    <mergeCell ref="A32:B32"/>
    <mergeCell ref="A87:D87"/>
    <mergeCell ref="A23:B23"/>
    <mergeCell ref="D83:E83"/>
    <mergeCell ref="F77:G77"/>
    <mergeCell ref="A38:B38"/>
    <mergeCell ref="D30:E30"/>
    <mergeCell ref="A12:D12"/>
    <mergeCell ref="D67:E67"/>
    <mergeCell ref="A50:G50"/>
    <mergeCell ref="A86:G86"/>
    <mergeCell ref="F14:G14"/>
    <mergeCell ref="A67:B67"/>
    <mergeCell ref="A80:G80"/>
    <mergeCell ref="A52:B52"/>
    <mergeCell ref="A3:G3"/>
    <mergeCell ref="A63:B63"/>
    <mergeCell ref="B5:F5"/>
    <mergeCell ref="D38:E38"/>
    <mergeCell ref="F44:G44"/>
    <mergeCell ref="A57:G57"/>
    <mergeCell ref="F64:G64"/>
    <mergeCell ref="A34:B34"/>
    <mergeCell ref="A77:B77"/>
    <mergeCell ref="B4:F4"/>
    <mergeCell ref="F73:G73"/>
    <mergeCell ref="A6:G6"/>
    <mergeCell ref="A14:D14"/>
    <mergeCell ref="F11:G11"/>
    <mergeCell ref="A24:B24"/>
    <mergeCell ref="F75:G75"/>
    <mergeCell ref="D47:E47"/>
    <mergeCell ref="A1:G1"/>
    <mergeCell ref="F47:G47"/>
    <mergeCell ref="F62:G62"/>
    <mergeCell ref="A71:B71"/>
    <mergeCell ref="A69:G69"/>
    <mergeCell ref="D37:E37"/>
    <mergeCell ref="F31:G31"/>
    <mergeCell ref="F46:G46"/>
    <mergeCell ref="C24:E24"/>
    <mergeCell ref="D39:E39"/>
    <mergeCell ref="F61:G61"/>
    <mergeCell ref="F39:G39"/>
    <mergeCell ref="A2:G2"/>
    <mergeCell ref="A8:G8"/>
    <mergeCell ref="F10:G10"/>
    <mergeCell ref="D34:E34"/>
    <mergeCell ref="F63:G63"/>
    <mergeCell ref="C22:E22"/>
    <mergeCell ref="F34:G34"/>
    <mergeCell ref="A45:B45"/>
    <mergeCell ref="A61:B61"/>
    <mergeCell ref="F74:G74"/>
    <mergeCell ref="F30:G30"/>
    <mergeCell ref="F18:G18"/>
    <mergeCell ref="F33:G33"/>
    <mergeCell ref="A37:B37"/>
    <mergeCell ref="F45:G45"/>
    <mergeCell ref="A46:B46"/>
    <mergeCell ref="A11:D11"/>
    <mergeCell ref="D66:E66"/>
    <mergeCell ref="F17:G17"/>
    <mergeCell ref="F66:G66"/>
    <mergeCell ref="A13:D13"/>
    <mergeCell ref="A28:G28"/>
    <mergeCell ref="D77:E77"/>
    <mergeCell ref="A54:B54"/>
    <mergeCell ref="F15:G15"/>
    <mergeCell ref="C23:E23"/>
    <mergeCell ref="A48:G48"/>
    <mergeCell ref="A15:D15"/>
    <mergeCell ref="D61:E61"/>
    <mergeCell ref="A74:B74"/>
    <mergeCell ref="D72:E72"/>
    <mergeCell ref="F72:G72"/>
    <mergeCell ref="A33:B33"/>
    <mergeCell ref="A76:B76"/>
    <mergeCell ref="D62:E62"/>
    <mergeCell ref="A16:D16"/>
    <mergeCell ref="F13:G13"/>
    <mergeCell ref="D71:E71"/>
    <mergeCell ref="F71:G71"/>
    <mergeCell ref="A22:B22"/>
    <mergeCell ref="A53:B53"/>
    <mergeCell ref="A35:B35"/>
    <mergeCell ref="A62:B62"/>
    <mergeCell ref="D64:E64"/>
    <mergeCell ref="D60:E60"/>
    <mergeCell ref="A64:B64"/>
    <mergeCell ref="F16:G16"/>
    <mergeCell ref="A73:B73"/>
    <mergeCell ref="D84:E84"/>
    <mergeCell ref="F84:G84"/>
    <mergeCell ref="C21:E21"/>
    <mergeCell ref="D31:E31"/>
    <mergeCell ref="D36:E36"/>
    <mergeCell ref="D45:E45"/>
    <mergeCell ref="A79:G79"/>
    <mergeCell ref="D33:E33"/>
    <mergeCell ref="D73:E73"/>
    <mergeCell ref="E53:F53"/>
    <mergeCell ref="A39:B39"/>
    <mergeCell ref="D35:E35"/>
    <mergeCell ref="C25:E25"/>
    <mergeCell ref="A17:D17"/>
    <mergeCell ref="A30:B30"/>
    <mergeCell ref="A59:B59"/>
    <mergeCell ref="F83:G83"/>
    <mergeCell ref="D76:E76"/>
    <mergeCell ref="F76:G76"/>
    <mergeCell ref="D75:E75"/>
  </mergeCells>
  <conditionalFormatting sqref="C47">
    <cfRule type="containsText" dxfId="7" priority="3" operator="containsText" text="EVET">
      <formula>NOT(ISERROR(SEARCH("EVET",C47)))</formula>
    </cfRule>
    <cfRule type="containsText" dxfId="6" priority="4" operator="containsText" text="HAYIR">
      <formula>NOT(ISERROR(SEARCH("HAYIR",C47)))</formula>
    </cfRule>
  </conditionalFormatting>
  <conditionalFormatting sqref="E18">
    <cfRule type="containsText" dxfId="5" priority="1" operator="containsText" text="OK">
      <formula>NOT(ISERROR(SEARCH("OK",E18)))</formula>
    </cfRule>
    <cfRule type="containsText" dxfId="4" priority="2" operator="containsText" text="HATA">
      <formula>NOT(ISERROR(SEARCH("HATA",E18)))</formula>
    </cfRule>
  </conditionalFormatting>
  <dataValidations count="14">
    <dataValidation type="list" sqref="E10" xr:uid="{00000000-0002-0000-0000-000000000000}">
      <formula1>"İştirak Hissesi (Ortaklık Payı),Kurucu Senedi,İntifa Senedi,Rüçhan Hakkı,GS Yatırım Fonu Katılma Payı"</formula1>
    </dataValidation>
    <dataValidation type="list" sqref="E11 C54" xr:uid="{00000000-0002-0000-0000-000001000000}">
      <formula1>"27/11/2024 ÖNCESİ → %75,27/11/2024 SONRASI → %50"</formula1>
    </dataValidation>
    <dataValidation type="list" sqref="E12" xr:uid="{00000000-0002-0000-0000-000002000000}">
      <formula1>"EVET,HAYIR-İstisna Yok"</formula1>
    </dataValidation>
    <dataValidation type="list" sqref="E13" xr:uid="{00000000-0002-0000-0000-000003000000}">
      <formula1>"EVET — İştirak Amaçlı,HAYIR — Ticari Amaçlı (İstisna Yok)"</formula1>
    </dataValidation>
    <dataValidation type="list" sqref="E14" xr:uid="{00000000-0002-0000-0000-000004000000}">
      <formula1>"EVET,HAYIR-İstisna Geçersiz"</formula1>
    </dataValidation>
    <dataValidation type="list" sqref="E15" xr:uid="{00000000-0002-0000-0000-000005000000}">
      <formula1>"EVET,Uygulanmıyor"</formula1>
    </dataValidation>
    <dataValidation type="list" sqref="E16" xr:uid="{00000000-0002-0000-0000-000006000000}">
      <formula1>"EVET,Hayır-Risk"</formula1>
    </dataValidation>
    <dataValidation type="list" sqref="E17" xr:uid="{00000000-0002-0000-0000-000007000000}">
      <formula1>"EVET,Tam Tasdik"</formula1>
    </dataValidation>
    <dataValidation type="list" sqref="C30" xr:uid="{00000000-0002-0000-0000-000008000000}">
      <formula1>"İştirak Hissesi (A.Ş. Ortaklık Payı),İştirak Hissesi (Ltd. Şti. Payı),İştirak Hissesi (Kooperatif Payı),İştirak Hissesi (İş Ortaklığı Payı),Kurucu Senedi,İntifa Senedi,Rüçhan Hakkı Kuponu,GS Yatırım Fonu Katılma Payı"</formula1>
    </dataValidation>
    <dataValidation type="list" sqref="C32" xr:uid="{00000000-0002-0000-0000-000009000000}">
      <formula1>"Satın Alma,Bedelsiz (Sermaye Yedeklerinden),Bedelsiz (Kâr Yedeklerinden),Rüçhan Hakkı Kullanımı,Devir/Bölünme (Önceki Kurum Tarihi)"</formula1>
    </dataValidation>
    <dataValidation type="list" sqref="C33" xr:uid="{00000000-0002-0000-0000-00000A000000}">
      <formula1>"24 — Mali Duran Varlıklar,11 — Menkul Kıymetler (İstisna Yok)"</formula1>
    </dataValidation>
    <dataValidation type="list" sqref="C82" xr:uid="{00000000-0002-0000-0000-00000C000000}">
      <formula1>"EVET,HAYIR-Uygulanmaz"</formula1>
    </dataValidation>
    <dataValidation type="list" sqref="C83" xr:uid="{00000000-0002-0000-0000-00000D000000}">
      <formula1>"EVET,HAYIR-KDV Hesaplanır"</formula1>
    </dataValidation>
    <dataValidation type="list" sqref="C84" xr:uid="{00000000-0002-0000-0000-00000E000000}">
      <formula1>"EVET,HAYIR"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3" width="18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30" t="s">
        <v>184</v>
      </c>
      <c r="B1" s="96"/>
      <c r="C1" s="96"/>
      <c r="D1" s="96"/>
      <c r="E1" s="96"/>
      <c r="F1" s="96"/>
      <c r="G1" s="96"/>
    </row>
    <row r="2" spans="1:7" ht="20.05" customHeight="1" x14ac:dyDescent="0.55000000000000004">
      <c r="A2" s="107" t="s">
        <v>185</v>
      </c>
      <c r="B2" s="108"/>
      <c r="C2" s="108"/>
      <c r="D2" s="108"/>
      <c r="E2" s="108"/>
      <c r="F2" s="108"/>
      <c r="G2" s="108"/>
    </row>
    <row r="3" spans="1:7" ht="5.05" customHeight="1" x14ac:dyDescent="0.55000000000000004">
      <c r="A3" s="5"/>
      <c r="B3" s="5"/>
      <c r="C3" s="5"/>
      <c r="D3" s="5"/>
      <c r="E3" s="5"/>
      <c r="F3" s="5"/>
      <c r="G3" s="5"/>
    </row>
    <row r="4" spans="1:7" ht="22" customHeight="1" x14ac:dyDescent="0.55000000000000004">
      <c r="A4" s="131" t="s">
        <v>186</v>
      </c>
      <c r="B4" s="132"/>
      <c r="C4" s="132"/>
      <c r="D4" s="132"/>
      <c r="E4" s="132"/>
      <c r="F4" s="132"/>
      <c r="G4" s="132"/>
    </row>
    <row r="5" spans="1:7" ht="22" customHeight="1" x14ac:dyDescent="0.55000000000000004">
      <c r="A5" s="129" t="s">
        <v>187</v>
      </c>
      <c r="B5" s="64"/>
      <c r="C5" s="64"/>
      <c r="D5" s="14" t="str">
        <f>'VERİ GİRİŞİ'!E18</f>
        <v>OK - Hesaplanabilir</v>
      </c>
      <c r="E5" s="72" t="s">
        <v>188</v>
      </c>
      <c r="F5" s="64"/>
      <c r="G5" s="64"/>
    </row>
    <row r="6" spans="1:7" ht="22" customHeight="1" x14ac:dyDescent="0.55000000000000004">
      <c r="A6" s="128" t="s">
        <v>189</v>
      </c>
      <c r="B6" s="59"/>
      <c r="C6" s="59"/>
      <c r="D6" s="14" t="str">
        <f>'VERİ GİRİŞİ'!C47</f>
        <v>HAYIR — Süre Yetersiz</v>
      </c>
      <c r="E6" s="62" t="s">
        <v>190</v>
      </c>
      <c r="F6" s="59"/>
      <c r="G6" s="59"/>
    </row>
    <row r="7" spans="1:7" ht="22" customHeight="1" x14ac:dyDescent="0.55000000000000004">
      <c r="A7" s="129" t="s">
        <v>191</v>
      </c>
      <c r="B7" s="64"/>
      <c r="C7" s="64"/>
      <c r="D7" s="14">
        <f>'VERİ GİRİŞİ'!C46</f>
        <v>0</v>
      </c>
      <c r="E7" s="72" t="s">
        <v>192</v>
      </c>
      <c r="F7" s="64"/>
      <c r="G7" s="64"/>
    </row>
    <row r="8" spans="1:7" ht="22" customHeight="1" x14ac:dyDescent="0.55000000000000004">
      <c r="A8" s="128" t="s">
        <v>193</v>
      </c>
      <c r="B8" s="59"/>
      <c r="C8" s="59"/>
      <c r="D8" s="14" t="str">
        <f>'VERİ GİRİŞİ'!C54</f>
        <v>27/11/2024 SONRASI → %50</v>
      </c>
      <c r="E8" s="62" t="s">
        <v>194</v>
      </c>
      <c r="F8" s="59"/>
      <c r="G8" s="59"/>
    </row>
    <row r="9" spans="1:7" ht="22" customHeight="1" x14ac:dyDescent="0.55000000000000004">
      <c r="A9" s="129" t="s">
        <v>195</v>
      </c>
      <c r="B9" s="64"/>
      <c r="C9" s="64"/>
      <c r="D9" s="14">
        <f>'VERİ GİRİŞİ'!C62</f>
        <v>0</v>
      </c>
      <c r="E9" s="72" t="s">
        <v>196</v>
      </c>
      <c r="F9" s="64"/>
      <c r="G9" s="64"/>
    </row>
    <row r="10" spans="1:7" ht="22" customHeight="1" x14ac:dyDescent="0.55000000000000004">
      <c r="A10" s="114" t="s">
        <v>197</v>
      </c>
      <c r="B10" s="61"/>
      <c r="C10" s="61"/>
      <c r="D10" s="26">
        <f>'VERİ GİRİŞİ'!C64</f>
        <v>0</v>
      </c>
      <c r="E10" s="100"/>
      <c r="F10" s="61"/>
      <c r="G10" s="61"/>
    </row>
    <row r="11" spans="1:7" ht="22" customHeight="1" x14ac:dyDescent="0.55000000000000004">
      <c r="A11" s="136" t="s">
        <v>198</v>
      </c>
      <c r="B11" s="90"/>
      <c r="C11" s="90"/>
      <c r="D11" s="23">
        <f>'VERİ GİRİŞİ'!C66</f>
        <v>0</v>
      </c>
      <c r="E11" s="134" t="s">
        <v>199</v>
      </c>
      <c r="F11" s="90"/>
      <c r="G11" s="90"/>
    </row>
    <row r="12" spans="1:7" ht="22" customHeight="1" x14ac:dyDescent="0.55000000000000004">
      <c r="A12" s="128" t="s">
        <v>200</v>
      </c>
      <c r="B12" s="59"/>
      <c r="C12" s="59"/>
      <c r="D12" s="14">
        <f>'VERİ GİRİŞİ'!C67</f>
        <v>0</v>
      </c>
      <c r="E12" s="62" t="s">
        <v>201</v>
      </c>
      <c r="F12" s="59"/>
      <c r="G12" s="59"/>
    </row>
    <row r="13" spans="1:7" ht="22" customHeight="1" x14ac:dyDescent="0.55000000000000004">
      <c r="A13" s="129" t="s">
        <v>202</v>
      </c>
      <c r="B13" s="64"/>
      <c r="C13" s="64"/>
      <c r="D13" s="14" t="str">
        <f>'VERİ GİRİŞİ'!C84</f>
        <v>EVET</v>
      </c>
      <c r="E13" s="72" t="s">
        <v>203</v>
      </c>
      <c r="F13" s="64"/>
      <c r="G13" s="64"/>
    </row>
    <row r="14" spans="1:7" ht="5.05" customHeight="1" x14ac:dyDescent="0.55000000000000004">
      <c r="A14" s="5"/>
      <c r="B14" s="5"/>
      <c r="C14" s="5"/>
      <c r="D14" s="5"/>
      <c r="E14" s="5"/>
      <c r="F14" s="5"/>
      <c r="G14" s="5"/>
    </row>
    <row r="15" spans="1:7" ht="22" customHeight="1" x14ac:dyDescent="0.55000000000000004">
      <c r="A15" s="95" t="s">
        <v>204</v>
      </c>
      <c r="B15" s="96"/>
      <c r="C15" s="96"/>
      <c r="D15" s="96"/>
      <c r="E15" s="96"/>
      <c r="F15" s="96"/>
      <c r="G15" s="96"/>
    </row>
    <row r="16" spans="1:7" ht="18" customHeight="1" x14ac:dyDescent="0.55000000000000004">
      <c r="A16" s="6"/>
      <c r="B16" s="6" t="s">
        <v>205</v>
      </c>
      <c r="C16" s="6"/>
      <c r="D16" s="6" t="s">
        <v>206</v>
      </c>
      <c r="E16" s="6"/>
      <c r="F16" s="6" t="s">
        <v>207</v>
      </c>
      <c r="G16" s="6"/>
    </row>
    <row r="17" spans="1:7" ht="26.05" customHeight="1" x14ac:dyDescent="0.55000000000000004">
      <c r="A17" s="60" t="s">
        <v>208</v>
      </c>
      <c r="B17" s="61"/>
      <c r="C17" s="124" t="s">
        <v>209</v>
      </c>
      <c r="D17" s="125"/>
      <c r="E17" s="125"/>
      <c r="F17" s="27" t="s">
        <v>210</v>
      </c>
      <c r="G17" s="115" t="s">
        <v>89</v>
      </c>
    </row>
    <row r="18" spans="1:7" ht="26.05" customHeight="1" x14ac:dyDescent="0.55000000000000004">
      <c r="A18" s="60" t="s">
        <v>211</v>
      </c>
      <c r="B18" s="61"/>
      <c r="C18" s="124" t="s">
        <v>212</v>
      </c>
      <c r="D18" s="125"/>
      <c r="E18" s="125"/>
      <c r="F18" s="27" t="s">
        <v>210</v>
      </c>
      <c r="G18" s="115" t="s">
        <v>213</v>
      </c>
    </row>
    <row r="19" spans="1:7" ht="26.05" customHeight="1" x14ac:dyDescent="0.55000000000000004">
      <c r="A19" s="60" t="s">
        <v>214</v>
      </c>
      <c r="B19" s="61"/>
      <c r="C19" s="124" t="s">
        <v>215</v>
      </c>
      <c r="D19" s="125"/>
      <c r="E19" s="125"/>
      <c r="F19" s="27" t="s">
        <v>210</v>
      </c>
      <c r="G19" s="115" t="s">
        <v>216</v>
      </c>
    </row>
    <row r="20" spans="1:7" ht="26.05" customHeight="1" x14ac:dyDescent="0.55000000000000004">
      <c r="A20" s="60" t="s">
        <v>217</v>
      </c>
      <c r="B20" s="61"/>
      <c r="C20" s="124" t="s">
        <v>218</v>
      </c>
      <c r="D20" s="125"/>
      <c r="E20" s="125"/>
      <c r="F20" s="27" t="s">
        <v>210</v>
      </c>
      <c r="G20" s="115" t="s">
        <v>219</v>
      </c>
    </row>
    <row r="21" spans="1:7" ht="26.05" customHeight="1" x14ac:dyDescent="0.55000000000000004">
      <c r="A21" s="75" t="s">
        <v>220</v>
      </c>
      <c r="B21" s="59"/>
      <c r="C21" s="117" t="s">
        <v>221</v>
      </c>
      <c r="D21" s="118"/>
      <c r="E21" s="118"/>
      <c r="F21" s="28" t="s">
        <v>222</v>
      </c>
      <c r="G21" s="135" t="s">
        <v>219</v>
      </c>
    </row>
    <row r="22" spans="1:7" ht="26.05" customHeight="1" x14ac:dyDescent="0.55000000000000004">
      <c r="A22" s="68" t="s">
        <v>223</v>
      </c>
      <c r="B22" s="69"/>
      <c r="C22" s="122" t="s">
        <v>224</v>
      </c>
      <c r="D22" s="90"/>
      <c r="E22" s="90"/>
      <c r="F22" s="29" t="s">
        <v>207</v>
      </c>
      <c r="G22" s="133" t="s">
        <v>225</v>
      </c>
    </row>
    <row r="23" spans="1:7" ht="26.05" customHeight="1" x14ac:dyDescent="0.55000000000000004">
      <c r="A23" s="68" t="s">
        <v>226</v>
      </c>
      <c r="B23" s="69"/>
      <c r="C23" s="122" t="s">
        <v>227</v>
      </c>
      <c r="D23" s="90"/>
      <c r="E23" s="90"/>
      <c r="F23" s="29" t="s">
        <v>207</v>
      </c>
      <c r="G23" s="133" t="s">
        <v>228</v>
      </c>
    </row>
    <row r="24" spans="1:7" ht="26.05" customHeight="1" x14ac:dyDescent="0.55000000000000004">
      <c r="A24" s="68" t="s">
        <v>229</v>
      </c>
      <c r="B24" s="69"/>
      <c r="C24" s="122" t="s">
        <v>230</v>
      </c>
      <c r="D24" s="90"/>
      <c r="E24" s="90"/>
      <c r="F24" s="29" t="s">
        <v>207</v>
      </c>
      <c r="G24" s="133" t="s">
        <v>225</v>
      </c>
    </row>
    <row r="25" spans="1:7" ht="26.05" customHeight="1" x14ac:dyDescent="0.55000000000000004">
      <c r="A25" s="60" t="s">
        <v>231</v>
      </c>
      <c r="B25" s="61"/>
      <c r="C25" s="124" t="s">
        <v>232</v>
      </c>
      <c r="D25" s="125"/>
      <c r="E25" s="125"/>
      <c r="F25" s="27" t="s">
        <v>210</v>
      </c>
      <c r="G25" s="115" t="s">
        <v>233</v>
      </c>
    </row>
    <row r="26" spans="1:7" ht="26.05" customHeight="1" x14ac:dyDescent="0.55000000000000004">
      <c r="A26" s="60" t="s">
        <v>234</v>
      </c>
      <c r="B26" s="61"/>
      <c r="C26" s="124" t="s">
        <v>235</v>
      </c>
      <c r="D26" s="125"/>
      <c r="E26" s="125"/>
      <c r="F26" s="27" t="s">
        <v>210</v>
      </c>
      <c r="G26" s="115" t="s">
        <v>177</v>
      </c>
    </row>
    <row r="27" spans="1:7" ht="5.05" customHeight="1" x14ac:dyDescent="0.55000000000000004">
      <c r="A27" s="5"/>
      <c r="B27" s="5"/>
      <c r="C27" s="5"/>
      <c r="D27" s="5"/>
      <c r="E27" s="5"/>
      <c r="F27" s="5"/>
      <c r="G27" s="5"/>
    </row>
    <row r="28" spans="1:7" ht="22" customHeight="1" x14ac:dyDescent="0.55000000000000004">
      <c r="A28" s="95" t="s">
        <v>236</v>
      </c>
      <c r="B28" s="96"/>
      <c r="C28" s="96"/>
      <c r="D28" s="96"/>
      <c r="E28" s="96"/>
      <c r="F28" s="96"/>
      <c r="G28" s="96"/>
    </row>
    <row r="29" spans="1:7" ht="18" customHeight="1" x14ac:dyDescent="0.55000000000000004">
      <c r="A29" s="6"/>
      <c r="B29" s="6" t="s">
        <v>237</v>
      </c>
      <c r="C29" s="6"/>
      <c r="D29" s="6" t="s">
        <v>238</v>
      </c>
      <c r="E29" s="6"/>
      <c r="F29" s="6" t="s">
        <v>239</v>
      </c>
      <c r="G29" s="6"/>
    </row>
    <row r="30" spans="1:7" ht="22" customHeight="1" x14ac:dyDescent="0.55000000000000004">
      <c r="A30" s="30" t="s">
        <v>240</v>
      </c>
      <c r="B30" s="116" t="s">
        <v>241</v>
      </c>
      <c r="C30" s="69"/>
      <c r="D30" s="119" t="s">
        <v>242</v>
      </c>
      <c r="E30" s="120"/>
      <c r="F30" s="32" t="s">
        <v>243</v>
      </c>
      <c r="G30" s="4"/>
    </row>
    <row r="31" spans="1:7" ht="22" customHeight="1" x14ac:dyDescent="0.55000000000000004">
      <c r="A31" s="30" t="s">
        <v>244</v>
      </c>
      <c r="B31" s="116" t="s">
        <v>245</v>
      </c>
      <c r="C31" s="69"/>
      <c r="D31" s="119" t="s">
        <v>246</v>
      </c>
      <c r="E31" s="120"/>
      <c r="F31" s="32" t="s">
        <v>243</v>
      </c>
      <c r="G31" s="8"/>
    </row>
    <row r="32" spans="1:7" ht="22" customHeight="1" x14ac:dyDescent="0.55000000000000004">
      <c r="A32" s="30" t="s">
        <v>247</v>
      </c>
      <c r="B32" s="116" t="s">
        <v>248</v>
      </c>
      <c r="C32" s="69"/>
      <c r="D32" s="119" t="s">
        <v>249</v>
      </c>
      <c r="E32" s="120"/>
      <c r="F32" s="32" t="s">
        <v>243</v>
      </c>
      <c r="G32" s="4"/>
    </row>
    <row r="33" spans="1:7" ht="22" customHeight="1" x14ac:dyDescent="0.55000000000000004">
      <c r="A33" s="30" t="s">
        <v>250</v>
      </c>
      <c r="B33" s="126" t="s">
        <v>251</v>
      </c>
      <c r="C33" s="64"/>
      <c r="D33" s="127" t="s">
        <v>252</v>
      </c>
      <c r="E33" s="64"/>
      <c r="F33" s="32" t="s">
        <v>243</v>
      </c>
      <c r="G33" s="8"/>
    </row>
    <row r="34" spans="1:7" ht="22" customHeight="1" x14ac:dyDescent="0.55000000000000004">
      <c r="A34" s="30" t="s">
        <v>253</v>
      </c>
      <c r="B34" s="123" t="s">
        <v>254</v>
      </c>
      <c r="C34" s="59"/>
      <c r="D34" s="121" t="s">
        <v>255</v>
      </c>
      <c r="E34" s="59"/>
      <c r="F34" s="32" t="s">
        <v>243</v>
      </c>
      <c r="G34" s="4"/>
    </row>
    <row r="35" spans="1:7" ht="22" customHeight="1" x14ac:dyDescent="0.55000000000000004">
      <c r="A35" s="30" t="s">
        <v>256</v>
      </c>
      <c r="B35" s="126" t="s">
        <v>257</v>
      </c>
      <c r="C35" s="64"/>
      <c r="D35" s="127" t="s">
        <v>258</v>
      </c>
      <c r="E35" s="64"/>
      <c r="F35" s="32" t="s">
        <v>243</v>
      </c>
      <c r="G35" s="8"/>
    </row>
    <row r="36" spans="1:7" ht="22" customHeight="1" x14ac:dyDescent="0.55000000000000004">
      <c r="A36" s="30" t="s">
        <v>259</v>
      </c>
      <c r="B36" s="123" t="s">
        <v>260</v>
      </c>
      <c r="C36" s="59"/>
      <c r="D36" s="121" t="s">
        <v>261</v>
      </c>
      <c r="E36" s="59"/>
      <c r="F36" s="32" t="s">
        <v>243</v>
      </c>
      <c r="G36" s="4"/>
    </row>
    <row r="37" spans="1:7" ht="22" customHeight="1" x14ac:dyDescent="0.55000000000000004">
      <c r="A37" s="30" t="s">
        <v>262</v>
      </c>
      <c r="B37" s="126" t="s">
        <v>263</v>
      </c>
      <c r="C37" s="64"/>
      <c r="D37" s="127" t="s">
        <v>264</v>
      </c>
      <c r="E37" s="64"/>
      <c r="F37" s="32" t="s">
        <v>243</v>
      </c>
      <c r="G37" s="8"/>
    </row>
    <row r="38" spans="1:7" ht="22" customHeight="1" x14ac:dyDescent="0.55000000000000004">
      <c r="A38" s="30" t="s">
        <v>265</v>
      </c>
      <c r="B38" s="123" t="s">
        <v>266</v>
      </c>
      <c r="C38" s="59"/>
      <c r="D38" s="121" t="s">
        <v>267</v>
      </c>
      <c r="E38" s="59"/>
      <c r="F38" s="32" t="s">
        <v>243</v>
      </c>
      <c r="G38" s="4"/>
    </row>
    <row r="39" spans="1:7" ht="22" customHeight="1" x14ac:dyDescent="0.55000000000000004">
      <c r="A39" s="30" t="s">
        <v>268</v>
      </c>
      <c r="B39" s="116" t="s">
        <v>269</v>
      </c>
      <c r="C39" s="69"/>
      <c r="D39" s="119" t="s">
        <v>270</v>
      </c>
      <c r="E39" s="120"/>
      <c r="F39" s="32" t="s">
        <v>243</v>
      </c>
      <c r="G39" s="8"/>
    </row>
    <row r="40" spans="1:7" ht="22" customHeight="1" x14ac:dyDescent="0.55000000000000004">
      <c r="A40" s="30" t="s">
        <v>271</v>
      </c>
      <c r="B40" s="116" t="s">
        <v>272</v>
      </c>
      <c r="C40" s="69"/>
      <c r="D40" s="119" t="s">
        <v>273</v>
      </c>
      <c r="E40" s="120"/>
      <c r="F40" s="32" t="s">
        <v>243</v>
      </c>
      <c r="G40" s="4"/>
    </row>
    <row r="41" spans="1:7" ht="22" customHeight="1" x14ac:dyDescent="0.55000000000000004">
      <c r="A41" s="30" t="s">
        <v>274</v>
      </c>
      <c r="B41" s="126" t="s">
        <v>275</v>
      </c>
      <c r="C41" s="64"/>
      <c r="D41" s="127" t="s">
        <v>276</v>
      </c>
      <c r="E41" s="64"/>
      <c r="F41" s="32" t="s">
        <v>243</v>
      </c>
      <c r="G41" s="8"/>
    </row>
    <row r="42" spans="1:7" ht="22" customHeight="1" x14ac:dyDescent="0.55000000000000004">
      <c r="A42" s="30" t="s">
        <v>277</v>
      </c>
      <c r="B42" s="123" t="s">
        <v>278</v>
      </c>
      <c r="C42" s="59"/>
      <c r="D42" s="121" t="s">
        <v>279</v>
      </c>
      <c r="E42" s="59"/>
      <c r="F42" s="32" t="s">
        <v>243</v>
      </c>
      <c r="G42" s="4"/>
    </row>
    <row r="43" spans="1:7" ht="22" customHeight="1" x14ac:dyDescent="0.55000000000000004">
      <c r="A43" s="30" t="s">
        <v>280</v>
      </c>
      <c r="B43" s="126" t="s">
        <v>281</v>
      </c>
      <c r="C43" s="64"/>
      <c r="D43" s="127" t="s">
        <v>282</v>
      </c>
      <c r="E43" s="64"/>
      <c r="F43" s="32" t="s">
        <v>243</v>
      </c>
      <c r="G43" s="8"/>
    </row>
  </sheetData>
  <mergeCells count="81">
    <mergeCell ref="E5:G5"/>
    <mergeCell ref="B36:C36"/>
    <mergeCell ref="G24"/>
    <mergeCell ref="A2:G2"/>
    <mergeCell ref="A24:B24"/>
    <mergeCell ref="G25"/>
    <mergeCell ref="D40:E40"/>
    <mergeCell ref="B39:C39"/>
    <mergeCell ref="A25:B25"/>
    <mergeCell ref="A8:C8"/>
    <mergeCell ref="C17:E17"/>
    <mergeCell ref="D32:E32"/>
    <mergeCell ref="A15:G15"/>
    <mergeCell ref="A18:B18"/>
    <mergeCell ref="A10:C10"/>
    <mergeCell ref="C19:E19"/>
    <mergeCell ref="A9:C9"/>
    <mergeCell ref="A20:B20"/>
    <mergeCell ref="A11:C11"/>
    <mergeCell ref="B43:C43"/>
    <mergeCell ref="E11:G11"/>
    <mergeCell ref="G21"/>
    <mergeCell ref="B42:C42"/>
    <mergeCell ref="A21:B21"/>
    <mergeCell ref="G23"/>
    <mergeCell ref="B34:C34"/>
    <mergeCell ref="E12:G12"/>
    <mergeCell ref="A23:B23"/>
    <mergeCell ref="B30:C30"/>
    <mergeCell ref="D30:E30"/>
    <mergeCell ref="D41:E41"/>
    <mergeCell ref="D43:E43"/>
    <mergeCell ref="D42:E42"/>
    <mergeCell ref="A5:C5"/>
    <mergeCell ref="A26:B26"/>
    <mergeCell ref="A13:C13"/>
    <mergeCell ref="A1:G1"/>
    <mergeCell ref="B37:C37"/>
    <mergeCell ref="D37:E37"/>
    <mergeCell ref="C24:E24"/>
    <mergeCell ref="G18"/>
    <mergeCell ref="E8:G8"/>
    <mergeCell ref="C26:E26"/>
    <mergeCell ref="A7:C7"/>
    <mergeCell ref="E10:G10"/>
    <mergeCell ref="G20"/>
    <mergeCell ref="A4:G4"/>
    <mergeCell ref="E9:G9"/>
    <mergeCell ref="G22"/>
    <mergeCell ref="A6:C6"/>
    <mergeCell ref="B32:C32"/>
    <mergeCell ref="B41:C41"/>
    <mergeCell ref="C20:E20"/>
    <mergeCell ref="B35:C35"/>
    <mergeCell ref="C25:E25"/>
    <mergeCell ref="D35:E35"/>
    <mergeCell ref="D34:E34"/>
    <mergeCell ref="C22:E22"/>
    <mergeCell ref="A12:C12"/>
    <mergeCell ref="E6:G6"/>
    <mergeCell ref="D39:E39"/>
    <mergeCell ref="D38:E38"/>
    <mergeCell ref="B38:C38"/>
    <mergeCell ref="C18:E18"/>
    <mergeCell ref="A17:B17"/>
    <mergeCell ref="G19"/>
    <mergeCell ref="B40:C40"/>
    <mergeCell ref="A22:B22"/>
    <mergeCell ref="B33:C33"/>
    <mergeCell ref="D33:E33"/>
    <mergeCell ref="A19:B19"/>
    <mergeCell ref="D36:E36"/>
    <mergeCell ref="A28:G28"/>
    <mergeCell ref="C23:E23"/>
    <mergeCell ref="E7:G7"/>
    <mergeCell ref="G17"/>
    <mergeCell ref="E13:G13"/>
    <mergeCell ref="G26"/>
    <mergeCell ref="B31:C31"/>
    <mergeCell ref="C21:E21"/>
    <mergeCell ref="D31:E31"/>
  </mergeCells>
  <conditionalFormatting sqref="D5">
    <cfRule type="containsText" dxfId="3" priority="1" operator="containsText" text="OK">
      <formula>NOT(ISERROR(SEARCH("OK",D5)))</formula>
    </cfRule>
    <cfRule type="containsText" dxfId="2" priority="2" operator="containsText" text="HATA">
      <formula>NOT(ISERROR(SEARCH("HATA",D5)))</formula>
    </cfRule>
  </conditionalFormatting>
  <conditionalFormatting sqref="D6">
    <cfRule type="containsText" dxfId="1" priority="3" operator="containsText" text="EVET">
      <formula>NOT(ISERROR(SEARCH("EVET",D6)))</formula>
    </cfRule>
    <cfRule type="containsText" dxfId="0" priority="4" operator="containsText" text="HAYIR">
      <formula>NOT(ISERROR(SEARCH("HAYIR",D6)))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37" t="s">
        <v>283</v>
      </c>
      <c r="B1" s="96"/>
      <c r="C1" s="96"/>
      <c r="D1" s="96"/>
      <c r="E1" s="96"/>
      <c r="F1" s="96"/>
      <c r="G1" s="96"/>
    </row>
    <row r="2" spans="1:7" ht="20.05" customHeight="1" x14ac:dyDescent="0.55000000000000004">
      <c r="A2" s="139" t="s">
        <v>284</v>
      </c>
      <c r="B2" s="108"/>
      <c r="C2" s="108"/>
      <c r="D2" s="108"/>
      <c r="E2" s="108"/>
      <c r="F2" s="108"/>
      <c r="G2" s="108"/>
    </row>
    <row r="3" spans="1:7" ht="22" customHeight="1" x14ac:dyDescent="0.55000000000000004">
      <c r="A3" s="138" t="s">
        <v>285</v>
      </c>
      <c r="B3" s="69"/>
      <c r="C3" s="69"/>
      <c r="D3" s="69"/>
      <c r="E3" s="69"/>
      <c r="F3" s="69"/>
      <c r="G3" s="69"/>
    </row>
    <row r="4" spans="1:7" ht="26.05" customHeight="1" x14ac:dyDescent="0.55000000000000004">
      <c r="A4" s="95" t="s">
        <v>286</v>
      </c>
      <c r="B4" s="96"/>
      <c r="C4" s="96"/>
      <c r="D4" s="96"/>
      <c r="E4" s="96"/>
      <c r="F4" s="96"/>
      <c r="G4" s="96"/>
    </row>
    <row r="5" spans="1:7" ht="18" customHeight="1" x14ac:dyDescent="0.55000000000000004">
      <c r="A5" s="6"/>
      <c r="B5" s="6" t="s">
        <v>287</v>
      </c>
      <c r="C5" s="6" t="s">
        <v>288</v>
      </c>
      <c r="D5" s="6" t="s">
        <v>289</v>
      </c>
      <c r="E5" s="6" t="s">
        <v>290</v>
      </c>
      <c r="F5" s="6" t="s">
        <v>291</v>
      </c>
      <c r="G5" s="6" t="s">
        <v>292</v>
      </c>
    </row>
    <row r="6" spans="1:7" ht="26.05" customHeight="1" x14ac:dyDescent="0.55000000000000004">
      <c r="A6" s="36" t="s">
        <v>290</v>
      </c>
      <c r="B6" s="36" t="s">
        <v>293</v>
      </c>
      <c r="C6" s="36" t="s">
        <v>294</v>
      </c>
      <c r="D6" s="36" t="s">
        <v>295</v>
      </c>
      <c r="E6" s="36" t="s">
        <v>296</v>
      </c>
      <c r="F6" s="36" t="s">
        <v>297</v>
      </c>
      <c r="G6" s="36" t="s">
        <v>298</v>
      </c>
    </row>
    <row r="7" spans="1:7" ht="26.05" customHeight="1" x14ac:dyDescent="0.55000000000000004">
      <c r="A7" s="37" t="s">
        <v>291</v>
      </c>
      <c r="B7" s="37" t="s">
        <v>293</v>
      </c>
      <c r="C7" s="37" t="s">
        <v>299</v>
      </c>
      <c r="D7" s="37" t="s">
        <v>300</v>
      </c>
      <c r="E7" s="37" t="s">
        <v>297</v>
      </c>
      <c r="F7" s="37" t="s">
        <v>301</v>
      </c>
      <c r="G7" s="37" t="s">
        <v>68</v>
      </c>
    </row>
    <row r="8" spans="1:7" ht="26.05" customHeight="1" x14ac:dyDescent="0.55000000000000004">
      <c r="A8" s="36" t="s">
        <v>291</v>
      </c>
      <c r="B8" s="36" t="s">
        <v>293</v>
      </c>
      <c r="C8" s="36" t="s">
        <v>302</v>
      </c>
      <c r="D8" s="36" t="s">
        <v>303</v>
      </c>
      <c r="E8" s="36" t="s">
        <v>297</v>
      </c>
      <c r="F8" s="36" t="s">
        <v>304</v>
      </c>
      <c r="G8" s="36" t="s">
        <v>305</v>
      </c>
    </row>
    <row r="9" spans="1:7" ht="22" customHeight="1" x14ac:dyDescent="0.55000000000000004">
      <c r="A9" s="138" t="s">
        <v>306</v>
      </c>
      <c r="B9" s="69"/>
      <c r="C9" s="69"/>
      <c r="D9" s="69"/>
      <c r="E9" s="69"/>
      <c r="F9" s="69"/>
      <c r="G9" s="69"/>
    </row>
    <row r="10" spans="1:7" ht="22" customHeight="1" x14ac:dyDescent="0.55000000000000004">
      <c r="A10" s="140" t="s">
        <v>307</v>
      </c>
      <c r="B10" s="61"/>
      <c r="C10" s="61"/>
      <c r="D10" s="61"/>
      <c r="E10" s="61"/>
      <c r="F10" s="61"/>
      <c r="G10" s="61"/>
    </row>
    <row r="11" spans="1:7" ht="26.05" customHeight="1" x14ac:dyDescent="0.55000000000000004">
      <c r="A11" s="95" t="s">
        <v>308</v>
      </c>
      <c r="B11" s="96"/>
      <c r="C11" s="96"/>
      <c r="D11" s="96"/>
      <c r="E11" s="96"/>
      <c r="F11" s="96"/>
      <c r="G11" s="96"/>
    </row>
    <row r="12" spans="1:7" ht="18" customHeight="1" x14ac:dyDescent="0.55000000000000004">
      <c r="A12" s="6"/>
      <c r="B12" s="6" t="s">
        <v>287</v>
      </c>
      <c r="C12" s="6" t="s">
        <v>288</v>
      </c>
      <c r="D12" s="6" t="s">
        <v>289</v>
      </c>
      <c r="E12" s="6" t="s">
        <v>290</v>
      </c>
      <c r="F12" s="6" t="s">
        <v>291</v>
      </c>
      <c r="G12" s="6" t="s">
        <v>292</v>
      </c>
    </row>
    <row r="13" spans="1:7" ht="26.05" customHeight="1" x14ac:dyDescent="0.55000000000000004">
      <c r="A13" s="36" t="s">
        <v>290</v>
      </c>
      <c r="B13" s="36" t="s">
        <v>309</v>
      </c>
      <c r="C13" s="36" t="s">
        <v>302</v>
      </c>
      <c r="D13" s="36" t="s">
        <v>310</v>
      </c>
      <c r="E13" s="36" t="s">
        <v>311</v>
      </c>
      <c r="F13" s="36" t="s">
        <v>297</v>
      </c>
      <c r="G13" s="36" t="s">
        <v>312</v>
      </c>
    </row>
    <row r="14" spans="1:7" ht="26.05" customHeight="1" x14ac:dyDescent="0.55000000000000004">
      <c r="A14" s="37" t="s">
        <v>291</v>
      </c>
      <c r="B14" s="37" t="s">
        <v>309</v>
      </c>
      <c r="C14" s="37" t="s">
        <v>313</v>
      </c>
      <c r="D14" s="37" t="s">
        <v>314</v>
      </c>
      <c r="E14" s="37" t="s">
        <v>297</v>
      </c>
      <c r="F14" s="37" t="s">
        <v>311</v>
      </c>
      <c r="G14" s="37" t="s">
        <v>315</v>
      </c>
    </row>
    <row r="15" spans="1:7" ht="24" customHeight="1" x14ac:dyDescent="0.55000000000000004">
      <c r="A15" s="140" t="s">
        <v>316</v>
      </c>
      <c r="B15" s="61"/>
      <c r="C15" s="61"/>
      <c r="D15" s="61"/>
      <c r="E15" s="61"/>
      <c r="F15" s="61"/>
      <c r="G15" s="61"/>
    </row>
    <row r="16" spans="1:7" ht="26.05" customHeight="1" x14ac:dyDescent="0.55000000000000004">
      <c r="A16" s="82" t="s">
        <v>317</v>
      </c>
      <c r="B16" s="83"/>
      <c r="C16" s="83"/>
      <c r="D16" s="83"/>
      <c r="E16" s="83"/>
      <c r="F16" s="83"/>
      <c r="G16" s="83"/>
    </row>
    <row r="17" spans="1:7" ht="18" customHeight="1" x14ac:dyDescent="0.55000000000000004">
      <c r="A17" s="6"/>
      <c r="B17" s="6" t="s">
        <v>287</v>
      </c>
      <c r="C17" s="6" t="s">
        <v>288</v>
      </c>
      <c r="D17" s="6" t="s">
        <v>289</v>
      </c>
      <c r="E17" s="6" t="s">
        <v>290</v>
      </c>
      <c r="F17" s="6" t="s">
        <v>291</v>
      </c>
      <c r="G17" s="6" t="s">
        <v>292</v>
      </c>
    </row>
    <row r="18" spans="1:7" ht="26.05" customHeight="1" x14ac:dyDescent="0.55000000000000004">
      <c r="A18" s="36" t="s">
        <v>290</v>
      </c>
      <c r="B18" s="36" t="s">
        <v>293</v>
      </c>
      <c r="C18" s="36" t="s">
        <v>294</v>
      </c>
      <c r="D18" s="36" t="s">
        <v>318</v>
      </c>
      <c r="E18" s="36" t="s">
        <v>296</v>
      </c>
      <c r="F18" s="36" t="s">
        <v>297</v>
      </c>
      <c r="G18" s="36" t="s">
        <v>298</v>
      </c>
    </row>
    <row r="19" spans="1:7" ht="26.05" customHeight="1" x14ac:dyDescent="0.55000000000000004">
      <c r="A19" s="38" t="s">
        <v>290</v>
      </c>
      <c r="B19" s="38" t="s">
        <v>293</v>
      </c>
      <c r="C19" s="38" t="s">
        <v>319</v>
      </c>
      <c r="D19" s="38" t="s">
        <v>320</v>
      </c>
      <c r="E19" s="38" t="s">
        <v>321</v>
      </c>
      <c r="F19" s="38" t="s">
        <v>297</v>
      </c>
      <c r="G19" s="38" t="s">
        <v>82</v>
      </c>
    </row>
    <row r="20" spans="1:7" ht="26.05" customHeight="1" x14ac:dyDescent="0.55000000000000004">
      <c r="A20" s="37" t="s">
        <v>291</v>
      </c>
      <c r="B20" s="37" t="s">
        <v>293</v>
      </c>
      <c r="C20" s="37" t="s">
        <v>299</v>
      </c>
      <c r="D20" s="37" t="s">
        <v>322</v>
      </c>
      <c r="E20" s="37" t="s">
        <v>297</v>
      </c>
      <c r="F20" s="37" t="s">
        <v>323</v>
      </c>
      <c r="G20" s="37" t="s">
        <v>68</v>
      </c>
    </row>
    <row r="21" spans="1:7" ht="28" customHeight="1" x14ac:dyDescent="0.55000000000000004">
      <c r="A21" s="138" t="s">
        <v>324</v>
      </c>
      <c r="B21" s="69"/>
      <c r="C21" s="69"/>
      <c r="D21" s="69"/>
      <c r="E21" s="69"/>
      <c r="F21" s="69"/>
      <c r="G21" s="69"/>
    </row>
  </sheetData>
  <mergeCells count="10">
    <mergeCell ref="A1:G1"/>
    <mergeCell ref="A9:G9"/>
    <mergeCell ref="A3:G3"/>
    <mergeCell ref="A21:G21"/>
    <mergeCell ref="A4:G4"/>
    <mergeCell ref="A2:G2"/>
    <mergeCell ref="A16:G16"/>
    <mergeCell ref="A15:G15"/>
    <mergeCell ref="A11:G1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09" t="s">
        <v>325</v>
      </c>
      <c r="B1" s="96"/>
      <c r="C1" s="96"/>
      <c r="D1" s="96"/>
      <c r="E1" s="96"/>
      <c r="F1" s="96"/>
      <c r="G1" s="96"/>
    </row>
    <row r="2" spans="1:7" ht="22" customHeight="1" x14ac:dyDescent="0.55000000000000004">
      <c r="A2" s="143" t="s">
        <v>326</v>
      </c>
      <c r="B2" s="144"/>
      <c r="C2" s="144"/>
      <c r="D2" s="144"/>
      <c r="E2" s="144"/>
      <c r="F2" s="144"/>
      <c r="G2" s="144"/>
    </row>
    <row r="3" spans="1:7" ht="18" customHeight="1" x14ac:dyDescent="0.55000000000000004">
      <c r="A3" s="6" t="s">
        <v>327</v>
      </c>
      <c r="B3" s="6" t="s">
        <v>205</v>
      </c>
      <c r="C3" s="6" t="s">
        <v>328</v>
      </c>
      <c r="D3" s="6" t="s">
        <v>329</v>
      </c>
    </row>
    <row r="4" spans="1:7" ht="80.05" customHeight="1" x14ac:dyDescent="0.55000000000000004">
      <c r="A4" s="30" t="s">
        <v>330</v>
      </c>
      <c r="B4" s="34" t="s">
        <v>331</v>
      </c>
      <c r="C4" s="39" t="s">
        <v>332</v>
      </c>
      <c r="D4" s="40" t="s">
        <v>333</v>
      </c>
    </row>
    <row r="5" spans="1:7" ht="72" customHeight="1" x14ac:dyDescent="0.55000000000000004">
      <c r="A5" s="30" t="s">
        <v>334</v>
      </c>
      <c r="B5" s="33" t="s">
        <v>335</v>
      </c>
      <c r="C5" s="31" t="s">
        <v>336</v>
      </c>
      <c r="D5" s="41" t="s">
        <v>337</v>
      </c>
    </row>
    <row r="6" spans="1:7" ht="64" customHeight="1" x14ac:dyDescent="0.55000000000000004">
      <c r="A6" s="30" t="s">
        <v>338</v>
      </c>
      <c r="B6" s="34" t="s">
        <v>339</v>
      </c>
      <c r="C6" s="39" t="s">
        <v>340</v>
      </c>
      <c r="D6" s="40" t="s">
        <v>341</v>
      </c>
    </row>
    <row r="7" spans="1:7" ht="64" customHeight="1" x14ac:dyDescent="0.55000000000000004">
      <c r="A7" s="30" t="s">
        <v>342</v>
      </c>
      <c r="B7" s="33" t="s">
        <v>343</v>
      </c>
      <c r="C7" s="31" t="s">
        <v>344</v>
      </c>
      <c r="D7" s="41" t="s">
        <v>345</v>
      </c>
    </row>
    <row r="8" spans="1:7" ht="80.05" customHeight="1" x14ac:dyDescent="0.55000000000000004">
      <c r="A8" s="30" t="s">
        <v>346</v>
      </c>
      <c r="B8" s="34" t="s">
        <v>347</v>
      </c>
      <c r="C8" s="39" t="s">
        <v>348</v>
      </c>
      <c r="D8" s="40" t="s">
        <v>349</v>
      </c>
    </row>
    <row r="9" spans="1:7" ht="36" customHeight="1" x14ac:dyDescent="0.55000000000000004">
      <c r="A9" s="141" t="s">
        <v>350</v>
      </c>
      <c r="B9" s="142"/>
      <c r="C9" s="142"/>
      <c r="D9" s="142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49" t="s">
        <v>351</v>
      </c>
      <c r="B1" s="150"/>
      <c r="C1" s="150"/>
      <c r="D1" s="150"/>
      <c r="E1" s="150"/>
      <c r="F1" s="150"/>
    </row>
    <row r="2" spans="1:6" ht="22" customHeight="1" x14ac:dyDescent="0.55000000000000004">
      <c r="A2" s="145" t="s">
        <v>352</v>
      </c>
      <c r="B2" s="146"/>
      <c r="C2" s="146"/>
      <c r="D2" s="146"/>
      <c r="E2" s="146"/>
      <c r="F2" s="146"/>
    </row>
    <row r="3" spans="1:6" ht="5.05" customHeight="1" x14ac:dyDescent="0.55000000000000004">
      <c r="A3" s="5"/>
      <c r="B3" s="5"/>
      <c r="C3" s="5"/>
      <c r="D3" s="5"/>
      <c r="E3" s="5"/>
      <c r="F3" s="5"/>
    </row>
    <row r="4" spans="1:6" ht="36" customHeight="1" x14ac:dyDescent="0.55000000000000004">
      <c r="A4" s="151" t="s">
        <v>353</v>
      </c>
      <c r="B4" s="152"/>
      <c r="C4" s="152"/>
      <c r="D4" s="152"/>
      <c r="E4" s="152"/>
      <c r="F4" s="152"/>
    </row>
    <row r="5" spans="1:6" ht="18" customHeight="1" x14ac:dyDescent="0.55000000000000004">
      <c r="A5" s="6"/>
      <c r="B5" s="6" t="s">
        <v>354</v>
      </c>
      <c r="C5" s="6" t="s">
        <v>355</v>
      </c>
      <c r="D5" s="6" t="s">
        <v>356</v>
      </c>
      <c r="E5" s="6" t="s">
        <v>357</v>
      </c>
      <c r="F5" s="6"/>
    </row>
    <row r="6" spans="1:6" ht="44.05" customHeight="1" x14ac:dyDescent="0.55000000000000004">
      <c r="A6" s="9"/>
      <c r="B6" s="42" t="s">
        <v>358</v>
      </c>
      <c r="C6" s="43" t="s">
        <v>359</v>
      </c>
      <c r="D6" s="44" t="s">
        <v>360</v>
      </c>
      <c r="E6" s="45" t="s">
        <v>361</v>
      </c>
      <c r="F6" s="9"/>
    </row>
    <row r="7" spans="1:6" ht="44.05" customHeight="1" x14ac:dyDescent="0.55000000000000004">
      <c r="A7" s="9"/>
      <c r="B7" s="42" t="s">
        <v>362</v>
      </c>
      <c r="C7" s="43" t="s">
        <v>363</v>
      </c>
      <c r="D7" s="44" t="s">
        <v>364</v>
      </c>
      <c r="E7" s="45" t="s">
        <v>365</v>
      </c>
      <c r="F7" s="9"/>
    </row>
    <row r="8" spans="1:6" ht="36" customHeight="1" x14ac:dyDescent="0.55000000000000004">
      <c r="A8" s="9"/>
      <c r="B8" s="42" t="s">
        <v>366</v>
      </c>
      <c r="C8" s="43" t="s">
        <v>367</v>
      </c>
      <c r="D8" s="44" t="s">
        <v>368</v>
      </c>
      <c r="E8" s="45" t="s">
        <v>369</v>
      </c>
      <c r="F8" s="9"/>
    </row>
    <row r="9" spans="1:6" ht="36" customHeight="1" x14ac:dyDescent="0.55000000000000004">
      <c r="A9" s="9"/>
      <c r="B9" s="42" t="s">
        <v>370</v>
      </c>
      <c r="C9" s="43" t="s">
        <v>371</v>
      </c>
      <c r="D9" s="44" t="s">
        <v>372</v>
      </c>
      <c r="E9" s="45" t="s">
        <v>373</v>
      </c>
      <c r="F9" s="9"/>
    </row>
    <row r="10" spans="1:6" ht="36" customHeight="1" x14ac:dyDescent="0.55000000000000004">
      <c r="A10" s="9"/>
      <c r="B10" s="42" t="s">
        <v>374</v>
      </c>
      <c r="C10" s="43" t="s">
        <v>375</v>
      </c>
      <c r="D10" s="44" t="s">
        <v>376</v>
      </c>
      <c r="E10" s="45" t="s">
        <v>377</v>
      </c>
      <c r="F10" s="9"/>
    </row>
    <row r="11" spans="1:6" ht="40" customHeight="1" x14ac:dyDescent="0.55000000000000004">
      <c r="A11" s="9"/>
      <c r="B11" s="42" t="s">
        <v>378</v>
      </c>
      <c r="C11" s="43" t="s">
        <v>379</v>
      </c>
      <c r="D11" s="44" t="s">
        <v>380</v>
      </c>
      <c r="E11" s="45" t="s">
        <v>381</v>
      </c>
      <c r="F11" s="9"/>
    </row>
    <row r="12" spans="1:6" ht="36" customHeight="1" x14ac:dyDescent="0.55000000000000004">
      <c r="A12" s="9"/>
      <c r="B12" s="42" t="s">
        <v>382</v>
      </c>
      <c r="C12" s="43" t="s">
        <v>383</v>
      </c>
      <c r="D12" s="44" t="s">
        <v>384</v>
      </c>
      <c r="E12" s="45" t="s">
        <v>385</v>
      </c>
      <c r="F12" s="9"/>
    </row>
    <row r="13" spans="1:6" ht="5.05" customHeight="1" x14ac:dyDescent="0.55000000000000004">
      <c r="A13" s="5"/>
      <c r="B13" s="5"/>
      <c r="C13" s="5"/>
      <c r="D13" s="5"/>
      <c r="E13" s="5"/>
      <c r="F13" s="5"/>
    </row>
    <row r="14" spans="1:6" ht="36" customHeight="1" x14ac:dyDescent="0.55000000000000004">
      <c r="A14" s="147" t="s">
        <v>386</v>
      </c>
      <c r="B14" s="148"/>
      <c r="C14" s="148"/>
      <c r="D14" s="148"/>
      <c r="E14" s="148"/>
      <c r="F14" s="148"/>
    </row>
    <row r="15" spans="1:6" ht="18" customHeight="1" x14ac:dyDescent="0.55000000000000004">
      <c r="A15" s="6"/>
      <c r="B15" s="6" t="s">
        <v>354</v>
      </c>
      <c r="C15" s="6" t="s">
        <v>355</v>
      </c>
      <c r="D15" s="6" t="s">
        <v>356</v>
      </c>
      <c r="E15" s="6" t="s">
        <v>357</v>
      </c>
      <c r="F15" s="6"/>
    </row>
    <row r="16" spans="1:6" ht="44.05" customHeight="1" x14ac:dyDescent="0.55000000000000004">
      <c r="A16" s="46"/>
      <c r="B16" s="47" t="s">
        <v>387</v>
      </c>
      <c r="C16" s="48" t="s">
        <v>388</v>
      </c>
      <c r="D16" s="35" t="s">
        <v>389</v>
      </c>
      <c r="E16" s="49" t="s">
        <v>390</v>
      </c>
      <c r="F16" s="46"/>
    </row>
    <row r="17" spans="1:6" ht="40" customHeight="1" x14ac:dyDescent="0.55000000000000004">
      <c r="A17" s="46"/>
      <c r="B17" s="47" t="s">
        <v>391</v>
      </c>
      <c r="C17" s="48" t="s">
        <v>392</v>
      </c>
      <c r="D17" s="35" t="s">
        <v>393</v>
      </c>
      <c r="E17" s="49" t="s">
        <v>394</v>
      </c>
      <c r="F17" s="46"/>
    </row>
    <row r="18" spans="1:6" ht="36" customHeight="1" x14ac:dyDescent="0.55000000000000004">
      <c r="A18" s="46"/>
      <c r="B18" s="47" t="s">
        <v>395</v>
      </c>
      <c r="C18" s="48" t="s">
        <v>396</v>
      </c>
      <c r="D18" s="35" t="s">
        <v>397</v>
      </c>
      <c r="E18" s="49" t="s">
        <v>398</v>
      </c>
      <c r="F18" s="46"/>
    </row>
    <row r="19" spans="1:6" ht="36" customHeight="1" x14ac:dyDescent="0.55000000000000004">
      <c r="A19" s="46"/>
      <c r="B19" s="47" t="s">
        <v>399</v>
      </c>
      <c r="C19" s="48" t="s">
        <v>400</v>
      </c>
      <c r="D19" s="35" t="s">
        <v>401</v>
      </c>
      <c r="E19" s="49" t="s">
        <v>402</v>
      </c>
      <c r="F19" s="46"/>
    </row>
    <row r="20" spans="1:6" ht="5.05" customHeight="1" x14ac:dyDescent="0.55000000000000004">
      <c r="A20" s="5"/>
      <c r="B20" s="5"/>
      <c r="C20" s="5"/>
      <c r="D20" s="5"/>
      <c r="E20" s="5"/>
      <c r="F20" s="5"/>
    </row>
    <row r="21" spans="1:6" ht="36" customHeight="1" x14ac:dyDescent="0.55000000000000004">
      <c r="A21" s="153" t="s">
        <v>403</v>
      </c>
      <c r="B21" s="154"/>
      <c r="C21" s="154"/>
      <c r="D21" s="154"/>
      <c r="E21" s="154"/>
      <c r="F21" s="154"/>
    </row>
    <row r="22" spans="1:6" ht="18" customHeight="1" x14ac:dyDescent="0.55000000000000004">
      <c r="A22" s="50"/>
      <c r="B22" s="50" t="s">
        <v>354</v>
      </c>
      <c r="C22" s="50" t="s">
        <v>9</v>
      </c>
      <c r="D22" s="50" t="s">
        <v>404</v>
      </c>
      <c r="E22" s="50" t="s">
        <v>405</v>
      </c>
      <c r="F22" s="50"/>
    </row>
    <row r="23" spans="1:6" ht="40" customHeight="1" x14ac:dyDescent="0.55000000000000004">
      <c r="A23" s="22"/>
      <c r="B23" s="51" t="s">
        <v>406</v>
      </c>
      <c r="C23" s="52" t="s">
        <v>407</v>
      </c>
      <c r="D23" s="53" t="s">
        <v>408</v>
      </c>
      <c r="E23" s="54" t="s">
        <v>409</v>
      </c>
      <c r="F23" s="22"/>
    </row>
    <row r="24" spans="1:6" ht="40" customHeight="1" x14ac:dyDescent="0.55000000000000004">
      <c r="A24" s="22"/>
      <c r="B24" s="51" t="s">
        <v>410</v>
      </c>
      <c r="C24" s="52" t="s">
        <v>411</v>
      </c>
      <c r="D24" s="53" t="s">
        <v>412</v>
      </c>
      <c r="E24" s="54" t="s">
        <v>409</v>
      </c>
      <c r="F24" s="22"/>
    </row>
    <row r="25" spans="1:6" ht="40" customHeight="1" x14ac:dyDescent="0.55000000000000004">
      <c r="A25" s="22"/>
      <c r="B25" s="51" t="s">
        <v>413</v>
      </c>
      <c r="C25" s="52" t="s">
        <v>248</v>
      </c>
      <c r="D25" s="53" t="s">
        <v>414</v>
      </c>
      <c r="E25" s="54" t="s">
        <v>409</v>
      </c>
      <c r="F25" s="22"/>
    </row>
    <row r="26" spans="1:6" ht="40" customHeight="1" x14ac:dyDescent="0.55000000000000004">
      <c r="A26" s="46"/>
      <c r="B26" s="55" t="s">
        <v>415</v>
      </c>
      <c r="C26" s="56" t="s">
        <v>416</v>
      </c>
      <c r="D26" s="35" t="s">
        <v>417</v>
      </c>
      <c r="E26" s="57" t="s">
        <v>409</v>
      </c>
      <c r="F26" s="46"/>
    </row>
    <row r="27" spans="1:6" ht="40" customHeight="1" x14ac:dyDescent="0.55000000000000004">
      <c r="A27" s="46"/>
      <c r="B27" s="55" t="s">
        <v>418</v>
      </c>
      <c r="C27" s="56" t="s">
        <v>419</v>
      </c>
      <c r="D27" s="35" t="s">
        <v>420</v>
      </c>
      <c r="E27" s="57" t="s">
        <v>409</v>
      </c>
      <c r="F27" s="46"/>
    </row>
    <row r="28" spans="1:6" ht="40" customHeight="1" x14ac:dyDescent="0.55000000000000004">
      <c r="A28" s="46"/>
      <c r="B28" s="55" t="s">
        <v>421</v>
      </c>
      <c r="C28" s="56" t="s">
        <v>422</v>
      </c>
      <c r="D28" s="35" t="s">
        <v>423</v>
      </c>
      <c r="E28" s="57" t="s">
        <v>409</v>
      </c>
      <c r="F28" s="46"/>
    </row>
    <row r="29" spans="1:6" ht="40" customHeight="1" x14ac:dyDescent="0.55000000000000004">
      <c r="A29" s="22"/>
      <c r="B29" s="51" t="s">
        <v>424</v>
      </c>
      <c r="C29" s="52" t="s">
        <v>269</v>
      </c>
      <c r="D29" s="53" t="s">
        <v>425</v>
      </c>
      <c r="E29" s="54" t="s">
        <v>409</v>
      </c>
      <c r="F29" s="22"/>
    </row>
    <row r="30" spans="1:6" ht="40" customHeight="1" x14ac:dyDescent="0.55000000000000004">
      <c r="A30" s="22"/>
      <c r="B30" s="51" t="s">
        <v>426</v>
      </c>
      <c r="C30" s="52" t="s">
        <v>427</v>
      </c>
      <c r="D30" s="53" t="s">
        <v>428</v>
      </c>
      <c r="E30" s="54" t="s">
        <v>409</v>
      </c>
      <c r="F30" s="22"/>
    </row>
    <row r="31" spans="1:6" ht="40" customHeight="1" x14ac:dyDescent="0.55000000000000004">
      <c r="A31" s="46"/>
      <c r="B31" s="55" t="s">
        <v>429</v>
      </c>
      <c r="C31" s="56" t="s">
        <v>275</v>
      </c>
      <c r="D31" s="35" t="s">
        <v>430</v>
      </c>
      <c r="E31" s="57" t="s">
        <v>409</v>
      </c>
      <c r="F31" s="46"/>
    </row>
    <row r="32" spans="1:6" ht="40" customHeight="1" x14ac:dyDescent="0.55000000000000004">
      <c r="A32" s="46"/>
      <c r="B32" s="55" t="s">
        <v>431</v>
      </c>
      <c r="C32" s="56" t="s">
        <v>432</v>
      </c>
      <c r="D32" s="35" t="s">
        <v>433</v>
      </c>
      <c r="E32" s="57" t="s">
        <v>409</v>
      </c>
      <c r="F32" s="46"/>
    </row>
    <row r="33" spans="1:6" ht="40" customHeight="1" x14ac:dyDescent="0.55000000000000004">
      <c r="A33" s="46"/>
      <c r="B33" s="55" t="s">
        <v>434</v>
      </c>
      <c r="C33" s="56" t="s">
        <v>435</v>
      </c>
      <c r="D33" s="35" t="s">
        <v>436</v>
      </c>
      <c r="E33" s="57" t="s">
        <v>409</v>
      </c>
      <c r="F33" s="46"/>
    </row>
    <row r="34" spans="1:6" ht="5.05" customHeight="1" x14ac:dyDescent="0.55000000000000004">
      <c r="A34" s="5"/>
      <c r="B34" s="5"/>
      <c r="C34" s="5"/>
      <c r="D34" s="5"/>
      <c r="E34" s="5"/>
      <c r="F34" s="5"/>
    </row>
    <row r="35" spans="1:6" ht="52" customHeight="1" x14ac:dyDescent="0.55000000000000004">
      <c r="A35" s="141" t="s">
        <v>437</v>
      </c>
      <c r="B35" s="142"/>
      <c r="C35" s="142"/>
      <c r="D35" s="142"/>
      <c r="E35" s="142"/>
      <c r="F35" s="142"/>
    </row>
  </sheetData>
  <mergeCells count="6">
    <mergeCell ref="A2:F2"/>
    <mergeCell ref="A14:F14"/>
    <mergeCell ref="A1:F1"/>
    <mergeCell ref="A35:F35"/>
    <mergeCell ref="A4:F4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2026-04-05T09:31:14Z</dcterms:created>
  <dcterms:modified xsi:type="dcterms:W3CDTF">2026-04-05T09:39:56Z</dcterms:modified>
</cp:coreProperties>
</file>