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5E74E9DC-D353-4254-BA69-5B394274BE1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58" i="1"/>
  <c r="C56" i="1"/>
  <c r="D8" i="2"/>
  <c r="D7" i="2"/>
  <c r="D6" i="2"/>
  <c r="E48" i="1"/>
  <c r="C53" i="1" s="1"/>
  <c r="G47" i="1"/>
  <c r="G46" i="1"/>
  <c r="G45" i="1"/>
  <c r="G44" i="1"/>
  <c r="G43" i="1"/>
  <c r="G42" i="1"/>
  <c r="G41" i="1"/>
  <c r="G40" i="1"/>
  <c r="G48" i="1" s="1"/>
  <c r="E16" i="1"/>
  <c r="D5" i="2" s="1"/>
  <c r="C54" i="1" l="1"/>
  <c r="C55" i="1"/>
</calcChain>
</file>

<file path=xl/sharedStrings.xml><?xml version="1.0" encoding="utf-8"?>
<sst xmlns="http://schemas.openxmlformats.org/spreadsheetml/2006/main" count="408" uniqueCount="321">
  <si>
    <t>383 – KVK GEÇİCİ MADDE 14/4 | DÖNEM SONU DEĞERLEMESİNDEN DOĞAN KÂR PAYI VE FAİZ İSTİSNASI | PARAGRAF 4 — YENİ PARAGRAF | YMM TASDİK ÇALIŞMA KÂĞIDI</t>
  </si>
  <si>
    <t>KVK Geçici Md.14/4 (Paragraf 4) | Dönem Sonu (31 Aralık) Kâr Payı/Faiz Tahakkuk İstisnası | Beyanname 383 | ★ YİAKV MATRAHINDA DÜŞÜLEMEZ | GİB KV Beyan Rehberi Mart 2026 (No:606)</t>
  </si>
  <si>
    <t xml:space="preserve">  372 / 376 / 380 / 383 PARAGRAF KARŞILAŞTIRMASI — Her dördü de DÖNEM SONU KÂR PAYI VE FAİZ:
  372 (Md.14/1-b): Paragraf 1 — Yab. para/altın → TL KKM dönüşümü sonrası araç.
  376 (Md.14/2): Paragraf 2 — Yab. para borç → TL dönüşümü sonrası araç.
  380 (Md.14/3): Paragraf 3 — Altın hesabı → TL dönüşümü sonrası araç.
  383 (Md.14/4): Paragraf 4 — KVK Geçici Md.14/4 kapsamındaki araçlar → BU DOSYA.
  Paragraf 4, 1-3 paragrafların kapsamadığı belirli TL araç/enstrüman kategorisine özgü ayrı hükümdür.</t>
  </si>
  <si>
    <t xml:space="preserve">  ★★ YİAKV (KVK Md.32/C) KRİTİK: 383 kapsamındaki dönem sonu kâr payı/faiz istisnası YİAKV matrahından DÜŞÜLEMEZ. (YİAKV Reh. No:607 | E.7 DÜŞÜLEMEZ listesi)</t>
  </si>
  <si>
    <t>A0. KAPSAM VE NİTELİK UYGUNLUK ÖN KONTROLÜ — KVK GEÇİCİ MD.14/4 ÖZEL KOŞULLAR</t>
  </si>
  <si>
    <t>Kontrol Sorusu</t>
  </si>
  <si>
    <t>Yanıt</t>
  </si>
  <si>
    <t>YMM Tasdik Notu</t>
  </si>
  <si>
    <t>A0.1  KVK Geçici Md.14/4 kapsamında işlem gerçekleştirildi mi? (Yasal dayanak ve kapsam teyit edildi mi?)</t>
  </si>
  <si>
    <t>EVET</t>
  </si>
  <si>
    <t>383, KVK Geçici Md.14/4 kapsamı enstrümanlara özgüdür. Paragraf 4'ün kapsamı GİB KV Beyan Rehberi Mart 2026 (No:606) ve ilgili tebliğler çerçevesinde belirlenmeli.</t>
  </si>
  <si>
    <t>A0.2  ★ Bu işlem/enstrüman Paragraf 1 (370–374), Paragraf 2 (375–378) veya Paragraf 3 (379–382) kapsamına girmiyor mu?</t>
  </si>
  <si>
    <t>383, yalnızca 372/376/380 kapsamına girmeyen Paragraf 4'e özgü araçlara uygulanır. Paragraf analizi YMM tarafından yapılmalı ve belgelenmeli.</t>
  </si>
  <si>
    <t>A0.3  ★ Dönem sonu faiz/kâr payı tahakkuku yapıldı mı? (181 Dr / 642 Kr)</t>
  </si>
  <si>
    <t>VUK Md.280/281 gereği dönem sonu (31 Aralık) itibariyle tahakkuk zorunludur. Muhasebe kaydı olmadan 383 istisnasının dayanağı yoktur.</t>
  </si>
  <si>
    <t>A0.4  Paragraf 4 kapsamını belirleyen yasal mevzuat (Tebliğ / CB Kararı) incelendi mi?</t>
  </si>
  <si>
    <t>KVK Geçici Md.14/4 kapsamı belirleyen yasal düzenlemeler incelenmeli. GİB KV Beyan Rehberi (No:606), ilgili tebliğler ve CB Kararları referans alınmalı.</t>
  </si>
  <si>
    <t>A0.5  372/376/380 (Paragraf 1/2/3) ile mükerrerlik analizi yapıldı mı?</t>
  </si>
  <si>
    <t>Aynı araç için yalnızca bir paragraf kodu uygulanabilir. Paragraf 4 araçlarının 1-3 paragraflarından ayrıştırılması zorunludur.</t>
  </si>
  <si>
    <t>A0.6  ★ 383 tutarının YİAKV matrahından DÜŞÜLMEDIĞI teyit edildi mi?</t>
  </si>
  <si>
    <t>KVK Geçici Md.14 kapsamındaki tüm istisnalar YİAKV matrahından DÜŞÜLEMEZ. YİAKV E.7'de 383 de kontrol edilmeli.</t>
  </si>
  <si>
    <t>A0.7  GİB Özelgesi alındı mı? (Paragraf 4 kapsamı için tavsiye edilir)</t>
  </si>
  <si>
    <t>Paragraf 4 kapsamı yeni ve tartışmalı olabilir. GİB özelgesi risk yönetimi için kritiktir.</t>
  </si>
  <si>
    <t>A0.8  YMM Tasdik Raporu gereksinimi değerlendirildi mi? (49 No.lu Tebliğ)</t>
  </si>
  <si>
    <t>&gt;=500.000 TL → YMM raporu.</t>
  </si>
  <si>
    <t>A0.9  Tasdik Uygunluk Sonucu</t>
  </si>
  <si>
    <t>★ A0.2 (Paragraf 4 niteliği), A0.3 (tahakkuk), A0.6 (YİAKV) kritik.</t>
  </si>
  <si>
    <t>A. GENEL BİLGİLER</t>
  </si>
  <si>
    <t>Kurumun Unvanı</t>
  </si>
  <si>
    <t>Tam ticaret unvanı</t>
  </si>
  <si>
    <t>VKN</t>
  </si>
  <si>
    <t>10 haneli VKN</t>
  </si>
  <si>
    <t>Hesap Dönemi / Değerleme Tarihi</t>
  </si>
  <si>
    <t>31.12.2025 — VUK dönem sonu değerleme tarihi</t>
  </si>
  <si>
    <t>KV Oranı (%)</t>
  </si>
  <si>
    <t>2025: %25 | Banka/Finans: %30</t>
  </si>
  <si>
    <t>Dosya Referansı</t>
  </si>
  <si>
    <t>YMM-2025/383-01</t>
  </si>
  <si>
    <t>Paragraf 4 Yasal Dayanak Referansı</t>
  </si>
  <si>
    <t>KVK Geçici Md.14/4 | GİB KV Beyan Reh. 2026 (No:606) | İlgili CB Kararı</t>
  </si>
  <si>
    <t>B. KVK GEÇİCİ MD.14/4 — KAPSAM TANIMI VE ARAÇ BİLGİLERİ</t>
  </si>
  <si>
    <t xml:space="preserve">  ★ Paragraf 4 Kapsam Analizi: KVK Geçici Md.14/4 kapsamındaki araç/enstrüman türü ve yasal dayanağı YMM tarafından belirlenmeli. Paragraf 1-3 ile örtüşme olmamalı. Her araç için ayrı paragraf analizi zorunludur.</t>
  </si>
  <si>
    <t xml:space="preserve">  KVK GEÇİCİ MD.14/4 KAPSAM AÇIKLAMASI:
  KVK Geçici Madde 14'e sonradan eklenen Paragraf 4, Paragraf 1 (FX/altın → TL KKM), Paragraf 2 (FX borç → TL) ve Paragraf 3 (altın hesabı → TL) kapsamlarından farklı bir işlem veya enstrüman kategorisini kapsar.
  OLASI KAPSAM ALANLARI: Özel TL araçlar (tahvil, sertifika vb.) | Belirli tarih aralıklarında açılan TL hesaplar | Kurumsal yatırımcı hesapları | Genişletilmiş KKM penceresi araçları | Diğer Paragraf 1-3 dışı TL dönüşüm enstrümanları.
  ★ YMM: GİB KV Beyan Rehberi Mart 2026 (No:606) ve ilgili CB Kararları çerçevesinde müşterinin durumuna özgü Paragraf 4 kapsamı analizi yapılmalı ve belgelenmeli. Kapsam tartışmalıysa GİB özelgesi alınmalıdır.</t>
  </si>
  <si>
    <t>Parametre</t>
  </si>
  <si>
    <t>Değer / Tarih</t>
  </si>
  <si>
    <t>Açıklama</t>
  </si>
  <si>
    <t>Kaynak</t>
  </si>
  <si>
    <t>B.1  Paragraf 4 Kapsamındaki Araç/Enstrüman Türü</t>
  </si>
  <si>
    <t>TL Mevduat/KKM Araç</t>
  </si>
  <si>
    <t>KVK Geçici Md.14/4 kapsamındaki TL araç türü.</t>
  </si>
  <si>
    <t>Araç sözleşmesi / GİB Beyan Reh.</t>
  </si>
  <si>
    <t>B.2  Dönem Sonu Değerleme Tarihi</t>
  </si>
  <si>
    <t>31.12.2025</t>
  </si>
  <si>
    <t>VUK dönem sonu tarihi.</t>
  </si>
  <si>
    <t>VUK Md.280</t>
  </si>
  <si>
    <t>B.3  Faiz/Kâr Payı Hesaplama Yöntemi</t>
  </si>
  <si>
    <t>Banka Bildirimi</t>
  </si>
  <si>
    <t>Banka dönem sonu bildirimi veya sözleşme oranı esaslı tahakkuk.</t>
  </si>
  <si>
    <t>Banka belgesi</t>
  </si>
  <si>
    <t>B.4  TL Araç Bakiyesi (Dönem Sonu)</t>
  </si>
  <si>
    <t>31 Aralık itibarıyla Paragraf 4 araç bakiyesi.</t>
  </si>
  <si>
    <t>Hesap ekstresi</t>
  </si>
  <si>
    <t>B.5  ★ Paragraf 4 Kapsamı Yasal Dayanağı (Tebliğ / CB Kararı / GİB Rehber)</t>
  </si>
  <si>
    <t>KVK Geçici Md.14/4 kapsamını belirleyen yasal düzenleme referansı. Belgelenmeli.</t>
  </si>
  <si>
    <t>GİB / CB Kararı</t>
  </si>
  <si>
    <t>B.6  ★ Paragraf 1/2/3 ile Örtüşmeme Analizi Belgelendi mi?</t>
  </si>
  <si>
    <t>Bu araç için Paragraf 1/2/3 kodlarının hiçbirinin uygulanmadığı teyit edilmeli.</t>
  </si>
  <si>
    <t>Paragraf analizi</t>
  </si>
  <si>
    <t>C. PARAGRAF 4 TL ARAÇ BAZINDA DÖNEM SONU FAİZ/KÂR PAYI TAHAKKUK TABLOSU (383)</t>
  </si>
  <si>
    <t xml:space="preserve">  SÜTUN 5 (koyu yeşil çerçeve): ANA VERİ — Dönem sonu tahakkuk eden faiz/kâr payı (banka bildirimi).
  181 Dr / 642 Kr muhasebe kaydıyla mutabık olmalıdır. Sütun 6 (İstisna Oranı): Normalde 100.</t>
  </si>
  <si>
    <t>Araç Adı/No</t>
  </si>
  <si>
    <t>Açılış Tarihi</t>
  </si>
  <si>
    <t>Araç Türü</t>
  </si>
  <si>
    <t>Bakiye (TL)</t>
  </si>
  <si>
    <t>Dönem Sonu Tahakkuk (TL)</t>
  </si>
  <si>
    <t>İstisna Oranı (%)</t>
  </si>
  <si>
    <t>383 İstisna (TL)</t>
  </si>
  <si>
    <t>TOPLAM</t>
  </si>
  <si>
    <t>Toplam Dönem Sonu Faiz/Kâr Payı Tahakkuku → Beyanname 383</t>
  </si>
  <si>
    <t>—</t>
  </si>
  <si>
    <t xml:space="preserve">  SÜTUN 5 (koyu yeşil çerçeve): Banka dönem sonu bildirimi veya (Bakiye × Yıllık Oran × Gün/365). 181 Dr / 642 Kr muhasebe kaydıyla mutabık. Sütun 6: Normalde 100 (%). Kapsam dışı araç → 0. Paragraf 4 kapsamı YMM tarafından analiz edilmeli.</t>
  </si>
  <si>
    <t>D. DÖNEM SONU KÂR PAYI/FAİZ İSTİSNASI ÖZET — BEYANNAME 383</t>
  </si>
  <si>
    <t>Hesap Kalemi</t>
  </si>
  <si>
    <t>Tutar (TL)</t>
  </si>
  <si>
    <t>YMM Notu</t>
  </si>
  <si>
    <t>D.1  Toplam Dönem Sonu Faiz/Kâr Payı Tahakkuku</t>
  </si>
  <si>
    <t>C tablosu toplam</t>
  </si>
  <si>
    <t>181/642 muhasebe kaydıyla mutabık</t>
  </si>
  <si>
    <t>D.2  Kapsam Dışı Tahakkuk (Paragraf 4 dışı araçlar)</t>
  </si>
  <si>
    <t>Kapsam dışı — vergilendirilir</t>
  </si>
  <si>
    <t>D.3  ★ NET 383 İSTİSNA TUTARI → BEYANNAME 383</t>
  </si>
  <si>
    <t>→ Beyanname 383 | Kazancın Bulunması Halinde</t>
  </si>
  <si>
    <t>KVK Geçici Md.14/4</t>
  </si>
  <si>
    <t>D.4  Vergiye Tabi Kalan (Kapsam Dışı)</t>
  </si>
  <si>
    <t>Bu kısım KV matrahında kalır</t>
  </si>
  <si>
    <t>E.1  TOPLAM İSTİSNA → Beyanname Satır 383 (Kazancın Bulunması Halinde)</t>
  </si>
  <si>
    <t>D.3 — KVK Geçici Md.14/4 | Paragraf 4 Dönem Sonu Tahakkuk</t>
  </si>
  <si>
    <t xml:space="preserve">  ★★ KRİTİK UYARILAR:
(1) YİAKV MATRAHINDA DÜŞÜLEMEZ: 383 asgari KV matrahından çıkarılmaz — YİAKV E.7.
(2) PARAGRAF 4 NİTELİĞİ: 372/376/380 kapsamına girmeyen araçlar. Paragraf analizi YMM tarafından belgelenmeli.
(3) ÖZELGE: Paragraf 4 kapsamı belirsiz veya tartışmalıysa GİB özelgesi alınması zorunludur.
(4) MUHASEBE DAYANAĞI: 181 Dr / 642 Kr tahakkuk kaydı olmadan 383 uygulanamaz.</t>
  </si>
  <si>
    <t>383 – KVK GEÇİCİ MD.14/4 DÖNEM SONU FAİZ/KÂR PAYI | HESAPLAMALAR VE DENETİM</t>
  </si>
  <si>
    <t>Paragraf 4 | VUK 280/281 Dönem Sonu Tahakkuk | Beyanname 383 | YİAKV MATRAHINDA DÜŞÜLEMEZ</t>
  </si>
  <si>
    <t>A. TASDİK ÖZETİ</t>
  </si>
  <si>
    <t>A0 Uygunluğu</t>
  </si>
  <si>
    <t>OK ise devam</t>
  </si>
  <si>
    <t>Araç Türü (B.1)</t>
  </si>
  <si>
    <t>Paragraf 4 kapsamı araç</t>
  </si>
  <si>
    <t>Tahakkuk Kaydı (A0.3)</t>
  </si>
  <si>
    <t>181/642 kaydı zorunlu</t>
  </si>
  <si>
    <t>Paragraf 4 Analizi (A0.4)</t>
  </si>
  <si>
    <t>Mevzuat incelendi</t>
  </si>
  <si>
    <t>383 NET İSTİSNA (D.3)</t>
  </si>
  <si>
    <t>★★ YİAKV'de DÜŞÜLEMEZ</t>
  </si>
  <si>
    <t>KVK Geçici Md.14 tüm kodlar E.7</t>
  </si>
  <si>
    <t>Her zaman DÜŞÜLEMEZ</t>
  </si>
  <si>
    <t>B. 372 / 376 / 380 / 383 — DÖNEM SONU TAHAKKUK DÖRT PARAGRAF KARŞILAŞTIRMASI</t>
  </si>
  <si>
    <t>Özellik</t>
  </si>
  <si>
    <t>372 (Md.14/1-b) P1</t>
  </si>
  <si>
    <t>376 (Md.14/2) P2</t>
  </si>
  <si>
    <t>380 (Md.14/3) P3</t>
  </si>
  <si>
    <t>383 (Md.14/4) P4</t>
  </si>
  <si>
    <t>Ortak</t>
  </si>
  <si>
    <t>YİAKV</t>
  </si>
  <si>
    <t>Dayanak</t>
  </si>
  <si>
    <t>Paragraf 1 — Yab. para/altın → TL KKM</t>
  </si>
  <si>
    <t>Paragraf 2 — Borç → TL araç</t>
  </si>
  <si>
    <t>Paragraf 3 — Altın → TL araç</t>
  </si>
  <si>
    <t>Paragraf 4 — Özel kapsam</t>
  </si>
  <si>
    <t>Aynı mekanizma</t>
  </si>
  <si>
    <t>Dördü DÜŞÜLEMEZ</t>
  </si>
  <si>
    <t>Muhasebe</t>
  </si>
  <si>
    <t>181 Dr / 642 Kr</t>
  </si>
  <si>
    <t>Dönem sonu tahakkuk</t>
  </si>
  <si>
    <t>E.7</t>
  </si>
  <si>
    <t>Zaman</t>
  </si>
  <si>
    <t>31 Aralık</t>
  </si>
  <si>
    <t>Her yıl</t>
  </si>
  <si>
    <t>Yıllık accrual</t>
  </si>
  <si>
    <t>Bağlantılı</t>
  </si>
  <si>
    <t>370/371 (P1 dönüşümü)</t>
  </si>
  <si>
    <t>375 (P2 dönüşümü)</t>
  </si>
  <si>
    <t>379 (P3 altın dönüşümü)</t>
  </si>
  <si>
    <t>Paragraf 4 kapsamı</t>
  </si>
  <si>
    <t>Ayrı zincirler</t>
  </si>
  <si>
    <t>Bağlantı analizi</t>
  </si>
  <si>
    <t>C. DENETİM KONTROL LİSTESİ (K1–K12)</t>
  </si>
  <si>
    <t>Kontrol</t>
  </si>
  <si>
    <t>Sonuç</t>
  </si>
  <si>
    <t>K1</t>
  </si>
  <si>
    <t>★ Paragraf 4 kapsamı yasal dayanağı analiz edildi mi?</t>
  </si>
  <si>
    <t>GİB KV Beyan Reh. No:606, ilgili tebliğler ve CB Kararları incelenmeli. B.5 doldurulmuş.</t>
  </si>
  <si>
    <t>Uygun/Eksik/Risk</t>
  </si>
  <si>
    <t>K2</t>
  </si>
  <si>
    <t>★ Bu araç gerçekten 372/376/380 (Paragraf 1/2/3) kapsamına girmiyor mu?</t>
  </si>
  <si>
    <t>Paragraf 4 niteliği, diğer üç paragrafın kapsamı karşılaştırılarak teyit edilmeli.</t>
  </si>
  <si>
    <t>K3</t>
  </si>
  <si>
    <t>★ Dönem sonu faiz/kâr payı tahakkuk muhasebe kaydı yapıldı mı? (181/642)</t>
  </si>
  <si>
    <t>Kayıt olmadan 383 istisnasının muhasebe dayanağı yoktur.</t>
  </si>
  <si>
    <t>K4</t>
  </si>
  <si>
    <t>C tablosundaki tahakkuk tutarları 181/642 muhasebe kayıtlarıyla mutabık mı?</t>
  </si>
  <si>
    <t>Her araç satırı muhasebe ekstresiyle doğrulanmış.</t>
  </si>
  <si>
    <t>K5</t>
  </si>
  <si>
    <t>Banka dönem sonu tahakkuk bildirimi mevcut mu?</t>
  </si>
  <si>
    <t>Resmi banka dönem sonu bildirimi zorunludur.</t>
  </si>
  <si>
    <t>K6</t>
  </si>
  <si>
    <t>Kapsam dışı araçlar (D.2) ayrıştırıldı mı?</t>
  </si>
  <si>
    <t>Paragraf 4 dışındaki araçlar → vergilendirilir.</t>
  </si>
  <si>
    <t>K7</t>
  </si>
  <si>
    <t>★ Tartışmalı kapsam durumlarında GİB özelgesi alındı mı?</t>
  </si>
  <si>
    <t>Paragraf 4 kapsamı belirsizse özelge zorunludur.</t>
  </si>
  <si>
    <t>K8</t>
  </si>
  <si>
    <t>★★ 383 istisnası YİAKV matrahından DÜŞÜLMEDI mi?</t>
  </si>
  <si>
    <t>KVK Geçici Md.14 kapsamındaki tüm kodlar YİAKV matrahından DÜŞÜLEMEZ. E.7'de 383 de kontrol edilmeli.</t>
  </si>
  <si>
    <t>K9</t>
  </si>
  <si>
    <t>Beyanname 383 'Kazancın Bulunması Halinde' bölümünde mi?</t>
  </si>
  <si>
    <t>Zarar döneminde uygulanamaz.</t>
  </si>
  <si>
    <t>K10</t>
  </si>
  <si>
    <t>Tahsil döneminde 181 kapatma kaydı yapılıp 383 tekrar uygulanmadı mı?</t>
  </si>
  <si>
    <t>Yalnızca tahakkuk anında — tahsil döneminde tekrar yok.</t>
  </si>
  <si>
    <t>K11</t>
  </si>
  <si>
    <t>Birden fazla Paragraf 4 aracı varsa her biri ayrı satırda mı?</t>
  </si>
  <si>
    <t>Her araç C tablosunda ayrı satır ve ayrı değerlendirme.</t>
  </si>
  <si>
    <t>K12</t>
  </si>
  <si>
    <t>YMM Tasdik Raporu (49 No.lu Tebliğ) değerlendirildi mi?</t>
  </si>
  <si>
    <t>383 – KVK GEÇİCİ MD.14/4 DÖNEM SONU FAİZ/KÂR PAYI | MUHASEBE KAYITLARI</t>
  </si>
  <si>
    <t>Tahakkuk Kaydı | Tahsil Kaydı | 372/376/380/383 Dört Paragraf Karşılaştırması</t>
  </si>
  <si>
    <t>KAYIT 1 — DÖNEM SONU (31 ARALIK): PARAGRAF 4 ARACI FAİZ/KÂR PAYI TAHAKKUKU</t>
  </si>
  <si>
    <t>Tarih</t>
  </si>
  <si>
    <t>Hesap</t>
  </si>
  <si>
    <t>Not</t>
  </si>
  <si>
    <t>Dr</t>
  </si>
  <si>
    <t>Kr</t>
  </si>
  <si>
    <t>Ref</t>
  </si>
  <si>
    <t>[31.12.YYYY]</t>
  </si>
  <si>
    <t>181 Gelir Tahakkukları</t>
  </si>
  <si>
    <t>Paragraf 4 kapsamı TL araçtan tahakkuk eden faiz/kâr payı (C tablosu toplam)</t>
  </si>
  <si>
    <t>[Tutar]</t>
  </si>
  <si>
    <t>Banka bildirimi</t>
  </si>
  <si>
    <t>642 Faiz Gelirleri / 644 Kâr Payları</t>
  </si>
  <si>
    <t>KVK Geçici Md.14/4 kapsamı → Beyanname 383</t>
  </si>
  <si>
    <t>KV 383</t>
  </si>
  <si>
    <t xml:space="preserve">  372/376/380 ile AYNI muhasebe mekanizması (181/642). Fark: yasal dayanak Paragraf 4 (Md.14/4).</t>
  </si>
  <si>
    <t>KAYIT 2 — TAHSİL (İZLEYEN DÖNEM): 181 KAPATMA</t>
  </si>
  <si>
    <t>[Tahsil]</t>
  </si>
  <si>
    <t>102 Bankalar</t>
  </si>
  <si>
    <t>Faiz/kâr payı tahsilatı</t>
  </si>
  <si>
    <t>Banka ekstresi</t>
  </si>
  <si>
    <t>Önceki dönem 383 tahakkuku kapatma</t>
  </si>
  <si>
    <t>181 kapatma</t>
  </si>
  <si>
    <t>KAYIT 3 — 372 / 376 / 380 / 383 DÖRT PARAGRAF YAN YANA</t>
  </si>
  <si>
    <t>372</t>
  </si>
  <si>
    <t>31.12</t>
  </si>
  <si>
    <t>181/642</t>
  </si>
  <si>
    <t>P1 AKT: Yab.para/altın → KKM araç → Dönem sonu tahakkuk → 372</t>
  </si>
  <si>
    <t>[372]</t>
  </si>
  <si>
    <t>KV 372</t>
  </si>
  <si>
    <t>376</t>
  </si>
  <si>
    <t>P2 PAS: Borç → TL araç → Dönem sonu tahakkuk → 376</t>
  </si>
  <si>
    <t>[376]</t>
  </si>
  <si>
    <t>KV 376</t>
  </si>
  <si>
    <t>380</t>
  </si>
  <si>
    <t>P3 ALT: Altın → TL araç → Dönem sonu tahakkuk → 380</t>
  </si>
  <si>
    <t>[380]</t>
  </si>
  <si>
    <t>KV 380</t>
  </si>
  <si>
    <t>383</t>
  </si>
  <si>
    <t>P4: Paragraf 4 araç → Dönem sonu tahakkuk → 383 (BU)</t>
  </si>
  <si>
    <t>[383]</t>
  </si>
  <si>
    <t xml:space="preserve">  YİAKV: 372+376+380+383 dördünün de geliri (181/642 tahakkuk) YİAKV MATRAHINDA DÜŞÜLEMEZ (E.7). Aynı TL araç için yalnızca biri uygulanabilir — hangi paragraf kapsamında olduğu belirlenmelidir. Paragraf 4 kapsamı YMM tarafından analiz edilip belgelenmeli.</t>
  </si>
  <si>
    <t>383 – KVK GEÇİCİ MD.14/4 DÖNEM SONU FAİZ/KÂR PAYI | DENETÇİ NOTLARI</t>
  </si>
  <si>
    <t>GİB KV Beyan Rehberi Mart 2026 (No:606) | 372/376/380 Karşılaştırması | Paragraf 4 Analizi | ★★ YİAKV</t>
  </si>
  <si>
    <t>Kod</t>
  </si>
  <si>
    <t>Konu</t>
  </si>
  <si>
    <t>Mesleki Değerlendirme / Tasdik Standardı</t>
  </si>
  <si>
    <t>Mevzuat / Kaynak</t>
  </si>
  <si>
    <t>N1</t>
  </si>
  <si>
    <t>KVK Geçici Md.14/4 — Paragraf 4 Kapsamı ve Dönem Sonu Mekanizması</t>
  </si>
  <si>
    <t>383 (PARAGRAF 4 — DÖNEM SONU KÂR PAYI VE FAİZ) TANIMI:
KVK Geçici Madde 14/4 kapsamında değerlendirilen TL araçlardan dönem sonu itibarıyla
VUK Md.280/281 gereği tahakkuk ettirilen faiz ve kâr payı geliri, istisnadır.
PARAGRAF 4 KAPSAMININ ÖNEMİ:
KVK Geçici Md.14'e sonradan eklenen Paragraf 4, 1-3 paragraflarının kapsamadığı
belirli araç veya işlem kategorilerini kapsar. YMM'nin Paragraf 4'ün kapsamını
ilgili mevzuat (tebliğler, CB kararları, GİB rehberi) çerçevesinde belirlemesi zorunludur.
372/376/380/383 KARŞILAŞTIRMASI:
Her dördü de 181 Dr / 642 Kr dönem sonu tahakkuk mekanizmasını kullanır.
Fark: Hangi paragraf kapsamındaki TL aracın söz konusu olduğu.
BEYANNAME: 383 | Kazancın Bulunması Halinde İndirilecek</t>
  </si>
  <si>
    <t>KVK Geçici Md.14/4 | GİB KV Beyan Reh. 2026 (No:606) | VUK Md.280/281</t>
  </si>
  <si>
    <t>N2</t>
  </si>
  <si>
    <t>★ Paragraf 4 Kapsam Analizi — YMM'nin Temel Görevi</t>
  </si>
  <si>
    <t>PARAGRAF 4 KAPSAM ANALİZİ — ZORUNLU ADIMLAR:
1. GİB KV Beyan Rehberi Mart 2026 (No:606) inceleme:
   Beyanname satırı 383'ün hangi işlem/araç için öngörüldüğü belirlenmeli.
2. İlgili CB Kararları inceleme:
   KKM programını genişleten veya değiştiren CB Kararlarının Paragraf 4 üzerindeki etkisi.
3. Paragraf 1-3 ile karşılaştırma:
   Söz konusu işlem/araç Paragraf 1 (FX/altın → TL KKM) kapsamında mı?
   Paragraf 2 (FX borç → TL) kapsamında mı?
   Paragraf 3 (altın hesabı → TL) kapsamında mı?
   Hayırsa → Paragraf 4 (383) uygulanabilir.
4. GİB Özelgesi (Gerektiğinde):
   Paragraf 4 kapsamı belirsiz veya tartışmalıysa özelge zorunludur.</t>
  </si>
  <si>
    <t>KVK Geçici Md.14/4 | GİB KV Beyan Reh. 2026 (No:606) | CB Kararları</t>
  </si>
  <si>
    <t>N3</t>
  </si>
  <si>
    <t>★★ YİAKV ile İlişki — KVK Geçici Md.14 Tüm Kodlar DÜŞÜLEMEZ</t>
  </si>
  <si>
    <t>KVK GEÇİCİ MD.14 KAPSAMININ TAMAMININ YİAKV MATRAHINDA DÜŞÜLEMEZLİĞİ:
Paragraf 1: 370|371|372|373|374 → BEŞİ DE DÜŞÜLEMEZ
Paragraf 2: 375|376|377|378 → DÖRDÜ DE DÜŞÜLEMEZ
Paragraf 3: 379|380|381|382 → DÖRDÜ DE DÜŞÜLEMEZ
Paragraf 4: 383 → DÜŞÜLEMEZ (ve devam eden kodlar varsa hepsi)
YİAKV E.7 (Güncellenmeli):
'KVK Geçici Md.14 (Tüm Paragraflar 1-4, Tüm Kodlar 370-383+)
→ DÜŞÜLEMEZ ✗ | Beyanname 370/371/.../382/383'
Dönem sonu tahakkuk kodları (372/376/380/383) özelinde:
Her dördünün de 181/642 tahakkuku YİAKV matrahında kalır.</t>
  </si>
  <si>
    <t>KVK Md.32/C | YİAKV Reh. (No:607) | GİB KV Beyan Reh. (No:606)</t>
  </si>
  <si>
    <t>N4</t>
  </si>
  <si>
    <t>Dönem Sonu Tahakkuk Zinciri — Paragraf 4 İçin</t>
  </si>
  <si>
    <t>PARAGRAF 4 ZİNCİRİ ANALIZI:
Paragraf 1: 370 (kur farkı) → 372 (dönem sonu) → 373 (vade)
Paragraf 2: 375 (borç kur farkı) → 376 (dönem sonu) → 377 (vade)
Paragraf 3: 379 (altın dönüşüm) → 380 (dönem sonu) → 381 (vade)
Paragraf 4: [P4 dönüşüm kodu?] → 383 (dönem sonu) → [P4 vade kodu?]
383 = Paragraf 4 zincirinin dönem sonu halkası.
Eğer Paragraf 4'te bir 'dönüşüm anı' kodu varsa (örn. 383 öncesi bir kod),
383 o kodun 372 veya 376 veya 380 gibi dönem sonu tahakkuk karşılığıdır.
TAHSİL DÖNEMİNDE:
181/642 tahakkuku izleyen dönemde tahsil edildiğinde:
Dr 102 / Kr 181 → 383 tekrar uygulanmaz.
Vade sonu için ayrı bir beyanname kodu uygulanabilir.</t>
  </si>
  <si>
    <t>KVK Geçici Md.14/4 | VUK Md.280/281</t>
  </si>
  <si>
    <t>N5</t>
  </si>
  <si>
    <t>49 No.lu Tebliğ + YMM Tasdik Dil Standardı</t>
  </si>
  <si>
    <t>KULLANIN:
'...KVK Geçici Madde 14/4 kapsamındaki [Araç Türü] hesabından [dönem] hesap döneminin
bitiş tarihi itibarıyla VUK Md.280/281 gereği tahakkuk ettirilen [Tutar] TL faiz/kâr payı
geliri, KVK Geçici Madde 14/4 kapsamında kurumlar vergisinden istisna edilmiş ve yurt içi
asgari kurumlar vergisi matrahından indirilmemiştir.'
KULLANMAYIN:
'...383 tutarı YİAKV matrahından düşülmüştür.' (YANLIŞ)
'...Paragraf 4 kapsamı analiz edilmeksizin 383 uygulanmıştır.' (Eksik analiz)
'...Aynı araç hem 372 hem 383 kapsamındadır.' (Mükerrerlik)
KRİTİK RİSKLER:
(1) 383'ü YİAKV matrahından düşmek.
(2) Paragraf 4 kapsam analizi yapmadan 383 uygulamak.
(3) Tartışmalı kapsam için GİB özelgesi almamak.
(4) 372/376/380 ile aynı araç için mükerrer 383 uygulamak.</t>
  </si>
  <si>
    <t>49 No.lu Tebliğ | KVK Geçici Md.14/4 | SM-SMMM-YMM K. Md.12</t>
  </si>
  <si>
    <t xml:space="preserve">  GİB KV BEYAN REHBERİ MART 2026 (No:606) KAPANIŞ (383): 383 = 372, 376 ve 380'in Paragraf 4 karşılığı. Aynı 181/642 mekanizması, farklı yasal dayanak. Paragraf 4 kapsamı YMM tarafından belirlenmeli ve belgelenmeli. Tartışmalı kapsam için GİB özelgesi zorunludur. KVK Geçici Md.14 tüm kodları YİAKV matrahından DÜŞÜLEMEZ. YMM müteselsil sorumluluk: SM-SMMM-YMM Kanunu Md.12.</t>
  </si>
  <si>
    <t>383 – KVK GEÇİCİ MD.14/4 DÖNEM SONU FAİZ/KÂR PAYI | BELGE LİSTESİ | YMM TASDİK</t>
  </si>
  <si>
    <t>GİB KV Beyan Rehberi Mart 2026 (No:606) | Paragraf 4 Kapsam | VUK Md.280/281 | 181/642</t>
  </si>
  <si>
    <t>KATEGORİ 1 — ZORUNLU BELGELER</t>
  </si>
  <si>
    <t>No</t>
  </si>
  <si>
    <t>Belge</t>
  </si>
  <si>
    <t>Temin</t>
  </si>
  <si>
    <t>1</t>
  </si>
  <si>
    <t>★ Paragraf 4 Kapsam Analizi Notu (YMM Tarafından Hazırlanan)</t>
  </si>
  <si>
    <t>KVK Geçici Md.14/4 kapsamı belirleme notu. GİB KV Beyan Rehberi (No:606), ilgili tebliğler
ve CB Kararları referans alınarak hazırlanmalı. Bu, 383'ün en temel dayanağıdır.</t>
  </si>
  <si>
    <t>YMM tarafından hazırlanır</t>
  </si>
  <si>
    <t>2</t>
  </si>
  <si>
    <t>★ Muhasebe Yevmiyesi — 181 Dr / 642 Kr Tahakkuk Kaydı</t>
  </si>
  <si>
    <t>Dönem sonu (31 Aralık) tahakkuk yevmiye kaydı. C tablosu toplamıyla birebir uyumlu.
Kayıt olmadan 383 istisnasının muhasebe dayanağı yoktur.</t>
  </si>
  <si>
    <t>Yevmiye defteri</t>
  </si>
  <si>
    <t>3</t>
  </si>
  <si>
    <t>★ Banka Dönem Sonu Tahakkuk Bildirimi</t>
  </si>
  <si>
    <t>Dönem sonu tahakkuk eden faiz/kâr payı tutarını gösteren resmi banka belgesi.
Her araç için ayrı banka bildirimi.</t>
  </si>
  <si>
    <t>Banka şubesi/internet bankacılığı</t>
  </si>
  <si>
    <t>4</t>
  </si>
  <si>
    <t>★ GİB Özelgesi (Paragraf 4 Kapsam Belirsizliğinde — Tavsiye/Zorunlu)</t>
  </si>
  <si>
    <t>Paragraf 4 kapsamı tartışmalı veya belirsizse GİB özelgesi alınmalıdır.
Özelge olmadan 383 uygulaması tarhiyat riski taşıyabilir.</t>
  </si>
  <si>
    <t>GİB özelge başvuru sistemi</t>
  </si>
  <si>
    <t>5</t>
  </si>
  <si>
    <t>KV Beyannamesi Taslağı — 383. Satır</t>
  </si>
  <si>
    <t>'Kazancın Bulunması Halinde' bölümü. ★★ YİAKV matrahından çıkarılmamış.</t>
  </si>
  <si>
    <t>GİB e-Beyanname sistemi</t>
  </si>
  <si>
    <t>KATEGORİ 2 — EK BELGELER</t>
  </si>
  <si>
    <t>6</t>
  </si>
  <si>
    <t>Araç Sözleşmesi (Paragraf 4 Kapsamı Araç)</t>
  </si>
  <si>
    <t>Faiz/kâr payı oranı ve vade bilgisi için araç sözleşmesi.</t>
  </si>
  <si>
    <t>Banka araç sözleşmesi</t>
  </si>
  <si>
    <t>7</t>
  </si>
  <si>
    <t>372/376/380 ile Paragraf Ayrıştırma Belgesi</t>
  </si>
  <si>
    <t>Aynı araç için 372/376/380 uygulanmadığının teyidi — paragraf analizi notu.</t>
  </si>
  <si>
    <t>YMM kapsam analizi notu</t>
  </si>
  <si>
    <t>8</t>
  </si>
  <si>
    <t>181 Hesap Kapatma Kaydı (İzleyen Dönem Tahsilat)</t>
  </si>
  <si>
    <t>Önceki dönem 383 tahakkuklarının tahsil edildiğinde 181 kapatıldığını gösteren yevmiye.</t>
  </si>
  <si>
    <t>KATEGORİ 3 — YMM TASDİK KONTROL SORULARI</t>
  </si>
  <si>
    <t>Beklenen Sonuç</t>
  </si>
  <si>
    <t>YMM Aksiyonu</t>
  </si>
  <si>
    <t>S1</t>
  </si>
  <si>
    <t>★ Paragraf 4 kapsamı yasal dayanağı analiz edildi mi? (Mevzuat incelendi)</t>
  </si>
  <si>
    <t>GİB Beyan Reh. + CB Kararları + ilgili tebliğler.</t>
  </si>
  <si>
    <t>YMM kontrolü</t>
  </si>
  <si>
    <t>S2</t>
  </si>
  <si>
    <t>★ Bu araç 372/376/380 (Paragraf 1/2/3) kapsamına girmiyor mu?</t>
  </si>
  <si>
    <t>Paragraf 4 niteliği teyit edilmiş.</t>
  </si>
  <si>
    <t>S3</t>
  </si>
  <si>
    <t>★ Dönem sonu tahakkuk muhasebe kaydı (181/642) yapıldı mı?</t>
  </si>
  <si>
    <t>Kayıt olmadan istisna uygulanamaz.</t>
  </si>
  <si>
    <t>S4</t>
  </si>
  <si>
    <t>★ Tahakkuk tutarları banka bildirimi ile mutabık mı?</t>
  </si>
  <si>
    <t>Her araç satırı belgeyle doğrulanmalı.</t>
  </si>
  <si>
    <t>S5</t>
  </si>
  <si>
    <t>★ Tartışmalı kapsam için GİB özelgesi alındı mı?</t>
  </si>
  <si>
    <t>Kapsam belirsizliği → Özelge zorunlu.</t>
  </si>
  <si>
    <t>S6</t>
  </si>
  <si>
    <t>372/376/380 ile mükerrerlik analizi yapıldı mı?</t>
  </si>
  <si>
    <t>Aynı araç için yalnızca biri (372/376/380/383).</t>
  </si>
  <si>
    <t>S7</t>
  </si>
  <si>
    <t>KVK Geçici Md.14 tüm kodları YİAKV E.7'de DÜŞÜLEMEZ.</t>
  </si>
  <si>
    <t>S8</t>
  </si>
  <si>
    <t>S9</t>
  </si>
  <si>
    <t>Tahsil döneminde 181 kapatıldı, 383 tekrar uygulanmadı mı?</t>
  </si>
  <si>
    <t>Yalnızca tahakkuk anında.</t>
  </si>
  <si>
    <t>S10</t>
  </si>
  <si>
    <t>GİB KV Beyan Rehberi Mart 2026 (No:606) esas alınmıştır. 383 = KVK Geçici Md.14/4 (Paragraf 4) dönem sonu kâr payı/faiz tahakkuku. 372 (P1) + 376 (P2) + 380 (P3) + 383 (P4) — dört paragrafın dönem sonu hattı, aynı mekanizma (181/642). ★ Paragraf 4 kapsam analizi YMM'nin birincil görevidir. GİB özelgesi tavsiye edilir. KVK Geçici Md.14 tüm kodları YİAKV matrahından DÜŞÜLEMEZ.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</si>
</sst>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33691E"/>
      <name val="Arial"/>
      <family val="2"/>
      <charset val="162"/>
    </font>
    <font>
      <i/>
      <sz val="8"/>
      <color rgb="FF33691E"/>
      <name val="Arial"/>
      <family val="2"/>
      <charset val="162"/>
    </font>
    <font>
      <b/>
      <sz val="10"/>
      <color rgb="FF1F3864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33691E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01579B"/>
      <name val="Arial"/>
      <family val="2"/>
      <charset val="162"/>
    </font>
    <font>
      <sz val="8"/>
      <color rgb="FF283593"/>
      <name val="Arial"/>
      <family val="2"/>
      <charset val="162"/>
    </font>
    <font>
      <sz val="8"/>
      <color rgb="FF00838F"/>
      <name val="Arial"/>
      <family val="2"/>
      <charset val="162"/>
    </font>
    <font>
      <sz val="8"/>
      <color rgb="FF33691E"/>
      <name val="Arial"/>
      <family val="2"/>
      <charset val="162"/>
    </font>
    <font>
      <sz val="8"/>
      <color rgb="FF1F3864"/>
      <name val="Arial"/>
      <family val="2"/>
      <charset val="162"/>
    </font>
    <font>
      <b/>
      <sz val="8"/>
      <color rgb="FFC0392B"/>
      <name val="Arial"/>
      <family val="2"/>
      <charset val="162"/>
    </font>
    <font>
      <b/>
      <sz val="8"/>
      <color rgb="FF1B5E20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9">
    <fill>
      <patternFill patternType="none"/>
    </fill>
    <fill>
      <patternFill patternType="gray125"/>
    </fill>
    <fill>
      <patternFill patternType="solid">
        <fgColor rgb="FF33691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1F8E9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9FBE7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  <fill>
      <patternFill patternType="solid">
        <fgColor rgb="FF33691E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3691E"/>
      </left>
      <right style="thin">
        <color rgb="FF33691E"/>
      </right>
      <top style="thin">
        <color rgb="FF33691E"/>
      </top>
      <bottom style="thin">
        <color rgb="FF33691E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right" vertical="center"/>
    </xf>
    <xf numFmtId="3" fontId="16" fillId="14" borderId="3" xfId="0" applyNumberFormat="1" applyFont="1" applyFill="1" applyBorder="1" applyAlignment="1">
      <alignment horizontal="right" vertical="center"/>
    </xf>
    <xf numFmtId="1" fontId="0" fillId="10" borderId="1" xfId="0" applyNumberFormat="1" applyFill="1" applyBorder="1" applyAlignment="1">
      <alignment horizontal="center" vertical="center"/>
    </xf>
    <xf numFmtId="3" fontId="17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3" fontId="21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4" fillId="13" borderId="1" xfId="0" applyNumberFormat="1" applyFont="1" applyFill="1" applyBorder="1" applyAlignment="1">
      <alignment horizontal="right" vertical="center"/>
    </xf>
    <xf numFmtId="0" fontId="25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3" fillId="2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0" fillId="19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33" fillId="22" borderId="1" xfId="0" applyFont="1" applyFill="1" applyBorder="1" applyAlignment="1">
      <alignment horizontal="left" vertical="top" wrapText="1"/>
    </xf>
    <xf numFmtId="0" fontId="36" fillId="9" borderId="1" xfId="0" applyFont="1" applyFill="1" applyBorder="1" applyAlignment="1">
      <alignment horizontal="left" vertical="top" wrapText="1"/>
    </xf>
    <xf numFmtId="0" fontId="36" fillId="11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top" wrapText="1"/>
    </xf>
    <xf numFmtId="0" fontId="36" fillId="19" borderId="1" xfId="0" applyFont="1" applyFill="1" applyBorder="1" applyAlignment="1">
      <alignment horizontal="left" vertical="top" wrapText="1"/>
    </xf>
    <xf numFmtId="0" fontId="36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33" fillId="23" borderId="1" xfId="0" applyFont="1" applyFill="1" applyBorder="1" applyAlignment="1">
      <alignment horizontal="left" vertical="top" wrapText="1"/>
    </xf>
    <xf numFmtId="0" fontId="36" fillId="13" borderId="1" xfId="0" applyFont="1" applyFill="1" applyBorder="1" applyAlignment="1">
      <alignment horizontal="left" vertical="top" wrapText="1"/>
    </xf>
    <xf numFmtId="0" fontId="0" fillId="24" borderId="1" xfId="0" applyFill="1" applyBorder="1"/>
    <xf numFmtId="0" fontId="5" fillId="24" borderId="1" xfId="0" applyFont="1" applyFill="1" applyBorder="1" applyAlignment="1">
      <alignment horizontal="center" vertical="top"/>
    </xf>
    <xf numFmtId="0" fontId="5" fillId="24" borderId="1" xfId="0" applyFont="1" applyFill="1" applyBorder="1" applyAlignment="1">
      <alignment horizontal="left" vertical="top" wrapText="1"/>
    </xf>
    <xf numFmtId="0" fontId="33" fillId="25" borderId="1" xfId="0" applyFont="1" applyFill="1" applyBorder="1" applyAlignment="1">
      <alignment horizontal="left" vertical="top" wrapText="1"/>
    </xf>
    <xf numFmtId="0" fontId="36" fillId="24" borderId="1" xfId="0" applyFont="1" applyFill="1" applyBorder="1" applyAlignment="1">
      <alignment horizontal="left" vertical="top" wrapText="1"/>
    </xf>
    <xf numFmtId="0" fontId="1" fillId="26" borderId="2" xfId="0" applyFont="1" applyFill="1" applyBorder="1" applyAlignment="1">
      <alignment horizontal="center" vertical="center"/>
    </xf>
    <xf numFmtId="0" fontId="38" fillId="19" borderId="1" xfId="0" applyFont="1" applyFill="1" applyBorder="1" applyAlignment="1">
      <alignment horizontal="center" vertical="top"/>
    </xf>
    <xf numFmtId="0" fontId="33" fillId="21" borderId="1" xfId="0" applyFont="1" applyFill="1" applyBorder="1" applyAlignment="1">
      <alignment horizontal="left" vertical="top" wrapText="1"/>
    </xf>
    <xf numFmtId="0" fontId="39" fillId="19" borderId="1" xfId="0" applyFont="1" applyFill="1" applyBorder="1" applyAlignment="1">
      <alignment horizontal="center" vertical="top"/>
    </xf>
    <xf numFmtId="0" fontId="38" fillId="24" borderId="1" xfId="0" applyFont="1" applyFill="1" applyBorder="1" applyAlignment="1">
      <alignment horizontal="center" vertical="top"/>
    </xf>
    <xf numFmtId="0" fontId="38" fillId="24" borderId="1" xfId="0" applyFont="1" applyFill="1" applyBorder="1" applyAlignment="1">
      <alignment horizontal="left" vertical="top" wrapText="1"/>
    </xf>
    <xf numFmtId="0" fontId="39" fillId="24" borderId="1" xfId="0" applyFont="1" applyFill="1" applyBorder="1" applyAlignment="1">
      <alignment horizontal="center" vertical="top"/>
    </xf>
    <xf numFmtId="0" fontId="38" fillId="21" borderId="1" xfId="0" applyFont="1" applyFill="1" applyBorder="1" applyAlignment="1">
      <alignment horizontal="center" vertical="top"/>
    </xf>
    <xf numFmtId="0" fontId="33" fillId="27" borderId="1" xfId="0" applyFont="1" applyFill="1" applyBorder="1" applyAlignment="1">
      <alignment horizontal="left" vertical="top" wrapText="1"/>
    </xf>
    <xf numFmtId="0" fontId="39" fillId="21" borderId="1" xfId="0" applyFont="1" applyFill="1" applyBorder="1" applyAlignment="1">
      <alignment horizontal="center" vertical="top"/>
    </xf>
    <xf numFmtId="0" fontId="9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0" fillId="10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3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0" fillId="13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5" fillId="13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8" fillId="9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5" fillId="9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5" fillId="12" borderId="1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center"/>
    </xf>
    <xf numFmtId="0" fontId="0" fillId="15" borderId="2" xfId="0" applyFill="1" applyBorder="1"/>
    <xf numFmtId="0" fontId="8" fillId="11" borderId="1" xfId="0" applyFont="1" applyFill="1" applyBorder="1" applyAlignment="1">
      <alignment horizontal="left" vertical="top" wrapText="1"/>
    </xf>
    <xf numFmtId="0" fontId="33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33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3" fillId="9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33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5" fillId="9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4" fillId="2" borderId="2" xfId="0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left" vertical="center" wrapText="1"/>
    </xf>
    <xf numFmtId="0" fontId="35" fillId="3" borderId="1" xfId="0" applyFont="1" applyFill="1" applyBorder="1" applyAlignment="1">
      <alignment horizontal="left" vertical="center" wrapText="1"/>
    </xf>
    <xf numFmtId="0" fontId="33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37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8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6" borderId="5" xfId="0" applyFont="1" applyFill="1" applyBorder="1" applyAlignment="1">
      <alignment horizontal="left" vertical="center"/>
    </xf>
    <xf numFmtId="0" fontId="0" fillId="26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15" borderId="5" xfId="0" applyFont="1" applyFill="1" applyBorder="1" applyAlignment="1">
      <alignment horizontal="left" vertical="center"/>
    </xf>
    <xf numFmtId="0" fontId="0" fillId="15" borderId="5" xfId="0" applyFill="1" applyBorder="1"/>
    <xf numFmtId="3" fontId="4" fillId="2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796B6F-351C-492F-8FC1-256F9CC384A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112014a-0568-4180-8df4-ae37849fa91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5" width="16" customWidth="1"/>
    <col min="6" max="6" width="14" customWidth="1"/>
    <col min="7" max="7" width="22" customWidth="1"/>
  </cols>
  <sheetData>
    <row r="1" spans="1:7" ht="52" customHeight="1" x14ac:dyDescent="0.55000000000000004">
      <c r="A1" s="99" t="s">
        <v>0</v>
      </c>
      <c r="B1" s="100"/>
      <c r="C1" s="100"/>
      <c r="D1" s="100"/>
      <c r="E1" s="100"/>
      <c r="F1" s="100"/>
      <c r="G1" s="100"/>
    </row>
    <row r="2" spans="1:7" ht="22" customHeight="1" x14ac:dyDescent="0.55000000000000004">
      <c r="A2" s="111" t="s">
        <v>1</v>
      </c>
      <c r="B2" s="112"/>
      <c r="C2" s="112"/>
      <c r="D2" s="112"/>
      <c r="E2" s="112"/>
      <c r="F2" s="112"/>
      <c r="G2" s="112"/>
    </row>
    <row r="3" spans="1:7" ht="44.05" customHeight="1" x14ac:dyDescent="0.55000000000000004">
      <c r="A3" s="101" t="s">
        <v>2</v>
      </c>
      <c r="B3" s="102"/>
      <c r="C3" s="102"/>
      <c r="D3" s="102"/>
      <c r="E3" s="102"/>
      <c r="F3" s="102"/>
      <c r="G3" s="102"/>
    </row>
    <row r="4" spans="1:7" ht="22" customHeight="1" x14ac:dyDescent="0.55000000000000004">
      <c r="A4" s="104" t="s">
        <v>3</v>
      </c>
      <c r="B4" s="105"/>
      <c r="C4" s="105"/>
      <c r="D4" s="105"/>
      <c r="E4" s="105"/>
      <c r="F4" s="105"/>
      <c r="G4" s="105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8" t="s">
        <v>4</v>
      </c>
      <c r="B6" s="109"/>
      <c r="C6" s="109"/>
      <c r="D6" s="109"/>
      <c r="E6" s="109"/>
      <c r="F6" s="109"/>
      <c r="G6" s="109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3" t="s">
        <v>8</v>
      </c>
      <c r="B8" s="84"/>
      <c r="C8" s="84"/>
      <c r="D8" s="84"/>
      <c r="E8" s="4" t="s">
        <v>9</v>
      </c>
      <c r="F8" s="93" t="s">
        <v>10</v>
      </c>
      <c r="G8" s="84"/>
    </row>
    <row r="9" spans="1:7" ht="28" customHeight="1" x14ac:dyDescent="0.55000000000000004">
      <c r="A9" s="79" t="s">
        <v>11</v>
      </c>
      <c r="B9" s="80"/>
      <c r="C9" s="80"/>
      <c r="D9" s="80"/>
      <c r="E9" s="4" t="s">
        <v>9</v>
      </c>
      <c r="F9" s="91" t="s">
        <v>12</v>
      </c>
      <c r="G9" s="80"/>
    </row>
    <row r="10" spans="1:7" ht="28" customHeight="1" x14ac:dyDescent="0.55000000000000004">
      <c r="A10" s="79" t="s">
        <v>13</v>
      </c>
      <c r="B10" s="80"/>
      <c r="C10" s="80"/>
      <c r="D10" s="80"/>
      <c r="E10" s="4" t="s">
        <v>9</v>
      </c>
      <c r="F10" s="91" t="s">
        <v>14</v>
      </c>
      <c r="G10" s="80"/>
    </row>
    <row r="11" spans="1:7" ht="28" customHeight="1" x14ac:dyDescent="0.55000000000000004">
      <c r="A11" s="87" t="s">
        <v>15</v>
      </c>
      <c r="B11" s="78"/>
      <c r="C11" s="78"/>
      <c r="D11" s="78"/>
      <c r="E11" s="4" t="s">
        <v>9</v>
      </c>
      <c r="F11" s="86" t="s">
        <v>16</v>
      </c>
      <c r="G11" s="78"/>
    </row>
    <row r="12" spans="1:7" ht="28" customHeight="1" x14ac:dyDescent="0.55000000000000004">
      <c r="A12" s="83" t="s">
        <v>17</v>
      </c>
      <c r="B12" s="84"/>
      <c r="C12" s="84"/>
      <c r="D12" s="84"/>
      <c r="E12" s="4" t="s">
        <v>9</v>
      </c>
      <c r="F12" s="93" t="s">
        <v>18</v>
      </c>
      <c r="G12" s="84"/>
    </row>
    <row r="13" spans="1:7" ht="28" customHeight="1" x14ac:dyDescent="0.55000000000000004">
      <c r="A13" s="79" t="s">
        <v>19</v>
      </c>
      <c r="B13" s="80"/>
      <c r="C13" s="80"/>
      <c r="D13" s="80"/>
      <c r="E13" s="4" t="s">
        <v>9</v>
      </c>
      <c r="F13" s="91" t="s">
        <v>20</v>
      </c>
      <c r="G13" s="80"/>
    </row>
    <row r="14" spans="1:7" ht="28" customHeight="1" x14ac:dyDescent="0.55000000000000004">
      <c r="A14" s="83" t="s">
        <v>21</v>
      </c>
      <c r="B14" s="84"/>
      <c r="C14" s="84"/>
      <c r="D14" s="84"/>
      <c r="E14" s="4" t="s">
        <v>9</v>
      </c>
      <c r="F14" s="93" t="s">
        <v>22</v>
      </c>
      <c r="G14" s="84"/>
    </row>
    <row r="15" spans="1:7" ht="28" customHeight="1" x14ac:dyDescent="0.55000000000000004">
      <c r="A15" s="87" t="s">
        <v>23</v>
      </c>
      <c r="B15" s="78"/>
      <c r="C15" s="78"/>
      <c r="D15" s="78"/>
      <c r="E15" s="4" t="s">
        <v>9</v>
      </c>
      <c r="F15" s="86" t="s">
        <v>24</v>
      </c>
      <c r="G15" s="78"/>
    </row>
    <row r="16" spans="1:7" ht="24" customHeight="1" x14ac:dyDescent="0.55000000000000004">
      <c r="A16" s="90" t="s">
        <v>25</v>
      </c>
      <c r="B16" s="75"/>
      <c r="C16" s="75"/>
      <c r="D16" s="75"/>
      <c r="E16" s="7" t="str">
        <f>IF(AND(E8="EVET",E9="EVET",E10="EVET",E13="EVET"),"OK - Hesaplanabilir","HATA - Ön koşul eksik")</f>
        <v>OK - Hesaplanabilir</v>
      </c>
      <c r="F16" s="74" t="s">
        <v>26</v>
      </c>
      <c r="G16" s="75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95" t="s">
        <v>27</v>
      </c>
      <c r="B18" s="96"/>
      <c r="C18" s="96"/>
      <c r="D18" s="96"/>
      <c r="E18" s="96"/>
      <c r="F18" s="96"/>
      <c r="G18" s="96"/>
    </row>
    <row r="19" spans="1:7" ht="22" customHeight="1" x14ac:dyDescent="0.55000000000000004">
      <c r="A19" s="87" t="s">
        <v>28</v>
      </c>
      <c r="B19" s="78"/>
      <c r="C19" s="76"/>
      <c r="D19" s="76"/>
      <c r="E19" s="76"/>
      <c r="F19" s="8" t="s">
        <v>29</v>
      </c>
      <c r="G19" s="5"/>
    </row>
    <row r="20" spans="1:7" ht="22" customHeight="1" x14ac:dyDescent="0.55000000000000004">
      <c r="A20" s="83" t="s">
        <v>30</v>
      </c>
      <c r="B20" s="84"/>
      <c r="C20" s="76"/>
      <c r="D20" s="76"/>
      <c r="E20" s="76"/>
      <c r="F20" s="9" t="s">
        <v>31</v>
      </c>
      <c r="G20" s="3"/>
    </row>
    <row r="21" spans="1:7" ht="22" customHeight="1" x14ac:dyDescent="0.55000000000000004">
      <c r="A21" s="87" t="s">
        <v>32</v>
      </c>
      <c r="B21" s="78"/>
      <c r="C21" s="76"/>
      <c r="D21" s="76"/>
      <c r="E21" s="76"/>
      <c r="F21" s="8" t="s">
        <v>33</v>
      </c>
      <c r="G21" s="5"/>
    </row>
    <row r="22" spans="1:7" ht="22" customHeight="1" x14ac:dyDescent="0.55000000000000004">
      <c r="A22" s="83" t="s">
        <v>34</v>
      </c>
      <c r="B22" s="84"/>
      <c r="C22" s="76"/>
      <c r="D22" s="76"/>
      <c r="E22" s="76"/>
      <c r="F22" s="9" t="s">
        <v>35</v>
      </c>
      <c r="G22" s="3"/>
    </row>
    <row r="23" spans="1:7" ht="22" customHeight="1" x14ac:dyDescent="0.55000000000000004">
      <c r="A23" s="87" t="s">
        <v>36</v>
      </c>
      <c r="B23" s="78"/>
      <c r="C23" s="76"/>
      <c r="D23" s="76"/>
      <c r="E23" s="76"/>
      <c r="F23" s="8" t="s">
        <v>37</v>
      </c>
      <c r="G23" s="5"/>
    </row>
    <row r="24" spans="1:7" ht="22" customHeight="1" x14ac:dyDescent="0.55000000000000004">
      <c r="A24" s="83" t="s">
        <v>38</v>
      </c>
      <c r="B24" s="84"/>
      <c r="C24" s="76"/>
      <c r="D24" s="76"/>
      <c r="E24" s="76"/>
      <c r="F24" s="9" t="s">
        <v>39</v>
      </c>
      <c r="G24" s="3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95" t="s">
        <v>40</v>
      </c>
      <c r="B26" s="96"/>
      <c r="C26" s="96"/>
      <c r="D26" s="96"/>
      <c r="E26" s="96"/>
      <c r="F26" s="96"/>
      <c r="G26" s="96"/>
    </row>
    <row r="27" spans="1:7" ht="24" customHeight="1" x14ac:dyDescent="0.55000000000000004">
      <c r="A27" s="115" t="s">
        <v>41</v>
      </c>
      <c r="B27" s="84"/>
      <c r="C27" s="84"/>
      <c r="D27" s="84"/>
      <c r="E27" s="84"/>
      <c r="F27" s="84"/>
      <c r="G27" s="84"/>
    </row>
    <row r="28" spans="1:7" ht="52" customHeight="1" x14ac:dyDescent="0.55000000000000004">
      <c r="A28" s="81" t="s">
        <v>42</v>
      </c>
      <c r="B28" s="82"/>
      <c r="C28" s="82"/>
      <c r="D28" s="82"/>
      <c r="E28" s="82"/>
      <c r="F28" s="82"/>
      <c r="G28" s="82"/>
    </row>
    <row r="29" spans="1:7" ht="18" customHeight="1" x14ac:dyDescent="0.55000000000000004">
      <c r="A29" s="2"/>
      <c r="B29" s="2" t="s">
        <v>43</v>
      </c>
      <c r="C29" s="2"/>
      <c r="D29" s="2" t="s">
        <v>44</v>
      </c>
      <c r="E29" s="2"/>
      <c r="F29" s="2" t="s">
        <v>45</v>
      </c>
      <c r="G29" s="2" t="s">
        <v>46</v>
      </c>
    </row>
    <row r="30" spans="1:7" ht="26.05" customHeight="1" x14ac:dyDescent="0.55000000000000004">
      <c r="A30" s="83" t="s">
        <v>47</v>
      </c>
      <c r="B30" s="84"/>
      <c r="C30" s="4" t="s">
        <v>48</v>
      </c>
      <c r="D30" s="92" t="s">
        <v>49</v>
      </c>
      <c r="E30" s="84"/>
      <c r="F30" s="97" t="s">
        <v>50</v>
      </c>
      <c r="G30" s="84"/>
    </row>
    <row r="31" spans="1:7" ht="26.05" customHeight="1" x14ac:dyDescent="0.55000000000000004">
      <c r="A31" s="87" t="s">
        <v>51</v>
      </c>
      <c r="B31" s="78"/>
      <c r="C31" s="10" t="s">
        <v>52</v>
      </c>
      <c r="D31" s="77" t="s">
        <v>53</v>
      </c>
      <c r="E31" s="78"/>
      <c r="F31" s="98" t="s">
        <v>54</v>
      </c>
      <c r="G31" s="78"/>
    </row>
    <row r="32" spans="1:7" ht="26.05" customHeight="1" x14ac:dyDescent="0.55000000000000004">
      <c r="A32" s="83" t="s">
        <v>55</v>
      </c>
      <c r="B32" s="84"/>
      <c r="C32" s="4" t="s">
        <v>56</v>
      </c>
      <c r="D32" s="92" t="s">
        <v>57</v>
      </c>
      <c r="E32" s="84"/>
      <c r="F32" s="97" t="s">
        <v>58</v>
      </c>
      <c r="G32" s="84"/>
    </row>
    <row r="33" spans="1:7" ht="26.05" customHeight="1" x14ac:dyDescent="0.55000000000000004">
      <c r="A33" s="87" t="s">
        <v>59</v>
      </c>
      <c r="B33" s="78"/>
      <c r="C33" s="11"/>
      <c r="D33" s="77" t="s">
        <v>60</v>
      </c>
      <c r="E33" s="78"/>
      <c r="F33" s="98" t="s">
        <v>61</v>
      </c>
      <c r="G33" s="78"/>
    </row>
    <row r="34" spans="1:7" ht="26.05" customHeight="1" x14ac:dyDescent="0.55000000000000004">
      <c r="A34" s="103" t="s">
        <v>62</v>
      </c>
      <c r="B34" s="84"/>
      <c r="C34" s="11"/>
      <c r="D34" s="92" t="s">
        <v>63</v>
      </c>
      <c r="E34" s="84"/>
      <c r="F34" s="97" t="s">
        <v>64</v>
      </c>
      <c r="G34" s="84"/>
    </row>
    <row r="35" spans="1:7" ht="26.05" customHeight="1" x14ac:dyDescent="0.55000000000000004">
      <c r="A35" s="94" t="s">
        <v>65</v>
      </c>
      <c r="B35" s="78"/>
      <c r="C35" s="4" t="s">
        <v>9</v>
      </c>
      <c r="D35" s="77" t="s">
        <v>66</v>
      </c>
      <c r="E35" s="78"/>
      <c r="F35" s="98" t="s">
        <v>67</v>
      </c>
      <c r="G35" s="78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95" t="s">
        <v>68</v>
      </c>
      <c r="B37" s="96"/>
      <c r="C37" s="96"/>
      <c r="D37" s="96"/>
      <c r="E37" s="96"/>
      <c r="F37" s="96"/>
      <c r="G37" s="96"/>
    </row>
    <row r="38" spans="1:7" ht="26.05" customHeight="1" x14ac:dyDescent="0.55000000000000004">
      <c r="A38" s="106" t="s">
        <v>69</v>
      </c>
      <c r="B38" s="84"/>
      <c r="C38" s="84"/>
      <c r="D38" s="84"/>
      <c r="E38" s="84"/>
      <c r="F38" s="84"/>
      <c r="G38" s="84"/>
    </row>
    <row r="39" spans="1:7" ht="18" customHeight="1" x14ac:dyDescent="0.55000000000000004">
      <c r="A39" s="12" t="s">
        <v>70</v>
      </c>
      <c r="B39" s="12" t="s">
        <v>71</v>
      </c>
      <c r="C39" s="12" t="s">
        <v>72</v>
      </c>
      <c r="D39" s="12" t="s">
        <v>73</v>
      </c>
      <c r="E39" s="12" t="s">
        <v>74</v>
      </c>
      <c r="F39" s="12" t="s">
        <v>75</v>
      </c>
      <c r="G39" s="12" t="s">
        <v>76</v>
      </c>
    </row>
    <row r="40" spans="1:7" ht="26.05" customHeight="1" x14ac:dyDescent="0.55000000000000004">
      <c r="A40" s="13"/>
      <c r="B40" s="11"/>
      <c r="C40" s="14"/>
      <c r="D40" s="15"/>
      <c r="E40" s="16"/>
      <c r="F40" s="17">
        <v>100</v>
      </c>
      <c r="G40" s="18">
        <f t="shared" ref="G40:G47" si="0">IF(E40&gt;0,E40*F40/100,0)</f>
        <v>0</v>
      </c>
    </row>
    <row r="41" spans="1:7" ht="26.05" customHeight="1" x14ac:dyDescent="0.55000000000000004">
      <c r="A41" s="13"/>
      <c r="B41" s="11"/>
      <c r="C41" s="14"/>
      <c r="D41" s="15"/>
      <c r="E41" s="16"/>
      <c r="F41" s="17">
        <v>100</v>
      </c>
      <c r="G41" s="18">
        <f t="shared" si="0"/>
        <v>0</v>
      </c>
    </row>
    <row r="42" spans="1:7" ht="26.05" customHeight="1" x14ac:dyDescent="0.55000000000000004">
      <c r="A42" s="13"/>
      <c r="B42" s="11"/>
      <c r="C42" s="14"/>
      <c r="D42" s="15"/>
      <c r="E42" s="16"/>
      <c r="F42" s="17">
        <v>100</v>
      </c>
      <c r="G42" s="18">
        <f t="shared" si="0"/>
        <v>0</v>
      </c>
    </row>
    <row r="43" spans="1:7" ht="26.05" customHeight="1" x14ac:dyDescent="0.55000000000000004">
      <c r="A43" s="13"/>
      <c r="B43" s="11"/>
      <c r="C43" s="14"/>
      <c r="D43" s="15"/>
      <c r="E43" s="16"/>
      <c r="F43" s="17">
        <v>100</v>
      </c>
      <c r="G43" s="18">
        <f t="shared" si="0"/>
        <v>0</v>
      </c>
    </row>
    <row r="44" spans="1:7" ht="26.05" customHeight="1" x14ac:dyDescent="0.55000000000000004">
      <c r="A44" s="13"/>
      <c r="B44" s="11"/>
      <c r="C44" s="14"/>
      <c r="D44" s="15"/>
      <c r="E44" s="16"/>
      <c r="F44" s="17">
        <v>100</v>
      </c>
      <c r="G44" s="18">
        <f t="shared" si="0"/>
        <v>0</v>
      </c>
    </row>
    <row r="45" spans="1:7" ht="26.05" customHeight="1" x14ac:dyDescent="0.55000000000000004">
      <c r="A45" s="13"/>
      <c r="B45" s="11"/>
      <c r="C45" s="14"/>
      <c r="D45" s="15"/>
      <c r="E45" s="16"/>
      <c r="F45" s="17">
        <v>100</v>
      </c>
      <c r="G45" s="18">
        <f t="shared" si="0"/>
        <v>0</v>
      </c>
    </row>
    <row r="46" spans="1:7" ht="26.05" customHeight="1" x14ac:dyDescent="0.55000000000000004">
      <c r="A46" s="13"/>
      <c r="B46" s="11"/>
      <c r="C46" s="14"/>
      <c r="D46" s="15"/>
      <c r="E46" s="16"/>
      <c r="F46" s="17">
        <v>100</v>
      </c>
      <c r="G46" s="18">
        <f t="shared" si="0"/>
        <v>0</v>
      </c>
    </row>
    <row r="47" spans="1:7" ht="26.05" customHeight="1" x14ac:dyDescent="0.55000000000000004">
      <c r="A47" s="13"/>
      <c r="B47" s="11"/>
      <c r="C47" s="14"/>
      <c r="D47" s="15"/>
      <c r="E47" s="16"/>
      <c r="F47" s="17">
        <v>100</v>
      </c>
      <c r="G47" s="18">
        <f t="shared" si="0"/>
        <v>0</v>
      </c>
    </row>
    <row r="48" spans="1:7" ht="30" customHeight="1" x14ac:dyDescent="0.55000000000000004">
      <c r="A48" s="19" t="s">
        <v>77</v>
      </c>
      <c r="B48" s="99" t="s">
        <v>78</v>
      </c>
      <c r="C48" s="100"/>
      <c r="D48" s="156"/>
      <c r="E48" s="20">
        <f>SUM(E40:E47)</f>
        <v>0</v>
      </c>
      <c r="F48" s="19" t="s">
        <v>79</v>
      </c>
      <c r="G48" s="21">
        <f>SUM(G40:G47)</f>
        <v>0</v>
      </c>
    </row>
    <row r="49" spans="1:7" ht="26.05" customHeight="1" x14ac:dyDescent="0.55000000000000004">
      <c r="A49" s="81" t="s">
        <v>80</v>
      </c>
      <c r="B49" s="82"/>
      <c r="C49" s="82"/>
      <c r="D49" s="82"/>
      <c r="E49" s="82"/>
      <c r="F49" s="82"/>
      <c r="G49" s="82"/>
    </row>
    <row r="50" spans="1:7" ht="5.05" customHeight="1" x14ac:dyDescent="0.55000000000000004">
      <c r="A50" s="1"/>
      <c r="B50" s="1"/>
      <c r="C50" s="1"/>
      <c r="D50" s="1"/>
      <c r="E50" s="1"/>
      <c r="F50" s="1"/>
      <c r="G50" s="1"/>
    </row>
    <row r="51" spans="1:7" ht="24" customHeight="1" x14ac:dyDescent="0.55000000000000004">
      <c r="A51" s="95" t="s">
        <v>81</v>
      </c>
      <c r="B51" s="96"/>
      <c r="C51" s="96"/>
      <c r="D51" s="96"/>
      <c r="E51" s="96"/>
      <c r="F51" s="96"/>
      <c r="G51" s="96"/>
    </row>
    <row r="52" spans="1:7" ht="18" customHeight="1" x14ac:dyDescent="0.55000000000000004">
      <c r="A52" s="2"/>
      <c r="B52" s="2" t="s">
        <v>82</v>
      </c>
      <c r="C52" s="2"/>
      <c r="D52" s="2" t="s">
        <v>83</v>
      </c>
      <c r="E52" s="2"/>
      <c r="F52" s="2" t="s">
        <v>45</v>
      </c>
      <c r="G52" s="2" t="s">
        <v>84</v>
      </c>
    </row>
    <row r="53" spans="1:7" ht="28" customHeight="1" x14ac:dyDescent="0.55000000000000004">
      <c r="A53" s="87" t="s">
        <v>85</v>
      </c>
      <c r="B53" s="78"/>
      <c r="C53" s="22">
        <f>E48</f>
        <v>0</v>
      </c>
      <c r="D53" s="77" t="s">
        <v>86</v>
      </c>
      <c r="E53" s="78"/>
      <c r="F53" s="86" t="s">
        <v>87</v>
      </c>
      <c r="G53" s="78"/>
    </row>
    <row r="54" spans="1:7" ht="28" customHeight="1" x14ac:dyDescent="0.55000000000000004">
      <c r="A54" s="83" t="s">
        <v>88</v>
      </c>
      <c r="B54" s="84"/>
      <c r="C54" s="22">
        <f>D48-G48</f>
        <v>0</v>
      </c>
      <c r="D54" s="92" t="s">
        <v>89</v>
      </c>
      <c r="E54" s="84"/>
      <c r="F54" s="93"/>
      <c r="G54" s="84"/>
    </row>
    <row r="55" spans="1:7" ht="28" customHeight="1" x14ac:dyDescent="0.55000000000000004">
      <c r="A55" s="107" t="s">
        <v>90</v>
      </c>
      <c r="B55" s="75"/>
      <c r="C55" s="23">
        <f>G48</f>
        <v>0</v>
      </c>
      <c r="D55" s="110" t="s">
        <v>91</v>
      </c>
      <c r="E55" s="75"/>
      <c r="F55" s="113" t="s">
        <v>92</v>
      </c>
      <c r="G55" s="75"/>
    </row>
    <row r="56" spans="1:7" ht="28" customHeight="1" x14ac:dyDescent="0.55000000000000004">
      <c r="A56" s="83" t="s">
        <v>93</v>
      </c>
      <c r="B56" s="84"/>
      <c r="C56" s="22">
        <f>C54</f>
        <v>0</v>
      </c>
      <c r="D56" s="92" t="s">
        <v>94</v>
      </c>
      <c r="E56" s="84"/>
      <c r="F56" s="93"/>
      <c r="G56" s="84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85" t="s">
        <v>95</v>
      </c>
      <c r="B58" s="75"/>
      <c r="C58" s="75"/>
      <c r="D58" s="75"/>
      <c r="E58" s="24">
        <f>C55</f>
        <v>0</v>
      </c>
      <c r="F58" s="114" t="s">
        <v>96</v>
      </c>
      <c r="G58" s="75"/>
    </row>
    <row r="59" spans="1:7" ht="44.05" customHeight="1" x14ac:dyDescent="0.55000000000000004">
      <c r="A59" s="88" t="s">
        <v>97</v>
      </c>
      <c r="B59" s="89"/>
      <c r="C59" s="89"/>
      <c r="D59" s="89"/>
      <c r="E59" s="89"/>
      <c r="F59" s="89"/>
      <c r="G59" s="89"/>
    </row>
  </sheetData>
  <mergeCells count="77">
    <mergeCell ref="A1:G1"/>
    <mergeCell ref="F31:G31"/>
    <mergeCell ref="F9:G9"/>
    <mergeCell ref="C24:E24"/>
    <mergeCell ref="A3:G3"/>
    <mergeCell ref="A8:D8"/>
    <mergeCell ref="A4:G4"/>
    <mergeCell ref="A10:D10"/>
    <mergeCell ref="F8:G8"/>
    <mergeCell ref="A21:B21"/>
    <mergeCell ref="A6:G6"/>
    <mergeCell ref="A23:B23"/>
    <mergeCell ref="D30:E30"/>
    <mergeCell ref="A18:G18"/>
    <mergeCell ref="A12:D12"/>
    <mergeCell ref="A2:G2"/>
    <mergeCell ref="A9:D9"/>
    <mergeCell ref="F30:G30"/>
    <mergeCell ref="F33:G33"/>
    <mergeCell ref="A11:D11"/>
    <mergeCell ref="A49:G49"/>
    <mergeCell ref="B48:D48"/>
    <mergeCell ref="A34:B34"/>
    <mergeCell ref="A38:G38"/>
    <mergeCell ref="A32:B32"/>
    <mergeCell ref="F14:G14"/>
    <mergeCell ref="A14:D14"/>
    <mergeCell ref="F11:G11"/>
    <mergeCell ref="A24:B24"/>
    <mergeCell ref="F12:G12"/>
    <mergeCell ref="D32:E32"/>
    <mergeCell ref="F32:G32"/>
    <mergeCell ref="F10:G10"/>
    <mergeCell ref="F54:G54"/>
    <mergeCell ref="D34:E34"/>
    <mergeCell ref="C22:E22"/>
    <mergeCell ref="F34:G34"/>
    <mergeCell ref="D53:E53"/>
    <mergeCell ref="D54:E54"/>
    <mergeCell ref="A51:G51"/>
    <mergeCell ref="F35:G35"/>
    <mergeCell ref="C19:E19"/>
    <mergeCell ref="A20:B20"/>
    <mergeCell ref="A27:G27"/>
    <mergeCell ref="A31:B31"/>
    <mergeCell ref="F53:G53"/>
    <mergeCell ref="A59:G59"/>
    <mergeCell ref="A56:B56"/>
    <mergeCell ref="A33:B33"/>
    <mergeCell ref="A16:D16"/>
    <mergeCell ref="F13:G13"/>
    <mergeCell ref="D56:E56"/>
    <mergeCell ref="F56:G56"/>
    <mergeCell ref="A22:B22"/>
    <mergeCell ref="A53:B53"/>
    <mergeCell ref="A35:B35"/>
    <mergeCell ref="A37:G37"/>
    <mergeCell ref="D33:E33"/>
    <mergeCell ref="A19:B19"/>
    <mergeCell ref="A26:G26"/>
    <mergeCell ref="C20:E20"/>
    <mergeCell ref="D35:E35"/>
    <mergeCell ref="A54:B54"/>
    <mergeCell ref="A58:D58"/>
    <mergeCell ref="F15:G15"/>
    <mergeCell ref="C23:E23"/>
    <mergeCell ref="A15:D15"/>
    <mergeCell ref="A30:B30"/>
    <mergeCell ref="A55:B55"/>
    <mergeCell ref="D55:E55"/>
    <mergeCell ref="F55:G55"/>
    <mergeCell ref="F58:G58"/>
    <mergeCell ref="F16:G16"/>
    <mergeCell ref="C21:E21"/>
    <mergeCell ref="D31:E31"/>
    <mergeCell ref="A13:D13"/>
    <mergeCell ref="A28:G28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9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"EVET,HAYIR-Yanlış Paragraf"</formula1>
    </dataValidation>
    <dataValidation type="list" sqref="E10" xr:uid="{00000000-0002-0000-0000-000002000000}">
      <formula1>"EVET,HAYIR-Eksik Kayıt"</formula1>
    </dataValidation>
    <dataValidation type="list" sqref="E11" xr:uid="{00000000-0002-0000-0000-000003000000}">
      <formula1>"EVET,HAYIR-Eksik Analiz"</formula1>
    </dataValidation>
    <dataValidation type="list" sqref="E12 C35 E14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5" xr:uid="{00000000-0002-0000-0000-000007000000}">
      <formula1>"EVET,Tam Tasdik"</formula1>
    </dataValidation>
    <dataValidation type="list" sqref="C30" xr:uid="{00000000-0002-0000-0000-000008000000}">
      <formula1>"TL Mevduat,TL Katılım Hesabı,TL Tahvil/Sertifika,Kurumsal TL Araç,Diğer P4 Araç"</formula1>
    </dataValidation>
    <dataValidation type="list" sqref="C32" xr:uid="{00000000-0002-0000-0000-000009000000}">
      <formula1>"Banka Bildirimi,Sözleşme Oranı × Bakiye × Gün"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8" ht="36" customHeight="1" x14ac:dyDescent="0.55000000000000004">
      <c r="A1" s="129" t="s">
        <v>98</v>
      </c>
      <c r="B1" s="96"/>
      <c r="C1" s="96"/>
      <c r="D1" s="96"/>
      <c r="E1" s="96"/>
      <c r="F1" s="96"/>
      <c r="G1" s="96"/>
    </row>
    <row r="2" spans="1:8" ht="20.05" customHeight="1" x14ac:dyDescent="0.55000000000000004">
      <c r="A2" s="111" t="s">
        <v>99</v>
      </c>
      <c r="B2" s="112"/>
      <c r="C2" s="112"/>
      <c r="D2" s="112"/>
      <c r="E2" s="112"/>
      <c r="F2" s="112"/>
      <c r="G2" s="112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</row>
    <row r="4" spans="1:8" ht="22" customHeight="1" x14ac:dyDescent="0.55000000000000004">
      <c r="A4" s="119" t="s">
        <v>100</v>
      </c>
      <c r="B4" s="120"/>
      <c r="C4" s="120"/>
      <c r="D4" s="120"/>
      <c r="E4" s="120"/>
      <c r="F4" s="120"/>
      <c r="G4" s="120"/>
    </row>
    <row r="5" spans="1:8" ht="22" customHeight="1" x14ac:dyDescent="0.55000000000000004">
      <c r="A5" s="125" t="s">
        <v>101</v>
      </c>
      <c r="B5" s="78"/>
      <c r="C5" s="78"/>
      <c r="D5" s="25" t="str">
        <f>'VERİ GİRİŞİ'!E16</f>
        <v>OK - Hesaplanabilir</v>
      </c>
      <c r="E5" s="86" t="s">
        <v>102</v>
      </c>
      <c r="F5" s="78"/>
      <c r="G5" s="78"/>
    </row>
    <row r="6" spans="1:8" ht="22" customHeight="1" x14ac:dyDescent="0.55000000000000004">
      <c r="A6" s="126" t="s">
        <v>103</v>
      </c>
      <c r="B6" s="84"/>
      <c r="C6" s="84"/>
      <c r="D6" s="25" t="str">
        <f>'VERİ GİRİŞİ'!C30</f>
        <v>TL Mevduat/KKM Araç</v>
      </c>
      <c r="E6" s="93" t="s">
        <v>104</v>
      </c>
      <c r="F6" s="84"/>
      <c r="G6" s="84"/>
    </row>
    <row r="7" spans="1:8" ht="22" customHeight="1" x14ac:dyDescent="0.55000000000000004">
      <c r="A7" s="125" t="s">
        <v>105</v>
      </c>
      <c r="B7" s="78"/>
      <c r="C7" s="78"/>
      <c r="D7" s="25" t="str">
        <f>'VERİ GİRİŞİ'!E10</f>
        <v>EVET</v>
      </c>
      <c r="E7" s="86" t="s">
        <v>106</v>
      </c>
      <c r="F7" s="78"/>
      <c r="G7" s="78"/>
    </row>
    <row r="8" spans="1:8" ht="22" customHeight="1" x14ac:dyDescent="0.55000000000000004">
      <c r="A8" s="126" t="s">
        <v>107</v>
      </c>
      <c r="B8" s="84"/>
      <c r="C8" s="84"/>
      <c r="D8" s="25" t="str">
        <f>'VERİ GİRİŞİ'!E11</f>
        <v>EVET</v>
      </c>
      <c r="E8" s="93" t="s">
        <v>108</v>
      </c>
      <c r="F8" s="84"/>
      <c r="G8" s="84"/>
    </row>
    <row r="9" spans="1:8" ht="22" customHeight="1" x14ac:dyDescent="0.55000000000000004">
      <c r="A9" s="90" t="s">
        <v>109</v>
      </c>
      <c r="B9" s="75"/>
      <c r="C9" s="75"/>
      <c r="D9" s="26">
        <f>'VERİ GİRİŞİ'!C55</f>
        <v>0</v>
      </c>
      <c r="E9" s="113"/>
      <c r="F9" s="75"/>
      <c r="G9" s="75"/>
    </row>
    <row r="10" spans="1:8" ht="22" customHeight="1" x14ac:dyDescent="0.55000000000000004">
      <c r="A10" s="128" t="s">
        <v>110</v>
      </c>
      <c r="B10" s="117"/>
      <c r="C10" s="117"/>
      <c r="D10" s="27" t="s">
        <v>111</v>
      </c>
      <c r="E10" s="116" t="s">
        <v>112</v>
      </c>
      <c r="F10" s="117"/>
      <c r="G10" s="117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</row>
    <row r="12" spans="1:8" ht="22" customHeight="1" x14ac:dyDescent="0.55000000000000004">
      <c r="A12" s="95" t="s">
        <v>113</v>
      </c>
      <c r="B12" s="96"/>
      <c r="C12" s="96"/>
      <c r="D12" s="96"/>
      <c r="E12" s="96"/>
      <c r="F12" s="96"/>
      <c r="G12" s="96"/>
    </row>
    <row r="13" spans="1:8" ht="18" customHeight="1" x14ac:dyDescent="0.55000000000000004">
      <c r="A13" s="12"/>
      <c r="B13" s="12" t="s">
        <v>114</v>
      </c>
      <c r="C13" s="12" t="s">
        <v>115</v>
      </c>
      <c r="D13" s="12" t="s">
        <v>116</v>
      </c>
      <c r="E13" s="12" t="s">
        <v>117</v>
      </c>
      <c r="F13" s="12" t="s">
        <v>118</v>
      </c>
      <c r="G13" s="12" t="s">
        <v>119</v>
      </c>
      <c r="H13" s="12" t="s">
        <v>120</v>
      </c>
    </row>
    <row r="14" spans="1:8" ht="22" customHeight="1" x14ac:dyDescent="0.55000000000000004">
      <c r="A14" s="28" t="s">
        <v>121</v>
      </c>
      <c r="B14" s="3"/>
      <c r="C14" s="29" t="s">
        <v>122</v>
      </c>
      <c r="D14" s="30" t="s">
        <v>123</v>
      </c>
      <c r="E14" s="31" t="s">
        <v>124</v>
      </c>
      <c r="F14" s="32" t="s">
        <v>125</v>
      </c>
      <c r="G14" s="33" t="s">
        <v>126</v>
      </c>
      <c r="H14" s="34" t="s">
        <v>127</v>
      </c>
    </row>
    <row r="15" spans="1:8" ht="22" customHeight="1" x14ac:dyDescent="0.55000000000000004">
      <c r="A15" s="28" t="s">
        <v>128</v>
      </c>
      <c r="B15" s="5"/>
      <c r="C15" s="29" t="s">
        <v>129</v>
      </c>
      <c r="D15" s="30" t="s">
        <v>129</v>
      </c>
      <c r="E15" s="31" t="s">
        <v>129</v>
      </c>
      <c r="F15" s="32" t="s">
        <v>129</v>
      </c>
      <c r="G15" s="33" t="s">
        <v>130</v>
      </c>
      <c r="H15" s="35" t="s">
        <v>131</v>
      </c>
    </row>
    <row r="16" spans="1:8" ht="22" customHeight="1" x14ac:dyDescent="0.55000000000000004">
      <c r="A16" s="28" t="s">
        <v>132</v>
      </c>
      <c r="B16" s="3"/>
      <c r="C16" s="29" t="s">
        <v>133</v>
      </c>
      <c r="D16" s="30" t="s">
        <v>133</v>
      </c>
      <c r="E16" s="31" t="s">
        <v>133</v>
      </c>
      <c r="F16" s="32" t="s">
        <v>133</v>
      </c>
      <c r="G16" s="33" t="s">
        <v>134</v>
      </c>
      <c r="H16" s="35" t="s">
        <v>135</v>
      </c>
    </row>
    <row r="17" spans="1:8" ht="22" customHeight="1" x14ac:dyDescent="0.55000000000000004">
      <c r="A17" s="28" t="s">
        <v>136</v>
      </c>
      <c r="B17" s="5"/>
      <c r="C17" s="29" t="s">
        <v>137</v>
      </c>
      <c r="D17" s="30" t="s">
        <v>138</v>
      </c>
      <c r="E17" s="31" t="s">
        <v>139</v>
      </c>
      <c r="F17" s="32" t="s">
        <v>140</v>
      </c>
      <c r="G17" s="33" t="s">
        <v>141</v>
      </c>
      <c r="H17" s="35" t="s">
        <v>142</v>
      </c>
    </row>
    <row r="18" spans="1:8" ht="5.05" customHeight="1" x14ac:dyDescent="0.55000000000000004">
      <c r="A18" s="1"/>
      <c r="B18" s="1"/>
      <c r="C18" s="1"/>
      <c r="D18" s="1"/>
      <c r="E18" s="1"/>
      <c r="F18" s="1"/>
      <c r="G18" s="1"/>
    </row>
    <row r="19" spans="1:8" ht="22" customHeight="1" x14ac:dyDescent="0.55000000000000004">
      <c r="A19" s="95" t="s">
        <v>143</v>
      </c>
      <c r="B19" s="96"/>
      <c r="C19" s="96"/>
      <c r="D19" s="96"/>
      <c r="E19" s="96"/>
      <c r="F19" s="96"/>
      <c r="G19" s="96"/>
    </row>
    <row r="20" spans="1:8" ht="18" customHeight="1" x14ac:dyDescent="0.55000000000000004">
      <c r="A20" s="2"/>
      <c r="B20" s="2" t="s">
        <v>144</v>
      </c>
      <c r="C20" s="2"/>
      <c r="D20" s="2" t="s">
        <v>45</v>
      </c>
      <c r="E20" s="2"/>
      <c r="F20" s="2" t="s">
        <v>145</v>
      </c>
      <c r="G20" s="2"/>
    </row>
    <row r="21" spans="1:8" ht="22" customHeight="1" x14ac:dyDescent="0.55000000000000004">
      <c r="A21" s="36" t="s">
        <v>146</v>
      </c>
      <c r="B21" s="121" t="s">
        <v>147</v>
      </c>
      <c r="C21" s="80"/>
      <c r="D21" s="122" t="s">
        <v>148</v>
      </c>
      <c r="E21" s="123"/>
      <c r="F21" s="39" t="s">
        <v>149</v>
      </c>
      <c r="G21" s="5"/>
    </row>
    <row r="22" spans="1:8" ht="22" customHeight="1" x14ac:dyDescent="0.55000000000000004">
      <c r="A22" s="36" t="s">
        <v>150</v>
      </c>
      <c r="B22" s="121" t="s">
        <v>151</v>
      </c>
      <c r="C22" s="80"/>
      <c r="D22" s="122" t="s">
        <v>152</v>
      </c>
      <c r="E22" s="123"/>
      <c r="F22" s="39" t="s">
        <v>149</v>
      </c>
      <c r="G22" s="3"/>
    </row>
    <row r="23" spans="1:8" ht="22" customHeight="1" x14ac:dyDescent="0.55000000000000004">
      <c r="A23" s="36" t="s">
        <v>153</v>
      </c>
      <c r="B23" s="121" t="s">
        <v>154</v>
      </c>
      <c r="C23" s="80"/>
      <c r="D23" s="122" t="s">
        <v>155</v>
      </c>
      <c r="E23" s="123"/>
      <c r="F23" s="39" t="s">
        <v>149</v>
      </c>
      <c r="G23" s="5"/>
    </row>
    <row r="24" spans="1:8" ht="22" customHeight="1" x14ac:dyDescent="0.55000000000000004">
      <c r="A24" s="36" t="s">
        <v>156</v>
      </c>
      <c r="B24" s="134" t="s">
        <v>157</v>
      </c>
      <c r="C24" s="84"/>
      <c r="D24" s="127" t="s">
        <v>158</v>
      </c>
      <c r="E24" s="84"/>
      <c r="F24" s="39" t="s">
        <v>149</v>
      </c>
      <c r="G24" s="3"/>
    </row>
    <row r="25" spans="1:8" ht="22" customHeight="1" x14ac:dyDescent="0.55000000000000004">
      <c r="A25" s="36" t="s">
        <v>159</v>
      </c>
      <c r="B25" s="118" t="s">
        <v>160</v>
      </c>
      <c r="C25" s="78"/>
      <c r="D25" s="124" t="s">
        <v>161</v>
      </c>
      <c r="E25" s="78"/>
      <c r="F25" s="39" t="s">
        <v>149</v>
      </c>
      <c r="G25" s="5"/>
    </row>
    <row r="26" spans="1:8" ht="22" customHeight="1" x14ac:dyDescent="0.55000000000000004">
      <c r="A26" s="36" t="s">
        <v>162</v>
      </c>
      <c r="B26" s="134" t="s">
        <v>163</v>
      </c>
      <c r="C26" s="84"/>
      <c r="D26" s="127" t="s">
        <v>164</v>
      </c>
      <c r="E26" s="84"/>
      <c r="F26" s="39" t="s">
        <v>149</v>
      </c>
      <c r="G26" s="3"/>
    </row>
    <row r="27" spans="1:8" ht="22" customHeight="1" x14ac:dyDescent="0.55000000000000004">
      <c r="A27" s="36" t="s">
        <v>165</v>
      </c>
      <c r="B27" s="121" t="s">
        <v>166</v>
      </c>
      <c r="C27" s="80"/>
      <c r="D27" s="122" t="s">
        <v>167</v>
      </c>
      <c r="E27" s="123"/>
      <c r="F27" s="39" t="s">
        <v>149</v>
      </c>
      <c r="G27" s="5"/>
    </row>
    <row r="28" spans="1:8" ht="22" customHeight="1" x14ac:dyDescent="0.55000000000000004">
      <c r="A28" s="42" t="s">
        <v>168</v>
      </c>
      <c r="B28" s="130" t="s">
        <v>169</v>
      </c>
      <c r="C28" s="131"/>
      <c r="D28" s="132" t="s">
        <v>170</v>
      </c>
      <c r="E28" s="133"/>
      <c r="F28" s="39" t="s">
        <v>149</v>
      </c>
      <c r="G28" s="3"/>
    </row>
    <row r="29" spans="1:8" ht="22" customHeight="1" x14ac:dyDescent="0.55000000000000004">
      <c r="A29" s="36" t="s">
        <v>171</v>
      </c>
      <c r="B29" s="118" t="s">
        <v>172</v>
      </c>
      <c r="C29" s="78"/>
      <c r="D29" s="124" t="s">
        <v>173</v>
      </c>
      <c r="E29" s="78"/>
      <c r="F29" s="39" t="s">
        <v>149</v>
      </c>
      <c r="G29" s="5"/>
    </row>
    <row r="30" spans="1:8" ht="22" customHeight="1" x14ac:dyDescent="0.55000000000000004">
      <c r="A30" s="36" t="s">
        <v>174</v>
      </c>
      <c r="B30" s="134" t="s">
        <v>175</v>
      </c>
      <c r="C30" s="84"/>
      <c r="D30" s="127" t="s">
        <v>176</v>
      </c>
      <c r="E30" s="84"/>
      <c r="F30" s="39" t="s">
        <v>149</v>
      </c>
      <c r="G30" s="3"/>
    </row>
    <row r="31" spans="1:8" ht="22" customHeight="1" x14ac:dyDescent="0.55000000000000004">
      <c r="A31" s="36" t="s">
        <v>177</v>
      </c>
      <c r="B31" s="118" t="s">
        <v>178</v>
      </c>
      <c r="C31" s="78"/>
      <c r="D31" s="124" t="s">
        <v>179</v>
      </c>
      <c r="E31" s="78"/>
      <c r="F31" s="39" t="s">
        <v>149</v>
      </c>
      <c r="G31" s="5"/>
    </row>
    <row r="32" spans="1:8" ht="22" customHeight="1" x14ac:dyDescent="0.55000000000000004">
      <c r="A32" s="36" t="s">
        <v>180</v>
      </c>
      <c r="B32" s="134" t="s">
        <v>181</v>
      </c>
      <c r="C32" s="84"/>
      <c r="D32" s="127" t="s">
        <v>24</v>
      </c>
      <c r="E32" s="84"/>
      <c r="F32" s="39" t="s">
        <v>149</v>
      </c>
      <c r="G32" s="3"/>
    </row>
  </sheetData>
  <mergeCells count="41">
    <mergeCell ref="A2:G2"/>
    <mergeCell ref="B32:C32"/>
    <mergeCell ref="B26:C26"/>
    <mergeCell ref="A7:C7"/>
    <mergeCell ref="D26:E26"/>
    <mergeCell ref="D32:E32"/>
    <mergeCell ref="E7:G7"/>
    <mergeCell ref="A10:C10"/>
    <mergeCell ref="A1:G1"/>
    <mergeCell ref="B29:C29"/>
    <mergeCell ref="B28:C28"/>
    <mergeCell ref="A9:C9"/>
    <mergeCell ref="D28:E28"/>
    <mergeCell ref="D25:E25"/>
    <mergeCell ref="B24:C24"/>
    <mergeCell ref="B30:C30"/>
    <mergeCell ref="D24:E24"/>
    <mergeCell ref="D30:E30"/>
    <mergeCell ref="E5:G5"/>
    <mergeCell ref="D29:E29"/>
    <mergeCell ref="A6:C6"/>
    <mergeCell ref="B31:C31"/>
    <mergeCell ref="B27:C27"/>
    <mergeCell ref="D31:E31"/>
    <mergeCell ref="A19:G19"/>
    <mergeCell ref="E6:G6"/>
    <mergeCell ref="D21:E21"/>
    <mergeCell ref="B21:C21"/>
    <mergeCell ref="A8:C8"/>
    <mergeCell ref="D27:E27"/>
    <mergeCell ref="B23:C23"/>
    <mergeCell ref="E8:G8"/>
    <mergeCell ref="A12:G12"/>
    <mergeCell ref="D23:E23"/>
    <mergeCell ref="E10:G10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7" t="s">
        <v>182</v>
      </c>
      <c r="B1" s="96"/>
      <c r="C1" s="96"/>
      <c r="D1" s="96"/>
      <c r="E1" s="96"/>
      <c r="F1" s="96"/>
      <c r="G1" s="96"/>
    </row>
    <row r="2" spans="1:7" ht="20.05" customHeight="1" x14ac:dyDescent="0.55000000000000004">
      <c r="A2" s="139" t="s">
        <v>183</v>
      </c>
      <c r="B2" s="112"/>
      <c r="C2" s="112"/>
      <c r="D2" s="112"/>
      <c r="E2" s="112"/>
      <c r="F2" s="112"/>
      <c r="G2" s="112"/>
    </row>
    <row r="4" spans="1:7" ht="26.05" customHeight="1" x14ac:dyDescent="0.55000000000000004">
      <c r="A4" s="95" t="s">
        <v>184</v>
      </c>
      <c r="B4" s="96"/>
      <c r="C4" s="96"/>
      <c r="D4" s="96"/>
      <c r="E4" s="96"/>
      <c r="F4" s="96"/>
      <c r="G4" s="96"/>
    </row>
    <row r="5" spans="1:7" ht="18" customHeight="1" x14ac:dyDescent="0.55000000000000004">
      <c r="A5" s="46"/>
      <c r="B5" s="46" t="s">
        <v>185</v>
      </c>
      <c r="C5" s="46" t="s">
        <v>186</v>
      </c>
      <c r="D5" s="46" t="s">
        <v>187</v>
      </c>
      <c r="E5" s="46" t="s">
        <v>188</v>
      </c>
      <c r="F5" s="46" t="s">
        <v>189</v>
      </c>
      <c r="G5" s="46" t="s">
        <v>190</v>
      </c>
    </row>
    <row r="6" spans="1:7" ht="26.05" customHeight="1" x14ac:dyDescent="0.55000000000000004">
      <c r="A6" s="47" t="s">
        <v>188</v>
      </c>
      <c r="B6" s="47" t="s">
        <v>191</v>
      </c>
      <c r="C6" s="47" t="s">
        <v>192</v>
      </c>
      <c r="D6" s="47" t="s">
        <v>193</v>
      </c>
      <c r="E6" s="47" t="s">
        <v>194</v>
      </c>
      <c r="F6" s="47" t="s">
        <v>79</v>
      </c>
      <c r="G6" s="47" t="s">
        <v>195</v>
      </c>
    </row>
    <row r="7" spans="1:7" ht="26.05" customHeight="1" x14ac:dyDescent="0.55000000000000004">
      <c r="A7" s="48" t="s">
        <v>189</v>
      </c>
      <c r="B7" s="48" t="s">
        <v>191</v>
      </c>
      <c r="C7" s="48" t="s">
        <v>196</v>
      </c>
      <c r="D7" s="48" t="s">
        <v>197</v>
      </c>
      <c r="E7" s="48" t="s">
        <v>79</v>
      </c>
      <c r="F7" s="48" t="s">
        <v>194</v>
      </c>
      <c r="G7" s="48" t="s">
        <v>198</v>
      </c>
    </row>
    <row r="8" spans="1:7" ht="20.05" customHeight="1" x14ac:dyDescent="0.55000000000000004">
      <c r="A8" s="138" t="s">
        <v>199</v>
      </c>
      <c r="B8" s="84"/>
      <c r="C8" s="84"/>
      <c r="D8" s="84"/>
      <c r="E8" s="84"/>
      <c r="F8" s="84"/>
      <c r="G8" s="84"/>
    </row>
    <row r="9" spans="1:7" ht="26.05" customHeight="1" x14ac:dyDescent="0.55000000000000004">
      <c r="A9" s="95" t="s">
        <v>200</v>
      </c>
      <c r="B9" s="96"/>
      <c r="C9" s="96"/>
      <c r="D9" s="96"/>
      <c r="E9" s="96"/>
      <c r="F9" s="96"/>
      <c r="G9" s="96"/>
    </row>
    <row r="10" spans="1:7" ht="18" customHeight="1" x14ac:dyDescent="0.55000000000000004">
      <c r="A10" s="46"/>
      <c r="B10" s="46" t="s">
        <v>185</v>
      </c>
      <c r="C10" s="46" t="s">
        <v>186</v>
      </c>
      <c r="D10" s="46" t="s">
        <v>187</v>
      </c>
      <c r="E10" s="46" t="s">
        <v>188</v>
      </c>
      <c r="F10" s="46" t="s">
        <v>189</v>
      </c>
      <c r="G10" s="46" t="s">
        <v>190</v>
      </c>
    </row>
    <row r="11" spans="1:7" ht="24" customHeight="1" x14ac:dyDescent="0.55000000000000004">
      <c r="A11" s="47" t="s">
        <v>188</v>
      </c>
      <c r="B11" s="47" t="s">
        <v>201</v>
      </c>
      <c r="C11" s="47" t="s">
        <v>202</v>
      </c>
      <c r="D11" s="47" t="s">
        <v>203</v>
      </c>
      <c r="E11" s="47" t="s">
        <v>194</v>
      </c>
      <c r="F11" s="47" t="s">
        <v>79</v>
      </c>
      <c r="G11" s="47" t="s">
        <v>204</v>
      </c>
    </row>
    <row r="12" spans="1:7" ht="24" customHeight="1" x14ac:dyDescent="0.55000000000000004">
      <c r="A12" s="48" t="s">
        <v>189</v>
      </c>
      <c r="B12" s="48" t="s">
        <v>201</v>
      </c>
      <c r="C12" s="48" t="s">
        <v>192</v>
      </c>
      <c r="D12" s="48" t="s">
        <v>205</v>
      </c>
      <c r="E12" s="48" t="s">
        <v>79</v>
      </c>
      <c r="F12" s="48" t="s">
        <v>194</v>
      </c>
      <c r="G12" s="48" t="s">
        <v>206</v>
      </c>
    </row>
    <row r="13" spans="1:7" ht="26.05" customHeight="1" x14ac:dyDescent="0.55000000000000004">
      <c r="A13" s="135" t="s">
        <v>207</v>
      </c>
      <c r="B13" s="136"/>
      <c r="C13" s="136"/>
      <c r="D13" s="136"/>
      <c r="E13" s="136"/>
      <c r="F13" s="136"/>
      <c r="G13" s="136"/>
    </row>
    <row r="14" spans="1:7" ht="18" customHeight="1" x14ac:dyDescent="0.55000000000000004">
      <c r="A14" s="46"/>
      <c r="B14" s="46" t="s">
        <v>185</v>
      </c>
      <c r="C14" s="46" t="s">
        <v>186</v>
      </c>
      <c r="D14" s="46" t="s">
        <v>187</v>
      </c>
      <c r="E14" s="46" t="s">
        <v>188</v>
      </c>
      <c r="F14" s="46" t="s">
        <v>189</v>
      </c>
      <c r="G14" s="46" t="s">
        <v>190</v>
      </c>
    </row>
    <row r="15" spans="1:7" ht="20.05" customHeight="1" x14ac:dyDescent="0.55000000000000004">
      <c r="A15" s="47" t="s">
        <v>208</v>
      </c>
      <c r="B15" s="47" t="s">
        <v>209</v>
      </c>
      <c r="C15" s="47" t="s">
        <v>210</v>
      </c>
      <c r="D15" s="47" t="s">
        <v>211</v>
      </c>
      <c r="E15" s="47" t="s">
        <v>79</v>
      </c>
      <c r="F15" s="47" t="s">
        <v>212</v>
      </c>
      <c r="G15" s="47" t="s">
        <v>213</v>
      </c>
    </row>
    <row r="16" spans="1:7" ht="20.05" customHeight="1" x14ac:dyDescent="0.55000000000000004">
      <c r="A16" s="48" t="s">
        <v>214</v>
      </c>
      <c r="B16" s="48" t="s">
        <v>209</v>
      </c>
      <c r="C16" s="48" t="s">
        <v>210</v>
      </c>
      <c r="D16" s="48" t="s">
        <v>215</v>
      </c>
      <c r="E16" s="48" t="s">
        <v>79</v>
      </c>
      <c r="F16" s="48" t="s">
        <v>216</v>
      </c>
      <c r="G16" s="48" t="s">
        <v>217</v>
      </c>
    </row>
    <row r="17" spans="1:7" ht="20.05" customHeight="1" x14ac:dyDescent="0.55000000000000004">
      <c r="A17" s="47" t="s">
        <v>218</v>
      </c>
      <c r="B17" s="47" t="s">
        <v>209</v>
      </c>
      <c r="C17" s="47" t="s">
        <v>210</v>
      </c>
      <c r="D17" s="47" t="s">
        <v>219</v>
      </c>
      <c r="E17" s="47" t="s">
        <v>79</v>
      </c>
      <c r="F17" s="47" t="s">
        <v>220</v>
      </c>
      <c r="G17" s="47" t="s">
        <v>221</v>
      </c>
    </row>
    <row r="18" spans="1:7" ht="20.05" customHeight="1" x14ac:dyDescent="0.55000000000000004">
      <c r="A18" s="48" t="s">
        <v>222</v>
      </c>
      <c r="B18" s="48" t="s">
        <v>209</v>
      </c>
      <c r="C18" s="48" t="s">
        <v>210</v>
      </c>
      <c r="D18" s="48" t="s">
        <v>223</v>
      </c>
      <c r="E18" s="48" t="s">
        <v>79</v>
      </c>
      <c r="F18" s="48" t="s">
        <v>224</v>
      </c>
      <c r="G18" s="48" t="s">
        <v>198</v>
      </c>
    </row>
    <row r="19" spans="1:7" ht="36" customHeight="1" x14ac:dyDescent="0.55000000000000004">
      <c r="A19" s="140" t="s">
        <v>225</v>
      </c>
      <c r="B19" s="141"/>
      <c r="C19" s="141"/>
      <c r="D19" s="141"/>
      <c r="E19" s="141"/>
      <c r="F19" s="141"/>
      <c r="G19" s="141"/>
    </row>
  </sheetData>
  <mergeCells count="7">
    <mergeCell ref="A19:G19"/>
    <mergeCell ref="A13:G13"/>
    <mergeCell ref="A1:G1"/>
    <mergeCell ref="A9:G9"/>
    <mergeCell ref="A8:G8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5" t="s">
        <v>226</v>
      </c>
      <c r="B1" s="96"/>
      <c r="C1" s="96"/>
      <c r="D1" s="96"/>
      <c r="E1" s="96"/>
      <c r="F1" s="96"/>
      <c r="G1" s="96"/>
    </row>
    <row r="2" spans="1:7" ht="22" customHeight="1" x14ac:dyDescent="0.55000000000000004">
      <c r="A2" s="143" t="s">
        <v>227</v>
      </c>
      <c r="B2" s="144"/>
      <c r="C2" s="144"/>
      <c r="D2" s="144"/>
      <c r="E2" s="144"/>
      <c r="F2" s="144"/>
      <c r="G2" s="144"/>
    </row>
    <row r="3" spans="1:7" ht="18" customHeight="1" x14ac:dyDescent="0.55000000000000004">
      <c r="A3" s="46" t="s">
        <v>228</v>
      </c>
      <c r="B3" s="46" t="s">
        <v>229</v>
      </c>
      <c r="C3" s="46" t="s">
        <v>230</v>
      </c>
      <c r="D3" s="46" t="s">
        <v>231</v>
      </c>
    </row>
    <row r="4" spans="1:7" ht="72" customHeight="1" x14ac:dyDescent="0.55000000000000004">
      <c r="A4" s="36" t="s">
        <v>232</v>
      </c>
      <c r="B4" s="40" t="s">
        <v>233</v>
      </c>
      <c r="C4" s="49" t="s">
        <v>234</v>
      </c>
      <c r="D4" s="50" t="s">
        <v>235</v>
      </c>
    </row>
    <row r="5" spans="1:7" ht="64" customHeight="1" x14ac:dyDescent="0.55000000000000004">
      <c r="A5" s="42" t="s">
        <v>236</v>
      </c>
      <c r="B5" s="37" t="s">
        <v>237</v>
      </c>
      <c r="C5" s="38" t="s">
        <v>238</v>
      </c>
      <c r="D5" s="51" t="s">
        <v>239</v>
      </c>
    </row>
    <row r="6" spans="1:7" ht="56.05" customHeight="1" x14ac:dyDescent="0.55000000000000004">
      <c r="A6" s="42" t="s">
        <v>240</v>
      </c>
      <c r="B6" s="52" t="s">
        <v>241</v>
      </c>
      <c r="C6" s="38" t="s">
        <v>242</v>
      </c>
      <c r="D6" s="53" t="s">
        <v>243</v>
      </c>
    </row>
    <row r="7" spans="1:7" ht="56.05" customHeight="1" x14ac:dyDescent="0.55000000000000004">
      <c r="A7" s="36" t="s">
        <v>244</v>
      </c>
      <c r="B7" s="40" t="s">
        <v>245</v>
      </c>
      <c r="C7" s="49" t="s">
        <v>246</v>
      </c>
      <c r="D7" s="50" t="s">
        <v>247</v>
      </c>
    </row>
    <row r="8" spans="1:7" ht="72" customHeight="1" x14ac:dyDescent="0.55000000000000004">
      <c r="A8" s="36" t="s">
        <v>248</v>
      </c>
      <c r="B8" s="41" t="s">
        <v>249</v>
      </c>
      <c r="C8" s="49" t="s">
        <v>250</v>
      </c>
      <c r="D8" s="54" t="s">
        <v>251</v>
      </c>
    </row>
    <row r="9" spans="1:7" ht="44.05" customHeight="1" x14ac:dyDescent="0.55000000000000004">
      <c r="A9" s="142" t="s">
        <v>252</v>
      </c>
      <c r="B9" s="102"/>
      <c r="C9" s="102"/>
      <c r="D9" s="102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8" t="s">
        <v>253</v>
      </c>
      <c r="B1" s="149"/>
      <c r="C1" s="149"/>
      <c r="D1" s="149"/>
      <c r="E1" s="149"/>
      <c r="F1" s="149"/>
    </row>
    <row r="2" spans="1:6" ht="22" customHeight="1" x14ac:dyDescent="0.55000000000000004">
      <c r="A2" s="146" t="s">
        <v>254</v>
      </c>
      <c r="B2" s="147"/>
      <c r="C2" s="147"/>
      <c r="D2" s="147"/>
      <c r="E2" s="147"/>
      <c r="F2" s="147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4" t="s">
        <v>255</v>
      </c>
      <c r="B4" s="155"/>
      <c r="C4" s="155"/>
      <c r="D4" s="155"/>
      <c r="E4" s="155"/>
      <c r="F4" s="155"/>
    </row>
    <row r="5" spans="1:6" ht="18" customHeight="1" x14ac:dyDescent="0.55000000000000004">
      <c r="A5" s="46"/>
      <c r="B5" s="46" t="s">
        <v>256</v>
      </c>
      <c r="C5" s="46" t="s">
        <v>257</v>
      </c>
      <c r="D5" s="46" t="s">
        <v>45</v>
      </c>
      <c r="E5" s="46" t="s">
        <v>258</v>
      </c>
      <c r="F5" s="46"/>
    </row>
    <row r="6" spans="1:6" ht="40" customHeight="1" x14ac:dyDescent="0.55000000000000004">
      <c r="A6" s="6"/>
      <c r="B6" s="55" t="s">
        <v>259</v>
      </c>
      <c r="C6" s="56" t="s">
        <v>260</v>
      </c>
      <c r="D6" s="57" t="s">
        <v>261</v>
      </c>
      <c r="E6" s="58" t="s">
        <v>262</v>
      </c>
      <c r="F6" s="6"/>
    </row>
    <row r="7" spans="1:6" ht="36" customHeight="1" x14ac:dyDescent="0.55000000000000004">
      <c r="A7" s="6"/>
      <c r="B7" s="55" t="s">
        <v>263</v>
      </c>
      <c r="C7" s="56" t="s">
        <v>264</v>
      </c>
      <c r="D7" s="57" t="s">
        <v>265</v>
      </c>
      <c r="E7" s="58" t="s">
        <v>266</v>
      </c>
      <c r="F7" s="6"/>
    </row>
    <row r="8" spans="1:6" ht="32.049999999999997" customHeight="1" x14ac:dyDescent="0.55000000000000004">
      <c r="A8" s="6"/>
      <c r="B8" s="55" t="s">
        <v>267</v>
      </c>
      <c r="C8" s="56" t="s">
        <v>268</v>
      </c>
      <c r="D8" s="57" t="s">
        <v>269</v>
      </c>
      <c r="E8" s="58" t="s">
        <v>270</v>
      </c>
      <c r="F8" s="6"/>
    </row>
    <row r="9" spans="1:6" ht="36" customHeight="1" x14ac:dyDescent="0.55000000000000004">
      <c r="A9" s="6"/>
      <c r="B9" s="55" t="s">
        <v>271</v>
      </c>
      <c r="C9" s="56" t="s">
        <v>272</v>
      </c>
      <c r="D9" s="57" t="s">
        <v>273</v>
      </c>
      <c r="E9" s="58" t="s">
        <v>274</v>
      </c>
      <c r="F9" s="6"/>
    </row>
    <row r="10" spans="1:6" ht="28" customHeight="1" x14ac:dyDescent="0.55000000000000004">
      <c r="A10" s="6"/>
      <c r="B10" s="55" t="s">
        <v>275</v>
      </c>
      <c r="C10" s="56" t="s">
        <v>276</v>
      </c>
      <c r="D10" s="57" t="s">
        <v>277</v>
      </c>
      <c r="E10" s="58" t="s">
        <v>278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2" t="s">
        <v>279</v>
      </c>
      <c r="B12" s="153"/>
      <c r="C12" s="153"/>
      <c r="D12" s="153"/>
      <c r="E12" s="153"/>
      <c r="F12" s="153"/>
    </row>
    <row r="13" spans="1:6" ht="18" customHeight="1" x14ac:dyDescent="0.55000000000000004">
      <c r="A13" s="46"/>
      <c r="B13" s="46" t="s">
        <v>256</v>
      </c>
      <c r="C13" s="46" t="s">
        <v>257</v>
      </c>
      <c r="D13" s="46" t="s">
        <v>45</v>
      </c>
      <c r="E13" s="46" t="s">
        <v>258</v>
      </c>
      <c r="F13" s="46"/>
    </row>
    <row r="14" spans="1:6" ht="28" customHeight="1" x14ac:dyDescent="0.55000000000000004">
      <c r="A14" s="59"/>
      <c r="B14" s="60" t="s">
        <v>280</v>
      </c>
      <c r="C14" s="61" t="s">
        <v>281</v>
      </c>
      <c r="D14" s="62" t="s">
        <v>282</v>
      </c>
      <c r="E14" s="63" t="s">
        <v>283</v>
      </c>
      <c r="F14" s="59"/>
    </row>
    <row r="15" spans="1:6" ht="28" customHeight="1" x14ac:dyDescent="0.55000000000000004">
      <c r="A15" s="59"/>
      <c r="B15" s="60" t="s">
        <v>284</v>
      </c>
      <c r="C15" s="61" t="s">
        <v>285</v>
      </c>
      <c r="D15" s="62" t="s">
        <v>286</v>
      </c>
      <c r="E15" s="63" t="s">
        <v>287</v>
      </c>
      <c r="F15" s="59"/>
    </row>
    <row r="16" spans="1:6" ht="28" customHeight="1" x14ac:dyDescent="0.55000000000000004">
      <c r="A16" s="59"/>
      <c r="B16" s="60" t="s">
        <v>288</v>
      </c>
      <c r="C16" s="61" t="s">
        <v>289</v>
      </c>
      <c r="D16" s="62" t="s">
        <v>290</v>
      </c>
      <c r="E16" s="63" t="s">
        <v>266</v>
      </c>
      <c r="F16" s="59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50" t="s">
        <v>291</v>
      </c>
      <c r="B18" s="151"/>
      <c r="C18" s="151"/>
      <c r="D18" s="151"/>
      <c r="E18" s="151"/>
      <c r="F18" s="151"/>
    </row>
    <row r="19" spans="1:6" ht="18" customHeight="1" x14ac:dyDescent="0.55000000000000004">
      <c r="A19" s="64"/>
      <c r="B19" s="64" t="s">
        <v>256</v>
      </c>
      <c r="C19" s="64" t="s">
        <v>5</v>
      </c>
      <c r="D19" s="64" t="s">
        <v>292</v>
      </c>
      <c r="E19" s="64" t="s">
        <v>293</v>
      </c>
      <c r="F19" s="64"/>
    </row>
    <row r="20" spans="1:6" ht="32.049999999999997" customHeight="1" x14ac:dyDescent="0.55000000000000004">
      <c r="A20" s="45"/>
      <c r="B20" s="65" t="s">
        <v>294</v>
      </c>
      <c r="C20" s="52" t="s">
        <v>295</v>
      </c>
      <c r="D20" s="66" t="s">
        <v>296</v>
      </c>
      <c r="E20" s="67" t="s">
        <v>297</v>
      </c>
      <c r="F20" s="45"/>
    </row>
    <row r="21" spans="1:6" ht="32.049999999999997" customHeight="1" x14ac:dyDescent="0.55000000000000004">
      <c r="A21" s="45"/>
      <c r="B21" s="65" t="s">
        <v>298</v>
      </c>
      <c r="C21" s="52" t="s">
        <v>299</v>
      </c>
      <c r="D21" s="66" t="s">
        <v>300</v>
      </c>
      <c r="E21" s="67" t="s">
        <v>297</v>
      </c>
      <c r="F21" s="45"/>
    </row>
    <row r="22" spans="1:6" ht="32.049999999999997" customHeight="1" x14ac:dyDescent="0.55000000000000004">
      <c r="A22" s="45"/>
      <c r="B22" s="65" t="s">
        <v>301</v>
      </c>
      <c r="C22" s="52" t="s">
        <v>302</v>
      </c>
      <c r="D22" s="66" t="s">
        <v>303</v>
      </c>
      <c r="E22" s="67" t="s">
        <v>297</v>
      </c>
      <c r="F22" s="45"/>
    </row>
    <row r="23" spans="1:6" ht="32.049999999999997" customHeight="1" x14ac:dyDescent="0.55000000000000004">
      <c r="A23" s="45"/>
      <c r="B23" s="65" t="s">
        <v>304</v>
      </c>
      <c r="C23" s="52" t="s">
        <v>305</v>
      </c>
      <c r="D23" s="66" t="s">
        <v>306</v>
      </c>
      <c r="E23" s="67" t="s">
        <v>297</v>
      </c>
      <c r="F23" s="45"/>
    </row>
    <row r="24" spans="1:6" ht="32.049999999999997" customHeight="1" x14ac:dyDescent="0.55000000000000004">
      <c r="A24" s="45"/>
      <c r="B24" s="65" t="s">
        <v>307</v>
      </c>
      <c r="C24" s="52" t="s">
        <v>308</v>
      </c>
      <c r="D24" s="66" t="s">
        <v>309</v>
      </c>
      <c r="E24" s="67" t="s">
        <v>297</v>
      </c>
      <c r="F24" s="45"/>
    </row>
    <row r="25" spans="1:6" ht="32.049999999999997" customHeight="1" x14ac:dyDescent="0.55000000000000004">
      <c r="A25" s="59"/>
      <c r="B25" s="68" t="s">
        <v>310</v>
      </c>
      <c r="C25" s="69" t="s">
        <v>311</v>
      </c>
      <c r="D25" s="62" t="s">
        <v>312</v>
      </c>
      <c r="E25" s="70" t="s">
        <v>297</v>
      </c>
      <c r="F25" s="59"/>
    </row>
    <row r="26" spans="1:6" ht="32.049999999999997" customHeight="1" x14ac:dyDescent="0.55000000000000004">
      <c r="A26" s="44"/>
      <c r="B26" s="71" t="s">
        <v>313</v>
      </c>
      <c r="C26" s="43" t="s">
        <v>169</v>
      </c>
      <c r="D26" s="72" t="s">
        <v>314</v>
      </c>
      <c r="E26" s="73" t="s">
        <v>297</v>
      </c>
      <c r="F26" s="44"/>
    </row>
    <row r="27" spans="1:6" ht="32.049999999999997" customHeight="1" x14ac:dyDescent="0.55000000000000004">
      <c r="A27" s="59"/>
      <c r="B27" s="68" t="s">
        <v>315</v>
      </c>
      <c r="C27" s="69" t="s">
        <v>172</v>
      </c>
      <c r="D27" s="62" t="s">
        <v>173</v>
      </c>
      <c r="E27" s="70" t="s">
        <v>297</v>
      </c>
      <c r="F27" s="59"/>
    </row>
    <row r="28" spans="1:6" ht="32.049999999999997" customHeight="1" x14ac:dyDescent="0.55000000000000004">
      <c r="A28" s="59"/>
      <c r="B28" s="68" t="s">
        <v>316</v>
      </c>
      <c r="C28" s="69" t="s">
        <v>317</v>
      </c>
      <c r="D28" s="62" t="s">
        <v>318</v>
      </c>
      <c r="E28" s="70" t="s">
        <v>297</v>
      </c>
      <c r="F28" s="59"/>
    </row>
    <row r="29" spans="1:6" ht="32.049999999999997" customHeight="1" x14ac:dyDescent="0.55000000000000004">
      <c r="A29" s="59"/>
      <c r="B29" s="68" t="s">
        <v>319</v>
      </c>
      <c r="C29" s="69" t="s">
        <v>181</v>
      </c>
      <c r="D29" s="62" t="s">
        <v>24</v>
      </c>
      <c r="E29" s="70" t="s">
        <v>297</v>
      </c>
      <c r="F29" s="59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42" t="s">
        <v>320</v>
      </c>
      <c r="B31" s="102"/>
      <c r="C31" s="102"/>
      <c r="D31" s="102"/>
      <c r="E31" s="102"/>
      <c r="F31" s="102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2026-04-05T16:16:16Z</dcterms:created>
  <dcterms:modified xsi:type="dcterms:W3CDTF">2026-04-05T16:21:55Z</dcterms:modified>
</cp:coreProperties>
</file>