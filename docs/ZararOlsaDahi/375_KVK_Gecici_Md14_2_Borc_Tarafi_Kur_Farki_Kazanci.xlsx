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son standart/"/>
    </mc:Choice>
  </mc:AlternateContent>
  <xr:revisionPtr revIDLastSave="0" documentId="8_{5E73EABA-05BC-4910-B152-58B3D45FFD35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2" l="1"/>
  <c r="D9" i="2"/>
  <c r="D8" i="2"/>
  <c r="D7" i="2"/>
  <c r="E63" i="1"/>
  <c r="C54" i="1"/>
  <c r="C53" i="1"/>
  <c r="E18" i="2"/>
  <c r="D18" i="2"/>
  <c r="C18" i="2"/>
  <c r="B18" i="2"/>
  <c r="E17" i="2"/>
  <c r="C17" i="2"/>
  <c r="B17" i="2"/>
  <c r="E16" i="2"/>
  <c r="C16" i="2"/>
  <c r="B16" i="2"/>
  <c r="E15" i="2"/>
  <c r="C15" i="2"/>
  <c r="B15" i="2"/>
  <c r="F14" i="2"/>
  <c r="E14" i="2"/>
  <c r="D14" i="2"/>
  <c r="C14" i="2"/>
  <c r="B14" i="2"/>
  <c r="D6" i="2"/>
  <c r="F45" i="1"/>
  <c r="F18" i="2" s="1"/>
  <c r="D45" i="1"/>
  <c r="G45" i="1" s="1"/>
  <c r="G18" i="2" s="1"/>
  <c r="F44" i="1"/>
  <c r="F17" i="2" s="1"/>
  <c r="D44" i="1"/>
  <c r="G44" i="1" s="1"/>
  <c r="G17" i="2" s="1"/>
  <c r="F43" i="1"/>
  <c r="F16" i="2" s="1"/>
  <c r="D43" i="1"/>
  <c r="D16" i="2" s="1"/>
  <c r="F42" i="1"/>
  <c r="G42" i="1" s="1"/>
  <c r="G15" i="2" s="1"/>
  <c r="D42" i="1"/>
  <c r="D15" i="2" s="1"/>
  <c r="F41" i="1"/>
  <c r="F46" i="1" s="1"/>
  <c r="D41" i="1"/>
  <c r="E15" i="1"/>
  <c r="D5" i="2" s="1"/>
  <c r="F15" i="2" l="1"/>
  <c r="D17" i="2"/>
  <c r="G41" i="1"/>
  <c r="G43" i="1"/>
  <c r="G16" i="2" s="1"/>
  <c r="G46" i="1" l="1"/>
  <c r="G14" i="2"/>
  <c r="F19" i="2" l="1"/>
  <c r="C51" i="1"/>
</calcChain>
</file>

<file path=xl/sharedStrings.xml><?xml version="1.0" encoding="utf-8"?>
<sst xmlns="http://schemas.openxmlformats.org/spreadsheetml/2006/main" count="396" uniqueCount="325">
  <si>
    <t>375 – KVK GEÇİCİ MADDE 14/2 | KUR FARKI KAZANCI İSTİSNASI | YABANCI PARA BORÇLAR VE YÜKÜMLÜLÜKLER — TL'YE DÖNÜŞÜM | YMM TASDİK ÇALIŞMA KÂĞIDI</t>
  </si>
  <si>
    <t>KVK Geçici Md.14/2 (Paragraf 2) | Yabancı Para Yükümlülük/Borç Tarafı Kur Farkı Kazancı | 370–374 (Paragraf 1) Dışında | Beyanname 375 | ★ YİAKV MATRAHINDA DÜŞÜLEMEZ</t>
  </si>
  <si>
    <t xml:space="preserve">  KVK GEÇİCİ MD.14 — PARAGRAF AYRIMI:
  PARAGRAF 1 (Md.14/1-a ve 1-b): 31/12/2021 bilanço AKTİF tarafı — Yabancı para mevduat ve altın hesabı → TL KKM.
  Beyanname kodları: 370 (kur farkı değerleme) | 371 (kur farkı tazminat) | 372 (dönem sonu tahakkuk) | 373 (vade faiz/kâr payı) | 374 (vade diğer kazançlar).
  PARAGRAF 2 (Md.14/2): 31/12/2021 bilanço PASİF/BORÇ tarafı — Yabancı para yükümlülükler ve borçların TL'ye dönüşümünden doğan KUR FARKI KAZANCI istisnası. → BU DOSYA (Beyanname 375).</t>
  </si>
  <si>
    <t xml:space="preserve">  ★★ YİAKV (KVK Md.32/C) KRİTİK: 375 kapsamındaki kur farkı kazancı istisnası YİAKV matrahından DÜŞÜLEMEZ. (YİAKV Reh. No:607 | E.7 DÜŞÜLEMEZ listesi)</t>
  </si>
  <si>
    <t>A0. KAPSAM VE NİTELİK UYGUNLUK ÖN KONTROLÜ — KVK GEÇİCİ MD.14/2 ÖZEL KOŞULLAR</t>
  </si>
  <si>
    <t>Kontrol Sorusu</t>
  </si>
  <si>
    <t>Yanıt</t>
  </si>
  <si>
    <t>YMM Tasdik Notu</t>
  </si>
  <si>
    <t>A0.1  Kurumun 31/12/2021 tarihli bilançosunda yabancı para borç/yükümlülük bakiyesi var mıydı?</t>
  </si>
  <si>
    <t>EVET</t>
  </si>
  <si>
    <t>KVK Geçici Md.14/2 kapsamı yalnızca 31/12/2021 bilançosunda yer alan yabancı para borçlar ve yükümlülükleri kapsıyor. Sonraki dönemde doğan yükümlülükler kapsam dışıdır.</t>
  </si>
  <si>
    <t>A0.2  ★ Bu yabancı para yükümlülükler yasal süre içinde TL'ye dönüştürüldü mü?</t>
  </si>
  <si>
    <t>Dönüşüm tarihi Cumhurbaşkanı Kararıyla belirlenen yasal süre içinde olmalıdır. Banka belgesi veya kredi sözleşmesi kapatma belgesiyle teyit zorunludur.</t>
  </si>
  <si>
    <t>A0.3  Dönüşüm esnasında kur farkı kazancı oluştu mu?</t>
  </si>
  <si>
    <t>Yükümlülüğün bilanço kuru ile dönüşüm/kapanış günü kuru arasındaki OLUMLU fark kur farkı kazancıdır. Olumsuz fark (kur farkı zararı) durumunda 375 tutarı sıfırdır.</t>
  </si>
  <si>
    <t>A0.4  ★ Bu kazanç 370–374 (Md.14/1-a ve 1-b) kapsamına girmiyor mu? (Paragraf 2 niteliği teyit edildi mi?)</t>
  </si>
  <si>
    <t>375 yalnızca BORÇ/YÜKÜMLÜLÜKLERden (pasif taraf) doğan kur farkı kazancını kapsar. Yabancı para mevduat/altın hesabı → TL KKM dönüşümü → Paragraf 1 (370 vb.).</t>
  </si>
  <si>
    <t>A0.5  Borç dönüşümü tam ve eksiksiz tamamlandı mı? Kısmi dönüşüm kontrolü yapıldı mı?</t>
  </si>
  <si>
    <t>31/12/2021 bilançosundaki yabancı para borç bakiyesini aşan dönüşüm kısımları kapsam dışıdır. Kısmi dönüşümde orantılı hesaplama zorunludur.</t>
  </si>
  <si>
    <t>A0.6  ★ 375 tutarının YİAKV matrahından DÜŞÜLMEDIĞI teyit edildi mi?</t>
  </si>
  <si>
    <t>KVK Geçici Md.14/2 kapsamı kazançlar YİAKV matrahından DÜŞÜLEMEZ. YİAKV E.7'de bu satır kontrol edilmeli.</t>
  </si>
  <si>
    <t>A0.7  YMM Tasdik Raporu gereksinimi değerlendirildi mi? (49 No.lu Tebliğ)</t>
  </si>
  <si>
    <t>&gt;=500.000 TL → YMM raporu.</t>
  </si>
  <si>
    <t>A0.8  Tasdik Uygunluk Sonucu</t>
  </si>
  <si>
    <t>★ A0.2 (yasal süre), A0.4 (paragraf 2 niteliği), A0.6 (YİAKV) kritik.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</si>
  <si>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</si>
  <si>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</si>
  <si>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</si>
  <si>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</si>
  <si>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</si>
  <si>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</si>
  <si>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</si>
  <si>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</si>
  <si>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 | Banka/Finans: %30</t>
  </si>
  <si>
    <t>Dosya Referansı</t>
  </si>
  <si>
    <t>YMM-2025/375-01</t>
  </si>
  <si>
    <t>370–374 Çalışma Kâğıdı Referansı</t>
  </si>
  <si>
    <t>Paragraf 1 dosyaları — ayrı kapsam, karşılaştırma için</t>
  </si>
  <si>
    <t>B. KVK GEÇİCİ MD.14/2 — KAPSAM KOŞULLARI VE BORÇ DÖNÜŞÜM BİLGİLERİ</t>
  </si>
  <si>
    <t xml:space="preserve">  375 Kapsamı: 31/12/2021 bilançosunda yer alan YABANCI PARA YÜKÜMLÜLÜKLERİNİN (borçlar, krediler, leasing vb.) yasal süre içinde TL'ye dönüştürülmesinden doğan kur farkı kazancı istisnası. Paragraf 1 (mevduat/altın aktifleri) dışında kalan borç tarafı dönüşümü.</t>
  </si>
  <si>
    <t>Parametre</t>
  </si>
  <si>
    <t>Değer / Tarih</t>
  </si>
  <si>
    <t>Açıklama</t>
  </si>
  <si>
    <t>Kaynak</t>
  </si>
  <si>
    <t>B.1  31/12/2021 Bilançosundaki Yabancı Para Borç Türü</t>
  </si>
  <si>
    <t>Banka Kredisi</t>
  </si>
  <si>
    <t>Dönüştürülen yabancı para yükümlülüğün türü. Her tür için ayrı satır.</t>
  </si>
  <si>
    <t>Bilanço / Sözleşme</t>
  </si>
  <si>
    <t>B.2  31/12/2021 Bilanço Tarihindeki Döviz Cinsi</t>
  </si>
  <si>
    <t>USD</t>
  </si>
  <si>
    <t>Dönüştürülen yabancı para birimi.</t>
  </si>
  <si>
    <t>Bilanço</t>
  </si>
  <si>
    <t>B.3  31/12/2021 Borç Bakiyesi (Döviz Cinsinden)</t>
  </si>
  <si>
    <t>31/12/2021 tarihi itibarıyla bilanço borcunun döviz tutarı.</t>
  </si>
  <si>
    <t>Kesinleşmiş Bilanço</t>
  </si>
  <si>
    <t>B.4  31/12/2021 TCMB Döviz Alış Kuru</t>
  </si>
  <si>
    <t>31/12/2021 tarihi TCMB resmi döviz alış kuru. tcmb.gov.tr</t>
  </si>
  <si>
    <t>TCMB kur tablosu</t>
  </si>
  <si>
    <t>B.5  31/12/2021 TL Bilanço Değeri (B.3 × B.4)</t>
  </si>
  <si>
    <t>Formül: Döviz Miktarı × TCMB Kuru = Bilanço TL değeri.</t>
  </si>
  <si>
    <t>Hesaplama</t>
  </si>
  <si>
    <t>B.6  ★ Dönüşüm Tarihi (TL'ye Geçiş Tarihi)</t>
  </si>
  <si>
    <t>Yasal süre içinde olduğu banka belgesi/sözleşme kapatma belgesiyle teyit edilmeli.</t>
  </si>
  <si>
    <t>Banka/Kredi belgesi</t>
  </si>
  <si>
    <t>B.7  Dönüşüm Günü TCMB Döviz Alış Kuru</t>
  </si>
  <si>
    <t>Dönüşüm tarihindeki TCMB resmi döviz alış kuru. tcmb.gov.tr</t>
  </si>
  <si>
    <t>B.8  Dönüşüm TL Tutarı (B.3 × B.7)</t>
  </si>
  <si>
    <t>Formül: Döviz Miktarı × Dönüşüm Günü Kuru = Kapanış TL tutarı.</t>
  </si>
  <si>
    <t>B.9  Borç Dönüşümü 31/12/2021 Bilanço Bakiyesi İle Sınırlı mı?</t>
  </si>
  <si>
    <t>Dönüşüm tutarı 31/12/2021 bakiyesini aşamaz. Aşan kısım kapsam dışı.</t>
  </si>
  <si>
    <t>KVK Geç.Md.14/2</t>
  </si>
  <si>
    <t>C. DÖVİZ CİNSİ BAZINDA KUR FARKI KAZANCI HESABI — BORÇ DÖNÜŞÜMÜ (BEYANNAME 375)</t>
  </si>
  <si>
    <t xml:space="preserve">  Her yabancı para borç için ayrı satır. Kur Farkı Kazancı = MAX(Bilanço TL − Dönüşüm TL, 0).
  Borç tarafı: Bilanço kuru YÜKSEK, dönüşüm kuru DÜŞÜK ise kazanç oluşur (TL değer kazanmış).
  Col 4 (lacivert çerçeve) ve Col 6 (kırmızı çerçeve): ANA VERİ GİRİŞLERİ. Col 7 = Otomatik kazanç hesabı.</t>
  </si>
  <si>
    <t>Döviz Cinsi</t>
  </si>
  <si>
    <t>31/12/2021 Bakiye (Döviz)</t>
  </si>
  <si>
    <t>31/12/2021 Kuru (TL)</t>
  </si>
  <si>
    <t>Bilanço TL Değeri</t>
  </si>
  <si>
    <t>Dönüşüm Günü Kuru (TL)</t>
  </si>
  <si>
    <t>Dönüşüm TL Tutarı</t>
  </si>
  <si>
    <t>Kur Farkı Kazancı (TL)</t>
  </si>
  <si>
    <t>EUR</t>
  </si>
  <si>
    <t>GBP</t>
  </si>
  <si>
    <t>CHF</t>
  </si>
  <si>
    <t>Diğer Döviz</t>
  </si>
  <si>
    <t>TOPLAM</t>
  </si>
  <si>
    <t>Toplam Kur Farkı Kazancı → Beyanname 375</t>
  </si>
  <si>
    <t xml:space="preserve">  BORÇ TARAFI KUR FARKI KAZANCI MANTIĞI:
  Bilanço Kuru (31/12/2021) YÜKSEK — Dönüşüm Kuru (Dönüşüm Tarihi) DÜŞÜK → KAZANÇ oluşur (TL değer kazanmıştı).
  Neden: Yükümlülük 31/12/2021'de daha yüksek kurdan kayıtlı. Dönüşüm günü daha düşük kurdan kapatılıyor → Fark = Kur farkı kazancı. Formül: MAX(Bilanço TL − Dönüşüm TL, 0). Negatif → Zarar, 375 tutarı sıfır.</t>
  </si>
  <si>
    <t>D. KUR FARKI KAZANCI İSTİSNASI ÖZET — BEYANNAME 375 (KVK Geçici Md.14/2)</t>
  </si>
  <si>
    <t>Hesap Kalemi</t>
  </si>
  <si>
    <t>Tutar (TL)</t>
  </si>
  <si>
    <t>YMM Notu</t>
  </si>
  <si>
    <t>D.1  Toplam Brüt Kur Farkı Kazancı (C Tablosu — Tüm Dövizler)</t>
  </si>
  <si>
    <t>C tablosu toplam — tüm döviz borç türleri</t>
  </si>
  <si>
    <t>TCMB kurlarıyla doğrulanmış</t>
  </si>
  <si>
    <t>D.2  Kapsam Dışı Kur Farkı (31/12/2021 bakiyesini aşan dönüşüm kısmı)</t>
  </si>
  <si>
    <t>Bilanço bakiyesini aşan dönüşüm orantılı ayrıştırmaya tabi</t>
  </si>
  <si>
    <t>Kapsam dışı kısım vergilendirilir</t>
  </si>
  <si>
    <t>D.3  ★ NET 375 İSTİSNA TUTARI (D.1 − D.2) → BEYANNAME 375</t>
  </si>
  <si>
    <t>→ Beyanname 375 | Kazancın Bulunması Halinde İndirilecek</t>
  </si>
  <si>
    <t>KVK Geçici Md.14/2</t>
  </si>
  <si>
    <t>D.4  Vergiye Tabi Kalan Kur Farkı Kazancı (Kapsam Dışı)</t>
  </si>
  <si>
    <t>Bu kısım KV matrahında kalır</t>
  </si>
  <si>
    <t>Vergilendirilir</t>
  </si>
  <si>
    <t>E. PARAGRAF 1 (370–374) – PARAGRAF 2 (375) KARŞILAŞTIRMA VE ÇAPRAZ KONTROL</t>
  </si>
  <si>
    <t>Özellik</t>
  </si>
  <si>
    <t>Paragraf 1 (370–374)</t>
  </si>
  <si>
    <t>Paragraf 2 (375)</t>
  </si>
  <si>
    <t>YİAKV</t>
  </si>
  <si>
    <t>Bilanço Tarafı</t>
  </si>
  <si>
    <t>AKTİF taraf — Yab. para mevduat + altın hesabı</t>
  </si>
  <si>
    <t>PASİF taraf — Yabancı para borçlar ve yükümlülükler</t>
  </si>
  <si>
    <t>Her ikisi DÜŞÜLEMEZ</t>
  </si>
  <si>
    <t>Dönüşüm Hedefi</t>
  </si>
  <si>
    <t>TL KKM hesabı (mevduat veya katılım)</t>
  </si>
  <si>
    <t>TL borç / TL kredi (borcun TL'ye çevrilmesi)</t>
  </si>
  <si>
    <t>Ayrı mekanizmalar</t>
  </si>
  <si>
    <t>Kur Farkı Yönü</t>
  </si>
  <si>
    <t>Aktif kur farkı: Düşük kur → Yüksek kur = Kazanç</t>
  </si>
  <si>
    <t>Pasif kur farkı: Yüksek kur → Düşük kur = Kazanç</t>
  </si>
  <si>
    <t>Ters mantık</t>
  </si>
  <si>
    <t>Muhasebe</t>
  </si>
  <si>
    <t>646/679 (aktif kur farkı kazancı)</t>
  </si>
  <si>
    <t>646/679 (pasif kur farkı kazancı)</t>
  </si>
  <si>
    <t>Her ikisi ticari kârda</t>
  </si>
  <si>
    <t>DÜŞÜLEMEZ (E.7)</t>
  </si>
  <si>
    <t>Birlikte E.7</t>
  </si>
  <si>
    <t>F.1  TOPLAM İSTİSNA → Beyanname Satır 375 (Kazancın Bulunması Halinde)</t>
  </si>
  <si>
    <t>D.3 — KVK Geçici Md.14/2 | Borç/Yükümlülük Tarafı Kur Farkı</t>
  </si>
  <si>
    <t xml:space="preserve">  ★★ KRİTİK UYARILAR:
(1) YİAKV MATRAHINDA DÜŞÜLEMEZ: 375 asgari KV matrahından çıkarılmaz — YİAKV E.7.
(2) PARAGRAF 2 NİTELİĞİ: Borç/yükümlülük tarafı dönüşümü (pasif). Aktif (mevduat/altın) → Paragraf 1 (370–374).
(3) BEYANNAME: 'Kazancın Bulunması Halinde İndirilecek' — Zarar döneminde uygulanamaz.
(4) YASAL SÜRE: Dönüşüm tarihi Cumhurbaşkanı Kararıyla belirlenen yasal süre içinde olmalıdır.</t>
  </si>
  <si>
    <t>375 – KVK GEÇİCİ MD.14/2 BORÇ TARAFI KUR FARKI | HESAPLAMALAR VE DENETİM</t>
  </si>
  <si>
    <t>Yabancı Para Borç/Yükümlülük Dönüşümü | Paragraf 2 | Beyanname 375 | YİAKV MATRAHINDA DÜŞÜLEMEZ</t>
  </si>
  <si>
    <t>A. TASDİK ÖZETİ</t>
  </si>
  <si>
    <t>A0 Uygunluğu</t>
  </si>
  <si>
    <t>OK ise devam</t>
  </si>
  <si>
    <t>Paragraf 2 Niteliği (A0.4)</t>
  </si>
  <si>
    <t>EVET — Borç/Pasif tarafı</t>
  </si>
  <si>
    <t>Toplam Brüt Kazanç (D.1)</t>
  </si>
  <si>
    <t>TCMB kurlarıyla hesaplanmış</t>
  </si>
  <si>
    <t>Kapsam Dışı (D.2)</t>
  </si>
  <si>
    <t>Bakiye aşımı varsa ayrıştır</t>
  </si>
  <si>
    <t>375 NET İSTİSNA (D.3)</t>
  </si>
  <si>
    <t>★★ YİAKV'de DÜŞÜLEMEZ</t>
  </si>
  <si>
    <t>370–375 tamamı E.7</t>
  </si>
  <si>
    <t>Her zaman DÜŞÜLEMEZ</t>
  </si>
  <si>
    <t>B. DÖVİZ BAZINDA KUR FARKI KAZANCI ÖZET (VERİ GİRİŞİ C TABLOSUNDAN)</t>
  </si>
  <si>
    <t>Döviz</t>
  </si>
  <si>
    <t>31/12/2021 Bakiye</t>
  </si>
  <si>
    <t>31/12/2021 Kuru</t>
  </si>
  <si>
    <t>Bilanço TL</t>
  </si>
  <si>
    <t>Dönüşüm Kuru</t>
  </si>
  <si>
    <t>Dönüşüm TL</t>
  </si>
  <si>
    <t>Diğer</t>
  </si>
  <si>
    <t>Toplam → Beyanname 375</t>
  </si>
  <si>
    <t>C. DENETİM KONTROL LİSTESİ (K1–K12)</t>
  </si>
  <si>
    <t>Kontrol</t>
  </si>
  <si>
    <t>Sonuç</t>
  </si>
  <si>
    <t>K1</t>
  </si>
  <si>
    <t>★ Kurumun 31/12/2021 bilançosunda yabancı para borç bakiyesi var mıydı?</t>
  </si>
  <si>
    <t>Bilanço yabancı para borç hesaplarından teyit. Sonradan doğan borçlar kapsam dışı.</t>
  </si>
  <si>
    <t>Uygun/Eksik/Risk</t>
  </si>
  <si>
    <t>K2</t>
  </si>
  <si>
    <t>★ Dönüşüm tarihi yasal süre (CB Kararı) içinde mi?</t>
  </si>
  <si>
    <t>Kredi kapatma/dönüşüm belgesi tarihi ≤ Yasal son tarih. B.6 kontrolü.</t>
  </si>
  <si>
    <t>K3</t>
  </si>
  <si>
    <t>Dönüşüm tutarı 31/12/2021 bilanço bakiyesini aşmıyor mu?</t>
  </si>
  <si>
    <t>Aşan kısım kapsam dışı — orantılı ayrıştırma zorunlu.</t>
  </si>
  <si>
    <t>K4</t>
  </si>
  <si>
    <t>★ 31/12/2021 ve Dönüşüm Günü TCMB kurları resmi kaynaktan alındı mı?</t>
  </si>
  <si>
    <t>tcmb.gov.tr — her iki tarih için resmi döviz alış kuru.</t>
  </si>
  <si>
    <t>K5</t>
  </si>
  <si>
    <t>Kur farkı kazancı (D.3) muhasebe kayıtlarıyla mutabık mı?</t>
  </si>
  <si>
    <t>646/679 hesabındaki pasif kur farkı kazancı ile C tablosu toplamı uyumlu.</t>
  </si>
  <si>
    <t>K6</t>
  </si>
  <si>
    <t>★ Bu kazanç Paragraf 1 (370–374) kapsamına girmediği teyit edildi mi?</t>
  </si>
  <si>
    <t>Aktif (mevduat/altın) → Paragraf 1. Pasif (borç/yükümlülük) → Paragraf 2 (375).</t>
  </si>
  <si>
    <t>K7</t>
  </si>
  <si>
    <t>Kur farkı yönü doğru mu? (Borç tarafı kazanç mantığı)</t>
  </si>
  <si>
    <t>Bilanço kuru &gt; Dönüşüm kuru → Kazanç (TL değer kazanmış). Aksi → Zarar, 375 sıfır.</t>
  </si>
  <si>
    <t>K8</t>
  </si>
  <si>
    <t>★★ 375 istisnası YİAKV matrahından DÜŞÜLMEDI mi?</t>
  </si>
  <si>
    <t>370–375 tamamı YİAKV matrahından DÜŞÜLEMEZ. E.7'de altı satır da kontrol edilmeli.</t>
  </si>
  <si>
    <t>K9</t>
  </si>
  <si>
    <t>Beyanname 375 'Kazancın Bulunması Halinde' bölümünde mi?</t>
  </si>
  <si>
    <t>Zarar döneminde uygulanamaz.</t>
  </si>
  <si>
    <t>K10</t>
  </si>
  <si>
    <t>Borç türü analizi yapıldı mı? (Kredi / Tahvil / Leasing / Ticari Borç)</t>
  </si>
  <si>
    <t>Her borç türü için ayrı belge ve yasal dayanak değerlendirmesi.</t>
  </si>
  <si>
    <t>K11</t>
  </si>
  <si>
    <t>Kısmi dönüşüm varsa orantılı hesaplama (D.2) yapıldı mı?</t>
  </si>
  <si>
    <t>31/12/2021 bakiyesinin tamamı dönüştürülmediyse kapsam içi kısım orantılandı.</t>
  </si>
  <si>
    <t>K12</t>
  </si>
  <si>
    <t>YMM Tasdik Raporu (49 No.lu Tebliğ) değerlendirildi mi?</t>
  </si>
  <si>
    <t>375 – KVK GEÇİCİ MD.14/2 BORÇ TARAFI KUR FARKI | MUHASEBE KAYITLARI</t>
  </si>
  <si>
    <t>Yabancı Para Borç Kapatma | Kur Farkı Kazancı | Paragraf 1 vs 2 Muhasebe Karşılaştırması</t>
  </si>
  <si>
    <t>KAYIT 1 — BORÇ KAPAMA / DÖNÜŞÜM GÜNÜ: YABANCI PARA BORÇ KAPATMA VE TL BORÇ AÇILIŞI</t>
  </si>
  <si>
    <t xml:space="preserve">  375 (Md.14/2) Senaryo: Yabancı para kredi borcu Bilanço kuru = 14,00 | Kapanış kuru = 12,50 TL/USD.
  TL değer kazandığı için borç daha ucuza kapatıldı → Kur farkı KAZANCI oluştu.</t>
  </si>
  <si>
    <t>Tarih</t>
  </si>
  <si>
    <t>Hesap</t>
  </si>
  <si>
    <t>Not</t>
  </si>
  <si>
    <t>Dr</t>
  </si>
  <si>
    <t>Kr</t>
  </si>
  <si>
    <t>Ref</t>
  </si>
  <si>
    <t>[Dönüşüm Tarihi]</t>
  </si>
  <si>
    <t>300/320 Banka Kredileri / Finansal Borçlar</t>
  </si>
  <si>
    <t>Yabancı para borcun 31/12/2021 bilanço TL değeri (Bilanço Kuru × Döviz Miktarı)</t>
  </si>
  <si>
    <t>[Bilanço TL]</t>
  </si>
  <si>
    <t>—</t>
  </si>
  <si>
    <t>Muhasebe kaydı</t>
  </si>
  <si>
    <t>100/102 Kasa / Bankalar</t>
  </si>
  <si>
    <t>Borcun kapanmasında ödenen TL (Dönüşüm Günü Kuru × Döviz Miktarı)</t>
  </si>
  <si>
    <t>[Dönüşüm TL]</t>
  </si>
  <si>
    <t>Banka belgesi</t>
  </si>
  <si>
    <t>646 Kambiyo Kârları / 679 Diğer Olağandışı Kâr</t>
  </si>
  <si>
    <t>Borç tarafı kur farkı kazancı (Bilanço TL − Dönüşüm TL) → KVK Geçici Md.14/2 → Beyanname 375</t>
  </si>
  <si>
    <t>[Kur Farkı Kazancı]</t>
  </si>
  <si>
    <t>KV 375</t>
  </si>
  <si>
    <t xml:space="preserve">  KUR FARKI KAZANCI = Bilanço TL − Dönüşüm TL. Borç tarafı: Kazanç = TL değer kazandığında (Yüksek bilanço kuru − Düşük dönüşüm kuru).</t>
  </si>
  <si>
    <t>KAYIT 2 — PARAGRAF 1 (AKTIF) ve PARAGRAF 2 (PASİF) MUHASEBE KARŞILAŞTIRMASI</t>
  </si>
  <si>
    <t xml:space="preserve">  Aynı kur farkı mantığı — ama zıt yönde. Aktif taraf (Paragraf 1/370): Düşük kurdan alınan → Yüksek kurdan satılan.
  Pasif taraf (Paragraf 2/375): Yüksek kurdan kayıtlı borç → Düşük kurdan kapatılan.</t>
  </si>
  <si>
    <t>Md.14/1 (370)</t>
  </si>
  <si>
    <t>[Dönüşüm]</t>
  </si>
  <si>
    <t>102 Bankalar Dr / 121 Döviz Tevdiat Kr / 646 Kur Farkı Kr</t>
  </si>
  <si>
    <t>AKTİF Kur Farkı: Döviz mevduatı → TL KKM. Düşük bilanço kuru, yüksek dönüşüm kuru → Kazanç</t>
  </si>
  <si>
    <t>[370 Kazancı]</t>
  </si>
  <si>
    <t>KV 370</t>
  </si>
  <si>
    <t>Md.14/2 (375)</t>
  </si>
  <si>
    <t>300/320 Borçlar Dr / 100/102 Kasa/Bankalar Kr / 646 Kur Farkı Kr</t>
  </si>
  <si>
    <t>PASİF Kur Farkı: Yabancı para borç kapatma. Yüksek bilanço kuru, düşük kapanış kuru → Kazanç</t>
  </si>
  <si>
    <t>[375 Kazancı]</t>
  </si>
  <si>
    <t xml:space="preserve">  BEYANNAME: 375 → 'Kazancın Bulunması Halinde İndirilecek' bölümünde. ★★ YİAKV MATRAHINDA DÜŞÜLEMEZ — pasif taraf kur farkı kazancı da YİAKV E.7 kapsamındadır. Muhasebe hesabı 646 veya 679 — KV matrahı hesabında her ikisi de ticari kâra dahildir.</t>
  </si>
  <si>
    <t>375 – KVK GEÇİCİ MD.14/2 BORÇ TARAFI KUR FARKI | DENETÇİ NOTLARI</t>
  </si>
  <si>
    <t>GİB KV Beyan Rehberi Mart 2026 (No:606) | KVK Geçici Md.14/2 | Paragraf 2 | ★★ YİAKV DÜŞÜLEMEZ</t>
  </si>
  <si>
    <t>Kod</t>
  </si>
  <si>
    <t>Konu</t>
  </si>
  <si>
    <t>Mesleki Değerlendirme / Tasdik Standardı</t>
  </si>
  <si>
    <t>Mevzuat / Kaynak</t>
  </si>
  <si>
    <t>N1</t>
  </si>
  <si>
    <t>KVK Geçici Md.14/2 — Paragraf 2 Kapsamı ve 370–374 ile Farkı</t>
  </si>
  <si>
    <t>KVK GEÇİCİ MD.14/2 — PARAGRAF 2 TANIMI:
Kurumların 31/12/2021 tarihli bilançolarında kayıtlı YABANCI PARA BORÇLARINI VE YÜKÜMLÜLÜKLERİNİ yasal süre içinde TL'ye dönüştürmeleri halinde bu dönüşüm esnasında oluşan KUR FARKI KAZANCI kurumlar vergisinden istisnadır.
PARAGRAF 1 (370–374) ile TEMEL FARK:
• Paragraf 1: Yabancı para AKTİFLER (mevduat + altın) → TL KKM hesabı
  Kur farkı kazancı: Düşük bilanço kuru → Yüksek dönüşüm kuru
• Paragraf 2 (375): Yabancı para PASİFLER (borçlar, krediler) → TL
  Kur farkı kazancı: Yüksek bilanço kuru → Düşük dönüşüm kuru
KAPSAM DAHİLİ BORÇ TÜRLERİ:
① Banka kredileri (yabancı para) | ② Tahvil ve bonolar (dövizle ihraç)
③ Finansal kiralama yükümlülükleri | ④ Ticari borçlar (dövizle)
⑤ Diğer yabancı para yükümlülükler
BEYANNAME: 375 | Kazancın Bulunması Halinde İndirilecek
GİB KV Beyan Rehberi 2026 (Yayın No:606), Bölüm 2.2.15 kapsamında yer almaktadır.</t>
  </si>
  <si>
    <t>KVK Geçici Md.14/2 | 7352 s.K. | GİB KV Beyan Reh. 2026 (No:606)</t>
  </si>
  <si>
    <t>N2</t>
  </si>
  <si>
    <t>Kur Farkı Kazancı Hesaplama Yöntemi — Borç Tarafı Mekanizması</t>
  </si>
  <si>
    <t>BORÇ TARAFI KUR FARKI KAZANCI HESABI:
FORMÜL: Kur Farkı Kazancı = MAX(Bilanço TL − Dönüşüm TL, 0)
= MAX([31/12/2021 Kuru × Döviz Miktarı] − [Dönüşüm Günü Kuru × Döviz Miktarı], 0)
KAZANÇ OLUŞMA KOŞULU: TL'nin döviz karşısında DEĞER KAZANMASI
Örnek: 31/12/2021 kuru = 14,00 TL/USD | Dönüşüm kuru = 12,50 TL/USD
1.000.000 USD borç:
• Bilanço TL: 1.000.000 × 14,00 = 14.000.000 TL
• Dönüşüm TL: 1.000.000 × 12,50 = 12.500.000 TL
• Kur farkı kazancı: 14.000.000 − 12.500.000 = 1.500.000 TL → Beyanname 375
ZARAR DURUMU: Bilanço kuru &lt; Dönüşüm kuru (TL zayıflamış) → Kur farkı ZARARI
Bu durumda 375 tutarı SIFIRDIR (MAX fonksiyonu ile sıfırlanır).
TCMB KURLAR: Her iki tarih için de TCMB resmi döviz ALIŞI kuru kullanılır.</t>
  </si>
  <si>
    <t>KVK Geçici Md.14/2 | TCMB Kur Tablosu | VUK Md.280</t>
  </si>
  <si>
    <t>N3</t>
  </si>
  <si>
    <t>★★ YİAKV ile İlişki — 370–375 Tamamı DÜŞÜLEMEZ</t>
  </si>
  <si>
    <t>KVK GEÇİCİ MD.14 KAPSAMININ TAMAMININ YİAKV MATRAHINDA DÜŞÜLEMEZLİĞİ:
• 370 (Md.14/1-a) → DÜŞÜLEMEZ | • 371 (Md.14/1-b) → DÜŞÜLEMEZ
• 372 (Md.14/1-b) → DÜŞÜLEMEZ | • 373 (Md.14/1-b) → DÜŞÜLEMEZ
• 374 (Md.14/1-b) → DÜŞÜLEMEZ | • 375 (Md.14/2) → DÜŞÜLEMEZ
YİAKV çalışma kâğıdı E.7 satırı (GÜNCELLENMESİ GEREKİR):
'KKM Aktif + Pasif Kur Farkı + Faiz/Kâr Payı + Vade Kazançları İstisnası
(KVK Geçici Md.14) → YİAKV'de DÜŞÜLEMEZ ✗ | Beyanname 370/371/372/373/374/375'
YMM, altı kodun tamamının asgari vergi matrahında kaldığını teyit etmelidir.
375'in 'pasif taraf' kur farkı niteliği YİAKV muamelesini değiştirmez.</t>
  </si>
  <si>
    <t>KVK Md.32/C | YİAKV Reh. (No:607) | GİB KV Beyan Reh. (No:606)</t>
  </si>
  <si>
    <t>N4</t>
  </si>
  <si>
    <t>Borç Türü Analizi ve Kısmi Dönüşüm</t>
  </si>
  <si>
    <t>KAPSAM DAHİLİ BORÇ TÜRLERİ — DETAY:
BANKA KREDİSİ (En Yaygın): Yabancı para kredi sözleşmesi → TL dönüşüm
Kapsam koşulu: 31/12/2021 bilanço kaydı + Yasal süre içinde dönüşüm
TAHVİL/BONO: Dövizle ihraç edilmiş tahvil → TL'ye dönüştürülmesi
Anapara + tahakkuk faiz toplamının dönüşümü değerlendirilmeli
FİNANSAL KİRALAMA: Dövizli leasing sözleşmesi borçları
VUK değerlemesi ile beyan değeri arasındaki tutarsızlıklar kontrol edilmeli
TİCARİ BORÇ: Dövizli tedarikçi borçları — 31/12/2021 bilanço kaydı zorunlu
KISMİ DÖNÜŞÜM:
31/12/2021 bilanço bakiyesinin tamamı dönüştürülmemişse:
İstisna Oranı = Dönüştürülen Miktar / 31/12/2021 Bilanço Bakiyesi
Kısmi istisna = Toplam Kur Farkı Kazancı × İstisna Oranı
D.2 satırına kapsam dışı kısım yazılır.</t>
  </si>
  <si>
    <t>KVK Geçici Md.14/2 | VUK Md.280 | 1 Seri No.lu KVK GT</t>
  </si>
  <si>
    <t>N5</t>
  </si>
  <si>
    <t>49 No.lu Tebliğ + YMM Tasdik Dil Standardı</t>
  </si>
  <si>
    <t>KULLANIN:
'...31/12/2021 tarihli bilançoda kayıtlı [Döviz Cinsi] cinsinden [Borç Türü] borcunun
[Dönüşüm Tarihi] tarihinde Türk lirasına dönüştürülmesi sonucunda oluşan [Tutar] TL
kur farkı kazancı, KVK Geçici Madde 14/2 kapsamında kurumlar vergisinden istisna
edilmiş ve yurt içi asgari kurumlar vergisi matrahından indirilmemiştir.'
KULLANMAYIN:
'...375 tutarı YİAKV matrahından düşülmüştür.' (YANLIŞ)
'...Paragraf 1 (370–374) kapsamındaki kazanç Md.14/2 olarak beyan edilmiştir.' (Yanlış paragraf)
'...31/12/2021 sonrası edinilen yabancı para borçlar da 375 kapsamındadır.' (Kapsam dışı)
KRİTİK RİSKLER:
(1) Paragraf 1 (aktif/mevduat) ile Paragraf 2 (pasif/borç) karıştırmak.
(2) 375 tutarını YİAKV matrahından düşmek.
(3) Dönüşüm tarihinin yasal süre dışında olduğunu gözden kaçırmak.
(4) 31/12/2021 sonrası doğan yabancı para borçları kapsama almak.</t>
  </si>
  <si>
    <t>49 No.lu Tebliğ | KVK Geçici Md.14/2 | SM-SMMM-YMM K. Md.12</t>
  </si>
  <si>
    <t xml:space="preserve">  GİB KV BEYAN REHBERİ MART 2026 (No:606) KAPANIŞ (375): KVK Geçici Md.14/2, Paragraf 1 (370–374)'in yabancı para AKTİFLER dönüşümünü tamamlayan PASİF/BORÇ tarafı kur farkı kazancı istisnasıdır. 370–375 altı kod birlikte KVK Geçici Md.14 tam kapsamını oluşturur. Tamamı YİAKV matrahından DÜŞÜLEMEZ. YMM müteselsil sorumluluk: SM-SMMM-YMM Kanunu Md.12.</t>
  </si>
  <si>
    <t>375 – KVK GEÇİCİ MD.14/2 BORÇ TARAFI KUR FARKI | BELGE LİSTESİ | YMM TASDİK</t>
  </si>
  <si>
    <t>GİB KV Beyan Rehberi Mart 2026 (No:606) | Borç Dönüşüm Belgesi | TCMB Kur | Bilanço</t>
  </si>
  <si>
    <t>KATEGORİ 1 — ZORUNLU BELGELER</t>
  </si>
  <si>
    <t>No</t>
  </si>
  <si>
    <t>Belge</t>
  </si>
  <si>
    <t>Temin</t>
  </si>
  <si>
    <t>1</t>
  </si>
  <si>
    <t>★ 31/12/2021 Kesinleşmiş Bilançosu — Yabancı Para Borç Bakiyeleri</t>
  </si>
  <si>
    <t>31/12/2021 tarihi itibarıyla yabancı para borç hesapları (300/302/320/322 vb.) açık bakiyeleri.
YMM: Dönüşüm tutarı bu bakiyeleri aşmamalı. B.3 (Döviz miktarı) kaynağıdır.</t>
  </si>
  <si>
    <t>Kesinleşmiş Bilanço / Mizan</t>
  </si>
  <si>
    <t>2</t>
  </si>
  <si>
    <t>★ Borç Dönüşüm/Kapatma Belgesi (Kredi İptal Belgesi / Dönüşüm Sözleşmesi)</t>
  </si>
  <si>
    <t>Yabancı para borcun TL'ye dönüştürüldüğünü kanıtlayan resmi belge.
Dönüşüm tarihi, döviz miktarı, uygulanan kur, TL karşılığı açıkça görünmeli.
YMM: Dönüşüm tarihinin yasal süre içinde olduğu bu belgeden teyit edilir.</t>
  </si>
  <si>
    <t>Banka / Alacaklı kurumdan</t>
  </si>
  <si>
    <t>3</t>
  </si>
  <si>
    <t>★ TCMB Resmi Döviz Kurları (31/12/2021 ve Dönüşüm Günü)</t>
  </si>
  <si>
    <t>Her iki tarih için TCMB resmi döviz alış kuru.
tcmb.gov.tr → Döviz Kurları → İlgili tarihlerin kur tablosu.
YMM: C tablosundaki kurların TCMB resmi kurlarıyla uyumlu olduğu teyit edilmeli.</t>
  </si>
  <si>
    <t>TCMB web sitesi (tcmb.gov.tr)</t>
  </si>
  <si>
    <t>4</t>
  </si>
  <si>
    <t>Kur Farkı Kazancı Hesaplama Tablosu (Bu Çalışma Kâğıdı C Bölümü)</t>
  </si>
  <si>
    <t>Her döviz bazında kur farkı kazancı hesabı. D.3 net 375 tutarı beyanname ile uyumlu.</t>
  </si>
  <si>
    <t>Bu çalışma kâğıdı</t>
  </si>
  <si>
    <t>5</t>
  </si>
  <si>
    <t>KV Beyannamesi Taslağı — 375. Satır</t>
  </si>
  <si>
    <t>'Kazancın Bulunması Halinde İndirilecek' bölümü. ★★ YİAKV matrahından çıkarılmamış.</t>
  </si>
  <si>
    <t>GİB e-Beyanname sistemi</t>
  </si>
  <si>
    <t>KATEGORİ 2 — EK BELGELER</t>
  </si>
  <si>
    <t>6</t>
  </si>
  <si>
    <t>Dönüşüm Tarihinin Yasal Süre İçinde Olduğunu Gösteren CB Kararı</t>
  </si>
  <si>
    <t>İlgili Cumhurbaşkanı Kararı — dönüşüm tarihinin kararla belirlenen son tarih içinde olduğu kontrol.</t>
  </si>
  <si>
    <t>Resmî Gazete / mevzuat.gov.tr</t>
  </si>
  <si>
    <t>7</t>
  </si>
  <si>
    <t>Muhasebe Yevmiye Kaydı — Borç Kapanış + Kur Farkı Kaydı</t>
  </si>
  <si>
    <t>Dönüşüm günü yevmiye: Borç hesabı Dr / Kasa-Banka Kr / 646-679 Kur Farkı Kazancı Kr.
C tablosu kur farkı kazancıyla mutabık olmalı.</t>
  </si>
  <si>
    <t>Yevmiye defteri / Muhasebe ekstresi</t>
  </si>
  <si>
    <t>8</t>
  </si>
  <si>
    <t>Kredi Sözleşmesi / Borç Dökümü</t>
  </si>
  <si>
    <t>31/12/2021 bilanço borç bakiyesini belgelemek için orijinal borç sözleşmesi veya hesap dökümü.</t>
  </si>
  <si>
    <t>Kredi sözleşmesi / Tedarikçi hesap dökümü</t>
  </si>
  <si>
    <t>KATEGORİ 3 — YMM TASDİK KONTROL SORULARI</t>
  </si>
  <si>
    <t>Beklenen Sonuç</t>
  </si>
  <si>
    <t>YMM Aksiyonu</t>
  </si>
  <si>
    <t>S1</t>
  </si>
  <si>
    <t>★ 31/12/2021 bilançosunda yabancı para borç bakiyesi var mıydı?</t>
  </si>
  <si>
    <t>Bilanço teyidi zorunlu. Sonraki dönem borçlar kapsam dışı.</t>
  </si>
  <si>
    <t>YMM kontrolü</t>
  </si>
  <si>
    <t>S2</t>
  </si>
  <si>
    <t>Dönüşüm belgesi tarihi ≤ Yasal son tarih.</t>
  </si>
  <si>
    <t>S3</t>
  </si>
  <si>
    <t>Dönüşüm tutarı bilanço bakiyesini aşmıyor mu?</t>
  </si>
  <si>
    <t>Aşma → Orantılı ayrıştırma (D.2).</t>
  </si>
  <si>
    <t>S4</t>
  </si>
  <si>
    <t>★ TCMB kurları resmi kaynaktan alındı mı? (Her iki tarih)</t>
  </si>
  <si>
    <t>tcmb.gov.tr — bilanço ve dönüşüm günü.</t>
  </si>
  <si>
    <t>S5</t>
  </si>
  <si>
    <t>Kur farkı kazancı (D.3) muhasebe ile mutabık mı?</t>
  </si>
  <si>
    <t>646/679 tutarı ile C tablosu uyumlu.</t>
  </si>
  <si>
    <t>S6</t>
  </si>
  <si>
    <t>★ Bu kazancın Paragraf 2 (borç tarafı) niteliği teyit edildi mi?</t>
  </si>
  <si>
    <t>Aktif taraf (mevduat/altın) → Paragraf 1 (370). Pasif (borç) → Paragraf 2 (375).</t>
  </si>
  <si>
    <t>S7</t>
  </si>
  <si>
    <t>Kur farkı yönü doğru mu? (Bilanço kuru &gt; Dönüşüm kuru)</t>
  </si>
  <si>
    <t>Aksi durumda kazanç değil zarar → 375 sıfır.</t>
  </si>
  <si>
    <t>S8</t>
  </si>
  <si>
    <t>370–375 tamamı YİAKV E.7'de DÜŞÜLEMEZ.</t>
  </si>
  <si>
    <t>S9</t>
  </si>
  <si>
    <t>S10</t>
  </si>
  <si>
    <t>SON NOT: GİB KV Beyan Rehberi Mart 2026 (No:606) esas alınmıştır. 375 = KVK Geçici Md.14/2 (Paragraf 2) kapsamında pasif/borç tarafı kur farkı kazancı istisnası. Paragraf 1 (370–374) aktif tarafını, Paragraf 2 (375) pasif tarafını tamamlar. 370–375 altı kod birlikte KVK Geçici Md.14 tam kapsamı oluşturur. Tamamı YİAKV matrahından DÜŞÜLEMEZ (E.7). YMM müteselsil: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</si>
</sst>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7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  <charset val="162"/>
    </font>
    <font>
      <b/>
      <sz val="8"/>
      <color rgb="FF7B5E00"/>
      <name val="Arial"/>
      <family val="2"/>
      <charset val="162"/>
    </font>
    <font>
      <b/>
      <sz val="8"/>
      <color rgb="FFFFFFFF"/>
      <name val="Arial"/>
      <family val="2"/>
      <charset val="162"/>
    </font>
    <font>
      <b/>
      <sz val="10"/>
      <color rgb="FFFFFFFF"/>
      <name val="Arial"/>
      <family val="2"/>
      <charset val="162"/>
    </font>
    <font>
      <b/>
      <sz val="9"/>
      <color rgb="FF1F3864"/>
      <name val="Arial"/>
      <family val="2"/>
      <charset val="162"/>
    </font>
    <font>
      <b/>
      <sz val="10"/>
      <color rgb="FF0000FF"/>
      <name val="Arial"/>
      <family val="2"/>
      <charset val="162"/>
    </font>
    <font>
      <i/>
      <sz val="8"/>
      <color rgb="FF555555"/>
      <name val="Arial"/>
      <family val="2"/>
      <charset val="162"/>
    </font>
    <font>
      <b/>
      <sz val="9"/>
      <color rgb="FFC0392B"/>
      <name val="Arial"/>
      <family val="2"/>
      <charset val="162"/>
    </font>
    <font>
      <i/>
      <sz val="8"/>
      <color rgb="FFC0392B"/>
      <name val="Arial"/>
      <family val="2"/>
      <charset val="162"/>
    </font>
    <font>
      <b/>
      <sz val="10"/>
      <color rgb="FF1B5E20"/>
      <name val="Arial"/>
      <family val="2"/>
      <charset val="162"/>
    </font>
    <font>
      <i/>
      <sz val="8"/>
      <color rgb="FF888888"/>
      <name val="Arial"/>
      <family val="2"/>
      <charset val="162"/>
    </font>
    <font>
      <sz val="9"/>
      <color rgb="FF1F3864"/>
      <name val="Arial"/>
      <family val="2"/>
      <charset val="162"/>
    </font>
    <font>
      <i/>
      <sz val="8"/>
      <color rgb="FF1A237E"/>
      <name val="Arial"/>
      <family val="2"/>
      <charset val="162"/>
    </font>
    <font>
      <b/>
      <sz val="9"/>
      <color rgb="FF1A237E"/>
      <name val="Arial"/>
      <family val="2"/>
      <charset val="162"/>
    </font>
    <font>
      <b/>
      <sz val="9"/>
      <color rgb="FF1B5E20"/>
      <name val="Arial"/>
      <family val="2"/>
      <charset val="162"/>
    </font>
    <font>
      <b/>
      <sz val="13"/>
      <color rgb="FFFFFFFF"/>
      <name val="Arial"/>
      <family val="2"/>
      <charset val="162"/>
    </font>
    <font>
      <b/>
      <sz val="13"/>
      <color rgb="FF1B5E20"/>
      <name val="Arial"/>
      <family val="2"/>
      <charset val="162"/>
    </font>
    <font>
      <sz val="8"/>
      <color rgb="FF00574B"/>
      <name val="Arial"/>
      <family val="2"/>
      <charset val="162"/>
    </font>
    <font>
      <sz val="8"/>
      <color rgb="FF1A237E"/>
      <name val="Arial"/>
      <family val="2"/>
      <charset val="162"/>
    </font>
    <font>
      <b/>
      <sz val="8"/>
      <color rgb="FFC0392B"/>
      <name val="Arial"/>
      <family val="2"/>
      <charset val="162"/>
    </font>
    <font>
      <b/>
      <sz val="8"/>
      <color rgb="FF1F3864"/>
      <name val="Arial"/>
      <family val="2"/>
      <charset val="162"/>
    </font>
    <font>
      <b/>
      <sz val="14"/>
      <color rgb="FF1B5E20"/>
      <name val="Arial"/>
      <family val="2"/>
      <charset val="162"/>
    </font>
    <font>
      <i/>
      <sz val="8"/>
      <color rgb="FF1B5E20"/>
      <name val="Arial"/>
      <family val="2"/>
      <charset val="162"/>
    </font>
    <font>
      <b/>
      <sz val="12"/>
      <color rgb="FFFFFFFF"/>
      <name val="Arial"/>
      <family val="2"/>
      <charset val="162"/>
    </font>
    <font>
      <b/>
      <sz val="12"/>
      <color rgb="FF1B5E20"/>
      <name val="Arial"/>
      <family val="2"/>
      <charset val="162"/>
    </font>
    <font>
      <b/>
      <sz val="10"/>
      <color rgb="FFE65100"/>
      <name val="Arial"/>
      <family val="2"/>
      <charset val="162"/>
    </font>
    <font>
      <sz val="9"/>
      <color rgb="FF1B5E20"/>
      <name val="Arial"/>
      <family val="2"/>
      <charset val="162"/>
    </font>
    <font>
      <b/>
      <sz val="11"/>
      <color rgb="FFFFFFFF"/>
      <name val="Arial"/>
      <family val="2"/>
      <charset val="162"/>
    </font>
    <font>
      <sz val="8"/>
      <color rgb="FF333333"/>
      <name val="Arial"/>
      <family val="2"/>
      <charset val="162"/>
    </font>
    <font>
      <b/>
      <sz val="36"/>
      <color rgb="FFFFFFFF"/>
      <name val="Arial"/>
      <family val="2"/>
      <charset val="162"/>
    </font>
    <font>
      <sz val="8"/>
      <color rgb="FFFFFFFF"/>
      <name val="Arial"/>
      <family val="2"/>
      <charset val="162"/>
    </font>
    <font>
      <sz val="8"/>
      <color rgb="FF1F3864"/>
      <name val="Arial"/>
      <family val="2"/>
      <charset val="162"/>
    </font>
    <font>
      <i/>
      <sz val="8"/>
      <color rgb="FF444444"/>
      <name val="Arial"/>
      <family val="2"/>
      <charset val="162"/>
    </font>
    <font>
      <b/>
      <sz val="9"/>
      <color rgb="FF7B5E00"/>
      <name val="Arial"/>
      <family val="2"/>
      <charset val="162"/>
    </font>
    <font>
      <b/>
      <sz val="9"/>
      <color rgb="FF1565C0"/>
      <name val="Arial"/>
      <family val="2"/>
      <charset val="162"/>
    </font>
    <font>
      <i/>
      <sz val="8"/>
      <color rgb="FF1565C0"/>
      <name val="Arial"/>
      <family val="2"/>
      <charset val="162"/>
    </font>
  </fonts>
  <fills count="26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E8EAF6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CE4EC"/>
      </patternFill>
    </fill>
    <fill>
      <patternFill patternType="solid">
        <fgColor rgb="FFE3F2FD"/>
      </patternFill>
    </fill>
    <fill>
      <patternFill patternType="solid">
        <fgColor rgb="FFFFF3E0"/>
      </patternFill>
    </fill>
    <fill>
      <patternFill patternType="solid">
        <fgColor rgb="FFFFEBEE"/>
      </patternFill>
    </fill>
    <fill>
      <patternFill patternType="solid">
        <fgColor rgb="FF1B5E20"/>
      </patternFill>
    </fill>
    <fill>
      <patternFill patternType="solid">
        <fgColor rgb="FFFFF5F5"/>
      </patternFill>
    </fill>
    <fill>
      <patternFill patternType="solid">
        <fgColor rgb="FFFFD0D0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EEF4FF"/>
      </patternFill>
    </fill>
    <fill>
      <patternFill patternType="solid">
        <fgColor rgb="FFB71C1C"/>
      </patternFill>
    </fill>
    <fill>
      <patternFill patternType="solid">
        <fgColor rgb="FFFFB0B0"/>
      </patternFill>
    </fill>
  </fills>
  <borders count="7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1A237E"/>
      </left>
      <right style="thin">
        <color rgb="FF1A237E"/>
      </right>
      <top style="thin">
        <color rgb="FF1A237E"/>
      </top>
      <bottom style="thin">
        <color rgb="FF1A237E"/>
      </bottom>
      <diagonal/>
    </border>
    <border>
      <left style="thin">
        <color rgb="FF880E4F"/>
      </left>
      <right style="thin">
        <color rgb="FF880E4F"/>
      </right>
      <top style="thin">
        <color rgb="FF880E4F"/>
      </top>
      <bottom style="thin">
        <color rgb="FF880E4F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0" fillId="6" borderId="1" xfId="0" applyFill="1" applyBorder="1"/>
    <xf numFmtId="0" fontId="1" fillId="8" borderId="2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6" fillId="10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10" fillId="12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 wrapText="1"/>
    </xf>
    <xf numFmtId="0" fontId="0" fillId="13" borderId="1" xfId="0" applyFill="1" applyBorder="1"/>
    <xf numFmtId="0" fontId="11" fillId="13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/>
    </xf>
    <xf numFmtId="4" fontId="0" fillId="10" borderId="1" xfId="0" applyNumberFormat="1" applyFill="1" applyBorder="1" applyAlignment="1">
      <alignment horizontal="right" vertical="center"/>
    </xf>
    <xf numFmtId="164" fontId="0" fillId="10" borderId="1" xfId="0" applyNumberFormat="1" applyFill="1" applyBorder="1" applyAlignment="1">
      <alignment horizontal="right" vertical="center"/>
    </xf>
    <xf numFmtId="3" fontId="14" fillId="9" borderId="3" xfId="0" applyNumberFormat="1" applyFont="1" applyFill="1" applyBorder="1" applyAlignment="1">
      <alignment horizontal="right" vertical="center"/>
    </xf>
    <xf numFmtId="3" fontId="8" fillId="14" borderId="4" xfId="0" applyNumberFormat="1" applyFont="1" applyFill="1" applyBorder="1" applyAlignment="1">
      <alignment horizontal="right" vertical="center"/>
    </xf>
    <xf numFmtId="3" fontId="15" fillId="12" borderId="5" xfId="0" applyNumberFormat="1" applyFont="1" applyFill="1" applyBorder="1" applyAlignment="1">
      <alignment horizontal="right" vertical="center"/>
    </xf>
    <xf numFmtId="0" fontId="14" fillId="9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right" vertical="center"/>
    </xf>
    <xf numFmtId="3" fontId="16" fillId="2" borderId="1" xfId="0" applyNumberFormat="1" applyFont="1" applyFill="1" applyBorder="1" applyAlignment="1">
      <alignment horizontal="right" vertical="center"/>
    </xf>
    <xf numFmtId="3" fontId="10" fillId="9" borderId="1" xfId="0" applyNumberFormat="1" applyFont="1" applyFill="1" applyBorder="1" applyAlignment="1">
      <alignment horizontal="right" vertical="center"/>
    </xf>
    <xf numFmtId="0" fontId="0" fillId="10" borderId="1" xfId="0" applyFill="1" applyBorder="1" applyAlignment="1">
      <alignment horizontal="right" vertical="center"/>
    </xf>
    <xf numFmtId="3" fontId="17" fillId="12" borderId="5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15" borderId="1" xfId="0" applyFill="1" applyBorder="1"/>
    <xf numFmtId="0" fontId="20" fillId="17" borderId="1" xfId="0" applyFont="1" applyFill="1" applyBorder="1" applyAlignment="1">
      <alignment horizontal="center" vertical="center" wrapText="1"/>
    </xf>
    <xf numFmtId="0" fontId="21" fillId="12" borderId="1" xfId="0" applyFont="1" applyFill="1" applyBorder="1" applyAlignment="1">
      <alignment horizontal="center" vertical="center" wrapText="1"/>
    </xf>
    <xf numFmtId="3" fontId="22" fillId="12" borderId="5" xfId="0" applyNumberFormat="1" applyFont="1" applyFill="1" applyBorder="1" applyAlignment="1">
      <alignment horizontal="right" vertical="center"/>
    </xf>
    <xf numFmtId="3" fontId="10" fillId="9" borderId="1" xfId="0" applyNumberFormat="1" applyFont="1" applyFill="1" applyBorder="1" applyAlignment="1">
      <alignment horizontal="center" vertical="center"/>
    </xf>
    <xf numFmtId="3" fontId="25" fillId="12" borderId="1" xfId="0" applyNumberFormat="1" applyFont="1" applyFill="1" applyBorder="1" applyAlignment="1">
      <alignment horizontal="right" vertical="center"/>
    </xf>
    <xf numFmtId="0" fontId="26" fillId="16" borderId="1" xfId="0" applyFont="1" applyFill="1" applyBorder="1" applyAlignment="1">
      <alignment horizontal="center" vertical="center"/>
    </xf>
    <xf numFmtId="4" fontId="12" fillId="9" borderId="1" xfId="0" applyNumberFormat="1" applyFont="1" applyFill="1" applyBorder="1" applyAlignment="1">
      <alignment horizontal="right" vertical="center"/>
    </xf>
    <xf numFmtId="164" fontId="12" fillId="9" borderId="1" xfId="0" applyNumberFormat="1" applyFont="1" applyFill="1" applyBorder="1" applyAlignment="1">
      <alignment horizontal="right" vertical="center"/>
    </xf>
    <xf numFmtId="3" fontId="12" fillId="9" borderId="1" xfId="0" applyNumberFormat="1" applyFont="1" applyFill="1" applyBorder="1" applyAlignment="1">
      <alignment horizontal="right" vertical="center"/>
    </xf>
    <xf numFmtId="3" fontId="27" fillId="12" borderId="1" xfId="0" applyNumberFormat="1" applyFont="1" applyFill="1" applyBorder="1" applyAlignment="1">
      <alignment horizontal="right" vertical="center"/>
    </xf>
    <xf numFmtId="4" fontId="12" fillId="13" borderId="1" xfId="0" applyNumberFormat="1" applyFont="1" applyFill="1" applyBorder="1" applyAlignment="1">
      <alignment horizontal="right" vertical="center"/>
    </xf>
    <xf numFmtId="164" fontId="12" fillId="13" borderId="1" xfId="0" applyNumberFormat="1" applyFont="1" applyFill="1" applyBorder="1" applyAlignment="1">
      <alignment horizontal="right" vertical="center"/>
    </xf>
    <xf numFmtId="3" fontId="12" fillId="13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3" fontId="28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top"/>
    </xf>
    <xf numFmtId="0" fontId="8" fillId="11" borderId="1" xfId="0" applyFont="1" applyFill="1" applyBorder="1" applyAlignment="1">
      <alignment horizontal="left" vertical="top" wrapText="1"/>
    </xf>
    <xf numFmtId="0" fontId="29" fillId="19" borderId="1" xfId="0" applyFont="1" applyFill="1" applyBorder="1" applyAlignment="1">
      <alignment horizontal="left" vertical="top" wrapText="1"/>
    </xf>
    <xf numFmtId="0" fontId="0" fillId="10" borderId="1" xfId="0" applyFill="1" applyBorder="1" applyAlignment="1">
      <alignment horizontal="center" vertical="top"/>
    </xf>
    <xf numFmtId="0" fontId="5" fillId="13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center" vertical="top"/>
    </xf>
    <xf numFmtId="0" fontId="8" fillId="20" borderId="1" xfId="0" applyFont="1" applyFill="1" applyBorder="1" applyAlignment="1">
      <alignment horizontal="left" vertical="top" wrapText="1"/>
    </xf>
    <xf numFmtId="0" fontId="0" fillId="20" borderId="1" xfId="0" applyFill="1" applyBorder="1"/>
    <xf numFmtId="0" fontId="0" fillId="17" borderId="1" xfId="0" applyFill="1" applyBorder="1"/>
    <xf numFmtId="0" fontId="5" fillId="9" borderId="1" xfId="0" applyFont="1" applyFill="1" applyBorder="1" applyAlignment="1">
      <alignment horizontal="left" vertical="top" wrapText="1"/>
    </xf>
    <xf numFmtId="0" fontId="1" fillId="8" borderId="2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29" fillId="21" borderId="1" xfId="0" applyFont="1" applyFill="1" applyBorder="1" applyAlignment="1">
      <alignment horizontal="left" vertical="top" wrapText="1"/>
    </xf>
    <xf numFmtId="0" fontId="33" fillId="9" borderId="1" xfId="0" applyFont="1" applyFill="1" applyBorder="1" applyAlignment="1">
      <alignment horizontal="left" vertical="top" wrapText="1"/>
    </xf>
    <xf numFmtId="0" fontId="33" fillId="13" borderId="1" xfId="0" applyFont="1" applyFill="1" applyBorder="1" applyAlignment="1">
      <alignment horizontal="left" vertical="top" wrapText="1"/>
    </xf>
    <xf numFmtId="0" fontId="33" fillId="11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center" vertical="top"/>
    </xf>
    <xf numFmtId="0" fontId="5" fillId="12" borderId="1" xfId="0" applyFont="1" applyFill="1" applyBorder="1" applyAlignment="1">
      <alignment horizontal="left" vertical="top" wrapText="1"/>
    </xf>
    <xf numFmtId="0" fontId="29" fillId="22" borderId="1" xfId="0" applyFont="1" applyFill="1" applyBorder="1" applyAlignment="1">
      <alignment horizontal="left" vertical="top" wrapText="1"/>
    </xf>
    <xf numFmtId="0" fontId="33" fillId="12" borderId="1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center" vertical="top"/>
    </xf>
    <xf numFmtId="0" fontId="5" fillId="15" borderId="1" xfId="0" applyFont="1" applyFill="1" applyBorder="1" applyAlignment="1">
      <alignment horizontal="left" vertical="top" wrapText="1"/>
    </xf>
    <xf numFmtId="0" fontId="29" fillId="23" borderId="1" xfId="0" applyFont="1" applyFill="1" applyBorder="1" applyAlignment="1">
      <alignment horizontal="left" vertical="top" wrapText="1"/>
    </xf>
    <xf numFmtId="0" fontId="33" fillId="15" borderId="1" xfId="0" applyFont="1" applyFill="1" applyBorder="1" applyAlignment="1">
      <alignment horizontal="left" vertical="top" wrapText="1"/>
    </xf>
    <xf numFmtId="0" fontId="1" fillId="24" borderId="2" xfId="0" applyFont="1" applyFill="1" applyBorder="1" applyAlignment="1">
      <alignment horizontal="center" vertical="center"/>
    </xf>
    <xf numFmtId="0" fontId="35" fillId="17" borderId="1" xfId="0" applyFont="1" applyFill="1" applyBorder="1" applyAlignment="1">
      <alignment horizontal="center" vertical="top"/>
    </xf>
    <xf numFmtId="0" fontId="8" fillId="17" borderId="1" xfId="0" applyFont="1" applyFill="1" applyBorder="1" applyAlignment="1">
      <alignment horizontal="left" vertical="top" wrapText="1"/>
    </xf>
    <xf numFmtId="0" fontId="29" fillId="20" borderId="1" xfId="0" applyFont="1" applyFill="1" applyBorder="1" applyAlignment="1">
      <alignment horizontal="left" vertical="top" wrapText="1"/>
    </xf>
    <xf numFmtId="0" fontId="36" fillId="17" borderId="1" xfId="0" applyFont="1" applyFill="1" applyBorder="1" applyAlignment="1">
      <alignment horizontal="center" vertical="top"/>
    </xf>
    <xf numFmtId="0" fontId="35" fillId="15" borderId="1" xfId="0" applyFont="1" applyFill="1" applyBorder="1" applyAlignment="1">
      <alignment horizontal="center" vertical="top"/>
    </xf>
    <xf numFmtId="0" fontId="35" fillId="15" borderId="1" xfId="0" applyFont="1" applyFill="1" applyBorder="1" applyAlignment="1">
      <alignment horizontal="left" vertical="top" wrapText="1"/>
    </xf>
    <xf numFmtId="0" fontId="36" fillId="15" borderId="1" xfId="0" applyFont="1" applyFill="1" applyBorder="1" applyAlignment="1">
      <alignment horizontal="center" vertical="top"/>
    </xf>
    <xf numFmtId="0" fontId="35" fillId="20" borderId="1" xfId="0" applyFont="1" applyFill="1" applyBorder="1" applyAlignment="1">
      <alignment horizontal="center" vertical="top"/>
    </xf>
    <xf numFmtId="0" fontId="29" fillId="25" borderId="1" xfId="0" applyFont="1" applyFill="1" applyBorder="1" applyAlignment="1">
      <alignment horizontal="left" vertical="top" wrapText="1"/>
    </xf>
    <xf numFmtId="0" fontId="36" fillId="20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18" fillId="16" borderId="1" xfId="0" applyFont="1" applyFill="1" applyBorder="1" applyAlignment="1">
      <alignment horizontal="center" vertical="center" wrapText="1"/>
    </xf>
    <xf numFmtId="0" fontId="0" fillId="16" borderId="1" xfId="0" applyFill="1" applyBorder="1"/>
    <xf numFmtId="0" fontId="13" fillId="13" borderId="1" xfId="0" applyFont="1" applyFill="1" applyBorder="1" applyAlignment="1">
      <alignment horizontal="left" vertical="center" wrapText="1"/>
    </xf>
    <xf numFmtId="0" fontId="0" fillId="13" borderId="1" xfId="0" applyFill="1" applyBorder="1"/>
    <xf numFmtId="0" fontId="19" fillId="15" borderId="1" xfId="0" applyFont="1" applyFill="1" applyBorder="1" applyAlignment="1">
      <alignment horizontal="center" vertical="center" wrapText="1"/>
    </xf>
    <xf numFmtId="0" fontId="0" fillId="15" borderId="1" xfId="0" applyFill="1" applyBorder="1"/>
    <xf numFmtId="0" fontId="5" fillId="13" borderId="1" xfId="0" applyFont="1" applyFill="1" applyBorder="1" applyAlignment="1">
      <alignment horizontal="left" vertical="center" wrapText="1"/>
    </xf>
    <xf numFmtId="0" fontId="0" fillId="10" borderId="1" xfId="0" applyFill="1" applyBorder="1"/>
    <xf numFmtId="0" fontId="11" fillId="13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0" fontId="8" fillId="11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0" fontId="5" fillId="9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12" fillId="9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15" fillId="12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23" fillId="12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2" fillId="4" borderId="2" xfId="0" applyFont="1" applyFill="1" applyBorder="1" applyAlignment="1">
      <alignment horizontal="left" vertical="center" wrapText="1"/>
    </xf>
    <xf numFmtId="0" fontId="0" fillId="4" borderId="2" xfId="0" applyFill="1" applyBorder="1"/>
    <xf numFmtId="0" fontId="3" fillId="5" borderId="2" xfId="0" applyFont="1" applyFill="1" applyBorder="1" applyAlignment="1">
      <alignment horizontal="left" vertical="center"/>
    </xf>
    <xf numFmtId="0" fontId="0" fillId="5" borderId="2" xfId="0" applyFill="1" applyBorder="1"/>
    <xf numFmtId="0" fontId="10" fillId="12" borderId="1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0" fillId="7" borderId="2" xfId="0" applyFill="1" applyBorder="1"/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13" fillId="15" borderId="2" xfId="0" applyFont="1" applyFill="1" applyBorder="1" applyAlignment="1">
      <alignment horizontal="left" vertical="center" wrapText="1"/>
    </xf>
    <xf numFmtId="0" fontId="0" fillId="15" borderId="2" xfId="0" applyFill="1" applyBorder="1"/>
    <xf numFmtId="0" fontId="7" fillId="13" borderId="1" xfId="0" applyFont="1" applyFill="1" applyBorder="1" applyAlignment="1">
      <alignment horizontal="left" vertical="center" wrapText="1"/>
    </xf>
    <xf numFmtId="0" fontId="8" fillId="11" borderId="2" xfId="0" applyFont="1" applyFill="1" applyBorder="1" applyAlignment="1">
      <alignment horizontal="left" vertical="center" wrapText="1"/>
    </xf>
    <xf numFmtId="0" fontId="0" fillId="11" borderId="2" xfId="0" applyFill="1" applyBorder="1"/>
    <xf numFmtId="0" fontId="7" fillId="12" borderId="1" xfId="0" applyFont="1" applyFill="1" applyBorder="1" applyAlignment="1">
      <alignment horizontal="left" vertical="center" wrapText="1"/>
    </xf>
    <xf numFmtId="0" fontId="7" fillId="16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top" wrapText="1"/>
    </xf>
    <xf numFmtId="0" fontId="29" fillId="9" borderId="1" xfId="0" applyFont="1" applyFill="1" applyBorder="1" applyAlignment="1">
      <alignment horizontal="left" vertical="top" wrapText="1"/>
    </xf>
    <xf numFmtId="0" fontId="4" fillId="18" borderId="2" xfId="0" applyFont="1" applyFill="1" applyBorder="1" applyAlignment="1">
      <alignment horizontal="left" vertical="center"/>
    </xf>
    <xf numFmtId="0" fontId="0" fillId="18" borderId="2" xfId="0" applyFill="1" applyBorder="1"/>
    <xf numFmtId="0" fontId="29" fillId="13" borderId="1" xfId="0" applyFont="1" applyFill="1" applyBorder="1" applyAlignment="1">
      <alignment horizontal="left" vertical="top" wrapText="1"/>
    </xf>
    <xf numFmtId="0" fontId="5" fillId="13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top" wrapText="1"/>
    </xf>
    <xf numFmtId="0" fontId="5" fillId="16" borderId="1" xfId="0" applyFont="1" applyFill="1" applyBorder="1" applyAlignment="1">
      <alignment horizontal="left" vertical="center"/>
    </xf>
    <xf numFmtId="0" fontId="24" fillId="2" borderId="2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top" wrapText="1"/>
    </xf>
    <xf numFmtId="0" fontId="29" fillId="19" borderId="1" xfId="0" applyFont="1" applyFill="1" applyBorder="1" applyAlignment="1">
      <alignment horizontal="left" vertical="top" wrapText="1"/>
    </xf>
    <xf numFmtId="0" fontId="0" fillId="19" borderId="1" xfId="0" applyFill="1" applyBorder="1"/>
    <xf numFmtId="0" fontId="8" fillId="20" borderId="1" xfId="0" applyFont="1" applyFill="1" applyBorder="1" applyAlignment="1">
      <alignment horizontal="left" vertical="top" wrapText="1"/>
    </xf>
    <xf numFmtId="0" fontId="0" fillId="20" borderId="1" xfId="0" applyFill="1" applyBorder="1"/>
    <xf numFmtId="0" fontId="29" fillId="17" borderId="1" xfId="0" applyFont="1" applyFill="1" applyBorder="1" applyAlignment="1">
      <alignment horizontal="left" vertical="top" wrapText="1"/>
    </xf>
    <xf numFmtId="0" fontId="0" fillId="17" borderId="1" xfId="0" applyFill="1" applyBorder="1"/>
    <xf numFmtId="0" fontId="30" fillId="2" borderId="2" xfId="0" applyFont="1" applyFill="1" applyBorder="1" applyAlignment="1">
      <alignment horizontal="left" vertical="center"/>
    </xf>
    <xf numFmtId="0" fontId="32" fillId="9" borderId="1" xfId="0" applyFont="1" applyFill="1" applyBorder="1" applyAlignment="1">
      <alignment horizontal="left" vertical="center" wrapText="1"/>
    </xf>
    <xf numFmtId="0" fontId="31" fillId="3" borderId="1" xfId="0" applyFont="1" applyFill="1" applyBorder="1" applyAlignment="1">
      <alignment horizontal="left" vertical="center" wrapText="1"/>
    </xf>
    <xf numFmtId="0" fontId="29" fillId="16" borderId="2" xfId="0" applyFont="1" applyFill="1" applyBorder="1" applyAlignment="1">
      <alignment horizontal="left" vertical="center" wrapText="1"/>
    </xf>
    <xf numFmtId="0" fontId="0" fillId="16" borderId="2" xfId="0" applyFill="1" applyBorder="1"/>
    <xf numFmtId="0" fontId="4" fillId="8" borderId="2" xfId="0" applyFont="1" applyFill="1" applyBorder="1" applyAlignment="1">
      <alignment horizontal="left" vertical="center"/>
    </xf>
    <xf numFmtId="0" fontId="0" fillId="8" borderId="2" xfId="0" applyFill="1" applyBorder="1"/>
    <xf numFmtId="0" fontId="34" fillId="4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0" fillId="3" borderId="2" xfId="0" applyFill="1" applyBorder="1"/>
    <xf numFmtId="0" fontId="28" fillId="2" borderId="2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0" fillId="3" borderId="6" xfId="0" applyFill="1" applyBorder="1"/>
    <xf numFmtId="0" fontId="4" fillId="2" borderId="6" xfId="0" applyFont="1" applyFill="1" applyBorder="1" applyAlignment="1">
      <alignment horizontal="left" vertical="center"/>
    </xf>
    <xf numFmtId="0" fontId="0" fillId="2" borderId="6" xfId="0" applyFill="1" applyBorder="1"/>
    <xf numFmtId="0" fontId="4" fillId="24" borderId="6" xfId="0" applyFont="1" applyFill="1" applyBorder="1" applyAlignment="1">
      <alignment horizontal="left" vertical="center"/>
    </xf>
    <xf numFmtId="0" fontId="0" fillId="24" borderId="6" xfId="0" applyFill="1" applyBorder="1"/>
    <xf numFmtId="0" fontId="4" fillId="8" borderId="6" xfId="0" applyFont="1" applyFill="1" applyBorder="1" applyAlignment="1">
      <alignment horizontal="left" vertical="center"/>
    </xf>
    <xf numFmtId="0" fontId="0" fillId="8" borderId="6" xfId="0" applyFill="1" applyBorder="1"/>
    <xf numFmtId="0" fontId="4" fillId="18" borderId="6" xfId="0" applyFont="1" applyFill="1" applyBorder="1" applyAlignment="1">
      <alignment horizontal="left" vertical="center"/>
    </xf>
    <xf numFmtId="0" fontId="0" fillId="18" borderId="6" xfId="0" applyFill="1" applyBorder="1"/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EA5770E-A439-450D-AB6C-0185555799F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4502ef0-9e81-43d2-9cbc-fcd35a410d8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topLeftCell="A44" workbookViewId="0">
      <selection sqref="A1:G1"/>
    </sheetView>
  </sheetViews>
  <sheetFormatPr defaultRowHeight="14.4" x14ac:dyDescent="0.55000000000000004"/>
  <cols>
    <col min="1" max="1" width="3" customWidth="1"/>
    <col min="2" max="2" width="30" customWidth="1"/>
    <col min="3" max="4" width="18" customWidth="1"/>
    <col min="5" max="5" width="16" customWidth="1"/>
    <col min="6" max="6" width="14" customWidth="1"/>
    <col min="7" max="7" width="22" customWidth="1"/>
  </cols>
  <sheetData>
    <row r="1" spans="1:7" ht="52" customHeight="1" x14ac:dyDescent="0.55000000000000004">
      <c r="A1" s="105" t="s">
        <v>0</v>
      </c>
      <c r="B1" s="106"/>
      <c r="C1" s="106"/>
      <c r="D1" s="106"/>
      <c r="E1" s="106"/>
      <c r="F1" s="106"/>
      <c r="G1" s="106"/>
    </row>
    <row r="2" spans="1:7" ht="22" customHeight="1" x14ac:dyDescent="0.55000000000000004">
      <c r="A2" s="114" t="s">
        <v>1</v>
      </c>
      <c r="B2" s="115"/>
      <c r="C2" s="115"/>
      <c r="D2" s="115"/>
      <c r="E2" s="115"/>
      <c r="F2" s="115"/>
      <c r="G2" s="115"/>
    </row>
    <row r="3" spans="1:7" ht="44.05" customHeight="1" x14ac:dyDescent="0.55000000000000004">
      <c r="A3" s="107" t="s">
        <v>2</v>
      </c>
      <c r="B3" s="108"/>
      <c r="C3" s="108"/>
      <c r="D3" s="108"/>
      <c r="E3" s="108"/>
      <c r="F3" s="108"/>
      <c r="G3" s="108"/>
    </row>
    <row r="4" spans="1:7" ht="22" customHeight="1" x14ac:dyDescent="0.55000000000000004">
      <c r="A4" s="109" t="s">
        <v>3</v>
      </c>
      <c r="B4" s="110"/>
      <c r="C4" s="110"/>
      <c r="D4" s="110"/>
      <c r="E4" s="110"/>
      <c r="F4" s="110"/>
      <c r="G4" s="110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112" t="s">
        <v>4</v>
      </c>
      <c r="B6" s="113"/>
      <c r="C6" s="113"/>
      <c r="D6" s="113"/>
      <c r="E6" s="113"/>
      <c r="F6" s="113"/>
      <c r="G6" s="113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93" t="s">
        <v>8</v>
      </c>
      <c r="B8" s="90"/>
      <c r="C8" s="90"/>
      <c r="D8" s="90"/>
      <c r="E8" s="4" t="s">
        <v>9</v>
      </c>
      <c r="F8" s="101" t="s">
        <v>10</v>
      </c>
      <c r="G8" s="90"/>
    </row>
    <row r="9" spans="1:7" ht="28" customHeight="1" x14ac:dyDescent="0.55000000000000004">
      <c r="A9" s="91" t="s">
        <v>11</v>
      </c>
      <c r="B9" s="92"/>
      <c r="C9" s="92"/>
      <c r="D9" s="92"/>
      <c r="E9" s="4" t="s">
        <v>9</v>
      </c>
      <c r="F9" s="99" t="s">
        <v>12</v>
      </c>
      <c r="G9" s="92"/>
    </row>
    <row r="10" spans="1:7" ht="28" customHeight="1" x14ac:dyDescent="0.55000000000000004">
      <c r="A10" s="93" t="s">
        <v>13</v>
      </c>
      <c r="B10" s="90"/>
      <c r="C10" s="90"/>
      <c r="D10" s="90"/>
      <c r="E10" s="4" t="s">
        <v>9</v>
      </c>
      <c r="F10" s="101" t="s">
        <v>14</v>
      </c>
      <c r="G10" s="90"/>
    </row>
    <row r="11" spans="1:7" ht="28" customHeight="1" x14ac:dyDescent="0.55000000000000004">
      <c r="A11" s="91" t="s">
        <v>15</v>
      </c>
      <c r="B11" s="92"/>
      <c r="C11" s="92"/>
      <c r="D11" s="92"/>
      <c r="E11" s="4" t="s">
        <v>9</v>
      </c>
      <c r="F11" s="99" t="s">
        <v>16</v>
      </c>
      <c r="G11" s="92"/>
    </row>
    <row r="12" spans="1:7" ht="28" customHeight="1" x14ac:dyDescent="0.55000000000000004">
      <c r="A12" s="93" t="s">
        <v>17</v>
      </c>
      <c r="B12" s="90"/>
      <c r="C12" s="90"/>
      <c r="D12" s="90"/>
      <c r="E12" s="4" t="s">
        <v>9</v>
      </c>
      <c r="F12" s="101" t="s">
        <v>18</v>
      </c>
      <c r="G12" s="90"/>
    </row>
    <row r="13" spans="1:7" ht="28" customHeight="1" x14ac:dyDescent="0.55000000000000004">
      <c r="A13" s="91" t="s">
        <v>19</v>
      </c>
      <c r="B13" s="92"/>
      <c r="C13" s="92"/>
      <c r="D13" s="92"/>
      <c r="E13" s="4" t="s">
        <v>9</v>
      </c>
      <c r="F13" s="99" t="s">
        <v>20</v>
      </c>
      <c r="G13" s="92"/>
    </row>
    <row r="14" spans="1:7" ht="28" customHeight="1" x14ac:dyDescent="0.55000000000000004">
      <c r="A14" s="93" t="s">
        <v>21</v>
      </c>
      <c r="B14" s="90"/>
      <c r="C14" s="90"/>
      <c r="D14" s="90"/>
      <c r="E14" s="4" t="s">
        <v>9</v>
      </c>
      <c r="F14" s="101" t="s">
        <v>22</v>
      </c>
      <c r="G14" s="90"/>
    </row>
    <row r="15" spans="1:7" ht="24" customHeight="1" x14ac:dyDescent="0.55000000000000004">
      <c r="A15" s="97" t="s">
        <v>23</v>
      </c>
      <c r="B15" s="95"/>
      <c r="C15" s="95"/>
      <c r="D15" s="95"/>
      <c r="E15" s="6" t="str">
        <f>IF(AND(E8="EVET",E9="EVET",E10="EVET",E11="EVET",E13="EVET"),"OK - Hesaplanabilir","HATA - Ön koşul eksik")</f>
        <v>OK - Hesaplanabilir</v>
      </c>
      <c r="F15" s="94" t="s">
        <v>24</v>
      </c>
      <c r="G15" s="95"/>
    </row>
    <row r="16" spans="1:7" ht="5.05" customHeight="1" x14ac:dyDescent="0.55000000000000004">
      <c r="A16" s="1"/>
      <c r="B16" s="1"/>
      <c r="C16" s="1"/>
      <c r="D16" s="1"/>
      <c r="E16" s="1"/>
      <c r="F16" s="1"/>
      <c r="G16" s="1"/>
    </row>
    <row r="17" spans="1:7" ht="22" customHeight="1" x14ac:dyDescent="0.55000000000000004">
      <c r="A17" s="78" t="s">
        <v>25</v>
      </c>
      <c r="B17" s="79"/>
      <c r="C17" s="79"/>
      <c r="D17" s="79"/>
      <c r="E17" s="79"/>
      <c r="F17" s="79"/>
      <c r="G17" s="79"/>
    </row>
    <row r="18" spans="1:7" ht="22" customHeight="1" x14ac:dyDescent="0.55000000000000004">
      <c r="A18" s="93" t="s">
        <v>26</v>
      </c>
      <c r="B18" s="90"/>
      <c r="C18" s="87"/>
      <c r="D18" s="87"/>
      <c r="E18" s="87"/>
      <c r="F18" s="7" t="s">
        <v>27</v>
      </c>
      <c r="G18" s="3"/>
    </row>
    <row r="19" spans="1:7" ht="22" customHeight="1" x14ac:dyDescent="0.55000000000000004">
      <c r="A19" s="86" t="s">
        <v>28</v>
      </c>
      <c r="B19" s="83"/>
      <c r="C19" s="87"/>
      <c r="D19" s="87"/>
      <c r="E19" s="87"/>
      <c r="F19" s="9" t="s">
        <v>29</v>
      </c>
      <c r="G19" s="8"/>
    </row>
    <row r="20" spans="1:7" ht="22" customHeight="1" x14ac:dyDescent="0.55000000000000004">
      <c r="A20" s="93" t="s">
        <v>30</v>
      </c>
      <c r="B20" s="90"/>
      <c r="C20" s="87"/>
      <c r="D20" s="87"/>
      <c r="E20" s="87"/>
      <c r="F20" s="7" t="s">
        <v>31</v>
      </c>
      <c r="G20" s="3"/>
    </row>
    <row r="21" spans="1:7" ht="22" customHeight="1" x14ac:dyDescent="0.55000000000000004">
      <c r="A21" s="86" t="s">
        <v>32</v>
      </c>
      <c r="B21" s="83"/>
      <c r="C21" s="87"/>
      <c r="D21" s="87"/>
      <c r="E21" s="87"/>
      <c r="F21" s="9" t="s">
        <v>33</v>
      </c>
      <c r="G21" s="8"/>
    </row>
    <row r="22" spans="1:7" ht="22" customHeight="1" x14ac:dyDescent="0.55000000000000004">
      <c r="A22" s="93" t="s">
        <v>34</v>
      </c>
      <c r="B22" s="90"/>
      <c r="C22" s="87"/>
      <c r="D22" s="87"/>
      <c r="E22" s="87"/>
      <c r="F22" s="7" t="s">
        <v>35</v>
      </c>
      <c r="G22" s="3"/>
    </row>
    <row r="23" spans="1:7" ht="22" customHeight="1" x14ac:dyDescent="0.55000000000000004">
      <c r="A23" s="86" t="s">
        <v>36</v>
      </c>
      <c r="B23" s="83"/>
      <c r="C23" s="87"/>
      <c r="D23" s="87"/>
      <c r="E23" s="87"/>
      <c r="F23" s="9" t="s">
        <v>37</v>
      </c>
      <c r="G23" s="8"/>
    </row>
    <row r="24" spans="1:7" ht="5.05" customHeight="1" x14ac:dyDescent="0.55000000000000004">
      <c r="A24" s="1"/>
      <c r="B24" s="1"/>
      <c r="C24" s="1"/>
      <c r="D24" s="1"/>
      <c r="E24" s="1"/>
      <c r="F24" s="1"/>
      <c r="G24" s="1"/>
    </row>
    <row r="25" spans="1:7" ht="24" customHeight="1" x14ac:dyDescent="0.55000000000000004">
      <c r="A25" s="78" t="s">
        <v>38</v>
      </c>
      <c r="B25" s="79"/>
      <c r="C25" s="79"/>
      <c r="D25" s="79"/>
      <c r="E25" s="79"/>
      <c r="F25" s="79"/>
      <c r="G25" s="79"/>
    </row>
    <row r="26" spans="1:7" ht="28" customHeight="1" x14ac:dyDescent="0.55000000000000004">
      <c r="A26" s="96" t="s">
        <v>39</v>
      </c>
      <c r="B26" s="90"/>
      <c r="C26" s="90"/>
      <c r="D26" s="90"/>
      <c r="E26" s="90"/>
      <c r="F26" s="90"/>
      <c r="G26" s="90"/>
    </row>
    <row r="27" spans="1:7" ht="18" customHeight="1" x14ac:dyDescent="0.55000000000000004">
      <c r="A27" s="2"/>
      <c r="B27" s="2" t="s">
        <v>40</v>
      </c>
      <c r="C27" s="2"/>
      <c r="D27" s="2" t="s">
        <v>41</v>
      </c>
      <c r="E27" s="2"/>
      <c r="F27" s="2" t="s">
        <v>42</v>
      </c>
      <c r="G27" s="2" t="s">
        <v>43</v>
      </c>
    </row>
    <row r="28" spans="1:7" ht="26.05" customHeight="1" x14ac:dyDescent="0.55000000000000004">
      <c r="A28" s="93" t="s">
        <v>44</v>
      </c>
      <c r="B28" s="90"/>
      <c r="C28" s="4" t="s">
        <v>45</v>
      </c>
      <c r="D28" s="89" t="s">
        <v>46</v>
      </c>
      <c r="E28" s="90"/>
      <c r="F28" s="103" t="s">
        <v>47</v>
      </c>
      <c r="G28" s="90"/>
    </row>
    <row r="29" spans="1:7" ht="26.05" customHeight="1" x14ac:dyDescent="0.55000000000000004">
      <c r="A29" s="86" t="s">
        <v>48</v>
      </c>
      <c r="B29" s="83"/>
      <c r="C29" s="4" t="s">
        <v>49</v>
      </c>
      <c r="D29" s="88" t="s">
        <v>50</v>
      </c>
      <c r="E29" s="83"/>
      <c r="F29" s="82" t="s">
        <v>51</v>
      </c>
      <c r="G29" s="83"/>
    </row>
    <row r="30" spans="1:7" ht="26.05" customHeight="1" x14ac:dyDescent="0.55000000000000004">
      <c r="A30" s="93" t="s">
        <v>52</v>
      </c>
      <c r="B30" s="90"/>
      <c r="C30" s="10"/>
      <c r="D30" s="89" t="s">
        <v>53</v>
      </c>
      <c r="E30" s="90"/>
      <c r="F30" s="103" t="s">
        <v>54</v>
      </c>
      <c r="G30" s="90"/>
    </row>
    <row r="31" spans="1:7" ht="26.05" customHeight="1" x14ac:dyDescent="0.55000000000000004">
      <c r="A31" s="86" t="s">
        <v>55</v>
      </c>
      <c r="B31" s="83"/>
      <c r="C31" s="10"/>
      <c r="D31" s="88" t="s">
        <v>56</v>
      </c>
      <c r="E31" s="83"/>
      <c r="F31" s="82" t="s">
        <v>57</v>
      </c>
      <c r="G31" s="83"/>
    </row>
    <row r="32" spans="1:7" ht="26.05" customHeight="1" x14ac:dyDescent="0.55000000000000004">
      <c r="A32" s="93" t="s">
        <v>58</v>
      </c>
      <c r="B32" s="90"/>
      <c r="C32" s="10"/>
      <c r="D32" s="89" t="s">
        <v>59</v>
      </c>
      <c r="E32" s="90"/>
      <c r="F32" s="103" t="s">
        <v>60</v>
      </c>
      <c r="G32" s="90"/>
    </row>
    <row r="33" spans="1:7" ht="26.05" customHeight="1" x14ac:dyDescent="0.55000000000000004">
      <c r="A33" s="98" t="s">
        <v>61</v>
      </c>
      <c r="B33" s="83"/>
      <c r="C33" s="10"/>
      <c r="D33" s="88" t="s">
        <v>62</v>
      </c>
      <c r="E33" s="83"/>
      <c r="F33" s="82" t="s">
        <v>63</v>
      </c>
      <c r="G33" s="83"/>
    </row>
    <row r="34" spans="1:7" ht="26.05" customHeight="1" x14ac:dyDescent="0.55000000000000004">
      <c r="A34" s="93" t="s">
        <v>64</v>
      </c>
      <c r="B34" s="90"/>
      <c r="C34" s="10"/>
      <c r="D34" s="89" t="s">
        <v>65</v>
      </c>
      <c r="E34" s="90"/>
      <c r="F34" s="103" t="s">
        <v>57</v>
      </c>
      <c r="G34" s="90"/>
    </row>
    <row r="35" spans="1:7" ht="26.05" customHeight="1" x14ac:dyDescent="0.55000000000000004">
      <c r="A35" s="86" t="s">
        <v>66</v>
      </c>
      <c r="B35" s="83"/>
      <c r="C35" s="10"/>
      <c r="D35" s="88" t="s">
        <v>67</v>
      </c>
      <c r="E35" s="83"/>
      <c r="F35" s="82" t="s">
        <v>60</v>
      </c>
      <c r="G35" s="83"/>
    </row>
    <row r="36" spans="1:7" ht="26.05" customHeight="1" x14ac:dyDescent="0.55000000000000004">
      <c r="A36" s="93" t="s">
        <v>68</v>
      </c>
      <c r="B36" s="90"/>
      <c r="C36" s="4" t="s">
        <v>9</v>
      </c>
      <c r="D36" s="89" t="s">
        <v>69</v>
      </c>
      <c r="E36" s="90"/>
      <c r="F36" s="103" t="s">
        <v>70</v>
      </c>
      <c r="G36" s="90"/>
    </row>
    <row r="37" spans="1:7" ht="5.05" customHeight="1" x14ac:dyDescent="0.55000000000000004">
      <c r="A37" s="1"/>
      <c r="B37" s="1"/>
      <c r="C37" s="1"/>
      <c r="D37" s="1"/>
      <c r="E37" s="1"/>
      <c r="F37" s="1"/>
      <c r="G37" s="1"/>
    </row>
    <row r="38" spans="1:7" ht="24" customHeight="1" x14ac:dyDescent="0.55000000000000004">
      <c r="A38" s="78" t="s">
        <v>71</v>
      </c>
      <c r="B38" s="79"/>
      <c r="C38" s="79"/>
      <c r="D38" s="79"/>
      <c r="E38" s="79"/>
      <c r="F38" s="79"/>
      <c r="G38" s="79"/>
    </row>
    <row r="39" spans="1:7" ht="30" customHeight="1" x14ac:dyDescent="0.55000000000000004">
      <c r="A39" s="96" t="s">
        <v>72</v>
      </c>
      <c r="B39" s="90"/>
      <c r="C39" s="90"/>
      <c r="D39" s="90"/>
      <c r="E39" s="90"/>
      <c r="F39" s="90"/>
      <c r="G39" s="90"/>
    </row>
    <row r="40" spans="1:7" ht="18" customHeight="1" x14ac:dyDescent="0.55000000000000004">
      <c r="A40" s="11" t="s">
        <v>73</v>
      </c>
      <c r="B40" s="11" t="s">
        <v>74</v>
      </c>
      <c r="C40" s="11" t="s">
        <v>75</v>
      </c>
      <c r="D40" s="11" t="s">
        <v>76</v>
      </c>
      <c r="E40" s="11" t="s">
        <v>77</v>
      </c>
      <c r="F40" s="11" t="s">
        <v>78</v>
      </c>
      <c r="G40" s="11" t="s">
        <v>79</v>
      </c>
    </row>
    <row r="41" spans="1:7" ht="26.05" customHeight="1" x14ac:dyDescent="0.55000000000000004">
      <c r="A41" s="12" t="s">
        <v>49</v>
      </c>
      <c r="B41" s="13"/>
      <c r="C41" s="14"/>
      <c r="D41" s="15">
        <f>IF(B41&gt;0,B41*C41,0)</f>
        <v>0</v>
      </c>
      <c r="E41" s="14"/>
      <c r="F41" s="16">
        <f>IF(B41&gt;0,B41*E41,0)</f>
        <v>0</v>
      </c>
      <c r="G41" s="17">
        <f>MAX(D41-F41,0)</f>
        <v>0</v>
      </c>
    </row>
    <row r="42" spans="1:7" ht="26.05" customHeight="1" x14ac:dyDescent="0.55000000000000004">
      <c r="A42" s="18" t="s">
        <v>80</v>
      </c>
      <c r="B42" s="13"/>
      <c r="C42" s="14"/>
      <c r="D42" s="15">
        <f>IF(B42&gt;0,B42*C42,0)</f>
        <v>0</v>
      </c>
      <c r="E42" s="14"/>
      <c r="F42" s="16">
        <f>IF(B42&gt;0,B42*E42,0)</f>
        <v>0</v>
      </c>
      <c r="G42" s="17">
        <f>MAX(D42-F42,0)</f>
        <v>0</v>
      </c>
    </row>
    <row r="43" spans="1:7" ht="26.05" customHeight="1" x14ac:dyDescent="0.55000000000000004">
      <c r="A43" s="12" t="s">
        <v>81</v>
      </c>
      <c r="B43" s="13"/>
      <c r="C43" s="14"/>
      <c r="D43" s="15">
        <f>IF(B43&gt;0,B43*C43,0)</f>
        <v>0</v>
      </c>
      <c r="E43" s="14"/>
      <c r="F43" s="16">
        <f>IF(B43&gt;0,B43*E43,0)</f>
        <v>0</v>
      </c>
      <c r="G43" s="17">
        <f>MAX(D43-F43,0)</f>
        <v>0</v>
      </c>
    </row>
    <row r="44" spans="1:7" ht="26.05" customHeight="1" x14ac:dyDescent="0.55000000000000004">
      <c r="A44" s="18" t="s">
        <v>82</v>
      </c>
      <c r="B44" s="13"/>
      <c r="C44" s="14"/>
      <c r="D44" s="15">
        <f>IF(B44&gt;0,B44*C44,0)</f>
        <v>0</v>
      </c>
      <c r="E44" s="14"/>
      <c r="F44" s="16">
        <f>IF(B44&gt;0,B44*E44,0)</f>
        <v>0</v>
      </c>
      <c r="G44" s="17">
        <f>MAX(D44-F44,0)</f>
        <v>0</v>
      </c>
    </row>
    <row r="45" spans="1:7" ht="26.05" customHeight="1" x14ac:dyDescent="0.55000000000000004">
      <c r="A45" s="12" t="s">
        <v>83</v>
      </c>
      <c r="B45" s="13"/>
      <c r="C45" s="14"/>
      <c r="D45" s="15">
        <f>IF(B45&gt;0,B45*C45,0)</f>
        <v>0</v>
      </c>
      <c r="E45" s="14"/>
      <c r="F45" s="16">
        <f>IF(B45&gt;0,B45*E45,0)</f>
        <v>0</v>
      </c>
      <c r="G45" s="17">
        <f>MAX(D45-F45,0)</f>
        <v>0</v>
      </c>
    </row>
    <row r="46" spans="1:7" ht="30" customHeight="1" x14ac:dyDescent="0.55000000000000004">
      <c r="A46" s="19" t="s">
        <v>84</v>
      </c>
      <c r="B46" s="105" t="s">
        <v>85</v>
      </c>
      <c r="C46" s="106"/>
      <c r="D46" s="106"/>
      <c r="E46" s="106"/>
      <c r="F46" s="20">
        <f>SUM(F41:F45)</f>
        <v>0</v>
      </c>
      <c r="G46" s="21">
        <f>SUM(G41:G45)</f>
        <v>0</v>
      </c>
    </row>
    <row r="47" spans="1:7" ht="36" customHeight="1" x14ac:dyDescent="0.55000000000000004">
      <c r="A47" s="116" t="s">
        <v>86</v>
      </c>
      <c r="B47" s="117"/>
      <c r="C47" s="117"/>
      <c r="D47" s="117"/>
      <c r="E47" s="117"/>
      <c r="F47" s="117"/>
      <c r="G47" s="117"/>
    </row>
    <row r="48" spans="1:7" ht="5.05" customHeight="1" x14ac:dyDescent="0.55000000000000004">
      <c r="A48" s="1"/>
      <c r="B48" s="1"/>
      <c r="C48" s="1"/>
      <c r="D48" s="1"/>
      <c r="E48" s="1"/>
      <c r="F48" s="1"/>
      <c r="G48" s="1"/>
    </row>
    <row r="49" spans="1:7" ht="24" customHeight="1" x14ac:dyDescent="0.55000000000000004">
      <c r="A49" s="78" t="s">
        <v>87</v>
      </c>
      <c r="B49" s="79"/>
      <c r="C49" s="79"/>
      <c r="D49" s="79"/>
      <c r="E49" s="79"/>
      <c r="F49" s="79"/>
      <c r="G49" s="79"/>
    </row>
    <row r="50" spans="1:7" ht="18" customHeight="1" x14ac:dyDescent="0.55000000000000004">
      <c r="A50" s="2"/>
      <c r="B50" s="2" t="s">
        <v>88</v>
      </c>
      <c r="C50" s="2"/>
      <c r="D50" s="2" t="s">
        <v>89</v>
      </c>
      <c r="E50" s="2"/>
      <c r="F50" s="2" t="s">
        <v>42</v>
      </c>
      <c r="G50" s="2" t="s">
        <v>90</v>
      </c>
    </row>
    <row r="51" spans="1:7" ht="28" customHeight="1" x14ac:dyDescent="0.55000000000000004">
      <c r="A51" s="86" t="s">
        <v>91</v>
      </c>
      <c r="B51" s="83"/>
      <c r="C51" s="22">
        <f>G46</f>
        <v>0</v>
      </c>
      <c r="D51" s="88" t="s">
        <v>92</v>
      </c>
      <c r="E51" s="83"/>
      <c r="F51" s="118" t="s">
        <v>93</v>
      </c>
      <c r="G51" s="83"/>
    </row>
    <row r="52" spans="1:7" ht="28" customHeight="1" x14ac:dyDescent="0.55000000000000004">
      <c r="A52" s="93" t="s">
        <v>94</v>
      </c>
      <c r="B52" s="90"/>
      <c r="C52" s="23"/>
      <c r="D52" s="89" t="s">
        <v>95</v>
      </c>
      <c r="E52" s="90"/>
      <c r="F52" s="101" t="s">
        <v>96</v>
      </c>
      <c r="G52" s="90"/>
    </row>
    <row r="53" spans="1:7" ht="28" customHeight="1" x14ac:dyDescent="0.55000000000000004">
      <c r="A53" s="100" t="s">
        <v>97</v>
      </c>
      <c r="B53" s="95"/>
      <c r="C53" s="24">
        <f>C51-C52</f>
        <v>0</v>
      </c>
      <c r="D53" s="104" t="s">
        <v>98</v>
      </c>
      <c r="E53" s="95"/>
      <c r="F53" s="121" t="s">
        <v>99</v>
      </c>
      <c r="G53" s="95"/>
    </row>
    <row r="54" spans="1:7" ht="28" customHeight="1" x14ac:dyDescent="0.55000000000000004">
      <c r="A54" s="93" t="s">
        <v>100</v>
      </c>
      <c r="B54" s="90"/>
      <c r="C54" s="22">
        <f>C52</f>
        <v>0</v>
      </c>
      <c r="D54" s="89" t="s">
        <v>101</v>
      </c>
      <c r="E54" s="90"/>
      <c r="F54" s="101" t="s">
        <v>102</v>
      </c>
      <c r="G54" s="90"/>
    </row>
    <row r="55" spans="1:7" ht="5.05" customHeight="1" x14ac:dyDescent="0.55000000000000004">
      <c r="A55" s="1"/>
      <c r="B55" s="1"/>
      <c r="C55" s="1"/>
      <c r="D55" s="1"/>
      <c r="E55" s="1"/>
      <c r="F55" s="1"/>
      <c r="G55" s="1"/>
    </row>
    <row r="56" spans="1:7" ht="22" customHeight="1" x14ac:dyDescent="0.55000000000000004">
      <c r="A56" s="78" t="s">
        <v>103</v>
      </c>
      <c r="B56" s="79"/>
      <c r="C56" s="79"/>
      <c r="D56" s="79"/>
      <c r="E56" s="79"/>
      <c r="F56" s="79"/>
      <c r="G56" s="79"/>
    </row>
    <row r="57" spans="1:7" ht="18" customHeight="1" x14ac:dyDescent="0.55000000000000004">
      <c r="A57" s="2"/>
      <c r="B57" s="2" t="s">
        <v>104</v>
      </c>
      <c r="C57" s="2" t="s">
        <v>105</v>
      </c>
      <c r="D57" s="2"/>
      <c r="E57" s="2" t="s">
        <v>106</v>
      </c>
      <c r="F57" s="2"/>
      <c r="G57" s="2" t="s">
        <v>107</v>
      </c>
    </row>
    <row r="58" spans="1:7" ht="24" customHeight="1" x14ac:dyDescent="0.55000000000000004">
      <c r="A58" s="25" t="s">
        <v>108</v>
      </c>
      <c r="B58" s="3"/>
      <c r="C58" s="80" t="s">
        <v>109</v>
      </c>
      <c r="D58" s="81"/>
      <c r="E58" s="84" t="s">
        <v>110</v>
      </c>
      <c r="F58" s="85"/>
      <c r="G58" s="27" t="s">
        <v>111</v>
      </c>
    </row>
    <row r="59" spans="1:7" ht="24" customHeight="1" x14ac:dyDescent="0.55000000000000004">
      <c r="A59" s="25" t="s">
        <v>112</v>
      </c>
      <c r="B59" s="8"/>
      <c r="C59" s="80" t="s">
        <v>113</v>
      </c>
      <c r="D59" s="81"/>
      <c r="E59" s="84" t="s">
        <v>114</v>
      </c>
      <c r="F59" s="85"/>
      <c r="G59" s="28" t="s">
        <v>115</v>
      </c>
    </row>
    <row r="60" spans="1:7" ht="24" customHeight="1" x14ac:dyDescent="0.55000000000000004">
      <c r="A60" s="25" t="s">
        <v>116</v>
      </c>
      <c r="B60" s="3"/>
      <c r="C60" s="80" t="s">
        <v>117</v>
      </c>
      <c r="D60" s="81"/>
      <c r="E60" s="84" t="s">
        <v>118</v>
      </c>
      <c r="F60" s="85"/>
      <c r="G60" s="28" t="s">
        <v>119</v>
      </c>
    </row>
    <row r="61" spans="1:7" ht="24" customHeight="1" x14ac:dyDescent="0.55000000000000004">
      <c r="A61" s="25" t="s">
        <v>120</v>
      </c>
      <c r="B61" s="8"/>
      <c r="C61" s="80" t="s">
        <v>121</v>
      </c>
      <c r="D61" s="81"/>
      <c r="E61" s="84" t="s">
        <v>122</v>
      </c>
      <c r="F61" s="85"/>
      <c r="G61" s="28" t="s">
        <v>123</v>
      </c>
    </row>
    <row r="62" spans="1:7" ht="24" customHeight="1" x14ac:dyDescent="0.55000000000000004">
      <c r="A62" s="25" t="s">
        <v>107</v>
      </c>
      <c r="B62" s="3"/>
      <c r="C62" s="80" t="s">
        <v>124</v>
      </c>
      <c r="D62" s="81"/>
      <c r="E62" s="84" t="s">
        <v>124</v>
      </c>
      <c r="F62" s="85"/>
      <c r="G62" s="28" t="s">
        <v>125</v>
      </c>
    </row>
    <row r="63" spans="1:7" ht="32.049999999999997" customHeight="1" x14ac:dyDescent="0.55000000000000004">
      <c r="A63" s="111" t="s">
        <v>126</v>
      </c>
      <c r="B63" s="95"/>
      <c r="C63" s="95"/>
      <c r="D63" s="95"/>
      <c r="E63" s="29">
        <f>C53</f>
        <v>0</v>
      </c>
      <c r="F63" s="102" t="s">
        <v>127</v>
      </c>
      <c r="G63" s="95"/>
    </row>
    <row r="64" spans="1:7" ht="48" customHeight="1" x14ac:dyDescent="0.55000000000000004">
      <c r="A64" s="119" t="s">
        <v>128</v>
      </c>
      <c r="B64" s="120"/>
      <c r="C64" s="120"/>
      <c r="D64" s="120"/>
      <c r="E64" s="120"/>
      <c r="F64" s="120"/>
      <c r="G64" s="120"/>
    </row>
  </sheetData>
  <mergeCells count="94">
    <mergeCell ref="A64:G64"/>
    <mergeCell ref="F32:G32"/>
    <mergeCell ref="A18:B18"/>
    <mergeCell ref="E60:F60"/>
    <mergeCell ref="B46:E46"/>
    <mergeCell ref="F35:G35"/>
    <mergeCell ref="C19:E19"/>
    <mergeCell ref="F52:G52"/>
    <mergeCell ref="A20:B20"/>
    <mergeCell ref="A29:B29"/>
    <mergeCell ref="A56:G56"/>
    <mergeCell ref="A31:B31"/>
    <mergeCell ref="F53:G53"/>
    <mergeCell ref="A2:G2"/>
    <mergeCell ref="F14:G14"/>
    <mergeCell ref="D54:E54"/>
    <mergeCell ref="A47:G47"/>
    <mergeCell ref="A14:D14"/>
    <mergeCell ref="F11:G11"/>
    <mergeCell ref="F12:G12"/>
    <mergeCell ref="F51:G51"/>
    <mergeCell ref="D32:E32"/>
    <mergeCell ref="F8:G8"/>
    <mergeCell ref="C59:D59"/>
    <mergeCell ref="E59:F59"/>
    <mergeCell ref="A21:B21"/>
    <mergeCell ref="A6:G6"/>
    <mergeCell ref="A32:B32"/>
    <mergeCell ref="D28:E28"/>
    <mergeCell ref="A23:B23"/>
    <mergeCell ref="A25:G25"/>
    <mergeCell ref="D30:E30"/>
    <mergeCell ref="A12:D12"/>
    <mergeCell ref="A1:G1"/>
    <mergeCell ref="C60:D60"/>
    <mergeCell ref="F31:G31"/>
    <mergeCell ref="F28:G28"/>
    <mergeCell ref="F9:G9"/>
    <mergeCell ref="A52:B52"/>
    <mergeCell ref="A3:G3"/>
    <mergeCell ref="D29:E29"/>
    <mergeCell ref="E58:F58"/>
    <mergeCell ref="A34:B34"/>
    <mergeCell ref="A8:D8"/>
    <mergeCell ref="A4:G4"/>
    <mergeCell ref="C58:D58"/>
    <mergeCell ref="A36:B36"/>
    <mergeCell ref="A38:G38"/>
    <mergeCell ref="A10:D10"/>
    <mergeCell ref="A9:D9"/>
    <mergeCell ref="F30:G30"/>
    <mergeCell ref="F33:G33"/>
    <mergeCell ref="A11:D11"/>
    <mergeCell ref="A49:G49"/>
    <mergeCell ref="F36:G36"/>
    <mergeCell ref="F10:G10"/>
    <mergeCell ref="F54:G54"/>
    <mergeCell ref="D34:E34"/>
    <mergeCell ref="F63:G63"/>
    <mergeCell ref="C22:E22"/>
    <mergeCell ref="F34:G34"/>
    <mergeCell ref="D53:E53"/>
    <mergeCell ref="A63:D63"/>
    <mergeCell ref="D52:E52"/>
    <mergeCell ref="C61:D61"/>
    <mergeCell ref="E61:F61"/>
    <mergeCell ref="A13:D13"/>
    <mergeCell ref="A54:B54"/>
    <mergeCell ref="F15:G15"/>
    <mergeCell ref="C23:E23"/>
    <mergeCell ref="A39:G39"/>
    <mergeCell ref="A15:D15"/>
    <mergeCell ref="A33:B33"/>
    <mergeCell ref="C18:E18"/>
    <mergeCell ref="F13:G13"/>
    <mergeCell ref="A22:B22"/>
    <mergeCell ref="A53:B53"/>
    <mergeCell ref="A35:B35"/>
    <mergeCell ref="D33:E33"/>
    <mergeCell ref="A19:B19"/>
    <mergeCell ref="D51:E51"/>
    <mergeCell ref="A28:B28"/>
    <mergeCell ref="A17:G17"/>
    <mergeCell ref="C62:D62"/>
    <mergeCell ref="F29:G29"/>
    <mergeCell ref="E62:F62"/>
    <mergeCell ref="A51:B51"/>
    <mergeCell ref="C21:E21"/>
    <mergeCell ref="D31:E31"/>
    <mergeCell ref="D36:E36"/>
    <mergeCell ref="A26:G26"/>
    <mergeCell ref="C20:E20"/>
    <mergeCell ref="D35:E35"/>
    <mergeCell ref="A30:B30"/>
  </mergeCells>
  <conditionalFormatting sqref="E15">
    <cfRule type="containsText" dxfId="3" priority="1" operator="containsText" text="OK">
      <formula>NOT(ISERROR(SEARCH("OK",E15)))</formula>
    </cfRule>
    <cfRule type="containsText" dxfId="2" priority="2" operator="containsText" text="HATA">
      <formula>NOT(ISERROR(SEARCH("HATA",E15)))</formula>
    </cfRule>
  </conditionalFormatting>
  <dataValidations count="7">
    <dataValidation type="list" sqref="E8:E10" xr:uid="{00000000-0002-0000-0000-000000000000}">
      <formula1>"EVET,HAYIR-İstisna Yok"</formula1>
    </dataValidation>
    <dataValidation type="list" sqref="E11" xr:uid="{00000000-0002-0000-0000-000003000000}">
      <formula1>"EVET,HAYIR-Yanlış Kod"</formula1>
    </dataValidation>
    <dataValidation type="list" sqref="E12 C36" xr:uid="{00000000-0002-0000-0000-000004000000}">
      <formula1>"EVET,HAYIR-Risk"</formula1>
    </dataValidation>
    <dataValidation type="list" sqref="E13" xr:uid="{00000000-0002-0000-0000-000005000000}">
      <formula1>"EVET,HAYIR-KRİTİK HATA"</formula1>
    </dataValidation>
    <dataValidation type="list" sqref="E14" xr:uid="{00000000-0002-0000-0000-000006000000}">
      <formula1>"EVET,Tam Tasdik"</formula1>
    </dataValidation>
    <dataValidation type="list" sqref="C28" xr:uid="{00000000-0002-0000-0000-000007000000}">
      <formula1>"Banka Kredisi,Tahvil/Bono,Finansal Kiralama,Ticari Borç,Diğer Yükümlülük"</formula1>
    </dataValidation>
    <dataValidation type="list" sqref="C29" xr:uid="{00000000-0002-0000-0000-000008000000}">
      <formula1>"USD,EUR,GBP,CHF,Diğer"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/>
  </sheetViews>
  <sheetFormatPr defaultRowHeight="14.4" x14ac:dyDescent="0.55000000000000004"/>
  <cols>
    <col min="1" max="1" width="4" customWidth="1"/>
    <col min="2" max="2" width="40" customWidth="1"/>
    <col min="3" max="3" width="18" customWidth="1"/>
    <col min="4" max="4" width="16" customWidth="1"/>
    <col min="5" max="5" width="14" customWidth="1"/>
    <col min="6" max="6" width="12" customWidth="1"/>
    <col min="7" max="7" width="20" customWidth="1"/>
  </cols>
  <sheetData>
    <row r="1" spans="1:7" ht="36" customHeight="1" x14ac:dyDescent="0.55000000000000004">
      <c r="A1" s="132" t="s">
        <v>129</v>
      </c>
      <c r="B1" s="79"/>
      <c r="C1" s="79"/>
      <c r="D1" s="79"/>
      <c r="E1" s="79"/>
      <c r="F1" s="79"/>
      <c r="G1" s="79"/>
    </row>
    <row r="2" spans="1:7" ht="20.05" customHeight="1" x14ac:dyDescent="0.55000000000000004">
      <c r="A2" s="114" t="s">
        <v>130</v>
      </c>
      <c r="B2" s="115"/>
      <c r="C2" s="115"/>
      <c r="D2" s="115"/>
      <c r="E2" s="115"/>
      <c r="F2" s="115"/>
      <c r="G2" s="115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25" t="s">
        <v>131</v>
      </c>
      <c r="B4" s="126"/>
      <c r="C4" s="126"/>
      <c r="D4" s="126"/>
      <c r="E4" s="126"/>
      <c r="F4" s="126"/>
      <c r="G4" s="126"/>
    </row>
    <row r="5" spans="1:7" ht="22" customHeight="1" x14ac:dyDescent="0.55000000000000004">
      <c r="A5" s="128" t="s">
        <v>132</v>
      </c>
      <c r="B5" s="83"/>
      <c r="C5" s="83"/>
      <c r="D5" s="30" t="str">
        <f>'VERİ GİRİŞİ'!E15</f>
        <v>OK - Hesaplanabilir</v>
      </c>
      <c r="E5" s="118" t="s">
        <v>133</v>
      </c>
      <c r="F5" s="83"/>
      <c r="G5" s="83"/>
    </row>
    <row r="6" spans="1:7" ht="22" customHeight="1" x14ac:dyDescent="0.55000000000000004">
      <c r="A6" s="129" t="s">
        <v>134</v>
      </c>
      <c r="B6" s="90"/>
      <c r="C6" s="90"/>
      <c r="D6" s="30" t="str">
        <f>'VERİ GİRİŞİ'!E11</f>
        <v>EVET</v>
      </c>
      <c r="E6" s="101" t="s">
        <v>135</v>
      </c>
      <c r="F6" s="90"/>
      <c r="G6" s="90"/>
    </row>
    <row r="7" spans="1:7" ht="22" customHeight="1" x14ac:dyDescent="0.55000000000000004">
      <c r="A7" s="128" t="s">
        <v>136</v>
      </c>
      <c r="B7" s="83"/>
      <c r="C7" s="83"/>
      <c r="D7" s="30">
        <f>'VERİ GİRİŞİ'!C51</f>
        <v>0</v>
      </c>
      <c r="E7" s="118" t="s">
        <v>137</v>
      </c>
      <c r="F7" s="83"/>
      <c r="G7" s="83"/>
    </row>
    <row r="8" spans="1:7" ht="22" customHeight="1" x14ac:dyDescent="0.55000000000000004">
      <c r="A8" s="129" t="s">
        <v>138</v>
      </c>
      <c r="B8" s="90"/>
      <c r="C8" s="90"/>
      <c r="D8" s="30">
        <f>'VERİ GİRİŞİ'!C52</f>
        <v>0</v>
      </c>
      <c r="E8" s="101" t="s">
        <v>139</v>
      </c>
      <c r="F8" s="90"/>
      <c r="G8" s="90"/>
    </row>
    <row r="9" spans="1:7" ht="22" customHeight="1" x14ac:dyDescent="0.55000000000000004">
      <c r="A9" s="97" t="s">
        <v>140</v>
      </c>
      <c r="B9" s="95"/>
      <c r="C9" s="95"/>
      <c r="D9" s="31">
        <f>'VERİ GİRİŞİ'!C53</f>
        <v>0</v>
      </c>
      <c r="E9" s="121"/>
      <c r="F9" s="95"/>
      <c r="G9" s="95"/>
    </row>
    <row r="10" spans="1:7" ht="22" customHeight="1" x14ac:dyDescent="0.55000000000000004">
      <c r="A10" s="131" t="s">
        <v>141</v>
      </c>
      <c r="B10" s="81"/>
      <c r="C10" s="81"/>
      <c r="D10" s="32" t="s">
        <v>142</v>
      </c>
      <c r="E10" s="122" t="s">
        <v>143</v>
      </c>
      <c r="F10" s="81"/>
      <c r="G10" s="81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78" t="s">
        <v>144</v>
      </c>
      <c r="B12" s="79"/>
      <c r="C12" s="79"/>
      <c r="D12" s="79"/>
      <c r="E12" s="79"/>
      <c r="F12" s="79"/>
      <c r="G12" s="79"/>
    </row>
    <row r="13" spans="1:7" ht="18" customHeight="1" x14ac:dyDescent="0.55000000000000004">
      <c r="A13" s="11" t="s">
        <v>145</v>
      </c>
      <c r="B13" s="11" t="s">
        <v>146</v>
      </c>
      <c r="C13" s="11" t="s">
        <v>147</v>
      </c>
      <c r="D13" s="11" t="s">
        <v>148</v>
      </c>
      <c r="E13" s="11" t="s">
        <v>149</v>
      </c>
      <c r="F13" s="11" t="s">
        <v>150</v>
      </c>
      <c r="G13" s="11" t="s">
        <v>79</v>
      </c>
    </row>
    <row r="14" spans="1:7" ht="22" customHeight="1" x14ac:dyDescent="0.55000000000000004">
      <c r="A14" s="18" t="s">
        <v>49</v>
      </c>
      <c r="B14" s="33">
        <f>'VERİ GİRİŞİ'!B41</f>
        <v>0</v>
      </c>
      <c r="C14" s="34">
        <f>'VERİ GİRİŞİ'!C41</f>
        <v>0</v>
      </c>
      <c r="D14" s="35">
        <f>'VERİ GİRİŞİ'!D41</f>
        <v>0</v>
      </c>
      <c r="E14" s="34">
        <f>'VERİ GİRİŞİ'!E41</f>
        <v>0</v>
      </c>
      <c r="F14" s="35">
        <f>'VERİ GİRİŞİ'!F41</f>
        <v>0</v>
      </c>
      <c r="G14" s="36">
        <f>'VERİ GİRİŞİ'!G41</f>
        <v>0</v>
      </c>
    </row>
    <row r="15" spans="1:7" ht="22" customHeight="1" x14ac:dyDescent="0.55000000000000004">
      <c r="A15" s="12" t="s">
        <v>80</v>
      </c>
      <c r="B15" s="37">
        <f>'VERİ GİRİŞİ'!B42</f>
        <v>0</v>
      </c>
      <c r="C15" s="38">
        <f>'VERİ GİRİŞİ'!C42</f>
        <v>0</v>
      </c>
      <c r="D15" s="39">
        <f>'VERİ GİRİŞİ'!D42</f>
        <v>0</v>
      </c>
      <c r="E15" s="38">
        <f>'VERİ GİRİŞİ'!E42</f>
        <v>0</v>
      </c>
      <c r="F15" s="39">
        <f>'VERİ GİRİŞİ'!F42</f>
        <v>0</v>
      </c>
      <c r="G15" s="36">
        <f>'VERİ GİRİŞİ'!G42</f>
        <v>0</v>
      </c>
    </row>
    <row r="16" spans="1:7" ht="22" customHeight="1" x14ac:dyDescent="0.55000000000000004">
      <c r="A16" s="18" t="s">
        <v>81</v>
      </c>
      <c r="B16" s="33">
        <f>'VERİ GİRİŞİ'!B43</f>
        <v>0</v>
      </c>
      <c r="C16" s="34">
        <f>'VERİ GİRİŞİ'!C43</f>
        <v>0</v>
      </c>
      <c r="D16" s="35">
        <f>'VERİ GİRİŞİ'!D43</f>
        <v>0</v>
      </c>
      <c r="E16" s="34">
        <f>'VERİ GİRİŞİ'!E43</f>
        <v>0</v>
      </c>
      <c r="F16" s="35">
        <f>'VERİ GİRİŞİ'!F43</f>
        <v>0</v>
      </c>
      <c r="G16" s="36">
        <f>'VERİ GİRİŞİ'!G43</f>
        <v>0</v>
      </c>
    </row>
    <row r="17" spans="1:7" ht="22" customHeight="1" x14ac:dyDescent="0.55000000000000004">
      <c r="A17" s="12" t="s">
        <v>82</v>
      </c>
      <c r="B17" s="37">
        <f>'VERİ GİRİŞİ'!B44</f>
        <v>0</v>
      </c>
      <c r="C17" s="38">
        <f>'VERİ GİRİŞİ'!C44</f>
        <v>0</v>
      </c>
      <c r="D17" s="39">
        <f>'VERİ GİRİŞİ'!D44</f>
        <v>0</v>
      </c>
      <c r="E17" s="38">
        <f>'VERİ GİRİŞİ'!E44</f>
        <v>0</v>
      </c>
      <c r="F17" s="39">
        <f>'VERİ GİRİŞİ'!F44</f>
        <v>0</v>
      </c>
      <c r="G17" s="36">
        <f>'VERİ GİRİŞİ'!G44</f>
        <v>0</v>
      </c>
    </row>
    <row r="18" spans="1:7" ht="22" customHeight="1" x14ac:dyDescent="0.55000000000000004">
      <c r="A18" s="18" t="s">
        <v>151</v>
      </c>
      <c r="B18" s="33">
        <f>'VERİ GİRİŞİ'!B45</f>
        <v>0</v>
      </c>
      <c r="C18" s="34">
        <f>'VERİ GİRİŞİ'!C45</f>
        <v>0</v>
      </c>
      <c r="D18" s="35">
        <f>'VERİ GİRİŞİ'!D45</f>
        <v>0</v>
      </c>
      <c r="E18" s="34">
        <f>'VERİ GİRİŞİ'!E45</f>
        <v>0</v>
      </c>
      <c r="F18" s="35">
        <f>'VERİ GİRİŞİ'!F45</f>
        <v>0</v>
      </c>
      <c r="G18" s="36">
        <f>'VERİ GİRİŞİ'!G45</f>
        <v>0</v>
      </c>
    </row>
    <row r="19" spans="1:7" ht="28" customHeight="1" x14ac:dyDescent="0.55000000000000004">
      <c r="A19" s="40" t="s">
        <v>84</v>
      </c>
      <c r="B19" s="105" t="s">
        <v>152</v>
      </c>
      <c r="C19" s="106"/>
      <c r="D19" s="106"/>
      <c r="E19" s="106"/>
      <c r="F19" s="41">
        <f>'VERİ GİRİŞİ'!G46</f>
        <v>0</v>
      </c>
      <c r="G19" s="21">
        <f>'VERİ GİRİŞİ'!C53</f>
        <v>0</v>
      </c>
    </row>
    <row r="20" spans="1:7" ht="5.05" customHeight="1" x14ac:dyDescent="0.55000000000000004">
      <c r="A20" s="1"/>
      <c r="B20" s="1"/>
      <c r="C20" s="1"/>
      <c r="D20" s="1"/>
      <c r="E20" s="1"/>
      <c r="F20" s="1"/>
      <c r="G20" s="1"/>
    </row>
    <row r="21" spans="1:7" ht="22" customHeight="1" x14ac:dyDescent="0.55000000000000004">
      <c r="A21" s="78" t="s">
        <v>153</v>
      </c>
      <c r="B21" s="79"/>
      <c r="C21" s="79"/>
      <c r="D21" s="79"/>
      <c r="E21" s="79"/>
      <c r="F21" s="79"/>
      <c r="G21" s="79"/>
    </row>
    <row r="22" spans="1:7" ht="18" customHeight="1" x14ac:dyDescent="0.55000000000000004">
      <c r="A22" s="2"/>
      <c r="B22" s="2" t="s">
        <v>154</v>
      </c>
      <c r="C22" s="2"/>
      <c r="D22" s="2" t="s">
        <v>42</v>
      </c>
      <c r="E22" s="2"/>
      <c r="F22" s="2" t="s">
        <v>155</v>
      </c>
      <c r="G22" s="2"/>
    </row>
    <row r="23" spans="1:7" ht="22" customHeight="1" x14ac:dyDescent="0.55000000000000004">
      <c r="A23" s="42" t="s">
        <v>156</v>
      </c>
      <c r="B23" s="130" t="s">
        <v>157</v>
      </c>
      <c r="C23" s="92"/>
      <c r="D23" s="134" t="s">
        <v>158</v>
      </c>
      <c r="E23" s="135"/>
      <c r="F23" s="45" t="s">
        <v>159</v>
      </c>
      <c r="G23" s="8"/>
    </row>
    <row r="24" spans="1:7" ht="22" customHeight="1" x14ac:dyDescent="0.55000000000000004">
      <c r="A24" s="42" t="s">
        <v>160</v>
      </c>
      <c r="B24" s="130" t="s">
        <v>161</v>
      </c>
      <c r="C24" s="92"/>
      <c r="D24" s="134" t="s">
        <v>162</v>
      </c>
      <c r="E24" s="135"/>
      <c r="F24" s="45" t="s">
        <v>159</v>
      </c>
      <c r="G24" s="3"/>
    </row>
    <row r="25" spans="1:7" ht="22" customHeight="1" x14ac:dyDescent="0.55000000000000004">
      <c r="A25" s="42" t="s">
        <v>163</v>
      </c>
      <c r="B25" s="123" t="s">
        <v>164</v>
      </c>
      <c r="C25" s="83"/>
      <c r="D25" s="127" t="s">
        <v>165</v>
      </c>
      <c r="E25" s="83"/>
      <c r="F25" s="45" t="s">
        <v>159</v>
      </c>
      <c r="G25" s="8"/>
    </row>
    <row r="26" spans="1:7" ht="22" customHeight="1" x14ac:dyDescent="0.55000000000000004">
      <c r="A26" s="42" t="s">
        <v>166</v>
      </c>
      <c r="B26" s="130" t="s">
        <v>167</v>
      </c>
      <c r="C26" s="92"/>
      <c r="D26" s="134" t="s">
        <v>168</v>
      </c>
      <c r="E26" s="135"/>
      <c r="F26" s="45" t="s">
        <v>159</v>
      </c>
      <c r="G26" s="3"/>
    </row>
    <row r="27" spans="1:7" ht="22" customHeight="1" x14ac:dyDescent="0.55000000000000004">
      <c r="A27" s="42" t="s">
        <v>169</v>
      </c>
      <c r="B27" s="123" t="s">
        <v>170</v>
      </c>
      <c r="C27" s="83"/>
      <c r="D27" s="127" t="s">
        <v>171</v>
      </c>
      <c r="E27" s="83"/>
      <c r="F27" s="45" t="s">
        <v>159</v>
      </c>
      <c r="G27" s="8"/>
    </row>
    <row r="28" spans="1:7" ht="22" customHeight="1" x14ac:dyDescent="0.55000000000000004">
      <c r="A28" s="42" t="s">
        <v>172</v>
      </c>
      <c r="B28" s="130" t="s">
        <v>173</v>
      </c>
      <c r="C28" s="92"/>
      <c r="D28" s="134" t="s">
        <v>174</v>
      </c>
      <c r="E28" s="135"/>
      <c r="F28" s="45" t="s">
        <v>159</v>
      </c>
      <c r="G28" s="3"/>
    </row>
    <row r="29" spans="1:7" ht="22" customHeight="1" x14ac:dyDescent="0.55000000000000004">
      <c r="A29" s="42" t="s">
        <v>175</v>
      </c>
      <c r="B29" s="123" t="s">
        <v>176</v>
      </c>
      <c r="C29" s="83"/>
      <c r="D29" s="127" t="s">
        <v>177</v>
      </c>
      <c r="E29" s="83"/>
      <c r="F29" s="45" t="s">
        <v>159</v>
      </c>
      <c r="G29" s="8"/>
    </row>
    <row r="30" spans="1:7" ht="22" customHeight="1" x14ac:dyDescent="0.55000000000000004">
      <c r="A30" s="47" t="s">
        <v>178</v>
      </c>
      <c r="B30" s="136" t="s">
        <v>179</v>
      </c>
      <c r="C30" s="137"/>
      <c r="D30" s="138" t="s">
        <v>180</v>
      </c>
      <c r="E30" s="139"/>
      <c r="F30" s="45" t="s">
        <v>159</v>
      </c>
      <c r="G30" s="3"/>
    </row>
    <row r="31" spans="1:7" ht="22" customHeight="1" x14ac:dyDescent="0.55000000000000004">
      <c r="A31" s="42" t="s">
        <v>181</v>
      </c>
      <c r="B31" s="123" t="s">
        <v>182</v>
      </c>
      <c r="C31" s="83"/>
      <c r="D31" s="127" t="s">
        <v>183</v>
      </c>
      <c r="E31" s="83"/>
      <c r="F31" s="45" t="s">
        <v>159</v>
      </c>
      <c r="G31" s="8"/>
    </row>
    <row r="32" spans="1:7" ht="22" customHeight="1" x14ac:dyDescent="0.55000000000000004">
      <c r="A32" s="42" t="s">
        <v>184</v>
      </c>
      <c r="B32" s="133" t="s">
        <v>185</v>
      </c>
      <c r="C32" s="90"/>
      <c r="D32" s="124" t="s">
        <v>186</v>
      </c>
      <c r="E32" s="90"/>
      <c r="F32" s="45" t="s">
        <v>159</v>
      </c>
      <c r="G32" s="3"/>
    </row>
    <row r="33" spans="1:7" ht="22" customHeight="1" x14ac:dyDescent="0.55000000000000004">
      <c r="A33" s="42" t="s">
        <v>187</v>
      </c>
      <c r="B33" s="123" t="s">
        <v>188</v>
      </c>
      <c r="C33" s="83"/>
      <c r="D33" s="127" t="s">
        <v>189</v>
      </c>
      <c r="E33" s="83"/>
      <c r="F33" s="45" t="s">
        <v>159</v>
      </c>
      <c r="G33" s="8"/>
    </row>
    <row r="34" spans="1:7" ht="22" customHeight="1" x14ac:dyDescent="0.55000000000000004">
      <c r="A34" s="42" t="s">
        <v>190</v>
      </c>
      <c r="B34" s="133" t="s">
        <v>191</v>
      </c>
      <c r="C34" s="90"/>
      <c r="D34" s="124" t="s">
        <v>22</v>
      </c>
      <c r="E34" s="90"/>
      <c r="F34" s="45" t="s">
        <v>159</v>
      </c>
      <c r="G34" s="3"/>
    </row>
  </sheetData>
  <mergeCells count="42">
    <mergeCell ref="B32:C32"/>
    <mergeCell ref="B19:E19"/>
    <mergeCell ref="B26:C26"/>
    <mergeCell ref="A7:C7"/>
    <mergeCell ref="D26:E26"/>
    <mergeCell ref="A6:C6"/>
    <mergeCell ref="E8:G8"/>
    <mergeCell ref="A12:G12"/>
    <mergeCell ref="D23:E23"/>
    <mergeCell ref="A2:G2"/>
    <mergeCell ref="A1:G1"/>
    <mergeCell ref="B29:C29"/>
    <mergeCell ref="B34:C34"/>
    <mergeCell ref="B28:C28"/>
    <mergeCell ref="A9:C9"/>
    <mergeCell ref="D28:E28"/>
    <mergeCell ref="D25:E25"/>
    <mergeCell ref="B24:C24"/>
    <mergeCell ref="B30:C30"/>
    <mergeCell ref="D24:E24"/>
    <mergeCell ref="D30:E30"/>
    <mergeCell ref="B33:C33"/>
    <mergeCell ref="E5:G5"/>
    <mergeCell ref="A21:G21"/>
    <mergeCell ref="D29:E29"/>
    <mergeCell ref="D33:E33"/>
    <mergeCell ref="E10:G10"/>
    <mergeCell ref="B25:C25"/>
    <mergeCell ref="D34:E34"/>
    <mergeCell ref="A4:G4"/>
    <mergeCell ref="E9:G9"/>
    <mergeCell ref="B31:C31"/>
    <mergeCell ref="B27:C27"/>
    <mergeCell ref="D31:E31"/>
    <mergeCell ref="E6:G6"/>
    <mergeCell ref="A5:C5"/>
    <mergeCell ref="A8:C8"/>
    <mergeCell ref="D27:E27"/>
    <mergeCell ref="B23:C23"/>
    <mergeCell ref="D32:E32"/>
    <mergeCell ref="E7:G7"/>
    <mergeCell ref="A10:C10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28" customHeight="1" x14ac:dyDescent="0.55000000000000004">
      <c r="A1" s="140" t="s">
        <v>192</v>
      </c>
      <c r="B1" s="79"/>
      <c r="C1" s="79"/>
      <c r="D1" s="79"/>
      <c r="E1" s="79"/>
      <c r="F1" s="79"/>
      <c r="G1" s="79"/>
    </row>
    <row r="2" spans="1:7" ht="20.05" customHeight="1" x14ac:dyDescent="0.55000000000000004">
      <c r="A2" s="142" t="s">
        <v>193</v>
      </c>
      <c r="B2" s="115"/>
      <c r="C2" s="115"/>
      <c r="D2" s="115"/>
      <c r="E2" s="115"/>
      <c r="F2" s="115"/>
      <c r="G2" s="115"/>
    </row>
    <row r="4" spans="1:7" ht="26.05" customHeight="1" x14ac:dyDescent="0.55000000000000004">
      <c r="A4" s="78" t="s">
        <v>194</v>
      </c>
      <c r="B4" s="79"/>
      <c r="C4" s="79"/>
      <c r="D4" s="79"/>
      <c r="E4" s="79"/>
      <c r="F4" s="79"/>
      <c r="G4" s="79"/>
    </row>
    <row r="5" spans="1:7" ht="28" customHeight="1" x14ac:dyDescent="0.55000000000000004">
      <c r="A5" s="141" t="s">
        <v>195</v>
      </c>
      <c r="B5" s="90"/>
      <c r="C5" s="90"/>
      <c r="D5" s="90"/>
      <c r="E5" s="90"/>
      <c r="F5" s="90"/>
      <c r="G5" s="90"/>
    </row>
    <row r="6" spans="1:7" ht="18" customHeight="1" x14ac:dyDescent="0.55000000000000004">
      <c r="A6" s="52"/>
      <c r="B6" s="52" t="s">
        <v>196</v>
      </c>
      <c r="C6" s="52" t="s">
        <v>197</v>
      </c>
      <c r="D6" s="52" t="s">
        <v>198</v>
      </c>
      <c r="E6" s="52" t="s">
        <v>199</v>
      </c>
      <c r="F6" s="52" t="s">
        <v>200</v>
      </c>
      <c r="G6" s="52" t="s">
        <v>201</v>
      </c>
    </row>
    <row r="7" spans="1:7" ht="26.05" customHeight="1" x14ac:dyDescent="0.55000000000000004">
      <c r="A7" s="53" t="s">
        <v>199</v>
      </c>
      <c r="B7" s="53" t="s">
        <v>202</v>
      </c>
      <c r="C7" s="53" t="s">
        <v>203</v>
      </c>
      <c r="D7" s="53" t="s">
        <v>204</v>
      </c>
      <c r="E7" s="53" t="s">
        <v>205</v>
      </c>
      <c r="F7" s="53" t="s">
        <v>206</v>
      </c>
      <c r="G7" s="53" t="s">
        <v>207</v>
      </c>
    </row>
    <row r="8" spans="1:7" ht="26.05" customHeight="1" x14ac:dyDescent="0.55000000000000004">
      <c r="A8" s="54" t="s">
        <v>200</v>
      </c>
      <c r="B8" s="54" t="s">
        <v>202</v>
      </c>
      <c r="C8" s="54" t="s">
        <v>208</v>
      </c>
      <c r="D8" s="54" t="s">
        <v>209</v>
      </c>
      <c r="E8" s="54" t="s">
        <v>206</v>
      </c>
      <c r="F8" s="54" t="s">
        <v>210</v>
      </c>
      <c r="G8" s="54" t="s">
        <v>211</v>
      </c>
    </row>
    <row r="9" spans="1:7" ht="26.05" customHeight="1" x14ac:dyDescent="0.55000000000000004">
      <c r="A9" s="53" t="s">
        <v>200</v>
      </c>
      <c r="B9" s="53" t="s">
        <v>202</v>
      </c>
      <c r="C9" s="53" t="s">
        <v>212</v>
      </c>
      <c r="D9" s="53" t="s">
        <v>213</v>
      </c>
      <c r="E9" s="53" t="s">
        <v>206</v>
      </c>
      <c r="F9" s="53" t="s">
        <v>214</v>
      </c>
      <c r="G9" s="53" t="s">
        <v>215</v>
      </c>
    </row>
    <row r="10" spans="1:7" ht="22" customHeight="1" x14ac:dyDescent="0.55000000000000004">
      <c r="A10" s="141" t="s">
        <v>216</v>
      </c>
      <c r="B10" s="90"/>
      <c r="C10" s="90"/>
      <c r="D10" s="90"/>
      <c r="E10" s="90"/>
      <c r="F10" s="90"/>
      <c r="G10" s="90"/>
    </row>
    <row r="11" spans="1:7" ht="26.05" customHeight="1" x14ac:dyDescent="0.55000000000000004">
      <c r="A11" s="145" t="s">
        <v>217</v>
      </c>
      <c r="B11" s="146"/>
      <c r="C11" s="146"/>
      <c r="D11" s="146"/>
      <c r="E11" s="146"/>
      <c r="F11" s="146"/>
      <c r="G11" s="146"/>
    </row>
    <row r="12" spans="1:7" ht="28" customHeight="1" x14ac:dyDescent="0.55000000000000004">
      <c r="A12" s="141" t="s">
        <v>218</v>
      </c>
      <c r="B12" s="90"/>
      <c r="C12" s="90"/>
      <c r="D12" s="90"/>
      <c r="E12" s="90"/>
      <c r="F12" s="90"/>
      <c r="G12" s="90"/>
    </row>
    <row r="13" spans="1:7" ht="18" customHeight="1" x14ac:dyDescent="0.55000000000000004">
      <c r="A13" s="52"/>
      <c r="B13" s="52" t="s">
        <v>196</v>
      </c>
      <c r="C13" s="52" t="s">
        <v>197</v>
      </c>
      <c r="D13" s="52" t="s">
        <v>198</v>
      </c>
      <c r="E13" s="52" t="s">
        <v>199</v>
      </c>
      <c r="F13" s="52" t="s">
        <v>200</v>
      </c>
      <c r="G13" s="52" t="s">
        <v>201</v>
      </c>
    </row>
    <row r="14" spans="1:7" ht="28" customHeight="1" x14ac:dyDescent="0.55000000000000004">
      <c r="A14" s="53" t="s">
        <v>219</v>
      </c>
      <c r="B14" s="53" t="s">
        <v>220</v>
      </c>
      <c r="C14" s="53" t="s">
        <v>221</v>
      </c>
      <c r="D14" s="53" t="s">
        <v>222</v>
      </c>
      <c r="E14" s="53" t="s">
        <v>206</v>
      </c>
      <c r="F14" s="53" t="s">
        <v>223</v>
      </c>
      <c r="G14" s="53" t="s">
        <v>224</v>
      </c>
    </row>
    <row r="15" spans="1:7" ht="28" customHeight="1" x14ac:dyDescent="0.55000000000000004">
      <c r="A15" s="54" t="s">
        <v>225</v>
      </c>
      <c r="B15" s="54" t="s">
        <v>220</v>
      </c>
      <c r="C15" s="54" t="s">
        <v>226</v>
      </c>
      <c r="D15" s="54" t="s">
        <v>227</v>
      </c>
      <c r="E15" s="54" t="s">
        <v>206</v>
      </c>
      <c r="F15" s="54" t="s">
        <v>228</v>
      </c>
      <c r="G15" s="54" t="s">
        <v>215</v>
      </c>
    </row>
    <row r="16" spans="1:7" ht="40" customHeight="1" x14ac:dyDescent="0.55000000000000004">
      <c r="A16" s="143" t="s">
        <v>229</v>
      </c>
      <c r="B16" s="144"/>
      <c r="C16" s="144"/>
      <c r="D16" s="144"/>
      <c r="E16" s="144"/>
      <c r="F16" s="144"/>
      <c r="G16" s="144"/>
    </row>
  </sheetData>
  <mergeCells count="8">
    <mergeCell ref="A1:G1"/>
    <mergeCell ref="A12:G12"/>
    <mergeCell ref="A4:G4"/>
    <mergeCell ref="A2:G2"/>
    <mergeCell ref="A16:G16"/>
    <mergeCell ref="A11:G11"/>
    <mergeCell ref="A10:G10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6" customHeight="1" x14ac:dyDescent="0.55000000000000004">
      <c r="A1" s="150" t="s">
        <v>230</v>
      </c>
      <c r="B1" s="79"/>
      <c r="C1" s="79"/>
      <c r="D1" s="79"/>
      <c r="E1" s="79"/>
      <c r="F1" s="79"/>
      <c r="G1" s="79"/>
    </row>
    <row r="2" spans="1:7" ht="22" customHeight="1" x14ac:dyDescent="0.55000000000000004">
      <c r="A2" s="148" t="s">
        <v>231</v>
      </c>
      <c r="B2" s="149"/>
      <c r="C2" s="149"/>
      <c r="D2" s="149"/>
      <c r="E2" s="149"/>
      <c r="F2" s="149"/>
      <c r="G2" s="149"/>
    </row>
    <row r="3" spans="1:7" ht="18" customHeight="1" x14ac:dyDescent="0.55000000000000004">
      <c r="A3" s="52" t="s">
        <v>232</v>
      </c>
      <c r="B3" s="52" t="s">
        <v>233</v>
      </c>
      <c r="C3" s="52" t="s">
        <v>234</v>
      </c>
      <c r="D3" s="52" t="s">
        <v>235</v>
      </c>
    </row>
    <row r="4" spans="1:7" ht="88" customHeight="1" x14ac:dyDescent="0.55000000000000004">
      <c r="A4" s="42" t="s">
        <v>236</v>
      </c>
      <c r="B4" s="51" t="s">
        <v>237</v>
      </c>
      <c r="C4" s="55" t="s">
        <v>238</v>
      </c>
      <c r="D4" s="56" t="s">
        <v>239</v>
      </c>
    </row>
    <row r="5" spans="1:7" ht="72" customHeight="1" x14ac:dyDescent="0.55000000000000004">
      <c r="A5" s="42" t="s">
        <v>240</v>
      </c>
      <c r="B5" s="46" t="s">
        <v>241</v>
      </c>
      <c r="C5" s="55" t="s">
        <v>242</v>
      </c>
      <c r="D5" s="57" t="s">
        <v>243</v>
      </c>
    </row>
    <row r="6" spans="1:7" ht="60" customHeight="1" x14ac:dyDescent="0.55000000000000004">
      <c r="A6" s="47" t="s">
        <v>244</v>
      </c>
      <c r="B6" s="43" t="s">
        <v>245</v>
      </c>
      <c r="C6" s="44" t="s">
        <v>246</v>
      </c>
      <c r="D6" s="58" t="s">
        <v>247</v>
      </c>
    </row>
    <row r="7" spans="1:7" ht="64" customHeight="1" x14ac:dyDescent="0.55000000000000004">
      <c r="A7" s="42" t="s">
        <v>248</v>
      </c>
      <c r="B7" s="51" t="s">
        <v>249</v>
      </c>
      <c r="C7" s="55" t="s">
        <v>250</v>
      </c>
      <c r="D7" s="56" t="s">
        <v>251</v>
      </c>
    </row>
    <row r="8" spans="1:7" ht="72" customHeight="1" x14ac:dyDescent="0.55000000000000004">
      <c r="A8" s="42" t="s">
        <v>252</v>
      </c>
      <c r="B8" s="46" t="s">
        <v>253</v>
      </c>
      <c r="C8" s="55" t="s">
        <v>254</v>
      </c>
      <c r="D8" s="57" t="s">
        <v>255</v>
      </c>
    </row>
    <row r="9" spans="1:7" ht="44.05" customHeight="1" x14ac:dyDescent="0.55000000000000004">
      <c r="A9" s="147" t="s">
        <v>256</v>
      </c>
      <c r="B9" s="108"/>
      <c r="C9" s="108"/>
      <c r="D9" s="108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6" ht="38.049999999999997" customHeight="1" x14ac:dyDescent="0.55000000000000004">
      <c r="A1" s="153" t="s">
        <v>257</v>
      </c>
      <c r="B1" s="154"/>
      <c r="C1" s="154"/>
      <c r="D1" s="154"/>
      <c r="E1" s="154"/>
      <c r="F1" s="154"/>
    </row>
    <row r="2" spans="1:6" ht="22" customHeight="1" x14ac:dyDescent="0.55000000000000004">
      <c r="A2" s="151" t="s">
        <v>258</v>
      </c>
      <c r="B2" s="152"/>
      <c r="C2" s="152"/>
      <c r="D2" s="152"/>
      <c r="E2" s="152"/>
      <c r="F2" s="152"/>
    </row>
    <row r="3" spans="1:6" ht="5.05" customHeight="1" x14ac:dyDescent="0.55000000000000004">
      <c r="A3" s="1"/>
      <c r="B3" s="1"/>
      <c r="C3" s="1"/>
      <c r="D3" s="1"/>
      <c r="E3" s="1"/>
      <c r="F3" s="1"/>
    </row>
    <row r="4" spans="1:6" ht="36" customHeight="1" x14ac:dyDescent="0.55000000000000004">
      <c r="A4" s="159" t="s">
        <v>259</v>
      </c>
      <c r="B4" s="160"/>
      <c r="C4" s="160"/>
      <c r="D4" s="160"/>
      <c r="E4" s="160"/>
      <c r="F4" s="160"/>
    </row>
    <row r="5" spans="1:6" ht="18" customHeight="1" x14ac:dyDescent="0.55000000000000004">
      <c r="A5" s="52"/>
      <c r="B5" s="52" t="s">
        <v>260</v>
      </c>
      <c r="C5" s="52" t="s">
        <v>261</v>
      </c>
      <c r="D5" s="52" t="s">
        <v>42</v>
      </c>
      <c r="E5" s="52" t="s">
        <v>262</v>
      </c>
      <c r="F5" s="52"/>
    </row>
    <row r="6" spans="1:6" ht="40" customHeight="1" x14ac:dyDescent="0.55000000000000004">
      <c r="A6" s="5"/>
      <c r="B6" s="59" t="s">
        <v>263</v>
      </c>
      <c r="C6" s="60" t="s">
        <v>264</v>
      </c>
      <c r="D6" s="61" t="s">
        <v>265</v>
      </c>
      <c r="E6" s="62" t="s">
        <v>266</v>
      </c>
      <c r="F6" s="5"/>
    </row>
    <row r="7" spans="1:6" ht="44.05" customHeight="1" x14ac:dyDescent="0.55000000000000004">
      <c r="A7" s="5"/>
      <c r="B7" s="59" t="s">
        <v>267</v>
      </c>
      <c r="C7" s="60" t="s">
        <v>268</v>
      </c>
      <c r="D7" s="61" t="s">
        <v>269</v>
      </c>
      <c r="E7" s="62" t="s">
        <v>270</v>
      </c>
      <c r="F7" s="5"/>
    </row>
    <row r="8" spans="1:6" ht="40" customHeight="1" x14ac:dyDescent="0.55000000000000004">
      <c r="A8" s="5"/>
      <c r="B8" s="59" t="s">
        <v>271</v>
      </c>
      <c r="C8" s="60" t="s">
        <v>272</v>
      </c>
      <c r="D8" s="61" t="s">
        <v>273</v>
      </c>
      <c r="E8" s="62" t="s">
        <v>274</v>
      </c>
      <c r="F8" s="5"/>
    </row>
    <row r="9" spans="1:6" ht="28" customHeight="1" x14ac:dyDescent="0.55000000000000004">
      <c r="A9" s="5"/>
      <c r="B9" s="59" t="s">
        <v>275</v>
      </c>
      <c r="C9" s="60" t="s">
        <v>276</v>
      </c>
      <c r="D9" s="61" t="s">
        <v>277</v>
      </c>
      <c r="E9" s="62" t="s">
        <v>278</v>
      </c>
      <c r="F9" s="5"/>
    </row>
    <row r="10" spans="1:6" ht="28" customHeight="1" x14ac:dyDescent="0.55000000000000004">
      <c r="A10" s="5"/>
      <c r="B10" s="59" t="s">
        <v>279</v>
      </c>
      <c r="C10" s="60" t="s">
        <v>280</v>
      </c>
      <c r="D10" s="61" t="s">
        <v>281</v>
      </c>
      <c r="E10" s="62" t="s">
        <v>282</v>
      </c>
      <c r="F10" s="5"/>
    </row>
    <row r="11" spans="1:6" ht="5.05" customHeight="1" x14ac:dyDescent="0.55000000000000004">
      <c r="A11" s="1"/>
      <c r="B11" s="1"/>
      <c r="C11" s="1"/>
      <c r="D11" s="1"/>
      <c r="E11" s="1"/>
      <c r="F11" s="1"/>
    </row>
    <row r="12" spans="1:6" ht="36" customHeight="1" x14ac:dyDescent="0.55000000000000004">
      <c r="A12" s="157" t="s">
        <v>283</v>
      </c>
      <c r="B12" s="158"/>
      <c r="C12" s="158"/>
      <c r="D12" s="158"/>
      <c r="E12" s="158"/>
      <c r="F12" s="158"/>
    </row>
    <row r="13" spans="1:6" ht="18" customHeight="1" x14ac:dyDescent="0.55000000000000004">
      <c r="A13" s="52"/>
      <c r="B13" s="52" t="s">
        <v>260</v>
      </c>
      <c r="C13" s="52" t="s">
        <v>261</v>
      </c>
      <c r="D13" s="52" t="s">
        <v>42</v>
      </c>
      <c r="E13" s="52" t="s">
        <v>262</v>
      </c>
      <c r="F13" s="52"/>
    </row>
    <row r="14" spans="1:6" ht="32.049999999999997" customHeight="1" x14ac:dyDescent="0.55000000000000004">
      <c r="A14" s="26"/>
      <c r="B14" s="63" t="s">
        <v>284</v>
      </c>
      <c r="C14" s="64" t="s">
        <v>285</v>
      </c>
      <c r="D14" s="65" t="s">
        <v>286</v>
      </c>
      <c r="E14" s="66" t="s">
        <v>287</v>
      </c>
      <c r="F14" s="26"/>
    </row>
    <row r="15" spans="1:6" ht="36" customHeight="1" x14ac:dyDescent="0.55000000000000004">
      <c r="A15" s="26"/>
      <c r="B15" s="63" t="s">
        <v>288</v>
      </c>
      <c r="C15" s="64" t="s">
        <v>289</v>
      </c>
      <c r="D15" s="65" t="s">
        <v>290</v>
      </c>
      <c r="E15" s="66" t="s">
        <v>291</v>
      </c>
      <c r="F15" s="26"/>
    </row>
    <row r="16" spans="1:6" ht="28" customHeight="1" x14ac:dyDescent="0.55000000000000004">
      <c r="A16" s="26"/>
      <c r="B16" s="63" t="s">
        <v>292</v>
      </c>
      <c r="C16" s="64" t="s">
        <v>293</v>
      </c>
      <c r="D16" s="65" t="s">
        <v>294</v>
      </c>
      <c r="E16" s="66" t="s">
        <v>295</v>
      </c>
      <c r="F16" s="26"/>
    </row>
    <row r="17" spans="1:6" ht="5.05" customHeight="1" x14ac:dyDescent="0.55000000000000004">
      <c r="A17" s="1"/>
      <c r="B17" s="1"/>
      <c r="C17" s="1"/>
      <c r="D17" s="1"/>
      <c r="E17" s="1"/>
      <c r="F17" s="1"/>
    </row>
    <row r="18" spans="1:6" ht="36" customHeight="1" x14ac:dyDescent="0.55000000000000004">
      <c r="A18" s="155" t="s">
        <v>296</v>
      </c>
      <c r="B18" s="156"/>
      <c r="C18" s="156"/>
      <c r="D18" s="156"/>
      <c r="E18" s="156"/>
      <c r="F18" s="156"/>
    </row>
    <row r="19" spans="1:6" ht="18" customHeight="1" x14ac:dyDescent="0.55000000000000004">
      <c r="A19" s="67"/>
      <c r="B19" s="67" t="s">
        <v>260</v>
      </c>
      <c r="C19" s="67" t="s">
        <v>5</v>
      </c>
      <c r="D19" s="67" t="s">
        <v>297</v>
      </c>
      <c r="E19" s="67" t="s">
        <v>298</v>
      </c>
      <c r="F19" s="67"/>
    </row>
    <row r="20" spans="1:6" ht="32.049999999999997" customHeight="1" x14ac:dyDescent="0.55000000000000004">
      <c r="A20" s="50"/>
      <c r="B20" s="68" t="s">
        <v>299</v>
      </c>
      <c r="C20" s="69" t="s">
        <v>300</v>
      </c>
      <c r="D20" s="70" t="s">
        <v>301</v>
      </c>
      <c r="E20" s="71" t="s">
        <v>302</v>
      </c>
      <c r="F20" s="50"/>
    </row>
    <row r="21" spans="1:6" ht="32.049999999999997" customHeight="1" x14ac:dyDescent="0.55000000000000004">
      <c r="A21" s="50"/>
      <c r="B21" s="68" t="s">
        <v>303</v>
      </c>
      <c r="C21" s="69" t="s">
        <v>161</v>
      </c>
      <c r="D21" s="70" t="s">
        <v>304</v>
      </c>
      <c r="E21" s="71" t="s">
        <v>302</v>
      </c>
      <c r="F21" s="50"/>
    </row>
    <row r="22" spans="1:6" ht="32.049999999999997" customHeight="1" x14ac:dyDescent="0.55000000000000004">
      <c r="A22" s="26"/>
      <c r="B22" s="72" t="s">
        <v>305</v>
      </c>
      <c r="C22" s="73" t="s">
        <v>306</v>
      </c>
      <c r="D22" s="65" t="s">
        <v>307</v>
      </c>
      <c r="E22" s="74" t="s">
        <v>302</v>
      </c>
      <c r="F22" s="26"/>
    </row>
    <row r="23" spans="1:6" ht="32.049999999999997" customHeight="1" x14ac:dyDescent="0.55000000000000004">
      <c r="A23" s="50"/>
      <c r="B23" s="68" t="s">
        <v>308</v>
      </c>
      <c r="C23" s="69" t="s">
        <v>309</v>
      </c>
      <c r="D23" s="70" t="s">
        <v>310</v>
      </c>
      <c r="E23" s="71" t="s">
        <v>302</v>
      </c>
      <c r="F23" s="50"/>
    </row>
    <row r="24" spans="1:6" ht="32.049999999999997" customHeight="1" x14ac:dyDescent="0.55000000000000004">
      <c r="A24" s="26"/>
      <c r="B24" s="72" t="s">
        <v>311</v>
      </c>
      <c r="C24" s="73" t="s">
        <v>312</v>
      </c>
      <c r="D24" s="65" t="s">
        <v>313</v>
      </c>
      <c r="E24" s="74" t="s">
        <v>302</v>
      </c>
      <c r="F24" s="26"/>
    </row>
    <row r="25" spans="1:6" ht="32.049999999999997" customHeight="1" x14ac:dyDescent="0.55000000000000004">
      <c r="A25" s="50"/>
      <c r="B25" s="68" t="s">
        <v>314</v>
      </c>
      <c r="C25" s="69" t="s">
        <v>315</v>
      </c>
      <c r="D25" s="70" t="s">
        <v>316</v>
      </c>
      <c r="E25" s="71" t="s">
        <v>302</v>
      </c>
      <c r="F25" s="50"/>
    </row>
    <row r="26" spans="1:6" ht="32.049999999999997" customHeight="1" x14ac:dyDescent="0.55000000000000004">
      <c r="A26" s="26"/>
      <c r="B26" s="72" t="s">
        <v>317</v>
      </c>
      <c r="C26" s="73" t="s">
        <v>318</v>
      </c>
      <c r="D26" s="65" t="s">
        <v>319</v>
      </c>
      <c r="E26" s="74" t="s">
        <v>302</v>
      </c>
      <c r="F26" s="26"/>
    </row>
    <row r="27" spans="1:6" ht="32.049999999999997" customHeight="1" x14ac:dyDescent="0.55000000000000004">
      <c r="A27" s="49"/>
      <c r="B27" s="75" t="s">
        <v>320</v>
      </c>
      <c r="C27" s="48" t="s">
        <v>179</v>
      </c>
      <c r="D27" s="76" t="s">
        <v>321</v>
      </c>
      <c r="E27" s="77" t="s">
        <v>302</v>
      </c>
      <c r="F27" s="49"/>
    </row>
    <row r="28" spans="1:6" ht="32.049999999999997" customHeight="1" x14ac:dyDescent="0.55000000000000004">
      <c r="A28" s="26"/>
      <c r="B28" s="72" t="s">
        <v>322</v>
      </c>
      <c r="C28" s="73" t="s">
        <v>182</v>
      </c>
      <c r="D28" s="65" t="s">
        <v>183</v>
      </c>
      <c r="E28" s="74" t="s">
        <v>302</v>
      </c>
      <c r="F28" s="26"/>
    </row>
    <row r="29" spans="1:6" ht="32.049999999999997" customHeight="1" x14ac:dyDescent="0.55000000000000004">
      <c r="A29" s="26"/>
      <c r="B29" s="72" t="s">
        <v>323</v>
      </c>
      <c r="C29" s="73" t="s">
        <v>191</v>
      </c>
      <c r="D29" s="65" t="s">
        <v>22</v>
      </c>
      <c r="E29" s="74" t="s">
        <v>302</v>
      </c>
      <c r="F29" s="26"/>
    </row>
    <row r="30" spans="1:6" ht="5.05" customHeight="1" x14ac:dyDescent="0.55000000000000004">
      <c r="A30" s="1"/>
      <c r="B30" s="1"/>
      <c r="C30" s="1"/>
      <c r="D30" s="1"/>
      <c r="E30" s="1"/>
      <c r="F30" s="1"/>
    </row>
    <row r="31" spans="1:6" ht="52" customHeight="1" x14ac:dyDescent="0.55000000000000004">
      <c r="A31" s="147" t="s">
        <v>324</v>
      </c>
      <c r="B31" s="108"/>
      <c r="C31" s="108"/>
      <c r="D31" s="108"/>
      <c r="E31" s="108"/>
      <c r="F31" s="108"/>
    </row>
  </sheetData>
  <mergeCells count="6">
    <mergeCell ref="A2:F2"/>
    <mergeCell ref="A1:F1"/>
    <mergeCell ref="A31:F31"/>
    <mergeCell ref="A18:F18"/>
    <mergeCell ref="A12:F12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2026-04-05T13:10:56Z</dcterms:created>
  <dcterms:modified xsi:type="dcterms:W3CDTF">2026-04-05T13:35:15Z</dcterms:modified>
</cp:coreProperties>
</file>