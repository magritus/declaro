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son standart/"/>
    </mc:Choice>
  </mc:AlternateContent>
  <xr:revisionPtr revIDLastSave="0" documentId="8_{59E7EFD2-760B-4931-A3FD-84D966273C53}"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2" l="1"/>
  <c r="D10" i="2"/>
  <c r="D9" i="2"/>
  <c r="D8" i="2"/>
  <c r="F56" i="1"/>
  <c r="C43" i="1"/>
  <c r="C42" i="1"/>
  <c r="C41" i="1"/>
  <c r="D12" i="2"/>
  <c r="D7" i="2"/>
  <c r="D6" i="2"/>
  <c r="F53" i="1"/>
  <c r="E53" i="1"/>
  <c r="D53" i="1"/>
  <c r="G52" i="1"/>
  <c r="G51" i="1"/>
  <c r="G50" i="1"/>
  <c r="G49" i="1"/>
  <c r="G48" i="1"/>
  <c r="G53" i="1" s="1"/>
  <c r="E14" i="1"/>
  <c r="D5" i="2" s="1"/>
</calcChain>
</file>

<file path=xl/sharedStrings.xml><?xml version="1.0" encoding="utf-8"?>
<sst xmlns="http://schemas.openxmlformats.org/spreadsheetml/2006/main" count="394" uniqueCount="307">
  <si>
    <t>349 – 5300 SAYILI TARIM ÜRÜNLERİ LİSANSLI DEPOCULUK KANUNU KAPSAMINDA DÜZENLENEN ÜRÜN SENETLERİNİN ELDEN ÇIKARILMASINDAN DOĞAN KAZANÇ İSTİSNASI | 193 S. GVK GEÇİCİ MADDE 76 | BEYANNAME SATIR 349 | YMM TASDİK KÂĞIDI</t>
  </si>
  <si>
    <t>GVK Geçici Madde 76 / 5300 Sayılı Tarım Ürünleri Lisanslı Depoculuk Kanunu | %100 Tam İstisna | Elektronik Ürün Senedi (ELÜS) veya Kağıt Ürün Senedi | Tarım Bakanlığı Lisanslı Depo Şartı | Beyanname Satır 349 — Kazancın Bulunması Halinde</t>
  </si>
  <si>
    <t xml:space="preserve">  ★ 349'UN SETTEKİ ÖZGÜN KONUMU: Yasal dayanak GVK (193 s.K.) — KVK veya özel kanun değil. Tarım sektörüne özgü: Lisanslı depodaki tarım ürününü temsil eden ürün senedinin elden çıkarılması. MEKANİZMA: Lisanslı Depo → ELÜS/Kağıt Senet düzenler → Kurum senedi BİAŞ Emtia veya teslim yoluyla elden çıkarır → Kazanç → %100 İstisna (349). Beyanname 'Kazancın Bulunması Halinde' bölümü — Geçici Madde statüsü (yürürlük kontrolü zorunlu).</t>
  </si>
  <si>
    <t xml:space="preserve">  ELÜS: MKK/BİAŞ Emtia sistemi üzerinden elektronik kaydi ürün senedi. Kağıt Ürün Senedi: Lisanslı depo tarafından fiziken düzenlenen kıymetli evrak — ciro ile devredilebilir. ★ EN KRİTİK NOKTA: C.2 MALİYET BELGESİ. Belgesiz maliyet → GİB tarafından reddedilebilir → Tüm satış bedeli kazanç sayılabilir.</t>
  </si>
  <si>
    <t>A0. KAPSAM VE NİTELİK UYGUNLUK ÖN KONTROLÜ</t>
  </si>
  <si>
    <t>Kontrol Sorusu</t>
  </si>
  <si>
    <t>Yanıt</t>
  </si>
  <si>
    <t>YMM Tasdik Notu</t>
  </si>
  <si>
    <t>A0.1  ★ Ürün senedi 5300 s.K. kapsamında LİSANSLI depo işletmecisi tarafından düzenlendi mi?</t>
  </si>
  <si>
    <t>EVET</t>
  </si>
  <si>
    <t>Temel şart. Tarım Bakanlığı lisanssız depo → Kapsam dışı. Lisanslı depo belgesi zorunlu.</t>
  </si>
  <si>
    <t>A0.2  Ürün senedi ELÜS (elektronik) mi yoksa kağıt ürün senedi mi?</t>
  </si>
  <si>
    <t>ELÜS (Elektronik)</t>
  </si>
  <si>
    <t>Her iki tür de 5300 s.K. kapsamında. ELÜS: MKK/BİAŞ. Kağıt: Fiziki — ciro ile devir.</t>
  </si>
  <si>
    <t>A0.3  ★ Kazanç ürün senedinin ELDEN ÇIKARILMASINDAN (satış/devir/temlik) mı kaynaklanıyor?</t>
  </si>
  <si>
    <t>Satış/devir/temlik → Kapsam içi. Depolama hizmet geliri → Kapsam dışı.</t>
  </si>
  <si>
    <t>A0.4  GVK Geçici Md.76 güncel yürürlük tarihi kontrol edildi mi?</t>
  </si>
  <si>
    <t>Geçici Madde statüsü — güncel mevzuat ve GİB açıklamaları esas alınmalıdır.</t>
  </si>
  <si>
    <t>A0.5  ★ Maliyet bedeli (C.2) belgelendi mi? Fatura/BİAŞ alış kaydı mevcut mu?</t>
  </si>
  <si>
    <t>Belgesiz maliyet → GİB tüm satış bedelini kazanç sayabilir. En yüksek risk kalemi.</t>
  </si>
  <si>
    <t>A0.6  YMM Tasdik Raporu gereksinimi değerlendirildi mi? (49 No.lu Tebliğ)</t>
  </si>
  <si>
    <t>49 No.lu Tebliğ: &gt;=500.000 TL → YMM raporu. Tam tasdik → ayrıca rapor yok.</t>
  </si>
  <si>
    <t>A0.7  Tasdik Uygunluk Sonucu</t>
  </si>
  <si>
    <t>★ A0.1 (Lisanslı depo), A0.3 (Elden çıkarma), A0.5 (Maliyet) kritik.</t>
  </si>
  <si>
    <t>A. GENEL BİLGİLER</t>
  </si>
  <si>
    <t>Kurumun Unvanı</t>
  </si>
  <si>
    <t>Ürün senedini elinden çıkaran kurum</t>
  </si>
  <si>
    <t>VKN</t>
  </si>
  <si>
    <t>10 haneli VKN</t>
  </si>
  <si>
    <t>Ürün Senedinin Türü</t>
  </si>
  <si>
    <t>ELÜS veya Kağıt</t>
  </si>
  <si>
    <t>Tarım Ürününün Türü</t>
  </si>
  <si>
    <t>Buğday/Arpa/Mısır/Pamuk/Zeytinyağı/Fındık vb.</t>
  </si>
  <si>
    <t>Lisanslı Deponun Adı</t>
  </si>
  <si>
    <t>5300 s.K. kapsamında Bakanlık lisanslı depo</t>
  </si>
  <si>
    <t>Lisanslı Depo Lisans No</t>
  </si>
  <si>
    <t>Tarım ve Orman Bakanlığı lisans numarası</t>
  </si>
  <si>
    <t>ELÜS Kodu / Senet Seri No</t>
  </si>
  <si>
    <t>MKK ELÜS ID veya kağıt senet seri numarası</t>
  </si>
  <si>
    <t>Ürün Senedi Edinim Tarihi</t>
  </si>
  <si>
    <t>GG.AA.YYYY</t>
  </si>
  <si>
    <t>Elden Çıkarma Tarihi</t>
  </si>
  <si>
    <t>GG.AA.YYYY — BİAŞ işlem tarihi veya teslim tarihi</t>
  </si>
  <si>
    <t>Hesap Dönemi</t>
  </si>
  <si>
    <t>Örn: 01.01.2025 – 31.12.2025</t>
  </si>
  <si>
    <t>B. LİSANSLI DEPO VE ÜRÜN SENEDİ NİTELİK TEYİDİ</t>
  </si>
  <si>
    <t xml:space="preserve">  5300 s.K. lisanslı depo: Tarım ve Orman Bakanlığı lisanslı, ürün depolama ve ürün senedi düzenleme yetkisine sahip tüzel kişilik. ELÜS: BİAŞ Emtia Piyasası + MKK altyapısı.</t>
  </si>
  <si>
    <t>Parametre</t>
  </si>
  <si>
    <t>Değer</t>
  </si>
  <si>
    <t>Açıklama</t>
  </si>
  <si>
    <t>Belge</t>
  </si>
  <si>
    <t>B.1  Lisanslı Depo Bakanlık Lisansı Mevcut mu?</t>
  </si>
  <si>
    <t>Tarım Bakanlığı lisanslı depoculuk belgesi zorunlu</t>
  </si>
  <si>
    <t>Bakanlık Lisansı</t>
  </si>
  <si>
    <t>B.2  Elden Çıkarma Yöntemi</t>
  </si>
  <si>
    <t>BİAŞ Emtia</t>
  </si>
  <si>
    <t>BİAŞ: Borsa kayıtları. Teslim: Fiziki devir belgesi.</t>
  </si>
  <si>
    <t>BİAŞ Özeti / Sözleşme</t>
  </si>
  <si>
    <t>B.3  Ürün Senedi Asıl Tarım Ürününü Temsil Ediyor mu?</t>
  </si>
  <si>
    <t>Depodaki gerçek ürünü temsil etmeli — spekülatif yapılar için özelge</t>
  </si>
  <si>
    <t>Depo stoğu teyidi</t>
  </si>
  <si>
    <t>C. ÜRÜN SENEDİ MALİYET VE ELDEN ÇIKARMA KAZANCI HESABI</t>
  </si>
  <si>
    <t xml:space="preserve">  Kazanç = Satış Bedeli − Ediniş/Maliyet Bedeli − Giderler. ★ EN KRİTİK: C.2 MALİYET belgesi (BİAŞ alış kaydı / Fatura / Müstahsil makbuzu) zorunlu. Belgesiz → GİB tüm satış bedelini kazanç sayabilir.</t>
  </si>
  <si>
    <t>Hesap Kalemi</t>
  </si>
  <si>
    <t>Tutar (TL)</t>
  </si>
  <si>
    <t>YMM Notu</t>
  </si>
  <si>
    <t>C.1  Ürün Senedinin Toplam Satış/Devir Bedeli</t>
  </si>
  <si>
    <t>BİAŞ işlem kaydı veya satış sözleşmesi</t>
  </si>
  <si>
    <t>C.2  ★ Ürün Senedinin Toplam Ediniş/Maliyet Bedeli</t>
  </si>
  <si>
    <t>★ Belgesiz maliyet → Tüm satış kazanç sayılır — En yüksek risk</t>
  </si>
  <si>
    <t>C.3  Elden Çıkarma Giderleri (Borsa Komisyonu, Harç, Taşıma)</t>
  </si>
  <si>
    <t>BİAŞ komisyonu, takas ücreti vb.</t>
  </si>
  <si>
    <t>C.4  ELDEN ÇIKARMA KAZANCI = C.1 − C.2 − C.3</t>
  </si>
  <si>
    <t>Otomatik</t>
  </si>
  <si>
    <t>C.5  DURUM</t>
  </si>
  <si>
    <t>C.6  GVK GEÇİCİ MD.76 İSTİSNA TUTARI (%100)</t>
  </si>
  <si>
    <t>%100 Tam İstisna → Beyanname 349</t>
  </si>
  <si>
    <t>D. ÇOKLU ÜRÜN SENEDİ İŞLEM TABLOSU</t>
  </si>
  <si>
    <t xml:space="preserve">  Hesap döneminde birden fazla ürün senedi elden çıkarıldıysa her işlem ayrı satıra girin.</t>
  </si>
  <si>
    <t>Tarih</t>
  </si>
  <si>
    <t>Ürün/Miktar</t>
  </si>
  <si>
    <t>Satış Bedeli</t>
  </si>
  <si>
    <t>Maliyet</t>
  </si>
  <si>
    <t>Gider</t>
  </si>
  <si>
    <t>Kazanç</t>
  </si>
  <si>
    <t>İşlem-1</t>
  </si>
  <si>
    <t>İşlem-2</t>
  </si>
  <si>
    <t>İşlem-3</t>
  </si>
  <si>
    <t>İşlem-4</t>
  </si>
  <si>
    <t>İşlem-5</t>
  </si>
  <si>
    <t>TOPLAM</t>
  </si>
  <si>
    <t>E. BEYANNAME 349 — GVK GEÇİCİ MD.76 ÜRÜN SENEDİ ELDEN ÇIKARMA İSTİSNASI</t>
  </si>
  <si>
    <t>E.1  TOPLAM İSTİSNA → Beyanname Satır 349 (Kazancın Bulunması Halinde — %100)</t>
  </si>
  <si>
    <t>C.6 — Kazanç × %100</t>
  </si>
  <si>
    <t xml:space="preserve">  UYARILAR: (1) 5300 s.K. KAPSAMI — Lisanslı depo şartı. (2) ELDEN ÇIKARMA — Hizmet geliri değil, satış/devir kazancı. (3) MALİYET BELGESİ — C.2 zorunlu (belgesiz → tüm satış vergiye tabi riski). (4) GVK GEÇİCİ MD.76 YÜRÜRLÜKTEYİ — Güncel mevzuat kontrol edilmeli. (5) 349 = Kazancın Bulunması Halinde — dönem zararında uygulanamaz.</t>
  </si>
  <si>
    <t>349 – GVK GEÇİCİ MD.76 ÜRÜN SENEDİ İSTİSNASI | HESAPLAMALAR VE DENETİM</t>
  </si>
  <si>
    <t>5300 s.K. / GVK Geçici Md.76 | %100 İstisna | ELÜS / Kağıt Ürün Senedi | BİAŞ Emtia / Teslim | Lisanslı Depo | Maliyet Belgesi Zorunlu | Beyanname 349 | Kazancın Bulunması Halinde</t>
  </si>
  <si>
    <t>A. TASDİK ÖZETİ</t>
  </si>
  <si>
    <t>A0 Tasdik Uygunluğu</t>
  </si>
  <si>
    <t>OK ise devam</t>
  </si>
  <si>
    <t>Lisanslı Depo (B.1)</t>
  </si>
  <si>
    <t>EVET zorunlu</t>
  </si>
  <si>
    <t>Senet Türü (A0.2)</t>
  </si>
  <si>
    <t>ELÜS / Kağıt</t>
  </si>
  <si>
    <t>Satış Bedeli (C.1)</t>
  </si>
  <si>
    <t>Toplam satış hasılatı</t>
  </si>
  <si>
    <t>Maliyet Bedeli (C.2)</t>
  </si>
  <si>
    <t>★ Belgelenmeli</t>
  </si>
  <si>
    <t>Elden Çıkarma Kazancı (C.4)</t>
  </si>
  <si>
    <t>Net kazanç</t>
  </si>
  <si>
    <t>349 İSTİSNA TUTARI (C.6)</t>
  </si>
  <si>
    <t>GVK Geçici Md.76 Yürürlük (A0.4)</t>
  </si>
  <si>
    <t>EVET — kontrol şart</t>
  </si>
  <si>
    <t>B. 5300 S.K. LİSANSLI DEPOCULUK VE ELÜS MEKANİZMASI</t>
  </si>
  <si>
    <t xml:space="preserve">  Ürün senedinin yaşam döngüsü — 349 istisnasının uygulandığı işlem noktası.</t>
  </si>
  <si>
    <t>Aşama</t>
  </si>
  <si>
    <t>Eylem</t>
  </si>
  <si>
    <t>349 Açısından</t>
  </si>
  <si>
    <t>1 — DEPO</t>
  </si>
  <si>
    <t>Tarım ürünü lisanslı depoya teslim</t>
  </si>
  <si>
    <t>Lisanslı depo lisansı → İstisna ön koşulu</t>
  </si>
  <si>
    <t>2 — ELÜS</t>
  </si>
  <si>
    <t>Lisanslı depo ELÜS/kağıt senet düzenler</t>
  </si>
  <si>
    <t>MKK/BİAŞ kaydı veya kağıt belge</t>
  </si>
  <si>
    <t>3 — EDİNİM</t>
  </si>
  <si>
    <t>Kurum senedi satın alır</t>
  </si>
  <si>
    <t>C.2 Maliyet = Edinim bedeli — belgelenmeli</t>
  </si>
  <si>
    <t>4 — ELDEN ÇIKARMA</t>
  </si>
  <si>
    <t>Kurum BİAŞ/teslim ile satar</t>
  </si>
  <si>
    <t>C.4 Kazanç → C.6 %100 İstisna → Beyanname 349</t>
  </si>
  <si>
    <t>C. KAPSAM İÇİ / KAPSAM DIŞI</t>
  </si>
  <si>
    <t>İşlem / Gelir Türü</t>
  </si>
  <si>
    <t>Kapsam?</t>
  </si>
  <si>
    <t>ELÜS elden çıkarma (BİAŞ satışı)</t>
  </si>
  <si>
    <t>KAPSAM İÇİ ✓</t>
  </si>
  <si>
    <t>5300 s.K. ELÜS → BİAŞ Emtia → Kazanç → 349</t>
  </si>
  <si>
    <t>Kağıt ürün senedi teslimle satışı</t>
  </si>
  <si>
    <t>5300 s.K. kağıt senet → Ciro+Teslim → 349</t>
  </si>
  <si>
    <t>Senet bozulup mal teslim alınıp satışı</t>
  </si>
  <si>
    <t>KOŞULLU ⚠</t>
  </si>
  <si>
    <t>Senet elden çıkarma değil, mal satışı → Özelge</t>
  </si>
  <si>
    <t>Depolama/muhafaza hizmet geliri</t>
  </si>
  <si>
    <t>KAPSAM DIŞI ✗</t>
  </si>
  <si>
    <t>Hizmet geliri → 349 kapsamı dışı</t>
  </si>
  <si>
    <t>Lisanssız depo senetleri</t>
  </si>
  <si>
    <t>5300 s.K. kapsamı dışı → İstisna yok</t>
  </si>
  <si>
    <t>Mevduat faizi ve finansal gelirler</t>
  </si>
  <si>
    <t>Finansal gelir → 349 kapsamı dışı</t>
  </si>
  <si>
    <t>D. DENETİM KONTROL LİSTESİ (K1–K12)</t>
  </si>
  <si>
    <t>Kontrol</t>
  </si>
  <si>
    <t>Sonuç</t>
  </si>
  <si>
    <t>K1</t>
  </si>
  <si>
    <t>★ Ürün senedi 5300 s.K. lisanslı depo tarafından düzenlendi mi?</t>
  </si>
  <si>
    <t>Lisanslı depo Bakanlık lisansı dosyada.</t>
  </si>
  <si>
    <t>Uygun/Eksik/Risk</t>
  </si>
  <si>
    <t>K2</t>
  </si>
  <si>
    <t>★ Elden çıkarma kazancı mı? Depolama hizmeti değil mi?</t>
  </si>
  <si>
    <t>Satış/devir kazancı. Hizmet geliri kapsam dışı.</t>
  </si>
  <si>
    <t>K3</t>
  </si>
  <si>
    <t>★ Maliyet bedeli (C.2) belgelendi mi? En yüksek risk!</t>
  </si>
  <si>
    <t>BİAŞ alış kaydı / Fatura / Müstahsil makbuzu.</t>
  </si>
  <si>
    <t>K4</t>
  </si>
  <si>
    <t>GVK Geçici Md.76 güncel yürürlük teyidi yapıldı mı?</t>
  </si>
  <si>
    <t>Geçici madde — her dönem kontrol şart.</t>
  </si>
  <si>
    <t>K5</t>
  </si>
  <si>
    <t>ELÜS ise BİAŞ alış + satış işlem kaydı dosyada mı?</t>
  </si>
  <si>
    <t>Her iki taraf BİAŞ clearing belgesi.</t>
  </si>
  <si>
    <t>K6</t>
  </si>
  <si>
    <t>Kağıt senet ise ciro zinciri ve teslim belgesi mevcut mu?</t>
  </si>
  <si>
    <t>Kağıt senette kıymetli evrak devir prosedürü.</t>
  </si>
  <si>
    <t>K7</t>
  </si>
  <si>
    <t>Senet bozulup mal satışı ayrıştırıldı mı?</t>
  </si>
  <si>
    <t>Senet elden çıkarma ≠ Malın satışı.</t>
  </si>
  <si>
    <t>K8</t>
  </si>
  <si>
    <t>Çoklu işlem varsa D tablosu C.6 ile mutabık mı?</t>
  </si>
  <si>
    <t>D.7 toplam = C.4 ile uyumlu olmalı.</t>
  </si>
  <si>
    <t>K9</t>
  </si>
  <si>
    <t>349 'Kazancın Bulunması Halinde' bölümünde mi?</t>
  </si>
  <si>
    <t>'Zarar Olsa Dahi' değil.</t>
  </si>
  <si>
    <t>K10</t>
  </si>
  <si>
    <t>349 = C.6 uyumlu mu?</t>
  </si>
  <si>
    <t>Beyanname satırı ile C.6 eşit olmalı.</t>
  </si>
  <si>
    <t>K11</t>
  </si>
  <si>
    <t>KDV boyutu analiz edildi mi?</t>
  </si>
  <si>
    <t>Ürün senedi devri KDVK 17/4-g muafiyeti — özelge önerilir.</t>
  </si>
  <si>
    <t>K12</t>
  </si>
  <si>
    <t>YMM Tasdik Raporu (49 No.lu Tebliğ) değerlendirildi mi?</t>
  </si>
  <si>
    <t>&gt;=500.000 TL → YMM raporu.</t>
  </si>
  <si>
    <t>349 – GVK GEÇİCİ MD.76 ÜRÜN SENEDİ | MUHASEBE KAYITLARI</t>
  </si>
  <si>
    <t>5300 s.K. / GVK Geçici Md.76 | %100 | ELÜS/Kağıt | Beyanname 349</t>
  </si>
  <si>
    <t>KAYIT 1 — ÜRÜN SENEDİ EDİNİMİ</t>
  </si>
  <si>
    <t>Hesap</t>
  </si>
  <si>
    <t>Not</t>
  </si>
  <si>
    <t>Dr</t>
  </si>
  <si>
    <t>Kr</t>
  </si>
  <si>
    <t>Ref</t>
  </si>
  <si>
    <t>[Alış]</t>
  </si>
  <si>
    <t>110/111 Menkul Kıymet veya 150/153 Stok</t>
  </si>
  <si>
    <t>ELÜS: Yatırım veya ticari stok — kurum politikasına göre. Kağıt: Emtia stok.</t>
  </si>
  <si>
    <t>[Maliyet TL]</t>
  </si>
  <si>
    <t>—</t>
  </si>
  <si>
    <t>Fatura / BİAŞ alış kaydı</t>
  </si>
  <si>
    <t>102 Bankalar</t>
  </si>
  <si>
    <t>Ödeme</t>
  </si>
  <si>
    <t>Banka dekontu</t>
  </si>
  <si>
    <t xml:space="preserve">  ★ MALİYET KAYDI EN KRİTİK: Edinim bedeli birebir belgeyle örtüşmeli (BİAŞ kaydı / Fatura / Müstahsil makbuzu). Belgesiz maliyet GİB tarafından reddedilebilir — tüm satış hasılatı kazanç sayılır.</t>
  </si>
  <si>
    <t>KAYIT 2 — ELÜS BİAŞ EMTİA SATIŞI</t>
  </si>
  <si>
    <t>[Satış]</t>
  </si>
  <si>
    <t>102 Bankalar / BİAŞ Hesabı</t>
  </si>
  <si>
    <t>BİAŞ hesabına aktarılan satış hasılatı</t>
  </si>
  <si>
    <t>[C.1 TL]</t>
  </si>
  <si>
    <t>BİAŞ işlem onayı</t>
  </si>
  <si>
    <t>110/111/150 Ürün Senedi</t>
  </si>
  <si>
    <t>Maliyet değeriyle aktiften çıkış</t>
  </si>
  <si>
    <t>[C.2 TL]</t>
  </si>
  <si>
    <t>679 Diğer Olağandışı Kâr</t>
  </si>
  <si>
    <t>Kazanç — GVK Geçici Md.76 / 5300 s.K. — 349 İstisna</t>
  </si>
  <si>
    <t>[C.4 TL]</t>
  </si>
  <si>
    <t>KV 349</t>
  </si>
  <si>
    <t xml:space="preserve">  BİAŞ işlem onayı (clearing belgesi) hem alış hem satış için tasdik dosyasında zorunludur.</t>
  </si>
  <si>
    <t>KAYIT 3 — KAĞIT ÜRÜN SENEDİ TESLİM İLE SATIŞI</t>
  </si>
  <si>
    <t>[Teslim]</t>
  </si>
  <si>
    <t>Alıcıdan tahsilat</t>
  </si>
  <si>
    <t>Satış sözleşmesi+Teslim</t>
  </si>
  <si>
    <t>150/153 Stok / 110 Yatırım</t>
  </si>
  <si>
    <t>Kazanç — GVK Geçici Md.76 — 349 İstisna</t>
  </si>
  <si>
    <t xml:space="preserve">  Kağıt ürün senedi kıymetli evrak niteliğinde — ciro zinciri ve fiziki teslim belgesi zorunludur.</t>
  </si>
  <si>
    <t>349 – GVK GEÇİCİ MD.76 ÜRÜN SENEDİ | DENETÇİ NOTLARI</t>
  </si>
  <si>
    <t>5300 s.K. / GVK Geçici Md.76 | %100 | ELÜS/Kağıt | BİAŞ/Teslim | Maliyet Belgesi</t>
  </si>
  <si>
    <t>Kod</t>
  </si>
  <si>
    <t>Konu</t>
  </si>
  <si>
    <t>Mesleki Değerlendirme</t>
  </si>
  <si>
    <t>Mevzuat</t>
  </si>
  <si>
    <t>N1</t>
  </si>
  <si>
    <t>GVK Geçici Md.76 ve 5300 s.K. — Yasal Çerçeve</t>
  </si>
  <si>
    <t>GVK GEÇİCİ MADDE 76:
5300 sayılı Tarım Ürünleri Lisanslı Depoculuk Kanunu kapsamında
düzenlenen ürün senetlerinin elden çıkarılmasından elde edilen kazançlar
gelir/kurumlar vergisinden istisnadır.
MEKANİZMA:
Lisanslı Depo → ELÜS veya Kağıt Senet → Kurum satın alır →
BİAŞ Emtia veya teslim yoluyla satar → Kazanç → %100 İstisna → 349.
ELÜS: MKK/BİAŞ Emtia sistemi — elektronik kaydi araç.
KAĞIT SENET: Lisanslı depo tarafından düzenlenen kıymetli evrak.
BEYANNAME: 349 | Kazancın Bulunması Halinde | %100
GEÇİCİ MADDE: Yürürlük tarihi her dönem kontrol edilmeli.</t>
  </si>
  <si>
    <t>GVK Geçici Md.76 | 5300 s.K. | BİAŞ Emtia Mevzuatı</t>
  </si>
  <si>
    <t>N2</t>
  </si>
  <si>
    <t>Maliyet Belgesi — En Kritik Risk Kalemi</t>
  </si>
  <si>
    <t>MALİYET (C.2) BELGESİNİN HAYATI ÖNEMİ:
Belgesiz maliyet → GİB tüm satış bedelini kazanç sayabilir.
KABUL EDİLEN BELGELER:
ELÜS: BİAŞ alış işlem onayı + hesap ekstresi
Kağıt senet: Alış faturası veya sözleşmesi + banka dekontu
Doğrudan üreticiden alındıysa: Müstahsil makbuzu
YMM KULLANSIN:
'...5300 sayılı Kanun kapsamında [lisanslı depo] tarafından düzenlenen
[ELÜS kodu/senet no] numaralı ürün senedinin elden çıkarılmasından elde edilen kazanç,
GVK Geçici Madde 76 kapsamında kurumlar vergisinden müstesnadır'
KRİTİK HATALAR:
(1) Maliyet belgesi olmadan 349 uygulamak
(2) Lisanssız depo senetlerini 349 kapsamında beyan etmek
(3) GVK Geçici Md.76 yürürlük tarihini kontrol etmemek
(4) Senet bozulup mal satışından doğan kazancı 349'a dahil etmek</t>
  </si>
  <si>
    <t>GVK Geçici Md.76 | 49 No.lu Tebliğ | SM-SMMM-YMM K. Md.12</t>
  </si>
  <si>
    <t xml:space="preserve">  KDV VE TARIMIN ÖZGÜNLÜĞܒ: Ürün senedi devrinde KDVK 17/4-g (tarımsal ürünler) kapsamında muafiyet söz konusu olabilir. GİB özelgesi alınması tavsiye edilir. 5300 s.K. lisanslı depoculuk sisteminin amacı: Üreticilerin ürünü daha iyi koşullarda satması, ürün senedini teminat göstererek kredi kullanması ve fiyat riskini yönetmesidir. YMM müteselsil sorumluluk: SM-SMMM-YMM Kanunu Md.12.</t>
  </si>
  <si>
    <t>349 – GVK GEÇİCİ MD.76 ÜRÜN SENEDİ | BELGE LİSTESİ | YMM TASDİK</t>
  </si>
  <si>
    <t>5300 s.K. / GVK Geçici Md.76 | %100 | ELÜS/Kağıt | Lisanslı Depo | Maliyet Belgesi Zorunlu | Beyanname 349</t>
  </si>
  <si>
    <t>KATEGORİ 1 — ZORUNLU BELGELER (LİSANSLI DEPO + ÜRÜN SENEDİ + MALİYET)</t>
  </si>
  <si>
    <t xml:space="preserve">  ★ 3 Kritik: Lisanslı Depo Lisansı + Ürün Senedi/ELÜS + Maliyet Belgesi</t>
  </si>
  <si>
    <t>No</t>
  </si>
  <si>
    <t>Detay</t>
  </si>
  <si>
    <t>Temin</t>
  </si>
  <si>
    <t>1</t>
  </si>
  <si>
    <t>★ Lisanslı Depo Bakanlık Lisans Belgesi</t>
  </si>
  <si>
    <t>Tarım ve Orman Bakanlığı tarafından verilen lisanslı depoculuk belgesi.
5300 s.K. kapsamında olduğunu gösteren — istisnanın temel koşulu.</t>
  </si>
  <si>
    <t>Tarım Bakanlığı Lisansı</t>
  </si>
  <si>
    <t>2</t>
  </si>
  <si>
    <t>ELÜS Belgesi veya Kağıt Ürün Senedi</t>
  </si>
  <si>
    <t>ELÜS: MKK sistem kaydı ve ELÜS kodunu gösteren belge.
Kağıt: Lisanslı depo düzenlemeli — ciro zinciri eksiksiz.</t>
  </si>
  <si>
    <t>MKK kayıt çıktısı / Kağıt senet aslı</t>
  </si>
  <si>
    <t>3</t>
  </si>
  <si>
    <t>★ Maliyet/Ediniş Belgesi (C.2 — En Kritik Belge)</t>
  </si>
  <si>
    <t>ELÜS: BİAŞ alış işlem onayı + hesap ekstresi.
Kağıt senet: Alış faturası + banka dekontu veya müstahsil makbuzu.
YMM notu: Bu belge olmadan 349 tasdiki tamamlanamaz.</t>
  </si>
  <si>
    <t>BİAŞ işlem kaydı / Fatura / Müstahsil makbuzu</t>
  </si>
  <si>
    <t>4</t>
  </si>
  <si>
    <t>BİAŞ Emtia Satış İşlem Onayı (Clearing Belgesi)</t>
  </si>
  <si>
    <t>ELÜS satışında BİAŞ'tan alınan satış işlem onayı.
Satış bedeli (C.1) ile tutarlı olmalı.</t>
  </si>
  <si>
    <t>BİAŞ hesap ekstresi + İşlem onayı</t>
  </si>
  <si>
    <t>5</t>
  </si>
  <si>
    <t>Kağıt Senet Satış Sözleşmesi ve Teslim Belgesi</t>
  </si>
  <si>
    <t>Kağıt ürün senedi teslim ile satışında imzalı sözleşme ve teslim tutanağı.
Ciro zinciri tamamlanmış olmalı.</t>
  </si>
  <si>
    <t>Satış sözleşmesi + Teslim tutanağı</t>
  </si>
  <si>
    <t>6</t>
  </si>
  <si>
    <t>KV Beyannamesi Taslağı — 349. Satır</t>
  </si>
  <si>
    <t>349 = C.6 ile uyumlu. 'Kazancın Bulunması Halinde' bölümünde.</t>
  </si>
  <si>
    <t>GİB e-Beyanname sistemi</t>
  </si>
  <si>
    <t>KATEGORİ 2 — GEÇERLİLİK VE EK BELGELER</t>
  </si>
  <si>
    <t>7</t>
  </si>
  <si>
    <t>GVK Geçici Md.76 Yürürlük Teyidi</t>
  </si>
  <si>
    <t>Hesap dönemi itibarıyla GVK Geçici Md.76'nın yürürlükte olduğuna dair mevzuat kaydı.
Resmi Gazete veya GİB mevzuat sisteminden kontrol.</t>
  </si>
  <si>
    <t>Resmi Gazete / GİB mevzuat sistemi</t>
  </si>
  <si>
    <t>8</t>
  </si>
  <si>
    <t>GİB Özelgesi (Tartışmalı Konular İçin)</t>
  </si>
  <si>
    <t>Senet bozulup mal satışı ayrımı, KDV muafiyeti (KDVK 17/4-g), vadeli işlemler gibi tartışmalı konular.</t>
  </si>
  <si>
    <t>GİB özelge başvuru sistemi</t>
  </si>
  <si>
    <t>KATEGORİ 3 — YMM TASDİK KONTROL SORULARI</t>
  </si>
  <si>
    <t>Beklenen Sonuç</t>
  </si>
  <si>
    <t>YMM Aksiyonu</t>
  </si>
  <si>
    <t>S1</t>
  </si>
  <si>
    <t>Bakanlık lisansı dosyada.</t>
  </si>
  <si>
    <t>YMM kontrolü</t>
  </si>
  <si>
    <t>S2</t>
  </si>
  <si>
    <t>Satış/devir kazancı. Hizmet dışı.</t>
  </si>
  <si>
    <t>S3</t>
  </si>
  <si>
    <t>★ Maliyet belgesi (C.2) mevcut mu? En kritik belge!</t>
  </si>
  <si>
    <t>BİAŞ alış kaydı / Fatura / Makbuz.</t>
  </si>
  <si>
    <t>S4</t>
  </si>
  <si>
    <t>GVK Geçici Md.76 güncel yürürlük kontrol edildi mi?</t>
  </si>
  <si>
    <t>Her dönem kontrol — geçici madde.</t>
  </si>
  <si>
    <t>S5</t>
  </si>
  <si>
    <t>ELÜS ise alış + satış BİAŞ işlem onayı var mı?</t>
  </si>
  <si>
    <t>S6</t>
  </si>
  <si>
    <t>Kağıt senet ise ciro + teslim belgesi var mı?</t>
  </si>
  <si>
    <t>Kıymetli evrak devir prosedürü.</t>
  </si>
  <si>
    <t>S7</t>
  </si>
  <si>
    <t>Senet elden çıkarma ≠ Mal satışı.</t>
  </si>
  <si>
    <t>S8</t>
  </si>
  <si>
    <t>S9</t>
  </si>
  <si>
    <t>YMM Tasdik Raporu değerlendirildi mi?</t>
  </si>
  <si>
    <t>SON NOT: 49 No.lu Tebliğ: &gt;=500.000 TL → YMM raporu. Tam tasdik → ayrıca rapor yok. 349'un setin diğer dosyalarından özgün yeri: (1) GVK Geçici Md.76 kaynaklı (193 s.K.) — KVK veya özel kanun değil. (2) Tarım sektörüne özgü — ELÜS/BİAŞ Emtia/Lisanslı Depoculuk. (3) En kritik belge: Maliyet belgesi — belgesiz bırakılırsa tüm satış vergiye tabi riski. (4) GVK Geçici Madde statüsü — her dönem yürürlük kontrolü. YMM müteselsil sorumluluk: SM-SMMM-YMM Kanunu Md.12.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</si>
</sst>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9"/>
      <color rgb="FFFFFFFF"/>
      <name val="Arial"/>
    </font>
    <font>
      <sz val="9"/>
      <color rgb="FFC0392B"/>
      <name val="Arial"/>
    </font>
    <font>
      <sz val="8"/>
      <color rgb="FF33691A"/>
      <name val="Arial"/>
    </font>
    <font>
      <b/>
      <sz val="10"/>
      <color rgb="FFFFFFFF"/>
      <name val="Arial"/>
    </font>
    <font>
      <b/>
      <sz val="9"/>
      <color rgb="FFC0392B"/>
      <name val="Arial"/>
    </font>
    <font>
      <b/>
      <sz val="10"/>
      <color rgb="FF0000FF"/>
      <name val="Arial"/>
    </font>
    <font>
      <i/>
      <sz val="8"/>
      <color rgb="FFC0392B"/>
      <name val="Arial"/>
    </font>
    <font>
      <b/>
      <sz val="9"/>
      <color rgb="FF1F3864"/>
      <name val="Arial"/>
    </font>
    <font>
      <i/>
      <sz val="8"/>
      <color rgb="FF555555"/>
      <name val="Arial"/>
    </font>
    <font>
      <b/>
      <sz val="10"/>
      <color rgb="FF1B5E20"/>
      <name val="Arial"/>
    </font>
    <font>
      <i/>
      <sz val="8"/>
      <color rgb="FF888888"/>
      <name val="Arial"/>
    </font>
    <font>
      <sz val="9"/>
      <color rgb="FF1A5276"/>
      <name val="Arial"/>
    </font>
    <font>
      <i/>
      <sz val="8"/>
      <color rgb="FF33691A"/>
      <name val="Arial"/>
    </font>
    <font>
      <b/>
      <i/>
      <sz val="8"/>
      <color rgb="FFC0392B"/>
      <name val="Arial"/>
    </font>
    <font>
      <b/>
      <sz val="9"/>
      <color rgb="FF1B5E20"/>
      <name val="Arial"/>
    </font>
    <font>
      <b/>
      <sz val="13"/>
      <color rgb="FF1B5E20"/>
      <name val="Arial"/>
    </font>
    <font>
      <b/>
      <sz val="9"/>
      <color rgb="FF33691A"/>
      <name val="Arial"/>
    </font>
    <font>
      <b/>
      <sz val="11"/>
      <color rgb="FF1B5E20"/>
      <name val="Arial"/>
    </font>
    <font>
      <b/>
      <sz val="11"/>
      <color rgb="FFFFFFFF"/>
      <name val="Arial"/>
    </font>
    <font>
      <b/>
      <sz val="14"/>
      <color rgb="FF1B5E20"/>
      <name val="Arial"/>
    </font>
    <font>
      <i/>
      <sz val="8"/>
      <color rgb="FF1B5E20"/>
      <name val="Arial"/>
    </font>
    <font>
      <b/>
      <sz val="12"/>
      <color rgb="FFFFFFFF"/>
      <name val="Arial"/>
    </font>
    <font>
      <sz val="8"/>
      <color rgb="FF333333"/>
      <name val="Arial"/>
    </font>
    <font>
      <b/>
      <sz val="9"/>
      <color rgb="FF7B5E00"/>
      <name val="Arial"/>
    </font>
    <font>
      <b/>
      <sz val="36"/>
      <color rgb="FFFFFFFF"/>
      <name val="Arial"/>
    </font>
    <font>
      <b/>
      <sz val="26"/>
      <color rgb="FFFFFFFF"/>
      <name val="Arial"/>
    </font>
    <font>
      <sz val="9"/>
      <color rgb="FF1F3864"/>
      <name val="Arial"/>
    </font>
    <font>
      <i/>
      <sz val="8"/>
      <color rgb="FF444444"/>
      <name val="Arial"/>
    </font>
    <font>
      <sz val="20"/>
      <color rgb="FFFFFFFF"/>
      <name val="Arial"/>
    </font>
    <font>
      <b/>
      <sz val="9"/>
      <color rgb="FF1565C0"/>
      <name val="Arial"/>
    </font>
    <font>
      <i/>
      <sz val="8"/>
      <color rgb="FF1565C0"/>
      <name val="Arial"/>
    </font>
  </fonts>
  <fills count="28">
    <fill>
      <patternFill patternType="none"/>
    </fill>
    <fill>
      <patternFill patternType="gray125"/>
    </fill>
    <fill>
      <patternFill patternType="solid">
        <fgColor rgb="FF33691A"/>
      </patternFill>
    </fill>
    <fill>
      <patternFill patternType="solid">
        <fgColor rgb="FF2E4057"/>
      </patternFill>
    </fill>
    <fill>
      <patternFill patternType="solid">
        <fgColor rgb="FFFCE4D6"/>
      </patternFill>
    </fill>
    <fill>
      <patternFill patternType="solid">
        <fgColor rgb="FFF1F8E9"/>
      </patternFill>
    </fill>
    <fill>
      <patternFill patternType="solid">
        <fgColor rgb="FFF0F0F0"/>
      </patternFill>
    </fill>
    <fill>
      <patternFill patternType="solid">
        <fgColor rgb="FFC0392B"/>
      </patternFill>
    </fill>
    <fill>
      <patternFill patternType="solid">
        <fgColor rgb="FF2E5FA3"/>
      </patternFill>
    </fill>
    <fill>
      <patternFill patternType="solid">
        <fgColor rgb="FFFFFF00"/>
      </patternFill>
    </fill>
    <fill>
      <patternFill patternType="solid">
        <fgColor rgb="FFFFFFFF"/>
      </patternFill>
    </fill>
    <fill>
      <patternFill patternType="solid">
        <fgColor rgb="FFC6EFCE"/>
      </patternFill>
    </fill>
    <fill>
      <patternFill patternType="solid">
        <fgColor rgb="FFEEF4FF"/>
      </patternFill>
    </fill>
    <fill>
      <patternFill patternType="solid">
        <fgColor rgb="FF1B5E20"/>
      </patternFill>
    </fill>
    <fill>
      <patternFill patternType="solid">
        <fgColor rgb="FF00695C"/>
      </patternFill>
    </fill>
    <fill>
      <patternFill patternType="solid">
        <fgColor rgb="FF827717"/>
      </patternFill>
    </fill>
    <fill>
      <patternFill patternType="solid">
        <fgColor rgb="FFFFF9C4"/>
      </patternFill>
    </fill>
    <fill>
      <patternFill patternType="solid">
        <fgColor rgb="FFFFF5F5"/>
      </patternFill>
    </fill>
    <fill>
      <patternFill patternType="solid">
        <fgColor rgb="FF558B2F"/>
      </patternFill>
    </fill>
    <fill>
      <patternFill patternType="solid">
        <fgColor rgb="FFF7F7F7"/>
      </patternFill>
    </fill>
    <fill>
      <patternFill patternType="solid">
        <fgColor rgb="FFEBF5EB"/>
      </patternFill>
    </fill>
    <fill>
      <patternFill patternType="solid">
        <fgColor rgb="FF7D3C98"/>
      </patternFill>
    </fill>
    <fill>
      <patternFill patternType="solid">
        <fgColor rgb="FFEDE7F6"/>
      </patternFill>
    </fill>
    <fill>
      <patternFill patternType="solid">
        <fgColor rgb="FFF3E5F5"/>
      </patternFill>
    </fill>
    <fill>
      <patternFill patternType="solid">
        <fgColor rgb="FF1565C0"/>
      </patternFill>
    </fill>
    <fill>
      <patternFill patternType="solid">
        <fgColor rgb="FFE8F4F8"/>
      </patternFill>
    </fill>
    <fill>
      <patternFill patternType="solid">
        <fgColor rgb="FFD0EAF0"/>
      </patternFill>
    </fill>
    <fill>
      <patternFill patternType="solid">
        <fgColor rgb="FFE3F2FD"/>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999999"/>
      </left>
      <right style="thin">
        <color rgb="FF999999"/>
      </right>
      <top style="thin">
        <color rgb="FF999999"/>
      </top>
      <bottom style="thin">
        <color rgb="FF999999"/>
      </bottom>
      <diagonal/>
    </border>
    <border>
      <left style="thin">
        <color rgb="FF009900"/>
      </left>
      <right style="thin">
        <color rgb="FF009900"/>
      </right>
      <top style="thin">
        <color rgb="FF009900"/>
      </top>
      <bottom style="thin">
        <color rgb="FF009900"/>
      </bottom>
      <diagonal/>
    </border>
  </borders>
  <cellStyleXfs count="1">
    <xf numFmtId="0" fontId="0" fillId="0" borderId="0"/>
  </cellStyleXfs>
  <cellXfs count="125">
    <xf numFmtId="0" fontId="0" fillId="0" borderId="0" xfId="0"/>
    <xf numFmtId="0" fontId="0" fillId="6" borderId="1" xfId="0" applyFill="1" applyBorder="1"/>
    <xf numFmtId="0" fontId="1" fillId="8" borderId="2" xfId="0" applyFont="1" applyFill="1" applyBorder="1" applyAlignment="1">
      <alignment horizontal="center" vertical="center"/>
    </xf>
    <xf numFmtId="0" fontId="6" fillId="9" borderId="1" xfId="0" applyFont="1" applyFill="1" applyBorder="1" applyAlignment="1">
      <alignment horizontal="center" vertical="center"/>
    </xf>
    <xf numFmtId="0" fontId="0" fillId="10" borderId="1" xfId="0" applyFill="1" applyBorder="1"/>
    <xf numFmtId="0" fontId="0" fillId="11" borderId="1" xfId="0" applyFill="1" applyBorder="1"/>
    <xf numFmtId="0" fontId="10" fillId="11" borderId="1" xfId="0" applyFont="1" applyFill="1" applyBorder="1" applyAlignment="1">
      <alignment horizontal="center" vertical="center"/>
    </xf>
    <xf numFmtId="0" fontId="0" fillId="12" borderId="1" xfId="0" applyFill="1" applyBorder="1"/>
    <xf numFmtId="0" fontId="0" fillId="9" borderId="1" xfId="0" applyFill="1" applyBorder="1" applyAlignment="1">
      <alignment horizontal="center" vertical="center"/>
    </xf>
    <xf numFmtId="0" fontId="5" fillId="4" borderId="1" xfId="0" applyFont="1" applyFill="1" applyBorder="1" applyAlignment="1">
      <alignment horizontal="center" vertical="center"/>
    </xf>
    <xf numFmtId="0" fontId="16" fillId="11" borderId="1" xfId="0" applyFont="1" applyFill="1" applyBorder="1" applyAlignment="1">
      <alignment horizontal="center" vertical="center"/>
    </xf>
    <xf numFmtId="0" fontId="17" fillId="12" borderId="1" xfId="0" applyFont="1" applyFill="1" applyBorder="1" applyAlignment="1">
      <alignment horizontal="center" vertical="center"/>
    </xf>
    <xf numFmtId="0" fontId="17" fillId="10" borderId="1" xfId="0" applyFont="1" applyFill="1" applyBorder="1" applyAlignment="1">
      <alignment horizontal="center" vertical="center"/>
    </xf>
    <xf numFmtId="0" fontId="1" fillId="2" borderId="1" xfId="0" applyFont="1" applyFill="1" applyBorder="1" applyAlignment="1">
      <alignment horizontal="center" vertical="center"/>
    </xf>
    <xf numFmtId="0" fontId="18" fillId="11" borderId="3" xfId="0" applyFont="1" applyFill="1" applyBorder="1" applyAlignment="1">
      <alignment horizontal="center" vertical="center"/>
    </xf>
    <xf numFmtId="0" fontId="20" fillId="11" borderId="3" xfId="0" applyFont="1" applyFill="1" applyBorder="1" applyAlignment="1">
      <alignment horizontal="center" vertical="center"/>
    </xf>
    <xf numFmtId="0" fontId="21" fillId="11" borderId="1" xfId="0" applyFont="1" applyFill="1" applyBorder="1" applyAlignment="1">
      <alignment horizontal="left" vertical="center" wrapText="1"/>
    </xf>
    <xf numFmtId="0" fontId="18" fillId="12" borderId="1" xfId="0" applyFont="1" applyFill="1" applyBorder="1" applyAlignment="1">
      <alignment horizontal="center" vertical="center"/>
    </xf>
    <xf numFmtId="0" fontId="18" fillId="11"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1" fillId="15" borderId="1" xfId="0" applyFont="1" applyFill="1" applyBorder="1" applyAlignment="1">
      <alignment horizontal="center" vertical="center" wrapText="1"/>
    </xf>
    <xf numFmtId="0" fontId="15" fillId="11" borderId="1" xfId="0" applyFont="1" applyFill="1" applyBorder="1" applyAlignment="1">
      <alignment horizontal="center" vertical="center"/>
    </xf>
    <xf numFmtId="0" fontId="24" fillId="16" borderId="1" xfId="0" applyFont="1" applyFill="1" applyBorder="1" applyAlignment="1">
      <alignment horizontal="center" vertical="center"/>
    </xf>
    <xf numFmtId="0" fontId="1" fillId="2" borderId="1" xfId="0" applyFont="1" applyFill="1" applyBorder="1" applyAlignment="1">
      <alignment horizontal="center" vertical="top"/>
    </xf>
    <xf numFmtId="0" fontId="23" fillId="17" borderId="1" xfId="0" applyFont="1" applyFill="1" applyBorder="1" applyAlignment="1">
      <alignment horizontal="left" vertical="top" wrapText="1"/>
    </xf>
    <xf numFmtId="0" fontId="0" fillId="9" borderId="1" xfId="0" applyFill="1" applyBorder="1" applyAlignment="1">
      <alignment horizontal="center" vertical="top"/>
    </xf>
    <xf numFmtId="0" fontId="8" fillId="12" borderId="1" xfId="0" applyFont="1" applyFill="1" applyBorder="1" applyAlignment="1">
      <alignment horizontal="left" vertical="top" wrapText="1"/>
    </xf>
    <xf numFmtId="0" fontId="23" fillId="12" borderId="1" xfId="0" applyFont="1" applyFill="1" applyBorder="1" applyAlignment="1">
      <alignment horizontal="left" vertical="top" wrapText="1"/>
    </xf>
    <xf numFmtId="0" fontId="8" fillId="10" borderId="1" xfId="0" applyFont="1" applyFill="1" applyBorder="1" applyAlignment="1">
      <alignment horizontal="left" vertical="top" wrapText="1"/>
    </xf>
    <xf numFmtId="0" fontId="27" fillId="12" borderId="1" xfId="0" applyFont="1" applyFill="1" applyBorder="1" applyAlignment="1">
      <alignment horizontal="center" vertical="center" wrapText="1"/>
    </xf>
    <xf numFmtId="0" fontId="27" fillId="10" borderId="1" xfId="0" applyFont="1" applyFill="1" applyBorder="1" applyAlignment="1">
      <alignment horizontal="center" vertical="center" wrapText="1"/>
    </xf>
    <xf numFmtId="0" fontId="0" fillId="10" borderId="1" xfId="0" applyFill="1" applyBorder="1" applyAlignment="1">
      <alignment horizontal="center" vertical="center" wrapText="1"/>
    </xf>
    <xf numFmtId="0" fontId="23" fillId="19" borderId="1" xfId="0" applyFont="1" applyFill="1" applyBorder="1" applyAlignment="1">
      <alignment horizontal="left" vertical="top" wrapText="1"/>
    </xf>
    <xf numFmtId="0" fontId="28" fillId="12" borderId="1" xfId="0" applyFont="1" applyFill="1" applyBorder="1" applyAlignment="1">
      <alignment horizontal="left" vertical="top" wrapText="1"/>
    </xf>
    <xf numFmtId="0" fontId="28" fillId="10" borderId="1" xfId="0" applyFont="1" applyFill="1" applyBorder="1" applyAlignment="1">
      <alignment horizontal="left" vertical="top" wrapText="1"/>
    </xf>
    <xf numFmtId="0" fontId="8" fillId="11" borderId="1" xfId="0" applyFont="1" applyFill="1" applyBorder="1" applyAlignment="1">
      <alignment horizontal="center" vertical="top"/>
    </xf>
    <xf numFmtId="0" fontId="8" fillId="11" borderId="1" xfId="0" applyFont="1" applyFill="1" applyBorder="1" applyAlignment="1">
      <alignment horizontal="left" vertical="top" wrapText="1"/>
    </xf>
    <xf numFmtId="0" fontId="23" fillId="20" borderId="1" xfId="0" applyFont="1" applyFill="1" applyBorder="1" applyAlignment="1">
      <alignment horizontal="left" vertical="top" wrapText="1"/>
    </xf>
    <xf numFmtId="0" fontId="28" fillId="11" borderId="1" xfId="0" applyFont="1" applyFill="1" applyBorder="1" applyAlignment="1">
      <alignment horizontal="left" vertical="top" wrapText="1"/>
    </xf>
    <xf numFmtId="0" fontId="0" fillId="22" borderId="1" xfId="0" applyFill="1" applyBorder="1"/>
    <xf numFmtId="0" fontId="8" fillId="22" borderId="1" xfId="0" applyFont="1" applyFill="1" applyBorder="1" applyAlignment="1">
      <alignment horizontal="center" vertical="top"/>
    </xf>
    <xf numFmtId="0" fontId="8" fillId="22" borderId="1" xfId="0" applyFont="1" applyFill="1" applyBorder="1" applyAlignment="1">
      <alignment horizontal="left" vertical="top" wrapText="1"/>
    </xf>
    <xf numFmtId="0" fontId="23" fillId="23" borderId="1" xfId="0" applyFont="1" applyFill="1" applyBorder="1" applyAlignment="1">
      <alignment horizontal="left" vertical="top" wrapText="1"/>
    </xf>
    <xf numFmtId="0" fontId="28" fillId="22" borderId="1" xfId="0" applyFont="1" applyFill="1" applyBorder="1" applyAlignment="1">
      <alignment horizontal="left" vertical="top" wrapText="1"/>
    </xf>
    <xf numFmtId="0" fontId="1" fillId="24" borderId="2" xfId="0" applyFont="1" applyFill="1" applyBorder="1" applyAlignment="1">
      <alignment horizontal="center" vertical="center"/>
    </xf>
    <xf numFmtId="0" fontId="0" fillId="25" borderId="1" xfId="0" applyFill="1" applyBorder="1"/>
    <xf numFmtId="0" fontId="30" fillId="25" borderId="1" xfId="0" applyFont="1" applyFill="1" applyBorder="1" applyAlignment="1">
      <alignment horizontal="center" vertical="top"/>
    </xf>
    <xf numFmtId="0" fontId="30" fillId="25" borderId="1" xfId="0" applyFont="1" applyFill="1" applyBorder="1" applyAlignment="1">
      <alignment horizontal="left" vertical="top" wrapText="1"/>
    </xf>
    <xf numFmtId="0" fontId="23" fillId="26" borderId="1" xfId="0" applyFont="1" applyFill="1" applyBorder="1" applyAlignment="1">
      <alignment horizontal="left" vertical="top" wrapText="1"/>
    </xf>
    <xf numFmtId="0" fontId="31" fillId="25" borderId="1" xfId="0" applyFont="1" applyFill="1" applyBorder="1" applyAlignment="1">
      <alignment horizontal="center" vertical="top"/>
    </xf>
    <xf numFmtId="0" fontId="0" fillId="27" borderId="1" xfId="0" applyFill="1" applyBorder="1"/>
    <xf numFmtId="0" fontId="30" fillId="27" borderId="1" xfId="0" applyFont="1" applyFill="1" applyBorder="1" applyAlignment="1">
      <alignment horizontal="center" vertical="top"/>
    </xf>
    <xf numFmtId="0" fontId="30" fillId="27" borderId="1" xfId="0" applyFont="1" applyFill="1" applyBorder="1" applyAlignment="1">
      <alignment horizontal="left" vertical="top" wrapText="1"/>
    </xf>
    <xf numFmtId="0" fontId="31" fillId="27" borderId="1" xfId="0" applyFont="1" applyFill="1" applyBorder="1" applyAlignment="1">
      <alignment horizontal="center" vertical="top"/>
    </xf>
    <xf numFmtId="0" fontId="11" fillId="10" borderId="1" xfId="0" applyFont="1" applyFill="1" applyBorder="1" applyAlignment="1">
      <alignment horizontal="left" vertical="center" wrapText="1"/>
    </xf>
    <xf numFmtId="0" fontId="0" fillId="10" borderId="1" xfId="0" applyFill="1" applyBorder="1"/>
    <xf numFmtId="0" fontId="4" fillId="2" borderId="2" xfId="0" applyFont="1" applyFill="1" applyBorder="1" applyAlignment="1">
      <alignment horizontal="left" vertical="center"/>
    </xf>
    <xf numFmtId="0" fontId="0" fillId="2" borderId="2" xfId="0" applyFill="1" applyBorder="1"/>
    <xf numFmtId="0" fontId="0" fillId="9" borderId="1" xfId="0" applyFill="1" applyBorder="1"/>
    <xf numFmtId="0" fontId="8" fillId="10" borderId="1" xfId="0" applyFont="1" applyFill="1" applyBorder="1" applyAlignment="1">
      <alignment horizontal="left" vertical="center" wrapText="1"/>
    </xf>
    <xf numFmtId="0" fontId="15" fillId="11" borderId="1" xfId="0" applyFont="1" applyFill="1" applyBorder="1" applyAlignment="1">
      <alignment horizontal="left" vertical="center" wrapText="1"/>
    </xf>
    <xf numFmtId="0" fontId="0" fillId="11" borderId="1" xfId="0" applyFill="1" applyBorder="1"/>
    <xf numFmtId="0" fontId="8" fillId="12" borderId="1" xfId="0" applyFont="1" applyFill="1" applyBorder="1" applyAlignment="1">
      <alignment horizontal="left" vertical="center" wrapText="1"/>
    </xf>
    <xf numFmtId="0" fontId="0" fillId="12" borderId="1" xfId="0" applyFill="1" applyBorder="1"/>
    <xf numFmtId="0" fontId="9" fillId="10" borderId="1" xfId="0" applyFont="1" applyFill="1" applyBorder="1" applyAlignment="1">
      <alignment horizontal="left" vertical="center" wrapText="1"/>
    </xf>
    <xf numFmtId="0" fontId="12" fillId="12"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0" fillId="4" borderId="1" xfId="0" applyFill="1" applyBorder="1"/>
    <xf numFmtId="0" fontId="11" fillId="12" borderId="1" xfId="0" applyFont="1" applyFill="1" applyBorder="1" applyAlignment="1">
      <alignment horizontal="left" vertical="center" wrapText="1"/>
    </xf>
    <xf numFmtId="0" fontId="13" fillId="10" borderId="1" xfId="0" applyFont="1" applyFill="1" applyBorder="1" applyAlignment="1">
      <alignment horizontal="left" vertical="center" wrapText="1"/>
    </xf>
    <xf numFmtId="0" fontId="1" fillId="2" borderId="1" xfId="0" applyFont="1" applyFill="1" applyBorder="1" applyAlignment="1">
      <alignment horizontal="left" vertical="center"/>
    </xf>
    <xf numFmtId="0" fontId="0" fillId="2" borderId="1" xfId="0" applyFill="1" applyBorder="1"/>
    <xf numFmtId="0" fontId="14" fillId="4"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19" fillId="2" borderId="2" xfId="0" applyFont="1" applyFill="1" applyBorder="1" applyAlignment="1">
      <alignment horizontal="left" vertical="center"/>
    </xf>
    <xf numFmtId="0" fontId="5" fillId="4" borderId="2" xfId="0" applyFont="1" applyFill="1" applyBorder="1" applyAlignment="1">
      <alignment horizontal="left" vertical="center" wrapText="1"/>
    </xf>
    <xf numFmtId="0" fontId="0" fillId="4" borderId="2" xfId="0" applyFill="1" applyBorder="1"/>
    <xf numFmtId="0" fontId="5"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0" fillId="5" borderId="1" xfId="0" applyFill="1" applyBorder="1"/>
    <xf numFmtId="0" fontId="4" fillId="7" borderId="2" xfId="0" applyFont="1" applyFill="1" applyBorder="1" applyAlignment="1">
      <alignment horizontal="left" vertical="center"/>
    </xf>
    <xf numFmtId="0" fontId="0" fillId="7" borderId="2" xfId="0" applyFill="1" applyBorder="1"/>
    <xf numFmtId="0" fontId="1" fillId="3" borderId="1" xfId="0" applyFont="1" applyFill="1" applyBorder="1" applyAlignment="1">
      <alignment horizontal="left" vertical="center" wrapText="1"/>
    </xf>
    <xf numFmtId="0" fontId="0" fillId="3" borderId="1" xfId="0" applyFill="1" applyBorder="1"/>
    <xf numFmtId="0" fontId="7" fillId="11" borderId="1" xfId="0" applyFont="1" applyFill="1" applyBorder="1" applyAlignment="1">
      <alignment horizontal="left" vertical="center" wrapText="1"/>
    </xf>
    <xf numFmtId="0" fontId="8" fillId="11" borderId="1" xfId="0" applyFont="1" applyFill="1" applyBorder="1" applyAlignment="1">
      <alignment horizontal="left" vertical="center"/>
    </xf>
    <xf numFmtId="0" fontId="13" fillId="12" borderId="1" xfId="0" applyFont="1" applyFill="1" applyBorder="1" applyAlignment="1">
      <alignment horizontal="left" vertical="center" wrapText="1"/>
    </xf>
    <xf numFmtId="0" fontId="11" fillId="11" borderId="1" xfId="0" applyFont="1" applyFill="1" applyBorder="1" applyAlignment="1">
      <alignment horizontal="left" vertical="center" wrapText="1"/>
    </xf>
    <xf numFmtId="0" fontId="4" fillId="2" borderId="1" xfId="0" applyFont="1" applyFill="1" applyBorder="1" applyAlignment="1">
      <alignment horizontal="left" vertical="center"/>
    </xf>
    <xf numFmtId="0" fontId="9" fillId="12" borderId="1" xfId="0" applyFont="1" applyFill="1" applyBorder="1" applyAlignment="1">
      <alignment horizontal="left" vertical="center" wrapText="1"/>
    </xf>
    <xf numFmtId="0" fontId="23" fillId="10" borderId="1" xfId="0" applyFont="1" applyFill="1" applyBorder="1" applyAlignment="1">
      <alignment horizontal="left" vertical="center" wrapText="1"/>
    </xf>
    <xf numFmtId="0" fontId="8" fillId="12" borderId="1" xfId="0" applyFont="1" applyFill="1" applyBorder="1" applyAlignment="1">
      <alignment horizontal="left" vertical="center"/>
    </xf>
    <xf numFmtId="0" fontId="23" fillId="17" borderId="1" xfId="0" applyFont="1" applyFill="1" applyBorder="1" applyAlignment="1">
      <alignment horizontal="left" vertical="top" wrapText="1"/>
    </xf>
    <xf numFmtId="0" fontId="0" fillId="17" borderId="1" xfId="0" applyFill="1" applyBorder="1"/>
    <xf numFmtId="0" fontId="4" fillId="13" borderId="2" xfId="0" applyFont="1" applyFill="1" applyBorder="1" applyAlignment="1">
      <alignment horizontal="left" vertical="center"/>
    </xf>
    <xf numFmtId="0" fontId="0" fillId="13" borderId="2" xfId="0" applyFill="1" applyBorder="1"/>
    <xf numFmtId="0" fontId="23" fillId="12" borderId="1" xfId="0" applyFont="1" applyFill="1" applyBorder="1" applyAlignment="1">
      <alignment horizontal="left" vertical="center" wrapText="1"/>
    </xf>
    <xf numFmtId="0" fontId="23" fillId="12" borderId="1" xfId="0" applyFont="1" applyFill="1" applyBorder="1" applyAlignment="1">
      <alignment horizontal="left" vertical="top" wrapText="1"/>
    </xf>
    <xf numFmtId="0" fontId="8" fillId="10" borderId="1" xfId="0" applyFont="1" applyFill="1" applyBorder="1" applyAlignment="1">
      <alignment horizontal="left" vertical="center"/>
    </xf>
    <xf numFmtId="0" fontId="8" fillId="10" borderId="1" xfId="0" applyFont="1" applyFill="1" applyBorder="1" applyAlignment="1">
      <alignment horizontal="left" vertical="top" wrapText="1"/>
    </xf>
    <xf numFmtId="0" fontId="9" fillId="11" borderId="1" xfId="0" applyFont="1" applyFill="1" applyBorder="1" applyAlignment="1">
      <alignment horizontal="left" vertical="center" wrapText="1"/>
    </xf>
    <xf numFmtId="0" fontId="8" fillId="12" borderId="1" xfId="0" applyFont="1" applyFill="1" applyBorder="1" applyAlignment="1">
      <alignment horizontal="left" vertical="top" wrapText="1"/>
    </xf>
    <xf numFmtId="0" fontId="23" fillId="11" borderId="1" xfId="0" applyFont="1" applyFill="1" applyBorder="1" applyAlignment="1">
      <alignment horizontal="left" vertical="center" wrapText="1"/>
    </xf>
    <xf numFmtId="0" fontId="8" fillId="11" borderId="1" xfId="0" applyFont="1" applyFill="1" applyBorder="1" applyAlignment="1">
      <alignment horizontal="left" vertical="center" wrapText="1"/>
    </xf>
    <xf numFmtId="0" fontId="23" fillId="10" borderId="1" xfId="0" applyFont="1" applyFill="1" applyBorder="1" applyAlignment="1">
      <alignment horizontal="left" vertical="top" wrapText="1"/>
    </xf>
    <xf numFmtId="0" fontId="22" fillId="2" borderId="2" xfId="0" applyFont="1" applyFill="1" applyBorder="1" applyAlignment="1">
      <alignment horizontal="left" vertical="center"/>
    </xf>
    <xf numFmtId="0" fontId="5" fillId="4" borderId="1" xfId="0" applyFont="1" applyFill="1" applyBorder="1" applyAlignment="1">
      <alignment horizontal="left" vertical="top" wrapText="1"/>
    </xf>
    <xf numFmtId="0" fontId="27" fillId="11" borderId="1" xfId="0" applyFont="1" applyFill="1" applyBorder="1" applyAlignment="1">
      <alignment horizontal="left" vertical="center" wrapText="1"/>
    </xf>
    <xf numFmtId="0" fontId="26" fillId="2" borderId="2" xfId="0" applyFont="1" applyFill="1" applyBorder="1" applyAlignment="1">
      <alignment horizontal="left" vertical="center"/>
    </xf>
    <xf numFmtId="0" fontId="25" fillId="2" borderId="2" xfId="0" applyFont="1" applyFill="1" applyBorder="1" applyAlignment="1">
      <alignment horizontal="left" vertical="center"/>
    </xf>
    <xf numFmtId="0" fontId="26" fillId="14" borderId="2" xfId="0" applyFont="1" applyFill="1" applyBorder="1" applyAlignment="1">
      <alignment horizontal="left" vertical="center"/>
    </xf>
    <xf numFmtId="0" fontId="0" fillId="14" borderId="2" xfId="0" applyFill="1" applyBorder="1"/>
    <xf numFmtId="0" fontId="26" fillId="18" borderId="2" xfId="0" applyFont="1" applyFill="1" applyBorder="1" applyAlignment="1">
      <alignment horizontal="left" vertical="center"/>
    </xf>
    <xf numFmtId="0" fontId="0" fillId="18" borderId="2" xfId="0" applyFill="1" applyBorder="1"/>
    <xf numFmtId="0" fontId="27" fillId="12" borderId="1" xfId="0" applyFont="1" applyFill="1" applyBorder="1" applyAlignment="1">
      <alignment horizontal="left" vertical="center" wrapText="1"/>
    </xf>
    <xf numFmtId="0" fontId="4" fillId="3" borderId="2" xfId="0" applyFont="1" applyFill="1" applyBorder="1" applyAlignment="1">
      <alignment horizontal="left" vertical="center"/>
    </xf>
    <xf numFmtId="0" fontId="0" fillId="3" borderId="2" xfId="0" applyFill="1" applyBorder="1"/>
    <xf numFmtId="0" fontId="24" fillId="16" borderId="2" xfId="0" applyFont="1" applyFill="1" applyBorder="1" applyAlignment="1">
      <alignment horizontal="left" vertical="center" wrapText="1"/>
    </xf>
    <xf numFmtId="0" fontId="0" fillId="16" borderId="2" xfId="0" applyFill="1" applyBorder="1"/>
    <xf numFmtId="0" fontId="4" fillId="24" borderId="2" xfId="0" applyFont="1" applyFill="1" applyBorder="1" applyAlignment="1">
      <alignment horizontal="left" vertical="center"/>
    </xf>
    <xf numFmtId="0" fontId="0" fillId="24" borderId="2" xfId="0" applyFill="1" applyBorder="1"/>
    <xf numFmtId="0" fontId="4" fillId="21" borderId="2" xfId="0" applyFont="1" applyFill="1" applyBorder="1" applyAlignment="1">
      <alignment horizontal="left" vertical="center"/>
    </xf>
    <xf numFmtId="0" fontId="0" fillId="21" borderId="2" xfId="0" applyFill="1" applyBorder="1"/>
    <xf numFmtId="0" fontId="29" fillId="3" borderId="1" xfId="0" applyFont="1" applyFill="1" applyBorder="1" applyAlignment="1">
      <alignment horizontal="left" vertical="center" wrapText="1"/>
    </xf>
  </cellXfs>
  <cellStyles count="1">
    <cellStyle name="Normal" xfId="0" builtinId="0"/>
  </cellStyles>
  <dxfs count="4">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A5C34A4-7836-4130-AF02-D5E95C1192D8}">
  <we:reference id="WA200009404" version="1.0.0.8" store="Omex" storeType="OMEX"/>
  <we:alternateReferences>
    <we:reference id="WA200009404" version="1.0.0.8" store="WA200009404" storeType="OMEX"/>
  </we:alternateReferences>
  <we:properties>
    <we:property name="claude.fileId" value="&quot;67a46605-cba3-44f3-bfff-4dc54256d927&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7"/>
  <sheetViews>
    <sheetView tabSelected="1" workbookViewId="0">
      <selection sqref="A1:G1"/>
    </sheetView>
  </sheetViews>
  <sheetFormatPr defaultRowHeight="14.4" x14ac:dyDescent="0.55000000000000004"/>
  <cols>
    <col min="1" max="1" width="3" customWidth="1"/>
    <col min="2" max="2" width="30" customWidth="1"/>
    <col min="3" max="3" width="18" customWidth="1"/>
    <col min="4" max="4" width="22" customWidth="1"/>
    <col min="5" max="5" width="16" customWidth="1"/>
    <col min="6" max="6" width="12" customWidth="1"/>
    <col min="7" max="7" width="26" customWidth="1"/>
  </cols>
  <sheetData>
    <row r="1" spans="1:7" ht="52" customHeight="1" x14ac:dyDescent="0.55000000000000004">
      <c r="A1" s="71" t="s">
        <v>0</v>
      </c>
      <c r="B1" s="72"/>
      <c r="C1" s="72"/>
      <c r="D1" s="72"/>
      <c r="E1" s="72"/>
      <c r="F1" s="72"/>
      <c r="G1" s="72"/>
    </row>
    <row r="2" spans="1:7" ht="20.05" customHeight="1" x14ac:dyDescent="0.55000000000000004">
      <c r="A2" s="83" t="s">
        <v>1</v>
      </c>
      <c r="B2" s="84"/>
      <c r="C2" s="84"/>
      <c r="D2" s="84"/>
      <c r="E2" s="84"/>
      <c r="F2" s="84"/>
      <c r="G2" s="84"/>
    </row>
    <row r="3" spans="1:7" ht="44.05" customHeight="1" x14ac:dyDescent="0.55000000000000004">
      <c r="A3" s="74" t="s">
        <v>2</v>
      </c>
      <c r="B3" s="68"/>
      <c r="C3" s="68"/>
      <c r="D3" s="68"/>
      <c r="E3" s="68"/>
      <c r="F3" s="68"/>
      <c r="G3" s="68"/>
    </row>
    <row r="4" spans="1:7" ht="36" customHeight="1" x14ac:dyDescent="0.55000000000000004">
      <c r="A4" s="79" t="s">
        <v>3</v>
      </c>
      <c r="B4" s="80"/>
      <c r="C4" s="80"/>
      <c r="D4" s="80"/>
      <c r="E4" s="80"/>
      <c r="F4" s="80"/>
      <c r="G4" s="80"/>
    </row>
    <row r="5" spans="1:7" ht="5.05" customHeight="1" x14ac:dyDescent="0.55000000000000004">
      <c r="A5" s="1"/>
      <c r="B5" s="1"/>
      <c r="C5" s="1"/>
      <c r="D5" s="1"/>
      <c r="E5" s="1"/>
      <c r="F5" s="1"/>
      <c r="G5" s="1"/>
    </row>
    <row r="6" spans="1:7" ht="24" customHeight="1" x14ac:dyDescent="0.55000000000000004">
      <c r="A6" s="81" t="s">
        <v>4</v>
      </c>
      <c r="B6" s="82"/>
      <c r="C6" s="82"/>
      <c r="D6" s="82"/>
      <c r="E6" s="82"/>
      <c r="F6" s="82"/>
      <c r="G6" s="82"/>
    </row>
    <row r="7" spans="1:7" ht="18" customHeight="1" x14ac:dyDescent="0.55000000000000004">
      <c r="A7" s="2"/>
      <c r="B7" s="2" t="s">
        <v>5</v>
      </c>
      <c r="C7" s="2"/>
      <c r="D7" s="2"/>
      <c r="E7" s="2" t="s">
        <v>6</v>
      </c>
      <c r="F7" s="2"/>
      <c r="G7" s="2" t="s">
        <v>7</v>
      </c>
    </row>
    <row r="8" spans="1:7" ht="28" customHeight="1" x14ac:dyDescent="0.55000000000000004">
      <c r="A8" s="78" t="s">
        <v>8</v>
      </c>
      <c r="B8" s="68"/>
      <c r="C8" s="68"/>
      <c r="D8" s="68"/>
      <c r="E8" s="3" t="s">
        <v>9</v>
      </c>
      <c r="F8" s="67" t="s">
        <v>10</v>
      </c>
      <c r="G8" s="68"/>
    </row>
    <row r="9" spans="1:7" ht="28" customHeight="1" x14ac:dyDescent="0.55000000000000004">
      <c r="A9" s="60" t="s">
        <v>11</v>
      </c>
      <c r="B9" s="56"/>
      <c r="C9" s="56"/>
      <c r="D9" s="56"/>
      <c r="E9" s="3" t="s">
        <v>12</v>
      </c>
      <c r="F9" s="65" t="s">
        <v>13</v>
      </c>
      <c r="G9" s="56"/>
    </row>
    <row r="10" spans="1:7" ht="28" customHeight="1" x14ac:dyDescent="0.55000000000000004">
      <c r="A10" s="78" t="s">
        <v>14</v>
      </c>
      <c r="B10" s="68"/>
      <c r="C10" s="68"/>
      <c r="D10" s="68"/>
      <c r="E10" s="3" t="s">
        <v>9</v>
      </c>
      <c r="F10" s="67" t="s">
        <v>15</v>
      </c>
      <c r="G10" s="68"/>
    </row>
    <row r="11" spans="1:7" ht="28" customHeight="1" x14ac:dyDescent="0.55000000000000004">
      <c r="A11" s="60" t="s">
        <v>16</v>
      </c>
      <c r="B11" s="56"/>
      <c r="C11" s="56"/>
      <c r="D11" s="56"/>
      <c r="E11" s="3" t="s">
        <v>9</v>
      </c>
      <c r="F11" s="65" t="s">
        <v>17</v>
      </c>
      <c r="G11" s="56"/>
    </row>
    <row r="12" spans="1:7" ht="28" customHeight="1" x14ac:dyDescent="0.55000000000000004">
      <c r="A12" s="78" t="s">
        <v>18</v>
      </c>
      <c r="B12" s="68"/>
      <c r="C12" s="68"/>
      <c r="D12" s="68"/>
      <c r="E12" s="3" t="s">
        <v>9</v>
      </c>
      <c r="F12" s="67" t="s">
        <v>19</v>
      </c>
      <c r="G12" s="68"/>
    </row>
    <row r="13" spans="1:7" ht="28" customHeight="1" x14ac:dyDescent="0.55000000000000004">
      <c r="A13" s="60" t="s">
        <v>20</v>
      </c>
      <c r="B13" s="56"/>
      <c r="C13" s="56"/>
      <c r="D13" s="56"/>
      <c r="E13" s="3" t="s">
        <v>9</v>
      </c>
      <c r="F13" s="65" t="s">
        <v>21</v>
      </c>
      <c r="G13" s="56"/>
    </row>
    <row r="14" spans="1:7" ht="22" customHeight="1" x14ac:dyDescent="0.55000000000000004">
      <c r="A14" s="86" t="s">
        <v>22</v>
      </c>
      <c r="B14" s="62"/>
      <c r="C14" s="62"/>
      <c r="D14" s="62"/>
      <c r="E14" s="6" t="str">
        <f>IF(AND(E8="EVET",E10="EVET",E11="EVET",E12="EVET",E13="EVET"),"OK - Hesaplanabilir","HATA - Ön koşul eksik")</f>
        <v>OK - Hesaplanabilir</v>
      </c>
      <c r="F14" s="85" t="s">
        <v>23</v>
      </c>
      <c r="G14" s="62"/>
    </row>
    <row r="15" spans="1:7" ht="5.05" customHeight="1" x14ac:dyDescent="0.55000000000000004">
      <c r="A15" s="1"/>
      <c r="B15" s="1"/>
      <c r="C15" s="1"/>
      <c r="D15" s="1"/>
      <c r="E15" s="1"/>
      <c r="F15" s="1"/>
      <c r="G15" s="1"/>
    </row>
    <row r="16" spans="1:7" ht="22" customHeight="1" x14ac:dyDescent="0.55000000000000004">
      <c r="A16" s="57" t="s">
        <v>24</v>
      </c>
      <c r="B16" s="58"/>
      <c r="C16" s="58"/>
      <c r="D16" s="58"/>
      <c r="E16" s="58"/>
      <c r="F16" s="58"/>
      <c r="G16" s="58"/>
    </row>
    <row r="17" spans="1:7" ht="22" customHeight="1" x14ac:dyDescent="0.55000000000000004">
      <c r="A17" s="60" t="s">
        <v>25</v>
      </c>
      <c r="B17" s="56"/>
      <c r="C17" s="59"/>
      <c r="D17" s="59"/>
      <c r="E17" s="59"/>
      <c r="F17" s="55" t="s">
        <v>26</v>
      </c>
      <c r="G17" s="56"/>
    </row>
    <row r="18" spans="1:7" ht="22" customHeight="1" x14ac:dyDescent="0.55000000000000004">
      <c r="A18" s="63" t="s">
        <v>27</v>
      </c>
      <c r="B18" s="64"/>
      <c r="C18" s="59"/>
      <c r="D18" s="59"/>
      <c r="E18" s="59"/>
      <c r="F18" s="69" t="s">
        <v>28</v>
      </c>
      <c r="G18" s="64"/>
    </row>
    <row r="19" spans="1:7" ht="22" customHeight="1" x14ac:dyDescent="0.55000000000000004">
      <c r="A19" s="60" t="s">
        <v>29</v>
      </c>
      <c r="B19" s="56"/>
      <c r="C19" s="59"/>
      <c r="D19" s="59"/>
      <c r="E19" s="59"/>
      <c r="F19" s="55" t="s">
        <v>30</v>
      </c>
      <c r="G19" s="56"/>
    </row>
    <row r="20" spans="1:7" ht="22" customHeight="1" x14ac:dyDescent="0.55000000000000004">
      <c r="A20" s="63" t="s">
        <v>31</v>
      </c>
      <c r="B20" s="64"/>
      <c r="C20" s="59"/>
      <c r="D20" s="59"/>
      <c r="E20" s="59"/>
      <c r="F20" s="69" t="s">
        <v>32</v>
      </c>
      <c r="G20" s="64"/>
    </row>
    <row r="21" spans="1:7" ht="22" customHeight="1" x14ac:dyDescent="0.55000000000000004">
      <c r="A21" s="60" t="s">
        <v>33</v>
      </c>
      <c r="B21" s="56"/>
      <c r="C21" s="59"/>
      <c r="D21" s="59"/>
      <c r="E21" s="59"/>
      <c r="F21" s="55" t="s">
        <v>34</v>
      </c>
      <c r="G21" s="56"/>
    </row>
    <row r="22" spans="1:7" ht="22" customHeight="1" x14ac:dyDescent="0.55000000000000004">
      <c r="A22" s="63" t="s">
        <v>35</v>
      </c>
      <c r="B22" s="64"/>
      <c r="C22" s="59"/>
      <c r="D22" s="59"/>
      <c r="E22" s="59"/>
      <c r="F22" s="69" t="s">
        <v>36</v>
      </c>
      <c r="G22" s="64"/>
    </row>
    <row r="23" spans="1:7" ht="22" customHeight="1" x14ac:dyDescent="0.55000000000000004">
      <c r="A23" s="60" t="s">
        <v>37</v>
      </c>
      <c r="B23" s="56"/>
      <c r="C23" s="59"/>
      <c r="D23" s="59"/>
      <c r="E23" s="59"/>
      <c r="F23" s="55" t="s">
        <v>38</v>
      </c>
      <c r="G23" s="56"/>
    </row>
    <row r="24" spans="1:7" ht="22" customHeight="1" x14ac:dyDescent="0.55000000000000004">
      <c r="A24" s="63" t="s">
        <v>39</v>
      </c>
      <c r="B24" s="64"/>
      <c r="C24" s="59"/>
      <c r="D24" s="59"/>
      <c r="E24" s="59"/>
      <c r="F24" s="69" t="s">
        <v>40</v>
      </c>
      <c r="G24" s="64"/>
    </row>
    <row r="25" spans="1:7" ht="22" customHeight="1" x14ac:dyDescent="0.55000000000000004">
      <c r="A25" s="60" t="s">
        <v>41</v>
      </c>
      <c r="B25" s="56"/>
      <c r="C25" s="59"/>
      <c r="D25" s="59"/>
      <c r="E25" s="59"/>
      <c r="F25" s="55" t="s">
        <v>42</v>
      </c>
      <c r="G25" s="56"/>
    </row>
    <row r="26" spans="1:7" ht="22" customHeight="1" x14ac:dyDescent="0.55000000000000004">
      <c r="A26" s="63" t="s">
        <v>43</v>
      </c>
      <c r="B26" s="64"/>
      <c r="C26" s="59"/>
      <c r="D26" s="59"/>
      <c r="E26" s="59"/>
      <c r="F26" s="69" t="s">
        <v>44</v>
      </c>
      <c r="G26" s="64"/>
    </row>
    <row r="27" spans="1:7" ht="5.05" customHeight="1" x14ac:dyDescent="0.55000000000000004">
      <c r="A27" s="1"/>
      <c r="B27" s="1"/>
      <c r="C27" s="1"/>
      <c r="D27" s="1"/>
      <c r="E27" s="1"/>
      <c r="F27" s="1"/>
      <c r="G27" s="1"/>
    </row>
    <row r="28" spans="1:7" ht="24" customHeight="1" x14ac:dyDescent="0.55000000000000004">
      <c r="A28" s="57" t="s">
        <v>45</v>
      </c>
      <c r="B28" s="58"/>
      <c r="C28" s="58"/>
      <c r="D28" s="58"/>
      <c r="E28" s="58"/>
      <c r="F28" s="58"/>
      <c r="G28" s="58"/>
    </row>
    <row r="29" spans="1:7" ht="28" customHeight="1" x14ac:dyDescent="0.55000000000000004">
      <c r="A29" s="66" t="s">
        <v>46</v>
      </c>
      <c r="B29" s="64"/>
      <c r="C29" s="64"/>
      <c r="D29" s="64"/>
      <c r="E29" s="64"/>
      <c r="F29" s="64"/>
      <c r="G29" s="64"/>
    </row>
    <row r="30" spans="1:7" ht="18" customHeight="1" x14ac:dyDescent="0.55000000000000004">
      <c r="A30" s="2"/>
      <c r="B30" s="2" t="s">
        <v>47</v>
      </c>
      <c r="C30" s="2"/>
      <c r="D30" s="2" t="s">
        <v>48</v>
      </c>
      <c r="E30" s="2"/>
      <c r="F30" s="2" t="s">
        <v>49</v>
      </c>
      <c r="G30" s="2" t="s">
        <v>50</v>
      </c>
    </row>
    <row r="31" spans="1:7" ht="26.05" customHeight="1" x14ac:dyDescent="0.55000000000000004">
      <c r="A31" s="60" t="s">
        <v>51</v>
      </c>
      <c r="B31" s="56"/>
      <c r="C31" s="3" t="s">
        <v>9</v>
      </c>
      <c r="D31" s="55" t="s">
        <v>52</v>
      </c>
      <c r="E31" s="56"/>
      <c r="F31" s="70" t="s">
        <v>53</v>
      </c>
      <c r="G31" s="56"/>
    </row>
    <row r="32" spans="1:7" ht="26.05" customHeight="1" x14ac:dyDescent="0.55000000000000004">
      <c r="A32" s="63" t="s">
        <v>54</v>
      </c>
      <c r="B32" s="64"/>
      <c r="C32" s="3" t="s">
        <v>55</v>
      </c>
      <c r="D32" s="69" t="s">
        <v>56</v>
      </c>
      <c r="E32" s="64"/>
      <c r="F32" s="87" t="s">
        <v>57</v>
      </c>
      <c r="G32" s="64"/>
    </row>
    <row r="33" spans="1:7" ht="26.05" customHeight="1" x14ac:dyDescent="0.55000000000000004">
      <c r="A33" s="60" t="s">
        <v>58</v>
      </c>
      <c r="B33" s="56"/>
      <c r="C33" s="3" t="s">
        <v>9</v>
      </c>
      <c r="D33" s="55" t="s">
        <v>59</v>
      </c>
      <c r="E33" s="56"/>
      <c r="F33" s="70" t="s">
        <v>60</v>
      </c>
      <c r="G33" s="56"/>
    </row>
    <row r="34" spans="1:7" ht="5.05" customHeight="1" x14ac:dyDescent="0.55000000000000004">
      <c r="A34" s="1"/>
      <c r="B34" s="1"/>
      <c r="C34" s="1"/>
      <c r="D34" s="1"/>
      <c r="E34" s="1"/>
      <c r="F34" s="1"/>
      <c r="G34" s="1"/>
    </row>
    <row r="35" spans="1:7" ht="24" customHeight="1" x14ac:dyDescent="0.55000000000000004">
      <c r="A35" s="57" t="s">
        <v>61</v>
      </c>
      <c r="B35" s="58"/>
      <c r="C35" s="58"/>
      <c r="D35" s="58"/>
      <c r="E35" s="58"/>
      <c r="F35" s="58"/>
      <c r="G35" s="58"/>
    </row>
    <row r="36" spans="1:7" ht="32.049999999999997" customHeight="1" x14ac:dyDescent="0.55000000000000004">
      <c r="A36" s="66" t="s">
        <v>62</v>
      </c>
      <c r="B36" s="64"/>
      <c r="C36" s="64"/>
      <c r="D36" s="64"/>
      <c r="E36" s="64"/>
      <c r="F36" s="64"/>
      <c r="G36" s="64"/>
    </row>
    <row r="37" spans="1:7" ht="18" customHeight="1" x14ac:dyDescent="0.55000000000000004">
      <c r="A37" s="2"/>
      <c r="B37" s="2" t="s">
        <v>63</v>
      </c>
      <c r="C37" s="2"/>
      <c r="D37" s="2" t="s">
        <v>64</v>
      </c>
      <c r="E37" s="2"/>
      <c r="F37" s="2" t="s">
        <v>49</v>
      </c>
      <c r="G37" s="2" t="s">
        <v>65</v>
      </c>
    </row>
    <row r="38" spans="1:7" ht="26.05" customHeight="1" x14ac:dyDescent="0.55000000000000004">
      <c r="A38" s="63" t="s">
        <v>66</v>
      </c>
      <c r="B38" s="64"/>
      <c r="C38" s="8"/>
      <c r="D38" s="69" t="s">
        <v>67</v>
      </c>
      <c r="E38" s="64"/>
      <c r="F38" s="64"/>
      <c r="G38" s="64"/>
    </row>
    <row r="39" spans="1:7" ht="26.05" customHeight="1" x14ac:dyDescent="0.55000000000000004">
      <c r="A39" s="60" t="s">
        <v>68</v>
      </c>
      <c r="B39" s="56"/>
      <c r="C39" s="9"/>
      <c r="D39" s="73" t="s">
        <v>69</v>
      </c>
      <c r="E39" s="68"/>
      <c r="F39" s="68"/>
      <c r="G39" s="68"/>
    </row>
    <row r="40" spans="1:7" ht="26.05" customHeight="1" x14ac:dyDescent="0.55000000000000004">
      <c r="A40" s="63" t="s">
        <v>70</v>
      </c>
      <c r="B40" s="64"/>
      <c r="C40" s="8"/>
      <c r="D40" s="69" t="s">
        <v>71</v>
      </c>
      <c r="E40" s="64"/>
      <c r="F40" s="64"/>
      <c r="G40" s="64"/>
    </row>
    <row r="41" spans="1:7" ht="26.05" customHeight="1" x14ac:dyDescent="0.55000000000000004">
      <c r="A41" s="61" t="s">
        <v>72</v>
      </c>
      <c r="B41" s="62"/>
      <c r="C41" s="10">
        <f>C38-C39-C40</f>
        <v>0</v>
      </c>
      <c r="D41" s="88" t="s">
        <v>73</v>
      </c>
      <c r="E41" s="62"/>
      <c r="F41" s="62"/>
      <c r="G41" s="62"/>
    </row>
    <row r="42" spans="1:7" ht="26.05" customHeight="1" x14ac:dyDescent="0.55000000000000004">
      <c r="A42" s="63" t="s">
        <v>74</v>
      </c>
      <c r="B42" s="64"/>
      <c r="C42" s="6" t="str">
        <f>IF(C41&gt;0,"KAZANÇ","ZARAR/SIFIR")</f>
        <v>ZARAR/SIFIR</v>
      </c>
      <c r="D42" s="69" t="s">
        <v>73</v>
      </c>
      <c r="E42" s="64"/>
      <c r="F42" s="64"/>
      <c r="G42" s="64"/>
    </row>
    <row r="43" spans="1:7" ht="26.05" customHeight="1" x14ac:dyDescent="0.55000000000000004">
      <c r="A43" s="61" t="s">
        <v>75</v>
      </c>
      <c r="B43" s="62"/>
      <c r="C43" s="10">
        <f>MAX(0,C41)</f>
        <v>0</v>
      </c>
      <c r="D43" s="88" t="s">
        <v>76</v>
      </c>
      <c r="E43" s="62"/>
      <c r="F43" s="62"/>
      <c r="G43" s="62"/>
    </row>
    <row r="44" spans="1:7" ht="5.05" customHeight="1" x14ac:dyDescent="0.55000000000000004">
      <c r="A44" s="1"/>
      <c r="B44" s="1"/>
      <c r="C44" s="1"/>
      <c r="D44" s="1"/>
      <c r="E44" s="1"/>
      <c r="F44" s="1"/>
      <c r="G44" s="1"/>
    </row>
    <row r="45" spans="1:7" ht="22" customHeight="1" x14ac:dyDescent="0.55000000000000004">
      <c r="A45" s="57" t="s">
        <v>77</v>
      </c>
      <c r="B45" s="58"/>
      <c r="C45" s="58"/>
      <c r="D45" s="58"/>
      <c r="E45" s="58"/>
      <c r="F45" s="58"/>
      <c r="G45" s="58"/>
    </row>
    <row r="46" spans="1:7" ht="22" customHeight="1" x14ac:dyDescent="0.55000000000000004">
      <c r="A46" s="66" t="s">
        <v>78</v>
      </c>
      <c r="B46" s="64"/>
      <c r="C46" s="64"/>
      <c r="D46" s="64"/>
      <c r="E46" s="64"/>
      <c r="F46" s="64"/>
      <c r="G46" s="64"/>
    </row>
    <row r="47" spans="1:7" ht="18" customHeight="1" x14ac:dyDescent="0.55000000000000004">
      <c r="A47" s="2"/>
      <c r="B47" s="2" t="s">
        <v>79</v>
      </c>
      <c r="C47" s="2" t="s">
        <v>80</v>
      </c>
      <c r="D47" s="2" t="s">
        <v>81</v>
      </c>
      <c r="E47" s="2" t="s">
        <v>82</v>
      </c>
      <c r="F47" s="2" t="s">
        <v>83</v>
      </c>
      <c r="G47" s="2" t="s">
        <v>84</v>
      </c>
    </row>
    <row r="48" spans="1:7" ht="24" customHeight="1" x14ac:dyDescent="0.55000000000000004">
      <c r="A48" s="11" t="s">
        <v>85</v>
      </c>
      <c r="B48" s="8"/>
      <c r="C48" s="8"/>
      <c r="D48" s="8"/>
      <c r="E48" s="8"/>
      <c r="F48" s="8"/>
      <c r="G48" s="6">
        <f>D48-E48-F48</f>
        <v>0</v>
      </c>
    </row>
    <row r="49" spans="1:7" ht="24" customHeight="1" x14ac:dyDescent="0.55000000000000004">
      <c r="A49" s="12" t="s">
        <v>86</v>
      </c>
      <c r="B49" s="8"/>
      <c r="C49" s="8"/>
      <c r="D49" s="8"/>
      <c r="E49" s="8"/>
      <c r="F49" s="8"/>
      <c r="G49" s="6">
        <f>D49-E49-F49</f>
        <v>0</v>
      </c>
    </row>
    <row r="50" spans="1:7" ht="24" customHeight="1" x14ac:dyDescent="0.55000000000000004">
      <c r="A50" s="11" t="s">
        <v>87</v>
      </c>
      <c r="B50" s="8"/>
      <c r="C50" s="8"/>
      <c r="D50" s="8"/>
      <c r="E50" s="8"/>
      <c r="F50" s="8"/>
      <c r="G50" s="6">
        <f>D50-E50-F50</f>
        <v>0</v>
      </c>
    </row>
    <row r="51" spans="1:7" ht="24" customHeight="1" x14ac:dyDescent="0.55000000000000004">
      <c r="A51" s="12" t="s">
        <v>88</v>
      </c>
      <c r="B51" s="8"/>
      <c r="C51" s="8"/>
      <c r="D51" s="8"/>
      <c r="E51" s="8"/>
      <c r="F51" s="8"/>
      <c r="G51" s="6">
        <f>D51-E51-F51</f>
        <v>0</v>
      </c>
    </row>
    <row r="52" spans="1:7" ht="24" customHeight="1" x14ac:dyDescent="0.55000000000000004">
      <c r="A52" s="11" t="s">
        <v>89</v>
      </c>
      <c r="B52" s="8"/>
      <c r="C52" s="8"/>
      <c r="D52" s="8"/>
      <c r="E52" s="8"/>
      <c r="F52" s="8"/>
      <c r="G52" s="6">
        <f>D52-E52-F52</f>
        <v>0</v>
      </c>
    </row>
    <row r="53" spans="1:7" ht="26.05" customHeight="1" x14ac:dyDescent="0.55000000000000004">
      <c r="A53" s="13" t="s">
        <v>90</v>
      </c>
      <c r="B53" s="5"/>
      <c r="C53" s="5"/>
      <c r="D53" s="6">
        <f>SUM(D48:D52)</f>
        <v>0</v>
      </c>
      <c r="E53" s="6">
        <f>SUM(E48:E52)</f>
        <v>0</v>
      </c>
      <c r="F53" s="6">
        <f>SUM(F48:F52)</f>
        <v>0</v>
      </c>
      <c r="G53" s="14">
        <f>SUM(G48:G52)</f>
        <v>0</v>
      </c>
    </row>
    <row r="54" spans="1:7" ht="5.05" customHeight="1" x14ac:dyDescent="0.55000000000000004">
      <c r="A54" s="1"/>
      <c r="B54" s="1"/>
      <c r="C54" s="1"/>
      <c r="D54" s="1"/>
      <c r="E54" s="1"/>
      <c r="F54" s="1"/>
      <c r="G54" s="1"/>
    </row>
    <row r="55" spans="1:7" ht="26.05" customHeight="1" x14ac:dyDescent="0.55000000000000004">
      <c r="A55" s="75" t="s">
        <v>91</v>
      </c>
      <c r="B55" s="58"/>
      <c r="C55" s="58"/>
      <c r="D55" s="58"/>
      <c r="E55" s="58"/>
      <c r="F55" s="58"/>
      <c r="G55" s="58"/>
    </row>
    <row r="56" spans="1:7" ht="30" customHeight="1" x14ac:dyDescent="0.55000000000000004">
      <c r="A56" s="89" t="s">
        <v>92</v>
      </c>
      <c r="B56" s="72"/>
      <c r="C56" s="72"/>
      <c r="D56" s="72"/>
      <c r="E56" s="72"/>
      <c r="F56" s="15">
        <f>C43</f>
        <v>0</v>
      </c>
      <c r="G56" s="16" t="s">
        <v>93</v>
      </c>
    </row>
    <row r="57" spans="1:7" ht="44.05" customHeight="1" x14ac:dyDescent="0.55000000000000004">
      <c r="A57" s="76" t="s">
        <v>94</v>
      </c>
      <c r="B57" s="77"/>
      <c r="C57" s="77"/>
      <c r="D57" s="77"/>
      <c r="E57" s="77"/>
      <c r="F57" s="77"/>
      <c r="G57" s="77"/>
    </row>
  </sheetData>
  <mergeCells count="86">
    <mergeCell ref="A56:E56"/>
    <mergeCell ref="C19:E19"/>
    <mergeCell ref="F38:G38"/>
    <mergeCell ref="D43:E43"/>
    <mergeCell ref="A20:B20"/>
    <mergeCell ref="D42:E42"/>
    <mergeCell ref="A31:B31"/>
    <mergeCell ref="A55:G55"/>
    <mergeCell ref="D38:E38"/>
    <mergeCell ref="C26:E26"/>
    <mergeCell ref="A57:G57"/>
    <mergeCell ref="A8:D8"/>
    <mergeCell ref="A10:D10"/>
    <mergeCell ref="F21:G21"/>
    <mergeCell ref="F8:G8"/>
    <mergeCell ref="A21:B21"/>
    <mergeCell ref="A32:B32"/>
    <mergeCell ref="A16:G16"/>
    <mergeCell ref="F22:G22"/>
    <mergeCell ref="A23:B23"/>
    <mergeCell ref="A38:B38"/>
    <mergeCell ref="A43:B43"/>
    <mergeCell ref="A12:D12"/>
    <mergeCell ref="A1:G1"/>
    <mergeCell ref="F31:G31"/>
    <mergeCell ref="F9:G9"/>
    <mergeCell ref="C24:E24"/>
    <mergeCell ref="D39:E39"/>
    <mergeCell ref="F39:G39"/>
    <mergeCell ref="A3:G3"/>
    <mergeCell ref="A4:G4"/>
    <mergeCell ref="A6:G6"/>
    <mergeCell ref="A2:G2"/>
    <mergeCell ref="F14:G14"/>
    <mergeCell ref="A14:D14"/>
    <mergeCell ref="F11:G11"/>
    <mergeCell ref="A24:B24"/>
    <mergeCell ref="A29:G29"/>
    <mergeCell ref="F12:G12"/>
    <mergeCell ref="F10:G10"/>
    <mergeCell ref="F19:G19"/>
    <mergeCell ref="C22:E22"/>
    <mergeCell ref="A9:D9"/>
    <mergeCell ref="F20:G20"/>
    <mergeCell ref="F18:G18"/>
    <mergeCell ref="A11:D11"/>
    <mergeCell ref="F17:G17"/>
    <mergeCell ref="C17:E17"/>
    <mergeCell ref="A18:B18"/>
    <mergeCell ref="A46:G46"/>
    <mergeCell ref="F43:G43"/>
    <mergeCell ref="D33:E33"/>
    <mergeCell ref="A19:B19"/>
    <mergeCell ref="C20:E20"/>
    <mergeCell ref="A39:B39"/>
    <mergeCell ref="C25:E25"/>
    <mergeCell ref="F33:G33"/>
    <mergeCell ref="F42:G42"/>
    <mergeCell ref="A36:G36"/>
    <mergeCell ref="A26:B26"/>
    <mergeCell ref="A40:B40"/>
    <mergeCell ref="D40:E40"/>
    <mergeCell ref="F40:G40"/>
    <mergeCell ref="F24:G24"/>
    <mergeCell ref="A25:B25"/>
    <mergeCell ref="A41:B41"/>
    <mergeCell ref="C23:E23"/>
    <mergeCell ref="A45:G45"/>
    <mergeCell ref="A33:B33"/>
    <mergeCell ref="F23:G23"/>
    <mergeCell ref="A42:B42"/>
    <mergeCell ref="D32:E32"/>
    <mergeCell ref="F32:G32"/>
    <mergeCell ref="D41:E41"/>
    <mergeCell ref="F26:G26"/>
    <mergeCell ref="F41:G41"/>
    <mergeCell ref="F25:G25"/>
    <mergeCell ref="A35:G35"/>
    <mergeCell ref="C21:E21"/>
    <mergeCell ref="D31:E31"/>
    <mergeCell ref="A13:D13"/>
    <mergeCell ref="A28:G28"/>
    <mergeCell ref="C18:E18"/>
    <mergeCell ref="F13:G13"/>
    <mergeCell ref="A17:B17"/>
    <mergeCell ref="A22:B22"/>
  </mergeCells>
  <conditionalFormatting sqref="E14">
    <cfRule type="containsText" dxfId="3" priority="1" operator="containsText" text="OK">
      <formula>NOT(ISERROR(SEARCH("OK",E14)))</formula>
    </cfRule>
    <cfRule type="containsText" dxfId="2" priority="2" operator="containsText" text="HATA">
      <formula>NOT(ISERROR(SEARCH("HATA",E14)))</formula>
    </cfRule>
  </conditionalFormatting>
  <dataValidations count="5">
    <dataValidation type="list" sqref="E8 C31 E10" xr:uid="{00000000-0002-0000-0000-000000000000}">
      <formula1>"EVET,HAYIR-Kapsam Dışı"</formula1>
    </dataValidation>
    <dataValidation type="list" sqref="E9" xr:uid="{00000000-0002-0000-0000-000001000000}">
      <formula1>"ELÜS (Elektronik),Kağıt Ürün Senedi,Her İkisi"</formula1>
    </dataValidation>
    <dataValidation type="list" sqref="C33 E11:E12" xr:uid="{00000000-0002-0000-0000-000003000000}">
      <formula1>"EVET,HAYIR-Risk"</formula1>
    </dataValidation>
    <dataValidation type="list" sqref="E13" xr:uid="{00000000-0002-0000-0000-000005000000}">
      <formula1>"EVET,Tam Tasdik"</formula1>
    </dataValidation>
    <dataValidation type="list" sqref="C32" xr:uid="{00000000-0002-0000-0000-000007000000}">
      <formula1>"BİAŞ Emtia Piyasasında Satış,Teslim ile Devir/Satış,Temlik"</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4"/>
  <sheetViews>
    <sheetView workbookViewId="0"/>
  </sheetViews>
  <sheetFormatPr defaultRowHeight="14.4" x14ac:dyDescent="0.55000000000000004"/>
  <cols>
    <col min="1" max="1" width="4" customWidth="1"/>
    <col min="2" max="2" width="36" customWidth="1"/>
    <col min="3" max="4" width="16" customWidth="1"/>
    <col min="5" max="5" width="14" customWidth="1"/>
    <col min="6" max="6" width="12" customWidth="1"/>
    <col min="7" max="7" width="20" customWidth="1"/>
  </cols>
  <sheetData>
    <row r="1" spans="1:7" ht="36" customHeight="1" x14ac:dyDescent="0.55000000000000004">
      <c r="A1" s="106" t="s">
        <v>95</v>
      </c>
      <c r="B1" s="58"/>
      <c r="C1" s="58"/>
      <c r="D1" s="58"/>
      <c r="E1" s="58"/>
      <c r="F1" s="58"/>
      <c r="G1" s="58"/>
    </row>
    <row r="2" spans="1:7" ht="20.05" customHeight="1" x14ac:dyDescent="0.55000000000000004">
      <c r="A2" s="83" t="s">
        <v>96</v>
      </c>
      <c r="B2" s="84"/>
      <c r="C2" s="84"/>
      <c r="D2" s="84"/>
      <c r="E2" s="84"/>
      <c r="F2" s="84"/>
      <c r="G2" s="84"/>
    </row>
    <row r="3" spans="1:7" ht="5.05" customHeight="1" x14ac:dyDescent="0.55000000000000004">
      <c r="A3" s="1"/>
      <c r="B3" s="1"/>
      <c r="C3" s="1"/>
      <c r="D3" s="1"/>
      <c r="E3" s="1"/>
      <c r="F3" s="1"/>
      <c r="G3" s="1"/>
    </row>
    <row r="4" spans="1:7" ht="22" customHeight="1" x14ac:dyDescent="0.55000000000000004">
      <c r="A4" s="95" t="s">
        <v>97</v>
      </c>
      <c r="B4" s="96"/>
      <c r="C4" s="96"/>
      <c r="D4" s="96"/>
      <c r="E4" s="96"/>
      <c r="F4" s="96"/>
      <c r="G4" s="96"/>
    </row>
    <row r="5" spans="1:7" ht="22" customHeight="1" x14ac:dyDescent="0.55000000000000004">
      <c r="A5" s="99" t="s">
        <v>98</v>
      </c>
      <c r="B5" s="56"/>
      <c r="C5" s="56"/>
      <c r="D5" s="17" t="str">
        <f>'VERİ GİRİŞİ'!E14</f>
        <v>OK - Hesaplanabilir</v>
      </c>
      <c r="E5" s="65" t="s">
        <v>99</v>
      </c>
      <c r="F5" s="56"/>
      <c r="G5" s="56"/>
    </row>
    <row r="6" spans="1:7" ht="22" customHeight="1" x14ac:dyDescent="0.55000000000000004">
      <c r="A6" s="92" t="s">
        <v>100</v>
      </c>
      <c r="B6" s="64"/>
      <c r="C6" s="64"/>
      <c r="D6" s="17" t="str">
        <f>'VERİ GİRİŞİ'!C31</f>
        <v>EVET</v>
      </c>
      <c r="E6" s="90" t="s">
        <v>101</v>
      </c>
      <c r="F6" s="64"/>
      <c r="G6" s="64"/>
    </row>
    <row r="7" spans="1:7" ht="22" customHeight="1" x14ac:dyDescent="0.55000000000000004">
      <c r="A7" s="99" t="s">
        <v>102</v>
      </c>
      <c r="B7" s="56"/>
      <c r="C7" s="56"/>
      <c r="D7" s="17" t="str">
        <f>'VERİ GİRİŞİ'!E9</f>
        <v>ELÜS (Elektronik)</v>
      </c>
      <c r="E7" s="65" t="s">
        <v>103</v>
      </c>
      <c r="F7" s="56"/>
      <c r="G7" s="56"/>
    </row>
    <row r="8" spans="1:7" ht="22" customHeight="1" x14ac:dyDescent="0.55000000000000004">
      <c r="A8" s="92" t="s">
        <v>104</v>
      </c>
      <c r="B8" s="64"/>
      <c r="C8" s="64"/>
      <c r="D8" s="17">
        <f>'VERİ GİRİŞİ'!C38</f>
        <v>0</v>
      </c>
      <c r="E8" s="90" t="s">
        <v>105</v>
      </c>
      <c r="F8" s="64"/>
      <c r="G8" s="64"/>
    </row>
    <row r="9" spans="1:7" ht="22" customHeight="1" x14ac:dyDescent="0.55000000000000004">
      <c r="A9" s="99" t="s">
        <v>106</v>
      </c>
      <c r="B9" s="56"/>
      <c r="C9" s="56"/>
      <c r="D9" s="17">
        <f>'VERİ GİRİŞİ'!C39</f>
        <v>0</v>
      </c>
      <c r="E9" s="65" t="s">
        <v>107</v>
      </c>
      <c r="F9" s="56"/>
      <c r="G9" s="56"/>
    </row>
    <row r="10" spans="1:7" ht="22" customHeight="1" x14ac:dyDescent="0.55000000000000004">
      <c r="A10" s="92" t="s">
        <v>108</v>
      </c>
      <c r="B10" s="64"/>
      <c r="C10" s="64"/>
      <c r="D10" s="17">
        <f>'VERİ GİRİŞİ'!C41</f>
        <v>0</v>
      </c>
      <c r="E10" s="90" t="s">
        <v>109</v>
      </c>
      <c r="F10" s="64"/>
      <c r="G10" s="64"/>
    </row>
    <row r="11" spans="1:7" ht="22" customHeight="1" x14ac:dyDescent="0.55000000000000004">
      <c r="A11" s="86" t="s">
        <v>110</v>
      </c>
      <c r="B11" s="62"/>
      <c r="C11" s="62"/>
      <c r="D11" s="18">
        <f>'VERİ GİRİŞİ'!C43</f>
        <v>0</v>
      </c>
      <c r="E11" s="101"/>
      <c r="F11" s="62"/>
      <c r="G11" s="62"/>
    </row>
    <row r="12" spans="1:7" ht="22" customHeight="1" x14ac:dyDescent="0.55000000000000004">
      <c r="A12" s="99" t="s">
        <v>111</v>
      </c>
      <c r="B12" s="56"/>
      <c r="C12" s="56"/>
      <c r="D12" s="17" t="str">
        <f>'VERİ GİRİŞİ'!E11</f>
        <v>EVET</v>
      </c>
      <c r="E12" s="65" t="s">
        <v>112</v>
      </c>
      <c r="F12" s="56"/>
      <c r="G12" s="56"/>
    </row>
    <row r="13" spans="1:7" ht="5.05" customHeight="1" x14ac:dyDescent="0.55000000000000004">
      <c r="A13" s="1"/>
      <c r="B13" s="1"/>
      <c r="C13" s="1"/>
      <c r="D13" s="1"/>
      <c r="E13" s="1"/>
      <c r="F13" s="1"/>
      <c r="G13" s="1"/>
    </row>
    <row r="14" spans="1:7" ht="22" customHeight="1" x14ac:dyDescent="0.55000000000000004">
      <c r="A14" s="57" t="s">
        <v>113</v>
      </c>
      <c r="B14" s="58"/>
      <c r="C14" s="58"/>
      <c r="D14" s="58"/>
      <c r="E14" s="58"/>
      <c r="F14" s="58"/>
      <c r="G14" s="58"/>
    </row>
    <row r="15" spans="1:7" ht="22" customHeight="1" x14ac:dyDescent="0.55000000000000004">
      <c r="A15" s="66" t="s">
        <v>114</v>
      </c>
      <c r="B15" s="64"/>
      <c r="C15" s="64"/>
      <c r="D15" s="64"/>
      <c r="E15" s="64"/>
      <c r="F15" s="64"/>
      <c r="G15" s="64"/>
    </row>
    <row r="16" spans="1:7" ht="18" customHeight="1" x14ac:dyDescent="0.55000000000000004">
      <c r="A16" s="2"/>
      <c r="B16" s="2" t="s">
        <v>115</v>
      </c>
      <c r="C16" s="2"/>
      <c r="D16" s="2" t="s">
        <v>116</v>
      </c>
      <c r="E16" s="2"/>
      <c r="F16" s="2" t="s">
        <v>117</v>
      </c>
      <c r="G16" s="2"/>
    </row>
    <row r="17" spans="1:7" ht="28" customHeight="1" x14ac:dyDescent="0.55000000000000004">
      <c r="A17" s="19" t="s">
        <v>118</v>
      </c>
      <c r="B17" s="104" t="s">
        <v>119</v>
      </c>
      <c r="C17" s="62"/>
      <c r="D17" s="103" t="s">
        <v>120</v>
      </c>
      <c r="E17" s="62"/>
      <c r="F17" s="62"/>
      <c r="G17" s="62"/>
    </row>
    <row r="18" spans="1:7" ht="28" customHeight="1" x14ac:dyDescent="0.55000000000000004">
      <c r="A18" s="20" t="s">
        <v>121</v>
      </c>
      <c r="B18" s="60" t="s">
        <v>122</v>
      </c>
      <c r="C18" s="56"/>
      <c r="D18" s="91" t="s">
        <v>123</v>
      </c>
      <c r="E18" s="56"/>
      <c r="F18" s="56"/>
      <c r="G18" s="56"/>
    </row>
    <row r="19" spans="1:7" ht="28" customHeight="1" x14ac:dyDescent="0.55000000000000004">
      <c r="A19" s="21" t="s">
        <v>124</v>
      </c>
      <c r="B19" s="104" t="s">
        <v>125</v>
      </c>
      <c r="C19" s="62"/>
      <c r="D19" s="103" t="s">
        <v>126</v>
      </c>
      <c r="E19" s="62"/>
      <c r="F19" s="62"/>
      <c r="G19" s="62"/>
    </row>
    <row r="20" spans="1:7" ht="28" customHeight="1" x14ac:dyDescent="0.55000000000000004">
      <c r="A20" s="19" t="s">
        <v>127</v>
      </c>
      <c r="B20" s="60" t="s">
        <v>128</v>
      </c>
      <c r="C20" s="56"/>
      <c r="D20" s="91" t="s">
        <v>129</v>
      </c>
      <c r="E20" s="56"/>
      <c r="F20" s="56"/>
      <c r="G20" s="56"/>
    </row>
    <row r="21" spans="1:7" ht="5.05" customHeight="1" x14ac:dyDescent="0.55000000000000004">
      <c r="A21" s="1"/>
      <c r="B21" s="1"/>
      <c r="C21" s="1"/>
      <c r="D21" s="1"/>
      <c r="E21" s="1"/>
      <c r="F21" s="1"/>
      <c r="G21" s="1"/>
    </row>
    <row r="22" spans="1:7" ht="22" customHeight="1" x14ac:dyDescent="0.55000000000000004">
      <c r="A22" s="57" t="s">
        <v>130</v>
      </c>
      <c r="B22" s="58"/>
      <c r="C22" s="58"/>
      <c r="D22" s="58"/>
      <c r="E22" s="58"/>
      <c r="F22" s="58"/>
      <c r="G22" s="58"/>
    </row>
    <row r="23" spans="1:7" ht="18" customHeight="1" x14ac:dyDescent="0.55000000000000004">
      <c r="A23" s="2"/>
      <c r="B23" s="2" t="s">
        <v>131</v>
      </c>
      <c r="C23" s="2"/>
      <c r="D23" s="2" t="s">
        <v>132</v>
      </c>
      <c r="E23" s="2"/>
      <c r="F23" s="2" t="s">
        <v>49</v>
      </c>
      <c r="G23" s="2"/>
    </row>
    <row r="24" spans="1:7" ht="22" customHeight="1" x14ac:dyDescent="0.55000000000000004">
      <c r="A24" s="92" t="s">
        <v>133</v>
      </c>
      <c r="B24" s="64"/>
      <c r="C24" s="22" t="s">
        <v>134</v>
      </c>
      <c r="D24" s="97" t="s">
        <v>135</v>
      </c>
      <c r="E24" s="64"/>
      <c r="F24" s="64"/>
      <c r="G24" s="64"/>
    </row>
    <row r="25" spans="1:7" ht="22" customHeight="1" x14ac:dyDescent="0.55000000000000004">
      <c r="A25" s="99" t="s">
        <v>136</v>
      </c>
      <c r="B25" s="56"/>
      <c r="C25" s="22" t="s">
        <v>134</v>
      </c>
      <c r="D25" s="91" t="s">
        <v>137</v>
      </c>
      <c r="E25" s="56"/>
      <c r="F25" s="56"/>
      <c r="G25" s="56"/>
    </row>
    <row r="26" spans="1:7" ht="22" customHeight="1" x14ac:dyDescent="0.55000000000000004">
      <c r="A26" s="92" t="s">
        <v>138</v>
      </c>
      <c r="B26" s="64"/>
      <c r="C26" s="23" t="s">
        <v>139</v>
      </c>
      <c r="D26" s="97" t="s">
        <v>140</v>
      </c>
      <c r="E26" s="64"/>
      <c r="F26" s="64"/>
      <c r="G26" s="64"/>
    </row>
    <row r="27" spans="1:7" ht="22" customHeight="1" x14ac:dyDescent="0.55000000000000004">
      <c r="A27" s="99" t="s">
        <v>141</v>
      </c>
      <c r="B27" s="56"/>
      <c r="C27" s="9" t="s">
        <v>142</v>
      </c>
      <c r="D27" s="91" t="s">
        <v>143</v>
      </c>
      <c r="E27" s="56"/>
      <c r="F27" s="56"/>
      <c r="G27" s="56"/>
    </row>
    <row r="28" spans="1:7" ht="22" customHeight="1" x14ac:dyDescent="0.55000000000000004">
      <c r="A28" s="92" t="s">
        <v>144</v>
      </c>
      <c r="B28" s="64"/>
      <c r="C28" s="9" t="s">
        <v>142</v>
      </c>
      <c r="D28" s="97" t="s">
        <v>145</v>
      </c>
      <c r="E28" s="64"/>
      <c r="F28" s="64"/>
      <c r="G28" s="64"/>
    </row>
    <row r="29" spans="1:7" ht="22" customHeight="1" x14ac:dyDescent="0.55000000000000004">
      <c r="A29" s="99" t="s">
        <v>146</v>
      </c>
      <c r="B29" s="56"/>
      <c r="C29" s="9" t="s">
        <v>142</v>
      </c>
      <c r="D29" s="91" t="s">
        <v>147</v>
      </c>
      <c r="E29" s="56"/>
      <c r="F29" s="56"/>
      <c r="G29" s="56"/>
    </row>
    <row r="30" spans="1:7" ht="5.05" customHeight="1" x14ac:dyDescent="0.55000000000000004">
      <c r="A30" s="1"/>
      <c r="B30" s="1"/>
      <c r="C30" s="1"/>
      <c r="D30" s="1"/>
      <c r="E30" s="1"/>
      <c r="F30" s="1"/>
      <c r="G30" s="1"/>
    </row>
    <row r="31" spans="1:7" ht="22" customHeight="1" x14ac:dyDescent="0.55000000000000004">
      <c r="A31" s="57" t="s">
        <v>148</v>
      </c>
      <c r="B31" s="58"/>
      <c r="C31" s="58"/>
      <c r="D31" s="58"/>
      <c r="E31" s="58"/>
      <c r="F31" s="58"/>
      <c r="G31" s="58"/>
    </row>
    <row r="32" spans="1:7" ht="18" customHeight="1" x14ac:dyDescent="0.55000000000000004">
      <c r="A32" s="2"/>
      <c r="B32" s="2" t="s">
        <v>149</v>
      </c>
      <c r="C32" s="2"/>
      <c r="D32" s="2" t="s">
        <v>49</v>
      </c>
      <c r="E32" s="2"/>
      <c r="F32" s="2" t="s">
        <v>150</v>
      </c>
      <c r="G32" s="2"/>
    </row>
    <row r="33" spans="1:7" ht="22" customHeight="1" x14ac:dyDescent="0.55000000000000004">
      <c r="A33" s="24" t="s">
        <v>151</v>
      </c>
      <c r="B33" s="107" t="s">
        <v>152</v>
      </c>
      <c r="C33" s="68"/>
      <c r="D33" s="93" t="s">
        <v>153</v>
      </c>
      <c r="E33" s="94"/>
      <c r="F33" s="26" t="s">
        <v>154</v>
      </c>
      <c r="G33" s="4"/>
    </row>
    <row r="34" spans="1:7" ht="22" customHeight="1" x14ac:dyDescent="0.55000000000000004">
      <c r="A34" s="24" t="s">
        <v>155</v>
      </c>
      <c r="B34" s="107" t="s">
        <v>156</v>
      </c>
      <c r="C34" s="68"/>
      <c r="D34" s="93" t="s">
        <v>157</v>
      </c>
      <c r="E34" s="94"/>
      <c r="F34" s="26" t="s">
        <v>154</v>
      </c>
      <c r="G34" s="7"/>
    </row>
    <row r="35" spans="1:7" ht="22" customHeight="1" x14ac:dyDescent="0.55000000000000004">
      <c r="A35" s="24" t="s">
        <v>158</v>
      </c>
      <c r="B35" s="107" t="s">
        <v>159</v>
      </c>
      <c r="C35" s="68"/>
      <c r="D35" s="93" t="s">
        <v>160</v>
      </c>
      <c r="E35" s="94"/>
      <c r="F35" s="26" t="s">
        <v>154</v>
      </c>
      <c r="G35" s="4"/>
    </row>
    <row r="36" spans="1:7" ht="22" customHeight="1" x14ac:dyDescent="0.55000000000000004">
      <c r="A36" s="24" t="s">
        <v>161</v>
      </c>
      <c r="B36" s="102" t="s">
        <v>162</v>
      </c>
      <c r="C36" s="64"/>
      <c r="D36" s="98" t="s">
        <v>163</v>
      </c>
      <c r="E36" s="64"/>
      <c r="F36" s="26" t="s">
        <v>154</v>
      </c>
      <c r="G36" s="7"/>
    </row>
    <row r="37" spans="1:7" ht="22" customHeight="1" x14ac:dyDescent="0.55000000000000004">
      <c r="A37" s="24" t="s">
        <v>164</v>
      </c>
      <c r="B37" s="100" t="s">
        <v>165</v>
      </c>
      <c r="C37" s="56"/>
      <c r="D37" s="105" t="s">
        <v>166</v>
      </c>
      <c r="E37" s="56"/>
      <c r="F37" s="26" t="s">
        <v>154</v>
      </c>
      <c r="G37" s="4"/>
    </row>
    <row r="38" spans="1:7" ht="22" customHeight="1" x14ac:dyDescent="0.55000000000000004">
      <c r="A38" s="24" t="s">
        <v>167</v>
      </c>
      <c r="B38" s="102" t="s">
        <v>168</v>
      </c>
      <c r="C38" s="64"/>
      <c r="D38" s="98" t="s">
        <v>169</v>
      </c>
      <c r="E38" s="64"/>
      <c r="F38" s="26" t="s">
        <v>154</v>
      </c>
      <c r="G38" s="7"/>
    </row>
    <row r="39" spans="1:7" ht="22" customHeight="1" x14ac:dyDescent="0.55000000000000004">
      <c r="A39" s="24" t="s">
        <v>170</v>
      </c>
      <c r="B39" s="100" t="s">
        <v>171</v>
      </c>
      <c r="C39" s="56"/>
      <c r="D39" s="105" t="s">
        <v>172</v>
      </c>
      <c r="E39" s="56"/>
      <c r="F39" s="26" t="s">
        <v>154</v>
      </c>
      <c r="G39" s="4"/>
    </row>
    <row r="40" spans="1:7" ht="22" customHeight="1" x14ac:dyDescent="0.55000000000000004">
      <c r="A40" s="24" t="s">
        <v>173</v>
      </c>
      <c r="B40" s="102" t="s">
        <v>174</v>
      </c>
      <c r="C40" s="64"/>
      <c r="D40" s="98" t="s">
        <v>175</v>
      </c>
      <c r="E40" s="64"/>
      <c r="F40" s="26" t="s">
        <v>154</v>
      </c>
      <c r="G40" s="7"/>
    </row>
    <row r="41" spans="1:7" ht="22" customHeight="1" x14ac:dyDescent="0.55000000000000004">
      <c r="A41" s="24" t="s">
        <v>176</v>
      </c>
      <c r="B41" s="100" t="s">
        <v>177</v>
      </c>
      <c r="C41" s="56"/>
      <c r="D41" s="105" t="s">
        <v>178</v>
      </c>
      <c r="E41" s="56"/>
      <c r="F41" s="26" t="s">
        <v>154</v>
      </c>
      <c r="G41" s="4"/>
    </row>
    <row r="42" spans="1:7" ht="22" customHeight="1" x14ac:dyDescent="0.55000000000000004">
      <c r="A42" s="24" t="s">
        <v>179</v>
      </c>
      <c r="B42" s="102" t="s">
        <v>180</v>
      </c>
      <c r="C42" s="64"/>
      <c r="D42" s="98" t="s">
        <v>181</v>
      </c>
      <c r="E42" s="64"/>
      <c r="F42" s="26" t="s">
        <v>154</v>
      </c>
      <c r="G42" s="7"/>
    </row>
    <row r="43" spans="1:7" ht="22" customHeight="1" x14ac:dyDescent="0.55000000000000004">
      <c r="A43" s="24" t="s">
        <v>182</v>
      </c>
      <c r="B43" s="100" t="s">
        <v>183</v>
      </c>
      <c r="C43" s="56"/>
      <c r="D43" s="105" t="s">
        <v>184</v>
      </c>
      <c r="E43" s="56"/>
      <c r="F43" s="26" t="s">
        <v>154</v>
      </c>
      <c r="G43" s="4"/>
    </row>
    <row r="44" spans="1:7" ht="22" customHeight="1" x14ac:dyDescent="0.55000000000000004">
      <c r="A44" s="24" t="s">
        <v>185</v>
      </c>
      <c r="B44" s="102" t="s">
        <v>186</v>
      </c>
      <c r="C44" s="64"/>
      <c r="D44" s="98" t="s">
        <v>187</v>
      </c>
      <c r="E44" s="64"/>
      <c r="F44" s="26" t="s">
        <v>154</v>
      </c>
      <c r="G44" s="7"/>
    </row>
  </sheetData>
  <mergeCells count="67">
    <mergeCell ref="A2:G2"/>
    <mergeCell ref="B41:C41"/>
    <mergeCell ref="A7:C7"/>
    <mergeCell ref="B35:C35"/>
    <mergeCell ref="D28:G28"/>
    <mergeCell ref="D35:E35"/>
    <mergeCell ref="A1:G1"/>
    <mergeCell ref="B19:C19"/>
    <mergeCell ref="B34:C34"/>
    <mergeCell ref="B37:C37"/>
    <mergeCell ref="D43:E43"/>
    <mergeCell ref="D37:E37"/>
    <mergeCell ref="A9:C9"/>
    <mergeCell ref="E12:G12"/>
    <mergeCell ref="B40:C40"/>
    <mergeCell ref="D27:G27"/>
    <mergeCell ref="D39:E39"/>
    <mergeCell ref="A11:C11"/>
    <mergeCell ref="D17:G17"/>
    <mergeCell ref="A29:B29"/>
    <mergeCell ref="B33:C33"/>
    <mergeCell ref="D42:E42"/>
    <mergeCell ref="D44:E44"/>
    <mergeCell ref="A8:C8"/>
    <mergeCell ref="D20:G20"/>
    <mergeCell ref="B42:C42"/>
    <mergeCell ref="A15:G15"/>
    <mergeCell ref="D19:G19"/>
    <mergeCell ref="B17:C17"/>
    <mergeCell ref="D41:E41"/>
    <mergeCell ref="A27:B27"/>
    <mergeCell ref="A10:C10"/>
    <mergeCell ref="A26:B26"/>
    <mergeCell ref="B38:C38"/>
    <mergeCell ref="B44:C44"/>
    <mergeCell ref="D33:E33"/>
    <mergeCell ref="B20:C20"/>
    <mergeCell ref="E8:G8"/>
    <mergeCell ref="B43:C43"/>
    <mergeCell ref="B39:C39"/>
    <mergeCell ref="D26:G26"/>
    <mergeCell ref="E11:G11"/>
    <mergeCell ref="A5:C5"/>
    <mergeCell ref="A25:B25"/>
    <mergeCell ref="A31:G31"/>
    <mergeCell ref="E7:G7"/>
    <mergeCell ref="E5:G5"/>
    <mergeCell ref="A6:C6"/>
    <mergeCell ref="A28:B28"/>
    <mergeCell ref="D38:E38"/>
    <mergeCell ref="B36:C36"/>
    <mergeCell ref="D34:E34"/>
    <mergeCell ref="A4:G4"/>
    <mergeCell ref="D24:G24"/>
    <mergeCell ref="E9:G9"/>
    <mergeCell ref="D40:E40"/>
    <mergeCell ref="D29:G29"/>
    <mergeCell ref="A12:C12"/>
    <mergeCell ref="B18:C18"/>
    <mergeCell ref="D36:E36"/>
    <mergeCell ref="E6:G6"/>
    <mergeCell ref="E10:G10"/>
    <mergeCell ref="A14:G14"/>
    <mergeCell ref="D18:G18"/>
    <mergeCell ref="A24:B24"/>
    <mergeCell ref="D25:G25"/>
    <mergeCell ref="A22:G22"/>
  </mergeCells>
  <conditionalFormatting sqref="D5">
    <cfRule type="containsText" dxfId="1" priority="1" operator="containsText" text="OK">
      <formula>NOT(ISERROR(SEARCH("OK",D5)))</formula>
    </cfRule>
    <cfRule type="containsText" dxfId="0" priority="2" operator="containsText" text="HATA">
      <formula>NOT(ISERROR(SEARCH("HATA",D5)))</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9"/>
  <sheetViews>
    <sheetView workbookViewId="0"/>
  </sheetViews>
  <sheetFormatPr defaultRowHeight="14.4" x14ac:dyDescent="0.55000000000000004"/>
  <cols>
    <col min="1" max="1" width="4" customWidth="1"/>
    <col min="2" max="2" width="10" customWidth="1"/>
    <col min="3" max="3" width="28" customWidth="1"/>
    <col min="4" max="4" width="22" customWidth="1"/>
    <col min="5" max="6" width="14" customWidth="1"/>
    <col min="7" max="7" width="20" customWidth="1"/>
  </cols>
  <sheetData>
    <row r="1" spans="1:7" ht="28" customHeight="1" x14ac:dyDescent="0.55000000000000004">
      <c r="A1" s="110" t="s">
        <v>188</v>
      </c>
      <c r="B1" s="58"/>
      <c r="C1" s="58"/>
      <c r="D1" s="58"/>
      <c r="E1" s="58"/>
      <c r="F1" s="58"/>
      <c r="G1" s="58"/>
    </row>
    <row r="2" spans="1:7" ht="20.05" customHeight="1" x14ac:dyDescent="0.55000000000000004">
      <c r="A2" s="83" t="s">
        <v>189</v>
      </c>
      <c r="B2" s="84"/>
      <c r="C2" s="84"/>
      <c r="D2" s="84"/>
      <c r="E2" s="84"/>
      <c r="F2" s="84"/>
      <c r="G2" s="84"/>
    </row>
    <row r="3" spans="1:7" ht="28" customHeight="1" x14ac:dyDescent="0.55000000000000004">
      <c r="A3" s="113" t="s">
        <v>190</v>
      </c>
      <c r="B3" s="114"/>
      <c r="C3" s="114"/>
      <c r="D3" s="114"/>
      <c r="E3" s="114"/>
      <c r="F3" s="114"/>
      <c r="G3" s="114"/>
    </row>
    <row r="4" spans="1:7" ht="18" customHeight="1" x14ac:dyDescent="0.55000000000000004">
      <c r="A4" s="2"/>
      <c r="B4" s="2" t="s">
        <v>79</v>
      </c>
      <c r="C4" s="2" t="s">
        <v>191</v>
      </c>
      <c r="D4" s="2" t="s">
        <v>192</v>
      </c>
      <c r="E4" s="2" t="s">
        <v>193</v>
      </c>
      <c r="F4" s="2" t="s">
        <v>194</v>
      </c>
      <c r="G4" s="2" t="s">
        <v>195</v>
      </c>
    </row>
    <row r="5" spans="1:7" ht="28" customHeight="1" x14ac:dyDescent="0.55000000000000004">
      <c r="A5" s="30" t="s">
        <v>193</v>
      </c>
      <c r="B5" s="30" t="s">
        <v>196</v>
      </c>
      <c r="C5" s="30" t="s">
        <v>197</v>
      </c>
      <c r="D5" s="30" t="s">
        <v>198</v>
      </c>
      <c r="E5" s="30" t="s">
        <v>199</v>
      </c>
      <c r="F5" s="30" t="s">
        <v>200</v>
      </c>
      <c r="G5" s="30" t="s">
        <v>201</v>
      </c>
    </row>
    <row r="6" spans="1:7" ht="26.05" customHeight="1" x14ac:dyDescent="0.55000000000000004">
      <c r="A6" s="31" t="s">
        <v>194</v>
      </c>
      <c r="B6" s="31" t="s">
        <v>196</v>
      </c>
      <c r="C6" s="31" t="s">
        <v>202</v>
      </c>
      <c r="D6" s="31" t="s">
        <v>203</v>
      </c>
      <c r="E6" s="31" t="s">
        <v>200</v>
      </c>
      <c r="F6" s="31" t="s">
        <v>199</v>
      </c>
      <c r="G6" s="31" t="s">
        <v>204</v>
      </c>
    </row>
    <row r="7" spans="1:7" ht="28" customHeight="1" x14ac:dyDescent="0.55000000000000004">
      <c r="A7" s="74" t="s">
        <v>205</v>
      </c>
      <c r="B7" s="68"/>
      <c r="C7" s="68"/>
      <c r="D7" s="68"/>
      <c r="E7" s="68"/>
      <c r="F7" s="68"/>
      <c r="G7" s="68"/>
    </row>
    <row r="8" spans="1:7" ht="28" customHeight="1" x14ac:dyDescent="0.55000000000000004">
      <c r="A8" s="111" t="s">
        <v>206</v>
      </c>
      <c r="B8" s="112"/>
      <c r="C8" s="112"/>
      <c r="D8" s="112"/>
      <c r="E8" s="112"/>
      <c r="F8" s="112"/>
      <c r="G8" s="112"/>
    </row>
    <row r="9" spans="1:7" ht="18" customHeight="1" x14ac:dyDescent="0.55000000000000004">
      <c r="A9" s="2"/>
      <c r="B9" s="2" t="s">
        <v>79</v>
      </c>
      <c r="C9" s="2" t="s">
        <v>191</v>
      </c>
      <c r="D9" s="2" t="s">
        <v>192</v>
      </c>
      <c r="E9" s="2" t="s">
        <v>193</v>
      </c>
      <c r="F9" s="2" t="s">
        <v>194</v>
      </c>
      <c r="G9" s="2" t="s">
        <v>195</v>
      </c>
    </row>
    <row r="10" spans="1:7" ht="26.05" customHeight="1" x14ac:dyDescent="0.55000000000000004">
      <c r="A10" s="30" t="s">
        <v>193</v>
      </c>
      <c r="B10" s="30" t="s">
        <v>207</v>
      </c>
      <c r="C10" s="30" t="s">
        <v>208</v>
      </c>
      <c r="D10" s="30" t="s">
        <v>209</v>
      </c>
      <c r="E10" s="30" t="s">
        <v>210</v>
      </c>
      <c r="F10" s="30" t="s">
        <v>200</v>
      </c>
      <c r="G10" s="30" t="s">
        <v>211</v>
      </c>
    </row>
    <row r="11" spans="1:7" ht="26.05" customHeight="1" x14ac:dyDescent="0.55000000000000004">
      <c r="A11" s="31" t="s">
        <v>194</v>
      </c>
      <c r="B11" s="31" t="s">
        <v>207</v>
      </c>
      <c r="C11" s="31" t="s">
        <v>212</v>
      </c>
      <c r="D11" s="31" t="s">
        <v>213</v>
      </c>
      <c r="E11" s="31" t="s">
        <v>200</v>
      </c>
      <c r="F11" s="31" t="s">
        <v>214</v>
      </c>
      <c r="G11" s="32"/>
    </row>
    <row r="12" spans="1:7" ht="26.05" customHeight="1" x14ac:dyDescent="0.55000000000000004">
      <c r="A12" s="30" t="s">
        <v>194</v>
      </c>
      <c r="B12" s="30" t="s">
        <v>207</v>
      </c>
      <c r="C12" s="30" t="s">
        <v>215</v>
      </c>
      <c r="D12" s="30" t="s">
        <v>216</v>
      </c>
      <c r="E12" s="30" t="s">
        <v>200</v>
      </c>
      <c r="F12" s="30" t="s">
        <v>217</v>
      </c>
      <c r="G12" s="30" t="s">
        <v>218</v>
      </c>
    </row>
    <row r="13" spans="1:7" ht="22" customHeight="1" x14ac:dyDescent="0.55000000000000004">
      <c r="A13" s="108" t="s">
        <v>219</v>
      </c>
      <c r="B13" s="62"/>
      <c r="C13" s="62"/>
      <c r="D13" s="62"/>
      <c r="E13" s="62"/>
      <c r="F13" s="62"/>
      <c r="G13" s="62"/>
    </row>
    <row r="14" spans="1:7" ht="28" customHeight="1" x14ac:dyDescent="0.55000000000000004">
      <c r="A14" s="109" t="s">
        <v>220</v>
      </c>
      <c r="B14" s="58"/>
      <c r="C14" s="58"/>
      <c r="D14" s="58"/>
      <c r="E14" s="58"/>
      <c r="F14" s="58"/>
      <c r="G14" s="58"/>
    </row>
    <row r="15" spans="1:7" ht="18" customHeight="1" x14ac:dyDescent="0.55000000000000004">
      <c r="A15" s="2"/>
      <c r="B15" s="2" t="s">
        <v>79</v>
      </c>
      <c r="C15" s="2" t="s">
        <v>191</v>
      </c>
      <c r="D15" s="2" t="s">
        <v>192</v>
      </c>
      <c r="E15" s="2" t="s">
        <v>193</v>
      </c>
      <c r="F15" s="2" t="s">
        <v>194</v>
      </c>
      <c r="G15" s="2" t="s">
        <v>195</v>
      </c>
    </row>
    <row r="16" spans="1:7" ht="26.05" customHeight="1" x14ac:dyDescent="0.55000000000000004">
      <c r="A16" s="30" t="s">
        <v>193</v>
      </c>
      <c r="B16" s="30" t="s">
        <v>221</v>
      </c>
      <c r="C16" s="30" t="s">
        <v>202</v>
      </c>
      <c r="D16" s="30" t="s">
        <v>222</v>
      </c>
      <c r="E16" s="30" t="s">
        <v>210</v>
      </c>
      <c r="F16" s="30" t="s">
        <v>200</v>
      </c>
      <c r="G16" s="30" t="s">
        <v>223</v>
      </c>
    </row>
    <row r="17" spans="1:7" ht="26.05" customHeight="1" x14ac:dyDescent="0.55000000000000004">
      <c r="A17" s="31" t="s">
        <v>194</v>
      </c>
      <c r="B17" s="31" t="s">
        <v>221</v>
      </c>
      <c r="C17" s="31" t="s">
        <v>224</v>
      </c>
      <c r="D17" s="31" t="s">
        <v>213</v>
      </c>
      <c r="E17" s="31" t="s">
        <v>200</v>
      </c>
      <c r="F17" s="31" t="s">
        <v>214</v>
      </c>
      <c r="G17" s="32"/>
    </row>
    <row r="18" spans="1:7" ht="26.05" customHeight="1" x14ac:dyDescent="0.55000000000000004">
      <c r="A18" s="30" t="s">
        <v>194</v>
      </c>
      <c r="B18" s="30" t="s">
        <v>221</v>
      </c>
      <c r="C18" s="30" t="s">
        <v>215</v>
      </c>
      <c r="D18" s="30" t="s">
        <v>225</v>
      </c>
      <c r="E18" s="30" t="s">
        <v>200</v>
      </c>
      <c r="F18" s="30" t="s">
        <v>217</v>
      </c>
      <c r="G18" s="30" t="s">
        <v>218</v>
      </c>
    </row>
    <row r="19" spans="1:7" ht="22" customHeight="1" x14ac:dyDescent="0.55000000000000004">
      <c r="A19" s="115" t="s">
        <v>226</v>
      </c>
      <c r="B19" s="64"/>
      <c r="C19" s="64"/>
      <c r="D19" s="64"/>
      <c r="E19" s="64"/>
      <c r="F19" s="64"/>
      <c r="G19" s="64"/>
    </row>
  </sheetData>
  <mergeCells count="8">
    <mergeCell ref="A19:G19"/>
    <mergeCell ref="A13:G13"/>
    <mergeCell ref="A14:G14"/>
    <mergeCell ref="A1:G1"/>
    <mergeCell ref="A8:G8"/>
    <mergeCell ref="A3:G3"/>
    <mergeCell ref="A2:G2"/>
    <mergeCell ref="A7:G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
  <sheetViews>
    <sheetView workbookViewId="0"/>
  </sheetViews>
  <sheetFormatPr defaultRowHeight="14.4" x14ac:dyDescent="0.55000000000000004"/>
  <cols>
    <col min="1" max="1" width="4" customWidth="1"/>
    <col min="2" max="2" width="22" customWidth="1"/>
    <col min="3" max="3" width="48" customWidth="1"/>
    <col min="4" max="4" width="22" customWidth="1"/>
  </cols>
  <sheetData>
    <row r="1" spans="1:7" ht="36" customHeight="1" x14ac:dyDescent="0.55000000000000004">
      <c r="A1" s="75" t="s">
        <v>227</v>
      </c>
      <c r="B1" s="58"/>
      <c r="C1" s="58"/>
      <c r="D1" s="58"/>
      <c r="E1" s="58"/>
      <c r="F1" s="58"/>
      <c r="G1" s="58"/>
    </row>
    <row r="2" spans="1:7" ht="20.05" customHeight="1" x14ac:dyDescent="0.55000000000000004">
      <c r="A2" s="116" t="s">
        <v>228</v>
      </c>
      <c r="B2" s="117"/>
      <c r="C2" s="117"/>
      <c r="D2" s="117"/>
      <c r="E2" s="117"/>
      <c r="F2" s="117"/>
      <c r="G2" s="117"/>
    </row>
    <row r="3" spans="1:7" ht="18" customHeight="1" x14ac:dyDescent="0.55000000000000004">
      <c r="A3" s="2" t="s">
        <v>229</v>
      </c>
      <c r="B3" s="2" t="s">
        <v>230</v>
      </c>
      <c r="C3" s="2" t="s">
        <v>231</v>
      </c>
      <c r="D3" s="2" t="s">
        <v>232</v>
      </c>
    </row>
    <row r="4" spans="1:7" ht="80.05" customHeight="1" x14ac:dyDescent="0.55000000000000004">
      <c r="A4" s="24" t="s">
        <v>233</v>
      </c>
      <c r="B4" s="27" t="s">
        <v>234</v>
      </c>
      <c r="C4" s="33" t="s">
        <v>235</v>
      </c>
      <c r="D4" s="34" t="s">
        <v>236</v>
      </c>
    </row>
    <row r="5" spans="1:7" ht="88" customHeight="1" x14ac:dyDescent="0.55000000000000004">
      <c r="A5" s="24" t="s">
        <v>237</v>
      </c>
      <c r="B5" s="29" t="s">
        <v>238</v>
      </c>
      <c r="C5" s="25" t="s">
        <v>239</v>
      </c>
      <c r="D5" s="35" t="s">
        <v>240</v>
      </c>
    </row>
    <row r="6" spans="1:7" ht="36" customHeight="1" x14ac:dyDescent="0.55000000000000004">
      <c r="A6" s="118" t="s">
        <v>241</v>
      </c>
      <c r="B6" s="119"/>
      <c r="C6" s="119"/>
      <c r="D6" s="119"/>
    </row>
  </sheetData>
  <mergeCells count="3">
    <mergeCell ref="A2:G2"/>
    <mergeCell ref="A1:G1"/>
    <mergeCell ref="A6:D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1"/>
  <sheetViews>
    <sheetView workbookViewId="0"/>
  </sheetViews>
  <sheetFormatPr defaultRowHeight="14.4" x14ac:dyDescent="0.55000000000000004"/>
  <cols>
    <col min="1" max="1" width="3" customWidth="1"/>
    <col min="2" max="2" width="8" customWidth="1"/>
    <col min="3" max="3" width="38" customWidth="1"/>
    <col min="4" max="4" width="34" customWidth="1"/>
    <col min="5" max="5" width="22" customWidth="1"/>
    <col min="6" max="6" width="3" customWidth="1"/>
  </cols>
  <sheetData>
    <row r="1" spans="1:7" ht="38.049999999999997" customHeight="1" x14ac:dyDescent="0.55000000000000004">
      <c r="A1" s="57" t="s">
        <v>242</v>
      </c>
      <c r="B1" s="58"/>
      <c r="C1" s="58"/>
      <c r="D1" s="58"/>
      <c r="E1" s="58"/>
      <c r="F1" s="58"/>
      <c r="G1" s="58"/>
    </row>
    <row r="2" spans="1:7" ht="20.05" customHeight="1" x14ac:dyDescent="0.55000000000000004">
      <c r="A2" s="124" t="s">
        <v>243</v>
      </c>
      <c r="B2" s="84"/>
      <c r="C2" s="84"/>
      <c r="D2" s="84"/>
      <c r="E2" s="84"/>
      <c r="F2" s="84"/>
      <c r="G2" s="84"/>
    </row>
    <row r="3" spans="1:7" ht="5.05" customHeight="1" x14ac:dyDescent="0.55000000000000004">
      <c r="A3" s="1"/>
      <c r="B3" s="1"/>
      <c r="C3" s="1"/>
      <c r="D3" s="1"/>
      <c r="E3" s="1"/>
      <c r="F3" s="1"/>
    </row>
    <row r="4" spans="1:7" ht="26.05" customHeight="1" x14ac:dyDescent="0.55000000000000004">
      <c r="A4" s="95" t="s">
        <v>244</v>
      </c>
      <c r="B4" s="96"/>
      <c r="C4" s="96"/>
      <c r="D4" s="96"/>
      <c r="E4" s="96"/>
      <c r="F4" s="96"/>
    </row>
    <row r="5" spans="1:7" ht="22" customHeight="1" x14ac:dyDescent="0.55000000000000004">
      <c r="A5" s="74" t="s">
        <v>245</v>
      </c>
      <c r="B5" s="68"/>
      <c r="C5" s="68"/>
      <c r="D5" s="68"/>
      <c r="E5" s="68"/>
      <c r="F5" s="68"/>
    </row>
    <row r="6" spans="1:7" ht="18" customHeight="1" x14ac:dyDescent="0.55000000000000004">
      <c r="A6" s="2"/>
      <c r="B6" s="2" t="s">
        <v>246</v>
      </c>
      <c r="C6" s="2" t="s">
        <v>50</v>
      </c>
      <c r="D6" s="2" t="s">
        <v>247</v>
      </c>
      <c r="E6" s="2" t="s">
        <v>248</v>
      </c>
      <c r="F6" s="2"/>
    </row>
    <row r="7" spans="1:7" ht="44.05" customHeight="1" x14ac:dyDescent="0.55000000000000004">
      <c r="A7" s="5"/>
      <c r="B7" s="36" t="s">
        <v>249</v>
      </c>
      <c r="C7" s="37" t="s">
        <v>250</v>
      </c>
      <c r="D7" s="38" t="s">
        <v>251</v>
      </c>
      <c r="E7" s="39" t="s">
        <v>252</v>
      </c>
      <c r="F7" s="5"/>
    </row>
    <row r="8" spans="1:7" ht="40" customHeight="1" x14ac:dyDescent="0.55000000000000004">
      <c r="A8" s="5"/>
      <c r="B8" s="36" t="s">
        <v>253</v>
      </c>
      <c r="C8" s="37" t="s">
        <v>254</v>
      </c>
      <c r="D8" s="38" t="s">
        <v>255</v>
      </c>
      <c r="E8" s="39" t="s">
        <v>256</v>
      </c>
      <c r="F8" s="5"/>
    </row>
    <row r="9" spans="1:7" ht="52" customHeight="1" x14ac:dyDescent="0.55000000000000004">
      <c r="A9" s="5"/>
      <c r="B9" s="36" t="s">
        <v>257</v>
      </c>
      <c r="C9" s="37" t="s">
        <v>258</v>
      </c>
      <c r="D9" s="38" t="s">
        <v>259</v>
      </c>
      <c r="E9" s="39" t="s">
        <v>260</v>
      </c>
      <c r="F9" s="5"/>
    </row>
    <row r="10" spans="1:7" ht="40" customHeight="1" x14ac:dyDescent="0.55000000000000004">
      <c r="A10" s="5"/>
      <c r="B10" s="36" t="s">
        <v>261</v>
      </c>
      <c r="C10" s="37" t="s">
        <v>262</v>
      </c>
      <c r="D10" s="38" t="s">
        <v>263</v>
      </c>
      <c r="E10" s="39" t="s">
        <v>264</v>
      </c>
      <c r="F10" s="5"/>
    </row>
    <row r="11" spans="1:7" ht="40" customHeight="1" x14ac:dyDescent="0.55000000000000004">
      <c r="A11" s="5"/>
      <c r="B11" s="36" t="s">
        <v>265</v>
      </c>
      <c r="C11" s="37" t="s">
        <v>266</v>
      </c>
      <c r="D11" s="38" t="s">
        <v>267</v>
      </c>
      <c r="E11" s="39" t="s">
        <v>268</v>
      </c>
      <c r="F11" s="5"/>
    </row>
    <row r="12" spans="1:7" ht="36" customHeight="1" x14ac:dyDescent="0.55000000000000004">
      <c r="A12" s="5"/>
      <c r="B12" s="36" t="s">
        <v>269</v>
      </c>
      <c r="C12" s="37" t="s">
        <v>270</v>
      </c>
      <c r="D12" s="38" t="s">
        <v>271</v>
      </c>
      <c r="E12" s="39" t="s">
        <v>272</v>
      </c>
      <c r="F12" s="5"/>
    </row>
    <row r="13" spans="1:7" ht="5.05" customHeight="1" x14ac:dyDescent="0.55000000000000004">
      <c r="A13" s="1"/>
      <c r="B13" s="1"/>
      <c r="C13" s="1"/>
      <c r="D13" s="1"/>
      <c r="E13" s="1"/>
      <c r="F13" s="1"/>
    </row>
    <row r="14" spans="1:7" ht="26.05" customHeight="1" x14ac:dyDescent="0.55000000000000004">
      <c r="A14" s="122" t="s">
        <v>273</v>
      </c>
      <c r="B14" s="123"/>
      <c r="C14" s="123"/>
      <c r="D14" s="123"/>
      <c r="E14" s="123"/>
      <c r="F14" s="123"/>
    </row>
    <row r="15" spans="1:7" ht="18" customHeight="1" x14ac:dyDescent="0.55000000000000004">
      <c r="A15" s="2"/>
      <c r="B15" s="2" t="s">
        <v>246</v>
      </c>
      <c r="C15" s="2" t="s">
        <v>50</v>
      </c>
      <c r="D15" s="2" t="s">
        <v>247</v>
      </c>
      <c r="E15" s="2" t="s">
        <v>248</v>
      </c>
      <c r="F15" s="2"/>
    </row>
    <row r="16" spans="1:7" ht="40" customHeight="1" x14ac:dyDescent="0.55000000000000004">
      <c r="A16" s="40"/>
      <c r="B16" s="41" t="s">
        <v>274</v>
      </c>
      <c r="C16" s="42" t="s">
        <v>275</v>
      </c>
      <c r="D16" s="43" t="s">
        <v>276</v>
      </c>
      <c r="E16" s="44" t="s">
        <v>277</v>
      </c>
      <c r="F16" s="40"/>
    </row>
    <row r="17" spans="1:6" ht="36" customHeight="1" x14ac:dyDescent="0.55000000000000004">
      <c r="A17" s="40"/>
      <c r="B17" s="41" t="s">
        <v>278</v>
      </c>
      <c r="C17" s="42" t="s">
        <v>279</v>
      </c>
      <c r="D17" s="43" t="s">
        <v>280</v>
      </c>
      <c r="E17" s="44" t="s">
        <v>281</v>
      </c>
      <c r="F17" s="40"/>
    </row>
    <row r="18" spans="1:6" ht="5.05" customHeight="1" x14ac:dyDescent="0.55000000000000004">
      <c r="A18" s="1"/>
      <c r="B18" s="1"/>
      <c r="C18" s="1"/>
      <c r="D18" s="1"/>
      <c r="E18" s="1"/>
      <c r="F18" s="1"/>
    </row>
    <row r="19" spans="1:6" ht="26.05" customHeight="1" x14ac:dyDescent="0.55000000000000004">
      <c r="A19" s="120" t="s">
        <v>282</v>
      </c>
      <c r="B19" s="121"/>
      <c r="C19" s="121"/>
      <c r="D19" s="121"/>
      <c r="E19" s="121"/>
      <c r="F19" s="121"/>
    </row>
    <row r="20" spans="1:6" ht="18" customHeight="1" x14ac:dyDescent="0.55000000000000004">
      <c r="A20" s="45"/>
      <c r="B20" s="45" t="s">
        <v>246</v>
      </c>
      <c r="C20" s="45" t="s">
        <v>5</v>
      </c>
      <c r="D20" s="45" t="s">
        <v>283</v>
      </c>
      <c r="E20" s="45" t="s">
        <v>284</v>
      </c>
      <c r="F20" s="45"/>
    </row>
    <row r="21" spans="1:6" ht="44.05" customHeight="1" x14ac:dyDescent="0.55000000000000004">
      <c r="A21" s="46"/>
      <c r="B21" s="47" t="s">
        <v>285</v>
      </c>
      <c r="C21" s="48" t="s">
        <v>152</v>
      </c>
      <c r="D21" s="49" t="s">
        <v>286</v>
      </c>
      <c r="E21" s="50" t="s">
        <v>287</v>
      </c>
      <c r="F21" s="46"/>
    </row>
    <row r="22" spans="1:6" ht="44.05" customHeight="1" x14ac:dyDescent="0.55000000000000004">
      <c r="A22" s="46"/>
      <c r="B22" s="47" t="s">
        <v>288</v>
      </c>
      <c r="C22" s="48" t="s">
        <v>156</v>
      </c>
      <c r="D22" s="49" t="s">
        <v>289</v>
      </c>
      <c r="E22" s="50" t="s">
        <v>287</v>
      </c>
      <c r="F22" s="46"/>
    </row>
    <row r="23" spans="1:6" ht="44.05" customHeight="1" x14ac:dyDescent="0.55000000000000004">
      <c r="A23" s="46"/>
      <c r="B23" s="47" t="s">
        <v>290</v>
      </c>
      <c r="C23" s="48" t="s">
        <v>291</v>
      </c>
      <c r="D23" s="49" t="s">
        <v>292</v>
      </c>
      <c r="E23" s="50" t="s">
        <v>287</v>
      </c>
      <c r="F23" s="46"/>
    </row>
    <row r="24" spans="1:6" ht="44.05" customHeight="1" x14ac:dyDescent="0.55000000000000004">
      <c r="A24" s="51"/>
      <c r="B24" s="52" t="s">
        <v>293</v>
      </c>
      <c r="C24" s="53" t="s">
        <v>294</v>
      </c>
      <c r="D24" s="28" t="s">
        <v>295</v>
      </c>
      <c r="E24" s="54" t="s">
        <v>287</v>
      </c>
      <c r="F24" s="51"/>
    </row>
    <row r="25" spans="1:6" ht="44.05" customHeight="1" x14ac:dyDescent="0.55000000000000004">
      <c r="A25" s="51"/>
      <c r="B25" s="52" t="s">
        <v>296</v>
      </c>
      <c r="C25" s="53" t="s">
        <v>297</v>
      </c>
      <c r="D25" s="28" t="s">
        <v>166</v>
      </c>
      <c r="E25" s="54" t="s">
        <v>287</v>
      </c>
      <c r="F25" s="51"/>
    </row>
    <row r="26" spans="1:6" ht="44.05" customHeight="1" x14ac:dyDescent="0.55000000000000004">
      <c r="A26" s="51"/>
      <c r="B26" s="52" t="s">
        <v>298</v>
      </c>
      <c r="C26" s="53" t="s">
        <v>299</v>
      </c>
      <c r="D26" s="28" t="s">
        <v>300</v>
      </c>
      <c r="E26" s="54" t="s">
        <v>287</v>
      </c>
      <c r="F26" s="51"/>
    </row>
    <row r="27" spans="1:6" ht="44.05" customHeight="1" x14ac:dyDescent="0.55000000000000004">
      <c r="A27" s="51"/>
      <c r="B27" s="52" t="s">
        <v>301</v>
      </c>
      <c r="C27" s="53" t="s">
        <v>171</v>
      </c>
      <c r="D27" s="28" t="s">
        <v>302</v>
      </c>
      <c r="E27" s="54" t="s">
        <v>287</v>
      </c>
      <c r="F27" s="51"/>
    </row>
    <row r="28" spans="1:6" ht="44.05" customHeight="1" x14ac:dyDescent="0.55000000000000004">
      <c r="A28" s="51"/>
      <c r="B28" s="52" t="s">
        <v>303</v>
      </c>
      <c r="C28" s="53" t="s">
        <v>177</v>
      </c>
      <c r="D28" s="28" t="s">
        <v>178</v>
      </c>
      <c r="E28" s="54" t="s">
        <v>287</v>
      </c>
      <c r="F28" s="51"/>
    </row>
    <row r="29" spans="1:6" ht="44.05" customHeight="1" x14ac:dyDescent="0.55000000000000004">
      <c r="A29" s="51"/>
      <c r="B29" s="52" t="s">
        <v>304</v>
      </c>
      <c r="C29" s="53" t="s">
        <v>305</v>
      </c>
      <c r="D29" s="28" t="s">
        <v>187</v>
      </c>
      <c r="E29" s="54" t="s">
        <v>287</v>
      </c>
      <c r="F29" s="51"/>
    </row>
    <row r="30" spans="1:6" ht="5.05" customHeight="1" x14ac:dyDescent="0.55000000000000004">
      <c r="A30" s="1"/>
      <c r="B30" s="1"/>
      <c r="C30" s="1"/>
      <c r="D30" s="1"/>
      <c r="E30" s="1"/>
      <c r="F30" s="1"/>
    </row>
    <row r="31" spans="1:6" ht="52" customHeight="1" x14ac:dyDescent="0.55000000000000004">
      <c r="A31" s="118" t="s">
        <v>306</v>
      </c>
      <c r="B31" s="119"/>
      <c r="C31" s="119"/>
      <c r="D31" s="119"/>
      <c r="E31" s="119"/>
      <c r="F31" s="119"/>
    </row>
  </sheetData>
  <mergeCells count="7">
    <mergeCell ref="A1:G1"/>
    <mergeCell ref="A19:F19"/>
    <mergeCell ref="A14:F14"/>
    <mergeCell ref="A5:F5"/>
    <mergeCell ref="A31:F31"/>
    <mergeCell ref="A2:G2"/>
    <mergeCell ref="A4:F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2026-04-04T20:33:13Z</dcterms:created>
  <dcterms:modified xsi:type="dcterms:W3CDTF">2026-04-04T20:45:10Z</dcterms:modified>
</cp:coreProperties>
</file>