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itimatglobal365-my.sharepoint.com/personal/aydindede_itimatglobal_com/Documents/Desktop/GEM/son standart/"/>
    </mc:Choice>
  </mc:AlternateContent>
  <xr:revisionPtr revIDLastSave="0" documentId="8_{7984E577-B9D6-4248-85ED-D5DE98B60F46}" xr6:coauthVersionLast="47" xr6:coauthVersionMax="47" xr10:uidLastSave="{00000000-0000-0000-0000-000000000000}"/>
  <bookViews>
    <workbookView xWindow="-96" yWindow="-96" windowWidth="23232" windowHeight="12552" xr2:uid="{00000000-000D-0000-FFFF-FFFF00000000}"/>
  </bookViews>
  <sheets>
    <sheet name="VERİ GİRİŞİ" sheetId="1" r:id="rId1"/>
    <sheet name="HESAPLAMALAR &amp; KONTROL" sheetId="2" r:id="rId2"/>
    <sheet name="MUHASEBE KAYITLARI" sheetId="3" r:id="rId3"/>
    <sheet name="DENETCİ NOTLARI" sheetId="4" r:id="rId4"/>
    <sheet name="BELGE LISTESI" sheetId="5" r:id="rId5"/>
  </sheet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66" i="1" l="1"/>
  <c r="D65" i="1"/>
  <c r="D10" i="2" s="1"/>
  <c r="D55" i="1"/>
  <c r="D9" i="2" s="1"/>
  <c r="D52" i="1"/>
  <c r="D12" i="2"/>
  <c r="D8" i="2"/>
  <c r="D6" i="2"/>
  <c r="D48" i="1"/>
  <c r="D45" i="1"/>
  <c r="D7" i="2" s="1"/>
  <c r="E14" i="1"/>
  <c r="D5" i="2" s="1"/>
  <c r="D56" i="1" l="1"/>
  <c r="D57" i="1"/>
  <c r="D11" i="2" s="1"/>
  <c r="F69" i="1" l="1"/>
</calcChain>
</file>

<file path=xl/sharedStrings.xml><?xml version="1.0" encoding="utf-8"?>
<sst xmlns="http://schemas.openxmlformats.org/spreadsheetml/2006/main" count="401" uniqueCount="321">
  <si>
    <t>315 – TÜRK ULUSLARARASI GEMİ SİCİLİNE KAYITLI GEMİLERİN İŞLETİLMESİNDEN VE DEVRİNDEN SAĞLANAN KAZANÇLAR | 4490 Sayılı TUGS Kanunu | BEYANNAME 315</t>
  </si>
  <si>
    <t>4490 Sayılı Türk Uluslararası Gemi Sicili Kanunu | %100 Tam İstisna | SÜRESİZ | TUGS Kayıtlı Gemi İşletmesi + Devri | Sicil Aktifliği Şartı | Beyanname 315 — Kazancın Bulunması Halinde</t>
  </si>
  <si>
    <t xml:space="preserve">  ★ İKİ AYAKLI KAPSAM: (1) GEMİ İŞLETME KAZANCI — navlun/kira/yük/kurtarma gelirleri. (2) GEMİ DEVİR KAZANCI — TUGS'a kayıtlı geminin satışı. TEMEL ŞART: Kazancın elde edildiği tarihte TUGS kaydı AKTİF olmak zorundadır. Askıya alınan/terkin edilen dönem kazancı kapsam dışıdır. SÜRESİZ: KVK geçici maddelerindeki gibi tarih sınırı yoktur.</t>
  </si>
  <si>
    <t xml:space="preserve">  311 (TGB Yönetici Şirket) ile karşılaştırma: Her ikisi de özel kanun istisnası, %100, süresiz. 315'in farkı: GEMİ DEVİR kazancı da istisna kapsamında (311'de devir istisnası yoktur). Kapsam dışı: Mevduat faizi, gemi işletimiyle bağlantısız finansal gelirler.</t>
  </si>
  <si>
    <t>A0. KAPSAM VE NİTELİK UYGUNLUK ÖN KONTROLÜ</t>
  </si>
  <si>
    <t>Kontrol Sorusu</t>
  </si>
  <si>
    <t>Yanıt</t>
  </si>
  <si>
    <t>YMM Tasdik Notu</t>
  </si>
  <si>
    <t>A0.1  ★ Gemi TUGS'a kayıtlı mı? Tescil şahadetnamesi aktif mi?</t>
  </si>
  <si>
    <t>EVET</t>
  </si>
  <si>
    <t>Temel şart. TUGS kaydı olmayan gemi (Ulusal Gemi Sicili vb.) kapsam dışıdır.</t>
  </si>
  <si>
    <t>A0.2  ★ Kazanç türü nedir?</t>
  </si>
  <si>
    <t>İşletme Kazancı</t>
  </si>
  <si>
    <t>İşletme (D bölümü) ve devir (E bölümü) ayrı hesaplanır, 315'te toplanır.</t>
  </si>
  <si>
    <t>A0.3  ★ Sicil kaydı kazancın elde edildiği tarihte AKTİF miydi?</t>
  </si>
  <si>
    <t>Askıya alınan dönemdeki kazanç 315 dışındadır. Tüm dönem için sicil aktifliği belgelenmeli.</t>
  </si>
  <si>
    <t>A0.4  Kapsam dışı gelir (mevduat faizi vb.) var mı? Ayrıştırıldı mı?</t>
  </si>
  <si>
    <t>HAYIR</t>
  </si>
  <si>
    <t>Mevduat faizi ve gemi işletimiyle bağlantısız gelirler C bölümünde ayrıştırılmalıdır.</t>
  </si>
  <si>
    <t>A0.5  ★ İstisnanın SÜRESİZ olduğu teyit edildi mi?</t>
  </si>
  <si>
    <t>4490 s.K. istisnası süresizdir — KVK geçici madde tarih sınırları uygulanmaz.</t>
  </si>
  <si>
    <t>A0.6  YMM Tasdik Raporu gereksinimi değerlendirildi mi?</t>
  </si>
  <si>
    <t>49 No.lu Tebliğ: &gt;=500.000 TL → YMM raporu. Tam tasdik → ayrıca rapor yok.</t>
  </si>
  <si>
    <t>A0.7  Tasdik Uygunluk Sonucu</t>
  </si>
  <si>
    <t>★ A0.1 (TUGS sicil), A0.3 (sicil aktifliği) kritik.</t>
  </si>
  <si>
    <t>A. GENEL BİLGİLER</t>
  </si>
  <si>
    <t>Kurumun Unvanı</t>
  </si>
  <si>
    <t>Gemi işleten / devreden kurum</t>
  </si>
  <si>
    <t>VKN</t>
  </si>
  <si>
    <t>10 haneli VKN</t>
  </si>
  <si>
    <t>Gemi Adı ve IMO Numarası</t>
  </si>
  <si>
    <t>Her gemi — birden fazla varsa en önemlisi</t>
  </si>
  <si>
    <t>TUGS Tescil Şahadetnamesi No</t>
  </si>
  <si>
    <t>Türk Uluslararası Gemi Sicili tescil belgesi numarası</t>
  </si>
  <si>
    <t>TUGS Kayıt Tarihi</t>
  </si>
  <si>
    <t>GG.AA.YYYY</t>
  </si>
  <si>
    <t>Gemi Türü</t>
  </si>
  <si>
    <t>Tanker/Kuru Yük/Konteyner/Ro-Ro/Yolcu/Kimyasal vb.</t>
  </si>
  <si>
    <t>İstisna Türü</t>
  </si>
  <si>
    <t>İşletme Kazancı / Devir Kazancı / Her İkisi</t>
  </si>
  <si>
    <t>Hesap Dönemi</t>
  </si>
  <si>
    <t>Örn: 01.01.2025 – 31.12.2025</t>
  </si>
  <si>
    <t>B. TUGS SİCİL TEYİDİ VE GEMİ KİMLİĞİ</t>
  </si>
  <si>
    <t xml:space="preserve">  TUGS tescil şahadetnamesi tasdik dosyasının birincil belgesidir. Sicil aktifliği tüm hesap dönemi için kontrol edilmelidir. Birden fazla gemi varsa her gemi için ayrı B bölümü veya tablo eklenmeli.</t>
  </si>
  <si>
    <t>Parametre</t>
  </si>
  <si>
    <t>Değer</t>
  </si>
  <si>
    <t>Açıklama</t>
  </si>
  <si>
    <t>Belge</t>
  </si>
  <si>
    <t>B.1  Gemi Adı</t>
  </si>
  <si>
    <t>TUGS tescil belgesiyle birebir</t>
  </si>
  <si>
    <t>TUGS Tescil Şahadetnamesi</t>
  </si>
  <si>
    <t>B.2  IMO Numarası</t>
  </si>
  <si>
    <t>7 haneli uluslararası gemi kimlik numarası</t>
  </si>
  <si>
    <t>IMO Sertifikası</t>
  </si>
  <si>
    <t>B.3  TUGS Tescil Şahadetnamesi No</t>
  </si>
  <si>
    <t>Ulaştırma ve Altyapı Bakanlığı</t>
  </si>
  <si>
    <t>B.4  TUGS Kayıt Tarihi</t>
  </si>
  <si>
    <t>B.5  Gemi Sicil Kaydı Hesap Döneminde AKTİF mi?</t>
  </si>
  <si>
    <t>Kısmen askıya alınmış dönem analizi yapılmalı</t>
  </si>
  <si>
    <t>TUGS Sicil Teyit Yazısı</t>
  </si>
  <si>
    <t>B.6  Gemi İşletme Türü</t>
  </si>
  <si>
    <t>Navlun/Kargo</t>
  </si>
  <si>
    <t>İşletme türü kapsam içi gelir kategorisini belirler</t>
  </si>
  <si>
    <t>Sözleşmeler</t>
  </si>
  <si>
    <t>C. GEMİ İŞLETME — KAPSAM İÇİ / KAPSAM DIŞI GELİR ANALİZİ</t>
  </si>
  <si>
    <t xml:space="preserve">  TUGS istisnasının kapsam sınırı: Yalnızca GEMİ İŞLETMESİNDEN kaynaklanan gelirler. Mevduat faizi ve geme bağlantısız finansal gelirler kapsam dışıdır.</t>
  </si>
  <si>
    <t>Gelir Kalemi</t>
  </si>
  <si>
    <t>Tutar (TL)</t>
  </si>
  <si>
    <t>Kapsam</t>
  </si>
  <si>
    <t>YMM Notu</t>
  </si>
  <si>
    <t>C.1  Navlun Gelirleri (Yük/Kargo Taşıma)</t>
  </si>
  <si>
    <t>KAPSAM İÇİ</t>
  </si>
  <si>
    <t>Temel gemi işletme geliri — kapsam içi</t>
  </si>
  <si>
    <t>C.2  Zaman Kiralama (Time Charter) Gelirleri</t>
  </si>
  <si>
    <t>Kapsam içi</t>
  </si>
  <si>
    <t>C.3  Çıplak Tekne Kiralama (Bare Boat) Gelirleri</t>
  </si>
  <si>
    <t>C.4  Yolcu Taşıma Gelirleri</t>
  </si>
  <si>
    <t>C.5  Kurtarma/Yardım (Salvage) Gelirleri</t>
  </si>
  <si>
    <t>4490 s.K. kapsamı içi</t>
  </si>
  <si>
    <t>C.6  Sürastarya (Demurrage) Gelirleri</t>
  </si>
  <si>
    <t>Navlun sözleşmesine bağlı — kapsam içi</t>
  </si>
  <si>
    <t>C.7  TOPLAM KAPSAM İÇİ GELİR</t>
  </si>
  <si>
    <t>İstisna hesabının dayanağı</t>
  </si>
  <si>
    <t>C.8  Mevduat Faizi ve Finansal Gelirler</t>
  </si>
  <si>
    <t>KAPSAM DIŞI</t>
  </si>
  <si>
    <t>★ KESİN KAPSAM DIŞI</t>
  </si>
  <si>
    <t>C.9  TUGS Dışı Gemi/Araç Gelirleri</t>
  </si>
  <si>
    <t>TUGS kaydı olmayan gemi kapsam dışı</t>
  </si>
  <si>
    <t>C.10  TOPLAM KAPSAM DIŞI GELİR</t>
  </si>
  <si>
    <t>Vergiye tabi kısım</t>
  </si>
  <si>
    <t>D. GEMİ İŞLETME KAZANCI HESABI (AŞAMA 1)</t>
  </si>
  <si>
    <t>Hesap Kalemi</t>
  </si>
  <si>
    <t>D.1  Kapsam İçi Toplam İşletme Geliri</t>
  </si>
  <si>
    <t>Gemi işletme gelirleri</t>
  </si>
  <si>
    <t>D.2  Doğrudan Gemi Giderleri (Yakıt/Liman/Mürettebat/Bakım/Sigorta)</t>
  </si>
  <si>
    <t>D.3  Genel Yönetim Gideri Payı (Dağıtım Anahtarıyla)</t>
  </si>
  <si>
    <t>D.4  GEMİ İŞLETME KAZANCI = D.1 − D.2 − D.3</t>
  </si>
  <si>
    <t>D.5  DURUM</t>
  </si>
  <si>
    <t>D.6  İŞLETME KAZANCI İSTİSNA TUTARI (%100)</t>
  </si>
  <si>
    <t>→ F bölümü toplamına</t>
  </si>
  <si>
    <t>E. GEMİ DEVİR KAZANCI HESABI (AŞAMA 2 — Varsa)</t>
  </si>
  <si>
    <t xml:space="preserve">  TUGS'a kayıtlı geminin satışından doğan devir kazancı da 315 kapsamındadır. Devir tarihinde TUGS kaydı aktif olmalıdır. Devir yoksa E bölümü boş bırakılır.</t>
  </si>
  <si>
    <t>E.1  Gemi Satış Bedeli (TL)</t>
  </si>
  <si>
    <t>Gemi alım-satım sözleşmesi + Sicil devir belgesi</t>
  </si>
  <si>
    <t>E.2  Geminin Net Defter Değeri (TL)</t>
  </si>
  <si>
    <t>253 hesap kartı (amortisman düşülmüş)</t>
  </si>
  <si>
    <t>E.3  Satış Giderleri (TL)</t>
  </si>
  <si>
    <t>Acente, noter, sicil harçları vb.</t>
  </si>
  <si>
    <t>E.4  GEMİ DEVİR KAZANCI = E.1 − E.2 − E.3</t>
  </si>
  <si>
    <t>E.5  DEVİR KAZANCI İSTİSNA TUTARI (%100)</t>
  </si>
  <si>
    <t>F. BEYANNAME 315 — TUGS GEMİ İŞLETME VE DEVİR KAZANCI</t>
  </si>
  <si>
    <t>F.1  TOPLAM İSTİSNA → Beyanname Satır 315 (Kazancın Bulunması Halinde — %100 — SÜRESİZ)</t>
  </si>
  <si>
    <t>D.6 (İşletme) + E.5 (Devir)</t>
  </si>
  <si>
    <t xml:space="preserve">  UYARILAR: (1) SÜRESİZ — tarih sınırı yoktur. (2) SİCİL AKTİFLİĞİ — askıya alınan dönem kapsam dışı. (3) KAPSAM — mevduat faizi ve gemi dışı finansal gelirler 315 dışıdır. (4) 315 = Kazancın Bulunması Halinde — gemi işletme zararında uygulanamaz.</t>
  </si>
  <si>
    <t>315 – TUGS GEMİ İŞLETME VE DEVİR KAZANCI | HESAPLAMALAR VE DENETİM</t>
  </si>
  <si>
    <t>4490 Sayılı TUGS Kanunu | %100 İstisna | SÜRESİZ | İşletme + Devir | Beyanname 315 | Kazancın Bulunması Halinde | Sicil Aktifliği | 311 Karşılaştırma</t>
  </si>
  <si>
    <t>A. TASDİK ÖZETİ — VERİ GİRİŞİNDEN OTOMATİK</t>
  </si>
  <si>
    <t>A0 Tasdik Uygunluğu</t>
  </si>
  <si>
    <t>OK ise devam</t>
  </si>
  <si>
    <t>TUGS Sicil Aktifliği (B.5)</t>
  </si>
  <si>
    <t>EVET zorunlu</t>
  </si>
  <si>
    <t>Kapsam İçi Gelir (C.7)</t>
  </si>
  <si>
    <t>Kapsam Dışı Gelir (C.10)</t>
  </si>
  <si>
    <t>İşletme Kazancı (D.4)</t>
  </si>
  <si>
    <t>Net gemi işletme kazancı</t>
  </si>
  <si>
    <t>Devir Kazancı (E.4)</t>
  </si>
  <si>
    <t>Varsa gemi satış kazancı</t>
  </si>
  <si>
    <t>315 TOPLAM İSTİSNA (F.1)</t>
  </si>
  <si>
    <t>SÜRESİZLİK TEYİDİ (A0.5)</t>
  </si>
  <si>
    <t>EVET — tarih sınırı yok</t>
  </si>
  <si>
    <t>B. 315 (TUGS GEMİ) vs 311 (TGB YÖNETİCİ ŞİRKET) KARŞILAŞTIRMA</t>
  </si>
  <si>
    <t xml:space="preserve">  Her ikisi de özel kanun istisnası, %100, süresiz. Kapsam ve statü şartları farklı.</t>
  </si>
  <si>
    <t>Kriter</t>
  </si>
  <si>
    <t>315 — TUGS Gemi</t>
  </si>
  <si>
    <t>311 — TGB Yönetici Şirket</t>
  </si>
  <si>
    <t>Yasal Dayanak</t>
  </si>
  <si>
    <t>4490 s.K. TUGS Kanunu</t>
  </si>
  <si>
    <t>4691 s.K. TGB Kanunu</t>
  </si>
  <si>
    <t>Statü Şartı</t>
  </si>
  <si>
    <t>TUGS'a kayıtlı gemi — sicil belgesi</t>
  </si>
  <si>
    <t>Bakanlık onaylı yönetici şirket</t>
  </si>
  <si>
    <t>İstisna Konusu</t>
  </si>
  <si>
    <t>Gemi işletme + devir kazancı</t>
  </si>
  <si>
    <t>TGB yönetim faaliyeti kazancı</t>
  </si>
  <si>
    <t>Devir Kazancı</t>
  </si>
  <si>
    <t>EVET — TUGS gemisinin satışı</t>
  </si>
  <si>
    <t>HAYIR — yönetim faaliyeti için geçerli değil</t>
  </si>
  <si>
    <t>Kapsam İçi Gelir</t>
  </si>
  <si>
    <t>Navlun/kira/kurtarma/taşıma</t>
  </si>
  <si>
    <t>Kira/yönetim ücreti/altyapı</t>
  </si>
  <si>
    <t>Kapsam Dışı</t>
  </si>
  <si>
    <t>Mevduat faizi — gemi dışı gelirler</t>
  </si>
  <si>
    <t>Mevduat faizi — TGB dışı gelirler</t>
  </si>
  <si>
    <t>Personel GV İstisnası</t>
  </si>
  <si>
    <t>TUGS çalışanlarına ayrı GV istisnası</t>
  </si>
  <si>
    <t>TGB personeline ayrı GV istisnası</t>
  </si>
  <si>
    <t>İstisna Oranı</t>
  </si>
  <si>
    <t>%100</t>
  </si>
  <si>
    <t>Süre</t>
  </si>
  <si>
    <t>SÜRESİZ</t>
  </si>
  <si>
    <t>Beyanname</t>
  </si>
  <si>
    <t>315</t>
  </si>
  <si>
    <t>311</t>
  </si>
  <si>
    <t>C. DENETİM KONTROL LİSTESİ (K1–K12)</t>
  </si>
  <si>
    <t>Kontrol</t>
  </si>
  <si>
    <t>Sonuç</t>
  </si>
  <si>
    <t>YMM</t>
  </si>
  <si>
    <t>K1</t>
  </si>
  <si>
    <t>★ Gemi TUGS'a kayıtlı mı? Tescil şahadetnamesi dosyada mı?</t>
  </si>
  <si>
    <t>TUGS tescil belgesi zorunludur. Ulusal sicildeki gemi kapsam dışıdır.</t>
  </si>
  <si>
    <t>Uygun / Eksik / Risk</t>
  </si>
  <si>
    <t>K2</t>
  </si>
  <si>
    <t>★ Hesap döneminde TUGS sicil kaydı AKTİF mi?</t>
  </si>
  <si>
    <t>Tüm dönem sicil aktifliği belgesiyle kanıtlanmalı. Askıya alınan dönem ayrıştırılır.</t>
  </si>
  <si>
    <t>K3</t>
  </si>
  <si>
    <t>★ Kapsam içi/dışı gelir ayrıştırması C bölümünde yapıldı mı?</t>
  </si>
  <si>
    <t>Mevduat faizi kesin kapsam dışı. Muhasebe alt hesap ile uyumlu olmalı.</t>
  </si>
  <si>
    <t>K4</t>
  </si>
  <si>
    <t>Gider dağıtımı kapsam içi/dışı oranına göre yapıldı mı?</t>
  </si>
  <si>
    <t>D.3 dağıtım yöntemi belgelenmiş ve tutarlı olmalı.</t>
  </si>
  <si>
    <t>K5</t>
  </si>
  <si>
    <t>★ İstisnanın SÜRESİZ olduğu teyit edildi mi?</t>
  </si>
  <si>
    <t>4490 s.K. — tarih sınırı yoktur. KVK Geçici Md. sınırı uygulanmaz.</t>
  </si>
  <si>
    <t>K6</t>
  </si>
  <si>
    <t>Devir kazancı varsa devir tarihinde TUGS kaydı aktif miydi?</t>
  </si>
  <si>
    <t>Devir tarihi itibarıyla aktif sicil zorunludur.</t>
  </si>
  <si>
    <t>K7</t>
  </si>
  <si>
    <t>Gemi devir belgesi (sicil devir tescili) mevcut mu?</t>
  </si>
  <si>
    <t>Geminin TUGS sicilinden alıcıya devir tescil belgesi.</t>
  </si>
  <si>
    <t>K8</t>
  </si>
  <si>
    <t>Çoklu gemi varsa her gemi için ayrı analiz yapıldı mı?</t>
  </si>
  <si>
    <t>Her TUGS gemisi için ayrı gelir-gider tablosu.</t>
  </si>
  <si>
    <t>K9</t>
  </si>
  <si>
    <t>315 'Kazancın Bulunması Halinde' bölümünde mi?</t>
  </si>
  <si>
    <t>'Zarar Olsa Dahi' değil. Gemi işletme zararında uygulanamaz.</t>
  </si>
  <si>
    <t>K10</t>
  </si>
  <si>
    <t>Beyanname 315 = D.6 + E.5 uyumlu mu?</t>
  </si>
  <si>
    <t>İşletme + Devir toplamı kontrol edilmeli.</t>
  </si>
  <si>
    <t>K11</t>
  </si>
  <si>
    <t>TUGS çalışanları GV ücret istisnası ayrıca analiz edildi mi?</t>
  </si>
  <si>
    <t>KV tasdikinin dışında ayrıca incelenmeli.</t>
  </si>
  <si>
    <t>K12</t>
  </si>
  <si>
    <t>YMM Tasdik Raporu (49 No.lu Tebliğ) değerlendirildi mi?</t>
  </si>
  <si>
    <t>&gt;=500.000 TL → YMM raporu. Tam tasdik → ayrıca rapor yok.</t>
  </si>
  <si>
    <t>315 – TUGS GEMİ İŞLETME VE DEVİR KAZANCI | MUHASEBE KAYITLARI</t>
  </si>
  <si>
    <t>4490 s.K. | %100 İstisna | SÜRESİZ | İşletme + Devir | Beyanname 315</t>
  </si>
  <si>
    <t xml:space="preserve">  NOT: Kapsam içi/dışı gelir ayrıştırması için muhasebe alt hesap sistemi kurulmalıdır.</t>
  </si>
  <si>
    <t>KAYIT 1 — GEMİ İŞLETME GELİRİ (Navlun/Charter — Kapsam İçi)</t>
  </si>
  <si>
    <t>Tarih</t>
  </si>
  <si>
    <t>Hesap</t>
  </si>
  <si>
    <t>Not</t>
  </si>
  <si>
    <t>Dr</t>
  </si>
  <si>
    <t>Kr</t>
  </si>
  <si>
    <t>Ref</t>
  </si>
  <si>
    <t>[Seyir]</t>
  </si>
  <si>
    <t>120/121 Alacaklar (600.01 Kapsam İçi)</t>
  </si>
  <si>
    <t>Navlun/charter alacağı</t>
  </si>
  <si>
    <t>[Tutar]</t>
  </si>
  <si>
    <t>—</t>
  </si>
  <si>
    <t>Sözleşme</t>
  </si>
  <si>
    <t>600 Hizmet Gelirleri (600.01 — GEMİ İŞL.)</t>
  </si>
  <si>
    <t>315 istisna — Beyanname 315</t>
  </si>
  <si>
    <t>KV 315</t>
  </si>
  <si>
    <t xml:space="preserve">  ALT HESAP: 600.01 — TUGS Gemi İşletme (Kapsam İçi) | 600.02 — Kapsam Dışı. Muhasebe ayrımı yapılmadan C bölümü belgelenemiyor.</t>
  </si>
  <si>
    <t>KAYIT 2 — GEMİ DEVIR KAZANCI (TUGS Kayıtlı Geminin Satışı)</t>
  </si>
  <si>
    <t>[Devir]</t>
  </si>
  <si>
    <t>102 Bankalar</t>
  </si>
  <si>
    <t>Satış bedeli tahsilatı</t>
  </si>
  <si>
    <t>[Satış Bed.]</t>
  </si>
  <si>
    <t>Alım-satım söz.+Sicil</t>
  </si>
  <si>
    <t>253 Taşıtlar</t>
  </si>
  <si>
    <t>Net defter değeriyle aktiften çıkış</t>
  </si>
  <si>
    <t>[Net Defter]</t>
  </si>
  <si>
    <t>253 kartı</t>
  </si>
  <si>
    <t>257 Birikmiş Amortismanlar</t>
  </si>
  <si>
    <t>Amortisman kapatma</t>
  </si>
  <si>
    <t>[Amortisman]</t>
  </si>
  <si>
    <t>257 kartı</t>
  </si>
  <si>
    <t>679 Diğer Olağandışı Kâr</t>
  </si>
  <si>
    <t>Devir kazancı — 4490 s.K. 315 — TUGS aktif şart</t>
  </si>
  <si>
    <t>[Kazanç]</t>
  </si>
  <si>
    <t xml:space="preserve">  315 (TUGS GEMİ) vs 311 (TGB): 311'de devir kazancı istisnası yoktur. 315'te hem işletme hem devir kazancı kapsam içindedir. Gemi devri Türk Gemi Sicili tesciliyle tamamlanır.</t>
  </si>
  <si>
    <t>315 – TUGS GEMİ İŞLETME VE DEVİR KAZANCI | DENETÇİ NOTLARI | 4490 S.K.</t>
  </si>
  <si>
    <t>4490 s.K. | %100 | SÜRESİZ | İşletme+Devir | Beyanname 315 | 311 Karş. | Sicil Aktifliği</t>
  </si>
  <si>
    <t>Kod</t>
  </si>
  <si>
    <t>Konu</t>
  </si>
  <si>
    <t>Mesleki Değerlendirme</t>
  </si>
  <si>
    <t>Mevzuat</t>
  </si>
  <si>
    <t>N1</t>
  </si>
  <si>
    <t>4490 s.K. TUGS İstisnası — Yasal Çerçeve</t>
  </si>
  <si>
    <t>4490 SAYILI TÜRK ULUSLARARASI GEMİ SİCİLİ KANUNU (1999):
İSTİSNA KAPSAMI — İKİ AYAK:
① GEMİ İŞLETME: TUGS kayıtlı geminin işletilmesinden elde edilen kazançlar KV'den müstesna.
② GEMİ DEVİR: TUGS kayıtlı geminin devrinden sağlanan kazançlar da istisna kapsamında.
SÜRESİZLİK: 4490 s.K. istisnası için tarih sınırı yoktur — süresizdir.
SİCİL AKTİFLİĞİ: Kazancın elde edildiği tarihte TUGS kaydı aktif olmalıdır.
Askıya alınmış veya terkin edilmiş gemi → Kapsam dışı.
BEYANNAME: 315. Satır | 'Kazancın Bulunması Halinde' | %100</t>
  </si>
  <si>
    <t>4490 s.K. | Ulaştırma ve Altyapı Bakanlığı</t>
  </si>
  <si>
    <t>N2</t>
  </si>
  <si>
    <t>Kapsam İçi/Dışı ve YMM Tasdik Standardı</t>
  </si>
  <si>
    <t>KAPSAM İÇİ: Navlun, time charter, bare boat, yolcu, salvage, demurrage.
KAPSAM DIŞI: Mevduat faizi, TUGS dışı gemi gelirleri, finansal gelirler.
YMM KULLANSIN:
'...TUGS Tescil Şahadetnamesi No:[...] ile kayıtlı [gemi/IMO] işletmesinden
  elde edilen kazanç 4490 s.K. kapsamında kurumlar vergisinden müstesnadır'
'...sicil kaydı tüm hesap dönemi boyunca aktif olduğu teyit edilmiştir'
KRİTİK HATALAR:
(1) Mevduat faizini 315 kapsamında beyan etmek.
(2) Sicil askıya alınmış dönem kazancına istisna uygulamak.
(3) Gemi işletme zararını 'Zarar Olsa Dahi' bölümüne yazmak.
(4) İstisna için tarih sınırı uygulamak (315 süresizdir).
KDV NOTU: 315 KV istisnası KDV muafiyeti sağlamaz — uluslararası deniz taşımacılığı KDV'si KDVK kapsamında ayrıca incelenmelidir.</t>
  </si>
  <si>
    <t>4490 s.K. | 49 No.lu Tebliğ | SM-SMMM-YMM K.</t>
  </si>
  <si>
    <t xml:space="preserve">  315 vs 311 ÖZET: Her ikisi özel kanun istisnası, %100, süresiz. 315'in 311'den farkı: GEMİ DEVİR kazancı da istisna kapsamında. 311'de devir kazancı istisnası yok. 49 No.lu Tebliğ: &gt;=500.000 TL → YMM raporu. YMM müteselsil sorumluluk: Md.12.</t>
  </si>
  <si>
    <t>315 – TUGS GEMİ İŞLETME VE DEVİR KAZANCI | BELGE LİSTESİ | YMM TASDİK | 4490 S.K.</t>
  </si>
  <si>
    <t>4490 s.K. | %100 | SÜRESİZ | İşletme+Devir | Beyanname 315 | TUGS Sicil | Kapsam Analizi</t>
  </si>
  <si>
    <t>KATEGORİ 1 — ZORUNLU BELGELER</t>
  </si>
  <si>
    <t xml:space="preserve">  3 Kritik: TUGS Tescil Şahadetnamesi + Sicil Aktiflik Teyidi + Kapsam Ayrıştırma Tablosu</t>
  </si>
  <si>
    <t>No</t>
  </si>
  <si>
    <t>Detay</t>
  </si>
  <si>
    <t>Temin Yeri</t>
  </si>
  <si>
    <t>1</t>
  </si>
  <si>
    <t>★ TUGS Tescil Şahadetnamesi (Her Gemi İçin)</t>
  </si>
  <si>
    <t>TUGS'a kayıtlı gemi tescil belgesi — gemi adı, IMO No, tonaj, tescil tarihi.
YMM notu: 315 tasdik dosyasının birincil belgesidir.</t>
  </si>
  <si>
    <t>Ulaştırma Bakanlığı TUGS Sicil Müdürlüğü</t>
  </si>
  <si>
    <t>2</t>
  </si>
  <si>
    <t>★ TUGS Sicil Aktiflik Teyit Yazısı (Dönem İçin)</t>
  </si>
  <si>
    <t>Hesap dönemi boyunca TUGS kaydının aktif olduğunu gösteren Bakanlık teyit yazısı.
YMM notu: Askıya alınan dönem kazancı 315 dışındadır.</t>
  </si>
  <si>
    <t>TUGS Sicil Müdürlüğü / Bakanlık yazısı</t>
  </si>
  <si>
    <t>3</t>
  </si>
  <si>
    <t>Navlun/Charter Sözleşmeleri</t>
  </si>
  <si>
    <t>Gemi işletme gelirini belgeleyen charter party ve taşıma sözleşmeleri.
C.1-C.6 kapsam içi gelirlerin dayanağıdır.</t>
  </si>
  <si>
    <t>Charter party + Faturalar</t>
  </si>
  <si>
    <t>4</t>
  </si>
  <si>
    <t>Kapsam İçi/Dışı Gelir Ayrıştırma Tablosu (C Bölümü)</t>
  </si>
  <si>
    <t>Kapsam içi gemi işletme gelirleri ile kapsam dışı finansal gelirlerin ayrıştırıldığı tablo.
Muhasebe alt hesap (600.01/600.02) ile uyumlu.</t>
  </si>
  <si>
    <t>C bölümü + Muhasebe ekstresi</t>
  </si>
  <si>
    <t>5</t>
  </si>
  <si>
    <t>KV Beyannamesi Taslağı — 315. Satır</t>
  </si>
  <si>
    <t>315 = D.6 + E.5 uyumlu. 'Kazancın Bulunması Halinde' bölümünde.
Mevduat faizi vb. 315'e yazılmamış.</t>
  </si>
  <si>
    <t>GİB e-Beyanname</t>
  </si>
  <si>
    <t>KATEGORİ 2 — DEVİR VE EK BELGELER</t>
  </si>
  <si>
    <t>6</t>
  </si>
  <si>
    <t>Gemi Alım-Satım Sözleşmesi + Sicil Devir Belgesi (Devir Varsa)</t>
  </si>
  <si>
    <t>Geminin TUGS sicilinden alıcıya devir tescilini gösteren belge.
Devir tarihi itibarıyla TUGS kaydının aktif olduğu teyit edilmeli.</t>
  </si>
  <si>
    <t>TUGS Sicil Müdürlüğü devir tescil belgesi</t>
  </si>
  <si>
    <t>7</t>
  </si>
  <si>
    <t>Gemi 253 Hesap Kartı ve Amortisman Tablosu</t>
  </si>
  <si>
    <t>E.2 net defter değerini belgeler. Amortisman tutarı 257 kartıyla uyumlu.</t>
  </si>
  <si>
    <t>253 ve 257 hesap kartları</t>
  </si>
  <si>
    <t>8</t>
  </si>
  <si>
    <t>Gider Dağıtım Anahtarı Belgesi</t>
  </si>
  <si>
    <t>D.3 formülüne dayanan kapsam içi/dışı gider dağıtım tablosu.
Yöntem yazılı ve tutarlı olmalıdır.</t>
  </si>
  <si>
    <t>Dağıtım tablosu + Gider ekstresi</t>
  </si>
  <si>
    <t>KATEGORİ 3 — YMM TASDİK KONTROL SORULARI</t>
  </si>
  <si>
    <t>Beklenen Sonuç</t>
  </si>
  <si>
    <t>YMM Aksiyonu</t>
  </si>
  <si>
    <t>S1</t>
  </si>
  <si>
    <t>★ Gemi TUGS kayıtlı mı? Tescil şahadetnamesi dosyada mı?</t>
  </si>
  <si>
    <t>TUGS tescil belgesi zorunludur.</t>
  </si>
  <si>
    <t>YMM kontrolü</t>
  </si>
  <si>
    <t>S2</t>
  </si>
  <si>
    <t>Tüm dönem sicil aktifliği belgelenmeli.</t>
  </si>
  <si>
    <t>S3</t>
  </si>
  <si>
    <t>★ Kapsam içi/dışı gelir ayrıştırması yapıldı mı?</t>
  </si>
  <si>
    <t>Mevduat faizi kesin kapsam dışı.</t>
  </si>
  <si>
    <t>S4</t>
  </si>
  <si>
    <t>4490 s.K. — tarih sınırı yoktur.</t>
  </si>
  <si>
    <t>S5</t>
  </si>
  <si>
    <t>E.5 devir kazancı dayanağı.</t>
  </si>
  <si>
    <t>S6</t>
  </si>
  <si>
    <t>'Zarar Olsa Dahi' değil.</t>
  </si>
  <si>
    <t>S7</t>
  </si>
  <si>
    <t>315 = D.6 + E.5 uyumlu mu?</t>
  </si>
  <si>
    <t>S8</t>
  </si>
  <si>
    <t>YMM Tasdik Raporu değerlendirildi mi?</t>
  </si>
  <si>
    <t>49 No.lu Tebliğ &gt;=500.000 TL.</t>
  </si>
  <si>
    <t>SON NOT: 49 No.lu Tebliğ: &gt;=500.000 TL → YMM raporu. Tam tasdik → ayrıca rapor yok. 315'in 3 kritik özelliği: (1) SÜRESİZ — 4490 s.K. tarih sınırı yoktur. (2) İKİ AYAK — Gemi işletme + Devir kazancı her ikisi kapsam içinde. (3) SİCİL AKTİFLİĞİ — Askıya alınan dönem kapsam dışıdır. 311 (TGB) ile fark: 315'te devir kazancı da istisna; 311'de yoktur. YMM müteselsil sorumluluk: SM-SMMM-YMM Kanunu Md.12.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</si>
</sst>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6" x14ac:knownFonts="1">
    <font>
      <sz val="11"/>
      <color theme="1"/>
      <name val="Calibri"/>
      <family val="2"/>
      <scheme val="minor"/>
    </font>
    <font>
      <b/>
      <sz val="9"/>
      <color rgb="FFFFFFFF"/>
      <name val="Arial"/>
    </font>
    <font>
      <sz val="9"/>
      <color rgb="FFC0392B"/>
      <name val="Arial"/>
    </font>
    <font>
      <sz val="8"/>
      <color rgb="FF0D47A1"/>
      <name val="Arial"/>
    </font>
    <font>
      <b/>
      <sz val="10"/>
      <color rgb="FFFFFFFF"/>
      <name val="Arial"/>
    </font>
    <font>
      <b/>
      <sz val="9"/>
      <color rgb="FFC0392B"/>
      <name val="Arial"/>
    </font>
    <font>
      <b/>
      <sz val="10"/>
      <color rgb="FF0000FF"/>
      <name val="Arial"/>
    </font>
    <font>
      <i/>
      <sz val="8"/>
      <color rgb="FFC0392B"/>
      <name val="Arial"/>
    </font>
    <font>
      <b/>
      <sz val="9"/>
      <color rgb="FF1F3864"/>
      <name val="Arial"/>
    </font>
    <font>
      <i/>
      <sz val="8"/>
      <color rgb="FF555555"/>
      <name val="Arial"/>
    </font>
    <font>
      <b/>
      <sz val="10"/>
      <color rgb="FF1B5E20"/>
      <name val="Arial"/>
    </font>
    <font>
      <i/>
      <sz val="8"/>
      <color rgb="FF888888"/>
      <name val="Arial"/>
    </font>
    <font>
      <sz val="9"/>
      <color rgb="FF1A5276"/>
      <name val="Arial"/>
    </font>
    <font>
      <i/>
      <sz val="8"/>
      <color rgb="FF880E4F"/>
      <name val="Arial"/>
    </font>
    <font>
      <b/>
      <sz val="9"/>
      <color rgb="FF1B5E20"/>
      <name val="Arial"/>
    </font>
    <font>
      <b/>
      <sz val="12"/>
      <color rgb="FF1B5E20"/>
      <name val="Arial"/>
    </font>
    <font>
      <b/>
      <sz val="11"/>
      <color rgb="FF1B5E20"/>
      <name val="Arial"/>
    </font>
    <font>
      <b/>
      <sz val="11"/>
      <color rgb="FFFFFFFF"/>
      <name val="Arial"/>
    </font>
    <font>
      <b/>
      <sz val="14"/>
      <color rgb="FF1B5E20"/>
      <name val="Arial"/>
    </font>
    <font>
      <i/>
      <sz val="8"/>
      <color rgb="FF1B5E20"/>
      <name val="Arial"/>
    </font>
    <font>
      <b/>
      <sz val="12"/>
      <color rgb="FFFFFFFF"/>
      <name val="Arial"/>
    </font>
    <font>
      <sz val="9"/>
      <color rgb="FF0D47A1"/>
      <name val="Arial"/>
    </font>
    <font>
      <sz val="9"/>
      <color rgb="FFE65100"/>
      <name val="Arial"/>
    </font>
    <font>
      <b/>
      <sz val="9"/>
      <color rgb="FF0D47A1"/>
      <name val="Arial"/>
    </font>
    <font>
      <b/>
      <sz val="9"/>
      <color rgb="FFE65100"/>
      <name val="Arial"/>
    </font>
    <font>
      <sz val="8"/>
      <color rgb="FF333333"/>
      <name val="Arial"/>
    </font>
    <font>
      <b/>
      <sz val="36"/>
      <color rgb="FFFFFFFF"/>
      <name val="Arial"/>
    </font>
    <font>
      <sz val="8"/>
      <color rgb="FFC0392B"/>
      <name val="Arial"/>
    </font>
    <font>
      <sz val="9"/>
      <color rgb="FF1F3864"/>
      <name val="Arial"/>
    </font>
    <font>
      <sz val="8"/>
      <color rgb="FF1F3864"/>
      <name val="Arial"/>
    </font>
    <font>
      <sz val="9"/>
      <color rgb="FFFFFFFF"/>
      <name val="Arial"/>
    </font>
    <font>
      <i/>
      <sz val="8"/>
      <color rgb="FF444444"/>
      <name val="Arial"/>
    </font>
    <font>
      <b/>
      <sz val="9"/>
      <color rgb="FF7B5E00"/>
      <name val="Arial"/>
    </font>
    <font>
      <b/>
      <sz val="9"/>
      <color rgb="FF1565C0"/>
      <name val="Arial"/>
    </font>
    <font>
      <i/>
      <sz val="8"/>
      <color rgb="FF1565C0"/>
      <name val="Arial"/>
    </font>
    <font>
      <sz val="11"/>
      <color rgb="FF000000"/>
      <name val="Calibri"/>
    </font>
  </fonts>
  <fills count="28">
    <fill>
      <patternFill patternType="none"/>
    </fill>
    <fill>
      <patternFill patternType="gray125"/>
    </fill>
    <fill>
      <patternFill patternType="solid">
        <fgColor rgb="FF0D47A1"/>
      </patternFill>
    </fill>
    <fill>
      <patternFill patternType="solid">
        <fgColor rgb="FF2E4057"/>
      </patternFill>
    </fill>
    <fill>
      <patternFill patternType="solid">
        <fgColor rgb="FFFCE4D6"/>
      </patternFill>
    </fill>
    <fill>
      <patternFill patternType="solid">
        <fgColor rgb="FFE3F2FD"/>
      </patternFill>
    </fill>
    <fill>
      <patternFill patternType="solid">
        <fgColor rgb="FFF0F0F0"/>
      </patternFill>
    </fill>
    <fill>
      <patternFill patternType="solid">
        <fgColor rgb="FFC0392B"/>
      </patternFill>
    </fill>
    <fill>
      <patternFill patternType="solid">
        <fgColor rgb="FF2E5FA3"/>
      </patternFill>
    </fill>
    <fill>
      <patternFill patternType="solid">
        <fgColor rgb="FFFFFF00"/>
      </patternFill>
    </fill>
    <fill>
      <patternFill patternType="solid">
        <fgColor rgb="FFFFFFFF"/>
      </patternFill>
    </fill>
    <fill>
      <patternFill patternType="solid">
        <fgColor rgb="FFC6EFCE"/>
      </patternFill>
    </fill>
    <fill>
      <patternFill patternType="solid">
        <fgColor rgb="FFEEF4FF"/>
      </patternFill>
    </fill>
    <fill>
      <patternFill patternType="solid">
        <fgColor rgb="FF880E4F"/>
      </patternFill>
    </fill>
    <fill>
      <patternFill patternType="solid">
        <fgColor rgb="FF1B5E20"/>
      </patternFill>
    </fill>
    <fill>
      <patternFill patternType="solid">
        <fgColor rgb="FFFFF3E0"/>
      </patternFill>
    </fill>
    <fill>
      <patternFill patternType="solid">
        <fgColor rgb="FFFFF5F5"/>
      </patternFill>
    </fill>
    <fill>
      <patternFill patternType="solid">
        <fgColor rgb="FFF7F7F7"/>
      </patternFill>
    </fill>
    <fill>
      <patternFill patternType="solid">
        <fgColor rgb="FFFFF9C4"/>
      </patternFill>
    </fill>
    <fill>
      <patternFill patternType="solid">
        <fgColor rgb="FFEBF5EB"/>
      </patternFill>
    </fill>
    <fill>
      <patternFill patternType="solid">
        <fgColor rgb="FF7D3C98"/>
      </patternFill>
    </fill>
    <fill>
      <patternFill patternType="solid">
        <fgColor rgb="FFEDE7F6"/>
      </patternFill>
    </fill>
    <fill>
      <patternFill patternType="solid">
        <fgColor rgb="FFF3E5F5"/>
      </patternFill>
    </fill>
    <fill>
      <patternFill patternType="solid">
        <fgColor rgb="FF1565C0"/>
      </patternFill>
    </fill>
    <fill>
      <patternFill patternType="solid">
        <fgColor rgb="FFE8F4F8"/>
      </patternFill>
    </fill>
    <fill>
      <patternFill patternType="solid">
        <fgColor rgb="FFD0EAF0"/>
      </patternFill>
    </fill>
    <fill>
      <patternFill patternType="solid">
        <fgColor rgb="FFC6EFCE"/>
        <bgColor indexed="64"/>
      </patternFill>
    </fill>
    <fill>
      <patternFill patternType="solid">
        <fgColor rgb="FFFFFF00"/>
        <bgColor indexed="64"/>
      </patternFill>
    </fill>
  </fills>
  <borders count="5">
    <border>
      <left/>
      <right/>
      <top/>
      <bottom/>
      <diagonal/>
    </border>
    <border>
      <left style="thin">
        <color rgb="FFBBBBBB"/>
      </left>
      <right style="thin">
        <color rgb="FFBBBBBB"/>
      </right>
      <top style="thin">
        <color rgb="FFBBBBBB"/>
      </top>
      <bottom style="thin">
        <color rgb="FFBBBBBB"/>
      </bottom>
      <diagonal/>
    </border>
    <border>
      <left style="thin">
        <color rgb="FF999999"/>
      </left>
      <right style="thin">
        <color rgb="FF999999"/>
      </right>
      <top style="thin">
        <color rgb="FF999999"/>
      </top>
      <bottom style="thin">
        <color rgb="FF999999"/>
      </bottom>
      <diagonal/>
    </border>
    <border>
      <left style="thin">
        <color rgb="FF009900"/>
      </left>
      <right style="thin">
        <color rgb="FF009900"/>
      </right>
      <top style="thin">
        <color rgb="FF009900"/>
      </top>
      <bottom style="thin">
        <color rgb="FF009900"/>
      </bottom>
      <diagonal/>
    </border>
    <border>
      <left style="thin">
        <color rgb="FF888888"/>
      </left>
      <right style="thin">
        <color rgb="FF888888"/>
      </right>
      <top style="thin">
        <color rgb="FF888888"/>
      </top>
      <bottom style="thin">
        <color rgb="FF888888"/>
      </bottom>
      <diagonal/>
    </border>
  </borders>
  <cellStyleXfs count="1">
    <xf numFmtId="0" fontId="0" fillId="0" borderId="0"/>
  </cellStyleXfs>
  <cellXfs count="123">
    <xf numFmtId="0" fontId="0" fillId="0" borderId="0" xfId="0"/>
    <xf numFmtId="0" fontId="0" fillId="4" borderId="1" xfId="0" applyFill="1" applyBorder="1"/>
    <xf numFmtId="0" fontId="0" fillId="5" borderId="1" xfId="0" applyFill="1" applyBorder="1"/>
    <xf numFmtId="0" fontId="0" fillId="6" borderId="1" xfId="0" applyFill="1" applyBorder="1"/>
    <xf numFmtId="0" fontId="1" fillId="8" borderId="2" xfId="0" applyFont="1" applyFill="1" applyBorder="1" applyAlignment="1">
      <alignment horizontal="center" vertical="center"/>
    </xf>
    <xf numFmtId="0" fontId="6" fillId="9" borderId="1" xfId="0" applyFont="1" applyFill="1" applyBorder="1" applyAlignment="1">
      <alignment horizontal="center" vertical="center"/>
    </xf>
    <xf numFmtId="0" fontId="0" fillId="10" borderId="1" xfId="0" applyFill="1" applyBorder="1"/>
    <xf numFmtId="0" fontId="0" fillId="11" borderId="1" xfId="0" applyFill="1" applyBorder="1"/>
    <xf numFmtId="0" fontId="10" fillId="11" borderId="1" xfId="0" applyFont="1" applyFill="1" applyBorder="1" applyAlignment="1">
      <alignment horizontal="center" vertical="center"/>
    </xf>
    <xf numFmtId="0" fontId="0" fillId="12" borderId="1" xfId="0" applyFill="1" applyBorder="1"/>
    <xf numFmtId="0" fontId="0" fillId="9" borderId="1" xfId="0" applyFill="1" applyBorder="1" applyAlignment="1">
      <alignment horizontal="center" vertical="center"/>
    </xf>
    <xf numFmtId="0" fontId="14" fillId="11" borderId="1" xfId="0" applyFont="1" applyFill="1" applyBorder="1" applyAlignment="1">
      <alignment horizontal="center" vertical="center"/>
    </xf>
    <xf numFmtId="0" fontId="0" fillId="11" borderId="1" xfId="0" applyFill="1" applyBorder="1" applyAlignment="1">
      <alignment horizontal="center" vertical="center"/>
    </xf>
    <xf numFmtId="0" fontId="5" fillId="4" borderId="1" xfId="0" applyFont="1" applyFill="1" applyBorder="1" applyAlignment="1">
      <alignment horizontal="center" vertical="center"/>
    </xf>
    <xf numFmtId="0" fontId="15" fillId="11" borderId="1" xfId="0" applyFont="1" applyFill="1" applyBorder="1" applyAlignment="1">
      <alignment horizontal="center" vertical="center"/>
    </xf>
    <xf numFmtId="0" fontId="16" fillId="11" borderId="1" xfId="0" applyFont="1" applyFill="1" applyBorder="1" applyAlignment="1">
      <alignment horizontal="center" vertical="center"/>
    </xf>
    <xf numFmtId="0" fontId="18" fillId="11" borderId="3" xfId="0" applyFont="1" applyFill="1" applyBorder="1" applyAlignment="1">
      <alignment horizontal="center" vertical="center"/>
    </xf>
    <xf numFmtId="0" fontId="19" fillId="11" borderId="1" xfId="0" applyFont="1" applyFill="1" applyBorder="1" applyAlignment="1">
      <alignment horizontal="left" vertical="center" wrapText="1"/>
    </xf>
    <xf numFmtId="0" fontId="16" fillId="12" borderId="1" xfId="0" applyFont="1" applyFill="1" applyBorder="1" applyAlignment="1">
      <alignment horizontal="center" vertical="center"/>
    </xf>
    <xf numFmtId="0" fontId="1" fillId="2" borderId="1" xfId="0" applyFont="1" applyFill="1" applyBorder="1" applyAlignment="1">
      <alignment horizontal="center" vertical="top"/>
    </xf>
    <xf numFmtId="0" fontId="25" fillId="16" borderId="1" xfId="0" applyFont="1" applyFill="1" applyBorder="1" applyAlignment="1">
      <alignment horizontal="left" vertical="top" wrapText="1"/>
    </xf>
    <xf numFmtId="0" fontId="0" fillId="9" borderId="1" xfId="0" applyFill="1" applyBorder="1" applyAlignment="1">
      <alignment horizontal="center" vertical="top"/>
    </xf>
    <xf numFmtId="0" fontId="8" fillId="10" borderId="1" xfId="0" applyFont="1" applyFill="1" applyBorder="1" applyAlignment="1">
      <alignment horizontal="left" vertical="top" wrapText="1"/>
    </xf>
    <xf numFmtId="0" fontId="8" fillId="12" borderId="1" xfId="0" applyFont="1" applyFill="1" applyBorder="1" applyAlignment="1">
      <alignment horizontal="left" vertical="top" wrapText="1"/>
    </xf>
    <xf numFmtId="0" fontId="25" fillId="12" borderId="1" xfId="0" applyFont="1" applyFill="1" applyBorder="1" applyAlignment="1">
      <alignment horizontal="left" vertical="top" wrapText="1"/>
    </xf>
    <xf numFmtId="0" fontId="28" fillId="12" borderId="1" xfId="0" applyFont="1" applyFill="1" applyBorder="1" applyAlignment="1">
      <alignment horizontal="center" vertical="center" wrapText="1"/>
    </xf>
    <xf numFmtId="0" fontId="28" fillId="10" borderId="1" xfId="0" applyFont="1" applyFill="1" applyBorder="1" applyAlignment="1">
      <alignment horizontal="center" vertical="center" wrapText="1"/>
    </xf>
    <xf numFmtId="0" fontId="25" fillId="17" borderId="1" xfId="0" applyFont="1" applyFill="1" applyBorder="1" applyAlignment="1">
      <alignment horizontal="left" vertical="top" wrapText="1"/>
    </xf>
    <xf numFmtId="0" fontId="31" fillId="12" borderId="1" xfId="0" applyFont="1" applyFill="1" applyBorder="1" applyAlignment="1">
      <alignment horizontal="left" vertical="top" wrapText="1"/>
    </xf>
    <xf numFmtId="0" fontId="31" fillId="10" borderId="1" xfId="0" applyFont="1" applyFill="1" applyBorder="1" applyAlignment="1">
      <alignment horizontal="left" vertical="top" wrapText="1"/>
    </xf>
    <xf numFmtId="0" fontId="8" fillId="11" borderId="1" xfId="0" applyFont="1" applyFill="1" applyBorder="1" applyAlignment="1">
      <alignment horizontal="center" vertical="top"/>
    </xf>
    <xf numFmtId="0" fontId="8" fillId="11" borderId="1" xfId="0" applyFont="1" applyFill="1" applyBorder="1" applyAlignment="1">
      <alignment horizontal="left" vertical="top" wrapText="1"/>
    </xf>
    <xf numFmtId="0" fontId="25" fillId="19" borderId="1" xfId="0" applyFont="1" applyFill="1" applyBorder="1" applyAlignment="1">
      <alignment horizontal="left" vertical="top" wrapText="1"/>
    </xf>
    <xf numFmtId="0" fontId="31" fillId="11" borderId="1" xfId="0" applyFont="1" applyFill="1" applyBorder="1" applyAlignment="1">
      <alignment horizontal="left" vertical="top" wrapText="1"/>
    </xf>
    <xf numFmtId="0" fontId="0" fillId="21" borderId="1" xfId="0" applyFill="1" applyBorder="1"/>
    <xf numFmtId="0" fontId="8" fillId="21" borderId="1" xfId="0" applyFont="1" applyFill="1" applyBorder="1" applyAlignment="1">
      <alignment horizontal="center" vertical="top"/>
    </xf>
    <xf numFmtId="0" fontId="8" fillId="21" borderId="1" xfId="0" applyFont="1" applyFill="1" applyBorder="1" applyAlignment="1">
      <alignment horizontal="left" vertical="top" wrapText="1"/>
    </xf>
    <xf numFmtId="0" fontId="25" fillId="22" borderId="1" xfId="0" applyFont="1" applyFill="1" applyBorder="1" applyAlignment="1">
      <alignment horizontal="left" vertical="top" wrapText="1"/>
    </xf>
    <xf numFmtId="0" fontId="31" fillId="21" borderId="1" xfId="0" applyFont="1" applyFill="1" applyBorder="1" applyAlignment="1">
      <alignment horizontal="left" vertical="top" wrapText="1"/>
    </xf>
    <xf numFmtId="0" fontId="1" fillId="23" borderId="2" xfId="0" applyFont="1" applyFill="1" applyBorder="1" applyAlignment="1">
      <alignment horizontal="center" vertical="center"/>
    </xf>
    <xf numFmtId="0" fontId="0" fillId="24" borderId="1" xfId="0" applyFill="1" applyBorder="1"/>
    <xf numFmtId="0" fontId="33" fillId="24" borderId="1" xfId="0" applyFont="1" applyFill="1" applyBorder="1" applyAlignment="1">
      <alignment horizontal="center" vertical="top"/>
    </xf>
    <xf numFmtId="0" fontId="33" fillId="24" borderId="1" xfId="0" applyFont="1" applyFill="1" applyBorder="1" applyAlignment="1">
      <alignment horizontal="left" vertical="top" wrapText="1"/>
    </xf>
    <xf numFmtId="0" fontId="25" fillId="25" borderId="1" xfId="0" applyFont="1" applyFill="1" applyBorder="1" applyAlignment="1">
      <alignment horizontal="left" vertical="top" wrapText="1"/>
    </xf>
    <xf numFmtId="0" fontId="34" fillId="24" borderId="1" xfId="0" applyFont="1" applyFill="1" applyBorder="1" applyAlignment="1">
      <alignment horizontal="center" vertical="top"/>
    </xf>
    <xf numFmtId="0" fontId="33" fillId="5" borderId="1" xfId="0" applyFont="1" applyFill="1" applyBorder="1" applyAlignment="1">
      <alignment horizontal="center" vertical="top"/>
    </xf>
    <xf numFmtId="0" fontId="33" fillId="5" borderId="1" xfId="0" applyFont="1" applyFill="1" applyBorder="1" applyAlignment="1">
      <alignment horizontal="left" vertical="top" wrapText="1"/>
    </xf>
    <xf numFmtId="0" fontId="34" fillId="5" borderId="1" xfId="0" applyFont="1" applyFill="1" applyBorder="1" applyAlignment="1">
      <alignment horizontal="center" vertical="top"/>
    </xf>
    <xf numFmtId="0" fontId="8" fillId="12" borderId="1" xfId="0" applyFont="1" applyFill="1" applyBorder="1" applyAlignment="1">
      <alignment horizontal="left" vertical="center" wrapText="1"/>
    </xf>
    <xf numFmtId="0" fontId="0" fillId="12" borderId="1" xfId="0" applyFill="1" applyBorder="1"/>
    <xf numFmtId="0" fontId="13" fillId="10" borderId="1" xfId="0" applyFont="1" applyFill="1" applyBorder="1" applyAlignment="1">
      <alignment horizontal="left" vertical="center" wrapText="1"/>
    </xf>
    <xf numFmtId="0" fontId="0" fillId="10" borderId="1" xfId="0" applyFill="1" applyBorder="1"/>
    <xf numFmtId="0" fontId="0" fillId="9" borderId="1" xfId="0" applyFill="1" applyBorder="1"/>
    <xf numFmtId="0" fontId="11" fillId="10" borderId="1" xfId="0" applyFont="1" applyFill="1" applyBorder="1" applyAlignment="1">
      <alignment horizontal="left" vertical="center" wrapText="1"/>
    </xf>
    <xf numFmtId="0" fontId="17" fillId="2" borderId="2" xfId="0" applyFont="1" applyFill="1" applyBorder="1" applyAlignment="1">
      <alignment horizontal="left" vertical="center"/>
    </xf>
    <xf numFmtId="0" fontId="0" fillId="2" borderId="2" xfId="0" applyFill="1" applyBorder="1"/>
    <xf numFmtId="0" fontId="8" fillId="10" borderId="1" xfId="0" applyFont="1" applyFill="1" applyBorder="1" applyAlignment="1">
      <alignment horizontal="left" vertical="center" wrapText="1"/>
    </xf>
    <xf numFmtId="0" fontId="14" fillId="11" borderId="1" xfId="0" applyFont="1" applyFill="1" applyBorder="1" applyAlignment="1">
      <alignment horizontal="left" vertical="center" wrapText="1"/>
    </xf>
    <xf numFmtId="0" fontId="0" fillId="11" borderId="1" xfId="0" applyFill="1" applyBorder="1"/>
    <xf numFmtId="0" fontId="4" fillId="14" borderId="2" xfId="0" applyFont="1" applyFill="1" applyBorder="1" applyAlignment="1">
      <alignment horizontal="left" vertical="center"/>
    </xf>
    <xf numFmtId="0" fontId="0" fillId="14" borderId="2" xfId="0" applyFill="1" applyBorder="1"/>
    <xf numFmtId="0" fontId="11" fillId="12" borderId="1" xfId="0" applyFont="1" applyFill="1" applyBorder="1" applyAlignment="1">
      <alignment horizontal="left" vertical="center" wrapText="1"/>
    </xf>
    <xf numFmtId="0" fontId="9" fillId="10" borderId="1" xfId="0" applyFont="1" applyFill="1" applyBorder="1" applyAlignment="1">
      <alignment horizontal="left" vertical="center" wrapText="1"/>
    </xf>
    <xf numFmtId="0" fontId="8" fillId="10" borderId="1" xfId="0" applyFont="1" applyFill="1" applyBorder="1" applyAlignment="1">
      <alignment horizontal="left" vertical="center"/>
    </xf>
    <xf numFmtId="0" fontId="9" fillId="12" borderId="1" xfId="0" applyFont="1" applyFill="1" applyBorder="1" applyAlignment="1">
      <alignment horizontal="left" vertical="center" wrapText="1"/>
    </xf>
    <xf numFmtId="0" fontId="8" fillId="12" borderId="1" xfId="0" applyFont="1" applyFill="1" applyBorder="1" applyAlignment="1">
      <alignment horizontal="left" vertical="center"/>
    </xf>
    <xf numFmtId="0" fontId="12" fillId="12" borderId="1" xfId="0" applyFont="1" applyFill="1" applyBorder="1" applyAlignment="1">
      <alignment horizontal="left" vertical="center" wrapText="1"/>
    </xf>
    <xf numFmtId="0" fontId="9" fillId="11" borderId="1" xfId="0" applyFont="1" applyFill="1" applyBorder="1" applyAlignment="1">
      <alignment horizontal="left" vertical="center" wrapText="1"/>
    </xf>
    <xf numFmtId="0" fontId="4" fillId="13" borderId="2" xfId="0" applyFont="1" applyFill="1" applyBorder="1" applyAlignment="1">
      <alignment horizontal="left" vertical="center"/>
    </xf>
    <xf numFmtId="0" fontId="0" fillId="13" borderId="2" xfId="0" applyFill="1" applyBorder="1"/>
    <xf numFmtId="0" fontId="7" fillId="4" borderId="1" xfId="0" applyFont="1" applyFill="1" applyBorder="1" applyAlignment="1">
      <alignment horizontal="left" vertical="center" wrapText="1"/>
    </xf>
    <xf numFmtId="0" fontId="0" fillId="4" borderId="1" xfId="0" applyFill="1" applyBorder="1"/>
    <xf numFmtId="0" fontId="13" fillId="12" borderId="1" xfId="0" applyFont="1" applyFill="1" applyBorder="1" applyAlignment="1">
      <alignment horizontal="left" vertical="center" wrapText="1"/>
    </xf>
    <xf numFmtId="0" fontId="4" fillId="2" borderId="1" xfId="0" applyFont="1" applyFill="1" applyBorder="1" applyAlignment="1">
      <alignment horizontal="left" vertical="center"/>
    </xf>
    <xf numFmtId="0" fontId="0" fillId="2" borderId="1" xfId="0" applyFill="1" applyBorder="1"/>
    <xf numFmtId="0" fontId="5" fillId="4" borderId="1" xfId="0" applyFont="1" applyFill="1" applyBorder="1" applyAlignment="1">
      <alignment horizontal="left" vertical="center" wrapText="1"/>
    </xf>
    <xf numFmtId="0" fontId="4" fillId="2" borderId="2" xfId="0" applyFont="1" applyFill="1" applyBorder="1" applyAlignment="1">
      <alignment horizontal="left" vertical="center"/>
    </xf>
    <xf numFmtId="0" fontId="1" fillId="2" borderId="1" xfId="0" applyFont="1" applyFill="1" applyBorder="1" applyAlignment="1">
      <alignment horizontal="left" vertical="center"/>
    </xf>
    <xf numFmtId="0" fontId="9" fillId="4" borderId="1" xfId="0" applyFont="1" applyFill="1" applyBorder="1" applyAlignment="1">
      <alignment horizontal="left" vertical="center" wrapText="1"/>
    </xf>
    <xf numFmtId="0" fontId="2" fillId="4" borderId="1" xfId="0" applyFont="1" applyFill="1" applyBorder="1" applyAlignment="1">
      <alignment horizontal="left" vertical="center" wrapText="1"/>
    </xf>
    <xf numFmtId="0" fontId="3" fillId="5" borderId="1" xfId="0" applyFont="1" applyFill="1" applyBorder="1" applyAlignment="1">
      <alignment horizontal="left" vertical="center" wrapText="1"/>
    </xf>
    <xf numFmtId="0" fontId="0" fillId="5" borderId="1" xfId="0" applyFill="1" applyBorder="1"/>
    <xf numFmtId="0" fontId="4" fillId="7" borderId="2" xfId="0" applyFont="1" applyFill="1" applyBorder="1" applyAlignment="1">
      <alignment horizontal="left" vertical="center"/>
    </xf>
    <xf numFmtId="0" fontId="0" fillId="7" borderId="2" xfId="0" applyFill="1" applyBorder="1"/>
    <xf numFmtId="0" fontId="1" fillId="3" borderId="1" xfId="0" applyFont="1" applyFill="1" applyBorder="1" applyAlignment="1">
      <alignment horizontal="left" vertical="center" wrapText="1"/>
    </xf>
    <xf numFmtId="0" fontId="0" fillId="3" borderId="1" xfId="0" applyFill="1" applyBorder="1"/>
    <xf numFmtId="0" fontId="7" fillId="11" borderId="1" xfId="0" applyFont="1" applyFill="1" applyBorder="1" applyAlignment="1">
      <alignment horizontal="left" vertical="center" wrapText="1"/>
    </xf>
    <xf numFmtId="0" fontId="8" fillId="11" borderId="1" xfId="0" applyFont="1" applyFill="1" applyBorder="1" applyAlignment="1">
      <alignment horizontal="left" vertical="center"/>
    </xf>
    <xf numFmtId="0" fontId="5" fillId="4" borderId="2" xfId="0" applyFont="1" applyFill="1" applyBorder="1" applyAlignment="1">
      <alignment horizontal="left" vertical="center" wrapText="1"/>
    </xf>
    <xf numFmtId="0" fontId="0" fillId="4" borderId="2" xfId="0" applyFill="1" applyBorder="1"/>
    <xf numFmtId="0" fontId="21" fillId="12" borderId="1" xfId="0" applyFont="1" applyFill="1" applyBorder="1" applyAlignment="1">
      <alignment horizontal="center" vertical="center" wrapText="1"/>
    </xf>
    <xf numFmtId="0" fontId="22" fillId="12" borderId="1" xfId="0" applyFont="1" applyFill="1" applyBorder="1" applyAlignment="1">
      <alignment horizontal="center" vertical="center" wrapText="1"/>
    </xf>
    <xf numFmtId="0" fontId="25" fillId="16" borderId="1" xfId="0" applyFont="1" applyFill="1" applyBorder="1" applyAlignment="1">
      <alignment horizontal="left" vertical="top" wrapText="1"/>
    </xf>
    <xf numFmtId="0" fontId="0" fillId="16" borderId="1" xfId="0" applyFill="1" applyBorder="1"/>
    <xf numFmtId="0" fontId="22" fillId="10" borderId="1" xfId="0" applyFont="1" applyFill="1" applyBorder="1" applyAlignment="1">
      <alignment horizontal="center" vertical="center" wrapText="1"/>
    </xf>
    <xf numFmtId="0" fontId="5" fillId="4" borderId="1" xfId="0" applyFont="1" applyFill="1" applyBorder="1" applyAlignment="1">
      <alignment horizontal="left" vertical="top" wrapText="1"/>
    </xf>
    <xf numFmtId="0" fontId="25" fillId="12" borderId="1" xfId="0" applyFont="1" applyFill="1" applyBorder="1" applyAlignment="1">
      <alignment horizontal="left" vertical="top" wrapText="1"/>
    </xf>
    <xf numFmtId="0" fontId="8" fillId="10" borderId="1" xfId="0" applyFont="1" applyFill="1" applyBorder="1" applyAlignment="1">
      <alignment horizontal="left" vertical="top" wrapText="1"/>
    </xf>
    <xf numFmtId="0" fontId="23" fillId="11" borderId="1" xfId="0" applyFont="1" applyFill="1" applyBorder="1" applyAlignment="1">
      <alignment horizontal="center" vertical="center" wrapText="1"/>
    </xf>
    <xf numFmtId="0" fontId="24" fillId="15" borderId="1" xfId="0" applyFont="1" applyFill="1" applyBorder="1" applyAlignment="1">
      <alignment horizontal="center" vertical="center" wrapText="1"/>
    </xf>
    <xf numFmtId="0" fontId="0" fillId="15" borderId="1" xfId="0" applyFill="1" applyBorder="1"/>
    <xf numFmtId="0" fontId="25" fillId="10" borderId="1" xfId="0" applyFont="1" applyFill="1" applyBorder="1" applyAlignment="1">
      <alignment horizontal="left" vertical="top" wrapText="1"/>
    </xf>
    <xf numFmtId="0" fontId="21" fillId="10" borderId="1" xfId="0" applyFont="1" applyFill="1" applyBorder="1" applyAlignment="1">
      <alignment horizontal="center" vertical="center" wrapText="1"/>
    </xf>
    <xf numFmtId="0" fontId="5" fillId="4" borderId="1" xfId="0" applyFont="1" applyFill="1" applyBorder="1" applyAlignment="1">
      <alignment horizontal="left" vertical="center"/>
    </xf>
    <xf numFmtId="0" fontId="8" fillId="12" borderId="1" xfId="0" applyFont="1" applyFill="1" applyBorder="1" applyAlignment="1">
      <alignment horizontal="left" vertical="top" wrapText="1"/>
    </xf>
    <xf numFmtId="0" fontId="20" fillId="2" borderId="2" xfId="0" applyFont="1" applyFill="1" applyBorder="1" applyAlignment="1">
      <alignment horizontal="left" vertical="center"/>
    </xf>
    <xf numFmtId="0" fontId="26" fillId="2" borderId="2" xfId="0" applyFont="1" applyFill="1" applyBorder="1" applyAlignment="1">
      <alignment horizontal="left" vertical="center"/>
    </xf>
    <xf numFmtId="0" fontId="29" fillId="11" borderId="1" xfId="0" applyFont="1" applyFill="1" applyBorder="1" applyAlignment="1">
      <alignment horizontal="left" vertical="center" wrapText="1"/>
    </xf>
    <xf numFmtId="0" fontId="27" fillId="4" borderId="1" xfId="0" applyFont="1" applyFill="1" applyBorder="1" applyAlignment="1">
      <alignment horizontal="left" vertical="center" wrapText="1"/>
    </xf>
    <xf numFmtId="0" fontId="17" fillId="2" borderId="4" xfId="0" applyFont="1" applyFill="1" applyBorder="1" applyAlignment="1">
      <alignment horizontal="left" vertical="center"/>
    </xf>
    <xf numFmtId="0" fontId="0" fillId="2" borderId="4" xfId="0" applyFill="1" applyBorder="1"/>
    <xf numFmtId="0" fontId="32" fillId="18" borderId="2" xfId="0" applyFont="1" applyFill="1" applyBorder="1" applyAlignment="1">
      <alignment horizontal="left" vertical="center" wrapText="1"/>
    </xf>
    <xf numFmtId="0" fontId="0" fillId="18" borderId="2" xfId="0" applyFill="1" applyBorder="1"/>
    <xf numFmtId="0" fontId="30" fillId="3" borderId="1" xfId="0" applyFont="1" applyFill="1" applyBorder="1" applyAlignment="1">
      <alignment horizontal="left" vertical="center" wrapText="1"/>
    </xf>
    <xf numFmtId="0" fontId="4" fillId="20" borderId="2" xfId="0" applyFont="1" applyFill="1" applyBorder="1" applyAlignment="1">
      <alignment horizontal="left" vertical="center"/>
    </xf>
    <xf numFmtId="0" fontId="0" fillId="20" borderId="2" xfId="0" applyFill="1" applyBorder="1"/>
    <xf numFmtId="0" fontId="4" fillId="23" borderId="2" xfId="0" applyFont="1" applyFill="1" applyBorder="1" applyAlignment="1">
      <alignment horizontal="left" vertical="center"/>
    </xf>
    <xf numFmtId="0" fontId="0" fillId="23" borderId="2" xfId="0" applyFill="1" applyBorder="1"/>
    <xf numFmtId="0" fontId="4" fillId="2" borderId="4" xfId="0" applyFont="1" applyFill="1" applyBorder="1" applyAlignment="1">
      <alignment horizontal="left" vertical="center"/>
    </xf>
    <xf numFmtId="0" fontId="10" fillId="26" borderId="1" xfId="0" applyFont="1" applyFill="1" applyBorder="1" applyAlignment="1">
      <alignment horizontal="center" vertical="center" wrapText="1"/>
    </xf>
    <xf numFmtId="0" fontId="35" fillId="27" borderId="1" xfId="0" applyFont="1" applyFill="1" applyBorder="1" applyAlignment="1">
      <alignment horizontal="center" vertical="center" wrapText="1"/>
    </xf>
    <xf numFmtId="0" fontId="15" fillId="26" borderId="1" xfId="0" applyFont="1" applyFill="1" applyBorder="1" applyAlignment="1">
      <alignment horizontal="center" vertical="center" wrapText="1"/>
    </xf>
    <xf numFmtId="0" fontId="16" fillId="26" borderId="1" xfId="0" applyFont="1" applyFill="1" applyBorder="1" applyAlignment="1">
      <alignment horizontal="center" vertical="center" wrapText="1"/>
    </xf>
  </cellXfs>
  <cellStyles count="1">
    <cellStyle name="Normal" xfId="0" builtinId="0"/>
  </cellStyles>
  <dxfs count="4">
    <dxf>
      <font>
        <b/>
        <sz val="10"/>
        <color rgb="FFC0392B"/>
        <name val="Arial"/>
      </font>
      <fill>
        <patternFill patternType="solid">
          <fgColor rgb="FFFCE4D6"/>
          <bgColor rgb="FFFCE4D6"/>
        </patternFill>
      </fill>
    </dxf>
    <dxf>
      <font>
        <b/>
        <sz val="10"/>
        <color rgb="FF1B5E20"/>
        <name val="Arial"/>
      </font>
      <fill>
        <patternFill patternType="solid">
          <fgColor rgb="FFC6EFCE"/>
          <bgColor rgb="FFC6EFCE"/>
        </patternFill>
      </fill>
    </dxf>
    <dxf>
      <font>
        <b/>
        <sz val="10"/>
        <color rgb="FFC0392B"/>
        <name val="Arial"/>
      </font>
      <fill>
        <patternFill patternType="solid">
          <fgColor rgb="FFFCE4D6"/>
          <bgColor rgb="FFFCE4D6"/>
        </patternFill>
      </fill>
    </dxf>
    <dxf>
      <font>
        <b/>
        <sz val="10"/>
        <color rgb="FF1B5E20"/>
        <name val="Arial"/>
      </font>
      <fill>
        <patternFill patternType="solid">
          <fgColor rgb="FFC6EFCE"/>
          <bgColor rgb="FFC6EF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875" row="2">
    <wetp:webextensionref xmlns:r="http://schemas.openxmlformats.org/officeDocument/2006/relationships" r:id="rId1"/>
  </wetp:taskpane>
</wetp:taskpanes>
</file>

<file path=xl/webextensions/webextension1.xml><?xml version="1.0" encoding="utf-8"?>
<we:webextension xmlns:we="http://schemas.microsoft.com/office/webextensions/webextension/2010/11" id="{4B696A03-37C2-4F0C-9F2F-8612CED448C0}">
  <we:reference id="WA200009404" version="1.0.0.8" store="Omex" storeType="OMEX"/>
  <we:alternateReferences>
    <we:reference id="WA200009404" version="1.0.0.8" store="WA200009404" storeType="OMEX"/>
  </we:alternateReferences>
  <we:properties>
    <we:property name="claude.fileId" value="&quot;870927e8-56c8-407f-8e50-ae79afb74ec6&quot;"/>
  </we:properties>
  <we:bindings/>
  <we:snapshot xmlns:r="http://schemas.openxmlformats.org/officeDocument/2006/relationships"/>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70"/>
  <sheetViews>
    <sheetView tabSelected="1" workbookViewId="0">
      <selection activeCell="C20" sqref="C20:E20"/>
    </sheetView>
  </sheetViews>
  <sheetFormatPr defaultRowHeight="14.4" x14ac:dyDescent="0.55000000000000004"/>
  <cols>
    <col min="1" max="1" width="3" customWidth="1"/>
    <col min="2" max="2" width="30" customWidth="1"/>
    <col min="3" max="3" width="18" customWidth="1"/>
    <col min="4" max="4" width="22" customWidth="1"/>
    <col min="5" max="5" width="16" customWidth="1"/>
    <col min="6" max="6" width="12" customWidth="1"/>
    <col min="7" max="7" width="26" customWidth="1"/>
  </cols>
  <sheetData>
    <row r="1" spans="1:7" ht="48" customHeight="1" x14ac:dyDescent="0.55000000000000004">
      <c r="A1" s="77" t="s">
        <v>0</v>
      </c>
      <c r="B1" s="74"/>
      <c r="C1" s="74"/>
      <c r="D1" s="74"/>
      <c r="E1" s="74"/>
      <c r="F1" s="74"/>
      <c r="G1" s="74"/>
    </row>
    <row r="2" spans="1:7" ht="20.05" customHeight="1" x14ac:dyDescent="0.55000000000000004">
      <c r="A2" s="84" t="s">
        <v>1</v>
      </c>
      <c r="B2" s="85"/>
      <c r="C2" s="85"/>
      <c r="D2" s="85"/>
      <c r="E2" s="85"/>
      <c r="F2" s="85"/>
      <c r="G2" s="85"/>
    </row>
    <row r="3" spans="1:7" ht="48" customHeight="1" x14ac:dyDescent="0.55000000000000004">
      <c r="A3" s="79" t="s">
        <v>2</v>
      </c>
      <c r="B3" s="71"/>
      <c r="C3" s="71"/>
      <c r="D3" s="71"/>
      <c r="E3" s="71"/>
      <c r="F3" s="71"/>
      <c r="G3" s="71"/>
    </row>
    <row r="4" spans="1:7" ht="32.049999999999997" customHeight="1" x14ac:dyDescent="0.55000000000000004">
      <c r="A4" s="80" t="s">
        <v>3</v>
      </c>
      <c r="B4" s="81"/>
      <c r="C4" s="81"/>
      <c r="D4" s="81"/>
      <c r="E4" s="81"/>
      <c r="F4" s="81"/>
      <c r="G4" s="81"/>
    </row>
    <row r="5" spans="1:7" ht="5.05" customHeight="1" x14ac:dyDescent="0.55000000000000004">
      <c r="A5" s="3"/>
      <c r="B5" s="3"/>
      <c r="C5" s="3"/>
      <c r="D5" s="3"/>
      <c r="E5" s="3"/>
      <c r="F5" s="3"/>
      <c r="G5" s="3"/>
    </row>
    <row r="6" spans="1:7" ht="24" customHeight="1" x14ac:dyDescent="0.55000000000000004">
      <c r="A6" s="82" t="s">
        <v>4</v>
      </c>
      <c r="B6" s="83"/>
      <c r="C6" s="83"/>
      <c r="D6" s="83"/>
      <c r="E6" s="83"/>
      <c r="F6" s="83"/>
      <c r="G6" s="83"/>
    </row>
    <row r="7" spans="1:7" ht="18" customHeight="1" x14ac:dyDescent="0.55000000000000004">
      <c r="A7" s="4"/>
      <c r="B7" s="4" t="s">
        <v>5</v>
      </c>
      <c r="C7" s="4"/>
      <c r="D7" s="4"/>
      <c r="E7" s="4" t="s">
        <v>6</v>
      </c>
      <c r="F7" s="4"/>
      <c r="G7" s="4" t="s">
        <v>7</v>
      </c>
    </row>
    <row r="8" spans="1:7" ht="28" customHeight="1" x14ac:dyDescent="0.55000000000000004">
      <c r="A8" s="75" t="s">
        <v>8</v>
      </c>
      <c r="B8" s="71"/>
      <c r="C8" s="71"/>
      <c r="D8" s="71"/>
      <c r="E8" s="5" t="s">
        <v>9</v>
      </c>
      <c r="F8" s="70" t="s">
        <v>10</v>
      </c>
      <c r="G8" s="71"/>
    </row>
    <row r="9" spans="1:7" ht="28" customHeight="1" x14ac:dyDescent="0.55000000000000004">
      <c r="A9" s="75" t="s">
        <v>11</v>
      </c>
      <c r="B9" s="71"/>
      <c r="C9" s="71"/>
      <c r="D9" s="71"/>
      <c r="E9" s="5" t="s">
        <v>12</v>
      </c>
      <c r="F9" s="70" t="s">
        <v>13</v>
      </c>
      <c r="G9" s="71"/>
    </row>
    <row r="10" spans="1:7" ht="28" customHeight="1" x14ac:dyDescent="0.55000000000000004">
      <c r="A10" s="75" t="s">
        <v>14</v>
      </c>
      <c r="B10" s="71"/>
      <c r="C10" s="71"/>
      <c r="D10" s="71"/>
      <c r="E10" s="5" t="s">
        <v>9</v>
      </c>
      <c r="F10" s="70" t="s">
        <v>15</v>
      </c>
      <c r="G10" s="71"/>
    </row>
    <row r="11" spans="1:7" ht="28" customHeight="1" x14ac:dyDescent="0.55000000000000004">
      <c r="A11" s="56" t="s">
        <v>16</v>
      </c>
      <c r="B11" s="51"/>
      <c r="C11" s="51"/>
      <c r="D11" s="51"/>
      <c r="E11" s="5" t="s">
        <v>17</v>
      </c>
      <c r="F11" s="62" t="s">
        <v>18</v>
      </c>
      <c r="G11" s="51"/>
    </row>
    <row r="12" spans="1:7" ht="28" customHeight="1" x14ac:dyDescent="0.55000000000000004">
      <c r="A12" s="75" t="s">
        <v>19</v>
      </c>
      <c r="B12" s="71"/>
      <c r="C12" s="71"/>
      <c r="D12" s="71"/>
      <c r="E12" s="5" t="s">
        <v>9</v>
      </c>
      <c r="F12" s="70" t="s">
        <v>20</v>
      </c>
      <c r="G12" s="71"/>
    </row>
    <row r="13" spans="1:7" ht="28" customHeight="1" x14ac:dyDescent="0.55000000000000004">
      <c r="A13" s="56" t="s">
        <v>21</v>
      </c>
      <c r="B13" s="51"/>
      <c r="C13" s="51"/>
      <c r="D13" s="51"/>
      <c r="E13" s="5" t="s">
        <v>9</v>
      </c>
      <c r="F13" s="62" t="s">
        <v>22</v>
      </c>
      <c r="G13" s="51"/>
    </row>
    <row r="14" spans="1:7" ht="22" customHeight="1" x14ac:dyDescent="0.55000000000000004">
      <c r="A14" s="87" t="s">
        <v>23</v>
      </c>
      <c r="B14" s="58"/>
      <c r="C14" s="58"/>
      <c r="D14" s="58"/>
      <c r="E14" s="8" t="str">
        <f>IF(AND(E8="EVET",E10="EVET",E12="EVET"),"OK - Hesaplanabilir","HATA - Ön koşul eksik")</f>
        <v>OK - Hesaplanabilir</v>
      </c>
      <c r="F14" s="86" t="s">
        <v>24</v>
      </c>
      <c r="G14" s="58"/>
    </row>
    <row r="15" spans="1:7" ht="5.05" customHeight="1" x14ac:dyDescent="0.55000000000000004">
      <c r="A15" s="3"/>
      <c r="B15" s="3"/>
      <c r="C15" s="3"/>
      <c r="D15" s="3"/>
      <c r="E15" s="3"/>
      <c r="F15" s="3"/>
      <c r="G15" s="3"/>
    </row>
    <row r="16" spans="1:7" ht="22" customHeight="1" x14ac:dyDescent="0.55000000000000004">
      <c r="A16" s="76" t="s">
        <v>25</v>
      </c>
      <c r="B16" s="55"/>
      <c r="C16" s="55"/>
      <c r="D16" s="55"/>
      <c r="E16" s="55"/>
      <c r="F16" s="55"/>
      <c r="G16" s="55"/>
    </row>
    <row r="17" spans="1:7" ht="20.05" customHeight="1" x14ac:dyDescent="0.55000000000000004">
      <c r="A17" s="63" t="s">
        <v>26</v>
      </c>
      <c r="B17" s="51"/>
      <c r="C17" s="52"/>
      <c r="D17" s="52"/>
      <c r="E17" s="52"/>
      <c r="F17" s="53" t="s">
        <v>27</v>
      </c>
      <c r="G17" s="51"/>
    </row>
    <row r="18" spans="1:7" ht="20.05" customHeight="1" x14ac:dyDescent="0.55000000000000004">
      <c r="A18" s="65" t="s">
        <v>28</v>
      </c>
      <c r="B18" s="49"/>
      <c r="C18" s="52"/>
      <c r="D18" s="52"/>
      <c r="E18" s="52"/>
      <c r="F18" s="61" t="s">
        <v>29</v>
      </c>
      <c r="G18" s="49"/>
    </row>
    <row r="19" spans="1:7" ht="20.05" customHeight="1" x14ac:dyDescent="0.55000000000000004">
      <c r="A19" s="63" t="s">
        <v>30</v>
      </c>
      <c r="B19" s="51"/>
      <c r="C19" s="52"/>
      <c r="D19" s="52"/>
      <c r="E19" s="52"/>
      <c r="F19" s="53" t="s">
        <v>31</v>
      </c>
      <c r="G19" s="51"/>
    </row>
    <row r="20" spans="1:7" ht="20.05" customHeight="1" x14ac:dyDescent="0.55000000000000004">
      <c r="A20" s="65" t="s">
        <v>32</v>
      </c>
      <c r="B20" s="49"/>
      <c r="C20" s="52"/>
      <c r="D20" s="52"/>
      <c r="E20" s="52"/>
      <c r="F20" s="61" t="s">
        <v>33</v>
      </c>
      <c r="G20" s="49"/>
    </row>
    <row r="21" spans="1:7" ht="20.05" customHeight="1" x14ac:dyDescent="0.55000000000000004">
      <c r="A21" s="63" t="s">
        <v>34</v>
      </c>
      <c r="B21" s="51"/>
      <c r="C21" s="52"/>
      <c r="D21" s="52"/>
      <c r="E21" s="52"/>
      <c r="F21" s="53" t="s">
        <v>35</v>
      </c>
      <c r="G21" s="51"/>
    </row>
    <row r="22" spans="1:7" ht="20.05" customHeight="1" x14ac:dyDescent="0.55000000000000004">
      <c r="A22" s="65" t="s">
        <v>36</v>
      </c>
      <c r="B22" s="49"/>
      <c r="C22" s="52"/>
      <c r="D22" s="52"/>
      <c r="E22" s="52"/>
      <c r="F22" s="61" t="s">
        <v>37</v>
      </c>
      <c r="G22" s="49"/>
    </row>
    <row r="23" spans="1:7" ht="20.05" customHeight="1" x14ac:dyDescent="0.55000000000000004">
      <c r="A23" s="63" t="s">
        <v>38</v>
      </c>
      <c r="B23" s="51"/>
      <c r="C23" s="52"/>
      <c r="D23" s="52"/>
      <c r="E23" s="52"/>
      <c r="F23" s="53" t="s">
        <v>39</v>
      </c>
      <c r="G23" s="51"/>
    </row>
    <row r="24" spans="1:7" ht="20.05" customHeight="1" x14ac:dyDescent="0.55000000000000004">
      <c r="A24" s="65" t="s">
        <v>40</v>
      </c>
      <c r="B24" s="49"/>
      <c r="C24" s="52"/>
      <c r="D24" s="52"/>
      <c r="E24" s="52"/>
      <c r="F24" s="61" t="s">
        <v>41</v>
      </c>
      <c r="G24" s="49"/>
    </row>
    <row r="25" spans="1:7" ht="5.05" customHeight="1" x14ac:dyDescent="0.55000000000000004">
      <c r="A25" s="3"/>
      <c r="B25" s="3"/>
      <c r="C25" s="3"/>
      <c r="D25" s="3"/>
      <c r="E25" s="3"/>
      <c r="F25" s="3"/>
      <c r="G25" s="3"/>
    </row>
    <row r="26" spans="1:7" ht="24" customHeight="1" x14ac:dyDescent="0.55000000000000004">
      <c r="A26" s="68" t="s">
        <v>42</v>
      </c>
      <c r="B26" s="69"/>
      <c r="C26" s="69"/>
      <c r="D26" s="69"/>
      <c r="E26" s="69"/>
      <c r="F26" s="69"/>
      <c r="G26" s="69"/>
    </row>
    <row r="27" spans="1:7" ht="28" customHeight="1" x14ac:dyDescent="0.55000000000000004">
      <c r="A27" s="66" t="s">
        <v>43</v>
      </c>
      <c r="B27" s="49"/>
      <c r="C27" s="49"/>
      <c r="D27" s="49"/>
      <c r="E27" s="49"/>
      <c r="F27" s="49"/>
      <c r="G27" s="49"/>
    </row>
    <row r="28" spans="1:7" ht="18" customHeight="1" x14ac:dyDescent="0.55000000000000004">
      <c r="A28" s="4"/>
      <c r="B28" s="4" t="s">
        <v>44</v>
      </c>
      <c r="C28" s="4"/>
      <c r="D28" s="4" t="s">
        <v>45</v>
      </c>
      <c r="E28" s="4"/>
      <c r="F28" s="4" t="s">
        <v>46</v>
      </c>
      <c r="G28" s="4" t="s">
        <v>47</v>
      </c>
    </row>
    <row r="29" spans="1:7" ht="26.05" customHeight="1" x14ac:dyDescent="0.55000000000000004">
      <c r="A29" s="56" t="s">
        <v>48</v>
      </c>
      <c r="B29" s="51"/>
      <c r="C29" s="10"/>
      <c r="D29" s="53" t="s">
        <v>49</v>
      </c>
      <c r="E29" s="51"/>
      <c r="F29" s="50" t="s">
        <v>50</v>
      </c>
      <c r="G29" s="51"/>
    </row>
    <row r="30" spans="1:7" ht="26.05" customHeight="1" x14ac:dyDescent="0.55000000000000004">
      <c r="A30" s="48" t="s">
        <v>51</v>
      </c>
      <c r="B30" s="49"/>
      <c r="C30" s="10"/>
      <c r="D30" s="61" t="s">
        <v>52</v>
      </c>
      <c r="E30" s="49"/>
      <c r="F30" s="72" t="s">
        <v>53</v>
      </c>
      <c r="G30" s="49"/>
    </row>
    <row r="31" spans="1:7" ht="26.05" customHeight="1" x14ac:dyDescent="0.55000000000000004">
      <c r="A31" s="56" t="s">
        <v>54</v>
      </c>
      <c r="B31" s="51"/>
      <c r="C31" s="10"/>
      <c r="D31" s="53"/>
      <c r="E31" s="51"/>
      <c r="F31" s="50" t="s">
        <v>55</v>
      </c>
      <c r="G31" s="51"/>
    </row>
    <row r="32" spans="1:7" ht="26.05" customHeight="1" x14ac:dyDescent="0.55000000000000004">
      <c r="A32" s="48" t="s">
        <v>56</v>
      </c>
      <c r="B32" s="49"/>
      <c r="C32" s="10"/>
      <c r="D32" s="61" t="s">
        <v>35</v>
      </c>
      <c r="E32" s="49"/>
      <c r="F32" s="72" t="s">
        <v>50</v>
      </c>
      <c r="G32" s="49"/>
    </row>
    <row r="33" spans="1:7" ht="26.05" customHeight="1" x14ac:dyDescent="0.55000000000000004">
      <c r="A33" s="56" t="s">
        <v>57</v>
      </c>
      <c r="B33" s="51"/>
      <c r="C33" s="5" t="s">
        <v>9</v>
      </c>
      <c r="D33" s="53" t="s">
        <v>58</v>
      </c>
      <c r="E33" s="51"/>
      <c r="F33" s="50" t="s">
        <v>59</v>
      </c>
      <c r="G33" s="51"/>
    </row>
    <row r="34" spans="1:7" ht="26.05" customHeight="1" x14ac:dyDescent="0.55000000000000004">
      <c r="A34" s="48" t="s">
        <v>60</v>
      </c>
      <c r="B34" s="49"/>
      <c r="C34" s="5" t="s">
        <v>61</v>
      </c>
      <c r="D34" s="61" t="s">
        <v>62</v>
      </c>
      <c r="E34" s="49"/>
      <c r="F34" s="72" t="s">
        <v>63</v>
      </c>
      <c r="G34" s="49"/>
    </row>
    <row r="35" spans="1:7" ht="5.05" customHeight="1" x14ac:dyDescent="0.55000000000000004">
      <c r="A35" s="3"/>
      <c r="B35" s="3"/>
      <c r="C35" s="3"/>
      <c r="D35" s="3"/>
      <c r="E35" s="3"/>
      <c r="F35" s="3"/>
      <c r="G35" s="3"/>
    </row>
    <row r="36" spans="1:7" ht="24" customHeight="1" x14ac:dyDescent="0.55000000000000004">
      <c r="A36" s="76" t="s">
        <v>64</v>
      </c>
      <c r="B36" s="55"/>
      <c r="C36" s="55"/>
      <c r="D36" s="55"/>
      <c r="E36" s="55"/>
      <c r="F36" s="55"/>
      <c r="G36" s="55"/>
    </row>
    <row r="37" spans="1:7" ht="28" customHeight="1" x14ac:dyDescent="0.55000000000000004">
      <c r="A37" s="66" t="s">
        <v>65</v>
      </c>
      <c r="B37" s="49"/>
      <c r="C37" s="49"/>
      <c r="D37" s="49"/>
      <c r="E37" s="49"/>
      <c r="F37" s="49"/>
      <c r="G37" s="49"/>
    </row>
    <row r="38" spans="1:7" ht="18" customHeight="1" x14ac:dyDescent="0.55000000000000004">
      <c r="A38" s="4"/>
      <c r="B38" s="4" t="s">
        <v>66</v>
      </c>
      <c r="C38" s="4"/>
      <c r="D38" s="4" t="s">
        <v>67</v>
      </c>
      <c r="E38" s="4"/>
      <c r="F38" s="4" t="s">
        <v>68</v>
      </c>
      <c r="G38" s="4" t="s">
        <v>69</v>
      </c>
    </row>
    <row r="39" spans="1:7" ht="22" customHeight="1" x14ac:dyDescent="0.55000000000000004">
      <c r="A39" s="57" t="s">
        <v>70</v>
      </c>
      <c r="B39" s="58"/>
      <c r="C39" s="11" t="s">
        <v>71</v>
      </c>
      <c r="D39" s="10"/>
      <c r="E39" s="7"/>
      <c r="F39" s="67" t="s">
        <v>72</v>
      </c>
      <c r="G39" s="58"/>
    </row>
    <row r="40" spans="1:7" ht="22" customHeight="1" x14ac:dyDescent="0.55000000000000004">
      <c r="A40" s="57" t="s">
        <v>73</v>
      </c>
      <c r="B40" s="58"/>
      <c r="C40" s="11" t="s">
        <v>71</v>
      </c>
      <c r="D40" s="10"/>
      <c r="E40" s="7"/>
      <c r="F40" s="67" t="s">
        <v>74</v>
      </c>
      <c r="G40" s="58"/>
    </row>
    <row r="41" spans="1:7" ht="22" customHeight="1" x14ac:dyDescent="0.55000000000000004">
      <c r="A41" s="57" t="s">
        <v>75</v>
      </c>
      <c r="B41" s="58"/>
      <c r="C41" s="11" t="s">
        <v>71</v>
      </c>
      <c r="D41" s="10"/>
      <c r="E41" s="7"/>
      <c r="F41" s="67" t="s">
        <v>74</v>
      </c>
      <c r="G41" s="58"/>
    </row>
    <row r="42" spans="1:7" ht="22" customHeight="1" x14ac:dyDescent="0.55000000000000004">
      <c r="A42" s="57" t="s">
        <v>76</v>
      </c>
      <c r="B42" s="58"/>
      <c r="C42" s="11" t="s">
        <v>71</v>
      </c>
      <c r="D42" s="10"/>
      <c r="E42" s="7"/>
      <c r="F42" s="67" t="s">
        <v>74</v>
      </c>
      <c r="G42" s="58"/>
    </row>
    <row r="43" spans="1:7" ht="22" customHeight="1" x14ac:dyDescent="0.55000000000000004">
      <c r="A43" s="57" t="s">
        <v>77</v>
      </c>
      <c r="B43" s="58"/>
      <c r="C43" s="11" t="s">
        <v>71</v>
      </c>
      <c r="D43" s="10"/>
      <c r="E43" s="7"/>
      <c r="F43" s="67" t="s">
        <v>78</v>
      </c>
      <c r="G43" s="58"/>
    </row>
    <row r="44" spans="1:7" ht="22" customHeight="1" x14ac:dyDescent="0.55000000000000004">
      <c r="A44" s="57" t="s">
        <v>79</v>
      </c>
      <c r="B44" s="58"/>
      <c r="C44" s="11" t="s">
        <v>71</v>
      </c>
      <c r="D44" s="10"/>
      <c r="E44" s="7"/>
      <c r="F44" s="67" t="s">
        <v>80</v>
      </c>
      <c r="G44" s="58"/>
    </row>
    <row r="45" spans="1:7" ht="22" customHeight="1" x14ac:dyDescent="0.55000000000000004">
      <c r="A45" s="57" t="s">
        <v>81</v>
      </c>
      <c r="B45" s="58"/>
      <c r="C45" s="12"/>
      <c r="D45" s="8">
        <f>SUM(D39:D44)</f>
        <v>0</v>
      </c>
      <c r="E45" s="7"/>
      <c r="F45" s="67" t="s">
        <v>82</v>
      </c>
      <c r="G45" s="58"/>
    </row>
    <row r="46" spans="1:7" ht="22" customHeight="1" x14ac:dyDescent="0.55000000000000004">
      <c r="A46" s="75" t="s">
        <v>83</v>
      </c>
      <c r="B46" s="71"/>
      <c r="C46" s="13" t="s">
        <v>84</v>
      </c>
      <c r="D46" s="10"/>
      <c r="E46" s="1"/>
      <c r="F46" s="78" t="s">
        <v>85</v>
      </c>
      <c r="G46" s="71"/>
    </row>
    <row r="47" spans="1:7" ht="22" customHeight="1" x14ac:dyDescent="0.55000000000000004">
      <c r="A47" s="75" t="s">
        <v>86</v>
      </c>
      <c r="B47" s="71"/>
      <c r="C47" s="13" t="s">
        <v>84</v>
      </c>
      <c r="D47" s="10"/>
      <c r="E47" s="1"/>
      <c r="F47" s="78" t="s">
        <v>87</v>
      </c>
      <c r="G47" s="71"/>
    </row>
    <row r="48" spans="1:7" ht="22" customHeight="1" x14ac:dyDescent="0.55000000000000004">
      <c r="A48" s="57" t="s">
        <v>88</v>
      </c>
      <c r="B48" s="58"/>
      <c r="C48" s="12"/>
      <c r="D48" s="8">
        <f>SUM(D46:D47)</f>
        <v>0</v>
      </c>
      <c r="E48" s="7"/>
      <c r="F48" s="67" t="s">
        <v>89</v>
      </c>
      <c r="G48" s="58"/>
    </row>
    <row r="49" spans="1:7" ht="5.05" customHeight="1" x14ac:dyDescent="0.55000000000000004">
      <c r="A49" s="3"/>
      <c r="B49" s="3"/>
      <c r="C49" s="3"/>
      <c r="D49" s="3"/>
      <c r="E49" s="3"/>
      <c r="F49" s="3"/>
      <c r="G49" s="3"/>
    </row>
    <row r="50" spans="1:7" ht="24" customHeight="1" x14ac:dyDescent="0.55000000000000004">
      <c r="A50" s="76" t="s">
        <v>90</v>
      </c>
      <c r="B50" s="55"/>
      <c r="C50" s="55"/>
      <c r="D50" s="55"/>
      <c r="E50" s="55"/>
      <c r="F50" s="55"/>
      <c r="G50" s="55"/>
    </row>
    <row r="51" spans="1:7" ht="18" customHeight="1" x14ac:dyDescent="0.55000000000000004">
      <c r="A51" s="4"/>
      <c r="B51" s="4" t="s">
        <v>91</v>
      </c>
      <c r="C51" s="4"/>
      <c r="D51" s="4" t="s">
        <v>67</v>
      </c>
      <c r="E51" s="4"/>
      <c r="F51" s="4" t="s">
        <v>46</v>
      </c>
      <c r="G51" s="4" t="s">
        <v>69</v>
      </c>
    </row>
    <row r="52" spans="1:7" ht="26.05" customHeight="1" x14ac:dyDescent="0.55000000000000004">
      <c r="A52" s="48" t="s">
        <v>92</v>
      </c>
      <c r="B52" s="49"/>
      <c r="C52" s="8"/>
      <c r="D52" s="119">
        <f>D45</f>
        <v>0</v>
      </c>
      <c r="E52" s="49"/>
      <c r="F52" s="64" t="s">
        <v>93</v>
      </c>
      <c r="G52" s="49"/>
    </row>
    <row r="53" spans="1:7" ht="26.05" customHeight="1" x14ac:dyDescent="0.55000000000000004">
      <c r="A53" s="56" t="s">
        <v>94</v>
      </c>
      <c r="B53" s="51"/>
      <c r="C53" s="10"/>
      <c r="D53" s="120">
        <v>0</v>
      </c>
      <c r="E53" s="51"/>
      <c r="F53" s="62"/>
      <c r="G53" s="51"/>
    </row>
    <row r="54" spans="1:7" ht="26.05" customHeight="1" x14ac:dyDescent="0.55000000000000004">
      <c r="A54" s="48" t="s">
        <v>95</v>
      </c>
      <c r="B54" s="49"/>
      <c r="C54" s="10"/>
      <c r="D54" s="120">
        <v>0</v>
      </c>
      <c r="E54" s="49"/>
      <c r="F54" s="64"/>
      <c r="G54" s="49"/>
    </row>
    <row r="55" spans="1:7" ht="26.05" customHeight="1" x14ac:dyDescent="0.55000000000000004">
      <c r="A55" s="57" t="s">
        <v>96</v>
      </c>
      <c r="B55" s="58"/>
      <c r="C55" s="14"/>
      <c r="D55" s="121">
        <f>D52-D53-D54</f>
        <v>0</v>
      </c>
      <c r="E55" s="58"/>
      <c r="F55" s="67"/>
      <c r="G55" s="58"/>
    </row>
    <row r="56" spans="1:7" ht="26.05" customHeight="1" x14ac:dyDescent="0.55000000000000004">
      <c r="A56" s="48" t="s">
        <v>97</v>
      </c>
      <c r="B56" s="49"/>
      <c r="C56" s="8"/>
      <c r="D56" s="119" t="str">
        <f>IF(D55&gt;0,"KAZANÇ","ZARAR/SIFIR")</f>
        <v>ZARAR/SIFIR</v>
      </c>
      <c r="E56" s="49"/>
      <c r="F56" s="64"/>
      <c r="G56" s="49"/>
    </row>
    <row r="57" spans="1:7" ht="26.05" customHeight="1" x14ac:dyDescent="0.55000000000000004">
      <c r="A57" s="57" t="s">
        <v>98</v>
      </c>
      <c r="B57" s="58"/>
      <c r="C57" s="14"/>
      <c r="D57" s="121">
        <f>MAX(0,D55)</f>
        <v>0</v>
      </c>
      <c r="E57" s="58"/>
      <c r="F57" s="67" t="s">
        <v>99</v>
      </c>
      <c r="G57" s="58"/>
    </row>
    <row r="58" spans="1:7" ht="5.05" customHeight="1" x14ac:dyDescent="0.55000000000000004">
      <c r="A58" s="3"/>
      <c r="B58" s="3"/>
      <c r="C58" s="3"/>
      <c r="D58" s="3"/>
      <c r="E58" s="3"/>
      <c r="F58" s="3"/>
      <c r="G58" s="3"/>
    </row>
    <row r="59" spans="1:7" ht="24" customHeight="1" x14ac:dyDescent="0.55000000000000004">
      <c r="A59" s="59" t="s">
        <v>100</v>
      </c>
      <c r="B59" s="60"/>
      <c r="C59" s="60"/>
      <c r="D59" s="60"/>
      <c r="E59" s="60"/>
      <c r="F59" s="60"/>
      <c r="G59" s="60"/>
    </row>
    <row r="60" spans="1:7" ht="28" customHeight="1" x14ac:dyDescent="0.55000000000000004">
      <c r="A60" s="66" t="s">
        <v>101</v>
      </c>
      <c r="B60" s="49"/>
      <c r="C60" s="49"/>
      <c r="D60" s="49"/>
      <c r="E60" s="49"/>
      <c r="F60" s="49"/>
      <c r="G60" s="49"/>
    </row>
    <row r="61" spans="1:7" ht="18" customHeight="1" x14ac:dyDescent="0.55000000000000004">
      <c r="A61" s="4"/>
      <c r="B61" s="4" t="s">
        <v>91</v>
      </c>
      <c r="C61" s="4"/>
      <c r="D61" s="4" t="s">
        <v>67</v>
      </c>
      <c r="E61" s="4"/>
      <c r="F61" s="4" t="s">
        <v>46</v>
      </c>
      <c r="G61" s="4" t="s">
        <v>69</v>
      </c>
    </row>
    <row r="62" spans="1:7" ht="26.05" customHeight="1" x14ac:dyDescent="0.55000000000000004">
      <c r="A62" s="48" t="s">
        <v>102</v>
      </c>
      <c r="B62" s="49"/>
      <c r="C62" s="10"/>
      <c r="D62" s="61"/>
      <c r="E62" s="49"/>
      <c r="F62" s="64" t="s">
        <v>103</v>
      </c>
      <c r="G62" s="49"/>
    </row>
    <row r="63" spans="1:7" ht="26.05" customHeight="1" x14ac:dyDescent="0.55000000000000004">
      <c r="A63" s="56" t="s">
        <v>104</v>
      </c>
      <c r="B63" s="51"/>
      <c r="C63" s="10"/>
      <c r="D63" s="53"/>
      <c r="E63" s="51"/>
      <c r="F63" s="62" t="s">
        <v>105</v>
      </c>
      <c r="G63" s="51"/>
    </row>
    <row r="64" spans="1:7" ht="26.05" customHeight="1" x14ac:dyDescent="0.55000000000000004">
      <c r="A64" s="48" t="s">
        <v>106</v>
      </c>
      <c r="B64" s="49"/>
      <c r="C64" s="10"/>
      <c r="D64" s="61"/>
      <c r="E64" s="49"/>
      <c r="F64" s="64" t="s">
        <v>107</v>
      </c>
      <c r="G64" s="49"/>
    </row>
    <row r="65" spans="1:7" ht="26.05" customHeight="1" x14ac:dyDescent="0.55000000000000004">
      <c r="A65" s="57" t="s">
        <v>108</v>
      </c>
      <c r="B65" s="58"/>
      <c r="C65" s="15"/>
      <c r="D65" s="122">
        <f>D62-D63-D64</f>
        <v>0</v>
      </c>
      <c r="E65" s="58"/>
      <c r="F65" s="67"/>
      <c r="G65" s="58"/>
    </row>
    <row r="66" spans="1:7" ht="26.05" customHeight="1" x14ac:dyDescent="0.55000000000000004">
      <c r="A66" s="57" t="s">
        <v>109</v>
      </c>
      <c r="B66" s="58"/>
      <c r="C66" s="15"/>
      <c r="D66" s="122">
        <f>MAX(0,D65)</f>
        <v>0</v>
      </c>
      <c r="E66" s="58"/>
      <c r="F66" s="67" t="s">
        <v>99</v>
      </c>
      <c r="G66" s="58"/>
    </row>
    <row r="67" spans="1:7" ht="5.05" customHeight="1" x14ac:dyDescent="0.55000000000000004">
      <c r="A67" s="3"/>
      <c r="B67" s="3"/>
      <c r="C67" s="3"/>
      <c r="D67" s="3"/>
      <c r="E67" s="3"/>
      <c r="F67" s="3"/>
      <c r="G67" s="3"/>
    </row>
    <row r="68" spans="1:7" ht="26.05" customHeight="1" x14ac:dyDescent="0.55000000000000004">
      <c r="A68" s="54" t="s">
        <v>110</v>
      </c>
      <c r="B68" s="55"/>
      <c r="C68" s="55"/>
      <c r="D68" s="55"/>
      <c r="E68" s="55"/>
      <c r="F68" s="55"/>
      <c r="G68" s="55"/>
    </row>
    <row r="69" spans="1:7" ht="30" customHeight="1" x14ac:dyDescent="0.55000000000000004">
      <c r="A69" s="73" t="s">
        <v>111</v>
      </c>
      <c r="B69" s="74"/>
      <c r="C69" s="74"/>
      <c r="D69" s="74"/>
      <c r="E69" s="74"/>
      <c r="F69" s="16">
        <f>D57+D66</f>
        <v>0</v>
      </c>
      <c r="G69" s="17" t="s">
        <v>112</v>
      </c>
    </row>
    <row r="70" spans="1:7" ht="44.05" customHeight="1" x14ac:dyDescent="0.55000000000000004">
      <c r="A70" s="88" t="s">
        <v>113</v>
      </c>
      <c r="B70" s="89"/>
      <c r="C70" s="89"/>
      <c r="D70" s="89"/>
      <c r="E70" s="89"/>
      <c r="F70" s="89"/>
      <c r="G70" s="89"/>
    </row>
  </sheetData>
  <mergeCells count="125">
    <mergeCell ref="A70:G70"/>
    <mergeCell ref="A47:B47"/>
    <mergeCell ref="F52:G52"/>
    <mergeCell ref="A20:B20"/>
    <mergeCell ref="A29:B29"/>
    <mergeCell ref="A27:G27"/>
    <mergeCell ref="A44:B44"/>
    <mergeCell ref="A31:B31"/>
    <mergeCell ref="F44:G44"/>
    <mergeCell ref="A2:G2"/>
    <mergeCell ref="F14:G14"/>
    <mergeCell ref="D54:E54"/>
    <mergeCell ref="A40:B40"/>
    <mergeCell ref="A14:D14"/>
    <mergeCell ref="F11:G11"/>
    <mergeCell ref="A24:B24"/>
    <mergeCell ref="F65:G65"/>
    <mergeCell ref="F40:G40"/>
    <mergeCell ref="F55:G55"/>
    <mergeCell ref="F12:G12"/>
    <mergeCell ref="F24:G24"/>
    <mergeCell ref="D57:E57"/>
    <mergeCell ref="C17:E17"/>
    <mergeCell ref="D32:E32"/>
    <mergeCell ref="F32:G32"/>
    <mergeCell ref="A18:B18"/>
    <mergeCell ref="F41:G41"/>
    <mergeCell ref="C19:E19"/>
    <mergeCell ref="A6:G6"/>
    <mergeCell ref="A32:B32"/>
    <mergeCell ref="A16:G16"/>
    <mergeCell ref="F22:G22"/>
    <mergeCell ref="A23:B23"/>
    <mergeCell ref="D55:E55"/>
    <mergeCell ref="D30:E30"/>
    <mergeCell ref="A43:B43"/>
    <mergeCell ref="A12:D12"/>
    <mergeCell ref="A50:G50"/>
    <mergeCell ref="A1:G1"/>
    <mergeCell ref="F47:G47"/>
    <mergeCell ref="F62:G62"/>
    <mergeCell ref="F31:G31"/>
    <mergeCell ref="F46:G46"/>
    <mergeCell ref="F9:G9"/>
    <mergeCell ref="C24:E24"/>
    <mergeCell ref="F39:G39"/>
    <mergeCell ref="F48:G48"/>
    <mergeCell ref="A52:B52"/>
    <mergeCell ref="A3:G3"/>
    <mergeCell ref="D29:E29"/>
    <mergeCell ref="A34:B34"/>
    <mergeCell ref="A8:D8"/>
    <mergeCell ref="A4:G4"/>
    <mergeCell ref="A10:D10"/>
    <mergeCell ref="F21:G21"/>
    <mergeCell ref="D52:E52"/>
    <mergeCell ref="F53:G53"/>
    <mergeCell ref="A60:G60"/>
    <mergeCell ref="A55:B55"/>
    <mergeCell ref="F8:G8"/>
    <mergeCell ref="A21:B21"/>
    <mergeCell ref="A57:B57"/>
    <mergeCell ref="A9:D9"/>
    <mergeCell ref="F30:G30"/>
    <mergeCell ref="F20:G20"/>
    <mergeCell ref="F18:G18"/>
    <mergeCell ref="F33:G33"/>
    <mergeCell ref="F45:G45"/>
    <mergeCell ref="A46:B46"/>
    <mergeCell ref="F42:G42"/>
    <mergeCell ref="A11:D11"/>
    <mergeCell ref="F17:G17"/>
    <mergeCell ref="A36:G36"/>
    <mergeCell ref="F10:G10"/>
    <mergeCell ref="F54:G54"/>
    <mergeCell ref="D34:E34"/>
    <mergeCell ref="F19:G19"/>
    <mergeCell ref="C22:E22"/>
    <mergeCell ref="F34:G34"/>
    <mergeCell ref="A45:B45"/>
    <mergeCell ref="F63:G63"/>
    <mergeCell ref="A69:E69"/>
    <mergeCell ref="D66:E66"/>
    <mergeCell ref="F66:G66"/>
    <mergeCell ref="D53:E53"/>
    <mergeCell ref="A63:B63"/>
    <mergeCell ref="F64:G64"/>
    <mergeCell ref="D63:E63"/>
    <mergeCell ref="D65:E65"/>
    <mergeCell ref="A65:B65"/>
    <mergeCell ref="A66:B66"/>
    <mergeCell ref="A62:B62"/>
    <mergeCell ref="D64:E64"/>
    <mergeCell ref="D33:E33"/>
    <mergeCell ref="A19:B19"/>
    <mergeCell ref="A26:G26"/>
    <mergeCell ref="C20:E20"/>
    <mergeCell ref="F57:G57"/>
    <mergeCell ref="A39:B39"/>
    <mergeCell ref="A48:B48"/>
    <mergeCell ref="A30:B30"/>
    <mergeCell ref="A64:B64"/>
    <mergeCell ref="F29:G29"/>
    <mergeCell ref="C21:E21"/>
    <mergeCell ref="D31:E31"/>
    <mergeCell ref="A68:G68"/>
    <mergeCell ref="A13:D13"/>
    <mergeCell ref="A54:B54"/>
    <mergeCell ref="A41:B41"/>
    <mergeCell ref="C23:E23"/>
    <mergeCell ref="A59:G59"/>
    <mergeCell ref="A56:B56"/>
    <mergeCell ref="A33:B33"/>
    <mergeCell ref="F23:G23"/>
    <mergeCell ref="A42:B42"/>
    <mergeCell ref="C18:E18"/>
    <mergeCell ref="D62:E62"/>
    <mergeCell ref="F13:G13"/>
    <mergeCell ref="A17:B17"/>
    <mergeCell ref="D56:E56"/>
    <mergeCell ref="F56:G56"/>
    <mergeCell ref="A22:B22"/>
    <mergeCell ref="A53:B53"/>
    <mergeCell ref="A37:G37"/>
    <mergeCell ref="F43:G43"/>
  </mergeCells>
  <conditionalFormatting sqref="E14">
    <cfRule type="containsText" dxfId="3" priority="1" operator="containsText" text="OK">
      <formula>NOT(ISERROR(SEARCH("OK",E14)))</formula>
    </cfRule>
    <cfRule type="containsText" dxfId="2" priority="2" operator="containsText" text="HATA">
      <formula>NOT(ISERROR(SEARCH("HATA",E14)))</formula>
    </cfRule>
  </conditionalFormatting>
  <dataValidations count="8">
    <dataValidation type="list" sqref="E8" xr:uid="{00000000-0002-0000-0000-000000000000}">
      <formula1>"EVET,HAYIR-Kapsam Dışı"</formula1>
    </dataValidation>
    <dataValidation type="list" sqref="E9" xr:uid="{00000000-0002-0000-0000-000001000000}">
      <formula1>"İşletme Kazancı,Devir Kazancı,Her İkisi"</formula1>
    </dataValidation>
    <dataValidation type="list" sqref="E10" xr:uid="{00000000-0002-0000-0000-000002000000}">
      <formula1>"EVET,HAYIR-Risk"</formula1>
    </dataValidation>
    <dataValidation type="list" sqref="E11" xr:uid="{00000000-0002-0000-0000-000003000000}">
      <formula1>"EVET-Ayrıştırma Yapıldı,HAYIR"</formula1>
    </dataValidation>
    <dataValidation type="list" sqref="E12" xr:uid="{00000000-0002-0000-0000-000004000000}">
      <formula1>"EVET,Hayır-Risk"</formula1>
    </dataValidation>
    <dataValidation type="list" sqref="E13" xr:uid="{00000000-0002-0000-0000-000005000000}">
      <formula1>"EVET,Tam Tasdik"</formula1>
    </dataValidation>
    <dataValidation type="list" sqref="C33" xr:uid="{00000000-0002-0000-0000-000006000000}">
      <formula1>"EVET,HAYIR-Risk,Kısmen Aktif"</formula1>
    </dataValidation>
    <dataValidation type="list" sqref="C34" xr:uid="{00000000-0002-0000-0000-000007000000}">
      <formula1>"Navlun/Kargo Taşımacılığı,Zaman Kiralama (Time Charter),Çıplak Tekne (Bare Boat),Yolcu Taşımacılığı,Tanker,Kurtarma/Yardım,Karma"</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41"/>
  <sheetViews>
    <sheetView workbookViewId="0"/>
  </sheetViews>
  <sheetFormatPr defaultRowHeight="14.4" x14ac:dyDescent="0.55000000000000004"/>
  <cols>
    <col min="1" max="1" width="4" customWidth="1"/>
    <col min="2" max="2" width="36" customWidth="1"/>
    <col min="3" max="4" width="16" customWidth="1"/>
    <col min="5" max="5" width="14" customWidth="1"/>
    <col min="6" max="6" width="12" customWidth="1"/>
    <col min="7" max="7" width="20" customWidth="1"/>
  </cols>
  <sheetData>
    <row r="1" spans="1:7" ht="36" customHeight="1" x14ac:dyDescent="0.55000000000000004">
      <c r="A1" s="105" t="s">
        <v>114</v>
      </c>
      <c r="B1" s="55"/>
      <c r="C1" s="55"/>
      <c r="D1" s="55"/>
      <c r="E1" s="55"/>
      <c r="F1" s="55"/>
      <c r="G1" s="55"/>
    </row>
    <row r="2" spans="1:7" ht="20.05" customHeight="1" x14ac:dyDescent="0.55000000000000004">
      <c r="A2" s="84" t="s">
        <v>115</v>
      </c>
      <c r="B2" s="85"/>
      <c r="C2" s="85"/>
      <c r="D2" s="85"/>
      <c r="E2" s="85"/>
      <c r="F2" s="85"/>
      <c r="G2" s="85"/>
    </row>
    <row r="3" spans="1:7" ht="5.05" customHeight="1" x14ac:dyDescent="0.55000000000000004">
      <c r="A3" s="3"/>
      <c r="B3" s="3"/>
      <c r="C3" s="3"/>
      <c r="D3" s="3"/>
      <c r="E3" s="3"/>
      <c r="F3" s="3"/>
      <c r="G3" s="3"/>
    </row>
    <row r="4" spans="1:7" ht="22" customHeight="1" x14ac:dyDescent="0.55000000000000004">
      <c r="A4" s="59" t="s">
        <v>116</v>
      </c>
      <c r="B4" s="60"/>
      <c r="C4" s="60"/>
      <c r="D4" s="60"/>
      <c r="E4" s="60"/>
      <c r="F4" s="60"/>
      <c r="G4" s="60"/>
    </row>
    <row r="5" spans="1:7" ht="22" customHeight="1" x14ac:dyDescent="0.55000000000000004">
      <c r="A5" s="63" t="s">
        <v>117</v>
      </c>
      <c r="B5" s="51"/>
      <c r="C5" s="51"/>
      <c r="D5" s="18" t="str">
        <f>'VERİ GİRİŞİ'!E14</f>
        <v>OK - Hesaplanabilir</v>
      </c>
      <c r="E5" s="62" t="s">
        <v>118</v>
      </c>
      <c r="F5" s="51"/>
      <c r="G5" s="51"/>
    </row>
    <row r="6" spans="1:7" ht="22" customHeight="1" x14ac:dyDescent="0.55000000000000004">
      <c r="A6" s="65" t="s">
        <v>119</v>
      </c>
      <c r="B6" s="49"/>
      <c r="C6" s="49"/>
      <c r="D6" s="18" t="str">
        <f>'VERİ GİRİŞİ'!C33</f>
        <v>EVET</v>
      </c>
      <c r="E6" s="64" t="s">
        <v>120</v>
      </c>
      <c r="F6" s="49"/>
      <c r="G6" s="49"/>
    </row>
    <row r="7" spans="1:7" ht="22" customHeight="1" x14ac:dyDescent="0.55000000000000004">
      <c r="A7" s="63" t="s">
        <v>121</v>
      </c>
      <c r="B7" s="51"/>
      <c r="C7" s="51"/>
      <c r="D7" s="18">
        <f>'VERİ GİRİŞİ'!D45</f>
        <v>0</v>
      </c>
      <c r="E7" s="62" t="s">
        <v>93</v>
      </c>
      <c r="F7" s="51"/>
      <c r="G7" s="51"/>
    </row>
    <row r="8" spans="1:7" ht="22" customHeight="1" x14ac:dyDescent="0.55000000000000004">
      <c r="A8" s="65" t="s">
        <v>122</v>
      </c>
      <c r="B8" s="49"/>
      <c r="C8" s="49"/>
      <c r="D8" s="18">
        <f>'VERİ GİRİŞİ'!D48</f>
        <v>0</v>
      </c>
      <c r="E8" s="64" t="s">
        <v>89</v>
      </c>
      <c r="F8" s="49"/>
      <c r="G8" s="49"/>
    </row>
    <row r="9" spans="1:7" ht="22" customHeight="1" x14ac:dyDescent="0.55000000000000004">
      <c r="A9" s="63" t="s">
        <v>123</v>
      </c>
      <c r="B9" s="51"/>
      <c r="C9" s="51"/>
      <c r="D9" s="18">
        <f>'VERİ GİRİŞİ'!D55</f>
        <v>0</v>
      </c>
      <c r="E9" s="62" t="s">
        <v>124</v>
      </c>
      <c r="F9" s="51"/>
      <c r="G9" s="51"/>
    </row>
    <row r="10" spans="1:7" ht="22" customHeight="1" x14ac:dyDescent="0.55000000000000004">
      <c r="A10" s="65" t="s">
        <v>125</v>
      </c>
      <c r="B10" s="49"/>
      <c r="C10" s="49"/>
      <c r="D10" s="18">
        <f>'VERİ GİRİŞİ'!D65</f>
        <v>0</v>
      </c>
      <c r="E10" s="64" t="s">
        <v>126</v>
      </c>
      <c r="F10" s="49"/>
      <c r="G10" s="49"/>
    </row>
    <row r="11" spans="1:7" ht="22" customHeight="1" x14ac:dyDescent="0.55000000000000004">
      <c r="A11" s="87" t="s">
        <v>127</v>
      </c>
      <c r="B11" s="58"/>
      <c r="C11" s="58"/>
      <c r="D11" s="15">
        <f>'VERİ GİRİŞİ'!D57+'VERİ GİRİŞİ'!D66</f>
        <v>0</v>
      </c>
      <c r="E11" s="67"/>
      <c r="F11" s="58"/>
      <c r="G11" s="58"/>
    </row>
    <row r="12" spans="1:7" ht="22" customHeight="1" x14ac:dyDescent="0.55000000000000004">
      <c r="A12" s="63" t="s">
        <v>128</v>
      </c>
      <c r="B12" s="51"/>
      <c r="C12" s="51"/>
      <c r="D12" s="18" t="str">
        <f>'VERİ GİRİŞİ'!E12</f>
        <v>EVET</v>
      </c>
      <c r="E12" s="62" t="s">
        <v>129</v>
      </c>
      <c r="F12" s="51"/>
      <c r="G12" s="51"/>
    </row>
    <row r="13" spans="1:7" ht="5.05" customHeight="1" x14ac:dyDescent="0.55000000000000004">
      <c r="A13" s="3"/>
      <c r="B13" s="3"/>
      <c r="C13" s="3"/>
      <c r="D13" s="3"/>
      <c r="E13" s="3"/>
      <c r="F13" s="3"/>
      <c r="G13" s="3"/>
    </row>
    <row r="14" spans="1:7" ht="22" customHeight="1" x14ac:dyDescent="0.55000000000000004">
      <c r="A14" s="76" t="s">
        <v>130</v>
      </c>
      <c r="B14" s="55"/>
      <c r="C14" s="55"/>
      <c r="D14" s="55"/>
      <c r="E14" s="55"/>
      <c r="F14" s="55"/>
      <c r="G14" s="55"/>
    </row>
    <row r="15" spans="1:7" ht="22" customHeight="1" x14ac:dyDescent="0.55000000000000004">
      <c r="A15" s="66" t="s">
        <v>131</v>
      </c>
      <c r="B15" s="49"/>
      <c r="C15" s="49"/>
      <c r="D15" s="49"/>
      <c r="E15" s="49"/>
      <c r="F15" s="49"/>
      <c r="G15" s="49"/>
    </row>
    <row r="16" spans="1:7" ht="18" customHeight="1" x14ac:dyDescent="0.55000000000000004">
      <c r="A16" s="4"/>
      <c r="B16" s="4" t="s">
        <v>132</v>
      </c>
      <c r="C16" s="4"/>
      <c r="D16" s="4" t="s">
        <v>133</v>
      </c>
      <c r="E16" s="4"/>
      <c r="F16" s="4" t="s">
        <v>134</v>
      </c>
      <c r="G16" s="4"/>
    </row>
    <row r="17" spans="1:7" ht="22" customHeight="1" x14ac:dyDescent="0.55000000000000004">
      <c r="A17" s="63" t="s">
        <v>135</v>
      </c>
      <c r="B17" s="51"/>
      <c r="C17" s="102" t="s">
        <v>136</v>
      </c>
      <c r="D17" s="51"/>
      <c r="E17" s="94" t="s">
        <v>137</v>
      </c>
      <c r="F17" s="51"/>
      <c r="G17" s="6"/>
    </row>
    <row r="18" spans="1:7" ht="22" customHeight="1" x14ac:dyDescent="0.55000000000000004">
      <c r="A18" s="103" t="s">
        <v>138</v>
      </c>
      <c r="B18" s="71"/>
      <c r="C18" s="98" t="s">
        <v>139</v>
      </c>
      <c r="D18" s="58"/>
      <c r="E18" s="99" t="s">
        <v>140</v>
      </c>
      <c r="F18" s="100"/>
      <c r="G18" s="9"/>
    </row>
    <row r="19" spans="1:7" ht="22" customHeight="1" x14ac:dyDescent="0.55000000000000004">
      <c r="A19" s="103" t="s">
        <v>141</v>
      </c>
      <c r="B19" s="71"/>
      <c r="C19" s="98" t="s">
        <v>142</v>
      </c>
      <c r="D19" s="58"/>
      <c r="E19" s="99" t="s">
        <v>143</v>
      </c>
      <c r="F19" s="100"/>
      <c r="G19" s="6"/>
    </row>
    <row r="20" spans="1:7" ht="22" customHeight="1" x14ac:dyDescent="0.55000000000000004">
      <c r="A20" s="103" t="s">
        <v>144</v>
      </c>
      <c r="B20" s="71"/>
      <c r="C20" s="98" t="s">
        <v>145</v>
      </c>
      <c r="D20" s="58"/>
      <c r="E20" s="99" t="s">
        <v>146</v>
      </c>
      <c r="F20" s="100"/>
      <c r="G20" s="9"/>
    </row>
    <row r="21" spans="1:7" ht="22" customHeight="1" x14ac:dyDescent="0.55000000000000004">
      <c r="A21" s="103" t="s">
        <v>147</v>
      </c>
      <c r="B21" s="71"/>
      <c r="C21" s="98" t="s">
        <v>148</v>
      </c>
      <c r="D21" s="58"/>
      <c r="E21" s="99" t="s">
        <v>149</v>
      </c>
      <c r="F21" s="100"/>
      <c r="G21" s="6"/>
    </row>
    <row r="22" spans="1:7" ht="22" customHeight="1" x14ac:dyDescent="0.55000000000000004">
      <c r="A22" s="65" t="s">
        <v>150</v>
      </c>
      <c r="B22" s="49"/>
      <c r="C22" s="90" t="s">
        <v>151</v>
      </c>
      <c r="D22" s="49"/>
      <c r="E22" s="91" t="s">
        <v>152</v>
      </c>
      <c r="F22" s="49"/>
      <c r="G22" s="9"/>
    </row>
    <row r="23" spans="1:7" ht="22" customHeight="1" x14ac:dyDescent="0.55000000000000004">
      <c r="A23" s="63" t="s">
        <v>153</v>
      </c>
      <c r="B23" s="51"/>
      <c r="C23" s="102" t="s">
        <v>154</v>
      </c>
      <c r="D23" s="51"/>
      <c r="E23" s="94" t="s">
        <v>155</v>
      </c>
      <c r="F23" s="51"/>
      <c r="G23" s="6"/>
    </row>
    <row r="24" spans="1:7" ht="22" customHeight="1" x14ac:dyDescent="0.55000000000000004">
      <c r="A24" s="65" t="s">
        <v>156</v>
      </c>
      <c r="B24" s="49"/>
      <c r="C24" s="90" t="s">
        <v>157</v>
      </c>
      <c r="D24" s="49"/>
      <c r="E24" s="91" t="s">
        <v>157</v>
      </c>
      <c r="F24" s="49"/>
      <c r="G24" s="9"/>
    </row>
    <row r="25" spans="1:7" ht="22" customHeight="1" x14ac:dyDescent="0.55000000000000004">
      <c r="A25" s="63" t="s">
        <v>158</v>
      </c>
      <c r="B25" s="51"/>
      <c r="C25" s="102" t="s">
        <v>159</v>
      </c>
      <c r="D25" s="51"/>
      <c r="E25" s="94" t="s">
        <v>159</v>
      </c>
      <c r="F25" s="51"/>
      <c r="G25" s="6"/>
    </row>
    <row r="26" spans="1:7" ht="22" customHeight="1" x14ac:dyDescent="0.55000000000000004">
      <c r="A26" s="65" t="s">
        <v>160</v>
      </c>
      <c r="B26" s="49"/>
      <c r="C26" s="90" t="s">
        <v>161</v>
      </c>
      <c r="D26" s="49"/>
      <c r="E26" s="91" t="s">
        <v>162</v>
      </c>
      <c r="F26" s="49"/>
      <c r="G26" s="9"/>
    </row>
    <row r="27" spans="1:7" ht="5.05" customHeight="1" x14ac:dyDescent="0.55000000000000004">
      <c r="A27" s="3"/>
      <c r="B27" s="3"/>
      <c r="C27" s="3"/>
      <c r="D27" s="3"/>
      <c r="E27" s="3"/>
      <c r="F27" s="3"/>
      <c r="G27" s="3"/>
    </row>
    <row r="28" spans="1:7" ht="22" customHeight="1" x14ac:dyDescent="0.55000000000000004">
      <c r="A28" s="76" t="s">
        <v>163</v>
      </c>
      <c r="B28" s="55"/>
      <c r="C28" s="55"/>
      <c r="D28" s="55"/>
      <c r="E28" s="55"/>
      <c r="F28" s="55"/>
      <c r="G28" s="55"/>
    </row>
    <row r="29" spans="1:7" ht="18" customHeight="1" x14ac:dyDescent="0.55000000000000004">
      <c r="A29" s="4"/>
      <c r="B29" s="4" t="s">
        <v>164</v>
      </c>
      <c r="C29" s="4"/>
      <c r="D29" s="4" t="s">
        <v>46</v>
      </c>
      <c r="E29" s="4"/>
      <c r="F29" s="4" t="s">
        <v>165</v>
      </c>
      <c r="G29" s="4" t="s">
        <v>166</v>
      </c>
    </row>
    <row r="30" spans="1:7" ht="22" customHeight="1" x14ac:dyDescent="0.55000000000000004">
      <c r="A30" s="19" t="s">
        <v>167</v>
      </c>
      <c r="B30" s="95" t="s">
        <v>168</v>
      </c>
      <c r="C30" s="71"/>
      <c r="D30" s="92" t="s">
        <v>169</v>
      </c>
      <c r="E30" s="93"/>
      <c r="F30" s="21" t="s">
        <v>170</v>
      </c>
      <c r="G30" s="9"/>
    </row>
    <row r="31" spans="1:7" ht="22" customHeight="1" x14ac:dyDescent="0.55000000000000004">
      <c r="A31" s="19" t="s">
        <v>171</v>
      </c>
      <c r="B31" s="95" t="s">
        <v>172</v>
      </c>
      <c r="C31" s="71"/>
      <c r="D31" s="92" t="s">
        <v>173</v>
      </c>
      <c r="E31" s="93"/>
      <c r="F31" s="21" t="s">
        <v>170</v>
      </c>
      <c r="G31" s="6"/>
    </row>
    <row r="32" spans="1:7" ht="22" customHeight="1" x14ac:dyDescent="0.55000000000000004">
      <c r="A32" s="19" t="s">
        <v>174</v>
      </c>
      <c r="B32" s="95" t="s">
        <v>175</v>
      </c>
      <c r="C32" s="71"/>
      <c r="D32" s="92" t="s">
        <v>176</v>
      </c>
      <c r="E32" s="93"/>
      <c r="F32" s="21" t="s">
        <v>170</v>
      </c>
      <c r="G32" s="9"/>
    </row>
    <row r="33" spans="1:7" ht="22" customHeight="1" x14ac:dyDescent="0.55000000000000004">
      <c r="A33" s="19" t="s">
        <v>177</v>
      </c>
      <c r="B33" s="97" t="s">
        <v>178</v>
      </c>
      <c r="C33" s="51"/>
      <c r="D33" s="101" t="s">
        <v>179</v>
      </c>
      <c r="E33" s="51"/>
      <c r="F33" s="21" t="s">
        <v>170</v>
      </c>
      <c r="G33" s="6"/>
    </row>
    <row r="34" spans="1:7" ht="22" customHeight="1" x14ac:dyDescent="0.55000000000000004">
      <c r="A34" s="19" t="s">
        <v>180</v>
      </c>
      <c r="B34" s="95" t="s">
        <v>181</v>
      </c>
      <c r="C34" s="71"/>
      <c r="D34" s="92" t="s">
        <v>182</v>
      </c>
      <c r="E34" s="93"/>
      <c r="F34" s="21" t="s">
        <v>170</v>
      </c>
      <c r="G34" s="9"/>
    </row>
    <row r="35" spans="1:7" ht="22" customHeight="1" x14ac:dyDescent="0.55000000000000004">
      <c r="A35" s="19" t="s">
        <v>183</v>
      </c>
      <c r="B35" s="97" t="s">
        <v>184</v>
      </c>
      <c r="C35" s="51"/>
      <c r="D35" s="101" t="s">
        <v>185</v>
      </c>
      <c r="E35" s="51"/>
      <c r="F35" s="21" t="s">
        <v>170</v>
      </c>
      <c r="G35" s="6"/>
    </row>
    <row r="36" spans="1:7" ht="22" customHeight="1" x14ac:dyDescent="0.55000000000000004">
      <c r="A36" s="19" t="s">
        <v>186</v>
      </c>
      <c r="B36" s="104" t="s">
        <v>187</v>
      </c>
      <c r="C36" s="49"/>
      <c r="D36" s="96" t="s">
        <v>188</v>
      </c>
      <c r="E36" s="49"/>
      <c r="F36" s="21" t="s">
        <v>170</v>
      </c>
      <c r="G36" s="9"/>
    </row>
    <row r="37" spans="1:7" ht="22" customHeight="1" x14ac:dyDescent="0.55000000000000004">
      <c r="A37" s="19" t="s">
        <v>189</v>
      </c>
      <c r="B37" s="97" t="s">
        <v>190</v>
      </c>
      <c r="C37" s="51"/>
      <c r="D37" s="101" t="s">
        <v>191</v>
      </c>
      <c r="E37" s="51"/>
      <c r="F37" s="21" t="s">
        <v>170</v>
      </c>
      <c r="G37" s="6"/>
    </row>
    <row r="38" spans="1:7" ht="22" customHeight="1" x14ac:dyDescent="0.55000000000000004">
      <c r="A38" s="19" t="s">
        <v>192</v>
      </c>
      <c r="B38" s="104" t="s">
        <v>193</v>
      </c>
      <c r="C38" s="49"/>
      <c r="D38" s="96" t="s">
        <v>194</v>
      </c>
      <c r="E38" s="49"/>
      <c r="F38" s="21" t="s">
        <v>170</v>
      </c>
      <c r="G38" s="9"/>
    </row>
    <row r="39" spans="1:7" ht="22" customHeight="1" x14ac:dyDescent="0.55000000000000004">
      <c r="A39" s="19" t="s">
        <v>195</v>
      </c>
      <c r="B39" s="97" t="s">
        <v>196</v>
      </c>
      <c r="C39" s="51"/>
      <c r="D39" s="101" t="s">
        <v>197</v>
      </c>
      <c r="E39" s="51"/>
      <c r="F39" s="21" t="s">
        <v>170</v>
      </c>
      <c r="G39" s="6"/>
    </row>
    <row r="40" spans="1:7" ht="22" customHeight="1" x14ac:dyDescent="0.55000000000000004">
      <c r="A40" s="19" t="s">
        <v>198</v>
      </c>
      <c r="B40" s="104" t="s">
        <v>199</v>
      </c>
      <c r="C40" s="49"/>
      <c r="D40" s="96" t="s">
        <v>200</v>
      </c>
      <c r="E40" s="49"/>
      <c r="F40" s="21" t="s">
        <v>170</v>
      </c>
      <c r="G40" s="9"/>
    </row>
    <row r="41" spans="1:7" ht="22" customHeight="1" x14ac:dyDescent="0.55000000000000004">
      <c r="A41" s="19" t="s">
        <v>201</v>
      </c>
      <c r="B41" s="97" t="s">
        <v>202</v>
      </c>
      <c r="C41" s="51"/>
      <c r="D41" s="101" t="s">
        <v>203</v>
      </c>
      <c r="E41" s="51"/>
      <c r="F41" s="21" t="s">
        <v>170</v>
      </c>
      <c r="G41" s="6"/>
    </row>
  </sheetData>
  <mergeCells count="76">
    <mergeCell ref="B41:C41"/>
    <mergeCell ref="A7:C7"/>
    <mergeCell ref="E18:F18"/>
    <mergeCell ref="B35:C35"/>
    <mergeCell ref="E21:F21"/>
    <mergeCell ref="D38:E38"/>
    <mergeCell ref="B36:C36"/>
    <mergeCell ref="A2:G2"/>
    <mergeCell ref="E22:F22"/>
    <mergeCell ref="B32:C32"/>
    <mergeCell ref="C18:D18"/>
    <mergeCell ref="A1:G1"/>
    <mergeCell ref="C21:D21"/>
    <mergeCell ref="B34:C34"/>
    <mergeCell ref="B37:C37"/>
    <mergeCell ref="D37:E37"/>
    <mergeCell ref="A9:C9"/>
    <mergeCell ref="E12:G12"/>
    <mergeCell ref="A17:B17"/>
    <mergeCell ref="A23:B23"/>
    <mergeCell ref="E26:F26"/>
    <mergeCell ref="C17:D17"/>
    <mergeCell ref="C23:D23"/>
    <mergeCell ref="A22:B22"/>
    <mergeCell ref="A20:B20"/>
    <mergeCell ref="B30:C30"/>
    <mergeCell ref="A11:C11"/>
    <mergeCell ref="D41:E41"/>
    <mergeCell ref="A18:B18"/>
    <mergeCell ref="E7:G7"/>
    <mergeCell ref="A10:C10"/>
    <mergeCell ref="A26:B26"/>
    <mergeCell ref="A21:B21"/>
    <mergeCell ref="B38:C38"/>
    <mergeCell ref="B40:C40"/>
    <mergeCell ref="D39:E39"/>
    <mergeCell ref="D30:E30"/>
    <mergeCell ref="B33:C33"/>
    <mergeCell ref="A19:B19"/>
    <mergeCell ref="E25:F25"/>
    <mergeCell ref="D33:E33"/>
    <mergeCell ref="E8:G8"/>
    <mergeCell ref="C19:D19"/>
    <mergeCell ref="D40:E40"/>
    <mergeCell ref="A12:C12"/>
    <mergeCell ref="E17:F17"/>
    <mergeCell ref="C26:D26"/>
    <mergeCell ref="D31:E31"/>
    <mergeCell ref="D36:E36"/>
    <mergeCell ref="A28:G28"/>
    <mergeCell ref="B39:C39"/>
    <mergeCell ref="C20:D20"/>
    <mergeCell ref="E20:F20"/>
    <mergeCell ref="A25:B25"/>
    <mergeCell ref="D35:E35"/>
    <mergeCell ref="C25:D25"/>
    <mergeCell ref="E19:F19"/>
    <mergeCell ref="D32:E32"/>
    <mergeCell ref="A15:G15"/>
    <mergeCell ref="D34:E34"/>
    <mergeCell ref="A4:G4"/>
    <mergeCell ref="E23:F23"/>
    <mergeCell ref="E9:G9"/>
    <mergeCell ref="B31:C31"/>
    <mergeCell ref="E6:G6"/>
    <mergeCell ref="E11:G11"/>
    <mergeCell ref="A5:C5"/>
    <mergeCell ref="A8:C8"/>
    <mergeCell ref="C22:D22"/>
    <mergeCell ref="E5:G5"/>
    <mergeCell ref="A6:C6"/>
    <mergeCell ref="E10:G10"/>
    <mergeCell ref="A14:G14"/>
    <mergeCell ref="A24:B24"/>
    <mergeCell ref="C24:D24"/>
    <mergeCell ref="E24:F24"/>
  </mergeCells>
  <conditionalFormatting sqref="D5">
    <cfRule type="containsText" dxfId="1" priority="1" operator="containsText" text="OK">
      <formula>NOT(ISERROR(SEARCH("OK",D5)))</formula>
    </cfRule>
    <cfRule type="containsText" dxfId="0" priority="2" operator="containsText" text="HATA">
      <formula>NOT(ISERROR(SEARCH("HATA",D5)))</formula>
    </cfRule>
  </conditionalFormatting>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7"/>
  <sheetViews>
    <sheetView workbookViewId="0"/>
  </sheetViews>
  <sheetFormatPr defaultRowHeight="14.4" x14ac:dyDescent="0.55000000000000004"/>
  <cols>
    <col min="1" max="1" width="4" customWidth="1"/>
    <col min="2" max="2" width="10" customWidth="1"/>
    <col min="3" max="3" width="28" customWidth="1"/>
    <col min="4" max="4" width="22" customWidth="1"/>
    <col min="5" max="6" width="14" customWidth="1"/>
    <col min="7" max="7" width="20" customWidth="1"/>
  </cols>
  <sheetData>
    <row r="1" spans="1:7" ht="28" customHeight="1" x14ac:dyDescent="0.55000000000000004">
      <c r="A1" s="106" t="s">
        <v>204</v>
      </c>
      <c r="B1" s="55"/>
      <c r="C1" s="55"/>
      <c r="D1" s="55"/>
      <c r="E1" s="55"/>
      <c r="F1" s="55"/>
      <c r="G1" s="55"/>
    </row>
    <row r="2" spans="1:7" ht="20.05" customHeight="1" x14ac:dyDescent="0.55000000000000004">
      <c r="A2" s="84" t="s">
        <v>205</v>
      </c>
      <c r="B2" s="85"/>
      <c r="C2" s="85"/>
      <c r="D2" s="85"/>
      <c r="E2" s="85"/>
      <c r="F2" s="85"/>
      <c r="G2" s="85"/>
    </row>
    <row r="3" spans="1:7" ht="24" customHeight="1" x14ac:dyDescent="0.55000000000000004">
      <c r="A3" s="108" t="s">
        <v>206</v>
      </c>
      <c r="B3" s="71"/>
      <c r="C3" s="71"/>
      <c r="D3" s="71"/>
      <c r="E3" s="71"/>
      <c r="F3" s="71"/>
      <c r="G3" s="71"/>
    </row>
    <row r="4" spans="1:7" ht="5.05" customHeight="1" x14ac:dyDescent="0.55000000000000004">
      <c r="A4" s="3"/>
      <c r="B4" s="3"/>
      <c r="C4" s="3"/>
      <c r="D4" s="3"/>
      <c r="E4" s="3"/>
      <c r="F4" s="3"/>
      <c r="G4" s="3"/>
    </row>
    <row r="5" spans="1:7" ht="26.05" customHeight="1" x14ac:dyDescent="0.55000000000000004">
      <c r="A5" s="76" t="s">
        <v>207</v>
      </c>
      <c r="B5" s="55"/>
      <c r="C5" s="55"/>
      <c r="D5" s="55"/>
      <c r="E5" s="55"/>
      <c r="F5" s="55"/>
      <c r="G5" s="55"/>
    </row>
    <row r="6" spans="1:7" ht="18" customHeight="1" x14ac:dyDescent="0.55000000000000004">
      <c r="A6" s="4"/>
      <c r="B6" s="4" t="s">
        <v>208</v>
      </c>
      <c r="C6" s="4" t="s">
        <v>209</v>
      </c>
      <c r="D6" s="4" t="s">
        <v>210</v>
      </c>
      <c r="E6" s="4" t="s">
        <v>211</v>
      </c>
      <c r="F6" s="4" t="s">
        <v>212</v>
      </c>
      <c r="G6" s="4" t="s">
        <v>213</v>
      </c>
    </row>
    <row r="7" spans="1:7" ht="26.05" customHeight="1" x14ac:dyDescent="0.55000000000000004">
      <c r="A7" s="25" t="s">
        <v>211</v>
      </c>
      <c r="B7" s="25" t="s">
        <v>214</v>
      </c>
      <c r="C7" s="25" t="s">
        <v>215</v>
      </c>
      <c r="D7" s="25" t="s">
        <v>216</v>
      </c>
      <c r="E7" s="25" t="s">
        <v>217</v>
      </c>
      <c r="F7" s="25" t="s">
        <v>218</v>
      </c>
      <c r="G7" s="25" t="s">
        <v>219</v>
      </c>
    </row>
    <row r="8" spans="1:7" ht="26.05" customHeight="1" x14ac:dyDescent="0.55000000000000004">
      <c r="A8" s="26" t="s">
        <v>212</v>
      </c>
      <c r="B8" s="26" t="s">
        <v>214</v>
      </c>
      <c r="C8" s="26" t="s">
        <v>220</v>
      </c>
      <c r="D8" s="26" t="s">
        <v>221</v>
      </c>
      <c r="E8" s="26" t="s">
        <v>218</v>
      </c>
      <c r="F8" s="26" t="s">
        <v>217</v>
      </c>
      <c r="G8" s="26" t="s">
        <v>222</v>
      </c>
    </row>
    <row r="9" spans="1:7" ht="28" customHeight="1" x14ac:dyDescent="0.55000000000000004">
      <c r="A9" s="107" t="s">
        <v>223</v>
      </c>
      <c r="B9" s="58"/>
      <c r="C9" s="58"/>
      <c r="D9" s="58"/>
      <c r="E9" s="58"/>
      <c r="F9" s="58"/>
      <c r="G9" s="58"/>
    </row>
    <row r="10" spans="1:7" ht="5.05" customHeight="1" x14ac:dyDescent="0.55000000000000004">
      <c r="A10" s="3"/>
      <c r="B10" s="3"/>
      <c r="C10" s="3"/>
      <c r="D10" s="3"/>
      <c r="E10" s="3"/>
      <c r="F10" s="3"/>
      <c r="G10" s="3"/>
    </row>
    <row r="11" spans="1:7" ht="26.05" customHeight="1" x14ac:dyDescent="0.55000000000000004">
      <c r="A11" s="59" t="s">
        <v>224</v>
      </c>
      <c r="B11" s="60"/>
      <c r="C11" s="60"/>
      <c r="D11" s="60"/>
      <c r="E11" s="60"/>
      <c r="F11" s="60"/>
      <c r="G11" s="60"/>
    </row>
    <row r="12" spans="1:7" ht="18" customHeight="1" x14ac:dyDescent="0.55000000000000004">
      <c r="A12" s="4"/>
      <c r="B12" s="4" t="s">
        <v>208</v>
      </c>
      <c r="C12" s="4" t="s">
        <v>209</v>
      </c>
      <c r="D12" s="4" t="s">
        <v>210</v>
      </c>
      <c r="E12" s="4" t="s">
        <v>211</v>
      </c>
      <c r="F12" s="4" t="s">
        <v>212</v>
      </c>
      <c r="G12" s="4" t="s">
        <v>213</v>
      </c>
    </row>
    <row r="13" spans="1:7" ht="26.05" customHeight="1" x14ac:dyDescent="0.55000000000000004">
      <c r="A13" s="25" t="s">
        <v>211</v>
      </c>
      <c r="B13" s="25" t="s">
        <v>225</v>
      </c>
      <c r="C13" s="25" t="s">
        <v>226</v>
      </c>
      <c r="D13" s="25" t="s">
        <v>227</v>
      </c>
      <c r="E13" s="25" t="s">
        <v>228</v>
      </c>
      <c r="F13" s="25" t="s">
        <v>218</v>
      </c>
      <c r="G13" s="25" t="s">
        <v>229</v>
      </c>
    </row>
    <row r="14" spans="1:7" ht="26.05" customHeight="1" x14ac:dyDescent="0.55000000000000004">
      <c r="A14" s="26" t="s">
        <v>212</v>
      </c>
      <c r="B14" s="26" t="s">
        <v>225</v>
      </c>
      <c r="C14" s="26" t="s">
        <v>230</v>
      </c>
      <c r="D14" s="26" t="s">
        <v>231</v>
      </c>
      <c r="E14" s="26" t="s">
        <v>218</v>
      </c>
      <c r="F14" s="26" t="s">
        <v>232</v>
      </c>
      <c r="G14" s="26" t="s">
        <v>233</v>
      </c>
    </row>
    <row r="15" spans="1:7" ht="26.05" customHeight="1" x14ac:dyDescent="0.55000000000000004">
      <c r="A15" s="25" t="s">
        <v>212</v>
      </c>
      <c r="B15" s="25" t="s">
        <v>225</v>
      </c>
      <c r="C15" s="25" t="s">
        <v>234</v>
      </c>
      <c r="D15" s="25" t="s">
        <v>235</v>
      </c>
      <c r="E15" s="25" t="s">
        <v>218</v>
      </c>
      <c r="F15" s="25" t="s">
        <v>236</v>
      </c>
      <c r="G15" s="25" t="s">
        <v>237</v>
      </c>
    </row>
    <row r="16" spans="1:7" ht="26.05" customHeight="1" x14ac:dyDescent="0.55000000000000004">
      <c r="A16" s="26" t="s">
        <v>212</v>
      </c>
      <c r="B16" s="26" t="s">
        <v>225</v>
      </c>
      <c r="C16" s="26" t="s">
        <v>238</v>
      </c>
      <c r="D16" s="26" t="s">
        <v>239</v>
      </c>
      <c r="E16" s="26" t="s">
        <v>218</v>
      </c>
      <c r="F16" s="26" t="s">
        <v>240</v>
      </c>
      <c r="G16" s="26" t="s">
        <v>222</v>
      </c>
    </row>
    <row r="17" spans="1:7" ht="32.049999999999997" customHeight="1" x14ac:dyDescent="0.55000000000000004">
      <c r="A17" s="107" t="s">
        <v>241</v>
      </c>
      <c r="B17" s="58"/>
      <c r="C17" s="58"/>
      <c r="D17" s="58"/>
      <c r="E17" s="58"/>
      <c r="F17" s="58"/>
      <c r="G17" s="58"/>
    </row>
  </sheetData>
  <mergeCells count="7">
    <mergeCell ref="A1:G1"/>
    <mergeCell ref="A17:G17"/>
    <mergeCell ref="A9:G9"/>
    <mergeCell ref="A3:G3"/>
    <mergeCell ref="A2:G2"/>
    <mergeCell ref="A11:G11"/>
    <mergeCell ref="A5:G5"/>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8"/>
  <sheetViews>
    <sheetView workbookViewId="0">
      <selection sqref="A1:D1"/>
    </sheetView>
  </sheetViews>
  <sheetFormatPr defaultRowHeight="14.4" x14ac:dyDescent="0.55000000000000004"/>
  <cols>
    <col min="1" max="1" width="4" customWidth="1"/>
    <col min="2" max="2" width="22" customWidth="1"/>
    <col min="3" max="3" width="48" customWidth="1"/>
    <col min="4" max="4" width="22" customWidth="1"/>
  </cols>
  <sheetData>
    <row r="1" spans="1:4" ht="36" customHeight="1" x14ac:dyDescent="0.55000000000000004">
      <c r="A1" s="109" t="s">
        <v>242</v>
      </c>
      <c r="B1" s="110"/>
      <c r="C1" s="110"/>
      <c r="D1" s="110"/>
    </row>
    <row r="2" spans="1:4" ht="20.05" customHeight="1" x14ac:dyDescent="0.55000000000000004">
      <c r="A2" s="113" t="s">
        <v>243</v>
      </c>
      <c r="B2" s="85"/>
      <c r="C2" s="85"/>
      <c r="D2" s="85"/>
    </row>
    <row r="3" spans="1:4" ht="5.05" customHeight="1" x14ac:dyDescent="0.55000000000000004">
      <c r="A3" s="3"/>
      <c r="B3" s="3"/>
      <c r="C3" s="3"/>
      <c r="D3" s="3"/>
    </row>
    <row r="4" spans="1:4" ht="18" customHeight="1" x14ac:dyDescent="0.55000000000000004">
      <c r="A4" s="4" t="s">
        <v>244</v>
      </c>
      <c r="B4" s="4" t="s">
        <v>245</v>
      </c>
      <c r="C4" s="4" t="s">
        <v>246</v>
      </c>
      <c r="D4" s="4" t="s">
        <v>247</v>
      </c>
    </row>
    <row r="5" spans="1:4" ht="72" customHeight="1" x14ac:dyDescent="0.55000000000000004">
      <c r="A5" s="19" t="s">
        <v>248</v>
      </c>
      <c r="B5" s="23" t="s">
        <v>249</v>
      </c>
      <c r="C5" s="27" t="s">
        <v>250</v>
      </c>
      <c r="D5" s="28" t="s">
        <v>251</v>
      </c>
    </row>
    <row r="6" spans="1:4" ht="72" customHeight="1" x14ac:dyDescent="0.55000000000000004">
      <c r="A6" s="19" t="s">
        <v>252</v>
      </c>
      <c r="B6" s="22" t="s">
        <v>253</v>
      </c>
      <c r="C6" s="20" t="s">
        <v>254</v>
      </c>
      <c r="D6" s="29" t="s">
        <v>255</v>
      </c>
    </row>
    <row r="7" spans="1:4" ht="5.05" customHeight="1" x14ac:dyDescent="0.55000000000000004">
      <c r="A7" s="3"/>
      <c r="B7" s="3"/>
      <c r="C7" s="3"/>
      <c r="D7" s="3"/>
    </row>
    <row r="8" spans="1:4" ht="36" customHeight="1" x14ac:dyDescent="0.55000000000000004">
      <c r="A8" s="111" t="s">
        <v>256</v>
      </c>
      <c r="B8" s="112"/>
      <c r="C8" s="112"/>
      <c r="D8" s="112"/>
    </row>
  </sheetData>
  <mergeCells count="3">
    <mergeCell ref="A1:D1"/>
    <mergeCell ref="A8:D8"/>
    <mergeCell ref="A2:D2"/>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30"/>
  <sheetViews>
    <sheetView topLeftCell="A4" workbookViewId="0">
      <selection sqref="A1:F1"/>
    </sheetView>
  </sheetViews>
  <sheetFormatPr defaultRowHeight="14.4" x14ac:dyDescent="0.55000000000000004"/>
  <cols>
    <col min="1" max="1" width="3" customWidth="1"/>
    <col min="2" max="2" width="8" customWidth="1"/>
    <col min="3" max="3" width="38" customWidth="1"/>
    <col min="4" max="4" width="34" customWidth="1"/>
    <col min="5" max="5" width="22" customWidth="1"/>
    <col min="6" max="6" width="3" customWidth="1"/>
  </cols>
  <sheetData>
    <row r="1" spans="1:6" ht="38.049999999999997" customHeight="1" x14ac:dyDescent="0.55000000000000004">
      <c r="A1" s="118" t="s">
        <v>257</v>
      </c>
      <c r="B1" s="110"/>
      <c r="C1" s="110"/>
      <c r="D1" s="110"/>
      <c r="E1" s="110"/>
      <c r="F1" s="110"/>
    </row>
    <row r="2" spans="1:6" ht="20.05" customHeight="1" x14ac:dyDescent="0.55000000000000004">
      <c r="A2" s="113" t="s">
        <v>258</v>
      </c>
      <c r="B2" s="85"/>
      <c r="C2" s="85"/>
      <c r="D2" s="85"/>
      <c r="E2" s="85"/>
      <c r="F2" s="85"/>
    </row>
    <row r="3" spans="1:6" ht="5.05" customHeight="1" x14ac:dyDescent="0.55000000000000004">
      <c r="A3" s="3"/>
      <c r="B3" s="3"/>
      <c r="C3" s="3"/>
      <c r="D3" s="3"/>
      <c r="E3" s="3"/>
      <c r="F3" s="3"/>
    </row>
    <row r="4" spans="1:6" ht="26.05" customHeight="1" x14ac:dyDescent="0.55000000000000004">
      <c r="A4" s="59" t="s">
        <v>259</v>
      </c>
      <c r="B4" s="60"/>
      <c r="C4" s="60"/>
      <c r="D4" s="60"/>
      <c r="E4" s="60"/>
      <c r="F4" s="60"/>
    </row>
    <row r="5" spans="1:6" ht="22" customHeight="1" x14ac:dyDescent="0.55000000000000004">
      <c r="A5" s="79" t="s">
        <v>260</v>
      </c>
      <c r="B5" s="71"/>
      <c r="C5" s="71"/>
      <c r="D5" s="71"/>
      <c r="E5" s="71"/>
      <c r="F5" s="71"/>
    </row>
    <row r="6" spans="1:6" ht="18" customHeight="1" x14ac:dyDescent="0.55000000000000004">
      <c r="A6" s="4"/>
      <c r="B6" s="4" t="s">
        <v>261</v>
      </c>
      <c r="C6" s="4" t="s">
        <v>47</v>
      </c>
      <c r="D6" s="4" t="s">
        <v>262</v>
      </c>
      <c r="E6" s="4" t="s">
        <v>263</v>
      </c>
      <c r="F6" s="4"/>
    </row>
    <row r="7" spans="1:6" ht="48" customHeight="1" x14ac:dyDescent="0.55000000000000004">
      <c r="A7" s="7"/>
      <c r="B7" s="30" t="s">
        <v>264</v>
      </c>
      <c r="C7" s="31" t="s">
        <v>265</v>
      </c>
      <c r="D7" s="32" t="s">
        <v>266</v>
      </c>
      <c r="E7" s="33" t="s">
        <v>267</v>
      </c>
      <c r="F7" s="7"/>
    </row>
    <row r="8" spans="1:6" ht="44.05" customHeight="1" x14ac:dyDescent="0.55000000000000004">
      <c r="A8" s="7"/>
      <c r="B8" s="30" t="s">
        <v>268</v>
      </c>
      <c r="C8" s="31" t="s">
        <v>269</v>
      </c>
      <c r="D8" s="32" t="s">
        <v>270</v>
      </c>
      <c r="E8" s="33" t="s">
        <v>271</v>
      </c>
      <c r="F8" s="7"/>
    </row>
    <row r="9" spans="1:6" ht="40" customHeight="1" x14ac:dyDescent="0.55000000000000004">
      <c r="A9" s="7"/>
      <c r="B9" s="30" t="s">
        <v>272</v>
      </c>
      <c r="C9" s="31" t="s">
        <v>273</v>
      </c>
      <c r="D9" s="32" t="s">
        <v>274</v>
      </c>
      <c r="E9" s="33" t="s">
        <v>275</v>
      </c>
      <c r="F9" s="7"/>
    </row>
    <row r="10" spans="1:6" ht="44.05" customHeight="1" x14ac:dyDescent="0.55000000000000004">
      <c r="A10" s="7"/>
      <c r="B10" s="30" t="s">
        <v>276</v>
      </c>
      <c r="C10" s="31" t="s">
        <v>277</v>
      </c>
      <c r="D10" s="32" t="s">
        <v>278</v>
      </c>
      <c r="E10" s="33" t="s">
        <v>279</v>
      </c>
      <c r="F10" s="7"/>
    </row>
    <row r="11" spans="1:6" ht="36" customHeight="1" x14ac:dyDescent="0.55000000000000004">
      <c r="A11" s="7"/>
      <c r="B11" s="30" t="s">
        <v>280</v>
      </c>
      <c r="C11" s="31" t="s">
        <v>281</v>
      </c>
      <c r="D11" s="32" t="s">
        <v>282</v>
      </c>
      <c r="E11" s="33" t="s">
        <v>283</v>
      </c>
      <c r="F11" s="7"/>
    </row>
    <row r="12" spans="1:6" ht="5.05" customHeight="1" x14ac:dyDescent="0.55000000000000004">
      <c r="A12" s="3"/>
      <c r="B12" s="3"/>
      <c r="C12" s="3"/>
      <c r="D12" s="3"/>
      <c r="E12" s="3"/>
      <c r="F12" s="3"/>
    </row>
    <row r="13" spans="1:6" ht="26.05" customHeight="1" x14ac:dyDescent="0.55000000000000004">
      <c r="A13" s="114" t="s">
        <v>284</v>
      </c>
      <c r="B13" s="115"/>
      <c r="C13" s="115"/>
      <c r="D13" s="115"/>
      <c r="E13" s="115"/>
      <c r="F13" s="115"/>
    </row>
    <row r="14" spans="1:6" ht="18" customHeight="1" x14ac:dyDescent="0.55000000000000004">
      <c r="A14" s="4"/>
      <c r="B14" s="4" t="s">
        <v>261</v>
      </c>
      <c r="C14" s="4" t="s">
        <v>47</v>
      </c>
      <c r="D14" s="4" t="s">
        <v>262</v>
      </c>
      <c r="E14" s="4" t="s">
        <v>263</v>
      </c>
      <c r="F14" s="4"/>
    </row>
    <row r="15" spans="1:6" ht="44.05" customHeight="1" x14ac:dyDescent="0.55000000000000004">
      <c r="A15" s="34"/>
      <c r="B15" s="35" t="s">
        <v>285</v>
      </c>
      <c r="C15" s="36" t="s">
        <v>286</v>
      </c>
      <c r="D15" s="37" t="s">
        <v>287</v>
      </c>
      <c r="E15" s="38" t="s">
        <v>288</v>
      </c>
      <c r="F15" s="34"/>
    </row>
    <row r="16" spans="1:6" ht="36" customHeight="1" x14ac:dyDescent="0.55000000000000004">
      <c r="A16" s="34"/>
      <c r="B16" s="35" t="s">
        <v>289</v>
      </c>
      <c r="C16" s="36" t="s">
        <v>290</v>
      </c>
      <c r="D16" s="37" t="s">
        <v>291</v>
      </c>
      <c r="E16" s="38" t="s">
        <v>292</v>
      </c>
      <c r="F16" s="34"/>
    </row>
    <row r="17" spans="1:6" ht="36" customHeight="1" x14ac:dyDescent="0.55000000000000004">
      <c r="A17" s="34"/>
      <c r="B17" s="35" t="s">
        <v>293</v>
      </c>
      <c r="C17" s="36" t="s">
        <v>294</v>
      </c>
      <c r="D17" s="37" t="s">
        <v>295</v>
      </c>
      <c r="E17" s="38" t="s">
        <v>296</v>
      </c>
      <c r="F17" s="34"/>
    </row>
    <row r="18" spans="1:6" ht="5.05" customHeight="1" x14ac:dyDescent="0.55000000000000004">
      <c r="A18" s="3"/>
      <c r="B18" s="3"/>
      <c r="C18" s="3"/>
      <c r="D18" s="3"/>
      <c r="E18" s="3"/>
      <c r="F18" s="3"/>
    </row>
    <row r="19" spans="1:6" ht="26.05" customHeight="1" x14ac:dyDescent="0.55000000000000004">
      <c r="A19" s="116" t="s">
        <v>297</v>
      </c>
      <c r="B19" s="117"/>
      <c r="C19" s="117"/>
      <c r="D19" s="117"/>
      <c r="E19" s="117"/>
      <c r="F19" s="117"/>
    </row>
    <row r="20" spans="1:6" ht="18" customHeight="1" x14ac:dyDescent="0.55000000000000004">
      <c r="A20" s="39"/>
      <c r="B20" s="39" t="s">
        <v>261</v>
      </c>
      <c r="C20" s="39" t="s">
        <v>5</v>
      </c>
      <c r="D20" s="39" t="s">
        <v>298</v>
      </c>
      <c r="E20" s="39" t="s">
        <v>299</v>
      </c>
      <c r="F20" s="39"/>
    </row>
    <row r="21" spans="1:6" ht="44.05" customHeight="1" x14ac:dyDescent="0.55000000000000004">
      <c r="A21" s="40"/>
      <c r="B21" s="41" t="s">
        <v>300</v>
      </c>
      <c r="C21" s="42" t="s">
        <v>301</v>
      </c>
      <c r="D21" s="43" t="s">
        <v>302</v>
      </c>
      <c r="E21" s="44" t="s">
        <v>303</v>
      </c>
      <c r="F21" s="40"/>
    </row>
    <row r="22" spans="1:6" ht="44.05" customHeight="1" x14ac:dyDescent="0.55000000000000004">
      <c r="A22" s="40"/>
      <c r="B22" s="41" t="s">
        <v>304</v>
      </c>
      <c r="C22" s="42" t="s">
        <v>172</v>
      </c>
      <c r="D22" s="43" t="s">
        <v>305</v>
      </c>
      <c r="E22" s="44" t="s">
        <v>303</v>
      </c>
      <c r="F22" s="40"/>
    </row>
    <row r="23" spans="1:6" ht="44.05" customHeight="1" x14ac:dyDescent="0.55000000000000004">
      <c r="A23" s="40"/>
      <c r="B23" s="41" t="s">
        <v>306</v>
      </c>
      <c r="C23" s="42" t="s">
        <v>307</v>
      </c>
      <c r="D23" s="43" t="s">
        <v>308</v>
      </c>
      <c r="E23" s="44" t="s">
        <v>303</v>
      </c>
      <c r="F23" s="40"/>
    </row>
    <row r="24" spans="1:6" ht="44.05" customHeight="1" x14ac:dyDescent="0.55000000000000004">
      <c r="A24" s="40"/>
      <c r="B24" s="41" t="s">
        <v>309</v>
      </c>
      <c r="C24" s="42" t="s">
        <v>181</v>
      </c>
      <c r="D24" s="43" t="s">
        <v>310</v>
      </c>
      <c r="E24" s="44" t="s">
        <v>303</v>
      </c>
      <c r="F24" s="40"/>
    </row>
    <row r="25" spans="1:6" ht="44.05" customHeight="1" x14ac:dyDescent="0.55000000000000004">
      <c r="A25" s="2"/>
      <c r="B25" s="45" t="s">
        <v>311</v>
      </c>
      <c r="C25" s="46" t="s">
        <v>184</v>
      </c>
      <c r="D25" s="24" t="s">
        <v>312</v>
      </c>
      <c r="E25" s="47" t="s">
        <v>303</v>
      </c>
      <c r="F25" s="2"/>
    </row>
    <row r="26" spans="1:6" ht="44.05" customHeight="1" x14ac:dyDescent="0.55000000000000004">
      <c r="A26" s="2"/>
      <c r="B26" s="45" t="s">
        <v>313</v>
      </c>
      <c r="C26" s="46" t="s">
        <v>193</v>
      </c>
      <c r="D26" s="24" t="s">
        <v>314</v>
      </c>
      <c r="E26" s="47" t="s">
        <v>303</v>
      </c>
      <c r="F26" s="2"/>
    </row>
    <row r="27" spans="1:6" ht="44.05" customHeight="1" x14ac:dyDescent="0.55000000000000004">
      <c r="A27" s="2"/>
      <c r="B27" s="45" t="s">
        <v>315</v>
      </c>
      <c r="C27" s="46" t="s">
        <v>316</v>
      </c>
      <c r="D27" s="24" t="s">
        <v>197</v>
      </c>
      <c r="E27" s="47" t="s">
        <v>303</v>
      </c>
      <c r="F27" s="2"/>
    </row>
    <row r="28" spans="1:6" ht="44.05" customHeight="1" x14ac:dyDescent="0.55000000000000004">
      <c r="A28" s="2"/>
      <c r="B28" s="45" t="s">
        <v>317</v>
      </c>
      <c r="C28" s="46" t="s">
        <v>318</v>
      </c>
      <c r="D28" s="24" t="s">
        <v>319</v>
      </c>
      <c r="E28" s="47" t="s">
        <v>303</v>
      </c>
      <c r="F28" s="2"/>
    </row>
    <row r="29" spans="1:6" ht="5.05" customHeight="1" x14ac:dyDescent="0.55000000000000004">
      <c r="A29" s="3"/>
      <c r="B29" s="3"/>
      <c r="C29" s="3"/>
      <c r="D29" s="3"/>
      <c r="E29" s="3"/>
      <c r="F29" s="3"/>
    </row>
    <row r="30" spans="1:6" ht="48" customHeight="1" x14ac:dyDescent="0.55000000000000004">
      <c r="A30" s="111" t="s">
        <v>320</v>
      </c>
      <c r="B30" s="112"/>
      <c r="C30" s="112"/>
      <c r="D30" s="112"/>
      <c r="E30" s="112"/>
      <c r="F30" s="112"/>
    </row>
  </sheetData>
  <mergeCells count="7">
    <mergeCell ref="A30:F30"/>
    <mergeCell ref="A2:F2"/>
    <mergeCell ref="A13:F13"/>
    <mergeCell ref="A19:F19"/>
    <mergeCell ref="A1:F1"/>
    <mergeCell ref="A5:F5"/>
    <mergeCell ref="A4:F4"/>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5</vt:i4>
      </vt:variant>
    </vt:vector>
  </HeadingPairs>
  <TitlesOfParts>
    <vt:vector size="5" baseType="lpstr">
      <vt:lpstr>VERİ GİRİŞİ</vt:lpstr>
      <vt:lpstr>HESAPLAMALAR &amp; KONTROL</vt:lpstr>
      <vt:lpstr>MUHASEBE KAYITLARI</vt:lpstr>
      <vt:lpstr>DENETCİ NOTLARI</vt:lpstr>
      <vt:lpstr>BELGE LISTESI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Aydın DEDE</cp:lastModifiedBy>
  <dcterms:created xsi:type="dcterms:W3CDTF">2026-04-04T19:20:15Z</dcterms:created>
  <dcterms:modified xsi:type="dcterms:W3CDTF">2026-04-04T19:28:00Z</dcterms:modified>
</cp:coreProperties>
</file>