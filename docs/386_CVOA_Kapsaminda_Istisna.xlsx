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6F80C8EA-00C7-4324-96FB-FB4C23B0E1A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68" i="1"/>
  <c r="C53" i="1"/>
  <c r="D8" i="2"/>
  <c r="D7" i="2"/>
  <c r="D6" i="2"/>
  <c r="D5" i="2"/>
  <c r="C52" i="1"/>
  <c r="E47" i="1"/>
  <c r="G46" i="1"/>
  <c r="G45" i="1"/>
  <c r="G44" i="1"/>
  <c r="G43" i="1"/>
  <c r="G42" i="1"/>
  <c r="G41" i="1"/>
  <c r="G40" i="1"/>
  <c r="G47" i="1" s="1"/>
  <c r="G39" i="1"/>
  <c r="E16" i="1"/>
  <c r="C54" i="1" l="1"/>
</calcChain>
</file>

<file path=xl/sharedStrings.xml><?xml version="1.0" encoding="utf-8"?>
<sst xmlns="http://schemas.openxmlformats.org/spreadsheetml/2006/main" count="373" uniqueCount="301">
  <si>
    <t>386 – ÇİFTE VERGİLENDİRMEYİ ÖNLEME ANLAŞMASI (ÇVÖA) KAPSAMINDA İSTİSNA | Yurt Dışı Daimi İşyeri / ÇVÖA Kaynaklı Gelir İstisnası | YMM TASDİK ÇALIŞMA KÂĞIDI</t>
  </si>
  <si>
    <t>KVK Md.5/3 + İlgili ÇVÖA | Türkiye — [Anlaşma Ülkesi] Çifte Vergilendirmeyi Önleme Anlaşması | Beyanname 386 | GİB KV Beyan Rehberi Mart 2026 (No:606)</t>
  </si>
  <si>
    <t xml:space="preserve">  386 ÇVÖA İSTİSNASI KAPSAMI:
  Türkiye'nin taraf olduğu ÇVÖ Anlaşmaları kapsamında, anlaşma hükümleri gereğince Türkiye'de kurumlar vergisinden istisna edilen kazanç ve iratlar.
  BAŞLICA UYGULAMA ALANLARI:
  ① Yurt dışı daimi işyeri (şube/PE) kazançları: ÇVÖA'nın işyeri maddesi uyarınca yalnızca kaynak ülkede vergilendirilen PE kazancı → Türkiye'de istisna.
  ② Anlaşma kapsamında diğer gelirler: Temettü, faiz, gayrimaddi hak bedeli, sermaye kazancı vb. ÇVÖA hükümleri gereğince Türkiye'de vergiden istisna edilen tutarlar.
  ★ KVK Md.5/1-h (yurt dışı iştirak kazancı), KVK Md.5/1-g (yurt dışı şube) ile ilişki analizi yapılmalı.</t>
  </si>
  <si>
    <t xml:space="preserve">  ★ YİAKV (KVK Md.32/C) NOT: ÇVÖA kapsamı istisnalar, anlaşmanın niteliğine ve gelir türüne bağlı olarak YİAKV matrahını etkileyebilir veya etkilemeyebilir. YMM'nin ayrıca analiz etmesi zorunludur.</t>
  </si>
  <si>
    <t>A0. KAPSAM VE NİTELİK UYGUNLUK ÖN KONTROLÜ</t>
  </si>
  <si>
    <t>Kontrol Sorusu</t>
  </si>
  <si>
    <t>Yanıt</t>
  </si>
  <si>
    <t>YMM Tasdik Notu</t>
  </si>
  <si>
    <t>A0.1  Türkiye ile anlaşma ülkesi arasında yürürlükte bir ÇVÖA mevcut mu?</t>
  </si>
  <si>
    <t>EVET</t>
  </si>
  <si>
    <t>Resmi Gazete'de yayımlanan ve yürürlükteki anlaşma metni esas alınmalı. Anlaşma imzalandı ancak yürürlüğe girmedi → İstisna uygulanamaz.</t>
  </si>
  <si>
    <t>A0.2  ★ İstisna uygulanacak gelir türü ÇVÖA'nın hangi maddesi kapsamında?</t>
  </si>
  <si>
    <t>Daimi İşyeri (PE) Kazancı</t>
  </si>
  <si>
    <t>ÇVÖA madde referansı çalışma kâğıdına açıkça yazılmalı.</t>
  </si>
  <si>
    <t>A0.3  İlgili ÇVÖA maddesi Türkiye'ye vergilendirme yetkisi tanımıyor mu?</t>
  </si>
  <si>
    <t>Türkiye yalnızca muafiyet (exemption) yöntemi uyguluyorsa → 386. Mahsup (credit) yöntemi → 386 DEĞİL. Anlaşma metni incelenmeli.</t>
  </si>
  <si>
    <t>A0.4  ★ Bu gelir KVK Md.5/1-g (yurt dışı şube) veya Md.5/1-h (yurt dışı iştirak) kapsamına giriyor mu?</t>
  </si>
  <si>
    <t>HAYIR-Yalnızca ÇVÖA</t>
  </si>
  <si>
    <t>KVK Md.5/1-g ile ÇVÖA'nın birlikte uygulanması veya çakışması analiz edilmeli. Aynı tutar için mükerrer istisna uygulanamaz.</t>
  </si>
  <si>
    <t>A0.5  Yurt dışı daimi işyeri kazancı ise KVK Md.22 koşulları sağlandı mı?</t>
  </si>
  <si>
    <t>KVK Md.22: PE kazancının beyana eklenmesi ve belgelenmesi şartları.</t>
  </si>
  <si>
    <t>A0.6  ★ YİAKV (KVK Md.32/C) etkisi analiz edildi mi?</t>
  </si>
  <si>
    <t>ÇVÖA istisnaları türe ve anlaşmaya göre YİAKV'yi farklı etkiler. YMM'nin her gelir kalemi için ayrı analiz yapması zorunludur.</t>
  </si>
  <si>
    <t>A0.7  Yurt dışında ödenen vergi (mahsup) hesaplandı mı?</t>
  </si>
  <si>
    <t>Muafiyet yönteminde mahsup gündeme gelmez. Mahsup yönteminde ise 386 değil ayrı satır uygulanır.</t>
  </si>
  <si>
    <t>A0.8  YMM Tasdik Raporu gereksinimi değerlendirildi mi?</t>
  </si>
  <si>
    <t>&gt;=500.000 TL → YMM raporu (49 No.lu Tebliğ).</t>
  </si>
  <si>
    <t>A0.9  Tasdik Uygunluk Sonucu</t>
  </si>
  <si>
    <t>★ A0.2 (ÇVÖA maddesi), A0.4 (KVK çakışma), A0.6 (YİAKV analizi)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</si>
  <si>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</si>
  <si>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</si>
  <si>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</si>
  <si>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</si>
  <si>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</si>
  <si>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</si>
  <si>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</si>
  <si>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</si>
  <si>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</si>
  <si>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</si>
  <si>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YMM-2025/386-01</t>
  </si>
  <si>
    <t>Anlaşma Ülkesi</t>
  </si>
  <si>
    <t>Resmî Gazete No ve Tarih ile birlikte</t>
  </si>
  <si>
    <t>B. ÇVÖA ANLAŞMA BİLGİLERİ VE UYGULANACAK MADDE</t>
  </si>
  <si>
    <t>Parametre</t>
  </si>
  <si>
    <t>Değer</t>
  </si>
  <si>
    <t>Açıklama</t>
  </si>
  <si>
    <t>Kaynak</t>
  </si>
  <si>
    <t>B.1  Anlaşma Ülkesi</t>
  </si>
  <si>
    <t>Almanya</t>
  </si>
  <si>
    <t>ÇVÖA'nın diğer tarafı olan ülke.</t>
  </si>
  <si>
    <t>Resmî Gazete / GİB</t>
  </si>
  <si>
    <t>B.2  Anlaşmanın Resmî Gazete Tarihi ve Numarası</t>
  </si>
  <si>
    <t>Yürürlük tarihini ve Resmî Gazete bilgisini yazın.</t>
  </si>
  <si>
    <t>Resmî Gazete</t>
  </si>
  <si>
    <t>B.3  Uygulanan ÇVÖA Maddesi (Numarası ve Başlığı)</t>
  </si>
  <si>
    <t>Örn: 'Madde 7 — Ticari Kazançlar' veya 'Madde 23 — Çifte Vergilendirmenin Önlenmesi'</t>
  </si>
  <si>
    <t>ÇVÖA metni</t>
  </si>
  <si>
    <t>B.4  Gelir Türü</t>
  </si>
  <si>
    <t>Yurt Dışı Daimi İşyeri (Şube) Kazancı</t>
  </si>
  <si>
    <t>İstisnanın uygulandığı gelir türü. Her tür için ayrı analiz.</t>
  </si>
  <si>
    <t>ÇVÖA / KVK</t>
  </si>
  <si>
    <t>B.5  Vergilendirme Yöntemi (Anlaşma Gereği)</t>
  </si>
  <si>
    <t>Muafiyet Yöntemi</t>
  </si>
  <si>
    <t>Muafiyet yöntemi → 386. Mahsup yöntemi → Ayrı satır (mahsup). Dikkat: İkisi farklı.</t>
  </si>
  <si>
    <t>ÇVÖA Md.23 vb.</t>
  </si>
  <si>
    <t>B.6  Yurt Dışı Ülkedeki Daimi İşyeri / Faaliyet Varlığı Teyidi</t>
  </si>
  <si>
    <t>PE varlığı sözleşme + kayıt belgesiyle kanıtlanmalı.</t>
  </si>
  <si>
    <t>Yurt dışı kayıt belgesi</t>
  </si>
  <si>
    <t>B.7  ★ KVK Md.5/1-g veya Md.5/1-h Kapsamında Ayrı İstisna Uygulandı mı?</t>
  </si>
  <si>
    <t>HAYIR</t>
  </si>
  <si>
    <t>Mükerrer istisna önleme: Aynı tutar hem ÇVÖA 386 hem KVK 5/1-g/h kapsamında yazılamaz.</t>
  </si>
  <si>
    <t>KVK Md.5</t>
  </si>
  <si>
    <t>C. ÇVÖA KAPSAMINDA İSTİSNA GELİR/KAZANÇ TABLOSU (BEYANNAME 386)</t>
  </si>
  <si>
    <t xml:space="preserve">  Her ÇVÖA ülkesi ve gelir türü için AYRI SATIR. SÜTUN 5 (mor çerçeve): ANA VERİ — istisna tutarı. SÜTUN 6 (İstisna Oranı): Normalde 100 (tam muafiyet). Kısmi muafiyet varsa orantılı girin. SÜTUN 7: Net 386 İstisna (Formül).</t>
  </si>
  <si>
    <t>Gelir Türü</t>
  </si>
  <si>
    <t>ÇVÖA Maddesi</t>
  </si>
  <si>
    <t>Hesap Dönemi Brüt Gelir (TL)</t>
  </si>
  <si>
    <t>Brüt İstisna Tutarı (TL)</t>
  </si>
  <si>
    <t>İstisna Oranı (%)</t>
  </si>
  <si>
    <t>Net 386 İstisna (TL)</t>
  </si>
  <si>
    <t>TOPLAM</t>
  </si>
  <si>
    <t>ÇVÖA Kapsamı Toplam İstisna → Beyanname 386</t>
  </si>
  <si>
    <t>—</t>
  </si>
  <si>
    <t xml:space="preserve">  SÜTUN 4: Hesap dönemi brüt gelir (çapraz kontrol için). SÜTUN 5 (mor çerçeve): İstisna tutarı — genellikle PE geliri veya ÇVÖA kapsamı gelir. SÜTUN 6: Normalde 100 (tam muafiyet). Anlaşmada kısmi muafiyet varsa oranı girin. Her ülke/gelir türü için AYRI SATIR.</t>
  </si>
  <si>
    <t>D. ÇVÖA İSTİSNA ÖZET VE YİAKV ANALİZİ — BEYANNAME 386</t>
  </si>
  <si>
    <t>Hesap Kalemi</t>
  </si>
  <si>
    <t>Tutar (TL)</t>
  </si>
  <si>
    <t>YMM Notu</t>
  </si>
  <si>
    <t>D.1  Toplam ÇVÖA Brüt İstisna</t>
  </si>
  <si>
    <t>C Sütun 5 toplamı</t>
  </si>
  <si>
    <t>D.2  Kısmi Muafiyet Düzeltmeleri</t>
  </si>
  <si>
    <t>Kısmi muafiyet durumunda ayrıştırılan kısım</t>
  </si>
  <si>
    <t>D.3  ★ NET 386 İSTİSNA TUTARI → BEYANNAME 386</t>
  </si>
  <si>
    <t>→ Beyanname 386</t>
  </si>
  <si>
    <t>KVK Md.5/3 + ÇVÖA</t>
  </si>
  <si>
    <t>D.4  YİAKV Etkisi — Analize Göre</t>
  </si>
  <si>
    <t>YMM tarafından ayrıca belirlenmeli</t>
  </si>
  <si>
    <t>★ YİAKV ayrı analiz</t>
  </si>
  <si>
    <t>D.5  Yurt Dışında Ödenen Vergi (Mahsup İçin — Uygulanıyorsa)</t>
  </si>
  <si>
    <t>Muafiyet yönteminde uygulanmaz</t>
  </si>
  <si>
    <t>KVK Md.33</t>
  </si>
  <si>
    <t>E. YİAKV (KVK Md.32/C) ETKİSİ ANALİZİ — ÇVÖA İSTİSNALARI ÖZEL DURUM</t>
  </si>
  <si>
    <t xml:space="preserve">  ÇVÖA kapsamında istisnalar, YİAKV matrahını her zaman otomatik olarak azaltmaz. Her gelir türü ve anlaşma hükmü için ayrı analiz zorunludur. Aşağıdaki tabloyu doldurun.</t>
  </si>
  <si>
    <t>Ülke</t>
  </si>
  <si>
    <t>YİAKV Etkisi</t>
  </si>
  <si>
    <t>Gerekçe</t>
  </si>
  <si>
    <t>YMM Onay</t>
  </si>
  <si>
    <t>Analiz Sürecinde</t>
  </si>
  <si>
    <t>Onay Bekleniyor</t>
  </si>
  <si>
    <t xml:space="preserve">  YİAKV ÖZEL DURUM — ÇVÖA: KVK Md.32/C'nin ÇVÖA istisnaları ile etkileşimi anlaşmaya özgüdür. GİB özelgesi ve OECD yorumları referans alınmalıdır. Muafiyet yöntemi uygulanan ülkelerdeki PE geliri YİAKV matrahında nasıl ele alınacağı açıklama gerektirmektedir.</t>
  </si>
  <si>
    <t>F.1  TOPLAM ÇVÖA İSTİSNASI → Beyanname Satır 386</t>
  </si>
  <si>
    <t>D.3 — KVK Md.5/3 + İlgili ÇVÖA | GİB Beyan Reh. 2026 No:606</t>
  </si>
  <si>
    <t>386 – ÇVÖA KAPSAMINDA İSTİSNA | HESAPLAMALAR, DENETİM VE YİAKV ANALİZİ</t>
  </si>
  <si>
    <t>Çifte Vergilendirmeyi Önleme Anlaşması | KVK Md.5/3 | Beyanname 386 | GİB KV Beyan Reh. No:606</t>
  </si>
  <si>
    <t>A. TASDİK ÖZETİ</t>
  </si>
  <si>
    <t>A0 Uygunluğu</t>
  </si>
  <si>
    <t>OK ise devam</t>
  </si>
  <si>
    <t>ÇVÖA taraf ülke</t>
  </si>
  <si>
    <t>Gelir Türü (B.4)</t>
  </si>
  <si>
    <t>PE/Temettü/Faiz/Royalty vb.</t>
  </si>
  <si>
    <t>Vergilendirme Yöntemi (B.5)</t>
  </si>
  <si>
    <t>Muafiyet = 386 | Mahsup = farklı satır</t>
  </si>
  <si>
    <t>386 NET İSTİSNA (D.3)</t>
  </si>
  <si>
    <t>YİAKV Etkisi (E Tablosu)</t>
  </si>
  <si>
    <t>YMM tarafından doldurulacak</t>
  </si>
  <si>
    <t>★ Analiz zorunlu — otomatik değil</t>
  </si>
  <si>
    <t>B. MUAFİYET YÖNTEMİ vs MAHSUP YÖNTEMİ — ÇVÖA UYGULAMA AYRIMI (KRİTİK)</t>
  </si>
  <si>
    <t xml:space="preserve">  BEYANNAME 386 YALNIZCA MUAFİYET (EXEMPTION) YÖNTEMİ İÇİNDİR:
  MUAFİYET YÖNTEMİ (Exemption Method) → BEYANNAME 386:
  • Türkiye, ÇVÖA uyarınca belirli geliri tamamen vergiden istisna eder.
  • Kazanç Türkiye'de beyan edilmez veya beyan edilip istisna uygulanır.
  • Örnek: Almanya'da PE var → PE kazancı yalnızca Almanya'da vergilenir → Türkiye muaf → 386.
  • Muafiyet + İlerleme çekincesi (progression clause) olan anlaşmalarda dikkat: Gelir oranı belirlemede kullanılabilir ama vergilendirilmez.
  MAHSUP YÖNTEMİ (Tax Credit Method) → BEYANNAME 386 DEĞİL (KVK Md.33):
  • Yurt dışı gelir Türkiye'de beyan edilir, yurt dışında ödenen vergi mahsup edilir.
  • 386 istisna satırına yazılmaz; Md.33 mahsup satırına yazılır.
  • Yanlış uygulama: Mahsup yöntemi varken 386'ya yazmak → Tarhiyat riski.</t>
  </si>
  <si>
    <t>C. DENETİM KONTROL LİSTESİ (K1–K14)</t>
  </si>
  <si>
    <t>Kontrol</t>
  </si>
  <si>
    <t>Sonuç</t>
  </si>
  <si>
    <t>K1</t>
  </si>
  <si>
    <t>★ ÇVÖA yürürlükte mi? (Resmî Gazete tarihi ve numarası teyit edildi mi?)</t>
  </si>
  <si>
    <t>İmzalandı ancak yürürlüğe girmedi → 386 uygulanamaz.</t>
  </si>
  <si>
    <t>Uygun/Eksik/Risk</t>
  </si>
  <si>
    <t>K2</t>
  </si>
  <si>
    <t>★ Uygulanan ÇVÖA maddesi doğru belirlendi mi?</t>
  </si>
  <si>
    <t>Her gelir türü için farklı madde (MD.7 PE, MD.10 Temettü, MD.11 Faiz vb.)</t>
  </si>
  <si>
    <t>K3</t>
  </si>
  <si>
    <t>★ Yöntem MUAFİYET mi yoksa MAHSUP mu?</t>
  </si>
  <si>
    <t>Muafiyet → 386. Mahsup → KVK Md.33. Yöntem karıştırılmamalı.</t>
  </si>
  <si>
    <t>K4</t>
  </si>
  <si>
    <t>★ KVK Md.5/1-g veya Md.5/1-h ile mükerrerlik analizi yapıldı mı?</t>
  </si>
  <si>
    <t>Aynı tutar hem 386 hem 5/1-g/h'ye yazılamaz.</t>
  </si>
  <si>
    <t>K5</t>
  </si>
  <si>
    <t>PE varlığı (daimi işyeri) belgelendi mi?</t>
  </si>
  <si>
    <t>Kayıt belgesi, sözleşme, fiili faaliyet kanıtı.</t>
  </si>
  <si>
    <t>K6</t>
  </si>
  <si>
    <t>PE kazancı yerel muhasebe kayıtlarıyla destekleniyor mu?</t>
  </si>
  <si>
    <t>Yurt dışı mali tablolar ve muhasebe kayıtları.</t>
  </si>
  <si>
    <t>K7</t>
  </si>
  <si>
    <t>Anlaşma kaynakları incelendi mi? (OECD Model yorumları dahil)</t>
  </si>
  <si>
    <t>OECD Model Vergi Anlaşması Yorumu + GİB özelgeleri.</t>
  </si>
  <si>
    <t>K8</t>
  </si>
  <si>
    <t>★ YİAKV etkisi analiz edildi mi? (E tablosu dolduruldu mu?)</t>
  </si>
  <si>
    <t>ÇVÖA istisnaları YİAKV'yi otomatik azaltmaz — analiz zorunlu.</t>
  </si>
  <si>
    <t>K9</t>
  </si>
  <si>
    <t>Her ülke ve gelir türü için ayrı C tablosu satırı var mı?</t>
  </si>
  <si>
    <t>Almanya PE + Hollanda Temettü = İki ayrı satır.</t>
  </si>
  <si>
    <t>K10</t>
  </si>
  <si>
    <t>Kısmi muafiyet varsa doğru oranlandı mı?</t>
  </si>
  <si>
    <t>Sütun 6 (İstisna Oranı) %100 olmayan durumlar.</t>
  </si>
  <si>
    <t>K11</t>
  </si>
  <si>
    <t>Yurt dışı gelir TL dönüşüm hesabı doğru mu?</t>
  </si>
  <si>
    <t>Dönüşüm tarihi kuru ve MB kur referansı.</t>
  </si>
  <si>
    <t>K12</t>
  </si>
  <si>
    <t>Beyanname 386 'Kazancın Bulunması Halinde' bölümünde mi?</t>
  </si>
  <si>
    <t>Zarar döneminde uygulanamaz.</t>
  </si>
  <si>
    <t>K13</t>
  </si>
  <si>
    <t>GİB özelgesi alındı mı? (Tartışmalı durumlarda zorunlu)</t>
  </si>
  <si>
    <t>ÇVÖA yorumu tartışmalıysa özelge şart.</t>
  </si>
  <si>
    <t>K14</t>
  </si>
  <si>
    <t>YMM Tasdik Raporu (49 No.lu Tebliğ) değerlendirildi mi?</t>
  </si>
  <si>
    <t>&gt;=500.000 TL → YMM raporu.</t>
  </si>
  <si>
    <t>386 – ÇVÖA KAPSAMINDA İSTİSNA | MUHASEBE KAYITLARI</t>
  </si>
  <si>
    <t>Yurt Dışı PE Kazancı | Temettü | Faiz | Royalty | Muafiyet vs Mahsup</t>
  </si>
  <si>
    <t>KAYIT 1 — YURT DIŞI DAİMİ İŞYERİ (PE) KAZANCI — MUAFİYET YÖNTEMİ</t>
  </si>
  <si>
    <t xml:space="preserve">  Yurt dışı PE kazancı brüt konsolide edilir, ardından ÇVÖA 386 istisnası beyannamede uygulanır.</t>
  </si>
  <si>
    <t>Tarih</t>
  </si>
  <si>
    <t>Hesap</t>
  </si>
  <si>
    <t>Not</t>
  </si>
  <si>
    <t>Dr</t>
  </si>
  <si>
    <t>Kr</t>
  </si>
  <si>
    <t>Ref</t>
  </si>
  <si>
    <t>[Dönem]</t>
  </si>
  <si>
    <t>198 Diğer Çeşitli Alacaklar (veya 100 Kasa)</t>
  </si>
  <si>
    <t>Yurt dışı PE kazancı Türkiye'ye aktarımı (veya tahakkuku)</t>
  </si>
  <si>
    <t>[Tutar]</t>
  </si>
  <si>
    <t>PE Muhasebesi</t>
  </si>
  <si>
    <t>601 Yurt Dışı Satışlar / 679 Diğer Kâr</t>
  </si>
  <si>
    <t>PE kazancı gelir kaydı → Brüt ticari kârda</t>
  </si>
  <si>
    <t>Mali Tablolar</t>
  </si>
  <si>
    <t xml:space="preserve">  BEYANNAME: Brüt kâr → Matrah hesabı → 386 istisnası (ÇVÖA muafiyet) → Net KV matrahı.</t>
  </si>
  <si>
    <t>KAYIT 2 — YURT DIŞI TEMETTÜ — ÇVÖA MUAFİYET YÖNTEMİ</t>
  </si>
  <si>
    <t>[Tahsilat]</t>
  </si>
  <si>
    <t>102 Bankalar</t>
  </si>
  <si>
    <t>Yurt dışı iştirakten temettü tahsilatı</t>
  </si>
  <si>
    <t>Banka dekontu</t>
  </si>
  <si>
    <t>640 İştiraklerden Temettü Gelirleri</t>
  </si>
  <si>
    <t>ÇVÖA uyarınca → Beyanname 386 istisnası</t>
  </si>
  <si>
    <t>ÇVÖA/KVK</t>
  </si>
  <si>
    <t>KAYIT 3 — ÇVÖA MUAFİYET vs MAHSUP YÖNTEMİ KARŞILAŞTIRMA</t>
  </si>
  <si>
    <t xml:space="preserve">  MUAFİYET YÖNTEMİ (→ Beyanname 386):
  • Yurt dışı gelir ticari kârda yer alır.
  • Beyanname hazırlanırken 386 satırında istisna uygulanır.
  • Muhasebede ayrı bir 'vergi gideri' kaydı yoktur (Türkiye'de vergi ödenmiyor).
  MAHSUP YÖNTEMİ (→ Beyanname 386 DEĞİL, KVK Md.33):
  • Yurt dışı gelir Türkiye'de tam olarak beyan edilir.
  • Yurt dışında ödenen vergi KV hesabından mahsup edilir (KVK Md.33).
  • 386 istisnası UYGULANMAZ — mahsup ve istisna birlikte kullanılamaz.
  ★ YMM: Hangi yöntemin uygulandığı ÇVÖA'nın 'çifte vergilendirmenin önlenmesi' maddesinden belirlenir.</t>
  </si>
  <si>
    <t>386 – ÇVÖA KAPSAMINDA İSTİSNA | DENETÇİ NOTLARI</t>
  </si>
  <si>
    <t>GİB KV Beyan Rehberi Mart 2026 (No:606) | KVK Md.5/3 | OECD Model | YİAKV Özel Durum | 49 No.lu Tebliğ</t>
  </si>
  <si>
    <t>Kod</t>
  </si>
  <si>
    <t>Konu</t>
  </si>
  <si>
    <t>Mesleki Değerlendirme / Tasdik Standardı</t>
  </si>
  <si>
    <t>Mevzuat / Kaynak</t>
  </si>
  <si>
    <t>N1</t>
  </si>
  <si>
    <t>ÇVÖA 386 İstisnasının Hukuki Dayanağı ve Kapsam</t>
  </si>
  <si>
    <t>386 ÇVÖA İSTİSNASI YASAL DAYANAĞI:
KVK Md.5/3: 'İştirak kazançları istisnasının uygulanmasında Türkiye'nin akdettiği çifte vergilendirmeyi önleme anlaşmalarındaki hükümler saklıdır.'
ÇVÖA KAPSAMINDA BAŞLICA 386 UYGULAMALARI:
① Yurt dışı daimi işyeri (PE) kazançları:
  ÇVÖA'nın işyeri maddesi (genellikle Md.7) + çifte vergilendirme önleme maddesi (Md.23)
  PE bulunduğu ülkede vergilenir, Türkiye muafiyet uygular → 386
② Temettü (Md.10): Anlaşma Türkiye'nin vergilendirme yetkisini sınırladıysa → Kısmi/tam 386
③ Faiz (Md.11): Anlaşma hükmü gereğince muafiyet → 386
④ Gayrimaddi Hak Bedeli (Md.12): Muafiyet öngörülmüşse → 386
⑤ Sermaye Değer Artışı (Md.13): Muafiyet hükmü varsa → 386
BEYANNAME: 386 | 'Diğer İndirim ve İstisnalar' bölümü</t>
  </si>
  <si>
    <t>KVK Md.5/3 | İlgili ÇVÖA | GİB KV Beyan Reh. 2026 (No:606)</t>
  </si>
  <si>
    <t>N2</t>
  </si>
  <si>
    <t>★ Muafiyet vs Mahsup Yöntemi — 386'nın Sınırı</t>
  </si>
  <si>
    <t>ÇVÖA UYGULAMA YÖNTEMLERİ VE 386 SINIRI:
MUAFİYET YÖNTEMİ (Exemption Method):
ÇVÖA'nın 'çifte vergilendirmenin önlenmesi' maddesi (genellikle Md.23A) '...diğer Akit Devlette vergilendirilebilir gelir, Türkiye vergisinden muaf tutulur.' ifadesini içeriyorsa → Muafiyet yöntemi → Beyanname 386.
MAHSUP YÖNTEMİ (Tax Credit Method):
ÇVÖA'nın Md.23B 'Türkiye, yurt dışında ödenen vergiyi mahsup eder.' ifadesini içeriyorsa → Mahsup yöntemi → KVK Md.33 → Beyanname 386 DEĞİL.
KARMA (Muafiyet + İlerleme Çekincesi):
Bazı ÇVÖA'larda muafiyet uygulanır ancak vergi oranı belirlemesinde gelir dikkate alınır. Bu durumda 386 uygulanır fakat oran hesabı dikkat gerektirir.
★ Yanlış yöntem seçimi → Hatalı beyan → Tarhiyat riski.</t>
  </si>
  <si>
    <t>ÇVÖA Md.23A/23B | OECD Model Commentary | KVK Md.33</t>
  </si>
  <si>
    <t>N3</t>
  </si>
  <si>
    <t>★★ YİAKV (KVK Md.32/C) — ÇVÖA İstisnalarının Özel Durumu</t>
  </si>
  <si>
    <t>YİAKV VE ÇVÖA İSTİSNASI — KARMAŞIK ETKİLEŞİM:
KVK Md.32/C'nin ÇVÖA ile etkileşimi henüz tam olarak netleşmemiştir.
DAKİK SORULAR:
① Muafiyet yöntemiyle istisna edilen PE kazancı YİAKV matrahını azaltır mı?
② Anlaşma kapsamında muaf tutulan gelirler YİAKV için 'vergiye tabi gelir' sayılır mı?
③ OECD Pillar Two (GlobalAMT) ve ÇVÖA birlikte uygulandığında Türkiye'nin tutumu ne?
YMM YAKLAŞIMI:
① GİB KV Beyan Rehberi Mart 2026 (No:606) ilgili kısmını incele.
② GİB özelgesi ara — ÇVÖA + YİAKV kesişimi için.
③ Her ÇVÖA ülkesi ve gelir türü için ayrı analiz yap.
④ E Tablosunu doldur ve YMM onayını al.
TUTUMUN BELGELENMESİ: YMM'nin YİAKV tutumunu yazılı olarak çalışma kâğıdına eklemesi zorunludur.</t>
  </si>
  <si>
    <t>KVK Md.32/C | YİAKV Reh. (No:607) | GİB KV Beyan Reh. (No:606) | GİB Özelge</t>
  </si>
  <si>
    <t>N4</t>
  </si>
  <si>
    <t>KVK Md.5/1-g (Yurt Dışı Şube) ve Md.5/1-h (İştirak) ile Çakışma</t>
  </si>
  <si>
    <t>ÇVÖA (386) ile KVK Md.5/1-g/h EŞZAMANLI UYGULAMASI:
KVK Md.5/1-g (Yurt Dışı Şube Kazancı İstisnası):
Koşullar: En az %15 efektif vergi, 6 ay süre, beyan zorunluluğu.
KVK koşulları sağlandıysa → Md.5/1-g uygulanır (386'ya gerek olmayabilir).
ÇVÖA Md.7/23 Muafiyet (386):
KVK Md.5/1-g koşulları sağlanmasa bile → ÇVÖA muafiyet uygulayabilir → 386.
MÜKERRERLİK:
Aynı PE kazancı hem KVK Md.5/1-g hem 386 kapsamında yazılamaz.
Hangisinin uygulanacağı analiz edilip belgelenmeli.
GENEL KURAL: ÇVÖA, iç hukuktan daha avantajlıysa ÇVÖA önceliklidir (ÇVÖA/Anayasa).</t>
  </si>
  <si>
    <t>KVK Md.5/1-g | KVK Md.5/1-h | İlgili ÇVÖA | Anayasa Md.90</t>
  </si>
  <si>
    <t>N5</t>
  </si>
  <si>
    <t>49 No.lu Tebliğ + YMM Tasdik Dil Standardı</t>
  </si>
  <si>
    <t>KULLANIN:
'...Türkiye Cumhuriyeti ile [Ülke Adı] arasında akdedilen Çifte Vergilendirmeyi Önleme
Anlaşmasının [Madde No] maddesi hükümleri kapsamında, [Ülke Adı]'nda elde edilen ve
yalnızca söz konusu ülkede vergilendirilen [gelir türü] niteliğindeki [Tutar] TL gelir,
kurumlar vergisinden istisna edilmiştir. Yurt içi asgari kurumlar vergisi (YİAKV)
matrahı üzerindeki etkisi [etki türü] olarak değerlendirilmiştir.'
KULLANMAYIN:
'...Mahsup yöntemi uygulanmasına rağmen 386 istisnası da uygulanmıştır.' (ÇELİŞKİ)
'...ÇVÖA incelenmeksizin muafiyet varsayılmıştır.' (Analiz eksik)
'...Aynı gelir hem 386 hem Md.5/1-g'ye yazılmıştır.' (Mükerrerlik)
KRİTİK RİSKLER:
(1) Muafiyet yerine mahsup yöntemi geçerliyken 386 uygulamak.
(2) ÇVÖA yürürlükte değilken 386 uygulamak.
(3) KVK Md.5/1-g/h ile mükerrer istisna uygulamak.
(4) YİAKV analizini yapmadan beyan etmek.</t>
  </si>
  <si>
    <t>49 No.lu Tebliğ | KVK Md.5/3 | İlgili ÇVÖA | SM-SMMM-YMM K. Md.12</t>
  </si>
  <si>
    <t xml:space="preserve">  GİB KV BEYAN REHBERİ MART 2026 (No:606) KAPANIŞ (386 ÇVÖA): 386, Türkiye'nin ÇVÖA muafiyet yöntemi uyguladığı gelir/kazançlar için kullanılır. Muafiyet ↔ Mahsup yöntem ayrımı kritik. KVK Md.5/1-g/h ile çakışma analizi zorunlu. YİAKV etkisi her anlaşma/gelir türü için ayrıca değerlendirilmeli. GİB özelgesi: Tartışmalı durumlarda zorunlu. YMM müteselsil sorumluluk: SM-SMMM-YMM Kanunu Md.12.</t>
  </si>
  <si>
    <t>386 – ÇVÖA KAPSAMINDA İSTİSNA | BELGE LİSTESİ | YMM TASDİK</t>
  </si>
  <si>
    <t>GİB KV Beyan Rehberi 2026 No:606 | ÇVÖA Metni | PE Belgesi | Yurt Dışı Mali Tablolar | KVK Md.5/3</t>
  </si>
  <si>
    <t>KATEGORİ 1 — ZORUNLU BELGELER (PE Kazancı İçin)</t>
  </si>
  <si>
    <t>No</t>
  </si>
  <si>
    <t>Belge</t>
  </si>
  <si>
    <t>Temin</t>
  </si>
  <si>
    <t>1</t>
  </si>
  <si>
    <t>★ ÇVÖA Anlaşma Metni (Resmî Gazete Onaylı)</t>
  </si>
  <si>
    <t>Türkiye ile anlaşma ülkesi arasındaki ÇVÖA'nın tam metni. Uygulanacak madde (PE/Temettü/Faiz/Royalty) ve çifte vergilendirme önleme maddesi.
Yürürlük tarihi teyit edilmeli — imzalandı ama yürürlüğe girmedi → 386 uygulanamaz.</t>
  </si>
  <si>
    <t>Resmî Gazete / GİB web sitesi</t>
  </si>
  <si>
    <t>2</t>
  </si>
  <si>
    <t>★ Yurt Dışı Daimi İşyeri Varlığını Kanıtlayan Belgeler (PE İçin)</t>
  </si>
  <si>
    <t>PE kaydı: Yurt dışı ticaret sicil / vergi dairesi kayıt belgesi.
Ofis/şube sözleşmesi: Kira sözleşmesi veya mülkiyet belgesi.
Faaliyet kanıtı: Personel listesi, iş akitleri, yerel vergi ödeme belgeleri.</t>
  </si>
  <si>
    <t>Yurt dışı kayıt makamı / Noter</t>
  </si>
  <si>
    <t>3</t>
  </si>
  <si>
    <t>★ Yurt Dışı Mali Tablolar (Yerel Standartlarda)</t>
  </si>
  <si>
    <t>PE veya iştirak mali tabloları (yurt dışı yerel standartlara göre hazırlanmış).
Bağımsız denetimden geçmişse tercih edilir. TL dönüşüm hesabı yapılmalı.</t>
  </si>
  <si>
    <t>Yurt dışı muhasebe/denetim firması</t>
  </si>
  <si>
    <t>4</t>
  </si>
  <si>
    <t>★ Yurt Dışında Ödenen Vergilere İlişkin Belgeler</t>
  </si>
  <si>
    <t>Yurt dışı vergi beyannamesi veya vergi dairesi tasdik belgesi.
Mahsup yöntemi uygulanıyorsa ödeme dekontu zorunlu.</t>
  </si>
  <si>
    <t>Yurt dışı vergi idaresi</t>
  </si>
  <si>
    <t>5</t>
  </si>
  <si>
    <t>YMM Kapsam Analizi Notu (ÇVÖA Madde Yorumu)</t>
  </si>
  <si>
    <t>Hangi ÇVÖA maddesinin uygulandığı ve muafiyet yönteminin yorumu.
Muafiyet / Mahsup ayrımının gerekçesi. KVK Md.5/1-g/h çakışma analizi.</t>
  </si>
  <si>
    <t>YMM tarafından hazırlanır</t>
  </si>
  <si>
    <t>KATEGORİ 2 — EK BELGELER</t>
  </si>
  <si>
    <t>6</t>
  </si>
  <si>
    <t>GİB Özelgesi (ÇVÖA Yorumu Tartışmalıysa)</t>
  </si>
  <si>
    <t>ÇVÖA hükmünün yorumu, muafiyet/mahsup yöntemi belirsizliği veya YİAKV etkisi için özelge.</t>
  </si>
  <si>
    <t>GİB özelge sistemi</t>
  </si>
  <si>
    <t>7</t>
  </si>
  <si>
    <t>Transfer Fiyatlandırması Analizi (PE ile Türkiye Merkez Arasında)</t>
  </si>
  <si>
    <t>PE ile Türkiye merkezi arasındaki işlemler için transfer fiyatlandırması dokümantasyonu (KVK Md.13).</t>
  </si>
  <si>
    <t>Bağımsız transfer fiyatlandırması analizi</t>
  </si>
  <si>
    <t>8</t>
  </si>
  <si>
    <t>Konsolide Hesap Mutabakatı (PE Geliri ile Türkiye Kayıtları)</t>
  </si>
  <si>
    <t>PE gelirinin Türkiye muhasebe kayıtlarıyla mutabakatı. Döviz dönüşüm kurları.</t>
  </si>
  <si>
    <t>Mali müşavir/muhasebe</t>
  </si>
  <si>
    <t>KATEGORİ 3 — YMM TASDİK KONTROL SORULARI</t>
  </si>
  <si>
    <t>Beklenen Sonuç</t>
  </si>
  <si>
    <t>YMM Aksiyonu</t>
  </si>
  <si>
    <t>S1</t>
  </si>
  <si>
    <t>★ ÇVÖA yürürlükte mi? (Resmî Gazete tarih ve numarası teyit)</t>
  </si>
  <si>
    <t>Yürürlükte değil → 386 yok.</t>
  </si>
  <si>
    <t>YMM kontrolü</t>
  </si>
  <si>
    <t>S2</t>
  </si>
  <si>
    <t>★ Uygulanacak ÇVÖA maddesi doğru belirlendi mi?</t>
  </si>
  <si>
    <t>Her gelir türü için farklı madde.</t>
  </si>
  <si>
    <t>S3</t>
  </si>
  <si>
    <t>★ Yöntem MUAFİYET mi (386) yoksa MAHSUP mu (Md.33)?</t>
  </si>
  <si>
    <t>Muafiyet = 386. Mahsup = 386 yok.</t>
  </si>
  <si>
    <t>S4</t>
  </si>
  <si>
    <t>Aynı tutar için tek istisna.</t>
  </si>
  <si>
    <t>S5</t>
  </si>
  <si>
    <t>PE varlığı belgelendi mi?</t>
  </si>
  <si>
    <t>Kayıt belgesi, sözleşme, faaliyet kanıtı.</t>
  </si>
  <si>
    <t>S6</t>
  </si>
  <si>
    <t>Yurt dışı mali tablolar TL'ye dönüştürüldü mü?</t>
  </si>
  <si>
    <t>Dönüşüm kuru ve tarihi belgelenmeli.</t>
  </si>
  <si>
    <t>S7</t>
  </si>
  <si>
    <t>★★ YİAKV etkisi analiz edildi mi? (E tablosu)</t>
  </si>
  <si>
    <t>ÇVÖA istisnaları YİAKV'yi otomatik azaltmaz.</t>
  </si>
  <si>
    <t>S8</t>
  </si>
  <si>
    <t>KVK Md.22 yurt dışı şube koşulları sağlandı mı? (PE için)</t>
  </si>
  <si>
    <t>Efektif vergi oranı + 6 ay + beyan.</t>
  </si>
  <si>
    <t>S9</t>
  </si>
  <si>
    <t>Transfer fiyatlandırması dokümantasyonu hazır mı?</t>
  </si>
  <si>
    <t>PE-Merkez işlemler için KVK Md.13.</t>
  </si>
  <si>
    <t>S10</t>
  </si>
  <si>
    <t xml:space="preserve">  386 ÇVÖA İSTİSNASI SON NOT:
  GİB KV Beyan Rehberi Mart 2026 (No:606) esas alınmıştır.
  386, Türkiye'nin muafiyet yöntemi uyguladığı ÇVÖA kapsamı gelirler için kullanılır.
  Muafiyet ↔ Mahsup yöntem ayrımı birincil KRİTİK NOKTA.
  KVK Md.5/1-g/h çakışma analizi ve YİAKV etkisi YMM tarafından yazılı olarak belgelenmeli.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</si>
</sst>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i/>
      <sz val="8"/>
      <color rgb="FF6A1B9A"/>
      <name val="Arial"/>
      <family val="2"/>
      <charset val="162"/>
    </font>
    <font>
      <sz val="9"/>
      <color rgb="FF1F3864"/>
      <name val="Arial"/>
      <family val="2"/>
      <charset val="162"/>
    </font>
    <font>
      <b/>
      <sz val="9"/>
      <color rgb="FF6A1B9A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b/>
      <i/>
      <sz val="8"/>
      <color rgb="FFC0392B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sz val="8"/>
      <color rgb="FF6A1B9A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5">
    <fill>
      <patternFill patternType="none"/>
    </fill>
    <fill>
      <patternFill patternType="gray125"/>
    </fill>
    <fill>
      <patternFill patternType="solid">
        <fgColor rgb="FF6A1B9A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F3E5F5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9F0FF"/>
      </patternFill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FFEBEE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D0D0"/>
      </patternFill>
    </fill>
    <fill>
      <patternFill patternType="solid">
        <fgColor rgb="FFFFB0B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6" borderId="1" xfId="0" applyFill="1" applyBorder="1"/>
    <xf numFmtId="0" fontId="1" fillId="5" borderId="2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6" fillId="9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3" fontId="13" fillId="13" borderId="1" xfId="0" applyNumberFormat="1" applyFont="1" applyFill="1" applyBorder="1" applyAlignment="1">
      <alignment horizontal="right" vertical="center"/>
    </xf>
    <xf numFmtId="3" fontId="14" fillId="13" borderId="3" xfId="0" applyNumberFormat="1" applyFont="1" applyFill="1" applyBorder="1" applyAlignment="1">
      <alignment horizontal="right" vertical="center"/>
    </xf>
    <xf numFmtId="1" fontId="0" fillId="9" borderId="1" xfId="0" applyNumberFormat="1" applyFill="1" applyBorder="1" applyAlignment="1">
      <alignment horizontal="center" vertical="center"/>
    </xf>
    <xf numFmtId="3" fontId="15" fillId="12" borderId="4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3" fontId="18" fillId="12" borderId="4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3" fontId="20" fillId="12" borderId="4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center" vertical="center"/>
    </xf>
    <xf numFmtId="3" fontId="23" fillId="12" borderId="1" xfId="0" applyNumberFormat="1" applyFont="1" applyFill="1" applyBorder="1" applyAlignment="1">
      <alignment horizontal="right" vertical="center"/>
    </xf>
    <xf numFmtId="0" fontId="24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left" vertical="top" wrapText="1"/>
    </xf>
    <xf numFmtId="0" fontId="25" fillId="16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center" vertical="top"/>
    </xf>
    <xf numFmtId="0" fontId="5" fillId="11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left" vertical="top" wrapText="1"/>
    </xf>
    <xf numFmtId="0" fontId="29" fillId="8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29" fillId="10" borderId="1" xfId="0" applyFont="1" applyFill="1" applyBorder="1" applyAlignment="1">
      <alignment horizontal="left" vertical="top" wrapText="1"/>
    </xf>
    <xf numFmtId="0" fontId="8" fillId="18" borderId="1" xfId="0" applyFont="1" applyFill="1" applyBorder="1" applyAlignment="1">
      <alignment horizontal="left" vertical="top" wrapText="1"/>
    </xf>
    <xf numFmtId="0" fontId="29" fillId="18" borderId="1" xfId="0" applyFont="1" applyFill="1" applyBorder="1" applyAlignment="1">
      <alignment horizontal="left" vertical="top" wrapText="1"/>
    </xf>
    <xf numFmtId="0" fontId="29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 wrapText="1"/>
    </xf>
    <xf numFmtId="0" fontId="25" fillId="19" borderId="1" xfId="0" applyFont="1" applyFill="1" applyBorder="1" applyAlignment="1">
      <alignment horizontal="left" vertical="top" wrapText="1"/>
    </xf>
    <xf numFmtId="0" fontId="29" fillId="12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5" fillId="20" borderId="1" xfId="0" applyFont="1" applyFill="1" applyBorder="1" applyAlignment="1">
      <alignment horizontal="center" vertical="top"/>
    </xf>
    <xf numFmtId="0" fontId="5" fillId="20" borderId="1" xfId="0" applyFont="1" applyFill="1" applyBorder="1" applyAlignment="1">
      <alignment horizontal="left" vertical="top" wrapText="1"/>
    </xf>
    <xf numFmtId="0" fontId="25" fillId="21" borderId="1" xfId="0" applyFont="1" applyFill="1" applyBorder="1" applyAlignment="1">
      <alignment horizontal="left" vertical="top" wrapText="1"/>
    </xf>
    <xf numFmtId="0" fontId="29" fillId="20" borderId="1" xfId="0" applyFont="1" applyFill="1" applyBorder="1" applyAlignment="1">
      <alignment horizontal="left" vertical="top" wrapText="1"/>
    </xf>
    <xf numFmtId="0" fontId="1" fillId="22" borderId="2" xfId="0" applyFont="1" applyFill="1" applyBorder="1" applyAlignment="1">
      <alignment horizontal="center" vertical="center"/>
    </xf>
    <xf numFmtId="0" fontId="0" fillId="18" borderId="1" xfId="0" applyFill="1" applyBorder="1"/>
    <xf numFmtId="0" fontId="31" fillId="18" borderId="1" xfId="0" applyFont="1" applyFill="1" applyBorder="1" applyAlignment="1">
      <alignment horizontal="center" vertical="top"/>
    </xf>
    <xf numFmtId="0" fontId="25" fillId="23" borderId="1" xfId="0" applyFont="1" applyFill="1" applyBorder="1" applyAlignment="1">
      <alignment horizontal="left" vertical="top" wrapText="1"/>
    </xf>
    <xf numFmtId="0" fontId="32" fillId="18" borderId="1" xfId="0" applyFont="1" applyFill="1" applyBorder="1" applyAlignment="1">
      <alignment horizontal="center" vertical="top"/>
    </xf>
    <xf numFmtId="0" fontId="31" fillId="20" borderId="1" xfId="0" applyFont="1" applyFill="1" applyBorder="1" applyAlignment="1">
      <alignment horizontal="center" vertical="top"/>
    </xf>
    <xf numFmtId="0" fontId="31" fillId="20" borderId="1" xfId="0" applyFont="1" applyFill="1" applyBorder="1" applyAlignment="1">
      <alignment horizontal="left" vertical="top" wrapText="1"/>
    </xf>
    <xf numFmtId="0" fontId="32" fillId="20" borderId="1" xfId="0" applyFont="1" applyFill="1" applyBorder="1" applyAlignment="1">
      <alignment horizontal="center" vertical="top"/>
    </xf>
    <xf numFmtId="0" fontId="0" fillId="23" borderId="1" xfId="0" applyFill="1" applyBorder="1"/>
    <xf numFmtId="0" fontId="31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left" vertical="top" wrapText="1"/>
    </xf>
    <xf numFmtId="0" fontId="25" fillId="24" borderId="1" xfId="0" applyFont="1" applyFill="1" applyBorder="1" applyAlignment="1">
      <alignment horizontal="left" vertical="top" wrapText="1"/>
    </xf>
    <xf numFmtId="0" fontId="32" fillId="23" borderId="1" xfId="0" applyFont="1" applyFill="1" applyBorder="1" applyAlignment="1">
      <alignment horizontal="center" vertical="top"/>
    </xf>
    <xf numFmtId="0" fontId="12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9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21" fillId="12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1" fillId="11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5" fillId="12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5" fillId="11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5" fillId="8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8" fillId="8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12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9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25" fillId="16" borderId="1" xfId="0" applyFont="1" applyFill="1" applyBorder="1" applyAlignment="1">
      <alignment horizontal="left" vertical="top" wrapText="1"/>
    </xf>
    <xf numFmtId="0" fontId="0" fillId="16" borderId="1" xfId="0" applyFill="1" applyBorder="1"/>
    <xf numFmtId="0" fontId="7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5" fillId="11" borderId="1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5" fillId="8" borderId="1" xfId="0" applyFont="1" applyFill="1" applyBorder="1" applyAlignment="1">
      <alignment horizontal="left" vertical="top" wrapText="1"/>
    </xf>
    <xf numFmtId="0" fontId="25" fillId="8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25" fillId="11" borderId="1" xfId="0" applyFont="1" applyFill="1" applyBorder="1" applyAlignment="1">
      <alignment horizontal="left" vertical="top" wrapText="1"/>
    </xf>
    <xf numFmtId="0" fontId="25" fillId="13" borderId="2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28" fillId="8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30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6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22" borderId="5" xfId="0" applyFont="1" applyFill="1" applyBorder="1" applyAlignment="1">
      <alignment horizontal="left" vertical="center"/>
    </xf>
    <xf numFmtId="0" fontId="0" fillId="22" borderId="5" xfId="0" applyFill="1" applyBorder="1"/>
    <xf numFmtId="0" fontId="4" fillId="5" borderId="5" xfId="0" applyFont="1" applyFill="1" applyBorder="1" applyAlignment="1">
      <alignment horizontal="left" vertical="center"/>
    </xf>
    <xf numFmtId="0" fontId="0" fillId="5" borderId="5" xfId="0" applyFill="1" applyBorder="1"/>
    <xf numFmtId="0" fontId="4" fillId="14" borderId="5" xfId="0" applyFont="1" applyFill="1" applyBorder="1" applyAlignment="1">
      <alignment horizontal="left" vertical="center"/>
    </xf>
    <xf numFmtId="0" fontId="0" fillId="14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F9794D-E165-4052-9C09-8DFC4240727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51da801-e242-4f78-b4bd-3a29bccea52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6" width="14" customWidth="1"/>
    <col min="7" max="7" width="22" customWidth="1"/>
  </cols>
  <sheetData>
    <row r="1" spans="1:7" ht="52" customHeight="1" x14ac:dyDescent="0.55000000000000004">
      <c r="A1" s="92" t="s">
        <v>0</v>
      </c>
      <c r="B1" s="93"/>
      <c r="C1" s="93"/>
      <c r="D1" s="93"/>
      <c r="E1" s="93"/>
      <c r="F1" s="93"/>
      <c r="G1" s="93"/>
    </row>
    <row r="2" spans="1:7" ht="22" customHeight="1" x14ac:dyDescent="0.55000000000000004">
      <c r="A2" s="104" t="s">
        <v>1</v>
      </c>
      <c r="B2" s="105"/>
      <c r="C2" s="105"/>
      <c r="D2" s="105"/>
      <c r="E2" s="105"/>
      <c r="F2" s="105"/>
      <c r="G2" s="105"/>
    </row>
    <row r="3" spans="1:7" ht="44.05" customHeight="1" x14ac:dyDescent="0.55000000000000004">
      <c r="A3" s="94" t="s">
        <v>2</v>
      </c>
      <c r="B3" s="95"/>
      <c r="C3" s="95"/>
      <c r="D3" s="95"/>
      <c r="E3" s="95"/>
      <c r="F3" s="95"/>
      <c r="G3" s="95"/>
    </row>
    <row r="4" spans="1:7" ht="22" customHeight="1" x14ac:dyDescent="0.55000000000000004">
      <c r="A4" s="97" t="s">
        <v>3</v>
      </c>
      <c r="B4" s="98"/>
      <c r="C4" s="98"/>
      <c r="D4" s="98"/>
      <c r="E4" s="98"/>
      <c r="F4" s="98"/>
      <c r="G4" s="98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0" t="s">
        <v>4</v>
      </c>
      <c r="B6" s="101"/>
      <c r="C6" s="101"/>
      <c r="D6" s="101"/>
      <c r="E6" s="101"/>
      <c r="F6" s="101"/>
      <c r="G6" s="10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3" t="s">
        <v>8</v>
      </c>
      <c r="B8" s="82"/>
      <c r="C8" s="82"/>
      <c r="D8" s="82"/>
      <c r="E8" s="4" t="s">
        <v>9</v>
      </c>
      <c r="F8" s="87" t="s">
        <v>10</v>
      </c>
      <c r="G8" s="82"/>
    </row>
    <row r="9" spans="1:7" ht="28" customHeight="1" x14ac:dyDescent="0.55000000000000004">
      <c r="A9" s="74" t="s">
        <v>11</v>
      </c>
      <c r="B9" s="75"/>
      <c r="C9" s="75"/>
      <c r="D9" s="75"/>
      <c r="E9" s="4" t="s">
        <v>12</v>
      </c>
      <c r="F9" s="85" t="s">
        <v>13</v>
      </c>
      <c r="G9" s="75"/>
    </row>
    <row r="10" spans="1:7" ht="28" customHeight="1" x14ac:dyDescent="0.55000000000000004">
      <c r="A10" s="83" t="s">
        <v>14</v>
      </c>
      <c r="B10" s="82"/>
      <c r="C10" s="82"/>
      <c r="D10" s="82"/>
      <c r="E10" s="4" t="s">
        <v>9</v>
      </c>
      <c r="F10" s="87" t="s">
        <v>15</v>
      </c>
      <c r="G10" s="82"/>
    </row>
    <row r="11" spans="1:7" ht="28" customHeight="1" x14ac:dyDescent="0.55000000000000004">
      <c r="A11" s="74" t="s">
        <v>16</v>
      </c>
      <c r="B11" s="75"/>
      <c r="C11" s="75"/>
      <c r="D11" s="75"/>
      <c r="E11" s="4" t="s">
        <v>17</v>
      </c>
      <c r="F11" s="85" t="s">
        <v>18</v>
      </c>
      <c r="G11" s="75"/>
    </row>
    <row r="12" spans="1:7" ht="28" customHeight="1" x14ac:dyDescent="0.55000000000000004">
      <c r="A12" s="83" t="s">
        <v>19</v>
      </c>
      <c r="B12" s="82"/>
      <c r="C12" s="82"/>
      <c r="D12" s="82"/>
      <c r="E12" s="4" t="s">
        <v>9</v>
      </c>
      <c r="F12" s="87" t="s">
        <v>20</v>
      </c>
      <c r="G12" s="82"/>
    </row>
    <row r="13" spans="1:7" ht="28" customHeight="1" x14ac:dyDescent="0.55000000000000004">
      <c r="A13" s="74" t="s">
        <v>21</v>
      </c>
      <c r="B13" s="75"/>
      <c r="C13" s="75"/>
      <c r="D13" s="75"/>
      <c r="E13" s="4" t="s">
        <v>9</v>
      </c>
      <c r="F13" s="85" t="s">
        <v>22</v>
      </c>
      <c r="G13" s="75"/>
    </row>
    <row r="14" spans="1:7" ht="28" customHeight="1" x14ac:dyDescent="0.55000000000000004">
      <c r="A14" s="83" t="s">
        <v>23</v>
      </c>
      <c r="B14" s="82"/>
      <c r="C14" s="82"/>
      <c r="D14" s="82"/>
      <c r="E14" s="4" t="s">
        <v>9</v>
      </c>
      <c r="F14" s="87" t="s">
        <v>24</v>
      </c>
      <c r="G14" s="82"/>
    </row>
    <row r="15" spans="1:7" ht="28" customHeight="1" x14ac:dyDescent="0.55000000000000004">
      <c r="A15" s="80" t="s">
        <v>25</v>
      </c>
      <c r="B15" s="68"/>
      <c r="C15" s="68"/>
      <c r="D15" s="68"/>
      <c r="E15" s="4" t="s">
        <v>9</v>
      </c>
      <c r="F15" s="77" t="s">
        <v>26</v>
      </c>
      <c r="G15" s="68"/>
    </row>
    <row r="16" spans="1:7" ht="24" customHeight="1" x14ac:dyDescent="0.55000000000000004">
      <c r="A16" s="84" t="s">
        <v>27</v>
      </c>
      <c r="B16" s="70"/>
      <c r="C16" s="70"/>
      <c r="D16" s="70"/>
      <c r="E16" s="7" t="str">
        <f>IF(AND(E8="EVET",E9&lt;&gt;"",E10&lt;&gt;"HAYIR-Yalnızca Kaynak Ülke",E13&lt;&gt;"HAYIR-Analiz Eksik"),"OK - Hesaplanabilir","HATA - Ön koşul eksik")</f>
        <v>OK - Hesaplanabilir</v>
      </c>
      <c r="F16" s="69" t="s">
        <v>28</v>
      </c>
      <c r="G16" s="70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88" t="s">
        <v>29</v>
      </c>
      <c r="B18" s="89"/>
      <c r="C18" s="89"/>
      <c r="D18" s="89"/>
      <c r="E18" s="89"/>
      <c r="F18" s="89"/>
      <c r="G18" s="89"/>
    </row>
    <row r="19" spans="1:7" ht="22" customHeight="1" x14ac:dyDescent="0.55000000000000004">
      <c r="A19" s="80" t="s">
        <v>30</v>
      </c>
      <c r="B19" s="68"/>
      <c r="C19" s="72"/>
      <c r="D19" s="72"/>
      <c r="E19" s="72"/>
      <c r="F19" s="8" t="s">
        <v>31</v>
      </c>
      <c r="G19" s="5"/>
    </row>
    <row r="20" spans="1:7" ht="22" customHeight="1" x14ac:dyDescent="0.55000000000000004">
      <c r="A20" s="83" t="s">
        <v>32</v>
      </c>
      <c r="B20" s="82"/>
      <c r="C20" s="72"/>
      <c r="D20" s="72"/>
      <c r="E20" s="72"/>
      <c r="F20" s="9" t="s">
        <v>33</v>
      </c>
      <c r="G20" s="3"/>
    </row>
    <row r="21" spans="1:7" ht="22" customHeight="1" x14ac:dyDescent="0.55000000000000004">
      <c r="A21" s="80" t="s">
        <v>34</v>
      </c>
      <c r="B21" s="68"/>
      <c r="C21" s="72"/>
      <c r="D21" s="72"/>
      <c r="E21" s="72"/>
      <c r="F21" s="8" t="s">
        <v>35</v>
      </c>
      <c r="G21" s="5"/>
    </row>
    <row r="22" spans="1:7" ht="22" customHeight="1" x14ac:dyDescent="0.55000000000000004">
      <c r="A22" s="83" t="s">
        <v>36</v>
      </c>
      <c r="B22" s="82"/>
      <c r="C22" s="72"/>
      <c r="D22" s="72"/>
      <c r="E22" s="72"/>
      <c r="F22" s="9" t="s">
        <v>37</v>
      </c>
      <c r="G22" s="3"/>
    </row>
    <row r="23" spans="1:7" ht="22" customHeight="1" x14ac:dyDescent="0.55000000000000004">
      <c r="A23" s="80" t="s">
        <v>38</v>
      </c>
      <c r="B23" s="68"/>
      <c r="C23" s="72"/>
      <c r="D23" s="72"/>
      <c r="E23" s="72"/>
      <c r="F23" s="8" t="s">
        <v>39</v>
      </c>
      <c r="G23" s="5"/>
    </row>
    <row r="24" spans="1:7" ht="22" customHeight="1" x14ac:dyDescent="0.55000000000000004">
      <c r="A24" s="83" t="s">
        <v>40</v>
      </c>
      <c r="B24" s="82"/>
      <c r="C24" s="72"/>
      <c r="D24" s="72"/>
      <c r="E24" s="72"/>
      <c r="F24" s="9" t="s">
        <v>41</v>
      </c>
      <c r="G24" s="3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88" t="s">
        <v>42</v>
      </c>
      <c r="B26" s="89"/>
      <c r="C26" s="89"/>
      <c r="D26" s="89"/>
      <c r="E26" s="89"/>
      <c r="F26" s="89"/>
      <c r="G26" s="89"/>
    </row>
    <row r="27" spans="1:7" ht="18" customHeight="1" x14ac:dyDescent="0.55000000000000004">
      <c r="A27" s="2"/>
      <c r="B27" s="2" t="s">
        <v>43</v>
      </c>
      <c r="C27" s="2"/>
      <c r="D27" s="2" t="s">
        <v>44</v>
      </c>
      <c r="E27" s="2"/>
      <c r="F27" s="2" t="s">
        <v>45</v>
      </c>
      <c r="G27" s="2" t="s">
        <v>46</v>
      </c>
    </row>
    <row r="28" spans="1:7" ht="26.05" customHeight="1" x14ac:dyDescent="0.55000000000000004">
      <c r="A28" s="83" t="s">
        <v>47</v>
      </c>
      <c r="B28" s="82"/>
      <c r="C28" s="4" t="s">
        <v>48</v>
      </c>
      <c r="D28" s="86" t="s">
        <v>49</v>
      </c>
      <c r="E28" s="82"/>
      <c r="F28" s="91" t="s">
        <v>50</v>
      </c>
      <c r="G28" s="82"/>
    </row>
    <row r="29" spans="1:7" ht="26.05" customHeight="1" x14ac:dyDescent="0.55000000000000004">
      <c r="A29" s="80" t="s">
        <v>51</v>
      </c>
      <c r="B29" s="68"/>
      <c r="C29" s="10"/>
      <c r="D29" s="73" t="s">
        <v>52</v>
      </c>
      <c r="E29" s="68"/>
      <c r="F29" s="67" t="s">
        <v>53</v>
      </c>
      <c r="G29" s="68"/>
    </row>
    <row r="30" spans="1:7" ht="26.05" customHeight="1" x14ac:dyDescent="0.55000000000000004">
      <c r="A30" s="83" t="s">
        <v>54</v>
      </c>
      <c r="B30" s="82"/>
      <c r="C30" s="10"/>
      <c r="D30" s="86" t="s">
        <v>55</v>
      </c>
      <c r="E30" s="82"/>
      <c r="F30" s="91" t="s">
        <v>56</v>
      </c>
      <c r="G30" s="82"/>
    </row>
    <row r="31" spans="1:7" ht="26.05" customHeight="1" x14ac:dyDescent="0.55000000000000004">
      <c r="A31" s="80" t="s">
        <v>57</v>
      </c>
      <c r="B31" s="68"/>
      <c r="C31" s="4" t="s">
        <v>58</v>
      </c>
      <c r="D31" s="73" t="s">
        <v>59</v>
      </c>
      <c r="E31" s="68"/>
      <c r="F31" s="67" t="s">
        <v>60</v>
      </c>
      <c r="G31" s="68"/>
    </row>
    <row r="32" spans="1:7" ht="26.05" customHeight="1" x14ac:dyDescent="0.55000000000000004">
      <c r="A32" s="83" t="s">
        <v>61</v>
      </c>
      <c r="B32" s="82"/>
      <c r="C32" s="4" t="s">
        <v>62</v>
      </c>
      <c r="D32" s="86" t="s">
        <v>63</v>
      </c>
      <c r="E32" s="82"/>
      <c r="F32" s="91" t="s">
        <v>64</v>
      </c>
      <c r="G32" s="82"/>
    </row>
    <row r="33" spans="1:7" ht="26.05" customHeight="1" x14ac:dyDescent="0.55000000000000004">
      <c r="A33" s="80" t="s">
        <v>65</v>
      </c>
      <c r="B33" s="68"/>
      <c r="C33" s="4" t="s">
        <v>9</v>
      </c>
      <c r="D33" s="73" t="s">
        <v>66</v>
      </c>
      <c r="E33" s="68"/>
      <c r="F33" s="67" t="s">
        <v>67</v>
      </c>
      <c r="G33" s="68"/>
    </row>
    <row r="34" spans="1:7" ht="26.05" customHeight="1" x14ac:dyDescent="0.55000000000000004">
      <c r="A34" s="96" t="s">
        <v>68</v>
      </c>
      <c r="B34" s="82"/>
      <c r="C34" s="4" t="s">
        <v>69</v>
      </c>
      <c r="D34" s="86" t="s">
        <v>70</v>
      </c>
      <c r="E34" s="82"/>
      <c r="F34" s="91" t="s">
        <v>71</v>
      </c>
      <c r="G34" s="82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88" t="s">
        <v>72</v>
      </c>
      <c r="B36" s="89"/>
      <c r="C36" s="89"/>
      <c r="D36" s="89"/>
      <c r="E36" s="89"/>
      <c r="F36" s="89"/>
      <c r="G36" s="89"/>
    </row>
    <row r="37" spans="1:7" ht="26.05" customHeight="1" x14ac:dyDescent="0.55000000000000004">
      <c r="A37" s="81" t="s">
        <v>73</v>
      </c>
      <c r="B37" s="82"/>
      <c r="C37" s="82"/>
      <c r="D37" s="82"/>
      <c r="E37" s="82"/>
      <c r="F37" s="82"/>
      <c r="G37" s="82"/>
    </row>
    <row r="38" spans="1:7" ht="18" customHeight="1" x14ac:dyDescent="0.55000000000000004">
      <c r="A38" s="11" t="s">
        <v>40</v>
      </c>
      <c r="B38" s="11" t="s">
        <v>74</v>
      </c>
      <c r="C38" s="11" t="s">
        <v>75</v>
      </c>
      <c r="D38" s="11" t="s">
        <v>76</v>
      </c>
      <c r="E38" s="11" t="s">
        <v>77</v>
      </c>
      <c r="F38" s="11" t="s">
        <v>78</v>
      </c>
      <c r="G38" s="11" t="s">
        <v>79</v>
      </c>
    </row>
    <row r="39" spans="1:7" ht="26.05" customHeight="1" x14ac:dyDescent="0.55000000000000004">
      <c r="A39" s="12"/>
      <c r="B39" s="12"/>
      <c r="C39" s="12"/>
      <c r="D39" s="13"/>
      <c r="E39" s="14"/>
      <c r="F39" s="15">
        <v>100</v>
      </c>
      <c r="G39" s="16">
        <f t="shared" ref="G39:G46" si="0">IF(E39&gt;0,E39*F39/100,0)</f>
        <v>0</v>
      </c>
    </row>
    <row r="40" spans="1:7" ht="26.05" customHeight="1" x14ac:dyDescent="0.55000000000000004">
      <c r="A40" s="12"/>
      <c r="B40" s="12"/>
      <c r="C40" s="12"/>
      <c r="D40" s="13"/>
      <c r="E40" s="14"/>
      <c r="F40" s="15">
        <v>100</v>
      </c>
      <c r="G40" s="16">
        <f t="shared" si="0"/>
        <v>0</v>
      </c>
    </row>
    <row r="41" spans="1:7" ht="26.05" customHeight="1" x14ac:dyDescent="0.55000000000000004">
      <c r="A41" s="12"/>
      <c r="B41" s="12"/>
      <c r="C41" s="12"/>
      <c r="D41" s="13"/>
      <c r="E41" s="14"/>
      <c r="F41" s="15">
        <v>100</v>
      </c>
      <c r="G41" s="16">
        <f t="shared" si="0"/>
        <v>0</v>
      </c>
    </row>
    <row r="42" spans="1:7" ht="26.05" customHeight="1" x14ac:dyDescent="0.55000000000000004">
      <c r="A42" s="12"/>
      <c r="B42" s="12"/>
      <c r="C42" s="12"/>
      <c r="D42" s="13"/>
      <c r="E42" s="14"/>
      <c r="F42" s="15">
        <v>100</v>
      </c>
      <c r="G42" s="16">
        <f t="shared" si="0"/>
        <v>0</v>
      </c>
    </row>
    <row r="43" spans="1:7" ht="26.05" customHeight="1" x14ac:dyDescent="0.55000000000000004">
      <c r="A43" s="12"/>
      <c r="B43" s="12"/>
      <c r="C43" s="12"/>
      <c r="D43" s="13"/>
      <c r="E43" s="14"/>
      <c r="F43" s="15">
        <v>100</v>
      </c>
      <c r="G43" s="16">
        <f t="shared" si="0"/>
        <v>0</v>
      </c>
    </row>
    <row r="44" spans="1:7" ht="26.05" customHeight="1" x14ac:dyDescent="0.55000000000000004">
      <c r="A44" s="12"/>
      <c r="B44" s="12"/>
      <c r="C44" s="12"/>
      <c r="D44" s="13"/>
      <c r="E44" s="14"/>
      <c r="F44" s="15">
        <v>100</v>
      </c>
      <c r="G44" s="16">
        <f t="shared" si="0"/>
        <v>0</v>
      </c>
    </row>
    <row r="45" spans="1:7" ht="26.05" customHeight="1" x14ac:dyDescent="0.55000000000000004">
      <c r="A45" s="12"/>
      <c r="B45" s="12"/>
      <c r="C45" s="12"/>
      <c r="D45" s="13"/>
      <c r="E45" s="14"/>
      <c r="F45" s="15">
        <v>100</v>
      </c>
      <c r="G45" s="16">
        <f t="shared" si="0"/>
        <v>0</v>
      </c>
    </row>
    <row r="46" spans="1:7" ht="26.05" customHeight="1" x14ac:dyDescent="0.55000000000000004">
      <c r="A46" s="12"/>
      <c r="B46" s="12"/>
      <c r="C46" s="12"/>
      <c r="D46" s="13"/>
      <c r="E46" s="14"/>
      <c r="F46" s="15">
        <v>100</v>
      </c>
      <c r="G46" s="16">
        <f t="shared" si="0"/>
        <v>0</v>
      </c>
    </row>
    <row r="47" spans="1:7" ht="30" customHeight="1" x14ac:dyDescent="0.55000000000000004">
      <c r="A47" s="17" t="s">
        <v>80</v>
      </c>
      <c r="B47" s="92" t="s">
        <v>81</v>
      </c>
      <c r="C47" s="93"/>
      <c r="D47" s="93"/>
      <c r="E47" s="18">
        <f>SUM(E39:E46)</f>
        <v>0</v>
      </c>
      <c r="F47" s="17" t="s">
        <v>82</v>
      </c>
      <c r="G47" s="19">
        <f>SUM(G39:G46)</f>
        <v>0</v>
      </c>
    </row>
    <row r="48" spans="1:7" ht="28" customHeight="1" x14ac:dyDescent="0.55000000000000004">
      <c r="A48" s="78" t="s">
        <v>83</v>
      </c>
      <c r="B48" s="79"/>
      <c r="C48" s="79"/>
      <c r="D48" s="79"/>
      <c r="E48" s="79"/>
      <c r="F48" s="79"/>
      <c r="G48" s="79"/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88" t="s">
        <v>84</v>
      </c>
      <c r="B50" s="89"/>
      <c r="C50" s="89"/>
      <c r="D50" s="89"/>
      <c r="E50" s="89"/>
      <c r="F50" s="89"/>
      <c r="G50" s="89"/>
    </row>
    <row r="51" spans="1:7" ht="18" customHeight="1" x14ac:dyDescent="0.55000000000000004">
      <c r="A51" s="2"/>
      <c r="B51" s="2" t="s">
        <v>85</v>
      </c>
      <c r="C51" s="2"/>
      <c r="D51" s="2" t="s">
        <v>86</v>
      </c>
      <c r="E51" s="2"/>
      <c r="F51" s="2" t="s">
        <v>45</v>
      </c>
      <c r="G51" s="2" t="s">
        <v>87</v>
      </c>
    </row>
    <row r="52" spans="1:7" ht="28" customHeight="1" x14ac:dyDescent="0.55000000000000004">
      <c r="A52" s="83" t="s">
        <v>88</v>
      </c>
      <c r="B52" s="82"/>
      <c r="C52" s="20">
        <f>E47</f>
        <v>0</v>
      </c>
      <c r="D52" s="86" t="s">
        <v>89</v>
      </c>
      <c r="E52" s="82"/>
      <c r="F52" s="87"/>
      <c r="G52" s="82"/>
    </row>
    <row r="53" spans="1:7" ht="28" customHeight="1" x14ac:dyDescent="0.55000000000000004">
      <c r="A53" s="80" t="s">
        <v>90</v>
      </c>
      <c r="B53" s="68"/>
      <c r="C53" s="20">
        <f>E47-G47</f>
        <v>0</v>
      </c>
      <c r="D53" s="73" t="s">
        <v>91</v>
      </c>
      <c r="E53" s="68"/>
      <c r="F53" s="77"/>
      <c r="G53" s="68"/>
    </row>
    <row r="54" spans="1:7" ht="28" customHeight="1" x14ac:dyDescent="0.55000000000000004">
      <c r="A54" s="76" t="s">
        <v>92</v>
      </c>
      <c r="B54" s="70"/>
      <c r="C54" s="21">
        <f>G47</f>
        <v>0</v>
      </c>
      <c r="D54" s="106" t="s">
        <v>93</v>
      </c>
      <c r="E54" s="70"/>
      <c r="F54" s="90" t="s">
        <v>94</v>
      </c>
      <c r="G54" s="70"/>
    </row>
    <row r="55" spans="1:7" ht="28" customHeight="1" x14ac:dyDescent="0.55000000000000004">
      <c r="A55" s="80" t="s">
        <v>95</v>
      </c>
      <c r="B55" s="68"/>
      <c r="C55" s="22"/>
      <c r="D55" s="73" t="s">
        <v>96</v>
      </c>
      <c r="E55" s="68"/>
      <c r="F55" s="77" t="s">
        <v>97</v>
      </c>
      <c r="G55" s="68"/>
    </row>
    <row r="56" spans="1:7" ht="28" customHeight="1" x14ac:dyDescent="0.55000000000000004">
      <c r="A56" s="83" t="s">
        <v>98</v>
      </c>
      <c r="B56" s="82"/>
      <c r="C56" s="22"/>
      <c r="D56" s="86" t="s">
        <v>99</v>
      </c>
      <c r="E56" s="82"/>
      <c r="F56" s="87" t="s">
        <v>100</v>
      </c>
      <c r="G56" s="82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24" customHeight="1" x14ac:dyDescent="0.55000000000000004">
      <c r="A58" s="88" t="s">
        <v>101</v>
      </c>
      <c r="B58" s="89"/>
      <c r="C58" s="89"/>
      <c r="D58" s="89"/>
      <c r="E58" s="89"/>
      <c r="F58" s="89"/>
      <c r="G58" s="89"/>
    </row>
    <row r="59" spans="1:7" ht="24" customHeight="1" x14ac:dyDescent="0.55000000000000004">
      <c r="A59" s="81" t="s">
        <v>102</v>
      </c>
      <c r="B59" s="82"/>
      <c r="C59" s="82"/>
      <c r="D59" s="82"/>
      <c r="E59" s="82"/>
      <c r="F59" s="82"/>
      <c r="G59" s="82"/>
    </row>
    <row r="60" spans="1:7" ht="18" customHeight="1" x14ac:dyDescent="0.55000000000000004">
      <c r="A60" s="11" t="s">
        <v>103</v>
      </c>
      <c r="B60" s="11" t="s">
        <v>74</v>
      </c>
      <c r="C60" s="11" t="s">
        <v>75</v>
      </c>
      <c r="D60" s="11" t="s">
        <v>62</v>
      </c>
      <c r="E60" s="11" t="s">
        <v>104</v>
      </c>
      <c r="F60" s="11" t="s">
        <v>105</v>
      </c>
      <c r="G60" s="11" t="s">
        <v>106</v>
      </c>
    </row>
    <row r="61" spans="1:7" ht="26.05" customHeight="1" x14ac:dyDescent="0.55000000000000004">
      <c r="A61" s="10"/>
      <c r="B61" s="10"/>
      <c r="C61" s="10"/>
      <c r="D61" s="10"/>
      <c r="E61" s="10" t="s">
        <v>107</v>
      </c>
      <c r="F61" s="23"/>
      <c r="G61" s="10" t="s">
        <v>108</v>
      </c>
    </row>
    <row r="62" spans="1:7" ht="26.05" customHeight="1" x14ac:dyDescent="0.55000000000000004">
      <c r="A62" s="10"/>
      <c r="B62" s="10"/>
      <c r="C62" s="10"/>
      <c r="D62" s="10"/>
      <c r="E62" s="10" t="s">
        <v>107</v>
      </c>
      <c r="F62" s="24"/>
      <c r="G62" s="10" t="s">
        <v>108</v>
      </c>
    </row>
    <row r="63" spans="1:7" ht="26.05" customHeight="1" x14ac:dyDescent="0.55000000000000004">
      <c r="A63" s="10"/>
      <c r="B63" s="10"/>
      <c r="C63" s="10"/>
      <c r="D63" s="10"/>
      <c r="E63" s="10" t="s">
        <v>107</v>
      </c>
      <c r="F63" s="23"/>
      <c r="G63" s="10" t="s">
        <v>108</v>
      </c>
    </row>
    <row r="64" spans="1:7" ht="26.05" customHeight="1" x14ac:dyDescent="0.55000000000000004">
      <c r="A64" s="10"/>
      <c r="B64" s="10"/>
      <c r="C64" s="10"/>
      <c r="D64" s="10"/>
      <c r="E64" s="10" t="s">
        <v>107</v>
      </c>
      <c r="F64" s="24"/>
      <c r="G64" s="10" t="s">
        <v>108</v>
      </c>
    </row>
    <row r="65" spans="1:7" ht="26.05" customHeight="1" x14ac:dyDescent="0.55000000000000004">
      <c r="A65" s="10"/>
      <c r="B65" s="10"/>
      <c r="C65" s="10"/>
      <c r="D65" s="10"/>
      <c r="E65" s="10" t="s">
        <v>107</v>
      </c>
      <c r="F65" s="23"/>
      <c r="G65" s="10" t="s">
        <v>108</v>
      </c>
    </row>
    <row r="66" spans="1:7" ht="28" customHeight="1" x14ac:dyDescent="0.55000000000000004">
      <c r="A66" s="102" t="s">
        <v>109</v>
      </c>
      <c r="B66" s="103"/>
      <c r="C66" s="103"/>
      <c r="D66" s="103"/>
      <c r="E66" s="103"/>
      <c r="F66" s="103"/>
      <c r="G66" s="103"/>
    </row>
    <row r="67" spans="1:7" ht="5.05" customHeight="1" x14ac:dyDescent="0.55000000000000004">
      <c r="A67" s="1"/>
      <c r="B67" s="1"/>
      <c r="C67" s="1"/>
      <c r="D67" s="1"/>
      <c r="E67" s="1"/>
      <c r="F67" s="1"/>
      <c r="G67" s="1"/>
    </row>
    <row r="68" spans="1:7" ht="32.049999999999997" customHeight="1" x14ac:dyDescent="0.55000000000000004">
      <c r="A68" s="99" t="s">
        <v>110</v>
      </c>
      <c r="B68" s="70"/>
      <c r="C68" s="70"/>
      <c r="D68" s="70"/>
      <c r="E68" s="25">
        <f>C54</f>
        <v>0</v>
      </c>
      <c r="F68" s="71" t="s">
        <v>111</v>
      </c>
      <c r="G68" s="70"/>
    </row>
  </sheetData>
  <mergeCells count="83">
    <mergeCell ref="F55:G55"/>
    <mergeCell ref="F12:G12"/>
    <mergeCell ref="D32:E32"/>
    <mergeCell ref="F32:G32"/>
    <mergeCell ref="C19:E19"/>
    <mergeCell ref="F52:G52"/>
    <mergeCell ref="F53:G53"/>
    <mergeCell ref="A2:G2"/>
    <mergeCell ref="F14:G14"/>
    <mergeCell ref="D54:E54"/>
    <mergeCell ref="A14:D14"/>
    <mergeCell ref="F11:G11"/>
    <mergeCell ref="A24:B24"/>
    <mergeCell ref="A20:B20"/>
    <mergeCell ref="A29:B29"/>
    <mergeCell ref="A31:B31"/>
    <mergeCell ref="A1:G1"/>
    <mergeCell ref="F31:G31"/>
    <mergeCell ref="F28:G28"/>
    <mergeCell ref="B47:D47"/>
    <mergeCell ref="F9:G9"/>
    <mergeCell ref="C24:E24"/>
    <mergeCell ref="A3:G3"/>
    <mergeCell ref="D29:E29"/>
    <mergeCell ref="A34:B34"/>
    <mergeCell ref="A8:D8"/>
    <mergeCell ref="A4:G4"/>
    <mergeCell ref="A10:D10"/>
    <mergeCell ref="F8:G8"/>
    <mergeCell ref="A21:B21"/>
    <mergeCell ref="A6:G6"/>
    <mergeCell ref="A32:B32"/>
    <mergeCell ref="A9:D9"/>
    <mergeCell ref="F30:G30"/>
    <mergeCell ref="F33:G33"/>
    <mergeCell ref="A11:D11"/>
    <mergeCell ref="D53:E53"/>
    <mergeCell ref="A36:G36"/>
    <mergeCell ref="A52:B52"/>
    <mergeCell ref="D52:E52"/>
    <mergeCell ref="D28:E28"/>
    <mergeCell ref="A23:B23"/>
    <mergeCell ref="D30:E30"/>
    <mergeCell ref="A18:G18"/>
    <mergeCell ref="A12:D12"/>
    <mergeCell ref="A50:G50"/>
    <mergeCell ref="F10:G10"/>
    <mergeCell ref="F54:G54"/>
    <mergeCell ref="D34:E34"/>
    <mergeCell ref="C22:E22"/>
    <mergeCell ref="F34:G34"/>
    <mergeCell ref="A13:D13"/>
    <mergeCell ref="A54:B54"/>
    <mergeCell ref="F15:G15"/>
    <mergeCell ref="C23:E23"/>
    <mergeCell ref="A48:G48"/>
    <mergeCell ref="A15:D15"/>
    <mergeCell ref="A33:B33"/>
    <mergeCell ref="A16:D16"/>
    <mergeCell ref="F13:G13"/>
    <mergeCell ref="A22:B22"/>
    <mergeCell ref="A53:B53"/>
    <mergeCell ref="A37:G37"/>
    <mergeCell ref="D33:E33"/>
    <mergeCell ref="A19:B19"/>
    <mergeCell ref="A28:B28"/>
    <mergeCell ref="A26:G26"/>
    <mergeCell ref="F29:G29"/>
    <mergeCell ref="F16:G16"/>
    <mergeCell ref="F68:G68"/>
    <mergeCell ref="C21:E21"/>
    <mergeCell ref="D31:E31"/>
    <mergeCell ref="A59:G59"/>
    <mergeCell ref="A56:B56"/>
    <mergeCell ref="D56:E56"/>
    <mergeCell ref="F56:G56"/>
    <mergeCell ref="C20:E20"/>
    <mergeCell ref="A30:B30"/>
    <mergeCell ref="A68:D68"/>
    <mergeCell ref="A58:G58"/>
    <mergeCell ref="A55:B55"/>
    <mergeCell ref="A66:G66"/>
    <mergeCell ref="D55:E55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14">
    <dataValidation type="list" sqref="E8" xr:uid="{00000000-0002-0000-0000-000000000000}">
      <formula1>"EVET,HAYIR-İstisna Yok"</formula1>
    </dataValidation>
    <dataValidation type="list" sqref="E9" xr:uid="{00000000-0002-0000-0000-000001000000}">
      <formula1>"Daimi İşyeri (PE) Kazancı,Temettü (Md.10),Faiz (Md.11),Gayrimaddi Hak (Md.12),Sermaye Değer Artışı (Md.13),Bağımsız Meslekler (Md.14),Serbest Meslek (Md.15),Gemi/Hava (Md.8),Diğer Gelirler (Md.21)"</formula1>
    </dataValidation>
    <dataValidation type="list" sqref="E10" xr:uid="{00000000-0002-0000-0000-000002000000}">
      <formula1>"EVET-Yalnızca Kaynak Ülke,HAYIR-Paylaşımlı Yetki,Evet-Muafiyet Yöntemi"</formula1>
    </dataValidation>
    <dataValidation type="list" sqref="E11" xr:uid="{00000000-0002-0000-0000-000003000000}">
      <formula1>"HAYIR-Yalnızca ÇVÖA,EVET-Çakışma Analizi,EVET-Farklı Madde"</formula1>
    </dataValidation>
    <dataValidation type="list" sqref="E12" xr:uid="{00000000-0002-0000-0000-000004000000}">
      <formula1>"EVET,HAYIR-Koşul Eksik,Uygulanmaz-Farklı Gelir Türü"</formula1>
    </dataValidation>
    <dataValidation type="list" sqref="E13" xr:uid="{00000000-0002-0000-0000-000005000000}">
      <formula1>"EVET-Etkisiz,EVET-Matrahı Azaltabilir,HAYIR-Analiz Eksik"</formula1>
    </dataValidation>
    <dataValidation type="list" sqref="E14" xr:uid="{00000000-0002-0000-0000-000006000000}">
      <formula1>"EVET,HAYIR,Uygulanmaz-Muafiyet Yöntemi"</formula1>
    </dataValidation>
    <dataValidation type="list" sqref="E15" xr:uid="{00000000-0002-0000-0000-000007000000}">
      <formula1>"EVET,Tam Tasdik"</formula1>
    </dataValidation>
    <dataValidation type="list" sqref="C28 A39:A46" xr:uid="{00000000-0002-0000-0000-000008000000}">
      <formula1>_xlfn._LONGTEXT("Almanya,Avusturya,Azerbaycan,Bahreyn,Belçika,Bulgaristan,Çin,Danimarka,Endonezya,Fas,Finlandiya,Fransa,Güney Kore,Gürcistan,Hollanda,Hırvatistan,İngiltere,İran,İspanya,İsveç,İsviçre,İtalya,Japonya,Kanada,Kazakistan,Kuveyt,Lüksemburg,Macaristan,Mısır,Moldo","va,Norveç,Özbekistan,Pakistan,Polonya,Portekiz,Romanya,Rusya,Singapur,Slovakya,Slovenya,S.Arabistan,Tacikistan,Tunus,Türkmenistan,Ukrayna,Ürdün,ABD,Yemen,Yunanistan,Diğer ÇVÖA Ülkesi")</formula1>
    </dataValidation>
    <dataValidation type="list" sqref="C31 B39:B46" xr:uid="{00000000-0002-0000-0000-000009000000}">
      <formula1>"Yurt Dışı Daimi İşyeri (Şube) Kazancı,Yurt Dışı İştirak Kazancı (ÇVÖA),Faiz Geliri (ÇVÖA),Temettü Geliri (ÇVÖA),Gayrimaddi Hak Bedeli (ÇVÖA),Sermaye Değer Artış Kazancı (ÇVÖA),Hizmet Geliri (ÇVÖA),Diğer ÇVÖA Geliri"</formula1>
    </dataValidation>
    <dataValidation type="list" sqref="C32" xr:uid="{00000000-0002-0000-0000-00000A000000}">
      <formula1>"Muafiyet Yöntemi (Exemption),Mahsup Yöntemi (Tax Credit),Tam Muafiyet"</formula1>
    </dataValidation>
    <dataValidation type="list" sqref="C33" xr:uid="{00000000-0002-0000-0000-00000B000000}">
      <formula1>"EVET,HAYIR-PE Yok"</formula1>
    </dataValidation>
    <dataValidation type="list" sqref="C34" xr:uid="{00000000-0002-0000-0000-00000C000000}">
      <formula1>"HAYIR,EVET-Çakışma Analizi Yapıldı"</formula1>
    </dataValidation>
    <dataValidation type="list" sqref="E61:E65" xr:uid="{00000000-0002-0000-0000-00001D000000}">
      <formula1>"Muafiyet Yöntemi — YİAKV Matrahını Azaltır,Muafiyet Yöntemi — YİAKV Matrahını Azaltmaz,Mahsup Yöntemi — YİAKV Hesabı Farklı,Analiz Sürecinde,Özelge Gerekli"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22" t="s">
        <v>112</v>
      </c>
      <c r="B1" s="89"/>
      <c r="C1" s="89"/>
      <c r="D1" s="89"/>
      <c r="E1" s="89"/>
      <c r="F1" s="89"/>
      <c r="G1" s="89"/>
    </row>
    <row r="2" spans="1:7" ht="20.05" customHeight="1" x14ac:dyDescent="0.55000000000000004">
      <c r="A2" s="104" t="s">
        <v>113</v>
      </c>
      <c r="B2" s="105"/>
      <c r="C2" s="105"/>
      <c r="D2" s="105"/>
      <c r="E2" s="105"/>
      <c r="F2" s="105"/>
      <c r="G2" s="105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2" t="s">
        <v>114</v>
      </c>
      <c r="B4" s="113"/>
      <c r="C4" s="113"/>
      <c r="D4" s="113"/>
      <c r="E4" s="113"/>
      <c r="F4" s="113"/>
      <c r="G4" s="113"/>
    </row>
    <row r="5" spans="1:7" ht="22" customHeight="1" x14ac:dyDescent="0.55000000000000004">
      <c r="A5" s="119" t="s">
        <v>115</v>
      </c>
      <c r="B5" s="68"/>
      <c r="C5" s="68"/>
      <c r="D5" s="26" t="str">
        <f>'VERİ GİRİŞİ'!E16</f>
        <v>OK - Hesaplanabilir</v>
      </c>
      <c r="E5" s="77" t="s">
        <v>116</v>
      </c>
      <c r="F5" s="68"/>
      <c r="G5" s="68"/>
    </row>
    <row r="6" spans="1:7" ht="22" customHeight="1" x14ac:dyDescent="0.55000000000000004">
      <c r="A6" s="120" t="s">
        <v>40</v>
      </c>
      <c r="B6" s="82"/>
      <c r="C6" s="82"/>
      <c r="D6" s="26" t="str">
        <f>'VERİ GİRİŞİ'!C28</f>
        <v>Almanya</v>
      </c>
      <c r="E6" s="87" t="s">
        <v>117</v>
      </c>
      <c r="F6" s="82"/>
      <c r="G6" s="82"/>
    </row>
    <row r="7" spans="1:7" ht="22" customHeight="1" x14ac:dyDescent="0.55000000000000004">
      <c r="A7" s="119" t="s">
        <v>118</v>
      </c>
      <c r="B7" s="68"/>
      <c r="C7" s="68"/>
      <c r="D7" s="26" t="str">
        <f>'VERİ GİRİŞİ'!C31</f>
        <v>Yurt Dışı Daimi İşyeri (Şube) Kazancı</v>
      </c>
      <c r="E7" s="77" t="s">
        <v>119</v>
      </c>
      <c r="F7" s="68"/>
      <c r="G7" s="68"/>
    </row>
    <row r="8" spans="1:7" ht="22" customHeight="1" x14ac:dyDescent="0.55000000000000004">
      <c r="A8" s="120" t="s">
        <v>120</v>
      </c>
      <c r="B8" s="82"/>
      <c r="C8" s="82"/>
      <c r="D8" s="26" t="str">
        <f>'VERİ GİRİŞİ'!C32</f>
        <v>Muafiyet Yöntemi</v>
      </c>
      <c r="E8" s="87" t="s">
        <v>121</v>
      </c>
      <c r="F8" s="82"/>
      <c r="G8" s="82"/>
    </row>
    <row r="9" spans="1:7" ht="22" customHeight="1" x14ac:dyDescent="0.55000000000000004">
      <c r="A9" s="84" t="s">
        <v>122</v>
      </c>
      <c r="B9" s="70"/>
      <c r="C9" s="70"/>
      <c r="D9" s="27">
        <f>'VERİ GİRİŞİ'!C54</f>
        <v>0</v>
      </c>
      <c r="E9" s="90"/>
      <c r="F9" s="70"/>
      <c r="G9" s="70"/>
    </row>
    <row r="10" spans="1:7" ht="22" customHeight="1" x14ac:dyDescent="0.55000000000000004">
      <c r="A10" s="121" t="s">
        <v>123</v>
      </c>
      <c r="B10" s="110"/>
      <c r="C10" s="110"/>
      <c r="D10" s="28" t="s">
        <v>124</v>
      </c>
      <c r="E10" s="109" t="s">
        <v>125</v>
      </c>
      <c r="F10" s="110"/>
      <c r="G10" s="11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88" t="s">
        <v>126</v>
      </c>
      <c r="B12" s="89"/>
      <c r="C12" s="89"/>
      <c r="D12" s="89"/>
      <c r="E12" s="89"/>
      <c r="F12" s="89"/>
      <c r="G12" s="89"/>
    </row>
    <row r="13" spans="1:7" ht="72" customHeight="1" x14ac:dyDescent="0.55000000000000004">
      <c r="A13" s="118" t="s">
        <v>127</v>
      </c>
      <c r="B13" s="79"/>
      <c r="C13" s="79"/>
      <c r="D13" s="79"/>
      <c r="E13" s="79"/>
      <c r="F13" s="79"/>
      <c r="G13" s="79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88" t="s">
        <v>128</v>
      </c>
      <c r="B15" s="89"/>
      <c r="C15" s="89"/>
      <c r="D15" s="89"/>
      <c r="E15" s="89"/>
      <c r="F15" s="89"/>
      <c r="G15" s="89"/>
    </row>
    <row r="16" spans="1:7" ht="18" customHeight="1" x14ac:dyDescent="0.55000000000000004">
      <c r="A16" s="2"/>
      <c r="B16" s="2" t="s">
        <v>129</v>
      </c>
      <c r="C16" s="2"/>
      <c r="D16" s="2" t="s">
        <v>45</v>
      </c>
      <c r="E16" s="2"/>
      <c r="F16" s="2" t="s">
        <v>130</v>
      </c>
      <c r="G16" s="2"/>
    </row>
    <row r="17" spans="1:7" ht="22" customHeight="1" x14ac:dyDescent="0.55000000000000004">
      <c r="A17" s="29" t="s">
        <v>131</v>
      </c>
      <c r="B17" s="116" t="s">
        <v>132</v>
      </c>
      <c r="C17" s="75"/>
      <c r="D17" s="107" t="s">
        <v>133</v>
      </c>
      <c r="E17" s="108"/>
      <c r="F17" s="32" t="s">
        <v>134</v>
      </c>
      <c r="G17" s="5"/>
    </row>
    <row r="18" spans="1:7" ht="22" customHeight="1" x14ac:dyDescent="0.55000000000000004">
      <c r="A18" s="29" t="s">
        <v>135</v>
      </c>
      <c r="B18" s="116" t="s">
        <v>136</v>
      </c>
      <c r="C18" s="75"/>
      <c r="D18" s="107" t="s">
        <v>137</v>
      </c>
      <c r="E18" s="108"/>
      <c r="F18" s="32" t="s">
        <v>134</v>
      </c>
      <c r="G18" s="3"/>
    </row>
    <row r="19" spans="1:7" ht="22" customHeight="1" x14ac:dyDescent="0.55000000000000004">
      <c r="A19" s="29" t="s">
        <v>138</v>
      </c>
      <c r="B19" s="116" t="s">
        <v>139</v>
      </c>
      <c r="C19" s="75"/>
      <c r="D19" s="107" t="s">
        <v>140</v>
      </c>
      <c r="E19" s="108"/>
      <c r="F19" s="32" t="s">
        <v>134</v>
      </c>
      <c r="G19" s="5"/>
    </row>
    <row r="20" spans="1:7" ht="22" customHeight="1" x14ac:dyDescent="0.55000000000000004">
      <c r="A20" s="29" t="s">
        <v>141</v>
      </c>
      <c r="B20" s="116" t="s">
        <v>142</v>
      </c>
      <c r="C20" s="75"/>
      <c r="D20" s="107" t="s">
        <v>143</v>
      </c>
      <c r="E20" s="108"/>
      <c r="F20" s="32" t="s">
        <v>134</v>
      </c>
      <c r="G20" s="3"/>
    </row>
    <row r="21" spans="1:7" ht="22" customHeight="1" x14ac:dyDescent="0.55000000000000004">
      <c r="A21" s="29" t="s">
        <v>144</v>
      </c>
      <c r="B21" s="111" t="s">
        <v>145</v>
      </c>
      <c r="C21" s="68"/>
      <c r="D21" s="117" t="s">
        <v>146</v>
      </c>
      <c r="E21" s="68"/>
      <c r="F21" s="32" t="s">
        <v>134</v>
      </c>
      <c r="G21" s="5"/>
    </row>
    <row r="22" spans="1:7" ht="22" customHeight="1" x14ac:dyDescent="0.55000000000000004">
      <c r="A22" s="29" t="s">
        <v>147</v>
      </c>
      <c r="B22" s="114" t="s">
        <v>148</v>
      </c>
      <c r="C22" s="82"/>
      <c r="D22" s="115" t="s">
        <v>149</v>
      </c>
      <c r="E22" s="82"/>
      <c r="F22" s="32" t="s">
        <v>134</v>
      </c>
      <c r="G22" s="3"/>
    </row>
    <row r="23" spans="1:7" ht="22" customHeight="1" x14ac:dyDescent="0.55000000000000004">
      <c r="A23" s="29" t="s">
        <v>150</v>
      </c>
      <c r="B23" s="111" t="s">
        <v>151</v>
      </c>
      <c r="C23" s="68"/>
      <c r="D23" s="117" t="s">
        <v>152</v>
      </c>
      <c r="E23" s="68"/>
      <c r="F23" s="32" t="s">
        <v>134</v>
      </c>
      <c r="G23" s="5"/>
    </row>
    <row r="24" spans="1:7" ht="22" customHeight="1" x14ac:dyDescent="0.55000000000000004">
      <c r="A24" s="29" t="s">
        <v>153</v>
      </c>
      <c r="B24" s="116" t="s">
        <v>154</v>
      </c>
      <c r="C24" s="75"/>
      <c r="D24" s="107" t="s">
        <v>155</v>
      </c>
      <c r="E24" s="108"/>
      <c r="F24" s="32" t="s">
        <v>134</v>
      </c>
      <c r="G24" s="3"/>
    </row>
    <row r="25" spans="1:7" ht="22" customHeight="1" x14ac:dyDescent="0.55000000000000004">
      <c r="A25" s="29" t="s">
        <v>156</v>
      </c>
      <c r="B25" s="111" t="s">
        <v>157</v>
      </c>
      <c r="C25" s="68"/>
      <c r="D25" s="117" t="s">
        <v>158</v>
      </c>
      <c r="E25" s="68"/>
      <c r="F25" s="32" t="s">
        <v>134</v>
      </c>
      <c r="G25" s="5"/>
    </row>
    <row r="26" spans="1:7" ht="22" customHeight="1" x14ac:dyDescent="0.55000000000000004">
      <c r="A26" s="29" t="s">
        <v>159</v>
      </c>
      <c r="B26" s="114" t="s">
        <v>160</v>
      </c>
      <c r="C26" s="82"/>
      <c r="D26" s="115" t="s">
        <v>161</v>
      </c>
      <c r="E26" s="82"/>
      <c r="F26" s="32" t="s">
        <v>134</v>
      </c>
      <c r="G26" s="3"/>
    </row>
    <row r="27" spans="1:7" ht="22" customHeight="1" x14ac:dyDescent="0.55000000000000004">
      <c r="A27" s="29" t="s">
        <v>162</v>
      </c>
      <c r="B27" s="111" t="s">
        <v>163</v>
      </c>
      <c r="C27" s="68"/>
      <c r="D27" s="117" t="s">
        <v>164</v>
      </c>
      <c r="E27" s="68"/>
      <c r="F27" s="32" t="s">
        <v>134</v>
      </c>
      <c r="G27" s="5"/>
    </row>
    <row r="28" spans="1:7" ht="22" customHeight="1" x14ac:dyDescent="0.55000000000000004">
      <c r="A28" s="29" t="s">
        <v>165</v>
      </c>
      <c r="B28" s="114" t="s">
        <v>166</v>
      </c>
      <c r="C28" s="82"/>
      <c r="D28" s="115" t="s">
        <v>167</v>
      </c>
      <c r="E28" s="82"/>
      <c r="F28" s="32" t="s">
        <v>134</v>
      </c>
      <c r="G28" s="3"/>
    </row>
    <row r="29" spans="1:7" ht="22" customHeight="1" x14ac:dyDescent="0.55000000000000004">
      <c r="A29" s="29" t="s">
        <v>168</v>
      </c>
      <c r="B29" s="111" t="s">
        <v>169</v>
      </c>
      <c r="C29" s="68"/>
      <c r="D29" s="117" t="s">
        <v>170</v>
      </c>
      <c r="E29" s="68"/>
      <c r="F29" s="32" t="s">
        <v>134</v>
      </c>
      <c r="G29" s="5"/>
    </row>
    <row r="30" spans="1:7" ht="22" customHeight="1" x14ac:dyDescent="0.55000000000000004">
      <c r="A30" s="29" t="s">
        <v>171</v>
      </c>
      <c r="B30" s="114" t="s">
        <v>172</v>
      </c>
      <c r="C30" s="82"/>
      <c r="D30" s="115" t="s">
        <v>173</v>
      </c>
      <c r="E30" s="82"/>
      <c r="F30" s="32" t="s">
        <v>134</v>
      </c>
      <c r="G30" s="3"/>
    </row>
  </sheetData>
  <mergeCells count="46">
    <mergeCell ref="B30:C30"/>
    <mergeCell ref="D24:E24"/>
    <mergeCell ref="D30:E30"/>
    <mergeCell ref="E5:G5"/>
    <mergeCell ref="B20:C20"/>
    <mergeCell ref="D29:E29"/>
    <mergeCell ref="A6:C6"/>
    <mergeCell ref="E8:G8"/>
    <mergeCell ref="A12:G12"/>
    <mergeCell ref="D23:E23"/>
    <mergeCell ref="B26:C26"/>
    <mergeCell ref="A7:C7"/>
    <mergeCell ref="D26:E26"/>
    <mergeCell ref="A1:G1"/>
    <mergeCell ref="B29:C29"/>
    <mergeCell ref="B19:C19"/>
    <mergeCell ref="B28:C28"/>
    <mergeCell ref="A9:C9"/>
    <mergeCell ref="D28:E28"/>
    <mergeCell ref="D18:E18"/>
    <mergeCell ref="D25:E25"/>
    <mergeCell ref="B24:C24"/>
    <mergeCell ref="A2:G2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23" t="s">
        <v>174</v>
      </c>
      <c r="B1" s="89"/>
      <c r="C1" s="89"/>
      <c r="D1" s="89"/>
      <c r="E1" s="89"/>
      <c r="F1" s="89"/>
      <c r="G1" s="89"/>
    </row>
    <row r="2" spans="1:7" ht="20.05" customHeight="1" x14ac:dyDescent="0.55000000000000004">
      <c r="A2" s="125" t="s">
        <v>175</v>
      </c>
      <c r="B2" s="105"/>
      <c r="C2" s="105"/>
      <c r="D2" s="105"/>
      <c r="E2" s="105"/>
      <c r="F2" s="105"/>
      <c r="G2" s="105"/>
    </row>
    <row r="4" spans="1:7" ht="26.05" customHeight="1" x14ac:dyDescent="0.55000000000000004">
      <c r="A4" s="88" t="s">
        <v>176</v>
      </c>
      <c r="B4" s="89"/>
      <c r="C4" s="89"/>
      <c r="D4" s="89"/>
      <c r="E4" s="89"/>
      <c r="F4" s="89"/>
      <c r="G4" s="89"/>
    </row>
    <row r="5" spans="1:7" ht="22" customHeight="1" x14ac:dyDescent="0.55000000000000004">
      <c r="A5" s="124" t="s">
        <v>177</v>
      </c>
      <c r="B5" s="82"/>
      <c r="C5" s="82"/>
      <c r="D5" s="82"/>
      <c r="E5" s="82"/>
      <c r="F5" s="82"/>
      <c r="G5" s="82"/>
    </row>
    <row r="6" spans="1:7" ht="18" customHeight="1" x14ac:dyDescent="0.55000000000000004">
      <c r="A6" s="35"/>
      <c r="B6" s="35" t="s">
        <v>178</v>
      </c>
      <c r="C6" s="35" t="s">
        <v>179</v>
      </c>
      <c r="D6" s="35" t="s">
        <v>180</v>
      </c>
      <c r="E6" s="35" t="s">
        <v>181</v>
      </c>
      <c r="F6" s="35" t="s">
        <v>182</v>
      </c>
      <c r="G6" s="35" t="s">
        <v>183</v>
      </c>
    </row>
    <row r="7" spans="1:7" ht="24" customHeight="1" x14ac:dyDescent="0.55000000000000004">
      <c r="A7" s="36" t="s">
        <v>181</v>
      </c>
      <c r="B7" s="36" t="s">
        <v>184</v>
      </c>
      <c r="C7" s="36" t="s">
        <v>185</v>
      </c>
      <c r="D7" s="36" t="s">
        <v>186</v>
      </c>
      <c r="E7" s="36" t="s">
        <v>187</v>
      </c>
      <c r="F7" s="36" t="s">
        <v>82</v>
      </c>
      <c r="G7" s="36" t="s">
        <v>188</v>
      </c>
    </row>
    <row r="8" spans="1:7" ht="24" customHeight="1" x14ac:dyDescent="0.55000000000000004">
      <c r="A8" s="37" t="s">
        <v>182</v>
      </c>
      <c r="B8" s="37" t="s">
        <v>184</v>
      </c>
      <c r="C8" s="37" t="s">
        <v>189</v>
      </c>
      <c r="D8" s="37" t="s">
        <v>190</v>
      </c>
      <c r="E8" s="37" t="s">
        <v>82</v>
      </c>
      <c r="F8" s="37" t="s">
        <v>187</v>
      </c>
      <c r="G8" s="37" t="s">
        <v>191</v>
      </c>
    </row>
    <row r="9" spans="1:7" ht="20.05" customHeight="1" x14ac:dyDescent="0.55000000000000004">
      <c r="A9" s="124" t="s">
        <v>192</v>
      </c>
      <c r="B9" s="82"/>
      <c r="C9" s="82"/>
      <c r="D9" s="82"/>
      <c r="E9" s="82"/>
      <c r="F9" s="82"/>
      <c r="G9" s="82"/>
    </row>
    <row r="10" spans="1:7" ht="26.05" customHeight="1" x14ac:dyDescent="0.55000000000000004">
      <c r="A10" s="88" t="s">
        <v>193</v>
      </c>
      <c r="B10" s="89"/>
      <c r="C10" s="89"/>
      <c r="D10" s="89"/>
      <c r="E10" s="89"/>
      <c r="F10" s="89"/>
      <c r="G10" s="89"/>
    </row>
    <row r="11" spans="1:7" ht="18" customHeight="1" x14ac:dyDescent="0.55000000000000004">
      <c r="A11" s="35"/>
      <c r="B11" s="35" t="s">
        <v>178</v>
      </c>
      <c r="C11" s="35" t="s">
        <v>179</v>
      </c>
      <c r="D11" s="35" t="s">
        <v>180</v>
      </c>
      <c r="E11" s="35" t="s">
        <v>181</v>
      </c>
      <c r="F11" s="35" t="s">
        <v>182</v>
      </c>
      <c r="G11" s="35" t="s">
        <v>183</v>
      </c>
    </row>
    <row r="12" spans="1:7" ht="22" customHeight="1" x14ac:dyDescent="0.55000000000000004">
      <c r="A12" s="36" t="s">
        <v>181</v>
      </c>
      <c r="B12" s="36" t="s">
        <v>194</v>
      </c>
      <c r="C12" s="36" t="s">
        <v>195</v>
      </c>
      <c r="D12" s="36" t="s">
        <v>196</v>
      </c>
      <c r="E12" s="36" t="s">
        <v>187</v>
      </c>
      <c r="F12" s="36" t="s">
        <v>82</v>
      </c>
      <c r="G12" s="36" t="s">
        <v>197</v>
      </c>
    </row>
    <row r="13" spans="1:7" ht="22" customHeight="1" x14ac:dyDescent="0.55000000000000004">
      <c r="A13" s="37" t="s">
        <v>182</v>
      </c>
      <c r="B13" s="37" t="s">
        <v>194</v>
      </c>
      <c r="C13" s="37" t="s">
        <v>198</v>
      </c>
      <c r="D13" s="37" t="s">
        <v>199</v>
      </c>
      <c r="E13" s="37" t="s">
        <v>82</v>
      </c>
      <c r="F13" s="37" t="s">
        <v>187</v>
      </c>
      <c r="G13" s="37" t="s">
        <v>200</v>
      </c>
    </row>
    <row r="14" spans="1:7" ht="26.05" customHeight="1" x14ac:dyDescent="0.55000000000000004">
      <c r="A14" s="88" t="s">
        <v>201</v>
      </c>
      <c r="B14" s="89"/>
      <c r="C14" s="89"/>
      <c r="D14" s="89"/>
      <c r="E14" s="89"/>
      <c r="F14" s="89"/>
      <c r="G14" s="89"/>
    </row>
    <row r="15" spans="1:7" ht="52" customHeight="1" x14ac:dyDescent="0.55000000000000004">
      <c r="A15" s="118" t="s">
        <v>202</v>
      </c>
      <c r="B15" s="79"/>
      <c r="C15" s="79"/>
      <c r="D15" s="79"/>
      <c r="E15" s="79"/>
      <c r="F15" s="79"/>
      <c r="G15" s="79"/>
    </row>
  </sheetData>
  <mergeCells count="8">
    <mergeCell ref="A15:G15"/>
    <mergeCell ref="A10:G10"/>
    <mergeCell ref="A5:G5"/>
    <mergeCell ref="A14:G14"/>
    <mergeCell ref="A1:G1"/>
    <mergeCell ref="A9:G9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29" t="s">
        <v>203</v>
      </c>
      <c r="B1" s="89"/>
      <c r="C1" s="89"/>
      <c r="D1" s="89"/>
      <c r="E1" s="89"/>
      <c r="F1" s="89"/>
      <c r="G1" s="89"/>
    </row>
    <row r="2" spans="1:7" ht="22" customHeight="1" x14ac:dyDescent="0.55000000000000004">
      <c r="A2" s="127" t="s">
        <v>204</v>
      </c>
      <c r="B2" s="128"/>
      <c r="C2" s="128"/>
      <c r="D2" s="128"/>
      <c r="E2" s="128"/>
      <c r="F2" s="128"/>
      <c r="G2" s="128"/>
    </row>
    <row r="3" spans="1:7" ht="18" customHeight="1" x14ac:dyDescent="0.55000000000000004">
      <c r="A3" s="35" t="s">
        <v>205</v>
      </c>
      <c r="B3" s="35" t="s">
        <v>206</v>
      </c>
      <c r="C3" s="35" t="s">
        <v>207</v>
      </c>
      <c r="D3" s="35" t="s">
        <v>208</v>
      </c>
    </row>
    <row r="4" spans="1:7" ht="72" customHeight="1" x14ac:dyDescent="0.55000000000000004">
      <c r="A4" s="29" t="s">
        <v>209</v>
      </c>
      <c r="B4" s="34" t="s">
        <v>210</v>
      </c>
      <c r="C4" s="38" t="s">
        <v>211</v>
      </c>
      <c r="D4" s="39" t="s">
        <v>212</v>
      </c>
    </row>
    <row r="5" spans="1:7" ht="64" customHeight="1" x14ac:dyDescent="0.55000000000000004">
      <c r="A5" s="40" t="s">
        <v>213</v>
      </c>
      <c r="B5" s="30" t="s">
        <v>214</v>
      </c>
      <c r="C5" s="31" t="s">
        <v>215</v>
      </c>
      <c r="D5" s="41" t="s">
        <v>216</v>
      </c>
    </row>
    <row r="6" spans="1:7" ht="72" customHeight="1" x14ac:dyDescent="0.55000000000000004">
      <c r="A6" s="40" t="s">
        <v>217</v>
      </c>
      <c r="B6" s="42" t="s">
        <v>218</v>
      </c>
      <c r="C6" s="31" t="s">
        <v>219</v>
      </c>
      <c r="D6" s="43" t="s">
        <v>220</v>
      </c>
    </row>
    <row r="7" spans="1:7" ht="64" customHeight="1" x14ac:dyDescent="0.55000000000000004">
      <c r="A7" s="29" t="s">
        <v>221</v>
      </c>
      <c r="B7" s="34" t="s">
        <v>222</v>
      </c>
      <c r="C7" s="38" t="s">
        <v>223</v>
      </c>
      <c r="D7" s="39" t="s">
        <v>224</v>
      </c>
    </row>
    <row r="8" spans="1:7" ht="72" customHeight="1" x14ac:dyDescent="0.55000000000000004">
      <c r="A8" s="29" t="s">
        <v>225</v>
      </c>
      <c r="B8" s="33" t="s">
        <v>226</v>
      </c>
      <c r="C8" s="38" t="s">
        <v>227</v>
      </c>
      <c r="D8" s="44" t="s">
        <v>228</v>
      </c>
    </row>
    <row r="9" spans="1:7" ht="44.05" customHeight="1" x14ac:dyDescent="0.55000000000000004">
      <c r="A9" s="126" t="s">
        <v>229</v>
      </c>
      <c r="B9" s="95"/>
      <c r="C9" s="95"/>
      <c r="D9" s="95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32" t="s">
        <v>230</v>
      </c>
      <c r="B1" s="133"/>
      <c r="C1" s="133"/>
      <c r="D1" s="133"/>
      <c r="E1" s="133"/>
      <c r="F1" s="133"/>
    </row>
    <row r="2" spans="1:6" ht="22" customHeight="1" x14ac:dyDescent="0.55000000000000004">
      <c r="A2" s="130" t="s">
        <v>231</v>
      </c>
      <c r="B2" s="131"/>
      <c r="C2" s="131"/>
      <c r="D2" s="131"/>
      <c r="E2" s="131"/>
      <c r="F2" s="131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38" t="s">
        <v>232</v>
      </c>
      <c r="B4" s="139"/>
      <c r="C4" s="139"/>
      <c r="D4" s="139"/>
      <c r="E4" s="139"/>
      <c r="F4" s="139"/>
    </row>
    <row r="5" spans="1:6" ht="18" customHeight="1" x14ac:dyDescent="0.55000000000000004">
      <c r="A5" s="35"/>
      <c r="B5" s="35" t="s">
        <v>233</v>
      </c>
      <c r="C5" s="35" t="s">
        <v>234</v>
      </c>
      <c r="D5" s="35" t="s">
        <v>45</v>
      </c>
      <c r="E5" s="35" t="s">
        <v>235</v>
      </c>
      <c r="F5" s="35"/>
    </row>
    <row r="6" spans="1:6" ht="44.05" customHeight="1" x14ac:dyDescent="0.55000000000000004">
      <c r="A6" s="6"/>
      <c r="B6" s="45" t="s">
        <v>236</v>
      </c>
      <c r="C6" s="46" t="s">
        <v>237</v>
      </c>
      <c r="D6" s="47" t="s">
        <v>238</v>
      </c>
      <c r="E6" s="48" t="s">
        <v>239</v>
      </c>
      <c r="F6" s="6"/>
    </row>
    <row r="7" spans="1:6" ht="44.05" customHeight="1" x14ac:dyDescent="0.55000000000000004">
      <c r="A7" s="6"/>
      <c r="B7" s="45" t="s">
        <v>240</v>
      </c>
      <c r="C7" s="46" t="s">
        <v>241</v>
      </c>
      <c r="D7" s="47" t="s">
        <v>242</v>
      </c>
      <c r="E7" s="48" t="s">
        <v>243</v>
      </c>
      <c r="F7" s="6"/>
    </row>
    <row r="8" spans="1:6" ht="36" customHeight="1" x14ac:dyDescent="0.55000000000000004">
      <c r="A8" s="6"/>
      <c r="B8" s="45" t="s">
        <v>244</v>
      </c>
      <c r="C8" s="46" t="s">
        <v>245</v>
      </c>
      <c r="D8" s="47" t="s">
        <v>246</v>
      </c>
      <c r="E8" s="48" t="s">
        <v>247</v>
      </c>
      <c r="F8" s="6"/>
    </row>
    <row r="9" spans="1:6" ht="36" customHeight="1" x14ac:dyDescent="0.55000000000000004">
      <c r="A9" s="6"/>
      <c r="B9" s="45" t="s">
        <v>248</v>
      </c>
      <c r="C9" s="46" t="s">
        <v>249</v>
      </c>
      <c r="D9" s="47" t="s">
        <v>250</v>
      </c>
      <c r="E9" s="48" t="s">
        <v>251</v>
      </c>
      <c r="F9" s="6"/>
    </row>
    <row r="10" spans="1:6" ht="36" customHeight="1" x14ac:dyDescent="0.55000000000000004">
      <c r="A10" s="6"/>
      <c r="B10" s="45" t="s">
        <v>252</v>
      </c>
      <c r="C10" s="46" t="s">
        <v>253</v>
      </c>
      <c r="D10" s="47" t="s">
        <v>254</v>
      </c>
      <c r="E10" s="48" t="s">
        <v>255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36" t="s">
        <v>256</v>
      </c>
      <c r="B12" s="137"/>
      <c r="C12" s="137"/>
      <c r="D12" s="137"/>
      <c r="E12" s="137"/>
      <c r="F12" s="137"/>
    </row>
    <row r="13" spans="1:6" ht="18" customHeight="1" x14ac:dyDescent="0.55000000000000004">
      <c r="A13" s="35"/>
      <c r="B13" s="35" t="s">
        <v>233</v>
      </c>
      <c r="C13" s="35" t="s">
        <v>234</v>
      </c>
      <c r="D13" s="35" t="s">
        <v>45</v>
      </c>
      <c r="E13" s="35" t="s">
        <v>235</v>
      </c>
      <c r="F13" s="35"/>
    </row>
    <row r="14" spans="1:6" ht="28" customHeight="1" x14ac:dyDescent="0.55000000000000004">
      <c r="A14" s="49"/>
      <c r="B14" s="50" t="s">
        <v>257</v>
      </c>
      <c r="C14" s="51" t="s">
        <v>258</v>
      </c>
      <c r="D14" s="52" t="s">
        <v>259</v>
      </c>
      <c r="E14" s="53" t="s">
        <v>260</v>
      </c>
      <c r="F14" s="49"/>
    </row>
    <row r="15" spans="1:6" ht="32.049999999999997" customHeight="1" x14ac:dyDescent="0.55000000000000004">
      <c r="A15" s="49"/>
      <c r="B15" s="50" t="s">
        <v>261</v>
      </c>
      <c r="C15" s="51" t="s">
        <v>262</v>
      </c>
      <c r="D15" s="52" t="s">
        <v>263</v>
      </c>
      <c r="E15" s="53" t="s">
        <v>264</v>
      </c>
      <c r="F15" s="49"/>
    </row>
    <row r="16" spans="1:6" ht="28" customHeight="1" x14ac:dyDescent="0.55000000000000004">
      <c r="A16" s="49"/>
      <c r="B16" s="50" t="s">
        <v>265</v>
      </c>
      <c r="C16" s="51" t="s">
        <v>266</v>
      </c>
      <c r="D16" s="52" t="s">
        <v>267</v>
      </c>
      <c r="E16" s="53" t="s">
        <v>268</v>
      </c>
      <c r="F16" s="49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34" t="s">
        <v>269</v>
      </c>
      <c r="B18" s="135"/>
      <c r="C18" s="135"/>
      <c r="D18" s="135"/>
      <c r="E18" s="135"/>
      <c r="F18" s="135"/>
    </row>
    <row r="19" spans="1:6" ht="18" customHeight="1" x14ac:dyDescent="0.55000000000000004">
      <c r="A19" s="54"/>
      <c r="B19" s="54" t="s">
        <v>233</v>
      </c>
      <c r="C19" s="54" t="s">
        <v>5</v>
      </c>
      <c r="D19" s="54" t="s">
        <v>270</v>
      </c>
      <c r="E19" s="54" t="s">
        <v>271</v>
      </c>
      <c r="F19" s="54"/>
    </row>
    <row r="20" spans="1:6" ht="32.049999999999997" customHeight="1" x14ac:dyDescent="0.55000000000000004">
      <c r="A20" s="55"/>
      <c r="B20" s="56" t="s">
        <v>272</v>
      </c>
      <c r="C20" s="42" t="s">
        <v>273</v>
      </c>
      <c r="D20" s="57" t="s">
        <v>274</v>
      </c>
      <c r="E20" s="58" t="s">
        <v>275</v>
      </c>
      <c r="F20" s="55"/>
    </row>
    <row r="21" spans="1:6" ht="32.049999999999997" customHeight="1" x14ac:dyDescent="0.55000000000000004">
      <c r="A21" s="55"/>
      <c r="B21" s="56" t="s">
        <v>276</v>
      </c>
      <c r="C21" s="42" t="s">
        <v>277</v>
      </c>
      <c r="D21" s="57" t="s">
        <v>278</v>
      </c>
      <c r="E21" s="58" t="s">
        <v>275</v>
      </c>
      <c r="F21" s="55"/>
    </row>
    <row r="22" spans="1:6" ht="32.049999999999997" customHeight="1" x14ac:dyDescent="0.55000000000000004">
      <c r="A22" s="55"/>
      <c r="B22" s="56" t="s">
        <v>279</v>
      </c>
      <c r="C22" s="42" t="s">
        <v>280</v>
      </c>
      <c r="D22" s="57" t="s">
        <v>281</v>
      </c>
      <c r="E22" s="58" t="s">
        <v>275</v>
      </c>
      <c r="F22" s="55"/>
    </row>
    <row r="23" spans="1:6" ht="32.049999999999997" customHeight="1" x14ac:dyDescent="0.55000000000000004">
      <c r="A23" s="55"/>
      <c r="B23" s="56" t="s">
        <v>282</v>
      </c>
      <c r="C23" s="42" t="s">
        <v>142</v>
      </c>
      <c r="D23" s="57" t="s">
        <v>283</v>
      </c>
      <c r="E23" s="58" t="s">
        <v>275</v>
      </c>
      <c r="F23" s="55"/>
    </row>
    <row r="24" spans="1:6" ht="32.049999999999997" customHeight="1" x14ac:dyDescent="0.55000000000000004">
      <c r="A24" s="49"/>
      <c r="B24" s="59" t="s">
        <v>284</v>
      </c>
      <c r="C24" s="60" t="s">
        <v>285</v>
      </c>
      <c r="D24" s="52" t="s">
        <v>286</v>
      </c>
      <c r="E24" s="61" t="s">
        <v>275</v>
      </c>
      <c r="F24" s="49"/>
    </row>
    <row r="25" spans="1:6" ht="32.049999999999997" customHeight="1" x14ac:dyDescent="0.55000000000000004">
      <c r="A25" s="49"/>
      <c r="B25" s="59" t="s">
        <v>287</v>
      </c>
      <c r="C25" s="60" t="s">
        <v>288</v>
      </c>
      <c r="D25" s="52" t="s">
        <v>289</v>
      </c>
      <c r="E25" s="61" t="s">
        <v>275</v>
      </c>
      <c r="F25" s="49"/>
    </row>
    <row r="26" spans="1:6" ht="32.049999999999997" customHeight="1" x14ac:dyDescent="0.55000000000000004">
      <c r="A26" s="62"/>
      <c r="B26" s="63" t="s">
        <v>290</v>
      </c>
      <c r="C26" s="64" t="s">
        <v>291</v>
      </c>
      <c r="D26" s="65" t="s">
        <v>292</v>
      </c>
      <c r="E26" s="66" t="s">
        <v>275</v>
      </c>
      <c r="F26" s="62"/>
    </row>
    <row r="27" spans="1:6" ht="32.049999999999997" customHeight="1" x14ac:dyDescent="0.55000000000000004">
      <c r="A27" s="49"/>
      <c r="B27" s="59" t="s">
        <v>293</v>
      </c>
      <c r="C27" s="60" t="s">
        <v>294</v>
      </c>
      <c r="D27" s="52" t="s">
        <v>295</v>
      </c>
      <c r="E27" s="61" t="s">
        <v>275</v>
      </c>
      <c r="F27" s="49"/>
    </row>
    <row r="28" spans="1:6" ht="32.049999999999997" customHeight="1" x14ac:dyDescent="0.55000000000000004">
      <c r="A28" s="49"/>
      <c r="B28" s="59" t="s">
        <v>296</v>
      </c>
      <c r="C28" s="60" t="s">
        <v>297</v>
      </c>
      <c r="D28" s="52" t="s">
        <v>298</v>
      </c>
      <c r="E28" s="61" t="s">
        <v>275</v>
      </c>
      <c r="F28" s="49"/>
    </row>
    <row r="29" spans="1:6" ht="32.049999999999997" customHeight="1" x14ac:dyDescent="0.55000000000000004">
      <c r="A29" s="49"/>
      <c r="B29" s="59" t="s">
        <v>299</v>
      </c>
      <c r="C29" s="60" t="s">
        <v>172</v>
      </c>
      <c r="D29" s="52" t="s">
        <v>173</v>
      </c>
      <c r="E29" s="61" t="s">
        <v>275</v>
      </c>
      <c r="F29" s="49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60" customHeight="1" x14ac:dyDescent="0.55000000000000004">
      <c r="A31" s="126" t="s">
        <v>300</v>
      </c>
      <c r="B31" s="95"/>
      <c r="C31" s="95"/>
      <c r="D31" s="95"/>
      <c r="E31" s="95"/>
      <c r="F31" s="95"/>
    </row>
  </sheetData>
  <mergeCells count="6">
    <mergeCell ref="A2:F2"/>
    <mergeCell ref="A1:F1"/>
    <mergeCell ref="A31:F3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2026-04-05T17:10:23Z</dcterms:created>
  <dcterms:modified xsi:type="dcterms:W3CDTF">2026-04-05T17:14:24Z</dcterms:modified>
</cp:coreProperties>
</file>