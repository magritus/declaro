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ASUS PRO LAPTOP MASAÜSTÜ\TURMOB\İMALAT İHRACAT 1 PUAN KV İNDİRİMİ\"/>
    </mc:Choice>
  </mc:AlternateContent>
  <xr:revisionPtr revIDLastSave="0" documentId="13_ncr:1_{03C7E6D8-6B52-4468-87DF-45EF1EC329D0}" xr6:coauthVersionLast="47" xr6:coauthVersionMax="47" xr10:uidLastSave="{00000000-0000-0000-0000-000000000000}"/>
  <bookViews>
    <workbookView xWindow="28680" yWindow="-120" windowWidth="29040" windowHeight="15840" tabRatio="949" xr2:uid="{00000000-000D-0000-FFFF-FFFF00000000}"/>
  </bookViews>
  <sheets>
    <sheet name="ŞABLON (32 6 BİST İNDİRİMSİZ)" sheetId="24" r:id="rId1"/>
    <sheet name="BİST (32 6 İNDİRİMLİ)" sheetId="17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89" i="17" l="1"/>
  <c r="D89" i="17"/>
  <c r="E73" i="17"/>
  <c r="D73" i="17"/>
  <c r="F73" i="17" s="1"/>
  <c r="E89" i="24"/>
  <c r="D89" i="24"/>
  <c r="E73" i="24"/>
  <c r="D73" i="24"/>
  <c r="F73" i="24" s="1"/>
  <c r="E61" i="17"/>
  <c r="D61" i="17"/>
  <c r="F61" i="17" s="1"/>
  <c r="E61" i="24"/>
  <c r="D61" i="24"/>
  <c r="F61" i="24" s="1"/>
  <c r="D75" i="17" l="1"/>
  <c r="E75" i="17"/>
  <c r="D75" i="24"/>
  <c r="E75" i="24"/>
  <c r="C89" i="17"/>
  <c r="F100" i="24"/>
  <c r="C94" i="24"/>
  <c r="F75" i="17" l="1"/>
  <c r="F75" i="24"/>
  <c r="C65" i="17"/>
  <c r="C58" i="17"/>
  <c r="C57" i="17"/>
  <c r="C56" i="17"/>
  <c r="C55" i="17" s="1"/>
  <c r="F55" i="17"/>
  <c r="E55" i="17"/>
  <c r="D55" i="17"/>
  <c r="C53" i="17"/>
  <c r="C52" i="17"/>
  <c r="F51" i="17"/>
  <c r="E51" i="17"/>
  <c r="C51" i="17" s="1"/>
  <c r="D51" i="17"/>
  <c r="C47" i="17"/>
  <c r="C45" i="17" s="1"/>
  <c r="C46" i="17"/>
  <c r="C43" i="17"/>
  <c r="C42" i="17"/>
  <c r="C41" i="17"/>
  <c r="C40" i="17"/>
  <c r="C39" i="17"/>
  <c r="C38" i="17"/>
  <c r="F37" i="17"/>
  <c r="E37" i="17"/>
  <c r="D37" i="17"/>
  <c r="C35" i="17"/>
  <c r="C34" i="17"/>
  <c r="C33" i="17"/>
  <c r="C32" i="17"/>
  <c r="C31" i="17"/>
  <c r="C30" i="17"/>
  <c r="C29" i="17"/>
  <c r="C28" i="17"/>
  <c r="C27" i="17"/>
  <c r="F26" i="17"/>
  <c r="E26" i="17"/>
  <c r="D26" i="17"/>
  <c r="C22" i="17"/>
  <c r="C21" i="17"/>
  <c r="C20" i="17"/>
  <c r="C17" i="17"/>
  <c r="C16" i="17"/>
  <c r="C15" i="17"/>
  <c r="C14" i="17"/>
  <c r="F13" i="17"/>
  <c r="E13" i="17"/>
  <c r="D13" i="17"/>
  <c r="C11" i="17"/>
  <c r="C10" i="17"/>
  <c r="C9" i="17"/>
  <c r="F8" i="17"/>
  <c r="E8" i="17"/>
  <c r="D8" i="17"/>
  <c r="C7" i="17"/>
  <c r="C6" i="17"/>
  <c r="C5" i="17"/>
  <c r="F4" i="17"/>
  <c r="F12" i="17" s="1"/>
  <c r="F18" i="17" s="1"/>
  <c r="E4" i="17"/>
  <c r="E12" i="17" s="1"/>
  <c r="D4" i="17"/>
  <c r="I104" i="24"/>
  <c r="K132" i="24"/>
  <c r="I126" i="24"/>
  <c r="I125" i="24"/>
  <c r="I124" i="24"/>
  <c r="C123" i="24"/>
  <c r="I121" i="24"/>
  <c r="I120" i="24"/>
  <c r="I119" i="24"/>
  <c r="C118" i="24"/>
  <c r="I116" i="24"/>
  <c r="I115" i="24"/>
  <c r="I114" i="24"/>
  <c r="C113" i="24"/>
  <c r="I111" i="24"/>
  <c r="I110" i="24"/>
  <c r="I109" i="24"/>
  <c r="C108" i="24"/>
  <c r="I106" i="24"/>
  <c r="I105" i="24"/>
  <c r="C103" i="24"/>
  <c r="C65" i="24"/>
  <c r="C58" i="24"/>
  <c r="C57" i="24"/>
  <c r="C56" i="24"/>
  <c r="C55" i="24" s="1"/>
  <c r="F55" i="24"/>
  <c r="E55" i="24"/>
  <c r="D55" i="24"/>
  <c r="C53" i="24"/>
  <c r="C52" i="24"/>
  <c r="F51" i="24"/>
  <c r="E51" i="24"/>
  <c r="D51" i="24"/>
  <c r="C51" i="24" s="1"/>
  <c r="C47" i="24"/>
  <c r="C46" i="24"/>
  <c r="C45" i="24" s="1"/>
  <c r="C43" i="24"/>
  <c r="C42" i="24"/>
  <c r="C41" i="24"/>
  <c r="C40" i="24"/>
  <c r="C39" i="24"/>
  <c r="C37" i="24" s="1"/>
  <c r="C38" i="24"/>
  <c r="F37" i="24"/>
  <c r="E37" i="24"/>
  <c r="D37" i="24"/>
  <c r="C35" i="24"/>
  <c r="C34" i="24"/>
  <c r="C33" i="24"/>
  <c r="C32" i="24"/>
  <c r="C31" i="24"/>
  <c r="C30" i="24"/>
  <c r="C29" i="24"/>
  <c r="C28" i="24"/>
  <c r="C27" i="24"/>
  <c r="F26" i="24"/>
  <c r="E26" i="24"/>
  <c r="D26" i="24"/>
  <c r="C22" i="24"/>
  <c r="C21" i="24"/>
  <c r="C20" i="24"/>
  <c r="C19" i="24"/>
  <c r="C17" i="24"/>
  <c r="C16" i="24"/>
  <c r="C15" i="24"/>
  <c r="C14" i="24"/>
  <c r="F13" i="24"/>
  <c r="E13" i="24"/>
  <c r="D13" i="24"/>
  <c r="C11" i="24"/>
  <c r="C10" i="24"/>
  <c r="C9" i="24"/>
  <c r="C8" i="24" s="1"/>
  <c r="F8" i="24"/>
  <c r="E8" i="24"/>
  <c r="D8" i="24"/>
  <c r="C7" i="24"/>
  <c r="C6" i="24"/>
  <c r="C5" i="24"/>
  <c r="F4" i="24"/>
  <c r="F12" i="24" s="1"/>
  <c r="F18" i="24" s="1"/>
  <c r="E4" i="24"/>
  <c r="D4" i="24"/>
  <c r="C26" i="24" l="1"/>
  <c r="C13" i="24"/>
  <c r="C19" i="17"/>
  <c r="E18" i="17"/>
  <c r="C37" i="17"/>
  <c r="D12" i="17"/>
  <c r="D18" i="17" s="1"/>
  <c r="C8" i="17"/>
  <c r="C13" i="17"/>
  <c r="C26" i="17"/>
  <c r="C4" i="17"/>
  <c r="C12" i="17" s="1"/>
  <c r="C18" i="17" s="1"/>
  <c r="C25" i="17" s="1"/>
  <c r="C36" i="17" s="1"/>
  <c r="C44" i="17" s="1"/>
  <c r="C50" i="17" s="1"/>
  <c r="C2" i="17"/>
  <c r="F2" i="17"/>
  <c r="C4" i="24"/>
  <c r="C12" i="24" s="1"/>
  <c r="C18" i="24" s="1"/>
  <c r="C25" i="24" s="1"/>
  <c r="C36" i="24" s="1"/>
  <c r="C44" i="24" s="1"/>
  <c r="C50" i="24" s="1"/>
  <c r="E12" i="24"/>
  <c r="E18" i="24" s="1"/>
  <c r="C136" i="24"/>
  <c r="D12" i="24"/>
  <c r="D18" i="24" s="1"/>
  <c r="D2" i="17" l="1"/>
  <c r="E2" i="17"/>
  <c r="E24" i="17" s="1"/>
  <c r="F24" i="17"/>
  <c r="F49" i="17"/>
  <c r="F23" i="17"/>
  <c r="F19" i="17" s="1"/>
  <c r="F25" i="17" s="1"/>
  <c r="F36" i="17" s="1"/>
  <c r="F44" i="17" s="1"/>
  <c r="F48" i="17"/>
  <c r="F2" i="24"/>
  <c r="F49" i="24" s="1"/>
  <c r="E2" i="24"/>
  <c r="E23" i="24" s="1"/>
  <c r="D2" i="24"/>
  <c r="D49" i="24" s="1"/>
  <c r="C2" i="24"/>
  <c r="E49" i="17" l="1"/>
  <c r="E45" i="17" s="1"/>
  <c r="E50" i="17" s="1"/>
  <c r="E54" i="17" s="1"/>
  <c r="E59" i="17" s="1"/>
  <c r="E48" i="17"/>
  <c r="D23" i="17"/>
  <c r="D24" i="17"/>
  <c r="D19" i="17" s="1"/>
  <c r="D25" i="17" s="1"/>
  <c r="D36" i="17" s="1"/>
  <c r="D44" i="17" s="1"/>
  <c r="D49" i="17"/>
  <c r="D48" i="17"/>
  <c r="D45" i="17" s="1"/>
  <c r="E23" i="17"/>
  <c r="E19" i="17" s="1"/>
  <c r="E25" i="17" s="1"/>
  <c r="E36" i="17" s="1"/>
  <c r="E44" i="17" s="1"/>
  <c r="F45" i="17"/>
  <c r="F50" i="17" s="1"/>
  <c r="F54" i="17" s="1"/>
  <c r="F59" i="17" s="1"/>
  <c r="F48" i="24"/>
  <c r="F45" i="24" s="1"/>
  <c r="F23" i="24"/>
  <c r="F24" i="24"/>
  <c r="D23" i="24"/>
  <c r="D48" i="24"/>
  <c r="D45" i="24" s="1"/>
  <c r="E49" i="24"/>
  <c r="D24" i="24"/>
  <c r="E48" i="24"/>
  <c r="E24" i="24"/>
  <c r="E19" i="24" s="1"/>
  <c r="E25" i="24" s="1"/>
  <c r="E36" i="24" s="1"/>
  <c r="E44" i="24" s="1"/>
  <c r="K126" i="17"/>
  <c r="K121" i="17"/>
  <c r="K116" i="17"/>
  <c r="K111" i="17"/>
  <c r="K106" i="17"/>
  <c r="K105" i="17"/>
  <c r="K104" i="17"/>
  <c r="D50" i="17" l="1"/>
  <c r="D54" i="17" s="1"/>
  <c r="D59" i="17" s="1"/>
  <c r="C54" i="17"/>
  <c r="C59" i="17" s="1"/>
  <c r="C73" i="17" s="1"/>
  <c r="D19" i="24"/>
  <c r="D25" i="24" s="1"/>
  <c r="D36" i="24" s="1"/>
  <c r="D44" i="24" s="1"/>
  <c r="D50" i="24" s="1"/>
  <c r="D54" i="24" s="1"/>
  <c r="D59" i="24" s="1"/>
  <c r="E45" i="24"/>
  <c r="E50" i="24" s="1"/>
  <c r="E54" i="24" s="1"/>
  <c r="E59" i="24" s="1"/>
  <c r="F19" i="24"/>
  <c r="F25" i="24" s="1"/>
  <c r="F36" i="24" s="1"/>
  <c r="F44" i="24" s="1"/>
  <c r="F50" i="24" s="1"/>
  <c r="F54" i="24" s="1"/>
  <c r="F59" i="24" s="1"/>
  <c r="K125" i="17"/>
  <c r="K124" i="17"/>
  <c r="K120" i="17"/>
  <c r="K119" i="17"/>
  <c r="K115" i="17"/>
  <c r="K114" i="17"/>
  <c r="K110" i="17"/>
  <c r="K109" i="17"/>
  <c r="M132" i="17"/>
  <c r="F100" i="17"/>
  <c r="C123" i="17"/>
  <c r="C118" i="17"/>
  <c r="C113" i="17"/>
  <c r="C108" i="17"/>
  <c r="C103" i="17"/>
  <c r="C94" i="17"/>
  <c r="D74" i="17" l="1"/>
  <c r="D60" i="17"/>
  <c r="E60" i="17"/>
  <c r="F74" i="17"/>
  <c r="E74" i="17"/>
  <c r="F60" i="17"/>
  <c r="E70" i="17"/>
  <c r="C77" i="17"/>
  <c r="H83" i="17" s="1"/>
  <c r="C54" i="24"/>
  <c r="C59" i="24" s="1"/>
  <c r="C73" i="24" s="1"/>
  <c r="C136" i="17"/>
  <c r="F60" i="24" l="1"/>
  <c r="D74" i="24"/>
  <c r="D60" i="24"/>
  <c r="E60" i="24"/>
  <c r="D77" i="17"/>
  <c r="C82" i="17"/>
  <c r="C84" i="17" s="1"/>
  <c r="C85" i="17" s="1"/>
  <c r="C77" i="24"/>
  <c r="C89" i="24" s="1"/>
  <c r="E70" i="24"/>
  <c r="C90" i="24" l="1"/>
  <c r="C91" i="24" s="1"/>
  <c r="C92" i="24" s="1"/>
  <c r="C93" i="24" s="1"/>
  <c r="E90" i="24"/>
  <c r="F89" i="17"/>
  <c r="F74" i="24"/>
  <c r="E74" i="24"/>
  <c r="D90" i="17"/>
  <c r="C82" i="24"/>
  <c r="C84" i="24" s="1"/>
  <c r="C96" i="24" s="1"/>
  <c r="D77" i="24"/>
  <c r="H83" i="24"/>
  <c r="D91" i="24" l="1"/>
  <c r="D93" i="24" s="1"/>
  <c r="D90" i="24"/>
  <c r="F90" i="17"/>
  <c r="E90" i="17"/>
  <c r="C85" i="24"/>
  <c r="C128" i="24"/>
  <c r="C133" i="24" s="1"/>
  <c r="D92" i="24" l="1"/>
  <c r="E91" i="24"/>
  <c r="F89" i="24"/>
  <c r="F90" i="24" s="1"/>
  <c r="F91" i="24" l="1"/>
  <c r="E92" i="24"/>
  <c r="E93" i="24"/>
  <c r="F92" i="24" l="1"/>
  <c r="F93" i="24"/>
  <c r="C105" i="24"/>
  <c r="D105" i="24" s="1"/>
  <c r="C90" i="17"/>
  <c r="C91" i="17" s="1"/>
  <c r="C104" i="24" l="1"/>
  <c r="D104" i="24" s="1"/>
  <c r="F105" i="24"/>
  <c r="J105" i="24"/>
  <c r="E105" i="24"/>
  <c r="C125" i="24"/>
  <c r="D125" i="24" s="1"/>
  <c r="E125" i="24" s="1"/>
  <c r="C110" i="24"/>
  <c r="D110" i="24" s="1"/>
  <c r="E110" i="24" s="1"/>
  <c r="C120" i="24"/>
  <c r="D120" i="24" s="1"/>
  <c r="J120" i="24" s="1"/>
  <c r="C130" i="24"/>
  <c r="D130" i="24" s="1"/>
  <c r="E96" i="24" s="1"/>
  <c r="C115" i="24"/>
  <c r="D115" i="24" s="1"/>
  <c r="F115" i="24" s="1"/>
  <c r="C121" i="24"/>
  <c r="D121" i="24" s="1"/>
  <c r="C111" i="24"/>
  <c r="D111" i="24" s="1"/>
  <c r="C131" i="24"/>
  <c r="D131" i="24" s="1"/>
  <c r="D96" i="24" s="1"/>
  <c r="C116" i="24"/>
  <c r="D116" i="24" s="1"/>
  <c r="C106" i="24"/>
  <c r="D106" i="24" s="1"/>
  <c r="C126" i="24"/>
  <c r="D126" i="24" s="1"/>
  <c r="C92" i="17"/>
  <c r="C93" i="17" s="1"/>
  <c r="C128" i="17"/>
  <c r="C96" i="17"/>
  <c r="D94" i="24" l="1"/>
  <c r="E94" i="24"/>
  <c r="G105" i="24"/>
  <c r="H105" i="24" s="1"/>
  <c r="E104" i="24"/>
  <c r="G104" i="24" s="1"/>
  <c r="J125" i="24"/>
  <c r="F125" i="24"/>
  <c r="G125" i="24" s="1"/>
  <c r="H125" i="24" s="1"/>
  <c r="J110" i="24"/>
  <c r="E130" i="24"/>
  <c r="D143" i="24" s="1"/>
  <c r="F130" i="24"/>
  <c r="F110" i="24"/>
  <c r="G110" i="24" s="1"/>
  <c r="H110" i="24" s="1"/>
  <c r="E120" i="24"/>
  <c r="J115" i="24"/>
  <c r="F120" i="24"/>
  <c r="C143" i="24"/>
  <c r="D107" i="24"/>
  <c r="E115" i="24"/>
  <c r="G115" i="24" s="1"/>
  <c r="C119" i="24"/>
  <c r="D119" i="24" s="1"/>
  <c r="J119" i="24" s="1"/>
  <c r="J104" i="24"/>
  <c r="C129" i="24"/>
  <c r="D129" i="24" s="1"/>
  <c r="F96" i="24" s="1"/>
  <c r="C124" i="24"/>
  <c r="D124" i="24" s="1"/>
  <c r="D127" i="24" s="1"/>
  <c r="C109" i="24"/>
  <c r="D109" i="24" s="1"/>
  <c r="J109" i="24" s="1"/>
  <c r="C114" i="24"/>
  <c r="D114" i="24" s="1"/>
  <c r="C107" i="24"/>
  <c r="J126" i="24"/>
  <c r="F126" i="24"/>
  <c r="E126" i="24"/>
  <c r="F106" i="24"/>
  <c r="F107" i="24" s="1"/>
  <c r="E106" i="24"/>
  <c r="J106" i="24"/>
  <c r="E116" i="24"/>
  <c r="F116" i="24"/>
  <c r="F117" i="24" s="1"/>
  <c r="J116" i="24"/>
  <c r="C140" i="24"/>
  <c r="F131" i="24"/>
  <c r="E131" i="24"/>
  <c r="E111" i="24"/>
  <c r="F111" i="24"/>
  <c r="J111" i="24"/>
  <c r="J121" i="24"/>
  <c r="E121" i="24"/>
  <c r="F121" i="24"/>
  <c r="D91" i="17"/>
  <c r="C133" i="17"/>
  <c r="E95" i="24" l="1"/>
  <c r="D100" i="24"/>
  <c r="F94" i="24"/>
  <c r="E100" i="24"/>
  <c r="D95" i="24"/>
  <c r="K105" i="24"/>
  <c r="D144" i="24"/>
  <c r="J107" i="24"/>
  <c r="E129" i="24"/>
  <c r="G129" i="24" s="1"/>
  <c r="J129" i="24" s="1"/>
  <c r="G130" i="24"/>
  <c r="D145" i="24" s="1"/>
  <c r="C145" i="24" s="1"/>
  <c r="F127" i="24"/>
  <c r="F122" i="24"/>
  <c r="F112" i="24"/>
  <c r="G106" i="24"/>
  <c r="G107" i="24" s="1"/>
  <c r="G120" i="24"/>
  <c r="H120" i="24" s="1"/>
  <c r="K115" i="24"/>
  <c r="C112" i="24"/>
  <c r="J112" i="24"/>
  <c r="L109" i="24" s="1"/>
  <c r="E109" i="24"/>
  <c r="G109" i="24" s="1"/>
  <c r="K109" i="24" s="1"/>
  <c r="D112" i="24"/>
  <c r="C132" i="24"/>
  <c r="C146" i="24"/>
  <c r="C148" i="24" s="1"/>
  <c r="E119" i="24"/>
  <c r="D132" i="24"/>
  <c r="D122" i="24"/>
  <c r="C127" i="24"/>
  <c r="H115" i="24"/>
  <c r="G126" i="24"/>
  <c r="K126" i="24" s="1"/>
  <c r="E91" i="17"/>
  <c r="E92" i="17" s="1"/>
  <c r="C110" i="17" s="1"/>
  <c r="D110" i="17" s="1"/>
  <c r="F110" i="17" s="1"/>
  <c r="F91" i="17"/>
  <c r="F92" i="17" s="1"/>
  <c r="C119" i="17" s="1"/>
  <c r="E114" i="24"/>
  <c r="G114" i="24" s="1"/>
  <c r="H114" i="24" s="1"/>
  <c r="J114" i="24"/>
  <c r="J117" i="24" s="1"/>
  <c r="L114" i="24" s="1"/>
  <c r="J124" i="24"/>
  <c r="J127" i="24" s="1"/>
  <c r="L124" i="24" s="1"/>
  <c r="E124" i="24"/>
  <c r="G124" i="24" s="1"/>
  <c r="C122" i="24"/>
  <c r="C117" i="24"/>
  <c r="D117" i="24"/>
  <c r="G116" i="24"/>
  <c r="J122" i="24"/>
  <c r="L119" i="24" s="1"/>
  <c r="D140" i="24"/>
  <c r="G131" i="24"/>
  <c r="E107" i="24"/>
  <c r="D141" i="24"/>
  <c r="G111" i="24"/>
  <c r="F132" i="24"/>
  <c r="G121" i="24"/>
  <c r="K125" i="24"/>
  <c r="D92" i="17"/>
  <c r="C121" i="17" s="1"/>
  <c r="D121" i="17" s="1"/>
  <c r="H121" i="17" s="1"/>
  <c r="D93" i="17"/>
  <c r="K110" i="24"/>
  <c r="H104" i="24"/>
  <c r="K104" i="24"/>
  <c r="C95" i="24" l="1"/>
  <c r="F97" i="24"/>
  <c r="F98" i="24"/>
  <c r="F95" i="24"/>
  <c r="C100" i="24"/>
  <c r="L104" i="24"/>
  <c r="D139" i="24" s="1"/>
  <c r="E132" i="24"/>
  <c r="K106" i="24"/>
  <c r="H106" i="24"/>
  <c r="H107" i="24" s="1"/>
  <c r="J130" i="24"/>
  <c r="G132" i="24"/>
  <c r="J132" i="24" s="1"/>
  <c r="L129" i="24" s="1"/>
  <c r="C97" i="24" s="1"/>
  <c r="E112" i="24"/>
  <c r="K124" i="24"/>
  <c r="K127" i="24" s="1"/>
  <c r="C105" i="17"/>
  <c r="D105" i="17" s="1"/>
  <c r="H105" i="17" s="1"/>
  <c r="K120" i="24"/>
  <c r="H126" i="24"/>
  <c r="D133" i="24"/>
  <c r="G127" i="24"/>
  <c r="H124" i="24"/>
  <c r="E122" i="24"/>
  <c r="G119" i="24"/>
  <c r="C111" i="17"/>
  <c r="D111" i="17" s="1"/>
  <c r="H111" i="17" s="1"/>
  <c r="H110" i="17"/>
  <c r="E110" i="17"/>
  <c r="G110" i="17" s="1"/>
  <c r="C115" i="17"/>
  <c r="D115" i="17" s="1"/>
  <c r="F115" i="17" s="1"/>
  <c r="E93" i="17"/>
  <c r="L110" i="17"/>
  <c r="C120" i="17"/>
  <c r="D120" i="17" s="1"/>
  <c r="L120" i="17" s="1"/>
  <c r="C130" i="17"/>
  <c r="D130" i="17" s="1"/>
  <c r="E130" i="17" s="1"/>
  <c r="C125" i="17"/>
  <c r="D125" i="17" s="1"/>
  <c r="E125" i="17" s="1"/>
  <c r="F93" i="17"/>
  <c r="E117" i="24"/>
  <c r="K114" i="24"/>
  <c r="E127" i="24"/>
  <c r="G117" i="24"/>
  <c r="K116" i="24"/>
  <c r="H116" i="24"/>
  <c r="H117" i="24" s="1"/>
  <c r="K111" i="24"/>
  <c r="K112" i="24" s="1"/>
  <c r="H111" i="24"/>
  <c r="F133" i="24"/>
  <c r="G112" i="24"/>
  <c r="J131" i="24"/>
  <c r="D142" i="24"/>
  <c r="C142" i="24" s="1"/>
  <c r="K121" i="24"/>
  <c r="H121" i="24"/>
  <c r="C126" i="17"/>
  <c r="D126" i="17" s="1"/>
  <c r="H126" i="17" s="1"/>
  <c r="C116" i="17"/>
  <c r="D116" i="17" s="1"/>
  <c r="H116" i="17" s="1"/>
  <c r="C106" i="17"/>
  <c r="D106" i="17" s="1"/>
  <c r="E106" i="17" s="1"/>
  <c r="F121" i="17"/>
  <c r="E121" i="17"/>
  <c r="L121" i="17"/>
  <c r="C131" i="17"/>
  <c r="D131" i="17" s="1"/>
  <c r="H131" i="17" s="1"/>
  <c r="H109" i="24"/>
  <c r="D146" i="24"/>
  <c r="C147" i="24" s="1"/>
  <c r="K129" i="24"/>
  <c r="C114" i="17"/>
  <c r="C104" i="17"/>
  <c r="C129" i="17"/>
  <c r="C109" i="17"/>
  <c r="D109" i="17" s="1"/>
  <c r="E109" i="17" s="1"/>
  <c r="C124" i="17"/>
  <c r="D119" i="17"/>
  <c r="E119" i="17" s="1"/>
  <c r="C98" i="24" l="1"/>
  <c r="C99" i="24" s="1"/>
  <c r="D97" i="24"/>
  <c r="D98" i="24"/>
  <c r="E97" i="24"/>
  <c r="E98" i="24"/>
  <c r="E126" i="17"/>
  <c r="I110" i="17"/>
  <c r="J110" i="17" s="1"/>
  <c r="M110" i="17" s="1"/>
  <c r="L105" i="17"/>
  <c r="F105" i="17"/>
  <c r="F126" i="17"/>
  <c r="I121" i="17"/>
  <c r="J121" i="17" s="1"/>
  <c r="M121" i="17" s="1"/>
  <c r="K107" i="24"/>
  <c r="K130" i="24"/>
  <c r="E101" i="24" s="1"/>
  <c r="E99" i="24" s="1"/>
  <c r="H120" i="17"/>
  <c r="H122" i="17" s="1"/>
  <c r="C107" i="17"/>
  <c r="E105" i="17"/>
  <c r="F120" i="17"/>
  <c r="H106" i="17"/>
  <c r="H107" i="17" s="1"/>
  <c r="J133" i="24"/>
  <c r="L133" i="24"/>
  <c r="G121" i="17"/>
  <c r="L111" i="17"/>
  <c r="E115" i="17"/>
  <c r="G115" i="17" s="1"/>
  <c r="E111" i="17"/>
  <c r="F111" i="17"/>
  <c r="F116" i="17"/>
  <c r="H115" i="17"/>
  <c r="H117" i="17" s="1"/>
  <c r="H127" i="24"/>
  <c r="K117" i="24"/>
  <c r="K119" i="24"/>
  <c r="F101" i="24" s="1"/>
  <c r="F99" i="24" s="1"/>
  <c r="H119" i="24"/>
  <c r="H122" i="24" s="1"/>
  <c r="E133" i="24"/>
  <c r="G122" i="24"/>
  <c r="G133" i="24" s="1"/>
  <c r="C132" i="17"/>
  <c r="F106" i="17"/>
  <c r="L106" i="17"/>
  <c r="L116" i="17"/>
  <c r="L115" i="17"/>
  <c r="E116" i="17"/>
  <c r="F130" i="17"/>
  <c r="G130" i="17" s="1"/>
  <c r="D143" i="17" s="1"/>
  <c r="E94" i="17"/>
  <c r="C122" i="17"/>
  <c r="E96" i="17"/>
  <c r="F125" i="17"/>
  <c r="G125" i="17" s="1"/>
  <c r="H130" i="17"/>
  <c r="H125" i="17"/>
  <c r="H127" i="17" s="1"/>
  <c r="C127" i="17"/>
  <c r="C143" i="17"/>
  <c r="E120" i="17"/>
  <c r="C140" i="17"/>
  <c r="D96" i="17"/>
  <c r="E131" i="17"/>
  <c r="D136" i="24"/>
  <c r="H112" i="24"/>
  <c r="K131" i="24"/>
  <c r="D101" i="24" s="1"/>
  <c r="D99" i="24" s="1"/>
  <c r="C117" i="17"/>
  <c r="D94" i="17"/>
  <c r="F131" i="17"/>
  <c r="D148" i="24"/>
  <c r="C139" i="24"/>
  <c r="C112" i="17"/>
  <c r="F119" i="17"/>
  <c r="D129" i="17"/>
  <c r="E129" i="17" s="1"/>
  <c r="F109" i="17"/>
  <c r="D114" i="17"/>
  <c r="E114" i="17" s="1"/>
  <c r="D104" i="17"/>
  <c r="D124" i="17"/>
  <c r="E124" i="17" s="1"/>
  <c r="H112" i="17"/>
  <c r="D112" i="17"/>
  <c r="L109" i="17"/>
  <c r="D141" i="17"/>
  <c r="D122" i="17"/>
  <c r="L119" i="17"/>
  <c r="L122" i="17" s="1"/>
  <c r="N119" i="17" s="1"/>
  <c r="I126" i="17" l="1"/>
  <c r="J126" i="17" s="1"/>
  <c r="G126" i="17"/>
  <c r="K122" i="24"/>
  <c r="C101" i="24" s="1"/>
  <c r="I105" i="17"/>
  <c r="J105" i="17" s="1"/>
  <c r="M105" i="17" s="1"/>
  <c r="L112" i="17"/>
  <c r="N109" i="17" s="1"/>
  <c r="F122" i="17"/>
  <c r="G105" i="17"/>
  <c r="I120" i="17"/>
  <c r="J120" i="17" s="1"/>
  <c r="M120" i="17" s="1"/>
  <c r="I111" i="17"/>
  <c r="J111" i="17" s="1"/>
  <c r="M111" i="17" s="1"/>
  <c r="I115" i="17"/>
  <c r="J115" i="17" s="1"/>
  <c r="M115" i="17" s="1"/>
  <c r="D100" i="17"/>
  <c r="F112" i="17"/>
  <c r="G111" i="17"/>
  <c r="I116" i="17"/>
  <c r="J116" i="17" s="1"/>
  <c r="M116" i="17" s="1"/>
  <c r="I106" i="17"/>
  <c r="J106" i="17" s="1"/>
  <c r="M106" i="17" s="1"/>
  <c r="I125" i="17"/>
  <c r="J125" i="17" s="1"/>
  <c r="D137" i="24"/>
  <c r="G106" i="17"/>
  <c r="G116" i="17"/>
  <c r="G131" i="17"/>
  <c r="D140" i="17" s="1"/>
  <c r="G120" i="17"/>
  <c r="I131" i="17"/>
  <c r="D142" i="17" s="1"/>
  <c r="C142" i="17" s="1"/>
  <c r="F104" i="17"/>
  <c r="F107" i="17" s="1"/>
  <c r="E104" i="17"/>
  <c r="L104" i="17"/>
  <c r="L107" i="17" s="1"/>
  <c r="D132" i="17"/>
  <c r="C146" i="17"/>
  <c r="C148" i="17" s="1"/>
  <c r="F96" i="17"/>
  <c r="G119" i="17"/>
  <c r="F129" i="17"/>
  <c r="F132" i="17" s="1"/>
  <c r="G109" i="17"/>
  <c r="E100" i="17"/>
  <c r="E127" i="17"/>
  <c r="F124" i="17"/>
  <c r="F127" i="17" s="1"/>
  <c r="F114" i="17"/>
  <c r="F117" i="17" s="1"/>
  <c r="D127" i="17"/>
  <c r="I130" i="17"/>
  <c r="L130" i="17" s="1"/>
  <c r="I119" i="17"/>
  <c r="I109" i="17"/>
  <c r="D107" i="17"/>
  <c r="H132" i="17"/>
  <c r="H133" i="17" s="1"/>
  <c r="D144" i="17"/>
  <c r="L114" i="17"/>
  <c r="L117" i="17" s="1"/>
  <c r="N114" i="17" s="1"/>
  <c r="F94" i="17"/>
  <c r="D117" i="17"/>
  <c r="E122" i="17"/>
  <c r="E112" i="17"/>
  <c r="D138" i="24" l="1"/>
  <c r="K133" i="24"/>
  <c r="I122" i="17"/>
  <c r="I112" i="17"/>
  <c r="G112" i="17"/>
  <c r="G122" i="17"/>
  <c r="L131" i="17"/>
  <c r="D98" i="17" s="1"/>
  <c r="I129" i="17"/>
  <c r="I132" i="17" s="1"/>
  <c r="L132" i="17" s="1"/>
  <c r="I104" i="17"/>
  <c r="J104" i="17" s="1"/>
  <c r="G104" i="17"/>
  <c r="G107" i="17" s="1"/>
  <c r="E107" i="17"/>
  <c r="G129" i="17"/>
  <c r="G132" i="17" s="1"/>
  <c r="E132" i="17"/>
  <c r="G114" i="17"/>
  <c r="G117" i="17" s="1"/>
  <c r="D145" i="17"/>
  <c r="C145" i="17" s="1"/>
  <c r="G124" i="17"/>
  <c r="G127" i="17" s="1"/>
  <c r="E98" i="17"/>
  <c r="E97" i="17"/>
  <c r="I114" i="17"/>
  <c r="I117" i="17" s="1"/>
  <c r="I124" i="17"/>
  <c r="I127" i="17" s="1"/>
  <c r="F133" i="17"/>
  <c r="E117" i="17"/>
  <c r="C100" i="17"/>
  <c r="D133" i="17"/>
  <c r="J109" i="17"/>
  <c r="J119" i="17"/>
  <c r="N104" i="17"/>
  <c r="D97" i="17" l="1"/>
  <c r="D136" i="17"/>
  <c r="N129" i="17"/>
  <c r="C97" i="17" s="1"/>
  <c r="L129" i="17"/>
  <c r="F97" i="17" s="1"/>
  <c r="J112" i="17"/>
  <c r="M109" i="17"/>
  <c r="M112" i="17" s="1"/>
  <c r="J122" i="17"/>
  <c r="M119" i="17"/>
  <c r="M122" i="17" s="1"/>
  <c r="E133" i="17"/>
  <c r="G133" i="17"/>
  <c r="J124" i="17"/>
  <c r="J114" i="17"/>
  <c r="I107" i="17"/>
  <c r="D137" i="17" s="1"/>
  <c r="D146" i="17" l="1"/>
  <c r="C147" i="17" s="1"/>
  <c r="F98" i="17"/>
  <c r="J107" i="17"/>
  <c r="M104" i="17"/>
  <c r="M107" i="17" s="1"/>
  <c r="J127" i="17"/>
  <c r="J117" i="17"/>
  <c r="M114" i="17"/>
  <c r="M117" i="17" s="1"/>
  <c r="I133" i="17"/>
  <c r="L124" i="17" l="1"/>
  <c r="F95" i="17" s="1"/>
  <c r="L125" i="17"/>
  <c r="E95" i="17" s="1"/>
  <c r="L126" i="17"/>
  <c r="D95" i="17" s="1"/>
  <c r="M124" i="17" l="1"/>
  <c r="F101" i="17" s="1"/>
  <c r="F99" i="17" s="1"/>
  <c r="M125" i="17"/>
  <c r="E101" i="17" s="1"/>
  <c r="E99" i="17" s="1"/>
  <c r="M126" i="17"/>
  <c r="L127" i="17"/>
  <c r="L133" i="17" l="1"/>
  <c r="C95" i="17"/>
  <c r="C98" i="17" s="1"/>
  <c r="C99" i="17" s="1"/>
  <c r="N124" i="17"/>
  <c r="N133" i="17" s="1"/>
  <c r="M127" i="17"/>
  <c r="D138" i="17" s="1"/>
  <c r="D101" i="17"/>
  <c r="D99" i="17" s="1"/>
  <c r="M133" i="17" l="1"/>
  <c r="C101" i="17"/>
  <c r="D139" i="17"/>
  <c r="D148" i="17" s="1"/>
  <c r="C139" i="17" l="1"/>
</calcChain>
</file>

<file path=xl/sharedStrings.xml><?xml version="1.0" encoding="utf-8"?>
<sst xmlns="http://schemas.openxmlformats.org/spreadsheetml/2006/main" count="437" uniqueCount="169">
  <si>
    <t>DÖNEM KÂRI VEYA ZARARI 
(TİCARİ BİLANÇO KARI ZARARI )</t>
  </si>
  <si>
    <t>KKEG +</t>
  </si>
  <si>
    <t>ZARAR OLSA DAHİ İNDİRİLECEK İSTİSNALAR -</t>
  </si>
  <si>
    <t>GEÇMİŞ YIL ZARARLARI -</t>
  </si>
  <si>
    <t>İNDİRİMLER -</t>
  </si>
  <si>
    <t xml:space="preserve"> KABUL EDİLMEYEN GELİRLER -</t>
  </si>
  <si>
    <t xml:space="preserve">FAALİYET KARI / ZARARI </t>
  </si>
  <si>
    <t>BRÜT SATIŞ KARI / ZARARI</t>
  </si>
  <si>
    <t>Toplam Hasılat</t>
  </si>
  <si>
    <t>ARA TOPLAM</t>
  </si>
  <si>
    <t>İmalat Faaliyetinden Elde Edilen Kazançlardan İstisna Edilenlerin Toplamı</t>
  </si>
  <si>
    <t>Diğer Faaliyetlerden Elde Edilen Kazançlardan İstisna Edilenlerin Toplamı</t>
  </si>
  <si>
    <t>TOPLAM SAFİ KAZANÇ</t>
  </si>
  <si>
    <t>Diğer Faaliyetinden Elde Edilen  Kazanç</t>
  </si>
  <si>
    <t>İhracat Kazancı Payı</t>
  </si>
  <si>
    <t>Üretim Kazancı Payı</t>
  </si>
  <si>
    <t>Diğer Faaliyet Kazancı Payı</t>
  </si>
  <si>
    <t>TİCARİ KAZANÇ TAN İhracat ve İmalat Kazancından İstisna Olan Tutarlar Düşüldükten Sonra Kalan Tutarı</t>
  </si>
  <si>
    <t>İhracat Faaliyetinden Elde Edilen  Kazançtan İstisna Olan Kısım Düşüldükten Sonra Bulunan Tutarı</t>
  </si>
  <si>
    <t>Üretim  Faaliyetinden Elde Edilen  Kazançtan İstisna Olan Kısım Düşüldükten Sonra Bulunan Tutarı</t>
  </si>
  <si>
    <t>İhracat faaliyeti</t>
  </si>
  <si>
    <t>İmalat faaliyeti</t>
  </si>
  <si>
    <t>Diğer faaliyetler</t>
  </si>
  <si>
    <t>FAALİYET TÜRLERİ İTİBARİYLE HASILATLAR VE TOPLAM İÇİNDEKİ ORANLARI</t>
  </si>
  <si>
    <t>SAFİ KURUM KAZANCI 
(KURUMLAR VERGİSİ MATRAHI)</t>
  </si>
  <si>
    <t xml:space="preserve">İHRACAT, İMALAT VE DİĞER FAALİYETLERDEN ELDE EDİLEN KAZANCIN TOPLAM TİCARİ KAZANÇ İÇİNDEKİ PAYLARI </t>
  </si>
  <si>
    <t>NEGATİF VE % 100 DEN BÜYÜKLÜK KONTROLÜ SONRASINDAKİ PAYLARI</t>
  </si>
  <si>
    <t>AZAMİ YAZILABİLECEK İNDİRİMLER TUTARI</t>
  </si>
  <si>
    <t>Hizmet İhracatı Faaliyetinden (KVK 10-1/ğ) Elde Edilen Kazançlardan İstisna Edilenlerin Toplamı</t>
  </si>
  <si>
    <t>KV MATRAHI</t>
  </si>
  <si>
    <t>Ödenecek KV Tutarı</t>
  </si>
  <si>
    <t>MATRAH TOPLAMI</t>
  </si>
  <si>
    <t>KV MATRAHI (Safi Kurum Kazancı)</t>
  </si>
  <si>
    <t>32/A UYGULANMAYACAK K.V.  Matrahı</t>
  </si>
  <si>
    <t>32/A UYGULANAMAYACAK MATRAH</t>
  </si>
  <si>
    <t>TOPLAM</t>
  </si>
  <si>
    <t xml:space="preserve">TOPLAM KV MATRAHI VE ÖDENMESİ GEREKEN KV </t>
  </si>
  <si>
    <t>Vergi İndirim Oranı (VİO)</t>
  </si>
  <si>
    <t>GEÇİCİ VERGİ BEYANNMESİNDE MATRAH BİLDİRİMİ BÖLÜMÜNDE DOLDURULACAK KISIMLAR VE TUTARLARI</t>
  </si>
  <si>
    <t>32 A Madde Kapsamında İndirimli Kurumlar Vergisine (Geçici Vergiye) Tabi Matrah</t>
  </si>
  <si>
    <t>32 A Madde Kapsamında İndirimli Kurumlar Vergisi(Geçici Vergi) Oranı</t>
  </si>
  <si>
    <t>32/A İndirimi ile Vazgeçilen Vergi</t>
  </si>
  <si>
    <t>32/8 Madde Kapsamında İndirimli Kurumlar Vergisi (Geçici Vergi) Oranı</t>
  </si>
  <si>
    <t>Genel Orana Tabi Matrah (Diğer)</t>
  </si>
  <si>
    <t>MATRAHLAR TOPLAMI</t>
  </si>
  <si>
    <t>1 Puan Olmasaydı Hesaplan KV Tutarı</t>
  </si>
  <si>
    <t>32/A ya Tabi Matrah Üzerinden Ödenecek KV</t>
  </si>
  <si>
    <t xml:space="preserve">1 Puan İndirimin Vergi Etkisi </t>
  </si>
  <si>
    <t>2022 YILI 3. DÖNEM İNDİRİMLİ KURUMLAR VERGİSİ HESAPLAMA TABLOSU</t>
  </si>
  <si>
    <t>Yararlanılan Yatırıma Katkı Tutarı
(32/A İnd. KV Nedeniyle Vazgeçilen Vergi Tutarı)</t>
  </si>
  <si>
    <t>32/ A UYGULANAN MATRAH</t>
  </si>
  <si>
    <t>32/A UYGULANMAYAN MATRAH</t>
  </si>
  <si>
    <t>32/A UYGULANACAK MATRAH ÜZERİNDEN ÖDENECEK KV TUTARI</t>
  </si>
  <si>
    <t>32/A UYGULANMAYAN MATRAH ÜZERİNDEN ÖDENECEK KV TUTARI</t>
  </si>
  <si>
    <t>32/A İndirimi Olmasaydı Ödenecek KV Tutarı</t>
  </si>
  <si>
    <t>1 Puan İndirim ve 32/A İndirimi Uygulandıktan Sonra Ödenecek  KV Tutarı</t>
  </si>
  <si>
    <t>TOPLAM ÖDENECEK KV</t>
  </si>
  <si>
    <t>YARLANILAN 32/A İNDİRİMİ TUTARI</t>
  </si>
  <si>
    <t>1 PUAN VE 32/A İNDİRİMİ OLMASAYDI HESAPLANAN KV TUTARI</t>
  </si>
  <si>
    <t>32/A İNDİRİMİ UYGULANMAZ</t>
  </si>
  <si>
    <t>32/7 Madde Kapsamında İndirimli Kurumlar Vergisi (Geçici Vergi) Oranı</t>
  </si>
  <si>
    <t xml:space="preserve">1 Puan İndirim Sonrasında Ödenecek KV Tutarı (Üretim)
</t>
  </si>
  <si>
    <t>Diğer Faalilyetlerden Elde Edilen Kazanç</t>
  </si>
  <si>
    <t xml:space="preserve">SAFİ KURUM KAZANCININ  KV VERGİ ORANLARI İTİBARİYLE DAĞILIMI </t>
  </si>
  <si>
    <t>TOPLAM AVANTAJ  (YARARLANILAN 1 PUAN İNDİRİMİ + 32/A İNDİRİMİ TUTARI )</t>
  </si>
  <si>
    <t>SAFİ KURUM KAZANCI DAĞILIMI</t>
  </si>
  <si>
    <t>SAFİ KURUM KAZANCININ DAĞILIMI TUTARSAL</t>
  </si>
  <si>
    <t>1-Yurtiçi Satışlar (600)</t>
  </si>
  <si>
    <t>2-Yurtdışı Satışlar (601)</t>
  </si>
  <si>
    <t>3-Diğer Gelirler (602)</t>
  </si>
  <si>
    <t>1-Satıştan İadeler (-) (610)</t>
  </si>
  <si>
    <t>2- Satış İskontoları (-) (611)</t>
  </si>
  <si>
    <t>3-Diğer İndirimler (-) (612)</t>
  </si>
  <si>
    <t>A-BRÜT SATIŞLAR (60)</t>
  </si>
  <si>
    <t>B-SATIŞ İNDİRİMLERİ(-) (61)</t>
  </si>
  <si>
    <t>1-Satılan Mamuller Maliyeti ( 620)</t>
  </si>
  <si>
    <t>2-Satılan Ticari Mal Maliyeti (621)</t>
  </si>
  <si>
    <t>3-Satılan Hizmet Maliyeti (622)</t>
  </si>
  <si>
    <t>4-Diğer Satışların Maliyeti (623)</t>
  </si>
  <si>
    <t>D-SATIŞLARIN MALİYETİ (-) (62)</t>
  </si>
  <si>
    <t>C-NET SATIŞLAR</t>
  </si>
  <si>
    <t>E-FAALİYET GİDERLERİ (-) (63)</t>
  </si>
  <si>
    <t>1-Araştırma ve Geliştirme Giderleri(-) (630)</t>
  </si>
  <si>
    <t>2-Pazarlama, Satış ve Dağıtım Giderleri(-) (631)</t>
  </si>
  <si>
    <t>3-Genel Yönetim Giderleri(-) (632)</t>
  </si>
  <si>
    <t>F-DİĞER FAALİYETLERDEN OLAĞAN GELİR VE KARLAR (64)</t>
  </si>
  <si>
    <t xml:space="preserve">         1- İŞTİRAKLERDEN TEMETTÜ GELİRLERİ (640)</t>
  </si>
  <si>
    <t xml:space="preserve">         2- BAĞLI ORTAKLIKLARDAN TEMETTÜ GELİRLERİ (641)</t>
  </si>
  <si>
    <t xml:space="preserve">         4- KOMİSYON GELİRLERİ (643)</t>
  </si>
  <si>
    <t xml:space="preserve">         5- KONUSU OLMAYAN KARŞILIKLAR (644)</t>
  </si>
  <si>
    <t xml:space="preserve">         6- MENKUL KIYMET SATIŞ KARLARI (645)</t>
  </si>
  <si>
    <t xml:space="preserve">         8- REESKONT FAİZ GELİRLERİ (647)</t>
  </si>
  <si>
    <t xml:space="preserve">         9- FAALİYETLE İLGİLİ DİĞER GELİR VE KARLAR (649)</t>
  </si>
  <si>
    <t xml:space="preserve">         1- KOMİSYON GİDERLERİ (653)</t>
  </si>
  <si>
    <t xml:space="preserve">         2- KARŞILIK GİDERLERİ (654)</t>
  </si>
  <si>
    <t xml:space="preserve">         3- MENKUL KIYMET SATIŞ ZARARLARI (655)</t>
  </si>
  <si>
    <t xml:space="preserve">         5- REESKONT FAİZ GİDERLERİ (657)</t>
  </si>
  <si>
    <t xml:space="preserve">         6- DİĞER OLAĞAN GİDER VE ZARARLAR (659)</t>
  </si>
  <si>
    <t>G-DİĞER FAALİYETLERDEN OLAĞAN GİDER VE ZARARLAR(-) (65)</t>
  </si>
  <si>
    <t xml:space="preserve">         1- KISA VADELİ BORÇLANMA GİDERLERİ (-)</t>
  </si>
  <si>
    <t xml:space="preserve">         2- UZUN VADELİ BORÇLANMA GİDERLERİ (-)</t>
  </si>
  <si>
    <t>H-FİNANSMAN GİDERLERİ(-) (66)</t>
  </si>
  <si>
    <t>1- ÖNCEKİ DÖNEM GELİR VE KARLARI (671)</t>
  </si>
  <si>
    <t>2-DİĞER OLAĞAN DIŞI GELİR VE KARLAR (679)</t>
  </si>
  <si>
    <t>I-OLAĞANDIŞI GELİR VE KÂRLAR (67)</t>
  </si>
  <si>
    <t>1-Çalışmayan Kısım Gider ve Zararları(-) (680)</t>
  </si>
  <si>
    <t>2-Önceki Dönem Gider ve Zararları(-) (681)</t>
  </si>
  <si>
    <t>3-Diğer Olağan Dışı Gider ve Zararlar(-) (689)</t>
  </si>
  <si>
    <t>J-OLAĞANDIŞI GİDER VE ZARARLAR(-) (68)</t>
  </si>
  <si>
    <r>
      <t xml:space="preserve">         3- FAİZ GELİRLERİ (642) </t>
    </r>
    <r>
      <rPr>
        <sz val="14"/>
        <color rgb="FFFF0000"/>
        <rFont val="Arial"/>
        <family val="2"/>
        <charset val="162"/>
      </rPr>
      <t>(ihracat ve imalat kaynaklı alacağın tahsiline kadar olan süreçte oluşan)</t>
    </r>
  </si>
  <si>
    <r>
      <t xml:space="preserve">         7- KAMBİYO KARLARI (646)</t>
    </r>
    <r>
      <rPr>
        <sz val="14"/>
        <color rgb="FFFF0000"/>
        <rFont val="Arial"/>
        <family val="2"/>
        <charset val="162"/>
      </rPr>
      <t xml:space="preserve"> (ihracat ve imalat kaynaklı alacağın tahsiline kadar olan süreçte oluşan)</t>
    </r>
  </si>
  <si>
    <r>
      <t xml:space="preserve">         4- KAMBİYO ZARARLARI (656) </t>
    </r>
    <r>
      <rPr>
        <sz val="14"/>
        <color rgb="FFFF0000"/>
        <rFont val="Arial"/>
        <family val="2"/>
        <charset val="162"/>
      </rPr>
      <t>(ihracat ve imalat kaynaklı alacağın tahsiline kadar olan süreçte oluşan)</t>
    </r>
  </si>
  <si>
    <r>
      <rPr>
        <b/>
        <sz val="20"/>
        <color rgb="FF0070C0"/>
        <rFont val="Arial"/>
        <family val="2"/>
        <charset val="162"/>
      </rPr>
      <t>MÜŞTEREK GENEL GİDERLER</t>
    </r>
    <r>
      <rPr>
        <sz val="14"/>
        <color indexed="8"/>
        <rFont val="Arial"/>
        <family val="2"/>
        <charset val="162"/>
      </rPr>
      <t xml:space="preserve"> </t>
    </r>
    <r>
      <rPr>
        <b/>
        <sz val="14"/>
        <color rgb="FFFF0000"/>
        <rFont val="Arial"/>
        <family val="2"/>
        <charset val="162"/>
      </rPr>
      <t>(DAĞITIM-HASILAT PAYINA GÖRE)</t>
    </r>
  </si>
  <si>
    <r>
      <rPr>
        <b/>
        <sz val="20"/>
        <color rgb="FF0070C0"/>
        <rFont val="Arial"/>
        <family val="2"/>
        <charset val="162"/>
      </rPr>
      <t xml:space="preserve">MÜŞTEREK GENEL GİDER GİBİ DAĞITIMA TABİ TUTULACAK AMORTİSMAN GİDERLERİ </t>
    </r>
    <r>
      <rPr>
        <sz val="14"/>
        <color indexed="8"/>
        <rFont val="Arial"/>
        <family val="2"/>
        <charset val="162"/>
      </rPr>
      <t xml:space="preserve"> </t>
    </r>
    <r>
      <rPr>
        <b/>
        <sz val="14"/>
        <color rgb="FFFF0000"/>
        <rFont val="Arial"/>
        <family val="2"/>
        <charset val="162"/>
      </rPr>
      <t>(DAĞITIM-HASILAT PAYINA GÖRE)</t>
    </r>
  </si>
  <si>
    <r>
      <t xml:space="preserve">         2- UZUN VADELİ BORÇLANMA GİDERLERİ (-) </t>
    </r>
    <r>
      <rPr>
        <sz val="14"/>
        <color rgb="FFFF0000"/>
        <rFont val="Arial"/>
        <family val="2"/>
        <charset val="162"/>
      </rPr>
      <t>(DAĞITIM)</t>
    </r>
  </si>
  <si>
    <r>
      <t xml:space="preserve">         1- KISA VADELİ BORÇLANMA GİDERLERİ (-) </t>
    </r>
    <r>
      <rPr>
        <sz val="14"/>
        <color rgb="FFFF0000"/>
        <rFont val="Arial"/>
        <family val="2"/>
        <charset val="162"/>
      </rPr>
      <t>(DAĞITIM)</t>
    </r>
  </si>
  <si>
    <t>1. TEŞVİK BELGESİ</t>
  </si>
  <si>
    <t>2. TEŞVİK BELGESİ</t>
  </si>
  <si>
    <t>3. TEŞVİK BELGESİ</t>
  </si>
  <si>
    <t>4. TEŞVİK BELGESİ</t>
  </si>
  <si>
    <t>5. TEŞVİK BELGESİ</t>
  </si>
  <si>
    <t>32/A UYGULANABİLECEK MATRAH (1.TEŞVİK BELGESİ)</t>
  </si>
  <si>
    <t>32/A UYGULANABİLECEK MATRAH (2.TEŞVİK BELGESİ)</t>
  </si>
  <si>
    <t>32/A UYGULANABİLECEK MATRAH (3.TEŞVİK BELGESİ)</t>
  </si>
  <si>
    <t>32/A UYGULANABİLECEK MATRAH (4. TEŞVİK BELGESİ)</t>
  </si>
  <si>
    <t>32/A UYGULANABİLECEK MATRAH (5.TEŞVİK BELGESİ)</t>
  </si>
  <si>
    <r>
      <t>32/A  Uygulanacak K.V. Matrahı (</t>
    </r>
    <r>
      <rPr>
        <b/>
        <sz val="14"/>
        <color rgb="FFC00000"/>
        <rFont val="Calibri"/>
        <family val="2"/>
        <charset val="162"/>
        <scheme val="minor"/>
      </rPr>
      <t>HER BİR TEŞVİK BELGESİ KAPSAMINDA YARARLANILABİLECEK YATIRIMA KATKI TUTARININ MATRAHI BU HÜCRELERE YAZILMALIDIR</t>
    </r>
    <r>
      <rPr>
        <b/>
        <sz val="14"/>
        <color theme="1"/>
        <rFont val="Calibri"/>
        <family val="2"/>
        <charset val="162"/>
        <scheme val="minor"/>
      </rPr>
      <t>)</t>
    </r>
  </si>
  <si>
    <t>32/6 NEDENİYLE HESAPLANAN İNDİRİM TUTAR</t>
  </si>
  <si>
    <t>32/6 A İNDİRİMİ SONRASINDA HESAPLANAN KURUMLAR VERGİSİ TUTARI</t>
  </si>
  <si>
    <t>1 PUAN VE 32/A İNDİRİMİ OLMASAYDI HESAPLANAN KV TUTARI 
(32/6 UYGULANMIŞTIR)</t>
  </si>
  <si>
    <t>KV ORANI</t>
  </si>
  <si>
    <t>GENEL ORANA TABİ KISIM (DİĞER FAALİYETLER)</t>
  </si>
  <si>
    <t>1 PUAN İNDİRİMLİ ORANA TABİ KISIM  (İMALAT)</t>
  </si>
  <si>
    <t xml:space="preserve">KVK 32/6 DA BELİRTİLEN ŞARTLARIN BULUNDUĞU  KABUL EDİLMİŞTİR. 
</t>
  </si>
  <si>
    <r>
      <t>32/8 Madde Kapsamında İndirimli Kurumlar Vergisine (Geçici Vergiye) Tabi Matrah  (</t>
    </r>
    <r>
      <rPr>
        <b/>
        <sz val="16"/>
        <color rgb="FF0070C0"/>
        <rFont val="Calibri"/>
        <family val="2"/>
        <charset val="162"/>
        <scheme val="minor"/>
      </rPr>
      <t>Üretim</t>
    </r>
    <r>
      <rPr>
        <b/>
        <sz val="16"/>
        <color theme="1"/>
        <rFont val="Calibri"/>
        <family val="2"/>
        <charset val="162"/>
        <scheme val="minor"/>
      </rPr>
      <t>)</t>
    </r>
  </si>
  <si>
    <r>
      <t xml:space="preserve">32/7 Madde Kapsamında İndirimli Kurumlar Vergisine (Geçici Vergiye) Tabi Matrah  </t>
    </r>
    <r>
      <rPr>
        <b/>
        <sz val="16"/>
        <color rgb="FFFF0000"/>
        <rFont val="Calibri"/>
        <family val="2"/>
        <charset val="162"/>
        <scheme val="minor"/>
      </rPr>
      <t>(İhracat</t>
    </r>
    <r>
      <rPr>
        <b/>
        <sz val="16"/>
        <color theme="1"/>
        <rFont val="Calibri"/>
        <family val="2"/>
        <charset val="162"/>
        <scheme val="minor"/>
      </rPr>
      <t>)</t>
    </r>
  </si>
  <si>
    <t>5 PUAN İNDİRİMLİ ORANA TABİ KISIM  ( İHRACAT)</t>
  </si>
  <si>
    <t>5 Puan Olmasaydı Hesaplan KV Tutarı</t>
  </si>
  <si>
    <t xml:space="preserve">5 Puan İndirimin Vergi Etkisi </t>
  </si>
  <si>
    <t xml:space="preserve">5 Puan İndirim Sonrasında Ödenecek KV Tutarı (İhracat)
</t>
  </si>
  <si>
    <t>5  Puan Olmasaydı Hesaplan KV Tutarı</t>
  </si>
  <si>
    <t>32/6 İndirimi  / 1 -5 Puan İndirim ve 32/A VİO Uygulandıktan Sonra Tatbik Edilecek KV Oranı</t>
  </si>
  <si>
    <t>32/6 İndirimi  / 1 - 5 Puan İndirim ve 32/A VİO Uygulandıktan Sonra Tatbik Edilecek KV Oranı</t>
  </si>
  <si>
    <t>1 - 5 Puan İndirim ve 32/A İndirimi Uygulandıktan Sonra Ödenecek  KV Tutarı</t>
  </si>
  <si>
    <t>1 -5 Puan İndirim ve 32/A İndirimi Uygulandıktan Sonra Ödenecek  KV Tutarı</t>
  </si>
  <si>
    <t>32/6 VE 1 - 5 PUAN İNDİRİM OLMASAYDI HESAPLANAN KV TUTARI</t>
  </si>
  <si>
    <t>32/6 VE 1-5 PUAN İNDİRİM OLMASAYDI HESAPLANAN KV TUTARI</t>
  </si>
  <si>
    <t>1 - 5 Puan İndirim Tutarı</t>
  </si>
  <si>
    <t>1 -5 Puan İndirim Sonrasında Hesaplanan KV Tutarı</t>
  </si>
  <si>
    <t>1-5 Puan Olmasaydı Hesaplan KV Tutarı</t>
  </si>
  <si>
    <t xml:space="preserve"> 1 -5 Puan İndirim Sonrasında Ödenecek KV Tutarı
 (32 A olmasaydı hesaplanacak Vergi)</t>
  </si>
  <si>
    <t>1 - 5 PUAN İNDİRİM OLMASAYDI HESAPLANAN KV TUTARI</t>
  </si>
  <si>
    <t>1 -5 Puan İndirim Tutarı</t>
  </si>
  <si>
    <t>1 - 5 Puan İndirim Sonrasında Hesaplanan KV Tutarı</t>
  </si>
  <si>
    <t>1-5 PUAN İNDİRİM OLMASAYDI HESAPLANAN KV TUTARI</t>
  </si>
  <si>
    <t>YARARLANILAN 1 - 5 PUAN İNDİRİMİ TUTARI</t>
  </si>
  <si>
    <t>YARARLANILAN 1 - 5  PUAN İNDİRİMİ TUTARI</t>
  </si>
  <si>
    <t>1 -5 Puan İndirim Sonrasında Ödenecek KV Tutarı
 (32 A olmasaydı hesaplanacak Vergi)</t>
  </si>
  <si>
    <t>1-5 Puan İndirim Tutarı</t>
  </si>
  <si>
    <t>1 -5 Puan İndirim ve 32/A VİO Uygulandıktan Sonra Tatbik Edilecek KV Oranı</t>
  </si>
  <si>
    <t>1 - 5 Puan İndirim ve 32/A VİO Uygulandıktan Sonra Tatbik Edilecek KV Oranı</t>
  </si>
  <si>
    <t>1- 5  Puan İndirim ve 32/A VİO Uygulandıktan Sonra Tatbik Edilecek KV Oranı</t>
  </si>
  <si>
    <t>1-5  Puan İndirim ve 32/A İndirimi Uygulandıktan Sonra Ödenecek  KV Tutarı</t>
  </si>
  <si>
    <t>1-5 Puan İndirim ve 32/A İndirimi Uygulandıktan Sonra Ödenecek  KV Tutarı</t>
  </si>
  <si>
    <t>SAFİ KURUM KAZANCININ DAĞILIMI ORANSAL DAĞILIMI</t>
  </si>
  <si>
    <r>
      <t xml:space="preserve">32/7 Madde Kapsamında İndirimli Kurumlar Vergisine (Geçici Vergiye) Tabi Matrah </t>
    </r>
    <r>
      <rPr>
        <b/>
        <sz val="24"/>
        <color theme="1"/>
        <rFont val="Calibri"/>
        <family val="2"/>
        <charset val="162"/>
        <scheme val="minor"/>
      </rPr>
      <t xml:space="preserve"> (</t>
    </r>
    <r>
      <rPr>
        <b/>
        <sz val="24"/>
        <color rgb="FFFF0000"/>
        <rFont val="Calibri"/>
        <family val="2"/>
        <charset val="162"/>
        <scheme val="minor"/>
      </rPr>
      <t>İhracat</t>
    </r>
    <r>
      <rPr>
        <b/>
        <sz val="24"/>
        <color theme="1"/>
        <rFont val="Calibri"/>
        <family val="2"/>
        <charset val="162"/>
        <scheme val="minor"/>
      </rPr>
      <t>)</t>
    </r>
  </si>
  <si>
    <r>
      <t xml:space="preserve">32/8 Madde Kapsamında İndirimli Kurumlar Vergisine (Geçici Vergiye) Tabi Matrah  </t>
    </r>
    <r>
      <rPr>
        <b/>
        <sz val="24"/>
        <color theme="1"/>
        <rFont val="Calibri"/>
        <family val="2"/>
        <charset val="162"/>
        <scheme val="minor"/>
      </rPr>
      <t>(</t>
    </r>
    <r>
      <rPr>
        <b/>
        <sz val="24"/>
        <color rgb="FF0070C0"/>
        <rFont val="Calibri"/>
        <family val="2"/>
        <charset val="162"/>
        <scheme val="minor"/>
      </rPr>
      <t>Üretim</t>
    </r>
    <r>
      <rPr>
        <b/>
        <sz val="24"/>
        <color theme="1"/>
        <rFont val="Calibri"/>
        <family val="2"/>
        <charset val="162"/>
        <scheme val="minor"/>
      </rPr>
      <t>)</t>
    </r>
  </si>
  <si>
    <t xml:space="preserve">İHRACAT, İMALAT VE DİĞER FAALİYETLERDEN ELDE EDİLEN KAZANCIN TOPLAM TİCARİ KAZANÇ İÇİNDEKİ PAYLARI  </t>
  </si>
  <si>
    <r>
      <t xml:space="preserve">1 PUAN İNDİRİM UYGULANACAK TUTARIN HESABINDA İSTİSNA KAZANÇLAR DÜŞÜLDÜKTEN SONRA BULUNAN </t>
    </r>
    <r>
      <rPr>
        <b/>
        <sz val="14"/>
        <color rgb="FFFF0000"/>
        <rFont val="Arial"/>
        <family val="2"/>
        <charset val="162"/>
      </rPr>
      <t>TİCARİ KAZANÇ TUTARI</t>
    </r>
    <r>
      <rPr>
        <b/>
        <sz val="14"/>
        <rFont val="Arial"/>
        <family val="2"/>
        <charset val="162"/>
      </rPr>
      <t xml:space="preserve"> İLE  </t>
    </r>
    <r>
      <rPr>
        <b/>
        <sz val="14"/>
        <color rgb="FFFF0000"/>
        <rFont val="Arial"/>
        <family val="2"/>
        <charset val="162"/>
      </rPr>
      <t>BU KAZANÇ İÇİNDE</t>
    </r>
    <r>
      <rPr>
        <b/>
        <sz val="14"/>
        <rFont val="Arial"/>
        <family val="2"/>
        <charset val="162"/>
      </rPr>
      <t xml:space="preserve"> İHRACAT,İMALAT VE DİĞER KAZANÇLARIN TUTARI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</si>
</sst>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.00\ _T_L_-;\-* #,##0.00\ _T_L_-;_-* &quot;-&quot;??\ _T_L_-;_-@_-"/>
    <numFmt numFmtId="165" formatCode="#,##0.00_ ;\-#,##0.00\ "/>
    <numFmt numFmtId="166" formatCode="0.00000%"/>
    <numFmt numFmtId="167" formatCode="0.0000000%"/>
    <numFmt numFmtId="168" formatCode="_-* #,##0\ _T_L_-;\-* #,##0\ _T_L_-;_-* &quot;-&quot;\ _T_L_-;_-@_-"/>
  </numFmts>
  <fonts count="60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0"/>
      <name val="Arial Tur"/>
      <charset val="162"/>
    </font>
    <font>
      <sz val="11"/>
      <color theme="1"/>
      <name val="Calibri"/>
      <family val="2"/>
      <scheme val="minor"/>
    </font>
    <font>
      <sz val="10"/>
      <name val="Arial"/>
      <family val="2"/>
      <charset val="162"/>
    </font>
    <font>
      <b/>
      <sz val="12"/>
      <color rgb="FF0070C0"/>
      <name val="Calibri"/>
      <family val="2"/>
      <charset val="162"/>
      <scheme val="minor"/>
    </font>
    <font>
      <b/>
      <sz val="12"/>
      <color theme="1"/>
      <name val="Calibri"/>
      <family val="2"/>
      <charset val="162"/>
      <scheme val="minor"/>
    </font>
    <font>
      <sz val="12"/>
      <color theme="1"/>
      <name val="Calibri"/>
      <family val="2"/>
      <charset val="162"/>
      <scheme val="minor"/>
    </font>
    <font>
      <sz val="12"/>
      <name val="Calibri"/>
      <family val="2"/>
      <charset val="162"/>
      <scheme val="minor"/>
    </font>
    <font>
      <b/>
      <sz val="12"/>
      <color indexed="8"/>
      <name val="Arial"/>
      <family val="2"/>
      <charset val="162"/>
    </font>
    <font>
      <b/>
      <sz val="12"/>
      <color theme="1"/>
      <name val="Times New Roman"/>
      <family val="1"/>
      <charset val="162"/>
    </font>
    <font>
      <i/>
      <sz val="12"/>
      <color theme="1"/>
      <name val="Calibri"/>
      <family val="2"/>
      <charset val="162"/>
      <scheme val="minor"/>
    </font>
    <font>
      <b/>
      <sz val="12"/>
      <color rgb="FFFF0000"/>
      <name val="Calibri"/>
      <family val="2"/>
      <charset val="162"/>
      <scheme val="minor"/>
    </font>
    <font>
      <b/>
      <sz val="14"/>
      <color indexed="8"/>
      <name val="Arial"/>
      <family val="2"/>
      <charset val="162"/>
    </font>
    <font>
      <b/>
      <u/>
      <sz val="14"/>
      <name val="Calibri"/>
      <family val="2"/>
      <charset val="162"/>
      <scheme val="minor"/>
    </font>
    <font>
      <b/>
      <sz val="14"/>
      <name val="Calibri"/>
      <family val="2"/>
      <charset val="162"/>
      <scheme val="minor"/>
    </font>
    <font>
      <b/>
      <sz val="16"/>
      <name val="Calibri"/>
      <family val="2"/>
      <charset val="162"/>
      <scheme val="minor"/>
    </font>
    <font>
      <sz val="20"/>
      <name val="Calibri"/>
      <family val="2"/>
      <charset val="162"/>
      <scheme val="minor"/>
    </font>
    <font>
      <sz val="20"/>
      <color theme="1"/>
      <name val="Calibri"/>
      <family val="2"/>
      <charset val="162"/>
      <scheme val="minor"/>
    </font>
    <font>
      <b/>
      <sz val="16"/>
      <color theme="1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  <font>
      <sz val="14"/>
      <name val="Calibri"/>
      <family val="2"/>
      <charset val="162"/>
      <scheme val="minor"/>
    </font>
    <font>
      <sz val="14"/>
      <color indexed="8"/>
      <name val="Arial"/>
      <family val="2"/>
      <charset val="162"/>
    </font>
    <font>
      <b/>
      <sz val="14"/>
      <color rgb="FFFF0000"/>
      <name val="Arial"/>
      <family val="2"/>
      <charset val="162"/>
    </font>
    <font>
      <sz val="14"/>
      <color rgb="FFFF0000"/>
      <name val="Arial"/>
      <family val="2"/>
      <charset val="162"/>
    </font>
    <font>
      <sz val="14"/>
      <name val="Arial"/>
      <family val="2"/>
      <charset val="162"/>
    </font>
    <font>
      <b/>
      <sz val="22"/>
      <color rgb="FF0070C0"/>
      <name val="Calibri"/>
      <family val="2"/>
      <charset val="162"/>
      <scheme val="minor"/>
    </font>
    <font>
      <b/>
      <u/>
      <sz val="14"/>
      <color indexed="8"/>
      <name val="Arial"/>
      <family val="2"/>
      <charset val="162"/>
    </font>
    <font>
      <b/>
      <sz val="26"/>
      <color indexed="8"/>
      <name val="Arial"/>
      <family val="2"/>
      <charset val="162"/>
    </font>
    <font>
      <b/>
      <u/>
      <sz val="26"/>
      <name val="Calibri"/>
      <family val="2"/>
      <charset val="162"/>
      <scheme val="minor"/>
    </font>
    <font>
      <b/>
      <sz val="14"/>
      <color rgb="FF0070C0"/>
      <name val="Calibri"/>
      <family val="2"/>
      <charset val="162"/>
      <scheme val="minor"/>
    </font>
    <font>
      <b/>
      <sz val="20"/>
      <color rgb="FF0070C0"/>
      <name val="Arial"/>
      <family val="2"/>
      <charset val="162"/>
    </font>
    <font>
      <i/>
      <sz val="14"/>
      <color rgb="FFC00000"/>
      <name val="Arial"/>
      <family val="2"/>
      <charset val="162"/>
    </font>
    <font>
      <i/>
      <sz val="14"/>
      <color indexed="8"/>
      <name val="Arial"/>
      <family val="2"/>
      <charset val="162"/>
    </font>
    <font>
      <b/>
      <sz val="14"/>
      <name val="Arial"/>
      <family val="2"/>
      <charset val="162"/>
    </font>
    <font>
      <u val="singleAccounting"/>
      <sz val="14"/>
      <name val="Arial"/>
      <family val="2"/>
      <charset val="162"/>
    </font>
    <font>
      <sz val="14"/>
      <color theme="1"/>
      <name val="Calibri"/>
      <family val="2"/>
      <charset val="162"/>
      <scheme val="minor"/>
    </font>
    <font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4"/>
      <color rgb="FFFF0000"/>
      <name val="Calibri"/>
      <family val="2"/>
      <charset val="162"/>
      <scheme val="minor"/>
    </font>
    <font>
      <sz val="14"/>
      <color rgb="FFFF0000"/>
      <name val="Calibri"/>
      <family val="2"/>
      <charset val="162"/>
      <scheme val="minor"/>
    </font>
    <font>
      <i/>
      <sz val="14"/>
      <name val="Calibri"/>
      <family val="2"/>
      <charset val="162"/>
      <scheme val="minor"/>
    </font>
    <font>
      <b/>
      <sz val="14"/>
      <color rgb="FFC00000"/>
      <name val="Calibri"/>
      <family val="2"/>
      <charset val="162"/>
      <scheme val="minor"/>
    </font>
    <font>
      <b/>
      <sz val="28"/>
      <color theme="1"/>
      <name val="Calibri"/>
      <family val="2"/>
      <charset val="162"/>
      <scheme val="minor"/>
    </font>
    <font>
      <b/>
      <sz val="16"/>
      <color rgb="FFFF0000"/>
      <name val="Calibri"/>
      <family val="2"/>
      <charset val="162"/>
      <scheme val="minor"/>
    </font>
    <font>
      <sz val="16"/>
      <color theme="1"/>
      <name val="Calibri"/>
      <family val="2"/>
      <charset val="162"/>
      <scheme val="minor"/>
    </font>
    <font>
      <sz val="22"/>
      <color theme="1"/>
      <name val="Calibri"/>
      <family val="2"/>
      <charset val="162"/>
      <scheme val="minor"/>
    </font>
    <font>
      <sz val="26"/>
      <color theme="1"/>
      <name val="Calibri"/>
      <family val="2"/>
      <charset val="162"/>
      <scheme val="minor"/>
    </font>
    <font>
      <b/>
      <sz val="16"/>
      <color rgb="FF0070C0"/>
      <name val="Calibri"/>
      <family val="2"/>
      <charset val="162"/>
      <scheme val="minor"/>
    </font>
    <font>
      <sz val="16"/>
      <name val="Calibri"/>
      <family val="2"/>
      <charset val="162"/>
      <scheme val="minor"/>
    </font>
    <font>
      <b/>
      <sz val="16"/>
      <color rgb="FF00B050"/>
      <name val="Calibri"/>
      <family val="2"/>
      <charset val="162"/>
      <scheme val="minor"/>
    </font>
    <font>
      <b/>
      <sz val="16"/>
      <color rgb="FF7030A0"/>
      <name val="Calibri"/>
      <family val="2"/>
      <charset val="162"/>
      <scheme val="minor"/>
    </font>
    <font>
      <b/>
      <sz val="18"/>
      <name val="Calibri"/>
      <family val="2"/>
      <charset val="162"/>
      <scheme val="minor"/>
    </font>
    <font>
      <b/>
      <sz val="18"/>
      <color rgb="FF0070C0"/>
      <name val="Calibri"/>
      <family val="2"/>
      <charset val="162"/>
      <scheme val="minor"/>
    </font>
    <font>
      <b/>
      <sz val="24"/>
      <color rgb="FFFF0000"/>
      <name val="Calibri"/>
      <family val="2"/>
      <charset val="162"/>
      <scheme val="minor"/>
    </font>
    <font>
      <sz val="12"/>
      <color rgb="FFFF0000"/>
      <name val="Calibri"/>
      <family val="2"/>
      <charset val="162"/>
      <scheme val="minor"/>
    </font>
    <font>
      <b/>
      <sz val="24"/>
      <color theme="1"/>
      <name val="Calibri"/>
      <family val="2"/>
      <charset val="162"/>
      <scheme val="minor"/>
    </font>
    <font>
      <b/>
      <sz val="24"/>
      <color rgb="FF0070C0"/>
      <name val="Calibri"/>
      <family val="2"/>
      <charset val="162"/>
      <scheme val="minor"/>
    </font>
    <font>
      <b/>
      <sz val="20"/>
      <name val="Calibri"/>
      <family val="2"/>
      <charset val="162"/>
      <scheme val="minor"/>
    </font>
    <font>
      <b/>
      <u/>
      <sz val="18"/>
      <color rgb="FF0070C0"/>
      <name val="Calibri"/>
      <family val="2"/>
      <charset val="16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" fillId="0" borderId="0"/>
    <xf numFmtId="0" fontId="4" fillId="0" borderId="0"/>
    <xf numFmtId="43" fontId="3" fillId="0" borderId="0" applyFont="0" applyFill="0" applyBorder="0" applyAlignment="0" applyProtection="0"/>
    <xf numFmtId="164" fontId="4" fillId="0" borderId="0" applyFont="0" applyFill="0" applyBorder="0" applyAlignment="0" applyProtection="0"/>
    <xf numFmtId="168" fontId="4" fillId="0" borderId="0" applyFont="0" applyFill="0" applyBorder="0" applyAlignment="0" applyProtection="0"/>
  </cellStyleXfs>
  <cellXfs count="378">
    <xf numFmtId="0" fontId="0" fillId="0" borderId="0" xfId="0"/>
    <xf numFmtId="43" fontId="7" fillId="0" borderId="0" xfId="1" applyFont="1" applyAlignment="1" applyProtection="1">
      <alignment horizontal="center" vertical="center" wrapText="1"/>
    </xf>
    <xf numFmtId="43" fontId="7" fillId="0" borderId="0" xfId="1" applyFont="1" applyFill="1" applyAlignment="1" applyProtection="1">
      <alignment horizontal="center" vertical="center" wrapText="1"/>
    </xf>
    <xf numFmtId="43" fontId="7" fillId="0" borderId="0" xfId="1" applyFont="1" applyFill="1" applyBorder="1" applyAlignment="1" applyProtection="1">
      <alignment horizontal="center" vertical="center" wrapText="1"/>
    </xf>
    <xf numFmtId="43" fontId="9" fillId="0" borderId="0" xfId="1" applyFont="1" applyFill="1" applyBorder="1" applyAlignment="1" applyProtection="1">
      <alignment horizontal="center" vertical="center" shrinkToFit="1"/>
    </xf>
    <xf numFmtId="9" fontId="8" fillId="0" borderId="0" xfId="2" applyFont="1" applyFill="1" applyBorder="1" applyAlignment="1" applyProtection="1">
      <alignment horizontal="center" vertical="center" wrapText="1"/>
    </xf>
    <xf numFmtId="43" fontId="6" fillId="0" borderId="0" xfId="1" applyFont="1" applyFill="1" applyBorder="1" applyAlignment="1" applyProtection="1">
      <alignment horizontal="center" vertical="center" wrapText="1"/>
    </xf>
    <xf numFmtId="43" fontId="7" fillId="5" borderId="30" xfId="1" applyFont="1" applyFill="1" applyBorder="1" applyAlignment="1" applyProtection="1">
      <alignment horizontal="center" vertical="center" wrapText="1"/>
    </xf>
    <xf numFmtId="43" fontId="7" fillId="5" borderId="44" xfId="1" applyFont="1" applyFill="1" applyBorder="1" applyAlignment="1" applyProtection="1">
      <alignment vertical="center" wrapText="1"/>
    </xf>
    <xf numFmtId="43" fontId="7" fillId="5" borderId="30" xfId="1" applyFont="1" applyFill="1" applyBorder="1" applyAlignment="1" applyProtection="1">
      <alignment vertical="center" wrapText="1"/>
    </xf>
    <xf numFmtId="43" fontId="7" fillId="5" borderId="16" xfId="1" applyFont="1" applyFill="1" applyBorder="1" applyAlignment="1" applyProtection="1">
      <alignment vertical="center" wrapText="1"/>
    </xf>
    <xf numFmtId="43" fontId="6" fillId="5" borderId="43" xfId="1" applyFont="1" applyFill="1" applyBorder="1" applyAlignment="1" applyProtection="1">
      <alignment horizontal="center" vertical="center" wrapText="1"/>
    </xf>
    <xf numFmtId="43" fontId="6" fillId="5" borderId="45" xfId="1" applyFont="1" applyFill="1" applyBorder="1" applyAlignment="1" applyProtection="1">
      <alignment horizontal="center" vertical="center" wrapText="1"/>
    </xf>
    <xf numFmtId="43" fontId="6" fillId="5" borderId="18" xfId="1" applyFont="1" applyFill="1" applyBorder="1" applyAlignment="1" applyProtection="1">
      <alignment horizontal="center" vertical="center" wrapText="1"/>
    </xf>
    <xf numFmtId="43" fontId="6" fillId="0" borderId="0" xfId="1" applyFont="1" applyFill="1" applyAlignment="1" applyProtection="1">
      <alignment horizontal="center" vertical="center" wrapText="1"/>
    </xf>
    <xf numFmtId="9" fontId="17" fillId="0" borderId="0" xfId="2" applyFont="1" applyFill="1" applyAlignment="1" applyProtection="1">
      <alignment horizontal="center" vertical="center" wrapText="1"/>
    </xf>
    <xf numFmtId="4" fontId="14" fillId="4" borderId="49" xfId="1" applyNumberFormat="1" applyFont="1" applyFill="1" applyBorder="1" applyAlignment="1" applyProtection="1">
      <alignment horizontal="center" vertical="center" wrapText="1"/>
    </xf>
    <xf numFmtId="4" fontId="21" fillId="4" borderId="49" xfId="1" applyNumberFormat="1" applyFont="1" applyFill="1" applyBorder="1" applyAlignment="1" applyProtection="1">
      <alignment horizontal="center" vertical="center" wrapText="1"/>
    </xf>
    <xf numFmtId="4" fontId="21" fillId="2" borderId="49" xfId="1" applyNumberFormat="1" applyFont="1" applyFill="1" applyBorder="1" applyAlignment="1" applyProtection="1">
      <alignment horizontal="center" vertical="center" wrapText="1"/>
      <protection locked="0"/>
    </xf>
    <xf numFmtId="4" fontId="21" fillId="2" borderId="4" xfId="1" applyNumberFormat="1" applyFont="1" applyFill="1" applyBorder="1" applyAlignment="1" applyProtection="1">
      <alignment horizontal="center" vertical="center" wrapText="1"/>
      <protection locked="0"/>
    </xf>
    <xf numFmtId="4" fontId="15" fillId="2" borderId="4" xfId="0" applyNumberFormat="1" applyFont="1" applyFill="1" applyBorder="1" applyAlignment="1" applyProtection="1">
      <alignment horizontal="center" vertical="center" wrapText="1"/>
      <protection locked="0"/>
    </xf>
    <xf numFmtId="9" fontId="26" fillId="5" borderId="50" xfId="2" applyFont="1" applyFill="1" applyBorder="1" applyAlignment="1" applyProtection="1">
      <alignment horizontal="center" vertical="center" wrapText="1"/>
    </xf>
    <xf numFmtId="9" fontId="26" fillId="5" borderId="2" xfId="2" applyFont="1" applyFill="1" applyBorder="1" applyAlignment="1" applyProtection="1">
      <alignment horizontal="center" vertical="center" wrapText="1"/>
    </xf>
    <xf numFmtId="4" fontId="14" fillId="4" borderId="4" xfId="1" applyNumberFormat="1" applyFont="1" applyFill="1" applyBorder="1" applyAlignment="1" applyProtection="1">
      <alignment horizontal="center" vertical="center" wrapText="1"/>
    </xf>
    <xf numFmtId="4" fontId="21" fillId="2" borderId="49" xfId="0" applyNumberFormat="1" applyFont="1" applyFill="1" applyBorder="1" applyAlignment="1" applyProtection="1">
      <alignment horizontal="center" vertical="center" wrapText="1"/>
      <protection locked="0"/>
    </xf>
    <xf numFmtId="4" fontId="21" fillId="2" borderId="4" xfId="0" applyNumberFormat="1" applyFont="1" applyFill="1" applyBorder="1" applyAlignment="1" applyProtection="1">
      <alignment horizontal="center" vertical="center" wrapText="1"/>
      <protection locked="0"/>
    </xf>
    <xf numFmtId="9" fontId="21" fillId="0" borderId="0" xfId="2" applyFont="1" applyFill="1" applyBorder="1" applyAlignment="1" applyProtection="1">
      <alignment horizontal="center" vertical="center" wrapText="1"/>
    </xf>
    <xf numFmtId="10" fontId="37" fillId="2" borderId="9" xfId="4" applyNumberFormat="1" applyFont="1" applyFill="1" applyBorder="1" applyAlignment="1" applyProtection="1">
      <alignment horizontal="center" vertical="center"/>
      <protection locked="0"/>
    </xf>
    <xf numFmtId="4" fontId="15" fillId="2" borderId="15" xfId="4" applyNumberFormat="1" applyFont="1" applyFill="1" applyBorder="1" applyAlignment="1" applyProtection="1">
      <alignment horizontal="center" vertical="center"/>
      <protection locked="0"/>
    </xf>
    <xf numFmtId="166" fontId="36" fillId="5" borderId="16" xfId="2" applyNumberFormat="1" applyFont="1" applyFill="1" applyBorder="1" applyAlignment="1" applyProtection="1">
      <alignment horizontal="center" vertical="center" wrapText="1"/>
    </xf>
    <xf numFmtId="43" fontId="36" fillId="5" borderId="28" xfId="1" applyFont="1" applyFill="1" applyBorder="1" applyAlignment="1" applyProtection="1">
      <alignment horizontal="center" vertical="center" wrapText="1"/>
    </xf>
    <xf numFmtId="43" fontId="36" fillId="5" borderId="16" xfId="1" applyFont="1" applyFill="1" applyBorder="1" applyAlignment="1" applyProtection="1">
      <alignment horizontal="center" vertical="center" wrapText="1"/>
    </xf>
    <xf numFmtId="4" fontId="21" fillId="4" borderId="4" xfId="1" applyNumberFormat="1" applyFont="1" applyFill="1" applyBorder="1" applyAlignment="1" applyProtection="1">
      <alignment horizontal="center" vertical="center" wrapText="1"/>
    </xf>
    <xf numFmtId="166" fontId="36" fillId="9" borderId="16" xfId="2" applyNumberFormat="1" applyFont="1" applyFill="1" applyBorder="1" applyAlignment="1" applyProtection="1">
      <alignment horizontal="center" vertical="center" wrapText="1"/>
    </xf>
    <xf numFmtId="43" fontId="36" fillId="9" borderId="28" xfId="1" applyFont="1" applyFill="1" applyBorder="1" applyAlignment="1" applyProtection="1">
      <alignment horizontal="center" vertical="center" wrapText="1"/>
    </xf>
    <xf numFmtId="43" fontId="36" fillId="9" borderId="16" xfId="1" applyFont="1" applyFill="1" applyBorder="1" applyAlignment="1" applyProtection="1">
      <alignment horizontal="center" vertical="center" wrapText="1"/>
    </xf>
    <xf numFmtId="43" fontId="7" fillId="9" borderId="30" xfId="1" applyFont="1" applyFill="1" applyBorder="1" applyAlignment="1" applyProtection="1">
      <alignment horizontal="center" vertical="center" wrapText="1"/>
    </xf>
    <xf numFmtId="43" fontId="7" fillId="9" borderId="44" xfId="1" applyFont="1" applyFill="1" applyBorder="1" applyAlignment="1" applyProtection="1">
      <alignment vertical="center" wrapText="1"/>
    </xf>
    <xf numFmtId="43" fontId="7" fillId="9" borderId="30" xfId="1" applyFont="1" applyFill="1" applyBorder="1" applyAlignment="1" applyProtection="1">
      <alignment vertical="center" wrapText="1"/>
    </xf>
    <xf numFmtId="43" fontId="7" fillId="9" borderId="16" xfId="1" applyFont="1" applyFill="1" applyBorder="1" applyAlignment="1" applyProtection="1">
      <alignment vertical="center" wrapText="1"/>
    </xf>
    <xf numFmtId="43" fontId="6" fillId="9" borderId="43" xfId="1" applyFont="1" applyFill="1" applyBorder="1" applyAlignment="1" applyProtection="1">
      <alignment horizontal="center" vertical="center" wrapText="1"/>
    </xf>
    <xf numFmtId="43" fontId="6" fillId="9" borderId="45" xfId="1" applyFont="1" applyFill="1" applyBorder="1" applyAlignment="1" applyProtection="1">
      <alignment horizontal="center" vertical="center" wrapText="1"/>
    </xf>
    <xf numFmtId="43" fontId="6" fillId="9" borderId="18" xfId="1" applyFont="1" applyFill="1" applyBorder="1" applyAlignment="1" applyProtection="1">
      <alignment horizontal="center" vertical="center" wrapText="1"/>
    </xf>
    <xf numFmtId="43" fontId="6" fillId="10" borderId="42" xfId="1" applyFont="1" applyFill="1" applyBorder="1" applyAlignment="1" applyProtection="1">
      <alignment horizontal="center" vertical="center" wrapText="1"/>
    </xf>
    <xf numFmtId="43" fontId="6" fillId="10" borderId="15" xfId="1" applyFont="1" applyFill="1" applyBorder="1" applyAlignment="1" applyProtection="1">
      <alignment horizontal="center" vertical="center" wrapText="1"/>
    </xf>
    <xf numFmtId="166" fontId="36" fillId="10" borderId="16" xfId="2" applyNumberFormat="1" applyFont="1" applyFill="1" applyBorder="1" applyAlignment="1" applyProtection="1">
      <alignment horizontal="center" vertical="center" wrapText="1"/>
    </xf>
    <xf numFmtId="43" fontId="36" fillId="10" borderId="28" xfId="1" applyFont="1" applyFill="1" applyBorder="1" applyAlignment="1" applyProtection="1">
      <alignment horizontal="center" vertical="center" wrapText="1"/>
    </xf>
    <xf numFmtId="43" fontId="36" fillId="10" borderId="16" xfId="1" applyFont="1" applyFill="1" applyBorder="1" applyAlignment="1" applyProtection="1">
      <alignment horizontal="center" vertical="center" wrapText="1"/>
    </xf>
    <xf numFmtId="43" fontId="7" fillId="10" borderId="30" xfId="1" applyFont="1" applyFill="1" applyBorder="1" applyAlignment="1" applyProtection="1">
      <alignment horizontal="center" vertical="center" wrapText="1"/>
    </xf>
    <xf numFmtId="43" fontId="7" fillId="10" borderId="16" xfId="1" applyFont="1" applyFill="1" applyBorder="1" applyAlignment="1" applyProtection="1">
      <alignment vertical="center" wrapText="1"/>
    </xf>
    <xf numFmtId="43" fontId="6" fillId="10" borderId="43" xfId="1" applyFont="1" applyFill="1" applyBorder="1" applyAlignment="1" applyProtection="1">
      <alignment horizontal="center" vertical="center" wrapText="1"/>
    </xf>
    <xf numFmtId="43" fontId="6" fillId="10" borderId="18" xfId="1" applyFont="1" applyFill="1" applyBorder="1" applyAlignment="1" applyProtection="1">
      <alignment horizontal="center" vertical="center" wrapText="1"/>
    </xf>
    <xf numFmtId="43" fontId="6" fillId="10" borderId="18" xfId="1" applyFont="1" applyFill="1" applyBorder="1" applyAlignment="1" applyProtection="1">
      <alignment vertical="center" wrapText="1"/>
    </xf>
    <xf numFmtId="4" fontId="7" fillId="0" borderId="0" xfId="1" applyNumberFormat="1" applyFont="1" applyFill="1" applyAlignment="1" applyProtection="1">
      <alignment horizontal="center" vertical="center" wrapText="1"/>
    </xf>
    <xf numFmtId="4" fontId="6" fillId="5" borderId="45" xfId="1" applyNumberFormat="1" applyFont="1" applyFill="1" applyBorder="1" applyAlignment="1" applyProtection="1">
      <alignment horizontal="center" vertical="center" wrapText="1"/>
    </xf>
    <xf numFmtId="4" fontId="6" fillId="9" borderId="45" xfId="1" applyNumberFormat="1" applyFont="1" applyFill="1" applyBorder="1" applyAlignment="1" applyProtection="1">
      <alignment horizontal="center" vertical="center" wrapText="1"/>
    </xf>
    <xf numFmtId="10" fontId="7" fillId="0" borderId="0" xfId="2" applyNumberFormat="1" applyFont="1" applyFill="1" applyAlignment="1" applyProtection="1">
      <alignment horizontal="center" vertical="center" wrapText="1"/>
    </xf>
    <xf numFmtId="10" fontId="6" fillId="5" borderId="45" xfId="2" applyNumberFormat="1" applyFont="1" applyFill="1" applyBorder="1" applyAlignment="1" applyProtection="1">
      <alignment horizontal="center" vertical="center" wrapText="1"/>
    </xf>
    <xf numFmtId="10" fontId="6" fillId="9" borderId="45" xfId="2" applyNumberFormat="1" applyFont="1" applyFill="1" applyBorder="1" applyAlignment="1" applyProtection="1">
      <alignment horizontal="center" vertical="center" wrapText="1"/>
    </xf>
    <xf numFmtId="43" fontId="7" fillId="5" borderId="44" xfId="1" applyFont="1" applyFill="1" applyBorder="1" applyAlignment="1" applyProtection="1">
      <alignment horizontal="center" vertical="center" wrapText="1"/>
    </xf>
    <xf numFmtId="4" fontId="6" fillId="5" borderId="16" xfId="1" applyNumberFormat="1" applyFont="1" applyFill="1" applyBorder="1" applyAlignment="1" applyProtection="1">
      <alignment horizontal="center" vertical="center" wrapText="1"/>
    </xf>
    <xf numFmtId="43" fontId="7" fillId="9" borderId="44" xfId="1" applyFont="1" applyFill="1" applyBorder="1" applyAlignment="1" applyProtection="1">
      <alignment horizontal="center" vertical="center" wrapText="1"/>
    </xf>
    <xf numFmtId="4" fontId="6" fillId="9" borderId="16" xfId="1" applyNumberFormat="1" applyFont="1" applyFill="1" applyBorder="1" applyAlignment="1" applyProtection="1">
      <alignment horizontal="center" vertical="center" wrapText="1"/>
    </xf>
    <xf numFmtId="43" fontId="7" fillId="10" borderId="16" xfId="1" applyFont="1" applyFill="1" applyBorder="1" applyAlignment="1" applyProtection="1">
      <alignment horizontal="center" vertical="center" wrapText="1"/>
    </xf>
    <xf numFmtId="2" fontId="7" fillId="0" borderId="0" xfId="1" applyNumberFormat="1" applyFont="1" applyFill="1" applyAlignment="1" applyProtection="1">
      <alignment horizontal="center" vertical="center" wrapText="1"/>
    </xf>
    <xf numFmtId="2" fontId="7" fillId="0" borderId="0" xfId="1" applyNumberFormat="1" applyFont="1" applyFill="1" applyBorder="1" applyAlignment="1" applyProtection="1">
      <alignment horizontal="center" vertical="center" wrapText="1"/>
    </xf>
    <xf numFmtId="10" fontId="7" fillId="0" borderId="0" xfId="2" applyNumberFormat="1" applyFont="1" applyAlignment="1" applyProtection="1">
      <alignment horizontal="center" vertical="center" wrapText="1"/>
    </xf>
    <xf numFmtId="167" fontId="16" fillId="6" borderId="31" xfId="2" applyNumberFormat="1" applyFont="1" applyFill="1" applyBorder="1" applyAlignment="1" applyProtection="1">
      <alignment vertical="center" wrapText="1"/>
    </xf>
    <xf numFmtId="43" fontId="16" fillId="8" borderId="15" xfId="1" applyFont="1" applyFill="1" applyBorder="1" applyAlignment="1" applyProtection="1">
      <alignment horizontal="center" vertical="center" wrapText="1"/>
    </xf>
    <xf numFmtId="43" fontId="16" fillId="8" borderId="34" xfId="1" applyFont="1" applyFill="1" applyBorder="1" applyAlignment="1" applyProtection="1">
      <alignment horizontal="center" vertical="center" wrapText="1"/>
    </xf>
    <xf numFmtId="43" fontId="16" fillId="8" borderId="16" xfId="1" applyFont="1" applyFill="1" applyBorder="1" applyAlignment="1" applyProtection="1">
      <alignment horizontal="center" vertical="center" wrapText="1"/>
    </xf>
    <xf numFmtId="43" fontId="16" fillId="7" borderId="19" xfId="1" applyFont="1" applyFill="1" applyBorder="1" applyAlignment="1" applyProtection="1">
      <alignment vertical="center" wrapText="1"/>
    </xf>
    <xf numFmtId="43" fontId="49" fillId="8" borderId="31" xfId="1" applyFont="1" applyFill="1" applyBorder="1" applyAlignment="1" applyProtection="1">
      <alignment horizontal="center" vertical="center" wrapText="1"/>
    </xf>
    <xf numFmtId="43" fontId="36" fillId="5" borderId="48" xfId="1" applyFont="1" applyFill="1" applyBorder="1" applyAlignment="1" applyProtection="1">
      <alignment horizontal="center" vertical="center" wrapText="1"/>
    </xf>
    <xf numFmtId="43" fontId="36" fillId="5" borderId="19" xfId="1" applyFont="1" applyFill="1" applyBorder="1" applyAlignment="1" applyProtection="1">
      <alignment horizontal="center" vertical="center" wrapText="1"/>
    </xf>
    <xf numFmtId="43" fontId="7" fillId="5" borderId="39" xfId="1" applyFont="1" applyFill="1" applyBorder="1" applyAlignment="1" applyProtection="1">
      <alignment horizontal="center" vertical="center" wrapText="1"/>
    </xf>
    <xf numFmtId="43" fontId="7" fillId="5" borderId="53" xfId="1" applyFont="1" applyFill="1" applyBorder="1" applyAlignment="1" applyProtection="1">
      <alignment vertical="center" wrapText="1"/>
    </xf>
    <xf numFmtId="43" fontId="7" fillId="5" borderId="39" xfId="1" applyFont="1" applyFill="1" applyBorder="1" applyAlignment="1" applyProtection="1">
      <alignment vertical="center" wrapText="1"/>
    </xf>
    <xf numFmtId="43" fontId="7" fillId="5" borderId="19" xfId="1" applyFont="1" applyFill="1" applyBorder="1" applyAlignment="1" applyProtection="1">
      <alignment vertical="center" wrapText="1"/>
    </xf>
    <xf numFmtId="43" fontId="6" fillId="5" borderId="12" xfId="1" applyFont="1" applyFill="1" applyBorder="1" applyAlignment="1" applyProtection="1">
      <alignment horizontal="center" vertical="center" wrapText="1"/>
    </xf>
    <xf numFmtId="2" fontId="6" fillId="5" borderId="9" xfId="1" applyNumberFormat="1" applyFont="1" applyFill="1" applyBorder="1" applyAlignment="1" applyProtection="1">
      <alignment horizontal="center" vertical="center" wrapText="1"/>
    </xf>
    <xf numFmtId="43" fontId="6" fillId="5" borderId="20" xfId="1" applyFont="1" applyFill="1" applyBorder="1" applyAlignment="1" applyProtection="1">
      <alignment horizontal="center" vertical="center" wrapText="1"/>
    </xf>
    <xf numFmtId="43" fontId="6" fillId="5" borderId="9" xfId="1" applyFont="1" applyFill="1" applyBorder="1" applyAlignment="1" applyProtection="1">
      <alignment horizontal="center" vertical="center" wrapText="1"/>
    </xf>
    <xf numFmtId="43" fontId="6" fillId="5" borderId="6" xfId="1" applyFont="1" applyFill="1" applyBorder="1" applyAlignment="1" applyProtection="1">
      <alignment horizontal="center" vertical="center" wrapText="1"/>
    </xf>
    <xf numFmtId="10" fontId="6" fillId="5" borderId="9" xfId="1" applyNumberFormat="1" applyFont="1" applyFill="1" applyBorder="1" applyAlignment="1" applyProtection="1">
      <alignment horizontal="center" vertical="center" wrapText="1"/>
    </xf>
    <xf numFmtId="10" fontId="6" fillId="9" borderId="9" xfId="1" applyNumberFormat="1" applyFont="1" applyFill="1" applyBorder="1" applyAlignment="1" applyProtection="1">
      <alignment horizontal="center" vertical="center" wrapText="1"/>
    </xf>
    <xf numFmtId="10" fontId="6" fillId="5" borderId="19" xfId="2" applyNumberFormat="1" applyFont="1" applyFill="1" applyBorder="1" applyAlignment="1" applyProtection="1">
      <alignment horizontal="center" vertical="center" wrapText="1"/>
    </xf>
    <xf numFmtId="10" fontId="6" fillId="5" borderId="16" xfId="2" applyNumberFormat="1" applyFont="1" applyFill="1" applyBorder="1" applyAlignment="1" applyProtection="1">
      <alignment horizontal="center" vertical="center" wrapText="1"/>
    </xf>
    <xf numFmtId="10" fontId="6" fillId="5" borderId="17" xfId="1" applyNumberFormat="1" applyFont="1" applyFill="1" applyBorder="1" applyAlignment="1" applyProtection="1">
      <alignment horizontal="center" vertical="center" wrapText="1"/>
    </xf>
    <xf numFmtId="10" fontId="6" fillId="9" borderId="18" xfId="1" applyNumberFormat="1" applyFont="1" applyFill="1" applyBorder="1" applyAlignment="1" applyProtection="1">
      <alignment horizontal="center" vertical="center" wrapText="1"/>
    </xf>
    <xf numFmtId="166" fontId="36" fillId="9" borderId="19" xfId="2" applyNumberFormat="1" applyFont="1" applyFill="1" applyBorder="1" applyAlignment="1" applyProtection="1">
      <alignment horizontal="center" vertical="center" wrapText="1"/>
    </xf>
    <xf numFmtId="43" fontId="36" fillId="9" borderId="48" xfId="1" applyFont="1" applyFill="1" applyBorder="1" applyAlignment="1" applyProtection="1">
      <alignment horizontal="center" vertical="center" wrapText="1"/>
    </xf>
    <xf numFmtId="43" fontId="36" fillId="9" borderId="19" xfId="1" applyFont="1" applyFill="1" applyBorder="1" applyAlignment="1" applyProtection="1">
      <alignment horizontal="center" vertical="center" wrapText="1"/>
    </xf>
    <xf numFmtId="43" fontId="7" fillId="9" borderId="39" xfId="1" applyFont="1" applyFill="1" applyBorder="1" applyAlignment="1" applyProtection="1">
      <alignment horizontal="center" vertical="center" wrapText="1"/>
    </xf>
    <xf numFmtId="43" fontId="7" fillId="9" borderId="53" xfId="1" applyFont="1" applyFill="1" applyBorder="1" applyAlignment="1" applyProtection="1">
      <alignment vertical="center" wrapText="1"/>
    </xf>
    <xf numFmtId="43" fontId="7" fillId="9" borderId="39" xfId="1" applyFont="1" applyFill="1" applyBorder="1" applyAlignment="1" applyProtection="1">
      <alignment vertical="center" wrapText="1"/>
    </xf>
    <xf numFmtId="43" fontId="7" fillId="9" borderId="19" xfId="1" applyFont="1" applyFill="1" applyBorder="1" applyAlignment="1" applyProtection="1">
      <alignment vertical="center" wrapText="1"/>
    </xf>
    <xf numFmtId="43" fontId="6" fillId="9" borderId="12" xfId="1" applyFont="1" applyFill="1" applyBorder="1" applyAlignment="1" applyProtection="1">
      <alignment horizontal="center" vertical="center" wrapText="1"/>
    </xf>
    <xf numFmtId="43" fontId="6" fillId="9" borderId="20" xfId="1" applyFont="1" applyFill="1" applyBorder="1" applyAlignment="1" applyProtection="1">
      <alignment horizontal="center" vertical="center" wrapText="1"/>
    </xf>
    <xf numFmtId="43" fontId="6" fillId="9" borderId="9" xfId="1" applyFont="1" applyFill="1" applyBorder="1" applyAlignment="1" applyProtection="1">
      <alignment horizontal="center" vertical="center" wrapText="1"/>
    </xf>
    <xf numFmtId="43" fontId="6" fillId="9" borderId="6" xfId="1" applyFont="1" applyFill="1" applyBorder="1" applyAlignment="1" applyProtection="1">
      <alignment horizontal="center" vertical="center" wrapText="1"/>
    </xf>
    <xf numFmtId="166" fontId="36" fillId="5" borderId="19" xfId="2" applyNumberFormat="1" applyFont="1" applyFill="1" applyBorder="1" applyAlignment="1" applyProtection="1">
      <alignment horizontal="center" vertical="center" wrapText="1"/>
    </xf>
    <xf numFmtId="10" fontId="6" fillId="9" borderId="19" xfId="2" applyNumberFormat="1" applyFont="1" applyFill="1" applyBorder="1" applyAlignment="1" applyProtection="1">
      <alignment horizontal="center" vertical="center" wrapText="1"/>
    </xf>
    <xf numFmtId="10" fontId="6" fillId="9" borderId="16" xfId="2" applyNumberFormat="1" applyFont="1" applyFill="1" applyBorder="1" applyAlignment="1" applyProtection="1">
      <alignment horizontal="center" vertical="center" wrapText="1"/>
    </xf>
    <xf numFmtId="43" fontId="7" fillId="10" borderId="19" xfId="1" applyFont="1" applyFill="1" applyBorder="1" applyAlignment="1" applyProtection="1">
      <alignment vertical="center" wrapText="1"/>
    </xf>
    <xf numFmtId="43" fontId="6" fillId="10" borderId="9" xfId="1" applyFont="1" applyFill="1" applyBorder="1" applyAlignment="1" applyProtection="1">
      <alignment horizontal="center" vertical="center" wrapText="1"/>
    </xf>
    <xf numFmtId="43" fontId="7" fillId="10" borderId="53" xfId="1" applyFont="1" applyFill="1" applyBorder="1" applyAlignment="1" applyProtection="1">
      <alignment vertical="center" wrapText="1"/>
    </xf>
    <xf numFmtId="43" fontId="7" fillId="10" borderId="44" xfId="1" applyFont="1" applyFill="1" applyBorder="1" applyAlignment="1" applyProtection="1">
      <alignment vertical="center" wrapText="1"/>
    </xf>
    <xf numFmtId="43" fontId="6" fillId="10" borderId="45" xfId="1" applyFont="1" applyFill="1" applyBorder="1" applyAlignment="1" applyProtection="1">
      <alignment vertical="center" wrapText="1"/>
    </xf>
    <xf numFmtId="43" fontId="6" fillId="10" borderId="13" xfId="1" applyFont="1" applyFill="1" applyBorder="1" applyAlignment="1" applyProtection="1">
      <alignment horizontal="center" vertical="center" wrapText="1"/>
    </xf>
    <xf numFmtId="43" fontId="7" fillId="5" borderId="53" xfId="1" applyFont="1" applyFill="1" applyBorder="1" applyAlignment="1" applyProtection="1">
      <alignment horizontal="center" vertical="center" wrapText="1"/>
    </xf>
    <xf numFmtId="4" fontId="6" fillId="5" borderId="19" xfId="1" applyNumberFormat="1" applyFont="1" applyFill="1" applyBorder="1" applyAlignment="1" applyProtection="1">
      <alignment horizontal="center" vertical="center" wrapText="1"/>
    </xf>
    <xf numFmtId="4" fontId="6" fillId="5" borderId="9" xfId="1" applyNumberFormat="1" applyFont="1" applyFill="1" applyBorder="1" applyAlignment="1" applyProtection="1">
      <alignment horizontal="center" vertical="center" wrapText="1"/>
    </xf>
    <xf numFmtId="10" fontId="6" fillId="5" borderId="9" xfId="2" applyNumberFormat="1" applyFont="1" applyFill="1" applyBorder="1" applyAlignment="1" applyProtection="1">
      <alignment horizontal="center" vertical="center" wrapText="1"/>
    </xf>
    <xf numFmtId="43" fontId="7" fillId="9" borderId="53" xfId="1" applyFont="1" applyFill="1" applyBorder="1" applyAlignment="1" applyProtection="1">
      <alignment horizontal="center" vertical="center" wrapText="1"/>
    </xf>
    <xf numFmtId="4" fontId="6" fillId="9" borderId="19" xfId="1" applyNumberFormat="1" applyFont="1" applyFill="1" applyBorder="1" applyAlignment="1" applyProtection="1">
      <alignment horizontal="center" vertical="center" wrapText="1"/>
    </xf>
    <xf numFmtId="4" fontId="6" fillId="9" borderId="9" xfId="1" applyNumberFormat="1" applyFont="1" applyFill="1" applyBorder="1" applyAlignment="1" applyProtection="1">
      <alignment horizontal="center" vertical="center" wrapText="1"/>
    </xf>
    <xf numFmtId="10" fontId="6" fillId="9" borderId="9" xfId="2" applyNumberFormat="1" applyFont="1" applyFill="1" applyBorder="1" applyAlignment="1" applyProtection="1">
      <alignment horizontal="center" vertical="center" wrapText="1"/>
    </xf>
    <xf numFmtId="166" fontId="36" fillId="10" borderId="19" xfId="2" applyNumberFormat="1" applyFont="1" applyFill="1" applyBorder="1" applyAlignment="1" applyProtection="1">
      <alignment horizontal="center" vertical="center" wrapText="1"/>
    </xf>
    <xf numFmtId="43" fontId="36" fillId="10" borderId="48" xfId="1" applyFont="1" applyFill="1" applyBorder="1" applyAlignment="1" applyProtection="1">
      <alignment horizontal="center" vertical="center" wrapText="1"/>
    </xf>
    <xf numFmtId="43" fontId="36" fillId="10" borderId="19" xfId="1" applyFont="1" applyFill="1" applyBorder="1" applyAlignment="1" applyProtection="1">
      <alignment horizontal="center" vertical="center" wrapText="1"/>
    </xf>
    <xf numFmtId="43" fontId="7" fillId="10" borderId="39" xfId="1" applyFont="1" applyFill="1" applyBorder="1" applyAlignment="1" applyProtection="1">
      <alignment horizontal="center" vertical="center" wrapText="1"/>
    </xf>
    <xf numFmtId="43" fontId="7" fillId="10" borderId="19" xfId="1" applyFont="1" applyFill="1" applyBorder="1" applyAlignment="1" applyProtection="1">
      <alignment horizontal="center" vertical="center" wrapText="1"/>
    </xf>
    <xf numFmtId="43" fontId="6" fillId="10" borderId="20" xfId="1" applyFont="1" applyFill="1" applyBorder="1" applyAlignment="1" applyProtection="1">
      <alignment horizontal="center" vertical="center" wrapText="1"/>
    </xf>
    <xf numFmtId="43" fontId="6" fillId="10" borderId="6" xfId="1" applyFont="1" applyFill="1" applyBorder="1" applyAlignment="1" applyProtection="1">
      <alignment horizontal="center" vertical="center" wrapText="1"/>
    </xf>
    <xf numFmtId="10" fontId="6" fillId="4" borderId="19" xfId="2" applyNumberFormat="1" applyFont="1" applyFill="1" applyBorder="1" applyAlignment="1" applyProtection="1">
      <alignment vertical="center" wrapText="1"/>
    </xf>
    <xf numFmtId="10" fontId="6" fillId="4" borderId="16" xfId="2" applyNumberFormat="1" applyFont="1" applyFill="1" applyBorder="1" applyAlignment="1" applyProtection="1">
      <alignment vertical="center" wrapText="1"/>
    </xf>
    <xf numFmtId="43" fontId="7" fillId="4" borderId="30" xfId="1" applyFont="1" applyFill="1" applyBorder="1" applyAlignment="1" applyProtection="1">
      <alignment horizontal="center" vertical="center" wrapText="1"/>
    </xf>
    <xf numFmtId="43" fontId="16" fillId="3" borderId="15" xfId="1" applyFont="1" applyFill="1" applyBorder="1" applyAlignment="1" applyProtection="1">
      <alignment horizontal="center" vertical="center" wrapText="1"/>
    </xf>
    <xf numFmtId="43" fontId="16" fillId="3" borderId="34" xfId="1" applyFont="1" applyFill="1" applyBorder="1" applyAlignment="1" applyProtection="1">
      <alignment horizontal="center" vertical="center" wrapText="1"/>
    </xf>
    <xf numFmtId="43" fontId="16" fillId="3" borderId="16" xfId="1" applyFont="1" applyFill="1" applyBorder="1" applyAlignment="1" applyProtection="1">
      <alignment horizontal="center" vertical="center" wrapText="1"/>
    </xf>
    <xf numFmtId="43" fontId="49" fillId="3" borderId="31" xfId="1" applyFont="1" applyFill="1" applyBorder="1" applyAlignment="1" applyProtection="1">
      <alignment horizontal="center" vertical="center" wrapText="1"/>
    </xf>
    <xf numFmtId="43" fontId="50" fillId="6" borderId="18" xfId="1" applyFont="1" applyFill="1" applyBorder="1" applyAlignment="1" applyProtection="1">
      <alignment vertical="center" wrapText="1"/>
    </xf>
    <xf numFmtId="43" fontId="48" fillId="8" borderId="33" xfId="1" applyFont="1" applyFill="1" applyBorder="1" applyAlignment="1" applyProtection="1">
      <alignment horizontal="center" vertical="center" wrapText="1"/>
    </xf>
    <xf numFmtId="43" fontId="48" fillId="8" borderId="18" xfId="1" applyFont="1" applyFill="1" applyBorder="1" applyAlignment="1" applyProtection="1">
      <alignment vertical="center" wrapText="1"/>
    </xf>
    <xf numFmtId="43" fontId="51" fillId="3" borderId="47" xfId="1" applyFont="1" applyFill="1" applyBorder="1" applyAlignment="1" applyProtection="1">
      <alignment horizontal="center" vertical="center" wrapText="1"/>
    </xf>
    <xf numFmtId="43" fontId="51" fillId="3" borderId="16" xfId="1" applyFont="1" applyFill="1" applyBorder="1" applyAlignment="1" applyProtection="1">
      <alignment vertical="center" wrapText="1"/>
    </xf>
    <xf numFmtId="4" fontId="21" fillId="2" borderId="54" xfId="0" applyNumberFormat="1" applyFont="1" applyFill="1" applyBorder="1" applyAlignment="1" applyProtection="1">
      <alignment horizontal="center" vertical="center" wrapText="1"/>
      <protection locked="0"/>
    </xf>
    <xf numFmtId="4" fontId="21" fillId="2" borderId="55" xfId="0" applyNumberFormat="1" applyFont="1" applyFill="1" applyBorder="1" applyAlignment="1" applyProtection="1">
      <alignment horizontal="center" vertical="center" wrapText="1"/>
      <protection locked="0"/>
    </xf>
    <xf numFmtId="10" fontId="6" fillId="4" borderId="16" xfId="2" applyNumberFormat="1" applyFont="1" applyFill="1" applyBorder="1" applyAlignment="1" applyProtection="1">
      <alignment horizontal="center" vertical="center" wrapText="1"/>
    </xf>
    <xf numFmtId="43" fontId="6" fillId="5" borderId="19" xfId="1" applyFont="1" applyFill="1" applyBorder="1" applyAlignment="1" applyProtection="1">
      <alignment horizontal="center" vertical="center" wrapText="1"/>
    </xf>
    <xf numFmtId="43" fontId="6" fillId="5" borderId="16" xfId="1" applyFont="1" applyFill="1" applyBorder="1" applyAlignment="1" applyProtection="1">
      <alignment horizontal="center" vertical="center" wrapText="1"/>
    </xf>
    <xf numFmtId="43" fontId="6" fillId="9" borderId="53" xfId="1" applyFont="1" applyFill="1" applyBorder="1" applyAlignment="1" applyProtection="1">
      <alignment horizontal="center" vertical="center" wrapText="1"/>
    </xf>
    <xf numFmtId="43" fontId="6" fillId="9" borderId="44" xfId="1" applyFont="1" applyFill="1" applyBorder="1" applyAlignment="1" applyProtection="1">
      <alignment horizontal="center" vertical="center" wrapText="1"/>
    </xf>
    <xf numFmtId="43" fontId="6" fillId="9" borderId="19" xfId="1" applyFont="1" applyFill="1" applyBorder="1" applyAlignment="1" applyProtection="1">
      <alignment horizontal="center" vertical="center" wrapText="1"/>
    </xf>
    <xf numFmtId="43" fontId="6" fillId="9" borderId="16" xfId="1" applyFont="1" applyFill="1" applyBorder="1" applyAlignment="1" applyProtection="1">
      <alignment horizontal="center" vertical="center" wrapText="1"/>
    </xf>
    <xf numFmtId="43" fontId="25" fillId="2" borderId="9" xfId="1" applyFont="1" applyFill="1" applyBorder="1" applyAlignment="1" applyProtection="1">
      <alignment horizontal="center" vertical="center" wrapText="1" shrinkToFit="1"/>
      <protection locked="0"/>
    </xf>
    <xf numFmtId="43" fontId="15" fillId="2" borderId="13" xfId="1" applyFont="1" applyFill="1" applyBorder="1" applyAlignment="1" applyProtection="1">
      <alignment horizontal="center" vertical="center" wrapText="1"/>
      <protection locked="0"/>
    </xf>
    <xf numFmtId="43" fontId="15" fillId="2" borderId="9" xfId="1" applyFont="1" applyFill="1" applyBorder="1" applyAlignment="1" applyProtection="1">
      <alignment horizontal="center" vertical="center" wrapText="1"/>
      <protection locked="0"/>
    </xf>
    <xf numFmtId="43" fontId="34" fillId="4" borderId="15" xfId="1" applyFont="1" applyFill="1" applyBorder="1" applyAlignment="1" applyProtection="1">
      <alignment horizontal="center" vertical="center" wrapText="1" shrinkToFit="1"/>
    </xf>
    <xf numFmtId="43" fontId="25" fillId="2" borderId="16" xfId="1" applyFont="1" applyFill="1" applyBorder="1" applyAlignment="1" applyProtection="1">
      <alignment horizontal="center" vertical="center" wrapText="1" shrinkToFit="1"/>
      <protection locked="0"/>
    </xf>
    <xf numFmtId="43" fontId="35" fillId="2" borderId="18" xfId="1" applyFont="1" applyFill="1" applyBorder="1" applyAlignment="1" applyProtection="1">
      <alignment horizontal="center" vertical="center" wrapText="1" shrinkToFit="1"/>
      <protection locked="0"/>
    </xf>
    <xf numFmtId="9" fontId="46" fillId="4" borderId="9" xfId="2" applyFont="1" applyFill="1" applyBorder="1" applyAlignment="1" applyProtection="1">
      <alignment horizontal="center" vertical="center" wrapText="1"/>
    </xf>
    <xf numFmtId="9" fontId="47" fillId="4" borderId="9" xfId="2" applyFont="1" applyFill="1" applyBorder="1" applyAlignment="1" applyProtection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" fontId="7" fillId="0" borderId="0" xfId="0" applyNumberFormat="1" applyFont="1" applyAlignment="1">
      <alignment horizontal="center" vertical="center" wrapText="1"/>
    </xf>
    <xf numFmtId="0" fontId="16" fillId="4" borderId="49" xfId="0" applyFont="1" applyFill="1" applyBorder="1" applyAlignment="1">
      <alignment horizontal="center" vertical="center" wrapText="1"/>
    </xf>
    <xf numFmtId="0" fontId="16" fillId="4" borderId="4" xfId="0" applyFont="1" applyFill="1" applyBorder="1" applyAlignment="1">
      <alignment horizontal="center" vertical="center" wrapText="1"/>
    </xf>
    <xf numFmtId="4" fontId="27" fillId="4" borderId="3" xfId="3" applyNumberFormat="1" applyFont="1" applyFill="1" applyBorder="1" applyAlignment="1">
      <alignment horizontal="center" vertical="center" shrinkToFit="1"/>
    </xf>
    <xf numFmtId="4" fontId="22" fillId="4" borderId="3" xfId="3" applyNumberFormat="1" applyFont="1" applyFill="1" applyBorder="1" applyAlignment="1">
      <alignment horizontal="center" vertical="center" shrinkToFit="1"/>
    </xf>
    <xf numFmtId="4" fontId="13" fillId="4" borderId="3" xfId="3" applyNumberFormat="1" applyFont="1" applyFill="1" applyBorder="1" applyAlignment="1">
      <alignment horizontal="center" vertical="center" wrapText="1" shrinkToFit="1"/>
    </xf>
    <xf numFmtId="4" fontId="14" fillId="5" borderId="49" xfId="0" applyNumberFormat="1" applyFont="1" applyFill="1" applyBorder="1" applyAlignment="1">
      <alignment horizontal="center" vertical="center" wrapText="1"/>
    </xf>
    <xf numFmtId="4" fontId="14" fillId="5" borderId="4" xfId="0" applyNumberFormat="1" applyFont="1" applyFill="1" applyBorder="1" applyAlignment="1">
      <alignment horizontal="center" vertical="center" wrapText="1"/>
    </xf>
    <xf numFmtId="4" fontId="21" fillId="4" borderId="49" xfId="0" applyNumberFormat="1" applyFont="1" applyFill="1" applyBorder="1" applyAlignment="1">
      <alignment horizontal="center" vertical="center" wrapText="1"/>
    </xf>
    <xf numFmtId="4" fontId="13" fillId="5" borderId="3" xfId="3" applyNumberFormat="1" applyFont="1" applyFill="1" applyBorder="1" applyAlignment="1">
      <alignment horizontal="center" vertical="center" shrinkToFit="1"/>
    </xf>
    <xf numFmtId="0" fontId="7" fillId="5" borderId="0" xfId="0" applyFont="1" applyFill="1" applyAlignment="1">
      <alignment horizontal="center" vertical="center" wrapText="1"/>
    </xf>
    <xf numFmtId="4" fontId="21" fillId="5" borderId="49" xfId="0" applyNumberFormat="1" applyFont="1" applyFill="1" applyBorder="1" applyAlignment="1">
      <alignment horizontal="center" vertical="center" wrapText="1"/>
    </xf>
    <xf numFmtId="4" fontId="21" fillId="5" borderId="4" xfId="0" applyNumberFormat="1" applyFont="1" applyFill="1" applyBorder="1" applyAlignment="1">
      <alignment horizontal="center" vertical="center" wrapText="1"/>
    </xf>
    <xf numFmtId="4" fontId="22" fillId="4" borderId="3" xfId="3" applyNumberFormat="1" applyFont="1" applyFill="1" applyBorder="1" applyAlignment="1">
      <alignment horizontal="center" vertical="center" wrapText="1" shrinkToFit="1"/>
    </xf>
    <xf numFmtId="4" fontId="22" fillId="4" borderId="35" xfId="3" applyNumberFormat="1" applyFont="1" applyFill="1" applyBorder="1" applyAlignment="1">
      <alignment horizontal="center" vertical="center" shrinkToFit="1"/>
    </xf>
    <xf numFmtId="4" fontId="21" fillId="5" borderId="54" xfId="0" applyNumberFormat="1" applyFont="1" applyFill="1" applyBorder="1" applyAlignment="1">
      <alignment horizontal="center" vertical="center" wrapText="1"/>
    </xf>
    <xf numFmtId="4" fontId="13" fillId="5" borderId="36" xfId="3" applyNumberFormat="1" applyFont="1" applyFill="1" applyBorder="1" applyAlignment="1">
      <alignment horizontal="center" vertical="center" shrinkToFit="1"/>
    </xf>
    <xf numFmtId="4" fontId="14" fillId="5" borderId="56" xfId="0" applyNumberFormat="1" applyFont="1" applyFill="1" applyBorder="1" applyAlignment="1">
      <alignment horizontal="center" vertical="center" wrapText="1"/>
    </xf>
    <xf numFmtId="4" fontId="14" fillId="5" borderId="57" xfId="0" applyNumberFormat="1" applyFont="1" applyFill="1" applyBorder="1" applyAlignment="1">
      <alignment horizontal="center" vertical="center" wrapText="1"/>
    </xf>
    <xf numFmtId="4" fontId="15" fillId="5" borderId="49" xfId="0" applyNumberFormat="1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4" fontId="22" fillId="5" borderId="3" xfId="3" applyNumberFormat="1" applyFont="1" applyFill="1" applyBorder="1" applyAlignment="1">
      <alignment horizontal="center" vertical="center" shrinkToFit="1"/>
    </xf>
    <xf numFmtId="4" fontId="14" fillId="4" borderId="49" xfId="0" applyNumberFormat="1" applyFont="1" applyFill="1" applyBorder="1" applyAlignment="1">
      <alignment horizontal="center" vertical="center" wrapText="1"/>
    </xf>
    <xf numFmtId="4" fontId="14" fillId="4" borderId="4" xfId="0" applyNumberFormat="1" applyFont="1" applyFill="1" applyBorder="1" applyAlignment="1">
      <alignment horizontal="center" vertical="center" wrapText="1"/>
    </xf>
    <xf numFmtId="4" fontId="25" fillId="4" borderId="3" xfId="3" applyNumberFormat="1" applyFont="1" applyFill="1" applyBorder="1" applyAlignment="1">
      <alignment horizontal="center" vertical="center" shrinkToFit="1"/>
    </xf>
    <xf numFmtId="4" fontId="28" fillId="5" borderId="3" xfId="3" applyNumberFormat="1" applyFont="1" applyFill="1" applyBorder="1" applyAlignment="1">
      <alignment horizontal="center" vertical="center" shrinkToFit="1"/>
    </xf>
    <xf numFmtId="4" fontId="29" fillId="5" borderId="49" xfId="0" applyNumberFormat="1" applyFont="1" applyFill="1" applyBorder="1" applyAlignment="1">
      <alignment horizontal="center" vertical="center" wrapText="1"/>
    </xf>
    <xf numFmtId="4" fontId="29" fillId="5" borderId="4" xfId="0" applyNumberFormat="1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4" fontId="13" fillId="4" borderId="23" xfId="3" applyNumberFormat="1" applyFont="1" applyFill="1" applyBorder="1" applyAlignment="1">
      <alignment horizontal="center" vertical="center" wrapText="1" shrinkToFit="1"/>
    </xf>
    <xf numFmtId="0" fontId="21" fillId="0" borderId="0" xfId="0" applyFont="1" applyAlignment="1">
      <alignment horizontal="center" vertical="center" wrapText="1"/>
    </xf>
    <xf numFmtId="4" fontId="13" fillId="4" borderId="12" xfId="3" applyNumberFormat="1" applyFont="1" applyFill="1" applyBorder="1" applyAlignment="1">
      <alignment horizontal="center" vertical="center" wrapText="1" shrinkToFit="1"/>
    </xf>
    <xf numFmtId="4" fontId="13" fillId="4" borderId="37" xfId="3" applyNumberFormat="1" applyFont="1" applyFill="1" applyBorder="1" applyAlignment="1">
      <alignment horizontal="center" vertical="center" wrapText="1" shrinkToFit="1"/>
    </xf>
    <xf numFmtId="4" fontId="32" fillId="4" borderId="44" xfId="3" applyNumberFormat="1" applyFont="1" applyFill="1" applyBorder="1" applyAlignment="1">
      <alignment horizontal="center" vertical="center" wrapText="1" shrinkToFit="1"/>
    </xf>
    <xf numFmtId="4" fontId="33" fillId="4" borderId="45" xfId="3" applyNumberFormat="1" applyFont="1" applyFill="1" applyBorder="1" applyAlignment="1">
      <alignment horizontal="center" vertical="center" wrapText="1" shrinkToFit="1"/>
    </xf>
    <xf numFmtId="0" fontId="15" fillId="3" borderId="9" xfId="0" applyFont="1" applyFill="1" applyBorder="1" applyAlignment="1">
      <alignment horizontal="center" vertical="center" wrapText="1"/>
    </xf>
    <xf numFmtId="43" fontId="15" fillId="3" borderId="9" xfId="0" applyNumberFormat="1" applyFont="1" applyFill="1" applyBorder="1" applyAlignment="1">
      <alignment horizontal="center" vertical="center" wrapText="1"/>
    </xf>
    <xf numFmtId="0" fontId="15" fillId="4" borderId="9" xfId="0" applyFont="1" applyFill="1" applyBorder="1" applyAlignment="1">
      <alignment horizontal="center" vertical="center" wrapText="1"/>
    </xf>
    <xf numFmtId="0" fontId="20" fillId="0" borderId="12" xfId="0" applyFont="1" applyBorder="1" applyAlignment="1">
      <alignment horizontal="center" vertical="center" wrapText="1"/>
    </xf>
    <xf numFmtId="0" fontId="15" fillId="0" borderId="20" xfId="0" applyFont="1" applyBorder="1" applyAlignment="1">
      <alignment horizontal="center" vertical="center" wrapText="1"/>
    </xf>
    <xf numFmtId="0" fontId="20" fillId="5" borderId="7" xfId="0" applyFont="1" applyFill="1" applyBorder="1" applyAlignment="1">
      <alignment horizontal="center" vertical="center" wrapText="1"/>
    </xf>
    <xf numFmtId="43" fontId="54" fillId="5" borderId="8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36" fillId="0" borderId="0" xfId="0" applyFont="1" applyAlignment="1">
      <alignment horizontal="center" vertical="center" wrapText="1"/>
    </xf>
    <xf numFmtId="0" fontId="15" fillId="5" borderId="12" xfId="4" applyFont="1" applyFill="1" applyBorder="1" applyAlignment="1">
      <alignment horizontal="center" vertical="center"/>
    </xf>
    <xf numFmtId="0" fontId="15" fillId="5" borderId="9" xfId="4" applyFont="1" applyFill="1" applyBorder="1" applyAlignment="1">
      <alignment horizontal="center" vertical="center"/>
    </xf>
    <xf numFmtId="0" fontId="20" fillId="5" borderId="9" xfId="4" applyFont="1" applyFill="1" applyBorder="1" applyAlignment="1">
      <alignment vertical="center"/>
    </xf>
    <xf numFmtId="0" fontId="15" fillId="5" borderId="18" xfId="4" applyFont="1" applyFill="1" applyBorder="1" applyAlignment="1">
      <alignment vertical="center"/>
    </xf>
    <xf numFmtId="0" fontId="20" fillId="5" borderId="15" xfId="4" applyFont="1" applyFill="1" applyBorder="1" applyAlignment="1">
      <alignment vertical="center" wrapText="1"/>
    </xf>
    <xf numFmtId="0" fontId="20" fillId="5" borderId="16" xfId="4" applyFont="1" applyFill="1" applyBorder="1" applyAlignment="1">
      <alignment vertical="center"/>
    </xf>
    <xf numFmtId="0" fontId="20" fillId="5" borderId="18" xfId="4" applyFont="1" applyFill="1" applyBorder="1" applyAlignment="1">
      <alignment vertical="center"/>
    </xf>
    <xf numFmtId="0" fontId="20" fillId="5" borderId="9" xfId="0" applyFont="1" applyFill="1" applyBorder="1" applyAlignment="1">
      <alignment horizontal="center" vertical="center" wrapText="1"/>
    </xf>
    <xf numFmtId="2" fontId="6" fillId="5" borderId="9" xfId="0" applyNumberFormat="1" applyFont="1" applyFill="1" applyBorder="1" applyAlignment="1">
      <alignment horizontal="center" vertical="center" wrapText="1"/>
    </xf>
    <xf numFmtId="0" fontId="6" fillId="5" borderId="9" xfId="0" applyFont="1" applyFill="1" applyBorder="1" applyAlignment="1">
      <alignment horizontal="center" vertical="center" wrapText="1"/>
    </xf>
    <xf numFmtId="4" fontId="30" fillId="5" borderId="9" xfId="0" applyNumberFormat="1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9" fontId="11" fillId="5" borderId="53" xfId="0" applyNumberFormat="1" applyFont="1" applyFill="1" applyBorder="1" applyAlignment="1">
      <alignment horizontal="center" vertical="center" wrapText="1"/>
    </xf>
    <xf numFmtId="0" fontId="11" fillId="5" borderId="44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5" borderId="45" xfId="0" applyFont="1" applyFill="1" applyBorder="1" applyAlignment="1">
      <alignment horizontal="right" vertical="center" wrapText="1"/>
    </xf>
    <xf numFmtId="10" fontId="20" fillId="5" borderId="18" xfId="0" applyNumberFormat="1" applyFont="1" applyFill="1" applyBorder="1" applyAlignment="1">
      <alignment horizontal="center" vertical="center" wrapText="1"/>
    </xf>
    <xf numFmtId="43" fontId="15" fillId="5" borderId="29" xfId="0" applyNumberFormat="1" applyFont="1" applyFill="1" applyBorder="1" applyAlignment="1">
      <alignment horizontal="center" vertical="center" wrapText="1"/>
    </xf>
    <xf numFmtId="43" fontId="15" fillId="5" borderId="18" xfId="0" applyNumberFormat="1" applyFont="1" applyFill="1" applyBorder="1" applyAlignment="1">
      <alignment horizontal="center" vertical="center" wrapText="1"/>
    </xf>
    <xf numFmtId="0" fontId="6" fillId="9" borderId="9" xfId="0" applyFont="1" applyFill="1" applyBorder="1" applyAlignment="1">
      <alignment horizontal="center" vertical="center" wrapText="1"/>
    </xf>
    <xf numFmtId="4" fontId="30" fillId="9" borderId="9" xfId="0" applyNumberFormat="1" applyFont="1" applyFill="1" applyBorder="1" applyAlignment="1">
      <alignment horizontal="center" vertical="center" wrapText="1"/>
    </xf>
    <xf numFmtId="0" fontId="20" fillId="9" borderId="6" xfId="0" applyFont="1" applyFill="1" applyBorder="1" applyAlignment="1">
      <alignment horizontal="center" vertical="center" wrapText="1"/>
    </xf>
    <xf numFmtId="0" fontId="20" fillId="9" borderId="9" xfId="0" applyFont="1" applyFill="1" applyBorder="1" applyAlignment="1">
      <alignment horizontal="center" vertical="center" wrapText="1"/>
    </xf>
    <xf numFmtId="0" fontId="6" fillId="9" borderId="6" xfId="0" applyFont="1" applyFill="1" applyBorder="1" applyAlignment="1">
      <alignment horizontal="center" vertical="center" wrapText="1"/>
    </xf>
    <xf numFmtId="9" fontId="11" fillId="9" borderId="53" xfId="0" applyNumberFormat="1" applyFont="1" applyFill="1" applyBorder="1" applyAlignment="1">
      <alignment horizontal="center" vertical="center" wrapText="1"/>
    </xf>
    <xf numFmtId="0" fontId="11" fillId="9" borderId="44" xfId="0" applyFont="1" applyFill="1" applyBorder="1" applyAlignment="1">
      <alignment horizontal="center" vertical="center" wrapText="1"/>
    </xf>
    <xf numFmtId="0" fontId="6" fillId="9" borderId="45" xfId="0" applyFont="1" applyFill="1" applyBorder="1" applyAlignment="1">
      <alignment horizontal="right" vertical="center" wrapText="1"/>
    </xf>
    <xf numFmtId="10" fontId="20" fillId="9" borderId="18" xfId="0" applyNumberFormat="1" applyFont="1" applyFill="1" applyBorder="1" applyAlignment="1">
      <alignment horizontal="center" vertical="center" wrapText="1"/>
    </xf>
    <xf numFmtId="43" fontId="15" fillId="9" borderId="29" xfId="0" applyNumberFormat="1" applyFont="1" applyFill="1" applyBorder="1" applyAlignment="1">
      <alignment horizontal="center" vertical="center" wrapText="1"/>
    </xf>
    <xf numFmtId="43" fontId="15" fillId="9" borderId="18" xfId="0" applyNumberFormat="1" applyFont="1" applyFill="1" applyBorder="1" applyAlignment="1">
      <alignment horizontal="center" vertical="center" wrapText="1"/>
    </xf>
    <xf numFmtId="0" fontId="20" fillId="5" borderId="6" xfId="0" applyFont="1" applyFill="1" applyBorder="1" applyAlignment="1">
      <alignment horizontal="center" vertical="center" wrapText="1"/>
    </xf>
    <xf numFmtId="0" fontId="6" fillId="10" borderId="37" xfId="0" applyFont="1" applyFill="1" applyBorder="1" applyAlignment="1">
      <alignment horizontal="center" vertical="center" wrapText="1"/>
    </xf>
    <xf numFmtId="4" fontId="30" fillId="10" borderId="15" xfId="0" applyNumberFormat="1" applyFont="1" applyFill="1" applyBorder="1" applyAlignment="1">
      <alignment horizontal="center" vertical="center" wrapText="1"/>
    </xf>
    <xf numFmtId="0" fontId="20" fillId="10" borderId="27" xfId="0" applyFont="1" applyFill="1" applyBorder="1" applyAlignment="1">
      <alignment horizontal="center" vertical="center" wrapText="1"/>
    </xf>
    <xf numFmtId="0" fontId="20" fillId="10" borderId="15" xfId="0" applyFont="1" applyFill="1" applyBorder="1" applyAlignment="1">
      <alignment horizontal="center" vertical="center" wrapText="1"/>
    </xf>
    <xf numFmtId="9" fontId="11" fillId="10" borderId="44" xfId="0" applyNumberFormat="1" applyFont="1" applyFill="1" applyBorder="1" applyAlignment="1">
      <alignment horizontal="center" vertical="center" wrapText="1"/>
    </xf>
    <xf numFmtId="4" fontId="6" fillId="10" borderId="15" xfId="0" applyNumberFormat="1" applyFont="1" applyFill="1" applyBorder="1" applyAlignment="1">
      <alignment vertical="center" wrapText="1"/>
    </xf>
    <xf numFmtId="0" fontId="11" fillId="10" borderId="44" xfId="0" applyFont="1" applyFill="1" applyBorder="1" applyAlignment="1">
      <alignment horizontal="center" vertical="center" wrapText="1"/>
    </xf>
    <xf numFmtId="4" fontId="6" fillId="10" borderId="16" xfId="0" applyNumberFormat="1" applyFont="1" applyFill="1" applyBorder="1" applyAlignment="1">
      <alignment vertical="center" wrapText="1"/>
    </xf>
    <xf numFmtId="0" fontId="6" fillId="10" borderId="45" xfId="0" applyFont="1" applyFill="1" applyBorder="1" applyAlignment="1">
      <alignment horizontal="right" vertical="center" wrapText="1"/>
    </xf>
    <xf numFmtId="10" fontId="20" fillId="10" borderId="18" xfId="0" applyNumberFormat="1" applyFont="1" applyFill="1" applyBorder="1" applyAlignment="1">
      <alignment horizontal="center" vertical="center" wrapText="1"/>
    </xf>
    <xf numFmtId="43" fontId="15" fillId="10" borderId="29" xfId="0" applyNumberFormat="1" applyFont="1" applyFill="1" applyBorder="1" applyAlignment="1">
      <alignment horizontal="center" vertical="center" wrapText="1"/>
    </xf>
    <xf numFmtId="43" fontId="15" fillId="10" borderId="18" xfId="0" applyNumberFormat="1" applyFont="1" applyFill="1" applyBorder="1" applyAlignment="1">
      <alignment horizontal="center" vertical="center" wrapText="1"/>
    </xf>
    <xf numFmtId="0" fontId="6" fillId="10" borderId="12" xfId="0" applyFont="1" applyFill="1" applyBorder="1" applyAlignment="1">
      <alignment horizontal="center" vertical="center" wrapText="1"/>
    </xf>
    <xf numFmtId="4" fontId="30" fillId="10" borderId="9" xfId="0" applyNumberFormat="1" applyFont="1" applyFill="1" applyBorder="1" applyAlignment="1">
      <alignment horizontal="center" vertical="center" wrapText="1"/>
    </xf>
    <xf numFmtId="4" fontId="30" fillId="10" borderId="20" xfId="0" applyNumberFormat="1" applyFont="1" applyFill="1" applyBorder="1" applyAlignment="1">
      <alignment horizontal="center" vertical="center" wrapText="1"/>
    </xf>
    <xf numFmtId="4" fontId="30" fillId="10" borderId="40" xfId="0" applyNumberFormat="1" applyFont="1" applyFill="1" applyBorder="1" applyAlignment="1">
      <alignment horizontal="center" vertical="center" wrapText="1"/>
    </xf>
    <xf numFmtId="4" fontId="5" fillId="10" borderId="40" xfId="0" applyNumberFormat="1" applyFont="1" applyFill="1" applyBorder="1" applyAlignment="1">
      <alignment horizontal="center" vertical="center" wrapText="1"/>
    </xf>
    <xf numFmtId="4" fontId="5" fillId="10" borderId="20" xfId="0" applyNumberFormat="1" applyFont="1" applyFill="1" applyBorder="1" applyAlignment="1">
      <alignment horizontal="center" vertical="center" wrapText="1"/>
    </xf>
    <xf numFmtId="4" fontId="5" fillId="10" borderId="14" xfId="0" applyNumberFormat="1" applyFont="1" applyFill="1" applyBorder="1" applyAlignment="1">
      <alignment horizontal="center" vertical="center" wrapText="1"/>
    </xf>
    <xf numFmtId="4" fontId="5" fillId="10" borderId="41" xfId="0" applyNumberFormat="1" applyFont="1" applyFill="1" applyBorder="1" applyAlignment="1">
      <alignment horizontal="center" vertical="center" wrapText="1"/>
    </xf>
    <xf numFmtId="0" fontId="19" fillId="6" borderId="1" xfId="0" applyFont="1" applyFill="1" applyBorder="1" applyAlignment="1">
      <alignment horizontal="center" vertical="center" wrapText="1"/>
    </xf>
    <xf numFmtId="43" fontId="50" fillId="6" borderId="33" xfId="0" applyNumberFormat="1" applyFont="1" applyFill="1" applyBorder="1" applyAlignment="1">
      <alignment horizontal="center" vertical="center" wrapText="1"/>
    </xf>
    <xf numFmtId="43" fontId="16" fillId="6" borderId="15" xfId="0" applyNumberFormat="1" applyFont="1" applyFill="1" applyBorder="1" applyAlignment="1">
      <alignment horizontal="center" vertical="center" wrapText="1"/>
    </xf>
    <xf numFmtId="43" fontId="16" fillId="6" borderId="27" xfId="0" applyNumberFormat="1" applyFont="1" applyFill="1" applyBorder="1" applyAlignment="1">
      <alignment horizontal="center" vertical="center" wrapText="1"/>
    </xf>
    <xf numFmtId="43" fontId="16" fillId="6" borderId="16" xfId="0" applyNumberFormat="1" applyFont="1" applyFill="1" applyBorder="1" applyAlignment="1">
      <alignment horizontal="center" vertical="center" wrapText="1"/>
    </xf>
    <xf numFmtId="43" fontId="16" fillId="6" borderId="28" xfId="0" applyNumberFormat="1" applyFont="1" applyFill="1" applyBorder="1" applyAlignment="1">
      <alignment horizontal="center" vertical="center" wrapText="1"/>
    </xf>
    <xf numFmtId="0" fontId="19" fillId="6" borderId="5" xfId="0" applyFont="1" applyFill="1" applyBorder="1" applyAlignment="1">
      <alignment horizontal="center" vertical="center" wrapText="1"/>
    </xf>
    <xf numFmtId="0" fontId="16" fillId="6" borderId="29" xfId="0" applyFont="1" applyFill="1" applyBorder="1" applyAlignment="1">
      <alignment horizontal="center" vertical="center" wrapText="1"/>
    </xf>
    <xf numFmtId="0" fontId="19" fillId="8" borderId="1" xfId="0" applyFont="1" applyFill="1" applyBorder="1" applyAlignment="1">
      <alignment horizontal="center" vertical="center" wrapText="1"/>
    </xf>
    <xf numFmtId="43" fontId="16" fillId="8" borderId="27" xfId="0" applyNumberFormat="1" applyFont="1" applyFill="1" applyBorder="1" applyAlignment="1">
      <alignment horizontal="center" vertical="center" wrapText="1"/>
    </xf>
    <xf numFmtId="0" fontId="45" fillId="8" borderId="3" xfId="0" applyFont="1" applyFill="1" applyBorder="1" applyAlignment="1">
      <alignment horizontal="center" vertical="center" wrapText="1"/>
    </xf>
    <xf numFmtId="43" fontId="16" fillId="8" borderId="28" xfId="0" applyNumberFormat="1" applyFont="1" applyFill="1" applyBorder="1" applyAlignment="1">
      <alignment horizontal="center" vertical="center" wrapText="1"/>
    </xf>
    <xf numFmtId="0" fontId="19" fillId="8" borderId="5" xfId="0" applyFont="1" applyFill="1" applyBorder="1" applyAlignment="1">
      <alignment horizontal="center" vertical="center" wrapText="1"/>
    </xf>
    <xf numFmtId="43" fontId="16" fillId="8" borderId="29" xfId="0" applyNumberFormat="1" applyFont="1" applyFill="1" applyBorder="1" applyAlignment="1">
      <alignment horizontal="center" vertical="center" wrapText="1"/>
    </xf>
    <xf numFmtId="0" fontId="19" fillId="3" borderId="36" xfId="0" applyFont="1" applyFill="1" applyBorder="1" applyAlignment="1">
      <alignment horizontal="center" vertical="center" wrapText="1"/>
    </xf>
    <xf numFmtId="43" fontId="16" fillId="3" borderId="48" xfId="0" applyNumberFormat="1" applyFont="1" applyFill="1" applyBorder="1" applyAlignment="1">
      <alignment horizontal="center" vertical="center" wrapText="1"/>
    </xf>
    <xf numFmtId="0" fontId="45" fillId="3" borderId="3" xfId="0" applyFont="1" applyFill="1" applyBorder="1" applyAlignment="1">
      <alignment horizontal="center" vertical="center" wrapText="1"/>
    </xf>
    <xf numFmtId="43" fontId="16" fillId="3" borderId="28" xfId="0" applyNumberFormat="1" applyFont="1" applyFill="1" applyBorder="1" applyAlignment="1">
      <alignment horizontal="center" vertical="center" wrapText="1"/>
    </xf>
    <xf numFmtId="0" fontId="19" fillId="3" borderId="5" xfId="0" applyFont="1" applyFill="1" applyBorder="1" applyAlignment="1">
      <alignment horizontal="center" vertical="center" wrapText="1"/>
    </xf>
    <xf numFmtId="0" fontId="19" fillId="7" borderId="36" xfId="0" applyFont="1" applyFill="1" applyBorder="1" applyAlignment="1">
      <alignment horizontal="center" vertical="center" wrapText="1"/>
    </xf>
    <xf numFmtId="43" fontId="16" fillId="7" borderId="47" xfId="0" applyNumberFormat="1" applyFont="1" applyFill="1" applyBorder="1" applyAlignment="1">
      <alignment horizontal="center" vertical="center" wrapText="1"/>
    </xf>
    <xf numFmtId="43" fontId="16" fillId="7" borderId="48" xfId="0" applyNumberFormat="1" applyFont="1" applyFill="1" applyBorder="1" applyAlignment="1">
      <alignment horizontal="center" vertical="center" wrapText="1"/>
    </xf>
    <xf numFmtId="0" fontId="45" fillId="7" borderId="35" xfId="0" applyFont="1" applyFill="1" applyBorder="1" applyAlignment="1">
      <alignment horizontal="center" vertical="center" wrapText="1"/>
    </xf>
    <xf numFmtId="43" fontId="49" fillId="7" borderId="46" xfId="0" applyNumberFormat="1" applyFont="1" applyFill="1" applyBorder="1" applyAlignment="1">
      <alignment horizontal="center" vertical="center" wrapText="1"/>
    </xf>
    <xf numFmtId="43" fontId="16" fillId="7" borderId="17" xfId="0" applyNumberFormat="1" applyFont="1" applyFill="1" applyBorder="1" applyAlignment="1">
      <alignment horizontal="center" vertical="center" wrapText="1"/>
    </xf>
    <xf numFmtId="43" fontId="49" fillId="7" borderId="32" xfId="0" applyNumberFormat="1" applyFont="1" applyFill="1" applyBorder="1" applyAlignment="1">
      <alignment horizontal="center" vertical="center" wrapText="1"/>
    </xf>
    <xf numFmtId="0" fontId="20" fillId="5" borderId="7" xfId="0" applyFont="1" applyFill="1" applyBorder="1" applyAlignment="1">
      <alignment horizontal="right" vertical="center" wrapText="1"/>
    </xf>
    <xf numFmtId="4" fontId="52" fillId="5" borderId="20" xfId="0" applyNumberFormat="1" applyFont="1" applyFill="1" applyBorder="1" applyAlignment="1">
      <alignment horizontal="right" vertical="center" wrapText="1"/>
    </xf>
    <xf numFmtId="43" fontId="53" fillId="5" borderId="9" xfId="0" applyNumberFormat="1" applyFont="1" applyFill="1" applyBorder="1" applyAlignment="1">
      <alignment horizontal="center" vertical="center" wrapText="1"/>
    </xf>
    <xf numFmtId="4" fontId="15" fillId="5" borderId="6" xfId="0" applyNumberFormat="1" applyFont="1" applyFill="1" applyBorder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4" fontId="15" fillId="0" borderId="0" xfId="0" applyNumberFormat="1" applyFont="1" applyAlignment="1">
      <alignment horizontal="right" vertical="center" wrapText="1"/>
    </xf>
    <xf numFmtId="43" fontId="15" fillId="0" borderId="0" xfId="0" applyNumberFormat="1" applyFont="1" applyAlignment="1">
      <alignment horizontal="center" vertical="center" wrapText="1"/>
    </xf>
    <xf numFmtId="4" fontId="7" fillId="0" borderId="0" xfId="0" applyNumberFormat="1" applyFont="1" applyAlignment="1">
      <alignment horizontal="center" vertical="center" wrapText="1"/>
    </xf>
    <xf numFmtId="43" fontId="7" fillId="0" borderId="0" xfId="0" applyNumberFormat="1" applyFont="1" applyAlignment="1">
      <alignment horizontal="center" vertical="center" wrapText="1"/>
    </xf>
    <xf numFmtId="0" fontId="6" fillId="5" borderId="12" xfId="0" applyFont="1" applyFill="1" applyBorder="1" applyAlignment="1">
      <alignment horizontal="center" vertical="center" wrapText="1"/>
    </xf>
    <xf numFmtId="0" fontId="6" fillId="9" borderId="12" xfId="0" applyFont="1" applyFill="1" applyBorder="1" applyAlignment="1">
      <alignment horizontal="center" vertical="center" wrapText="1"/>
    </xf>
    <xf numFmtId="0" fontId="20" fillId="10" borderId="6" xfId="0" applyFont="1" applyFill="1" applyBorder="1" applyAlignment="1">
      <alignment horizontal="center" vertical="center" wrapText="1"/>
    </xf>
    <xf numFmtId="0" fontId="20" fillId="10" borderId="9" xfId="0" applyFont="1" applyFill="1" applyBorder="1" applyAlignment="1">
      <alignment horizontal="center" vertical="center" wrapText="1"/>
    </xf>
    <xf numFmtId="9" fontId="11" fillId="10" borderId="53" xfId="0" applyNumberFormat="1" applyFont="1" applyFill="1" applyBorder="1" applyAlignment="1">
      <alignment horizontal="center" vertical="center" wrapText="1"/>
    </xf>
    <xf numFmtId="43" fontId="5" fillId="10" borderId="20" xfId="0" applyNumberFormat="1" applyFont="1" applyFill="1" applyBorder="1" applyAlignment="1">
      <alignment horizontal="center" vertical="center" wrapText="1"/>
    </xf>
    <xf numFmtId="4" fontId="5" fillId="10" borderId="9" xfId="0" applyNumberFormat="1" applyFont="1" applyFill="1" applyBorder="1" applyAlignment="1">
      <alignment horizontal="center" vertical="center" wrapText="1"/>
    </xf>
    <xf numFmtId="4" fontId="26" fillId="10" borderId="41" xfId="0" applyNumberFormat="1" applyFont="1" applyFill="1" applyBorder="1" applyAlignment="1">
      <alignment horizontal="center" vertical="center" wrapText="1"/>
    </xf>
    <xf numFmtId="0" fontId="15" fillId="4" borderId="14" xfId="0" applyFont="1" applyFill="1" applyBorder="1" applyAlignment="1">
      <alignment horizontal="center" vertical="center" wrapText="1"/>
    </xf>
    <xf numFmtId="4" fontId="21" fillId="4" borderId="9" xfId="0" applyNumberFormat="1" applyFont="1" applyFill="1" applyBorder="1" applyAlignment="1">
      <alignment horizontal="center" vertical="center" wrapText="1"/>
    </xf>
    <xf numFmtId="0" fontId="20" fillId="4" borderId="9" xfId="0" applyFont="1" applyFill="1" applyBorder="1" applyAlignment="1">
      <alignment horizontal="center" vertical="center" wrapText="1"/>
    </xf>
    <xf numFmtId="4" fontId="21" fillId="4" borderId="20" xfId="0" applyNumberFormat="1" applyFont="1" applyFill="1" applyBorder="1" applyAlignment="1">
      <alignment horizontal="center" vertical="center" wrapText="1"/>
    </xf>
    <xf numFmtId="4" fontId="21" fillId="4" borderId="39" xfId="0" applyNumberFormat="1" applyFont="1" applyFill="1" applyBorder="1" applyAlignment="1">
      <alignment horizontal="center" vertical="center" wrapText="1"/>
    </xf>
    <xf numFmtId="4" fontId="21" fillId="4" borderId="48" xfId="0" applyNumberFormat="1" applyFont="1" applyFill="1" applyBorder="1" applyAlignment="1">
      <alignment horizontal="center" vertical="center" wrapText="1"/>
    </xf>
    <xf numFmtId="4" fontId="21" fillId="4" borderId="14" xfId="0" applyNumberFormat="1" applyFont="1" applyFill="1" applyBorder="1" applyAlignment="1">
      <alignment horizontal="center" vertical="center" wrapText="1"/>
    </xf>
    <xf numFmtId="4" fontId="21" fillId="4" borderId="6" xfId="0" applyNumberFormat="1" applyFont="1" applyFill="1" applyBorder="1" applyAlignment="1">
      <alignment horizontal="center" vertical="center" wrapText="1"/>
    </xf>
    <xf numFmtId="0" fontId="15" fillId="4" borderId="25" xfId="0" applyFont="1" applyFill="1" applyBorder="1" applyAlignment="1">
      <alignment horizontal="center" vertical="center" wrapText="1"/>
    </xf>
    <xf numFmtId="0" fontId="39" fillId="4" borderId="9" xfId="0" applyFont="1" applyFill="1" applyBorder="1" applyAlignment="1">
      <alignment horizontal="center" vertical="center" wrapText="1"/>
    </xf>
    <xf numFmtId="0" fontId="41" fillId="4" borderId="9" xfId="0" applyFont="1" applyFill="1" applyBorder="1" applyAlignment="1">
      <alignment horizontal="center" vertical="center" wrapText="1"/>
    </xf>
    <xf numFmtId="4" fontId="41" fillId="4" borderId="6" xfId="0" applyNumberFormat="1" applyFont="1" applyFill="1" applyBorder="1" applyAlignment="1">
      <alignment horizontal="center" vertical="center" wrapText="1"/>
    </xf>
    <xf numFmtId="4" fontId="41" fillId="4" borderId="9" xfId="0" applyNumberFormat="1" applyFont="1" applyFill="1" applyBorder="1" applyAlignment="1">
      <alignment horizontal="center" vertical="center" wrapText="1"/>
    </xf>
    <xf numFmtId="0" fontId="41" fillId="4" borderId="14" xfId="0" applyFont="1" applyFill="1" applyBorder="1" applyAlignment="1">
      <alignment horizontal="center" vertical="center" wrapText="1"/>
    </xf>
    <xf numFmtId="43" fontId="8" fillId="0" borderId="0" xfId="0" applyNumberFormat="1" applyFont="1" applyAlignment="1">
      <alignment horizontal="center" vertical="center" wrapText="1"/>
    </xf>
    <xf numFmtId="4" fontId="39" fillId="4" borderId="9" xfId="0" applyNumberFormat="1" applyFont="1" applyFill="1" applyBorder="1" applyAlignment="1">
      <alignment horizontal="center" vertical="center" wrapText="1"/>
    </xf>
    <xf numFmtId="10" fontId="21" fillId="4" borderId="9" xfId="2" applyNumberFormat="1" applyFont="1" applyFill="1" applyBorder="1" applyAlignment="1" applyProtection="1">
      <alignment horizontal="center" vertical="center" wrapText="1"/>
    </xf>
    <xf numFmtId="10" fontId="21" fillId="4" borderId="20" xfId="2" applyNumberFormat="1" applyFont="1" applyFill="1" applyBorder="1" applyAlignment="1" applyProtection="1">
      <alignment horizontal="center" vertical="center" wrapText="1"/>
    </xf>
    <xf numFmtId="10" fontId="52" fillId="4" borderId="50" xfId="2" applyNumberFormat="1" applyFont="1" applyFill="1" applyBorder="1" applyAlignment="1" applyProtection="1">
      <alignment horizontal="center" vertical="center" wrapText="1"/>
    </xf>
    <xf numFmtId="10" fontId="52" fillId="4" borderId="2" xfId="2" applyNumberFormat="1" applyFont="1" applyFill="1" applyBorder="1" applyAlignment="1" applyProtection="1">
      <alignment horizontal="center" vertical="center" wrapText="1"/>
    </xf>
    <xf numFmtId="10" fontId="52" fillId="4" borderId="51" xfId="2" applyNumberFormat="1" applyFont="1" applyFill="1" applyBorder="1" applyAlignment="1" applyProtection="1">
      <alignment horizontal="center" vertical="center" wrapText="1"/>
    </xf>
    <xf numFmtId="10" fontId="52" fillId="4" borderId="59" xfId="2" applyNumberFormat="1" applyFont="1" applyFill="1" applyBorder="1" applyAlignment="1" applyProtection="1">
      <alignment horizontal="center" vertical="center" wrapText="1"/>
    </xf>
    <xf numFmtId="0" fontId="15" fillId="4" borderId="6" xfId="0" applyFont="1" applyFill="1" applyBorder="1" applyAlignment="1">
      <alignment horizontal="center" vertical="center" wrapText="1"/>
    </xf>
    <xf numFmtId="4" fontId="52" fillId="4" borderId="21" xfId="0" applyNumberFormat="1" applyFont="1" applyFill="1" applyBorder="1" applyAlignment="1">
      <alignment horizontal="center" vertical="center" wrapText="1"/>
    </xf>
    <xf numFmtId="4" fontId="58" fillId="4" borderId="21" xfId="0" applyNumberFormat="1" applyFont="1" applyFill="1" applyBorder="1" applyAlignment="1">
      <alignment horizontal="center" vertical="center" wrapText="1"/>
    </xf>
    <xf numFmtId="10" fontId="58" fillId="4" borderId="9" xfId="2" applyNumberFormat="1" applyFont="1" applyFill="1" applyBorder="1" applyAlignment="1" applyProtection="1">
      <alignment horizontal="center" vertical="center" wrapText="1"/>
    </xf>
    <xf numFmtId="4" fontId="59" fillId="4" borderId="12" xfId="0" applyNumberFormat="1" applyFont="1" applyFill="1" applyBorder="1" applyAlignment="1">
      <alignment horizontal="center" vertical="center" wrapText="1"/>
    </xf>
    <xf numFmtId="4" fontId="59" fillId="4" borderId="9" xfId="0" applyNumberFormat="1" applyFont="1" applyFill="1" applyBorder="1" applyAlignment="1">
      <alignment horizontal="center" vertical="center" wrapText="1"/>
    </xf>
    <xf numFmtId="4" fontId="40" fillId="4" borderId="9" xfId="0" applyNumberFormat="1" applyFont="1" applyFill="1" applyBorder="1" applyAlignment="1">
      <alignment horizontal="center" vertical="center" wrapText="1"/>
    </xf>
    <xf numFmtId="43" fontId="55" fillId="11" borderId="9" xfId="1" applyFont="1" applyFill="1" applyBorder="1" applyAlignment="1" applyProtection="1">
      <alignment horizontal="center" vertical="center" wrapText="1"/>
    </xf>
    <xf numFmtId="4" fontId="20" fillId="5" borderId="44" xfId="4" applyNumberFormat="1" applyFont="1" applyFill="1" applyBorder="1" applyAlignment="1">
      <alignment horizontal="center" vertical="center"/>
    </xf>
    <xf numFmtId="4" fontId="20" fillId="5" borderId="30" xfId="4" applyNumberFormat="1" applyFont="1" applyFill="1" applyBorder="1" applyAlignment="1">
      <alignment horizontal="center" vertical="center"/>
    </xf>
    <xf numFmtId="4" fontId="20" fillId="5" borderId="28" xfId="4" applyNumberFormat="1" applyFont="1" applyFill="1" applyBorder="1" applyAlignment="1">
      <alignment horizontal="center" vertical="center"/>
    </xf>
    <xf numFmtId="0" fontId="19" fillId="4" borderId="1" xfId="0" applyFont="1" applyFill="1" applyBorder="1" applyAlignment="1">
      <alignment horizontal="center" vertical="center" wrapText="1"/>
    </xf>
    <xf numFmtId="0" fontId="19" fillId="4" borderId="3" xfId="0" applyFont="1" applyFill="1" applyBorder="1" applyAlignment="1">
      <alignment horizontal="center" vertical="center" wrapText="1"/>
    </xf>
    <xf numFmtId="0" fontId="20" fillId="4" borderId="37" xfId="0" applyFont="1" applyFill="1" applyBorder="1" applyAlignment="1">
      <alignment horizontal="center" vertical="center" wrapText="1"/>
    </xf>
    <xf numFmtId="0" fontId="20" fillId="4" borderId="58" xfId="0" applyFont="1" applyFill="1" applyBorder="1" applyAlignment="1">
      <alignment horizontal="center" vertical="center" wrapText="1"/>
    </xf>
    <xf numFmtId="0" fontId="20" fillId="4" borderId="45" xfId="0" applyFont="1" applyFill="1" applyBorder="1" applyAlignment="1">
      <alignment horizontal="center" vertical="center" wrapText="1"/>
    </xf>
    <xf numFmtId="0" fontId="20" fillId="4" borderId="52" xfId="0" applyFont="1" applyFill="1" applyBorder="1" applyAlignment="1">
      <alignment horizontal="center" vertical="center" wrapText="1"/>
    </xf>
    <xf numFmtId="4" fontId="34" fillId="4" borderId="23" xfId="3" applyNumberFormat="1" applyFont="1" applyFill="1" applyBorder="1" applyAlignment="1">
      <alignment horizontal="center" vertical="center" wrapText="1" shrinkToFit="1"/>
    </xf>
    <xf numFmtId="4" fontId="34" fillId="4" borderId="24" xfId="3" applyNumberFormat="1" applyFont="1" applyFill="1" applyBorder="1" applyAlignment="1">
      <alignment horizontal="center" vertical="center" wrapText="1" shrinkToFit="1"/>
    </xf>
    <xf numFmtId="0" fontId="20" fillId="4" borderId="12" xfId="0" applyFont="1" applyFill="1" applyBorder="1" applyAlignment="1">
      <alignment horizontal="center" vertical="center" wrapText="1"/>
    </xf>
    <xf numFmtId="0" fontId="20" fillId="4" borderId="20" xfId="0" applyFont="1" applyFill="1" applyBorder="1" applyAlignment="1">
      <alignment horizontal="center" vertical="center" wrapText="1"/>
    </xf>
    <xf numFmtId="0" fontId="15" fillId="4" borderId="12" xfId="0" applyFont="1" applyFill="1" applyBorder="1" applyAlignment="1">
      <alignment horizontal="center" vertical="center" wrapText="1"/>
    </xf>
    <xf numFmtId="0" fontId="15" fillId="4" borderId="20" xfId="0" applyFont="1" applyFill="1" applyBorder="1" applyAlignment="1">
      <alignment horizontal="center" vertical="center" wrapText="1"/>
    </xf>
    <xf numFmtId="0" fontId="15" fillId="5" borderId="12" xfId="4" applyFont="1" applyFill="1" applyBorder="1" applyAlignment="1">
      <alignment horizontal="center" vertical="center"/>
    </xf>
    <xf numFmtId="0" fontId="15" fillId="5" borderId="20" xfId="4" applyFont="1" applyFill="1" applyBorder="1" applyAlignment="1">
      <alignment horizontal="center" vertical="center"/>
    </xf>
    <xf numFmtId="0" fontId="15" fillId="5" borderId="6" xfId="4" applyFont="1" applyFill="1" applyBorder="1" applyAlignment="1">
      <alignment horizontal="center" vertical="center"/>
    </xf>
    <xf numFmtId="4" fontId="15" fillId="5" borderId="12" xfId="4" applyNumberFormat="1" applyFont="1" applyFill="1" applyBorder="1" applyAlignment="1">
      <alignment horizontal="center" vertical="center"/>
    </xf>
    <xf numFmtId="4" fontId="15" fillId="5" borderId="20" xfId="4" applyNumberFormat="1" applyFont="1" applyFill="1" applyBorder="1" applyAlignment="1">
      <alignment horizontal="center" vertical="center"/>
    </xf>
    <xf numFmtId="4" fontId="15" fillId="5" borderId="6" xfId="4" applyNumberFormat="1" applyFont="1" applyFill="1" applyBorder="1" applyAlignment="1">
      <alignment horizontal="center" vertical="center"/>
    </xf>
    <xf numFmtId="4" fontId="38" fillId="5" borderId="45" xfId="4" applyNumberFormat="1" applyFont="1" applyFill="1" applyBorder="1" applyAlignment="1">
      <alignment horizontal="center" vertical="center"/>
    </xf>
    <xf numFmtId="4" fontId="38" fillId="5" borderId="43" xfId="4" applyNumberFormat="1" applyFont="1" applyFill="1" applyBorder="1" applyAlignment="1">
      <alignment horizontal="center" vertical="center"/>
    </xf>
    <xf numFmtId="4" fontId="38" fillId="5" borderId="29" xfId="4" applyNumberFormat="1" applyFont="1" applyFill="1" applyBorder="1" applyAlignment="1">
      <alignment horizontal="center" vertical="center"/>
    </xf>
    <xf numFmtId="0" fontId="15" fillId="4" borderId="13" xfId="0" applyFont="1" applyFill="1" applyBorder="1" applyAlignment="1">
      <alignment horizontal="center" vertical="center" wrapText="1"/>
    </xf>
    <xf numFmtId="0" fontId="15" fillId="4" borderId="21" xfId="0" applyFont="1" applyFill="1" applyBorder="1" applyAlignment="1">
      <alignment horizontal="center" vertical="center" wrapText="1"/>
    </xf>
    <xf numFmtId="0" fontId="15" fillId="4" borderId="14" xfId="0" applyFont="1" applyFill="1" applyBorder="1" applyAlignment="1">
      <alignment horizontal="center" vertical="center" wrapText="1"/>
    </xf>
    <xf numFmtId="9" fontId="15" fillId="4" borderId="13" xfId="0" applyNumberFormat="1" applyFont="1" applyFill="1" applyBorder="1" applyAlignment="1">
      <alignment horizontal="center" vertical="center" wrapText="1"/>
    </xf>
    <xf numFmtId="9" fontId="15" fillId="4" borderId="14" xfId="0" applyNumberFormat="1" applyFont="1" applyFill="1" applyBorder="1" applyAlignment="1">
      <alignment horizontal="center" vertical="center" wrapText="1"/>
    </xf>
    <xf numFmtId="0" fontId="16" fillId="5" borderId="23" xfId="0" applyFont="1" applyFill="1" applyBorder="1" applyAlignment="1">
      <alignment horizontal="left" vertical="center" wrapText="1"/>
    </xf>
    <xf numFmtId="0" fontId="16" fillId="5" borderId="38" xfId="0" applyFont="1" applyFill="1" applyBorder="1" applyAlignment="1">
      <alignment horizontal="left" vertical="center" wrapText="1"/>
    </xf>
    <xf numFmtId="0" fontId="16" fillId="5" borderId="10" xfId="0" applyFont="1" applyFill="1" applyBorder="1" applyAlignment="1">
      <alignment horizontal="left" vertical="center" wrapText="1"/>
    </xf>
    <xf numFmtId="0" fontId="19" fillId="6" borderId="3" xfId="0" applyFont="1" applyFill="1" applyBorder="1" applyAlignment="1">
      <alignment horizontal="center" vertical="center" wrapText="1"/>
    </xf>
    <xf numFmtId="0" fontId="19" fillId="6" borderId="34" xfId="0" applyFont="1" applyFill="1" applyBorder="1" applyAlignment="1">
      <alignment horizontal="center" vertical="center" wrapText="1"/>
    </xf>
    <xf numFmtId="165" fontId="12" fillId="5" borderId="22" xfId="0" applyNumberFormat="1" applyFont="1" applyFill="1" applyBorder="1" applyAlignment="1">
      <alignment horizontal="center" vertical="center" wrapText="1"/>
    </xf>
    <xf numFmtId="0" fontId="7" fillId="0" borderId="22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165" fontId="12" fillId="9" borderId="22" xfId="0" applyNumberFormat="1" applyFont="1" applyFill="1" applyBorder="1" applyAlignment="1">
      <alignment horizontal="center" vertical="center" wrapText="1"/>
    </xf>
    <xf numFmtId="0" fontId="7" fillId="9" borderId="22" xfId="0" applyFont="1" applyFill="1" applyBorder="1" applyAlignment="1">
      <alignment horizontal="center" vertical="center" wrapText="1"/>
    </xf>
    <xf numFmtId="0" fontId="7" fillId="9" borderId="11" xfId="0" applyFont="1" applyFill="1" applyBorder="1" applyAlignment="1">
      <alignment horizontal="center" vertical="center" wrapText="1"/>
    </xf>
    <xf numFmtId="43" fontId="6" fillId="10" borderId="24" xfId="1" applyFont="1" applyFill="1" applyBorder="1" applyAlignment="1" applyProtection="1">
      <alignment horizontal="center" vertical="center" wrapText="1"/>
    </xf>
    <xf numFmtId="0" fontId="7" fillId="10" borderId="10" xfId="0" applyFont="1" applyFill="1" applyBorder="1" applyAlignment="1">
      <alignment horizontal="center" vertical="center" wrapText="1"/>
    </xf>
    <xf numFmtId="0" fontId="7" fillId="10" borderId="24" xfId="0" applyFont="1" applyFill="1" applyBorder="1" applyAlignment="1">
      <alignment horizontal="center" vertical="center" wrapText="1"/>
    </xf>
    <xf numFmtId="0" fontId="7" fillId="10" borderId="22" xfId="0" applyFont="1" applyFill="1" applyBorder="1" applyAlignment="1">
      <alignment horizontal="center" vertical="center" wrapText="1"/>
    </xf>
    <xf numFmtId="0" fontId="7" fillId="10" borderId="26" xfId="0" applyFont="1" applyFill="1" applyBorder="1" applyAlignment="1">
      <alignment horizontal="center" vertical="center" wrapText="1"/>
    </xf>
    <xf numFmtId="0" fontId="7" fillId="10" borderId="11" xfId="0" applyFont="1" applyFill="1" applyBorder="1" applyAlignment="1">
      <alignment horizontal="center" vertical="center" wrapText="1"/>
    </xf>
    <xf numFmtId="165" fontId="12" fillId="10" borderId="22" xfId="0" applyNumberFormat="1" applyFont="1" applyFill="1" applyBorder="1" applyAlignment="1">
      <alignment horizontal="center" vertical="center" wrapText="1"/>
    </xf>
    <xf numFmtId="0" fontId="43" fillId="5" borderId="23" xfId="0" applyFont="1" applyFill="1" applyBorder="1" applyAlignment="1">
      <alignment horizontal="center" vertical="center" wrapText="1"/>
    </xf>
    <xf numFmtId="0" fontId="43" fillId="5" borderId="10" xfId="0" applyFont="1" applyFill="1" applyBorder="1" applyAlignment="1">
      <alignment horizontal="center" vertical="center" wrapText="1"/>
    </xf>
    <xf numFmtId="0" fontId="43" fillId="5" borderId="24" xfId="0" applyFont="1" applyFill="1" applyBorder="1" applyAlignment="1">
      <alignment horizontal="center" vertical="center" wrapText="1"/>
    </xf>
    <xf numFmtId="0" fontId="43" fillId="5" borderId="22" xfId="0" applyFont="1" applyFill="1" applyBorder="1" applyAlignment="1">
      <alignment horizontal="center" vertical="center" wrapText="1"/>
    </xf>
    <xf numFmtId="0" fontId="43" fillId="5" borderId="26" xfId="0" applyFont="1" applyFill="1" applyBorder="1" applyAlignment="1">
      <alignment horizontal="center" vertical="center" wrapText="1"/>
    </xf>
    <xf numFmtId="0" fontId="43" fillId="5" borderId="11" xfId="0" applyFont="1" applyFill="1" applyBorder="1" applyAlignment="1">
      <alignment horizontal="center" vertical="center" wrapText="1"/>
    </xf>
    <xf numFmtId="2" fontId="7" fillId="12" borderId="0" xfId="0" applyNumberFormat="1" applyFont="1" applyFill="1" applyAlignment="1">
      <alignment horizontal="center" vertical="center" wrapText="1"/>
    </xf>
  </cellXfs>
  <cellStyles count="9">
    <cellStyle name="Binlik Ayracı [0] 2" xfId="8" xr:uid="{DA2C2182-5D6E-41FB-BAD8-48DAE11AD103}"/>
    <cellStyle name="Normal" xfId="0" builtinId="0"/>
    <cellStyle name="Normal 2" xfId="5" xr:uid="{CF57C38F-2416-4365-8EC8-FB94F544C147}"/>
    <cellStyle name="Normal 3" xfId="4" xr:uid="{E915D2DD-D6FC-4B6E-949D-53DB5420CDA6}"/>
    <cellStyle name="Normal_Kurumlar vergisi Beyanname çalışmaları" xfId="3" xr:uid="{8DCC4A30-1C75-49A5-88AB-FF194DBC70BD}"/>
    <cellStyle name="Virgül" xfId="1" builtinId="3"/>
    <cellStyle name="Virgül 2" xfId="7" xr:uid="{E9BE5525-7893-49CF-A312-62BD01D2267D}"/>
    <cellStyle name="Virgül 3" xfId="6" xr:uid="{3F5CE8F9-D12F-4D44-A540-6896E68DC529}"/>
    <cellStyle name="Yüzde" xfId="2" builtinId="5"/>
  </cellStyles>
  <dxfs count="6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719668</xdr:colOff>
      <xdr:row>2</xdr:row>
      <xdr:rowOff>14110</xdr:rowOff>
    </xdr:from>
    <xdr:to>
      <xdr:col>7</xdr:col>
      <xdr:colOff>1227667</xdr:colOff>
      <xdr:row>4</xdr:row>
      <xdr:rowOff>409222</xdr:rowOff>
    </xdr:to>
    <xdr:sp macro="[0]!SARIRENKLİHÜCRELERİTEMİZLE" textlink="">
      <xdr:nvSpPr>
        <xdr:cNvPr id="2" name="Dikdörtgen 1">
          <a:extLst>
            <a:ext uri="{FF2B5EF4-FFF2-40B4-BE49-F238E27FC236}">
              <a16:creationId xmlns:a16="http://schemas.microsoft.com/office/drawing/2014/main" id="{7B7FEA6D-9C18-40F3-B4D6-BDF5538630EC}"/>
            </a:ext>
          </a:extLst>
        </xdr:cNvPr>
        <xdr:cNvSpPr/>
      </xdr:nvSpPr>
      <xdr:spPr>
        <a:xfrm>
          <a:off x="18641908" y="730390"/>
          <a:ext cx="2588259" cy="974232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600" b="1">
              <a:solidFill>
                <a:srgbClr val="FFFF00"/>
              </a:solidFill>
            </a:rPr>
            <a:t>SARI</a:t>
          </a:r>
          <a:r>
            <a:rPr lang="tr-TR" sz="1600" b="1" baseline="0">
              <a:solidFill>
                <a:srgbClr val="FFFF00"/>
              </a:solidFill>
            </a:rPr>
            <a:t> RENKLİ HÜCRELERDEKİ VERİLERİ TEMİZLE</a:t>
          </a:r>
          <a:endParaRPr lang="tr-TR" sz="16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2369127</xdr:colOff>
      <xdr:row>133</xdr:row>
      <xdr:rowOff>96982</xdr:rowOff>
    </xdr:from>
    <xdr:to>
      <xdr:col>11</xdr:col>
      <xdr:colOff>360218</xdr:colOff>
      <xdr:row>147</xdr:row>
      <xdr:rowOff>323849</xdr:rowOff>
    </xdr:to>
    <xdr:cxnSp macro="">
      <xdr:nvCxnSpPr>
        <xdr:cNvPr id="3" name="Düz Ok Bağlayıcısı 2">
          <a:extLst>
            <a:ext uri="{FF2B5EF4-FFF2-40B4-BE49-F238E27FC236}">
              <a16:creationId xmlns:a16="http://schemas.microsoft.com/office/drawing/2014/main" id="{EE2CE9E2-33DD-477A-9E92-512D42B06AC9}"/>
            </a:ext>
          </a:extLst>
        </xdr:cNvPr>
        <xdr:cNvCxnSpPr/>
      </xdr:nvCxnSpPr>
      <xdr:spPr>
        <a:xfrm flipV="1">
          <a:off x="12374187" y="56713582"/>
          <a:ext cx="17985971" cy="8723167"/>
        </a:xfrm>
        <a:prstGeom prst="straightConnector1">
          <a:avLst/>
        </a:prstGeom>
        <a:ln w="38100">
          <a:solidFill>
            <a:srgbClr val="FF0000"/>
          </a:solidFill>
          <a:headEnd type="triangle"/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719668</xdr:colOff>
      <xdr:row>2</xdr:row>
      <xdr:rowOff>14110</xdr:rowOff>
    </xdr:from>
    <xdr:to>
      <xdr:col>7</xdr:col>
      <xdr:colOff>1227667</xdr:colOff>
      <xdr:row>4</xdr:row>
      <xdr:rowOff>409222</xdr:rowOff>
    </xdr:to>
    <xdr:sp macro="[0]!SARIRENKLİHÜCRELERİTEMİZLE" textlink="">
      <xdr:nvSpPr>
        <xdr:cNvPr id="2" name="Dikdörtgen 1">
          <a:extLst>
            <a:ext uri="{FF2B5EF4-FFF2-40B4-BE49-F238E27FC236}">
              <a16:creationId xmlns:a16="http://schemas.microsoft.com/office/drawing/2014/main" id="{20A5FEE0-5061-4BFA-8C15-B55AF9CAA148}"/>
            </a:ext>
          </a:extLst>
        </xdr:cNvPr>
        <xdr:cNvSpPr/>
      </xdr:nvSpPr>
      <xdr:spPr>
        <a:xfrm>
          <a:off x="17742748" y="730390"/>
          <a:ext cx="2588259" cy="974232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600" b="1">
              <a:solidFill>
                <a:srgbClr val="FFFF00"/>
              </a:solidFill>
            </a:rPr>
            <a:t>SARI</a:t>
          </a:r>
          <a:r>
            <a:rPr lang="tr-TR" sz="1600" b="1" baseline="0">
              <a:solidFill>
                <a:srgbClr val="FFFF00"/>
              </a:solidFill>
            </a:rPr>
            <a:t> RENKLİ HÜCRELERDEKİ VERİLERİ TEMİZLE</a:t>
          </a:r>
          <a:endParaRPr lang="tr-TR" sz="1600" b="1">
            <a:solidFill>
              <a:srgbClr val="FFFF00"/>
            </a:solidFill>
          </a:endParaRPr>
        </a:p>
      </xdr:txBody>
    </xdr:sp>
    <xdr:clientData/>
  </xdr:twoCellAnchor>
  <xdr:twoCellAnchor>
    <xdr:from>
      <xdr:col>4</xdr:col>
      <xdr:colOff>133350</xdr:colOff>
      <xdr:row>134</xdr:row>
      <xdr:rowOff>19050</xdr:rowOff>
    </xdr:from>
    <xdr:to>
      <xdr:col>13</xdr:col>
      <xdr:colOff>876300</xdr:colOff>
      <xdr:row>147</xdr:row>
      <xdr:rowOff>190500</xdr:rowOff>
    </xdr:to>
    <xdr:cxnSp macro="">
      <xdr:nvCxnSpPr>
        <xdr:cNvPr id="4" name="Düz Ok Bağlayıcısı 3">
          <a:extLst>
            <a:ext uri="{FF2B5EF4-FFF2-40B4-BE49-F238E27FC236}">
              <a16:creationId xmlns:a16="http://schemas.microsoft.com/office/drawing/2014/main" id="{9B32576B-9CCE-2075-BA2C-C57337F1FC32}"/>
            </a:ext>
          </a:extLst>
        </xdr:cNvPr>
        <xdr:cNvCxnSpPr/>
      </xdr:nvCxnSpPr>
      <xdr:spPr>
        <a:xfrm flipV="1">
          <a:off x="12649200" y="58731150"/>
          <a:ext cx="23069550" cy="7581900"/>
        </a:xfrm>
        <a:prstGeom prst="straightConnector1">
          <a:avLst/>
        </a:prstGeom>
        <a:ln w="38100">
          <a:solidFill>
            <a:srgbClr val="FF0000"/>
          </a:solidFill>
          <a:headEnd type="triangle"/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719668</xdr:colOff>
      <xdr:row>2</xdr:row>
      <xdr:rowOff>14110</xdr:rowOff>
    </xdr:from>
    <xdr:to>
      <xdr:col>7</xdr:col>
      <xdr:colOff>1227667</xdr:colOff>
      <xdr:row>4</xdr:row>
      <xdr:rowOff>409222</xdr:rowOff>
    </xdr:to>
    <xdr:sp macro="[0]!SARIRENKLİHÜCRELERİTEMİZLE" textlink="">
      <xdr:nvSpPr>
        <xdr:cNvPr id="3" name="Dikdörtgen 2">
          <a:extLst>
            <a:ext uri="{FF2B5EF4-FFF2-40B4-BE49-F238E27FC236}">
              <a16:creationId xmlns:a16="http://schemas.microsoft.com/office/drawing/2014/main" id="{EB4F99F1-9509-450D-9A02-44D221681270}"/>
            </a:ext>
          </a:extLst>
        </xdr:cNvPr>
        <xdr:cNvSpPr/>
      </xdr:nvSpPr>
      <xdr:spPr>
        <a:xfrm>
          <a:off x="18641908" y="730390"/>
          <a:ext cx="2588259" cy="974232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600" b="1">
              <a:solidFill>
                <a:srgbClr val="FFFF00"/>
              </a:solidFill>
            </a:rPr>
            <a:t>SARI</a:t>
          </a:r>
          <a:r>
            <a:rPr lang="tr-TR" sz="1600" b="1" baseline="0">
              <a:solidFill>
                <a:srgbClr val="FFFF00"/>
              </a:solidFill>
            </a:rPr>
            <a:t> RENKLİ HÜCRELERDEKİ VERİLERİ TEMİZLE</a:t>
          </a:r>
          <a:endParaRPr lang="tr-TR" sz="1600" b="1">
            <a:solidFill>
              <a:srgbClr val="FFFF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C5369-832F-428E-A6DC-C9BCA876E376}">
  <sheetPr>
    <tabColor rgb="FF00B050"/>
  </sheetPr>
  <dimension ref="A1:Q149"/>
  <sheetViews>
    <sheetView tabSelected="1" zoomScale="55" zoomScaleNormal="55" workbookViewId="0">
      <selection activeCell="D10" sqref="D10"/>
    </sheetView>
  </sheetViews>
  <sheetFormatPr defaultColWidth="8.88671875" defaultRowHeight="15.6" x14ac:dyDescent="0.3"/>
  <cols>
    <col min="1" max="1" width="3.6640625" style="155" customWidth="1"/>
    <col min="2" max="2" width="105.33203125" style="155" customWidth="1"/>
    <col min="3" max="3" width="36.88671875" style="184" customWidth="1"/>
    <col min="4" max="4" width="34.6640625" style="184" customWidth="1"/>
    <col min="5" max="5" width="45.44140625" style="184" customWidth="1"/>
    <col min="6" max="6" width="35.33203125" style="184" customWidth="1"/>
    <col min="7" max="7" width="30.33203125" style="155" customWidth="1"/>
    <col min="8" max="8" width="42.5546875" style="156" customWidth="1"/>
    <col min="9" max="9" width="32.6640625" style="155" customWidth="1"/>
    <col min="10" max="10" width="32.5546875" style="155" customWidth="1"/>
    <col min="11" max="11" width="38" style="155" bestFit="1" customWidth="1"/>
    <col min="12" max="12" width="22.88671875" style="1" bestFit="1" customWidth="1"/>
    <col min="13" max="13" width="37.21875" style="155" customWidth="1"/>
    <col min="14" max="14" width="12.88671875" style="155" bestFit="1" customWidth="1"/>
    <col min="15" max="16384" width="8.88671875" style="155"/>
  </cols>
  <sheetData>
    <row r="1" spans="2:12" ht="26.4" thickBot="1" x14ac:dyDescent="0.35">
      <c r="B1" s="154"/>
      <c r="C1" s="15"/>
      <c r="D1" s="15"/>
      <c r="E1" s="15"/>
      <c r="F1" s="15"/>
      <c r="H1" s="377"/>
      <c r="L1" s="2"/>
    </row>
    <row r="2" spans="2:12" ht="30" customHeight="1" x14ac:dyDescent="0.3">
      <c r="B2" s="327" t="s">
        <v>23</v>
      </c>
      <c r="C2" s="21">
        <f>IFERROR(C4/C4,0)</f>
        <v>0</v>
      </c>
      <c r="D2" s="21">
        <f>IFERROR(D4/C4,0)</f>
        <v>0</v>
      </c>
      <c r="E2" s="21">
        <f>IFERROR(E4/C4,0)</f>
        <v>0</v>
      </c>
      <c r="F2" s="22">
        <f>IFERROR(F4/C4,0)</f>
        <v>0</v>
      </c>
      <c r="L2" s="155"/>
    </row>
    <row r="3" spans="2:12" ht="21" x14ac:dyDescent="0.3">
      <c r="B3" s="328"/>
      <c r="C3" s="157" t="s">
        <v>8</v>
      </c>
      <c r="D3" s="157" t="s">
        <v>20</v>
      </c>
      <c r="E3" s="157" t="s">
        <v>21</v>
      </c>
      <c r="F3" s="158" t="s">
        <v>22</v>
      </c>
      <c r="L3" s="155"/>
    </row>
    <row r="4" spans="2:12" ht="24.6" customHeight="1" x14ac:dyDescent="0.3">
      <c r="B4" s="159" t="s">
        <v>73</v>
      </c>
      <c r="C4" s="16">
        <f>D4+E4+F4</f>
        <v>0</v>
      </c>
      <c r="D4" s="16">
        <f>SUM(D5:D7)</f>
        <v>0</v>
      </c>
      <c r="E4" s="16">
        <f t="shared" ref="E4:F4" si="0">SUM(E5:E7)</f>
        <v>0</v>
      </c>
      <c r="F4" s="23">
        <f t="shared" si="0"/>
        <v>0</v>
      </c>
      <c r="L4" s="155"/>
    </row>
    <row r="5" spans="2:12" ht="35.4" customHeight="1" x14ac:dyDescent="0.3">
      <c r="B5" s="160" t="s">
        <v>67</v>
      </c>
      <c r="C5" s="17">
        <f>D5+E5+F5</f>
        <v>0</v>
      </c>
      <c r="D5" s="17"/>
      <c r="E5" s="18"/>
      <c r="F5" s="19"/>
      <c r="L5" s="155"/>
    </row>
    <row r="6" spans="2:12" ht="35.4" customHeight="1" x14ac:dyDescent="0.3">
      <c r="B6" s="160" t="s">
        <v>68</v>
      </c>
      <c r="C6" s="17">
        <f>D6+E6+F6</f>
        <v>0</v>
      </c>
      <c r="D6" s="18"/>
      <c r="E6" s="17"/>
      <c r="F6" s="32"/>
      <c r="L6" s="155"/>
    </row>
    <row r="7" spans="2:12" ht="35.4" customHeight="1" x14ac:dyDescent="0.3">
      <c r="B7" s="160" t="s">
        <v>69</v>
      </c>
      <c r="C7" s="17">
        <f>D7+E7+F7</f>
        <v>0</v>
      </c>
      <c r="D7" s="18"/>
      <c r="E7" s="18"/>
      <c r="F7" s="19"/>
      <c r="L7" s="155"/>
    </row>
    <row r="8" spans="2:12" ht="31.95" customHeight="1" x14ac:dyDescent="0.3">
      <c r="B8" s="161" t="s">
        <v>74</v>
      </c>
      <c r="C8" s="162">
        <f>SUM(C9:C11)</f>
        <v>0</v>
      </c>
      <c r="D8" s="162">
        <f>SUM(D9:D11)</f>
        <v>0</v>
      </c>
      <c r="E8" s="162">
        <f t="shared" ref="E8:F8" si="1">SUM(E9:E11)</f>
        <v>0</v>
      </c>
      <c r="F8" s="163">
        <f t="shared" si="1"/>
        <v>0</v>
      </c>
      <c r="L8" s="2"/>
    </row>
    <row r="9" spans="2:12" ht="35.4" customHeight="1" x14ac:dyDescent="0.3">
      <c r="B9" s="160" t="s">
        <v>70</v>
      </c>
      <c r="C9" s="164">
        <f>SUM(D9:F9)</f>
        <v>0</v>
      </c>
      <c r="D9" s="24"/>
      <c r="E9" s="24"/>
      <c r="F9" s="25"/>
      <c r="L9" s="2"/>
    </row>
    <row r="10" spans="2:12" ht="35.4" customHeight="1" x14ac:dyDescent="0.3">
      <c r="B10" s="160" t="s">
        <v>71</v>
      </c>
      <c r="C10" s="164">
        <f t="shared" ref="C10:C11" si="2">SUM(D10:F10)</f>
        <v>0</v>
      </c>
      <c r="D10" s="24"/>
      <c r="E10" s="24"/>
      <c r="F10" s="25"/>
      <c r="L10" s="2"/>
    </row>
    <row r="11" spans="2:12" ht="35.4" customHeight="1" x14ac:dyDescent="0.3">
      <c r="B11" s="160" t="s">
        <v>72</v>
      </c>
      <c r="C11" s="164">
        <f t="shared" si="2"/>
        <v>0</v>
      </c>
      <c r="D11" s="24"/>
      <c r="E11" s="24"/>
      <c r="F11" s="25"/>
      <c r="L11" s="2"/>
    </row>
    <row r="12" spans="2:12" ht="31.2" customHeight="1" x14ac:dyDescent="0.3">
      <c r="B12" s="165" t="s">
        <v>80</v>
      </c>
      <c r="C12" s="162">
        <f>C4-C8</f>
        <v>0</v>
      </c>
      <c r="D12" s="162">
        <f>D4-D8</f>
        <v>0</v>
      </c>
      <c r="E12" s="162">
        <f t="shared" ref="E12:F12" si="3">E4-E8</f>
        <v>0</v>
      </c>
      <c r="F12" s="163">
        <f t="shared" si="3"/>
        <v>0</v>
      </c>
      <c r="L12" s="2"/>
    </row>
    <row r="13" spans="2:12" ht="33" customHeight="1" x14ac:dyDescent="0.3">
      <c r="B13" s="161" t="s">
        <v>79</v>
      </c>
      <c r="C13" s="162">
        <f>SUM(C14:C17)</f>
        <v>0</v>
      </c>
      <c r="D13" s="162">
        <f>SUM(D14:D17)</f>
        <v>0</v>
      </c>
      <c r="E13" s="162">
        <f>SUM(E14:E17)</f>
        <v>0</v>
      </c>
      <c r="F13" s="163">
        <f>SUM(F14:F17)</f>
        <v>0</v>
      </c>
      <c r="J13" s="2"/>
      <c r="L13" s="2"/>
    </row>
    <row r="14" spans="2:12" ht="33" customHeight="1" x14ac:dyDescent="0.3">
      <c r="B14" s="160" t="s">
        <v>75</v>
      </c>
      <c r="C14" s="164">
        <f>SUM(D14:F14)</f>
        <v>0</v>
      </c>
      <c r="D14" s="24"/>
      <c r="E14" s="24"/>
      <c r="F14" s="25"/>
      <c r="J14" s="2"/>
      <c r="L14" s="2"/>
    </row>
    <row r="15" spans="2:12" ht="33" customHeight="1" x14ac:dyDescent="0.3">
      <c r="B15" s="160" t="s">
        <v>76</v>
      </c>
      <c r="C15" s="164">
        <f t="shared" ref="C15:C17" si="4">SUM(D15:F15)</f>
        <v>0</v>
      </c>
      <c r="D15" s="24"/>
      <c r="E15" s="24"/>
      <c r="F15" s="25"/>
      <c r="J15" s="2"/>
      <c r="L15" s="2"/>
    </row>
    <row r="16" spans="2:12" ht="33" customHeight="1" x14ac:dyDescent="0.3">
      <c r="B16" s="160" t="s">
        <v>77</v>
      </c>
      <c r="C16" s="164">
        <f t="shared" si="4"/>
        <v>0</v>
      </c>
      <c r="D16" s="24"/>
      <c r="E16" s="24"/>
      <c r="F16" s="25"/>
      <c r="J16" s="2"/>
      <c r="L16" s="2"/>
    </row>
    <row r="17" spans="1:17" ht="33" customHeight="1" x14ac:dyDescent="0.3">
      <c r="B17" s="160" t="s">
        <v>78</v>
      </c>
      <c r="C17" s="164">
        <f t="shared" si="4"/>
        <v>0</v>
      </c>
      <c r="D17" s="24"/>
      <c r="E17" s="24"/>
      <c r="F17" s="25"/>
      <c r="J17" s="2"/>
      <c r="L17" s="2"/>
    </row>
    <row r="18" spans="1:17" ht="33" customHeight="1" x14ac:dyDescent="0.3">
      <c r="B18" s="165" t="s">
        <v>7</v>
      </c>
      <c r="C18" s="162">
        <f>C12-C13</f>
        <v>0</v>
      </c>
      <c r="D18" s="162">
        <f>D12-D13</f>
        <v>0</v>
      </c>
      <c r="E18" s="162">
        <f t="shared" ref="E18:F18" si="5">E12-E13</f>
        <v>0</v>
      </c>
      <c r="F18" s="163">
        <f t="shared" si="5"/>
        <v>0</v>
      </c>
      <c r="L18" s="2"/>
    </row>
    <row r="19" spans="1:17" s="166" customFormat="1" ht="33" customHeight="1" x14ac:dyDescent="0.3">
      <c r="A19" s="155"/>
      <c r="B19" s="161" t="s">
        <v>81</v>
      </c>
      <c r="C19" s="162">
        <f>SUM(C20:C24)</f>
        <v>0</v>
      </c>
      <c r="D19" s="162">
        <f>SUM(D20:D24)</f>
        <v>0</v>
      </c>
      <c r="E19" s="162">
        <f t="shared" ref="E19:F19" si="6">SUM(E20:E24)</f>
        <v>0</v>
      </c>
      <c r="F19" s="163">
        <f t="shared" si="6"/>
        <v>0</v>
      </c>
      <c r="G19" s="155"/>
      <c r="H19" s="156"/>
      <c r="I19" s="155"/>
      <c r="J19" s="155"/>
      <c r="K19" s="155"/>
      <c r="L19" s="2"/>
      <c r="M19" s="155"/>
      <c r="N19" s="155"/>
      <c r="O19" s="155"/>
      <c r="P19" s="155"/>
      <c r="Q19" s="155"/>
    </row>
    <row r="20" spans="1:17" s="166" customFormat="1" ht="33" customHeight="1" x14ac:dyDescent="0.3">
      <c r="A20" s="155"/>
      <c r="B20" s="160" t="s">
        <v>82</v>
      </c>
      <c r="C20" s="164">
        <f>SUM(D20:F20)</f>
        <v>0</v>
      </c>
      <c r="D20" s="24"/>
      <c r="E20" s="24"/>
      <c r="F20" s="25"/>
      <c r="G20" s="155"/>
      <c r="H20" s="156"/>
      <c r="I20" s="155"/>
      <c r="J20" s="155"/>
      <c r="K20" s="155"/>
      <c r="L20" s="2"/>
      <c r="M20" s="155"/>
      <c r="N20" s="155"/>
      <c r="O20" s="155"/>
      <c r="P20" s="155"/>
      <c r="Q20" s="155"/>
    </row>
    <row r="21" spans="1:17" s="166" customFormat="1" ht="33" customHeight="1" x14ac:dyDescent="0.3">
      <c r="A21" s="155"/>
      <c r="B21" s="160" t="s">
        <v>83</v>
      </c>
      <c r="C21" s="164">
        <f>SUM(D21:F21)</f>
        <v>0</v>
      </c>
      <c r="D21" s="24"/>
      <c r="E21" s="24"/>
      <c r="F21" s="25"/>
      <c r="G21" s="155"/>
      <c r="H21" s="156"/>
      <c r="I21" s="155"/>
      <c r="J21" s="155"/>
      <c r="K21" s="155"/>
      <c r="L21" s="2"/>
      <c r="M21" s="155"/>
      <c r="N21" s="155"/>
      <c r="O21" s="155"/>
      <c r="P21" s="155"/>
      <c r="Q21" s="155"/>
    </row>
    <row r="22" spans="1:17" s="166" customFormat="1" ht="33" customHeight="1" x14ac:dyDescent="0.3">
      <c r="A22" s="155"/>
      <c r="B22" s="160" t="s">
        <v>84</v>
      </c>
      <c r="C22" s="164">
        <f>SUM(D22:F22)</f>
        <v>0</v>
      </c>
      <c r="D22" s="24"/>
      <c r="E22" s="24"/>
      <c r="F22" s="25"/>
      <c r="G22" s="155"/>
      <c r="H22" s="156"/>
      <c r="I22" s="155"/>
      <c r="J22" s="155"/>
      <c r="K22" s="155"/>
      <c r="L22" s="2"/>
      <c r="M22" s="155"/>
      <c r="N22" s="155"/>
      <c r="O22" s="155"/>
      <c r="P22" s="155"/>
      <c r="Q22" s="155"/>
    </row>
    <row r="23" spans="1:17" s="166" customFormat="1" ht="62.4" customHeight="1" x14ac:dyDescent="0.3">
      <c r="A23" s="155"/>
      <c r="B23" s="160" t="s">
        <v>112</v>
      </c>
      <c r="C23" s="24"/>
      <c r="D23" s="167">
        <f>C23*D2</f>
        <v>0</v>
      </c>
      <c r="E23" s="167">
        <f>C23*E2</f>
        <v>0</v>
      </c>
      <c r="F23" s="168">
        <f>C23*F2</f>
        <v>0</v>
      </c>
      <c r="G23" s="155"/>
      <c r="H23" s="156"/>
      <c r="I23" s="155"/>
      <c r="J23" s="155"/>
      <c r="K23" s="155"/>
      <c r="L23" s="2"/>
      <c r="M23" s="155"/>
      <c r="N23" s="155"/>
      <c r="O23" s="155"/>
      <c r="P23" s="155"/>
      <c r="Q23" s="155"/>
    </row>
    <row r="24" spans="1:17" s="166" customFormat="1" ht="79.95" customHeight="1" x14ac:dyDescent="0.3">
      <c r="A24" s="155"/>
      <c r="B24" s="169" t="s">
        <v>113</v>
      </c>
      <c r="C24" s="24"/>
      <c r="D24" s="167">
        <f>C24*D2</f>
        <v>0</v>
      </c>
      <c r="E24" s="167">
        <f>C24*E2</f>
        <v>0</v>
      </c>
      <c r="F24" s="168">
        <f>C24*F2</f>
        <v>0</v>
      </c>
      <c r="G24" s="155"/>
      <c r="H24" s="156"/>
      <c r="I24" s="155"/>
      <c r="J24" s="155"/>
      <c r="K24" s="155"/>
      <c r="L24" s="2"/>
      <c r="M24" s="155"/>
      <c r="N24" s="155"/>
      <c r="O24" s="155"/>
      <c r="P24" s="155"/>
      <c r="Q24" s="155"/>
    </row>
    <row r="25" spans="1:17" ht="33" customHeight="1" x14ac:dyDescent="0.3">
      <c r="B25" s="165" t="s">
        <v>6</v>
      </c>
      <c r="C25" s="162">
        <f>C18-C19</f>
        <v>0</v>
      </c>
      <c r="D25" s="162">
        <f>D18-D19</f>
        <v>0</v>
      </c>
      <c r="E25" s="162">
        <f t="shared" ref="E25:F25" si="7">E18-E19</f>
        <v>0</v>
      </c>
      <c r="F25" s="163">
        <f t="shared" si="7"/>
        <v>0</v>
      </c>
      <c r="L25" s="2"/>
    </row>
    <row r="26" spans="1:17" s="166" customFormat="1" ht="33" customHeight="1" x14ac:dyDescent="0.3">
      <c r="A26" s="155"/>
      <c r="B26" s="165" t="s">
        <v>85</v>
      </c>
      <c r="C26" s="162">
        <f>SUM(C27:C35)</f>
        <v>0</v>
      </c>
      <c r="D26" s="162">
        <f>SUM(D27:D35)</f>
        <v>0</v>
      </c>
      <c r="E26" s="162">
        <f>SUM(E27:E35)</f>
        <v>0</v>
      </c>
      <c r="F26" s="163">
        <f>SUM(F27:F35)</f>
        <v>0</v>
      </c>
      <c r="G26" s="155"/>
      <c r="H26" s="156"/>
      <c r="I26" s="155"/>
      <c r="J26" s="155"/>
      <c r="K26" s="155"/>
      <c r="L26" s="2"/>
      <c r="M26" s="155"/>
      <c r="N26" s="155"/>
      <c r="O26" s="155"/>
      <c r="P26" s="155"/>
      <c r="Q26" s="155"/>
    </row>
    <row r="27" spans="1:17" s="166" customFormat="1" ht="33" customHeight="1" x14ac:dyDescent="0.3">
      <c r="A27" s="155"/>
      <c r="B27" s="160" t="s">
        <v>86</v>
      </c>
      <c r="C27" s="167">
        <f>SUM(D27:F27)</f>
        <v>0</v>
      </c>
      <c r="D27" s="167"/>
      <c r="E27" s="167"/>
      <c r="F27" s="25"/>
      <c r="G27" s="155"/>
      <c r="H27" s="156"/>
      <c r="I27" s="155"/>
      <c r="J27" s="155"/>
      <c r="K27" s="155"/>
      <c r="L27" s="2"/>
      <c r="M27" s="155"/>
      <c r="N27" s="155"/>
      <c r="O27" s="155"/>
      <c r="P27" s="155"/>
      <c r="Q27" s="155"/>
    </row>
    <row r="28" spans="1:17" s="166" customFormat="1" ht="33" customHeight="1" x14ac:dyDescent="0.3">
      <c r="A28" s="155"/>
      <c r="B28" s="160" t="s">
        <v>87</v>
      </c>
      <c r="C28" s="167">
        <f t="shared" ref="C28:C35" si="8">SUM(D28:F28)</f>
        <v>0</v>
      </c>
      <c r="D28" s="167"/>
      <c r="E28" s="167"/>
      <c r="F28" s="25"/>
      <c r="G28" s="155"/>
      <c r="H28" s="156"/>
      <c r="I28" s="155"/>
      <c r="J28" s="155"/>
      <c r="K28" s="155"/>
      <c r="L28" s="2"/>
      <c r="M28" s="155"/>
      <c r="N28" s="155"/>
      <c r="O28" s="155"/>
      <c r="P28" s="155"/>
      <c r="Q28" s="155"/>
    </row>
    <row r="29" spans="1:17" s="166" customFormat="1" ht="33" customHeight="1" x14ac:dyDescent="0.3">
      <c r="A29" s="155"/>
      <c r="B29" s="160" t="s">
        <v>109</v>
      </c>
      <c r="C29" s="167">
        <f t="shared" si="8"/>
        <v>0</v>
      </c>
      <c r="D29" s="24"/>
      <c r="E29" s="24"/>
      <c r="F29" s="25"/>
      <c r="G29" s="155"/>
      <c r="H29" s="156"/>
      <c r="I29" s="155"/>
      <c r="J29" s="155"/>
      <c r="K29" s="155"/>
      <c r="L29" s="2"/>
      <c r="M29" s="155"/>
      <c r="N29" s="155"/>
      <c r="O29" s="155"/>
      <c r="P29" s="155"/>
      <c r="Q29" s="155"/>
    </row>
    <row r="30" spans="1:17" s="166" customFormat="1" ht="33" customHeight="1" x14ac:dyDescent="0.3">
      <c r="A30" s="155"/>
      <c r="B30" s="160" t="s">
        <v>88</v>
      </c>
      <c r="C30" s="167">
        <f t="shared" si="8"/>
        <v>0</v>
      </c>
      <c r="D30" s="167"/>
      <c r="E30" s="167"/>
      <c r="F30" s="25"/>
      <c r="G30" s="155"/>
      <c r="H30" s="156"/>
      <c r="I30" s="155"/>
      <c r="J30" s="155"/>
      <c r="K30" s="155"/>
      <c r="L30" s="2"/>
      <c r="M30" s="155"/>
      <c r="N30" s="155"/>
      <c r="O30" s="155"/>
      <c r="P30" s="155"/>
      <c r="Q30" s="155"/>
    </row>
    <row r="31" spans="1:17" s="166" customFormat="1" ht="33" customHeight="1" x14ac:dyDescent="0.3">
      <c r="A31" s="155"/>
      <c r="B31" s="160" t="s">
        <v>89</v>
      </c>
      <c r="C31" s="167">
        <f t="shared" si="8"/>
        <v>0</v>
      </c>
      <c r="D31" s="167"/>
      <c r="E31" s="167"/>
      <c r="F31" s="25"/>
      <c r="G31" s="155"/>
      <c r="H31" s="156"/>
      <c r="I31" s="155"/>
      <c r="J31" s="155"/>
      <c r="K31" s="155"/>
      <c r="L31" s="2"/>
      <c r="M31" s="155"/>
      <c r="N31" s="155"/>
      <c r="O31" s="155"/>
      <c r="P31" s="155"/>
      <c r="Q31" s="155"/>
    </row>
    <row r="32" spans="1:17" s="166" customFormat="1" ht="33" customHeight="1" x14ac:dyDescent="0.3">
      <c r="A32" s="155"/>
      <c r="B32" s="160" t="s">
        <v>90</v>
      </c>
      <c r="C32" s="167">
        <f t="shared" si="8"/>
        <v>0</v>
      </c>
      <c r="D32" s="167"/>
      <c r="E32" s="167"/>
      <c r="F32" s="25"/>
      <c r="G32" s="155"/>
      <c r="H32" s="156"/>
      <c r="I32" s="155"/>
      <c r="J32" s="155"/>
      <c r="K32" s="155"/>
      <c r="L32" s="2"/>
      <c r="M32" s="155"/>
      <c r="N32" s="155"/>
      <c r="O32" s="155"/>
      <c r="P32" s="155"/>
      <c r="Q32" s="155"/>
    </row>
    <row r="33" spans="1:17" s="166" customFormat="1" ht="51.6" customHeight="1" x14ac:dyDescent="0.3">
      <c r="A33" s="155"/>
      <c r="B33" s="169" t="s">
        <v>110</v>
      </c>
      <c r="C33" s="167">
        <f t="shared" si="8"/>
        <v>0</v>
      </c>
      <c r="D33" s="24"/>
      <c r="E33" s="24"/>
      <c r="F33" s="25"/>
      <c r="G33" s="155"/>
      <c r="H33" s="156"/>
      <c r="I33" s="155"/>
      <c r="J33" s="155"/>
      <c r="K33" s="155"/>
      <c r="L33" s="2"/>
      <c r="M33" s="155"/>
      <c r="N33" s="155"/>
      <c r="O33" s="155"/>
      <c r="P33" s="155"/>
      <c r="Q33" s="155"/>
    </row>
    <row r="34" spans="1:17" s="166" customFormat="1" ht="33" customHeight="1" x14ac:dyDescent="0.3">
      <c r="A34" s="155"/>
      <c r="B34" s="160" t="s">
        <v>91</v>
      </c>
      <c r="C34" s="167">
        <f t="shared" si="8"/>
        <v>0</v>
      </c>
      <c r="D34" s="167"/>
      <c r="E34" s="167"/>
      <c r="F34" s="25"/>
      <c r="G34" s="155"/>
      <c r="H34" s="156"/>
      <c r="I34" s="155"/>
      <c r="J34" s="155"/>
      <c r="K34" s="155"/>
      <c r="L34" s="2"/>
      <c r="M34" s="155"/>
      <c r="N34" s="155"/>
      <c r="O34" s="155"/>
      <c r="P34" s="155"/>
      <c r="Q34" s="155"/>
    </row>
    <row r="35" spans="1:17" s="166" customFormat="1" ht="33" customHeight="1" x14ac:dyDescent="0.3">
      <c r="A35" s="155"/>
      <c r="B35" s="170" t="s">
        <v>92</v>
      </c>
      <c r="C35" s="171">
        <f t="shared" si="8"/>
        <v>0</v>
      </c>
      <c r="D35" s="137"/>
      <c r="E35" s="137"/>
      <c r="F35" s="138"/>
      <c r="G35" s="155"/>
      <c r="H35" s="156"/>
      <c r="I35" s="155"/>
      <c r="J35" s="155"/>
      <c r="K35" s="155"/>
      <c r="L35" s="2"/>
      <c r="M35" s="155"/>
      <c r="N35" s="155"/>
      <c r="O35" s="155"/>
      <c r="P35" s="155"/>
      <c r="Q35" s="155"/>
    </row>
    <row r="36" spans="1:17" ht="39" customHeight="1" x14ac:dyDescent="0.3">
      <c r="B36" s="165" t="s">
        <v>9</v>
      </c>
      <c r="C36" s="162">
        <f>C25+C26</f>
        <v>0</v>
      </c>
      <c r="D36" s="162">
        <f>D25+D26</f>
        <v>0</v>
      </c>
      <c r="E36" s="162">
        <f t="shared" ref="E36" si="9">E25+E26</f>
        <v>0</v>
      </c>
      <c r="F36" s="163">
        <f>F25+F26</f>
        <v>0</v>
      </c>
      <c r="L36" s="2"/>
    </row>
    <row r="37" spans="1:17" ht="45.6" customHeight="1" x14ac:dyDescent="0.3">
      <c r="B37" s="172" t="s">
        <v>98</v>
      </c>
      <c r="C37" s="173">
        <f>SUM(C38:C43)</f>
        <v>0</v>
      </c>
      <c r="D37" s="173">
        <f>SUM(D38:D43)</f>
        <v>0</v>
      </c>
      <c r="E37" s="173">
        <f t="shared" ref="E37:F37" si="10">SUM(E38:E43)</f>
        <v>0</v>
      </c>
      <c r="F37" s="174">
        <f t="shared" si="10"/>
        <v>0</v>
      </c>
      <c r="L37" s="2"/>
    </row>
    <row r="38" spans="1:17" ht="32.4" customHeight="1" x14ac:dyDescent="0.3">
      <c r="B38" s="160" t="s">
        <v>93</v>
      </c>
      <c r="C38" s="175">
        <f>SUM(D38:F38)</f>
        <v>0</v>
      </c>
      <c r="D38" s="24"/>
      <c r="E38" s="24"/>
      <c r="F38" s="25"/>
      <c r="L38" s="2"/>
    </row>
    <row r="39" spans="1:17" ht="32.4" customHeight="1" x14ac:dyDescent="0.3">
      <c r="B39" s="160" t="s">
        <v>94</v>
      </c>
      <c r="C39" s="175">
        <f t="shared" ref="C39:C42" si="11">SUM(D39:F39)</f>
        <v>0</v>
      </c>
      <c r="D39" s="24"/>
      <c r="E39" s="24"/>
      <c r="F39" s="25"/>
      <c r="L39" s="2"/>
    </row>
    <row r="40" spans="1:17" ht="32.4" customHeight="1" x14ac:dyDescent="0.3">
      <c r="B40" s="160" t="s">
        <v>95</v>
      </c>
      <c r="C40" s="175">
        <f t="shared" si="11"/>
        <v>0</v>
      </c>
      <c r="D40" s="167"/>
      <c r="E40" s="167"/>
      <c r="F40" s="25"/>
      <c r="L40" s="2"/>
    </row>
    <row r="41" spans="1:17" ht="58.95" customHeight="1" x14ac:dyDescent="0.3">
      <c r="B41" s="169" t="s">
        <v>111</v>
      </c>
      <c r="C41" s="175">
        <f t="shared" si="11"/>
        <v>0</v>
      </c>
      <c r="D41" s="24"/>
      <c r="E41" s="24"/>
      <c r="F41" s="25"/>
      <c r="L41" s="2"/>
    </row>
    <row r="42" spans="1:17" ht="32.4" customHeight="1" x14ac:dyDescent="0.3">
      <c r="B42" s="160" t="s">
        <v>96</v>
      </c>
      <c r="C42" s="175">
        <f t="shared" si="11"/>
        <v>0</v>
      </c>
      <c r="D42" s="24"/>
      <c r="E42" s="24"/>
      <c r="F42" s="25"/>
      <c r="L42" s="2"/>
    </row>
    <row r="43" spans="1:17" ht="32.4" customHeight="1" x14ac:dyDescent="0.3">
      <c r="B43" s="160" t="s">
        <v>97</v>
      </c>
      <c r="C43" s="175">
        <f>SUM(D43:F43)</f>
        <v>0</v>
      </c>
      <c r="D43" s="24"/>
      <c r="E43" s="24"/>
      <c r="F43" s="25"/>
      <c r="L43" s="2"/>
    </row>
    <row r="44" spans="1:17" ht="45.6" customHeight="1" x14ac:dyDescent="0.3">
      <c r="B44" s="165" t="s">
        <v>9</v>
      </c>
      <c r="C44" s="162">
        <f>C36-C37</f>
        <v>0</v>
      </c>
      <c r="D44" s="162">
        <f>D36-D37</f>
        <v>0</v>
      </c>
      <c r="E44" s="162">
        <f t="shared" ref="E44:F44" si="12">E36-E37</f>
        <v>0</v>
      </c>
      <c r="F44" s="163">
        <f t="shared" si="12"/>
        <v>0</v>
      </c>
      <c r="L44" s="2"/>
    </row>
    <row r="45" spans="1:17" ht="45.6" customHeight="1" x14ac:dyDescent="0.3">
      <c r="B45" s="165" t="s">
        <v>101</v>
      </c>
      <c r="C45" s="162">
        <f>SUM(C46:C49)</f>
        <v>0</v>
      </c>
      <c r="D45" s="162">
        <f>SUM(D46:D49)</f>
        <v>0</v>
      </c>
      <c r="E45" s="162">
        <f>SUM(E46:E49)</f>
        <v>0</v>
      </c>
      <c r="F45" s="163">
        <f>SUM(F46:F49)</f>
        <v>0</v>
      </c>
      <c r="L45" s="3"/>
    </row>
    <row r="46" spans="1:17" ht="45.6" customHeight="1" x14ac:dyDescent="0.3">
      <c r="B46" s="160" t="s">
        <v>99</v>
      </c>
      <c r="C46" s="167">
        <f>SUM(D46:F46)</f>
        <v>0</v>
      </c>
      <c r="D46" s="24"/>
      <c r="E46" s="24"/>
      <c r="F46" s="25"/>
      <c r="L46" s="3"/>
    </row>
    <row r="47" spans="1:17" ht="45.6" customHeight="1" x14ac:dyDescent="0.3">
      <c r="B47" s="160" t="s">
        <v>100</v>
      </c>
      <c r="C47" s="167">
        <f>SUM(D47:F47)</f>
        <v>0</v>
      </c>
      <c r="D47" s="24"/>
      <c r="E47" s="24"/>
      <c r="F47" s="25"/>
      <c r="L47" s="3"/>
    </row>
    <row r="48" spans="1:17" ht="45.6" customHeight="1" x14ac:dyDescent="0.3">
      <c r="B48" s="160" t="s">
        <v>115</v>
      </c>
      <c r="C48" s="24"/>
      <c r="D48" s="167">
        <f>C48*D2</f>
        <v>0</v>
      </c>
      <c r="E48" s="167">
        <f>C48*E2</f>
        <v>0</v>
      </c>
      <c r="F48" s="168">
        <f>C48*F2</f>
        <v>0</v>
      </c>
      <c r="L48" s="3"/>
    </row>
    <row r="49" spans="1:17" ht="45.6" customHeight="1" x14ac:dyDescent="0.3">
      <c r="B49" s="160" t="s">
        <v>114</v>
      </c>
      <c r="C49" s="24"/>
      <c r="D49" s="167">
        <f>C49*D2</f>
        <v>0</v>
      </c>
      <c r="E49" s="167">
        <f>C49*E2</f>
        <v>0</v>
      </c>
      <c r="F49" s="168">
        <f>C49*F2</f>
        <v>0</v>
      </c>
      <c r="L49" s="3"/>
    </row>
    <row r="50" spans="1:17" ht="45.6" customHeight="1" x14ac:dyDescent="0.3">
      <c r="A50" s="176"/>
      <c r="B50" s="165" t="s">
        <v>9</v>
      </c>
      <c r="C50" s="162">
        <f>C44-C45</f>
        <v>0</v>
      </c>
      <c r="D50" s="162">
        <f>D44-D45</f>
        <v>0</v>
      </c>
      <c r="E50" s="162">
        <f>E44-E45</f>
        <v>0</v>
      </c>
      <c r="F50" s="163">
        <f>F44-F45</f>
        <v>0</v>
      </c>
      <c r="L50" s="2"/>
    </row>
    <row r="51" spans="1:17" ht="45.6" customHeight="1" x14ac:dyDescent="0.3">
      <c r="A51" s="3"/>
      <c r="B51" s="165" t="s">
        <v>104</v>
      </c>
      <c r="C51" s="162">
        <f>SUM(D51:F51)</f>
        <v>0</v>
      </c>
      <c r="D51" s="162">
        <f>SUM(D52:D53)</f>
        <v>0</v>
      </c>
      <c r="E51" s="162">
        <f>SUM(E52:E53)</f>
        <v>0</v>
      </c>
      <c r="F51" s="163">
        <f>SUM(F52:F53)</f>
        <v>0</v>
      </c>
      <c r="L51" s="2"/>
    </row>
    <row r="52" spans="1:17" ht="45.6" customHeight="1" x14ac:dyDescent="0.3">
      <c r="A52" s="3"/>
      <c r="B52" s="177" t="s">
        <v>102</v>
      </c>
      <c r="C52" s="167">
        <f>SUM(D52:F52)</f>
        <v>0</v>
      </c>
      <c r="D52" s="175"/>
      <c r="E52" s="175"/>
      <c r="F52" s="20"/>
      <c r="L52" s="2"/>
    </row>
    <row r="53" spans="1:17" ht="45.6" customHeight="1" x14ac:dyDescent="0.3">
      <c r="A53" s="3"/>
      <c r="B53" s="177" t="s">
        <v>103</v>
      </c>
      <c r="C53" s="167">
        <f>SUM(D53:F53)</f>
        <v>0</v>
      </c>
      <c r="D53" s="175"/>
      <c r="E53" s="175"/>
      <c r="F53" s="20"/>
      <c r="L53" s="2"/>
    </row>
    <row r="54" spans="1:17" ht="45.6" customHeight="1" x14ac:dyDescent="0.3">
      <c r="A54" s="3"/>
      <c r="B54" s="165" t="s">
        <v>9</v>
      </c>
      <c r="C54" s="162">
        <f>SUM(D54:F54)</f>
        <v>0</v>
      </c>
      <c r="D54" s="178">
        <f>D50+D51</f>
        <v>0</v>
      </c>
      <c r="E54" s="178">
        <f t="shared" ref="E54:F54" si="13">E50+E51</f>
        <v>0</v>
      </c>
      <c r="F54" s="179">
        <f t="shared" si="13"/>
        <v>0</v>
      </c>
      <c r="L54" s="2"/>
    </row>
    <row r="55" spans="1:17" s="166" customFormat="1" ht="45.6" customHeight="1" x14ac:dyDescent="0.3">
      <c r="A55" s="3"/>
      <c r="B55" s="165" t="s">
        <v>108</v>
      </c>
      <c r="C55" s="162">
        <f>SUM(C56:C58)</f>
        <v>0</v>
      </c>
      <c r="D55" s="162">
        <f>SUM(D56:D58)</f>
        <v>0</v>
      </c>
      <c r="E55" s="162">
        <f t="shared" ref="E55:F55" si="14">SUM(E56:E58)</f>
        <v>0</v>
      </c>
      <c r="F55" s="163">
        <f t="shared" si="14"/>
        <v>0</v>
      </c>
      <c r="G55" s="155"/>
      <c r="H55" s="156"/>
      <c r="I55" s="155"/>
      <c r="J55" s="155"/>
      <c r="K55" s="155"/>
      <c r="L55" s="2"/>
      <c r="M55" s="155"/>
      <c r="N55" s="155"/>
      <c r="O55" s="155"/>
      <c r="P55" s="155"/>
      <c r="Q55" s="155"/>
    </row>
    <row r="56" spans="1:17" s="166" customFormat="1" ht="45.6" customHeight="1" x14ac:dyDescent="0.3">
      <c r="A56" s="3"/>
      <c r="B56" s="180" t="s">
        <v>105</v>
      </c>
      <c r="C56" s="167">
        <f>SUM(D56:F56)</f>
        <v>0</v>
      </c>
      <c r="D56" s="24"/>
      <c r="E56" s="24"/>
      <c r="F56" s="25"/>
      <c r="G56" s="155"/>
      <c r="H56" s="156"/>
      <c r="I56" s="155"/>
      <c r="J56" s="155"/>
      <c r="K56" s="155"/>
      <c r="L56" s="2"/>
      <c r="M56" s="155"/>
      <c r="N56" s="155"/>
      <c r="O56" s="155"/>
      <c r="P56" s="155"/>
      <c r="Q56" s="155"/>
    </row>
    <row r="57" spans="1:17" s="166" customFormat="1" ht="45.6" customHeight="1" x14ac:dyDescent="0.3">
      <c r="A57" s="3"/>
      <c r="B57" s="180" t="s">
        <v>106</v>
      </c>
      <c r="C57" s="167">
        <f t="shared" ref="C57:C58" si="15">SUM(D57:F57)</f>
        <v>0</v>
      </c>
      <c r="D57" s="24"/>
      <c r="E57" s="24"/>
      <c r="F57" s="25"/>
      <c r="G57" s="155"/>
      <c r="H57" s="156"/>
      <c r="I57" s="155"/>
      <c r="J57" s="155"/>
      <c r="K57" s="155"/>
      <c r="L57" s="2"/>
      <c r="M57" s="155"/>
      <c r="N57" s="155"/>
      <c r="O57" s="155"/>
      <c r="P57" s="155"/>
      <c r="Q57" s="155"/>
    </row>
    <row r="58" spans="1:17" s="166" customFormat="1" ht="45.6" customHeight="1" x14ac:dyDescent="0.3">
      <c r="A58" s="3"/>
      <c r="B58" s="180" t="s">
        <v>107</v>
      </c>
      <c r="C58" s="167">
        <f t="shared" si="15"/>
        <v>0</v>
      </c>
      <c r="D58" s="24"/>
      <c r="E58" s="24"/>
      <c r="F58" s="25"/>
      <c r="G58" s="155"/>
      <c r="H58" s="156"/>
      <c r="I58" s="155"/>
      <c r="J58" s="155"/>
      <c r="K58" s="155"/>
      <c r="L58" s="2"/>
      <c r="M58" s="155"/>
      <c r="N58" s="155"/>
      <c r="O58" s="155"/>
      <c r="P58" s="155"/>
      <c r="Q58" s="155"/>
    </row>
    <row r="59" spans="1:17" ht="48" customHeight="1" thickBot="1" x14ac:dyDescent="0.35">
      <c r="A59" s="3"/>
      <c r="B59" s="181" t="s">
        <v>0</v>
      </c>
      <c r="C59" s="182">
        <f>C54-C55</f>
        <v>0</v>
      </c>
      <c r="D59" s="182">
        <f>D54-D55</f>
        <v>0</v>
      </c>
      <c r="E59" s="182">
        <f t="shared" ref="E59:F59" si="16">E54-E55</f>
        <v>0</v>
      </c>
      <c r="F59" s="183">
        <f t="shared" si="16"/>
        <v>0</v>
      </c>
      <c r="L59" s="2"/>
    </row>
    <row r="60" spans="1:17" ht="65.400000000000006" customHeight="1" x14ac:dyDescent="0.3">
      <c r="A60" s="4"/>
      <c r="B60" s="329" t="s">
        <v>167</v>
      </c>
      <c r="C60" s="330"/>
      <c r="D60" s="312">
        <f>IF(D59&gt;=$C$59,1,
    IF(D59&lt;=0,0,
    IF(AND(D59&gt;0,D59&lt;$C$59),D59/$C$59)))</f>
        <v>1</v>
      </c>
      <c r="E60" s="312">
        <f>IF(E59&gt;=$C$59,1,
    IF(E59&lt;=0,0,
    IF(AND(E59&gt;0,E59&lt;$C$59),E59/$C$59)))</f>
        <v>1</v>
      </c>
      <c r="F60" s="313">
        <f t="shared" ref="F60" si="17">IF(F59&gt;=$C$59,1,
    IF(F59&lt;=0,0,
    IF(AND(F59&gt;0,F59&lt;$C$59),F59/$C$59)))</f>
        <v>1</v>
      </c>
      <c r="L60" s="2"/>
    </row>
    <row r="61" spans="1:17" ht="48.6" customHeight="1" thickBot="1" x14ac:dyDescent="0.35">
      <c r="A61" s="4"/>
      <c r="B61" s="331"/>
      <c r="C61" s="332"/>
      <c r="D61" s="314">
        <f>IFERROR( MAX( MIN( IF(OR(D59&gt;=$C$59,($D$59+$E$59)&gt;=$C$59),D59/($D$59+$E$59),D59/$C$59),1),0),0)</f>
        <v>0</v>
      </c>
      <c r="E61" s="314">
        <f>IFERROR(MAX( MIN( IF(OR(E59&gt;=$C$59,($D$59+$E$59)&gt;=$C$59),E59/($D$59+$E$59),E59/$C$59),1),0),0)</f>
        <v>0</v>
      </c>
      <c r="F61" s="315">
        <f>IFERROR(1-(D61+E61),0)</f>
        <v>1</v>
      </c>
      <c r="L61" s="2"/>
    </row>
    <row r="62" spans="1:17" ht="16.2" thickBot="1" x14ac:dyDescent="0.35">
      <c r="A62" s="4"/>
      <c r="D62" s="5"/>
      <c r="E62" s="5"/>
      <c r="F62" s="5"/>
      <c r="L62" s="2"/>
    </row>
    <row r="63" spans="1:17" ht="39" customHeight="1" thickBot="1" x14ac:dyDescent="0.35">
      <c r="A63" s="3"/>
      <c r="B63" s="185" t="s">
        <v>1</v>
      </c>
      <c r="C63" s="147"/>
      <c r="D63" s="186"/>
      <c r="E63" s="186"/>
      <c r="L63" s="2"/>
    </row>
    <row r="64" spans="1:17" ht="39" customHeight="1" thickBot="1" x14ac:dyDescent="0.35">
      <c r="A64" s="3"/>
      <c r="B64" s="187" t="s">
        <v>5</v>
      </c>
      <c r="C64" s="148"/>
      <c r="D64" s="186"/>
      <c r="E64" s="186"/>
      <c r="L64" s="2"/>
    </row>
    <row r="65" spans="1:17" ht="39" customHeight="1" x14ac:dyDescent="0.3">
      <c r="A65" s="3"/>
      <c r="B65" s="188" t="s">
        <v>2</v>
      </c>
      <c r="C65" s="149">
        <f>C66+C67+C68</f>
        <v>0</v>
      </c>
      <c r="D65" s="186"/>
      <c r="E65" s="186"/>
      <c r="L65" s="2"/>
    </row>
    <row r="66" spans="1:17" ht="39" customHeight="1" x14ac:dyDescent="0.3">
      <c r="A66" s="3"/>
      <c r="B66" s="189" t="s">
        <v>28</v>
      </c>
      <c r="C66" s="150"/>
      <c r="D66" s="186"/>
      <c r="E66" s="186"/>
      <c r="L66" s="2"/>
    </row>
    <row r="67" spans="1:17" ht="39" customHeight="1" x14ac:dyDescent="0.3">
      <c r="A67" s="6"/>
      <c r="B67" s="189" t="s">
        <v>10</v>
      </c>
      <c r="C67" s="150"/>
      <c r="D67" s="186"/>
      <c r="E67" s="186"/>
      <c r="L67" s="2"/>
    </row>
    <row r="68" spans="1:17" ht="39" customHeight="1" thickBot="1" x14ac:dyDescent="0.35">
      <c r="A68" s="4"/>
      <c r="B68" s="190" t="s">
        <v>11</v>
      </c>
      <c r="C68" s="151"/>
      <c r="D68" s="186"/>
      <c r="E68" s="186"/>
      <c r="L68" s="2"/>
    </row>
    <row r="69" spans="1:17" ht="39" customHeight="1" thickBot="1" x14ac:dyDescent="0.35">
      <c r="A69" s="3"/>
      <c r="B69" s="187" t="s">
        <v>3</v>
      </c>
      <c r="C69" s="146"/>
      <c r="D69" s="186"/>
      <c r="E69" s="186"/>
      <c r="L69" s="2"/>
    </row>
    <row r="70" spans="1:17" ht="39" customHeight="1" thickBot="1" x14ac:dyDescent="0.35">
      <c r="A70" s="3"/>
      <c r="B70" s="187" t="s">
        <v>4</v>
      </c>
      <c r="C70" s="146"/>
      <c r="D70" s="191" t="s">
        <v>27</v>
      </c>
      <c r="E70" s="192">
        <f>C59+C63-C64-C65-C69</f>
        <v>0</v>
      </c>
      <c r="L70" s="2"/>
    </row>
    <row r="71" spans="1:17" ht="16.2" thickBot="1" x14ac:dyDescent="0.35">
      <c r="A71" s="3"/>
      <c r="L71" s="2"/>
    </row>
    <row r="72" spans="1:17" ht="91.95" customHeight="1" thickBot="1" x14ac:dyDescent="0.35">
      <c r="A72" s="3"/>
      <c r="B72" s="333" t="s">
        <v>168</v>
      </c>
      <c r="C72" s="193" t="s">
        <v>17</v>
      </c>
      <c r="D72" s="193" t="s">
        <v>18</v>
      </c>
      <c r="E72" s="193" t="s">
        <v>19</v>
      </c>
      <c r="F72" s="316" t="s">
        <v>13</v>
      </c>
      <c r="L72" s="2"/>
    </row>
    <row r="73" spans="1:17" ht="33" customHeight="1" thickBot="1" x14ac:dyDescent="0.35">
      <c r="A73" s="3"/>
      <c r="B73" s="334"/>
      <c r="C73" s="317">
        <f>IF(C59-C66-C67&lt;=0,0,C59-C66-C67)</f>
        <v>0</v>
      </c>
      <c r="D73" s="318">
        <f>IF($D$59-C66&lt;=0,0,MIN($D$59-C66,$C$73*D61))</f>
        <v>0</v>
      </c>
      <c r="E73" s="318">
        <f>IF($E$59-C67&lt;=0,0,MIN($E$59-C67,$C$73*E61))</f>
        <v>0</v>
      </c>
      <c r="F73" s="318">
        <f>IF(C73-D73-E73&lt;=0,0,C73-D73-E73)</f>
        <v>0</v>
      </c>
      <c r="L73" s="2"/>
    </row>
    <row r="74" spans="1:17" ht="33" customHeight="1" thickBot="1" x14ac:dyDescent="0.35">
      <c r="A74" s="3"/>
      <c r="B74" s="335" t="s">
        <v>25</v>
      </c>
      <c r="C74" s="336"/>
      <c r="D74" s="319">
        <f>IFERROR(IF(D73/C73&lt;=0,0,D73/C73),0)</f>
        <v>0</v>
      </c>
      <c r="E74" s="319">
        <f>IFERROR(IF(E73/C73&lt;=0,0,E73/C73),0)</f>
        <v>0</v>
      </c>
      <c r="F74" s="319">
        <f>IFERROR(F73/C73,0)</f>
        <v>0</v>
      </c>
      <c r="L74" s="2"/>
    </row>
    <row r="75" spans="1:17" ht="33" customHeight="1" thickBot="1" x14ac:dyDescent="0.35">
      <c r="A75" s="3"/>
      <c r="B75" s="337" t="s">
        <v>26</v>
      </c>
      <c r="C75" s="338"/>
      <c r="D75" s="314">
        <f>IFERROR(MAX( MIN( IF(OR(D73&gt;=$C$73,($D$73+$E$73)&gt;=$C$73),D73/($D$73+$E$73),D73/$C$73),1),0),0)</f>
        <v>0</v>
      </c>
      <c r="E75" s="314">
        <f>IFERROR(MAX( MIN( IF(OR(E73&gt;=$C$73,($D$73+$E$73)&gt;=$C$73),E73/($D$73+$E$73),E73/$C$73),1),0),0)</f>
        <v>0</v>
      </c>
      <c r="F75" s="315">
        <f>1-(D75+E75)</f>
        <v>1</v>
      </c>
      <c r="L75" s="2"/>
    </row>
    <row r="76" spans="1:17" ht="18.600000000000001" thickBot="1" x14ac:dyDescent="0.35">
      <c r="A76" s="3"/>
      <c r="B76" s="194"/>
      <c r="C76" s="195"/>
      <c r="D76" s="26"/>
      <c r="E76" s="26"/>
      <c r="F76" s="26"/>
      <c r="L76" s="2"/>
    </row>
    <row r="77" spans="1:17" ht="37.200000000000003" customHeight="1" thickBot="1" x14ac:dyDescent="0.35">
      <c r="A77" s="6"/>
      <c r="B77" s="196" t="s">
        <v>24</v>
      </c>
      <c r="C77" s="197">
        <f>C59+C63-C64-C65-C69-C70</f>
        <v>0</v>
      </c>
      <c r="D77" s="198" t="str">
        <f>IF(C77&lt;0, "ZARAR","KAR")</f>
        <v>KAR</v>
      </c>
      <c r="E77" s="186"/>
      <c r="F77" s="186"/>
      <c r="L77" s="2"/>
    </row>
    <row r="78" spans="1:17" ht="18.600000000000001" thickBot="1" x14ac:dyDescent="0.35">
      <c r="A78" s="3"/>
      <c r="B78" s="199"/>
      <c r="C78" s="186"/>
      <c r="D78" s="186"/>
      <c r="E78" s="186"/>
      <c r="F78" s="186"/>
      <c r="L78" s="2"/>
    </row>
    <row r="79" spans="1:17" s="1" customFormat="1" ht="25.2" customHeight="1" thickBot="1" x14ac:dyDescent="0.35">
      <c r="A79" s="155"/>
      <c r="B79" s="339" t="s">
        <v>48</v>
      </c>
      <c r="C79" s="340"/>
      <c r="D79" s="341"/>
      <c r="E79" s="199"/>
      <c r="F79" s="199"/>
      <c r="G79" s="155"/>
      <c r="H79" s="156"/>
      <c r="I79" s="155"/>
      <c r="J79" s="2"/>
      <c r="K79" s="155"/>
      <c r="L79" s="2"/>
      <c r="M79" s="155"/>
      <c r="N79" s="155"/>
      <c r="O79" s="155"/>
      <c r="P79" s="155"/>
      <c r="Q79" s="2"/>
    </row>
    <row r="80" spans="1:17" s="1" customFormat="1" ht="25.2" customHeight="1" thickBot="1" x14ac:dyDescent="0.35">
      <c r="A80" s="155"/>
      <c r="B80" s="200"/>
      <c r="C80" s="201" t="s">
        <v>116</v>
      </c>
      <c r="D80" s="201" t="s">
        <v>117</v>
      </c>
      <c r="E80" s="201" t="s">
        <v>118</v>
      </c>
      <c r="F80" s="201" t="s">
        <v>119</v>
      </c>
      <c r="G80" s="201" t="s">
        <v>120</v>
      </c>
      <c r="H80" s="156"/>
      <c r="I80" s="155"/>
      <c r="J80" s="2"/>
      <c r="K80" s="155"/>
      <c r="L80" s="2"/>
      <c r="M80" s="155"/>
      <c r="N80" s="155"/>
      <c r="O80" s="155"/>
      <c r="P80" s="155"/>
      <c r="Q80" s="2"/>
    </row>
    <row r="81" spans="1:17" s="1" customFormat="1" ht="37.950000000000003" customHeight="1" thickBot="1" x14ac:dyDescent="0.35">
      <c r="A81" s="155"/>
      <c r="B81" s="202" t="s">
        <v>37</v>
      </c>
      <c r="C81" s="27"/>
      <c r="D81" s="27"/>
      <c r="E81" s="27"/>
      <c r="F81" s="27"/>
      <c r="G81" s="27"/>
      <c r="H81" s="64"/>
      <c r="I81" s="155"/>
      <c r="J81" s="155"/>
      <c r="K81" s="155"/>
      <c r="L81" s="2"/>
      <c r="M81" s="155"/>
      <c r="N81" s="155"/>
      <c r="O81" s="155"/>
      <c r="P81" s="155"/>
      <c r="Q81" s="2"/>
    </row>
    <row r="82" spans="1:17" s="1" customFormat="1" ht="25.2" customHeight="1" thickBot="1" x14ac:dyDescent="0.35">
      <c r="A82" s="155"/>
      <c r="B82" s="203" t="s">
        <v>32</v>
      </c>
      <c r="C82" s="342">
        <f>C77</f>
        <v>0</v>
      </c>
      <c r="D82" s="343"/>
      <c r="E82" s="343"/>
      <c r="F82" s="343"/>
      <c r="G82" s="344"/>
      <c r="H82" s="64"/>
      <c r="I82" s="2"/>
      <c r="J82" s="2"/>
      <c r="K82" s="2"/>
      <c r="L82" s="2"/>
      <c r="M82" s="155"/>
      <c r="N82" s="155"/>
      <c r="O82" s="155"/>
      <c r="P82" s="155"/>
      <c r="Q82" s="2"/>
    </row>
    <row r="83" spans="1:17" ht="42.6" customHeight="1" thickBot="1" x14ac:dyDescent="0.35">
      <c r="B83" s="204" t="s">
        <v>126</v>
      </c>
      <c r="C83" s="28"/>
      <c r="D83" s="28"/>
      <c r="E83" s="28"/>
      <c r="F83" s="28"/>
      <c r="G83" s="28"/>
      <c r="H83" s="323">
        <f>IF(SUM(C83:G83)&gt;C77,"32/A İNDİRİMİ UYGULANACAK KAZANÇ, SAFİ KURUM KAZANCINDAN FAZLADIR",SUM(C83:G83))</f>
        <v>0</v>
      </c>
      <c r="L83" s="2"/>
    </row>
    <row r="84" spans="1:17" ht="25.2" customHeight="1" x14ac:dyDescent="0.3">
      <c r="B84" s="205" t="s">
        <v>33</v>
      </c>
      <c r="C84" s="324">
        <f>IF(C82-(C83+D83+E83+F83+G83)&lt;0,0,C82-(C83+D83+E83+F83+G83))</f>
        <v>0</v>
      </c>
      <c r="D84" s="325"/>
      <c r="E84" s="325"/>
      <c r="F84" s="325"/>
      <c r="G84" s="326"/>
      <c r="L84" s="2"/>
    </row>
    <row r="85" spans="1:17" ht="25.2" customHeight="1" thickBot="1" x14ac:dyDescent="0.35">
      <c r="B85" s="206" t="s">
        <v>31</v>
      </c>
      <c r="C85" s="345">
        <f>IF((C83+D83+E83+F83+G83+C84)&gt;C77,C77,(C83+D83+E83+F83+G83+C84))</f>
        <v>0</v>
      </c>
      <c r="D85" s="346"/>
      <c r="E85" s="346"/>
      <c r="F85" s="346"/>
      <c r="G85" s="347"/>
      <c r="L85" s="2"/>
    </row>
    <row r="86" spans="1:17" ht="16.2" thickBot="1" x14ac:dyDescent="0.35">
      <c r="A86" s="3"/>
      <c r="L86" s="2"/>
    </row>
    <row r="87" spans="1:17" ht="15.6" customHeight="1" x14ac:dyDescent="0.3">
      <c r="A87" s="3"/>
      <c r="B87" s="348" t="s">
        <v>63</v>
      </c>
      <c r="C87" s="348" t="s">
        <v>12</v>
      </c>
      <c r="D87" s="351" t="s">
        <v>14</v>
      </c>
      <c r="E87" s="351" t="s">
        <v>15</v>
      </c>
      <c r="F87" s="351" t="s">
        <v>16</v>
      </c>
      <c r="L87" s="2"/>
    </row>
    <row r="88" spans="1:17" ht="16.2" customHeight="1" thickBot="1" x14ac:dyDescent="0.35">
      <c r="A88" s="3"/>
      <c r="B88" s="349"/>
      <c r="C88" s="350"/>
      <c r="D88" s="352"/>
      <c r="E88" s="352"/>
      <c r="F88" s="352"/>
      <c r="L88" s="2"/>
    </row>
    <row r="89" spans="1:17" ht="37.200000000000003" customHeight="1" thickBot="1" x14ac:dyDescent="0.35">
      <c r="A89" s="3"/>
      <c r="B89" s="350"/>
      <c r="C89" s="320">
        <f>C77</f>
        <v>0</v>
      </c>
      <c r="D89" s="321">
        <f>IF(AND(C66&gt;0,OR(D73&gt;=$C$73,$D$73+$E$73&gt;=$C$73)),    MAX( MIN($C$89*D75, D59-C66),0),    IF(C66&gt;0, MAX(MIN($C$89*D75,D59-C66),0), MAX(MIN($C$89*D75,D59),0)))</f>
        <v>0</v>
      </c>
      <c r="E89" s="321">
        <f>IF(AND(C67&gt;0,OR(E73&gt;=$C$73,$D$73+$E$73&gt;=$C$73)),    MAX( MIN($C$89*E75, E59-C67),0),    IF(C67&gt;0, MAX(MIN($C$89*E75,E59-C67),0), MAX(MIN($C$89*E75,E59),0)))</f>
        <v>0</v>
      </c>
      <c r="F89" s="321">
        <f>IF(C89-D89-E89&lt;=0,0,C89-D89-E89)</f>
        <v>0</v>
      </c>
      <c r="L89" s="2"/>
    </row>
    <row r="90" spans="1:17" ht="24" customHeight="1" thickBot="1" x14ac:dyDescent="0.35">
      <c r="A90" s="3"/>
      <c r="B90" s="296" t="s">
        <v>164</v>
      </c>
      <c r="C90" s="297">
        <f>C89</f>
        <v>0</v>
      </c>
      <c r="D90" s="310">
        <f>IFERROR(D89/C89,0)</f>
        <v>0</v>
      </c>
      <c r="E90" s="311">
        <f>IFERROR(E89/C89,0)</f>
        <v>0</v>
      </c>
      <c r="F90" s="310">
        <f>IFERROR(F89/C89,0)</f>
        <v>0</v>
      </c>
      <c r="L90" s="2"/>
    </row>
    <row r="91" spans="1:17" ht="24" customHeight="1" thickBot="1" x14ac:dyDescent="0.35">
      <c r="A91" s="3"/>
      <c r="B91" s="296" t="s">
        <v>66</v>
      </c>
      <c r="C91" s="295">
        <f>C90</f>
        <v>0</v>
      </c>
      <c r="D91" s="298">
        <f>D89</f>
        <v>0</v>
      </c>
      <c r="E91" s="295">
        <f>E89</f>
        <v>0</v>
      </c>
      <c r="F91" s="299">
        <f>F89</f>
        <v>0</v>
      </c>
      <c r="L91" s="2"/>
    </row>
    <row r="92" spans="1:17" ht="24" customHeight="1" thickBot="1" x14ac:dyDescent="0.35">
      <c r="A92" s="3"/>
      <c r="B92" s="296" t="s">
        <v>65</v>
      </c>
      <c r="C92" s="300">
        <f>C91</f>
        <v>0</v>
      </c>
      <c r="D92" s="310">
        <f>IFERROR(IF(D91/C91&gt;=1,1,D91/C91),0)</f>
        <v>0</v>
      </c>
      <c r="E92" s="311">
        <f>IFERROR(IF(E91/C91&gt;=1,1,E91/C91),0)</f>
        <v>0</v>
      </c>
      <c r="F92" s="310">
        <f>IFERROR(IF(F91/C91&gt;=1,1,F91/C91),0)</f>
        <v>0</v>
      </c>
      <c r="H92" s="208" t="s">
        <v>130</v>
      </c>
      <c r="L92" s="2"/>
    </row>
    <row r="93" spans="1:17" ht="24" customHeight="1" thickBot="1" x14ac:dyDescent="0.35">
      <c r="A93" s="3"/>
      <c r="B93" s="296" t="s">
        <v>58</v>
      </c>
      <c r="C93" s="295">
        <f>C92*$H$93</f>
        <v>0</v>
      </c>
      <c r="D93" s="295">
        <f>D91*$H$93</f>
        <v>0</v>
      </c>
      <c r="E93" s="295">
        <f>E91*$H$93</f>
        <v>0</v>
      </c>
      <c r="F93" s="295">
        <f>F91*$H$93</f>
        <v>0</v>
      </c>
      <c r="H93" s="152">
        <v>0.25</v>
      </c>
      <c r="L93" s="2"/>
    </row>
    <row r="94" spans="1:17" ht="24" customHeight="1" thickBot="1" x14ac:dyDescent="0.35">
      <c r="A94" s="3"/>
      <c r="B94" s="193" t="s">
        <v>50</v>
      </c>
      <c r="C94" s="295">
        <f>C83+D83+E83+F83+G83</f>
        <v>0</v>
      </c>
      <c r="D94" s="295">
        <f>D106+D111+D116+D121+D126</f>
        <v>0</v>
      </c>
      <c r="E94" s="295">
        <f>D105+D110+D115+D120+D125</f>
        <v>0</v>
      </c>
      <c r="F94" s="295">
        <f>D104+D109+D114+D119+D124</f>
        <v>0</v>
      </c>
      <c r="L94" s="2"/>
    </row>
    <row r="95" spans="1:17" ht="24" customHeight="1" thickBot="1" x14ac:dyDescent="0.35">
      <c r="A95" s="3"/>
      <c r="B95" s="193" t="s">
        <v>52</v>
      </c>
      <c r="C95" s="295">
        <f>J107+J112+J117+J122+J127</f>
        <v>0</v>
      </c>
      <c r="D95" s="295">
        <f>J106+J111+J116+J121+J126</f>
        <v>0</v>
      </c>
      <c r="E95" s="295">
        <f>J105+J110+J115+J120+J125</f>
        <v>0</v>
      </c>
      <c r="F95" s="295">
        <f>J104+J109+J114+J119+J124</f>
        <v>0</v>
      </c>
      <c r="L95" s="2"/>
    </row>
    <row r="96" spans="1:17" ht="24" customHeight="1" thickBot="1" x14ac:dyDescent="0.35">
      <c r="A96" s="3"/>
      <c r="B96" s="294" t="s">
        <v>51</v>
      </c>
      <c r="C96" s="301">
        <f>IF(C84&lt;=0,0,C84)</f>
        <v>0</v>
      </c>
      <c r="D96" s="295">
        <f>D131</f>
        <v>0</v>
      </c>
      <c r="E96" s="295">
        <f>D130</f>
        <v>0</v>
      </c>
      <c r="F96" s="295">
        <f>D129</f>
        <v>0</v>
      </c>
      <c r="L96" s="2"/>
    </row>
    <row r="97" spans="1:17" ht="24" customHeight="1" thickBot="1" x14ac:dyDescent="0.35">
      <c r="A97" s="3"/>
      <c r="B97" s="302" t="s">
        <v>53</v>
      </c>
      <c r="C97" s="295">
        <f>L129</f>
        <v>0</v>
      </c>
      <c r="D97" s="295">
        <f>J131</f>
        <v>0</v>
      </c>
      <c r="E97" s="295">
        <f>J130</f>
        <v>0</v>
      </c>
      <c r="F97" s="295">
        <f>J129</f>
        <v>0</v>
      </c>
      <c r="L97" s="2"/>
    </row>
    <row r="98" spans="1:17" ht="24" customHeight="1" thickBot="1" x14ac:dyDescent="0.35">
      <c r="A98" s="3"/>
      <c r="B98" s="303" t="s">
        <v>56</v>
      </c>
      <c r="C98" s="322">
        <f>C95+C97</f>
        <v>0</v>
      </c>
      <c r="D98" s="322">
        <f>J131+J106</f>
        <v>0</v>
      </c>
      <c r="E98" s="322">
        <f>J130+J105</f>
        <v>0</v>
      </c>
      <c r="F98" s="322">
        <f>J129+J104</f>
        <v>0</v>
      </c>
      <c r="L98" s="2"/>
    </row>
    <row r="99" spans="1:17" ht="40.200000000000003" customHeight="1" thickBot="1" x14ac:dyDescent="0.35">
      <c r="A99" s="3"/>
      <c r="B99" s="193" t="s">
        <v>64</v>
      </c>
      <c r="C99" s="301">
        <f>C93-C98</f>
        <v>0</v>
      </c>
      <c r="D99" s="295">
        <f>D100+D101</f>
        <v>0</v>
      </c>
      <c r="E99" s="295">
        <f>E100+E101</f>
        <v>0</v>
      </c>
      <c r="F99" s="295">
        <f>F100+F101</f>
        <v>0</v>
      </c>
      <c r="L99" s="2"/>
    </row>
    <row r="100" spans="1:17" ht="24" customHeight="1" thickBot="1" x14ac:dyDescent="0.35">
      <c r="A100" s="3"/>
      <c r="B100" s="304" t="s">
        <v>155</v>
      </c>
      <c r="C100" s="305">
        <f>F132+F127+F122+F117+F112+F107</f>
        <v>0</v>
      </c>
      <c r="D100" s="306">
        <f>F131+F106+F111+F116+F121+F126</f>
        <v>0</v>
      </c>
      <c r="E100" s="306">
        <f>F130+F105+F110+F115+F120+F125</f>
        <v>0</v>
      </c>
      <c r="F100" s="306">
        <f>F129+F104+F109+F114+F119+F124</f>
        <v>0</v>
      </c>
      <c r="L100" s="2"/>
    </row>
    <row r="101" spans="1:17" ht="24" customHeight="1" thickBot="1" x14ac:dyDescent="0.35">
      <c r="A101" s="3"/>
      <c r="B101" s="307" t="s">
        <v>57</v>
      </c>
      <c r="C101" s="305">
        <f>K107+K112+K117+K122+K127+K132</f>
        <v>0</v>
      </c>
      <c r="D101" s="306">
        <f>K106+K111+K121+K126+K131</f>
        <v>0</v>
      </c>
      <c r="E101" s="306">
        <f>K105+K110+K115+K120+K125+K130</f>
        <v>0</v>
      </c>
      <c r="F101" s="306">
        <f>K104++K109+K114+K119+K124+K129</f>
        <v>0</v>
      </c>
      <c r="L101" s="2"/>
    </row>
    <row r="102" spans="1:17" ht="16.2" thickBot="1" x14ac:dyDescent="0.35">
      <c r="L102" s="2"/>
    </row>
    <row r="103" spans="1:17" ht="47.4" thickBot="1" x14ac:dyDescent="0.35">
      <c r="B103" s="209" t="s">
        <v>121</v>
      </c>
      <c r="C103" s="210">
        <f>C83</f>
        <v>0</v>
      </c>
      <c r="D103" s="207" t="s">
        <v>29</v>
      </c>
      <c r="E103" s="207" t="s">
        <v>151</v>
      </c>
      <c r="F103" s="211" t="s">
        <v>152</v>
      </c>
      <c r="G103" s="79" t="s">
        <v>153</v>
      </c>
      <c r="H103" s="80" t="s">
        <v>54</v>
      </c>
      <c r="I103" s="84" t="s">
        <v>159</v>
      </c>
      <c r="J103" s="81" t="s">
        <v>144</v>
      </c>
      <c r="K103" s="82" t="s">
        <v>49</v>
      </c>
      <c r="L103" s="83" t="s">
        <v>30</v>
      </c>
      <c r="P103" s="2"/>
      <c r="Q103" s="2"/>
    </row>
    <row r="104" spans="1:17" ht="18" x14ac:dyDescent="0.3">
      <c r="B104" s="212" t="s">
        <v>131</v>
      </c>
      <c r="C104" s="29">
        <f>F92</f>
        <v>0</v>
      </c>
      <c r="D104" s="73">
        <f>C103*C104</f>
        <v>0</v>
      </c>
      <c r="E104" s="74">
        <f>D104*$H$93</f>
        <v>0</v>
      </c>
      <c r="F104" s="75">
        <v>0</v>
      </c>
      <c r="G104" s="76">
        <f>E104-F104</f>
        <v>0</v>
      </c>
      <c r="H104" s="141">
        <f>G104</f>
        <v>0</v>
      </c>
      <c r="I104" s="86">
        <f>($H$93)-(($H$93)*$C$81)</f>
        <v>0.25</v>
      </c>
      <c r="J104" s="77">
        <f>I104*D104</f>
        <v>0</v>
      </c>
      <c r="K104" s="78">
        <f>G104-J104</f>
        <v>0</v>
      </c>
      <c r="L104" s="358">
        <f>J107</f>
        <v>0</v>
      </c>
      <c r="O104" s="2"/>
    </row>
    <row r="105" spans="1:17" ht="18" x14ac:dyDescent="0.3">
      <c r="B105" s="213" t="s">
        <v>132</v>
      </c>
      <c r="C105" s="29">
        <f>E92</f>
        <v>0</v>
      </c>
      <c r="D105" s="30">
        <f>C103*C105</f>
        <v>0</v>
      </c>
      <c r="E105" s="31">
        <f>D105*$H$93</f>
        <v>0</v>
      </c>
      <c r="F105" s="7">
        <f>D105/100</f>
        <v>0</v>
      </c>
      <c r="G105" s="8">
        <f>E105-F105</f>
        <v>0</v>
      </c>
      <c r="H105" s="141">
        <f t="shared" ref="H105:H106" si="18">G105</f>
        <v>0</v>
      </c>
      <c r="I105" s="87">
        <f>($H$93-0.01)-(($H$93-0.01)*$C$81)</f>
        <v>0.24</v>
      </c>
      <c r="J105" s="9">
        <f t="shared" ref="J105:J106" si="19">I105*D105</f>
        <v>0</v>
      </c>
      <c r="K105" s="10">
        <f>G105-J105</f>
        <v>0</v>
      </c>
      <c r="L105" s="359"/>
      <c r="O105" s="2"/>
    </row>
    <row r="106" spans="1:17" ht="18" x14ac:dyDescent="0.3">
      <c r="B106" s="213" t="s">
        <v>136</v>
      </c>
      <c r="C106" s="29">
        <f>D92</f>
        <v>0</v>
      </c>
      <c r="D106" s="30">
        <f>C103*C106</f>
        <v>0</v>
      </c>
      <c r="E106" s="31">
        <f>D106*$H$93</f>
        <v>0</v>
      </c>
      <c r="F106" s="7">
        <f>D106/20</f>
        <v>0</v>
      </c>
      <c r="G106" s="8">
        <f>E106-F106</f>
        <v>0</v>
      </c>
      <c r="H106" s="141">
        <f t="shared" si="18"/>
        <v>0</v>
      </c>
      <c r="I106" s="139">
        <f>($H$93-0.05)-(($H$93-0.05)*C81)</f>
        <v>0.2</v>
      </c>
      <c r="J106" s="9">
        <f t="shared" si="19"/>
        <v>0</v>
      </c>
      <c r="K106" s="10">
        <f>G106-J106</f>
        <v>0</v>
      </c>
      <c r="L106" s="359"/>
      <c r="O106" s="2"/>
    </row>
    <row r="107" spans="1:17" s="214" customFormat="1" ht="18.600000000000001" thickBot="1" x14ac:dyDescent="0.35">
      <c r="B107" s="215" t="s">
        <v>35</v>
      </c>
      <c r="C107" s="216">
        <f>SUM(C104:C106)</f>
        <v>0</v>
      </c>
      <c r="D107" s="217">
        <f t="shared" ref="D107:E107" si="20">SUM(D104:D106)</f>
        <v>0</v>
      </c>
      <c r="E107" s="218">
        <f t="shared" si="20"/>
        <v>0</v>
      </c>
      <c r="F107" s="11">
        <f>SUM(F104:F106)</f>
        <v>0</v>
      </c>
      <c r="G107" s="12">
        <f>SUM(G104:G106)</f>
        <v>0</v>
      </c>
      <c r="H107" s="141">
        <f t="shared" ref="H107:K107" si="21">SUM(H104:H106)</f>
        <v>0</v>
      </c>
      <c r="I107" s="88"/>
      <c r="J107" s="11">
        <f t="shared" si="21"/>
        <v>0</v>
      </c>
      <c r="K107" s="13">
        <f t="shared" si="21"/>
        <v>0</v>
      </c>
      <c r="L107" s="360"/>
      <c r="O107" s="14"/>
    </row>
    <row r="108" spans="1:17" ht="47.4" thickBot="1" x14ac:dyDescent="0.35">
      <c r="B108" s="219" t="s">
        <v>122</v>
      </c>
      <c r="C108" s="220">
        <f>D83</f>
        <v>0</v>
      </c>
      <c r="D108" s="221" t="s">
        <v>29</v>
      </c>
      <c r="E108" s="222" t="s">
        <v>151</v>
      </c>
      <c r="F108" s="223" t="s">
        <v>152</v>
      </c>
      <c r="G108" s="97" t="s">
        <v>148</v>
      </c>
      <c r="H108" s="97" t="s">
        <v>54</v>
      </c>
      <c r="I108" s="85" t="s">
        <v>160</v>
      </c>
      <c r="J108" s="98" t="s">
        <v>162</v>
      </c>
      <c r="K108" s="99" t="s">
        <v>49</v>
      </c>
      <c r="L108" s="100" t="s">
        <v>30</v>
      </c>
      <c r="P108" s="2"/>
      <c r="Q108" s="2"/>
    </row>
    <row r="109" spans="1:17" ht="18" x14ac:dyDescent="0.3">
      <c r="B109" s="224" t="s">
        <v>131</v>
      </c>
      <c r="C109" s="90">
        <f>F92</f>
        <v>0</v>
      </c>
      <c r="D109" s="91">
        <f>C108*C109</f>
        <v>0</v>
      </c>
      <c r="E109" s="92">
        <f>D109*$H$93</f>
        <v>0</v>
      </c>
      <c r="F109" s="93">
        <v>0</v>
      </c>
      <c r="G109" s="94">
        <f>E109-F109</f>
        <v>0</v>
      </c>
      <c r="H109" s="142">
        <f>G109</f>
        <v>0</v>
      </c>
      <c r="I109" s="102">
        <f>($H$93)-(($H$93)*D81)</f>
        <v>0.25</v>
      </c>
      <c r="J109" s="95">
        <f>I109*D109</f>
        <v>0</v>
      </c>
      <c r="K109" s="96">
        <f>G109-J109</f>
        <v>0</v>
      </c>
      <c r="L109" s="361">
        <f>J112</f>
        <v>0</v>
      </c>
      <c r="O109" s="2"/>
    </row>
    <row r="110" spans="1:17" ht="18" x14ac:dyDescent="0.3">
      <c r="B110" s="225" t="s">
        <v>132</v>
      </c>
      <c r="C110" s="33">
        <f>E92</f>
        <v>0</v>
      </c>
      <c r="D110" s="34">
        <f>C108*C110</f>
        <v>0</v>
      </c>
      <c r="E110" s="35">
        <f>D110*$H$93</f>
        <v>0</v>
      </c>
      <c r="F110" s="36">
        <f>D110/100</f>
        <v>0</v>
      </c>
      <c r="G110" s="37">
        <f>E110-F110</f>
        <v>0</v>
      </c>
      <c r="H110" s="143">
        <f t="shared" ref="H110:H111" si="22">G110</f>
        <v>0</v>
      </c>
      <c r="I110" s="103">
        <f>($H$93-0.01)-(($H$93-0.01)*D81)</f>
        <v>0.24</v>
      </c>
      <c r="J110" s="38">
        <f t="shared" ref="J110:J111" si="23">I110*D110</f>
        <v>0</v>
      </c>
      <c r="K110" s="39">
        <f>G110-J110</f>
        <v>0</v>
      </c>
      <c r="L110" s="362"/>
      <c r="O110" s="2"/>
    </row>
    <row r="111" spans="1:17" ht="18" x14ac:dyDescent="0.3">
      <c r="B111" s="225" t="s">
        <v>136</v>
      </c>
      <c r="C111" s="33">
        <f>D92</f>
        <v>0</v>
      </c>
      <c r="D111" s="34">
        <f>C108*C111</f>
        <v>0</v>
      </c>
      <c r="E111" s="35">
        <f>D111*$H$93</f>
        <v>0</v>
      </c>
      <c r="F111" s="36">
        <f>D111/20</f>
        <v>0</v>
      </c>
      <c r="G111" s="37">
        <f>E111-F111</f>
        <v>0</v>
      </c>
      <c r="H111" s="143">
        <f t="shared" si="22"/>
        <v>0</v>
      </c>
      <c r="I111" s="103">
        <f>($H$93-0.05)-(($H$93-0.05)*D81)</f>
        <v>0.2</v>
      </c>
      <c r="J111" s="38">
        <f t="shared" si="23"/>
        <v>0</v>
      </c>
      <c r="K111" s="39">
        <f>G111-J111</f>
        <v>0</v>
      </c>
      <c r="L111" s="362"/>
      <c r="O111" s="2"/>
    </row>
    <row r="112" spans="1:17" s="214" customFormat="1" ht="18.600000000000001" thickBot="1" x14ac:dyDescent="0.35">
      <c r="B112" s="226" t="s">
        <v>35</v>
      </c>
      <c r="C112" s="227">
        <f t="shared" ref="C112:E112" si="24">SUM(C109:C111)</f>
        <v>0</v>
      </c>
      <c r="D112" s="228">
        <f t="shared" si="24"/>
        <v>0</v>
      </c>
      <c r="E112" s="229">
        <f t="shared" si="24"/>
        <v>0</v>
      </c>
      <c r="F112" s="40">
        <f>SUM(F109:F111)</f>
        <v>0</v>
      </c>
      <c r="G112" s="41">
        <f>SUM(G109:G111)</f>
        <v>0</v>
      </c>
      <c r="H112" s="41">
        <f t="shared" ref="H112" si="25">SUM(H109:H111)</f>
        <v>0</v>
      </c>
      <c r="I112" s="89"/>
      <c r="J112" s="40">
        <f t="shared" ref="J112:K112" si="26">SUM(J109:J111)</f>
        <v>0</v>
      </c>
      <c r="K112" s="42">
        <f t="shared" si="26"/>
        <v>0</v>
      </c>
      <c r="L112" s="363"/>
      <c r="O112" s="14"/>
    </row>
    <row r="113" spans="2:17" ht="47.4" thickBot="1" x14ac:dyDescent="0.35">
      <c r="B113" s="209" t="s">
        <v>123</v>
      </c>
      <c r="C113" s="210">
        <f>E83</f>
        <v>0</v>
      </c>
      <c r="D113" s="230" t="s">
        <v>29</v>
      </c>
      <c r="E113" s="207" t="s">
        <v>151</v>
      </c>
      <c r="F113" s="211" t="s">
        <v>158</v>
      </c>
      <c r="G113" s="79" t="s">
        <v>153</v>
      </c>
      <c r="H113" s="82" t="s">
        <v>54</v>
      </c>
      <c r="I113" s="84" t="s">
        <v>160</v>
      </c>
      <c r="J113" s="81" t="s">
        <v>144</v>
      </c>
      <c r="K113" s="82" t="s">
        <v>49</v>
      </c>
      <c r="L113" s="83" t="s">
        <v>30</v>
      </c>
      <c r="P113" s="2"/>
      <c r="Q113" s="2"/>
    </row>
    <row r="114" spans="2:17" ht="18" x14ac:dyDescent="0.3">
      <c r="B114" s="212" t="s">
        <v>131</v>
      </c>
      <c r="C114" s="101">
        <f>F92</f>
        <v>0</v>
      </c>
      <c r="D114" s="73">
        <f>C113*C114</f>
        <v>0</v>
      </c>
      <c r="E114" s="74">
        <f>D114*$H$93</f>
        <v>0</v>
      </c>
      <c r="F114" s="75">
        <v>0</v>
      </c>
      <c r="G114" s="76">
        <f>E114-F114</f>
        <v>0</v>
      </c>
      <c r="H114" s="140">
        <f>G114</f>
        <v>0</v>
      </c>
      <c r="I114" s="86">
        <f>($H$93)-(($H$93)*E81)</f>
        <v>0.25</v>
      </c>
      <c r="J114" s="77">
        <f>I114*D114</f>
        <v>0</v>
      </c>
      <c r="K114" s="78">
        <f>G114-J114</f>
        <v>0</v>
      </c>
      <c r="L114" s="358">
        <f>J117</f>
        <v>0</v>
      </c>
      <c r="O114" s="2"/>
    </row>
    <row r="115" spans="2:17" ht="18" x14ac:dyDescent="0.3">
      <c r="B115" s="213" t="s">
        <v>132</v>
      </c>
      <c r="C115" s="29">
        <f>E92</f>
        <v>0</v>
      </c>
      <c r="D115" s="30">
        <f>C113*C115</f>
        <v>0</v>
      </c>
      <c r="E115" s="31">
        <f>D115*$H$93</f>
        <v>0</v>
      </c>
      <c r="F115" s="7">
        <f>D115/100</f>
        <v>0</v>
      </c>
      <c r="G115" s="8">
        <f>E115-F115</f>
        <v>0</v>
      </c>
      <c r="H115" s="141">
        <f t="shared" ref="H115:H116" si="27">G115</f>
        <v>0</v>
      </c>
      <c r="I115" s="87">
        <f>($H$93-0.01)-(($H$93-0.01)*E81)</f>
        <v>0.24</v>
      </c>
      <c r="J115" s="9">
        <f t="shared" ref="J115:J116" si="28">I115*D115</f>
        <v>0</v>
      </c>
      <c r="K115" s="10">
        <f>G115-J115</f>
        <v>0</v>
      </c>
      <c r="L115" s="359"/>
      <c r="O115" s="2"/>
    </row>
    <row r="116" spans="2:17" ht="18" x14ac:dyDescent="0.3">
      <c r="B116" s="213" t="s">
        <v>136</v>
      </c>
      <c r="C116" s="29">
        <f>D92</f>
        <v>0</v>
      </c>
      <c r="D116" s="30">
        <f>C113*C116</f>
        <v>0</v>
      </c>
      <c r="E116" s="31">
        <f>D116*$H$93</f>
        <v>0</v>
      </c>
      <c r="F116" s="7">
        <f>D116/20</f>
        <v>0</v>
      </c>
      <c r="G116" s="8">
        <f>E116-F116</f>
        <v>0</v>
      </c>
      <c r="H116" s="141">
        <f t="shared" si="27"/>
        <v>0</v>
      </c>
      <c r="I116" s="139">
        <f>($H$93-0.05)-(($H$93-0.05)*E81)</f>
        <v>0.2</v>
      </c>
      <c r="J116" s="9">
        <f t="shared" si="28"/>
        <v>0</v>
      </c>
      <c r="K116" s="10">
        <f>G116-J116</f>
        <v>0</v>
      </c>
      <c r="L116" s="359"/>
      <c r="O116" s="2"/>
    </row>
    <row r="117" spans="2:17" s="214" customFormat="1" ht="18.600000000000001" thickBot="1" x14ac:dyDescent="0.35">
      <c r="B117" s="215" t="s">
        <v>35</v>
      </c>
      <c r="C117" s="216">
        <f t="shared" ref="C117:E117" si="29">SUM(C114:C116)</f>
        <v>0</v>
      </c>
      <c r="D117" s="217">
        <f t="shared" si="29"/>
        <v>0</v>
      </c>
      <c r="E117" s="218">
        <f t="shared" si="29"/>
        <v>0</v>
      </c>
      <c r="F117" s="11">
        <f>SUM(F114:F116)</f>
        <v>0</v>
      </c>
      <c r="G117" s="12">
        <f>SUM(G114:G116)</f>
        <v>0</v>
      </c>
      <c r="H117" s="13">
        <f t="shared" ref="H117" si="30">SUM(H114:H116)</f>
        <v>0</v>
      </c>
      <c r="I117" s="88"/>
      <c r="J117" s="11">
        <f t="shared" ref="J117:K117" si="31">SUM(J114:J116)</f>
        <v>0</v>
      </c>
      <c r="K117" s="13">
        <f t="shared" si="31"/>
        <v>0</v>
      </c>
      <c r="L117" s="360"/>
      <c r="O117" s="14"/>
    </row>
    <row r="118" spans="2:17" ht="47.4" thickBot="1" x14ac:dyDescent="0.35">
      <c r="B118" s="219" t="s">
        <v>124</v>
      </c>
      <c r="C118" s="220">
        <f>F83</f>
        <v>0</v>
      </c>
      <c r="D118" s="221" t="s">
        <v>29</v>
      </c>
      <c r="E118" s="222" t="s">
        <v>151</v>
      </c>
      <c r="F118" s="223" t="s">
        <v>158</v>
      </c>
      <c r="G118" s="97" t="s">
        <v>148</v>
      </c>
      <c r="H118" s="99" t="s">
        <v>54</v>
      </c>
      <c r="I118" s="85" t="s">
        <v>161</v>
      </c>
      <c r="J118" s="98" t="s">
        <v>163</v>
      </c>
      <c r="K118" s="99" t="s">
        <v>49</v>
      </c>
      <c r="L118" s="100" t="s">
        <v>30</v>
      </c>
      <c r="P118" s="2"/>
      <c r="Q118" s="2"/>
    </row>
    <row r="119" spans="2:17" ht="18" x14ac:dyDescent="0.3">
      <c r="B119" s="224" t="s">
        <v>131</v>
      </c>
      <c r="C119" s="90">
        <f>F92</f>
        <v>0</v>
      </c>
      <c r="D119" s="91">
        <f>C118*C119</f>
        <v>0</v>
      </c>
      <c r="E119" s="92">
        <f>D119*$H$93</f>
        <v>0</v>
      </c>
      <c r="F119" s="93">
        <v>0</v>
      </c>
      <c r="G119" s="94">
        <f>E119-F119</f>
        <v>0</v>
      </c>
      <c r="H119" s="144">
        <f>G119</f>
        <v>0</v>
      </c>
      <c r="I119" s="102">
        <f>($H$93)-(($H$93)*F81)</f>
        <v>0.25</v>
      </c>
      <c r="J119" s="95">
        <f>I119*D119</f>
        <v>0</v>
      </c>
      <c r="K119" s="96">
        <f>G119-J119</f>
        <v>0</v>
      </c>
      <c r="L119" s="361">
        <f>J122</f>
        <v>0</v>
      </c>
      <c r="O119" s="2"/>
    </row>
    <row r="120" spans="2:17" ht="18" x14ac:dyDescent="0.3">
      <c r="B120" s="225" t="s">
        <v>132</v>
      </c>
      <c r="C120" s="33">
        <f>E92</f>
        <v>0</v>
      </c>
      <c r="D120" s="34">
        <f>C118*C120</f>
        <v>0</v>
      </c>
      <c r="E120" s="35">
        <f>D120*$H$93</f>
        <v>0</v>
      </c>
      <c r="F120" s="36">
        <f>D120/100</f>
        <v>0</v>
      </c>
      <c r="G120" s="37">
        <f>E120-F120</f>
        <v>0</v>
      </c>
      <c r="H120" s="145">
        <f t="shared" ref="H120:H121" si="32">G120</f>
        <v>0</v>
      </c>
      <c r="I120" s="103">
        <f>($H$93-0.01)-(($H$93-0.01)*F81)</f>
        <v>0.24</v>
      </c>
      <c r="J120" s="38">
        <f t="shared" ref="J120:J121" si="33">I120*D120</f>
        <v>0</v>
      </c>
      <c r="K120" s="39">
        <f>G120-J120</f>
        <v>0</v>
      </c>
      <c r="L120" s="362"/>
      <c r="O120" s="2"/>
    </row>
    <row r="121" spans="2:17" ht="18" x14ac:dyDescent="0.3">
      <c r="B121" s="225" t="s">
        <v>136</v>
      </c>
      <c r="C121" s="33">
        <f>D92</f>
        <v>0</v>
      </c>
      <c r="D121" s="34">
        <f>C118*C121</f>
        <v>0</v>
      </c>
      <c r="E121" s="35">
        <f>D121*$H$93</f>
        <v>0</v>
      </c>
      <c r="F121" s="36">
        <f>D121/20</f>
        <v>0</v>
      </c>
      <c r="G121" s="37">
        <f>E121-F121</f>
        <v>0</v>
      </c>
      <c r="H121" s="145">
        <f t="shared" si="32"/>
        <v>0</v>
      </c>
      <c r="I121" s="103">
        <f>($H$93-0.05)-(($H$93-0.05)*F81)</f>
        <v>0.2</v>
      </c>
      <c r="J121" s="38">
        <f t="shared" si="33"/>
        <v>0</v>
      </c>
      <c r="K121" s="39">
        <f>G121-J121</f>
        <v>0</v>
      </c>
      <c r="L121" s="362"/>
      <c r="O121" s="2"/>
    </row>
    <row r="122" spans="2:17" s="214" customFormat="1" ht="18.600000000000001" thickBot="1" x14ac:dyDescent="0.35">
      <c r="B122" s="226" t="s">
        <v>35</v>
      </c>
      <c r="C122" s="227">
        <f t="shared" ref="C122:E122" si="34">SUM(C119:C121)</f>
        <v>0</v>
      </c>
      <c r="D122" s="228">
        <f t="shared" si="34"/>
        <v>0</v>
      </c>
      <c r="E122" s="229">
        <f t="shared" si="34"/>
        <v>0</v>
      </c>
      <c r="F122" s="40">
        <f>SUM(F119:F121)</f>
        <v>0</v>
      </c>
      <c r="G122" s="41">
        <f>SUM(G119:G121)</f>
        <v>0</v>
      </c>
      <c r="H122" s="42">
        <f t="shared" ref="H122" si="35">SUM(H119:H121)</f>
        <v>0</v>
      </c>
      <c r="I122" s="89"/>
      <c r="J122" s="40">
        <f t="shared" ref="J122:K122" si="36">SUM(J119:J121)</f>
        <v>0</v>
      </c>
      <c r="K122" s="42">
        <f t="shared" si="36"/>
        <v>0</v>
      </c>
      <c r="L122" s="363"/>
      <c r="O122" s="14"/>
    </row>
    <row r="123" spans="2:17" ht="47.4" thickBot="1" x14ac:dyDescent="0.35">
      <c r="B123" s="209" t="s">
        <v>125</v>
      </c>
      <c r="C123" s="210">
        <f>G83</f>
        <v>0</v>
      </c>
      <c r="D123" s="230" t="s">
        <v>29</v>
      </c>
      <c r="E123" s="207" t="s">
        <v>151</v>
      </c>
      <c r="F123" s="211" t="s">
        <v>158</v>
      </c>
      <c r="G123" s="79" t="s">
        <v>153</v>
      </c>
      <c r="H123" s="82" t="s">
        <v>54</v>
      </c>
      <c r="I123" s="84" t="s">
        <v>159</v>
      </c>
      <c r="J123" s="81" t="s">
        <v>143</v>
      </c>
      <c r="K123" s="82" t="s">
        <v>49</v>
      </c>
      <c r="L123" s="83" t="s">
        <v>30</v>
      </c>
      <c r="P123" s="2"/>
      <c r="Q123" s="2"/>
    </row>
    <row r="124" spans="2:17" ht="18" x14ac:dyDescent="0.3">
      <c r="B124" s="212" t="s">
        <v>131</v>
      </c>
      <c r="C124" s="101">
        <f>F92</f>
        <v>0</v>
      </c>
      <c r="D124" s="73">
        <f>C123*C124</f>
        <v>0</v>
      </c>
      <c r="E124" s="74">
        <f>D124*$H$93</f>
        <v>0</v>
      </c>
      <c r="F124" s="75">
        <v>0</v>
      </c>
      <c r="G124" s="76">
        <f>E124-F124</f>
        <v>0</v>
      </c>
      <c r="H124" s="140">
        <f>G124</f>
        <v>0</v>
      </c>
      <c r="I124" s="86">
        <f>($H$93)-(($H$93)*G81)</f>
        <v>0.25</v>
      </c>
      <c r="J124" s="77">
        <f>I124*D124</f>
        <v>0</v>
      </c>
      <c r="K124" s="78">
        <f>G124-J124</f>
        <v>0</v>
      </c>
      <c r="L124" s="358">
        <f>J127</f>
        <v>0</v>
      </c>
      <c r="O124" s="2"/>
    </row>
    <row r="125" spans="2:17" ht="18" x14ac:dyDescent="0.3">
      <c r="B125" s="213" t="s">
        <v>132</v>
      </c>
      <c r="C125" s="29">
        <f>E92</f>
        <v>0</v>
      </c>
      <c r="D125" s="30">
        <f>C123*C125</f>
        <v>0</v>
      </c>
      <c r="E125" s="31">
        <f>D125*$H$93</f>
        <v>0</v>
      </c>
      <c r="F125" s="7">
        <f>D125/100</f>
        <v>0</v>
      </c>
      <c r="G125" s="8">
        <f>E125-F125</f>
        <v>0</v>
      </c>
      <c r="H125" s="141">
        <f t="shared" ref="H125:H126" si="37">G125</f>
        <v>0</v>
      </c>
      <c r="I125" s="87">
        <f>($H$93-0.01)-(($H$93-0.01)*G81)</f>
        <v>0.24</v>
      </c>
      <c r="J125" s="9">
        <f t="shared" ref="J125:J126" si="38">I125*D125</f>
        <v>0</v>
      </c>
      <c r="K125" s="10">
        <f>G125-J125</f>
        <v>0</v>
      </c>
      <c r="L125" s="359"/>
      <c r="O125" s="2"/>
    </row>
    <row r="126" spans="2:17" ht="18" x14ac:dyDescent="0.3">
      <c r="B126" s="213" t="s">
        <v>136</v>
      </c>
      <c r="C126" s="29">
        <f>D92</f>
        <v>0</v>
      </c>
      <c r="D126" s="30">
        <f>C123*C126</f>
        <v>0</v>
      </c>
      <c r="E126" s="31">
        <f>D126*$H$93</f>
        <v>0</v>
      </c>
      <c r="F126" s="7">
        <f>D126/20</f>
        <v>0</v>
      </c>
      <c r="G126" s="8">
        <f>E126-F126</f>
        <v>0</v>
      </c>
      <c r="H126" s="141">
        <f t="shared" si="37"/>
        <v>0</v>
      </c>
      <c r="I126" s="139">
        <f>($H$93-0.05)-(($H$93-0.05)*G81)</f>
        <v>0.2</v>
      </c>
      <c r="J126" s="9">
        <f t="shared" si="38"/>
        <v>0</v>
      </c>
      <c r="K126" s="10">
        <f>G126-J126</f>
        <v>0</v>
      </c>
      <c r="L126" s="359"/>
      <c r="O126" s="2"/>
    </row>
    <row r="127" spans="2:17" s="214" customFormat="1" ht="18.600000000000001" thickBot="1" x14ac:dyDescent="0.35">
      <c r="B127" s="215" t="s">
        <v>35</v>
      </c>
      <c r="C127" s="216">
        <f t="shared" ref="C127:E127" si="39">SUM(C124:C126)</f>
        <v>0</v>
      </c>
      <c r="D127" s="217">
        <f t="shared" si="39"/>
        <v>0</v>
      </c>
      <c r="E127" s="218">
        <f t="shared" si="39"/>
        <v>0</v>
      </c>
      <c r="F127" s="11">
        <f>SUM(F124:F126)</f>
        <v>0</v>
      </c>
      <c r="G127" s="12">
        <f>SUM(G124:G126)</f>
        <v>0</v>
      </c>
      <c r="H127" s="13">
        <f t="shared" ref="H127" si="40">SUM(H124:H126)</f>
        <v>0</v>
      </c>
      <c r="I127" s="88"/>
      <c r="J127" s="11">
        <f t="shared" ref="J127:K127" si="41">SUM(J124:J126)</f>
        <v>0</v>
      </c>
      <c r="K127" s="13">
        <f t="shared" si="41"/>
        <v>0</v>
      </c>
      <c r="L127" s="360"/>
      <c r="O127" s="14"/>
    </row>
    <row r="128" spans="2:17" ht="47.4" thickBot="1" x14ac:dyDescent="0.35">
      <c r="B128" s="231" t="s">
        <v>34</v>
      </c>
      <c r="C128" s="232">
        <f>IF(C84&lt;=0,0,C84)</f>
        <v>0</v>
      </c>
      <c r="D128" s="233" t="s">
        <v>29</v>
      </c>
      <c r="E128" s="234" t="s">
        <v>154</v>
      </c>
      <c r="F128" s="43" t="s">
        <v>158</v>
      </c>
      <c r="G128" s="44" t="s">
        <v>148</v>
      </c>
      <c r="H128" s="364" t="s">
        <v>59</v>
      </c>
      <c r="I128" s="365"/>
      <c r="J128" s="105" t="s">
        <v>55</v>
      </c>
      <c r="K128" s="109" t="s">
        <v>49</v>
      </c>
      <c r="L128" s="105" t="s">
        <v>30</v>
      </c>
      <c r="O128" s="2"/>
    </row>
    <row r="129" spans="2:15" ht="18" x14ac:dyDescent="0.3">
      <c r="B129" s="235" t="s">
        <v>131</v>
      </c>
      <c r="C129" s="45">
        <f>F92</f>
        <v>0</v>
      </c>
      <c r="D129" s="46">
        <f>C128*C129</f>
        <v>0</v>
      </c>
      <c r="E129" s="47">
        <f>D129*$H$93</f>
        <v>0</v>
      </c>
      <c r="F129" s="48">
        <v>0</v>
      </c>
      <c r="G129" s="49">
        <f>E129-F129</f>
        <v>0</v>
      </c>
      <c r="H129" s="366"/>
      <c r="I129" s="367"/>
      <c r="J129" s="106">
        <f>G129</f>
        <v>0</v>
      </c>
      <c r="K129" s="236">
        <f>G129-J129</f>
        <v>0</v>
      </c>
      <c r="L129" s="370">
        <f>J132</f>
        <v>0</v>
      </c>
      <c r="O129" s="2"/>
    </row>
    <row r="130" spans="2:15" ht="18" x14ac:dyDescent="0.3">
      <c r="B130" s="237" t="s">
        <v>132</v>
      </c>
      <c r="C130" s="45">
        <f>E92</f>
        <v>0</v>
      </c>
      <c r="D130" s="46">
        <f>C130*C128</f>
        <v>0</v>
      </c>
      <c r="E130" s="47">
        <f>D130*$H$93</f>
        <v>0</v>
      </c>
      <c r="F130" s="48">
        <f>D130/100</f>
        <v>0</v>
      </c>
      <c r="G130" s="49">
        <f t="shared" ref="G130" si="42">E130-F130</f>
        <v>0</v>
      </c>
      <c r="H130" s="366"/>
      <c r="I130" s="367"/>
      <c r="J130" s="107">
        <f t="shared" ref="J130:K132" si="43">G130</f>
        <v>0</v>
      </c>
      <c r="K130" s="238">
        <f t="shared" ref="K130:K131" si="44">G130-J130</f>
        <v>0</v>
      </c>
      <c r="L130" s="367"/>
      <c r="O130" s="2"/>
    </row>
    <row r="131" spans="2:15" ht="18" x14ac:dyDescent="0.3">
      <c r="B131" s="237" t="s">
        <v>136</v>
      </c>
      <c r="C131" s="45">
        <f>D92</f>
        <v>0</v>
      </c>
      <c r="D131" s="46">
        <f>C131*C128</f>
        <v>0</v>
      </c>
      <c r="E131" s="47">
        <f>D131*$H$93</f>
        <v>0</v>
      </c>
      <c r="F131" s="48">
        <f>D131/20</f>
        <v>0</v>
      </c>
      <c r="G131" s="49">
        <f>E131-F131</f>
        <v>0</v>
      </c>
      <c r="H131" s="366"/>
      <c r="I131" s="367"/>
      <c r="J131" s="107">
        <f t="shared" si="43"/>
        <v>0</v>
      </c>
      <c r="K131" s="238">
        <f t="shared" si="44"/>
        <v>0</v>
      </c>
      <c r="L131" s="367"/>
      <c r="O131" s="2"/>
    </row>
    <row r="132" spans="2:15" s="214" customFormat="1" ht="18.600000000000001" thickBot="1" x14ac:dyDescent="0.35">
      <c r="B132" s="239" t="s">
        <v>35</v>
      </c>
      <c r="C132" s="240">
        <f t="shared" ref="C132:E132" si="45">SUM(C129:C131)</f>
        <v>0</v>
      </c>
      <c r="D132" s="241">
        <f>SUM(D129:D131)</f>
        <v>0</v>
      </c>
      <c r="E132" s="242">
        <f t="shared" si="45"/>
        <v>0</v>
      </c>
      <c r="F132" s="50">
        <f>SUM(F129:F131)</f>
        <v>0</v>
      </c>
      <c r="G132" s="51">
        <f>SUM(G129:G131)</f>
        <v>0</v>
      </c>
      <c r="H132" s="366"/>
      <c r="I132" s="367"/>
      <c r="J132" s="108">
        <f t="shared" si="43"/>
        <v>0</v>
      </c>
      <c r="K132" s="52">
        <f t="shared" si="43"/>
        <v>0</v>
      </c>
      <c r="L132" s="369"/>
      <c r="O132" s="14"/>
    </row>
    <row r="133" spans="2:15" ht="30.6" customHeight="1" thickBot="1" x14ac:dyDescent="0.35">
      <c r="B133" s="243" t="s">
        <v>36</v>
      </c>
      <c r="C133" s="244">
        <f>C103+C128+C108+C113+C118+C123</f>
        <v>0</v>
      </c>
      <c r="D133" s="245">
        <f>D107+D132+D112+D117+D122+D127</f>
        <v>0</v>
      </c>
      <c r="E133" s="246">
        <f>E107+E132+E112+E117+E122+E127</f>
        <v>0</v>
      </c>
      <c r="F133" s="247">
        <f>F107+F132+F112+F117+F122+F127</f>
        <v>0</v>
      </c>
      <c r="G133" s="247">
        <f>G107+G132+G112+G117+G122+G127</f>
        <v>0</v>
      </c>
      <c r="H133" s="368"/>
      <c r="I133" s="369"/>
      <c r="J133" s="248">
        <f>J107+J132+J112+J117+J122+J127</f>
        <v>0</v>
      </c>
      <c r="K133" s="249">
        <f>K132+K107+K112+K117+K122+K127</f>
        <v>0</v>
      </c>
      <c r="L133" s="250">
        <f>L104+L129+L109+L114+L119+L124</f>
        <v>0</v>
      </c>
      <c r="O133" s="2"/>
    </row>
    <row r="134" spans="2:15" ht="16.2" thickBot="1" x14ac:dyDescent="0.35">
      <c r="L134" s="2"/>
    </row>
    <row r="135" spans="2:15" ht="29.4" customHeight="1" thickBot="1" x14ac:dyDescent="0.35">
      <c r="B135" s="353" t="s">
        <v>38</v>
      </c>
      <c r="C135" s="354"/>
      <c r="D135" s="354"/>
      <c r="E135" s="355"/>
      <c r="H135" s="64"/>
      <c r="L135" s="155"/>
    </row>
    <row r="136" spans="2:15" ht="51" customHeight="1" x14ac:dyDescent="0.3">
      <c r="B136" s="251" t="s">
        <v>39</v>
      </c>
      <c r="C136" s="252">
        <f>C103+C108+C113+C118+C123</f>
        <v>0</v>
      </c>
      <c r="D136" s="253">
        <f>E107+E112+E117+E122+E127</f>
        <v>0</v>
      </c>
      <c r="E136" s="254" t="s">
        <v>149</v>
      </c>
      <c r="H136" s="64"/>
      <c r="L136" s="155"/>
    </row>
    <row r="137" spans="2:15" ht="84" x14ac:dyDescent="0.3">
      <c r="B137" s="356"/>
      <c r="C137" s="357"/>
      <c r="D137" s="255">
        <f>G107+G112+G117+G122++G127</f>
        <v>0</v>
      </c>
      <c r="E137" s="256" t="s">
        <v>157</v>
      </c>
      <c r="H137" s="64"/>
      <c r="L137" s="155"/>
    </row>
    <row r="138" spans="2:15" ht="39.6" customHeight="1" x14ac:dyDescent="0.3">
      <c r="B138" s="356"/>
      <c r="C138" s="357"/>
      <c r="D138" s="255">
        <f>K107+K112+K117+K122+K127</f>
        <v>0</v>
      </c>
      <c r="E138" s="256" t="s">
        <v>41</v>
      </c>
      <c r="H138" s="64"/>
      <c r="L138" s="155"/>
    </row>
    <row r="139" spans="2:15" ht="45.6" customHeight="1" thickBot="1" x14ac:dyDescent="0.35">
      <c r="B139" s="257" t="s">
        <v>40</v>
      </c>
      <c r="C139" s="67">
        <f>IFERROR(D139/C136,0)</f>
        <v>0</v>
      </c>
      <c r="D139" s="132">
        <f>L104+L109+L114+L119+L124</f>
        <v>0</v>
      </c>
      <c r="E139" s="258" t="s">
        <v>46</v>
      </c>
      <c r="H139" s="64"/>
      <c r="L139" s="155"/>
    </row>
    <row r="140" spans="2:15" ht="66.599999999999994" customHeight="1" x14ac:dyDescent="0.3">
      <c r="B140" s="259" t="s">
        <v>165</v>
      </c>
      <c r="C140" s="133">
        <f>D131</f>
        <v>0</v>
      </c>
      <c r="D140" s="68">
        <f>E131</f>
        <v>0</v>
      </c>
      <c r="E140" s="260" t="s">
        <v>137</v>
      </c>
      <c r="H140" s="64"/>
      <c r="L140" s="155"/>
    </row>
    <row r="141" spans="2:15" ht="35.4" customHeight="1" x14ac:dyDescent="0.3">
      <c r="B141" s="261"/>
      <c r="C141" s="69"/>
      <c r="D141" s="70">
        <f>F131</f>
        <v>0</v>
      </c>
      <c r="E141" s="262" t="s">
        <v>138</v>
      </c>
      <c r="H141" s="64"/>
      <c r="L141" s="155"/>
    </row>
    <row r="142" spans="2:15" ht="63.6" thickBot="1" x14ac:dyDescent="0.35">
      <c r="B142" s="263" t="s">
        <v>60</v>
      </c>
      <c r="C142" s="72">
        <f>IFERROR(D142/C140,0)</f>
        <v>0</v>
      </c>
      <c r="D142" s="134">
        <f>G131</f>
        <v>0</v>
      </c>
      <c r="E142" s="264" t="s">
        <v>139</v>
      </c>
      <c r="H142" s="64"/>
      <c r="L142" s="155"/>
    </row>
    <row r="143" spans="2:15" ht="64.2" customHeight="1" x14ac:dyDescent="0.3">
      <c r="B143" s="265" t="s">
        <v>166</v>
      </c>
      <c r="C143" s="135">
        <f>D130</f>
        <v>0</v>
      </c>
      <c r="D143" s="128">
        <f>E130</f>
        <v>0</v>
      </c>
      <c r="E143" s="266" t="s">
        <v>45</v>
      </c>
      <c r="H143" s="64"/>
      <c r="L143" s="155"/>
    </row>
    <row r="144" spans="2:15" ht="37.799999999999997" customHeight="1" x14ac:dyDescent="0.3">
      <c r="B144" s="267"/>
      <c r="C144" s="129"/>
      <c r="D144" s="130">
        <f>F130</f>
        <v>0</v>
      </c>
      <c r="E144" s="268" t="s">
        <v>47</v>
      </c>
      <c r="H144" s="64"/>
      <c r="L144" s="155"/>
    </row>
    <row r="145" spans="2:12" ht="72" customHeight="1" thickBot="1" x14ac:dyDescent="0.35">
      <c r="B145" s="269" t="s">
        <v>42</v>
      </c>
      <c r="C145" s="131">
        <f>IFERROR(D145/C143,0)</f>
        <v>0</v>
      </c>
      <c r="D145" s="136">
        <f>G130</f>
        <v>0</v>
      </c>
      <c r="E145" s="268" t="s">
        <v>61</v>
      </c>
      <c r="H145" s="64"/>
      <c r="L145" s="155"/>
    </row>
    <row r="146" spans="2:12" ht="42" x14ac:dyDescent="0.3">
      <c r="B146" s="270" t="s">
        <v>43</v>
      </c>
      <c r="C146" s="271">
        <f>D129</f>
        <v>0</v>
      </c>
      <c r="D146" s="71">
        <f>J129</f>
        <v>0</v>
      </c>
      <c r="E146" s="272" t="s">
        <v>62</v>
      </c>
      <c r="H146" s="64"/>
      <c r="L146" s="155"/>
    </row>
    <row r="147" spans="2:12" ht="21.6" thickBot="1" x14ac:dyDescent="0.35">
      <c r="B147" s="273"/>
      <c r="C147" s="274">
        <f>IFERROR(D146/C146,0)</f>
        <v>0</v>
      </c>
      <c r="D147" s="275"/>
      <c r="E147" s="276"/>
      <c r="H147" s="64"/>
      <c r="L147" s="155"/>
    </row>
    <row r="148" spans="2:12" ht="28.95" customHeight="1" thickBot="1" x14ac:dyDescent="0.35">
      <c r="B148" s="277" t="s">
        <v>44</v>
      </c>
      <c r="C148" s="278">
        <f>C136+C143+C140+C146</f>
        <v>0</v>
      </c>
      <c r="D148" s="279">
        <f>D139+D145+D142+D146</f>
        <v>0</v>
      </c>
      <c r="E148" s="280"/>
      <c r="H148" s="64"/>
      <c r="L148" s="155"/>
    </row>
    <row r="149" spans="2:12" ht="28.95" customHeight="1" x14ac:dyDescent="0.3">
      <c r="B149" s="281"/>
      <c r="C149" s="282"/>
      <c r="D149" s="283"/>
      <c r="E149" s="282"/>
      <c r="H149" s="65"/>
      <c r="L149" s="155"/>
    </row>
  </sheetData>
  <mergeCells count="24">
    <mergeCell ref="B135:E135"/>
    <mergeCell ref="B137:C138"/>
    <mergeCell ref="L104:L107"/>
    <mergeCell ref="L109:L112"/>
    <mergeCell ref="L114:L117"/>
    <mergeCell ref="L119:L122"/>
    <mergeCell ref="L124:L127"/>
    <mergeCell ref="H128:I133"/>
    <mergeCell ref="L129:L132"/>
    <mergeCell ref="C85:G85"/>
    <mergeCell ref="B87:B89"/>
    <mergeCell ref="C87:C88"/>
    <mergeCell ref="D87:D88"/>
    <mergeCell ref="E87:E88"/>
    <mergeCell ref="F87:F88"/>
    <mergeCell ref="C84:G84"/>
    <mergeCell ref="B2:B3"/>
    <mergeCell ref="B60:C60"/>
    <mergeCell ref="B61:C61"/>
    <mergeCell ref="B72:B73"/>
    <mergeCell ref="B74:C74"/>
    <mergeCell ref="B75:C75"/>
    <mergeCell ref="B79:D79"/>
    <mergeCell ref="C82:G82"/>
  </mergeCells>
  <conditionalFormatting sqref="E70 C50:F59 C4:F47 C63:C70">
    <cfRule type="cellIs" dxfId="60" priority="228" operator="lessThan">
      <formula>0</formula>
    </cfRule>
  </conditionalFormatting>
  <conditionalFormatting sqref="C48:F49">
    <cfRule type="cellIs" dxfId="59" priority="206" operator="lessThan">
      <formula>0</formula>
    </cfRule>
  </conditionalFormatting>
  <conditionalFormatting sqref="C77">
    <cfRule type="cellIs" dxfId="58" priority="71" operator="lessThan">
      <formula>0</formula>
    </cfRule>
  </conditionalFormatting>
  <conditionalFormatting sqref="C77">
    <cfRule type="cellIs" dxfId="57" priority="70" operator="lessThan">
      <formula>0</formula>
    </cfRule>
  </conditionalFormatting>
  <conditionalFormatting sqref="C82">
    <cfRule type="cellIs" dxfId="56" priority="69" operator="lessThan">
      <formula>0</formula>
    </cfRule>
  </conditionalFormatting>
  <conditionalFormatting sqref="C84:C85">
    <cfRule type="cellIs" dxfId="55" priority="68" operator="lessThan">
      <formula>0</formula>
    </cfRule>
  </conditionalFormatting>
  <conditionalFormatting sqref="D60:F60">
    <cfRule type="cellIs" dxfId="54" priority="43" operator="lessThan">
      <formula>0</formula>
    </cfRule>
  </conditionalFormatting>
  <conditionalFormatting sqref="D74:F74">
    <cfRule type="cellIs" dxfId="53" priority="41" operator="lessThan">
      <formula>0</formula>
    </cfRule>
  </conditionalFormatting>
  <conditionalFormatting sqref="C73">
    <cfRule type="cellIs" dxfId="52" priority="40" operator="lessThan">
      <formula>0</formula>
    </cfRule>
  </conditionalFormatting>
  <conditionalFormatting sqref="C91:F91 C92:C96 C90">
    <cfRule type="cellIs" dxfId="51" priority="39" operator="lessThan">
      <formula>0</formula>
    </cfRule>
  </conditionalFormatting>
  <conditionalFormatting sqref="D90:F90">
    <cfRule type="cellIs" dxfId="50" priority="38" operator="lessThan">
      <formula>0</formula>
    </cfRule>
  </conditionalFormatting>
  <conditionalFormatting sqref="D92:F92">
    <cfRule type="cellIs" dxfId="49" priority="37" operator="lessThan">
      <formula>0</formula>
    </cfRule>
  </conditionalFormatting>
  <conditionalFormatting sqref="D94:F94">
    <cfRule type="cellIs" dxfId="48" priority="36" operator="lessThan">
      <formula>0</formula>
    </cfRule>
  </conditionalFormatting>
  <conditionalFormatting sqref="D93:F93">
    <cfRule type="cellIs" dxfId="47" priority="35" operator="lessThan">
      <formula>0</formula>
    </cfRule>
  </conditionalFormatting>
  <conditionalFormatting sqref="D95:F95">
    <cfRule type="cellIs" dxfId="46" priority="34" operator="lessThan">
      <formula>0</formula>
    </cfRule>
  </conditionalFormatting>
  <conditionalFormatting sqref="C97:C98">
    <cfRule type="cellIs" dxfId="45" priority="33" operator="lessThan">
      <formula>0</formula>
    </cfRule>
  </conditionalFormatting>
  <conditionalFormatting sqref="D97:F97">
    <cfRule type="cellIs" dxfId="44" priority="32" operator="lessThan">
      <formula>0</formula>
    </cfRule>
  </conditionalFormatting>
  <conditionalFormatting sqref="D98:F98">
    <cfRule type="cellIs" dxfId="43" priority="31" operator="lessThan">
      <formula>0</formula>
    </cfRule>
  </conditionalFormatting>
  <conditionalFormatting sqref="D96:F96">
    <cfRule type="cellIs" dxfId="42" priority="30" operator="lessThan">
      <formula>0</formula>
    </cfRule>
  </conditionalFormatting>
  <conditionalFormatting sqref="C99:C101">
    <cfRule type="cellIs" dxfId="41" priority="29" operator="lessThan">
      <formula>0</formula>
    </cfRule>
  </conditionalFormatting>
  <conditionalFormatting sqref="D99:F99">
    <cfRule type="cellIs" dxfId="40" priority="28" operator="lessThan">
      <formula>0</formula>
    </cfRule>
  </conditionalFormatting>
  <conditionalFormatting sqref="D100:F100">
    <cfRule type="cellIs" dxfId="39" priority="27" operator="lessThan">
      <formula>0</formula>
    </cfRule>
  </conditionalFormatting>
  <conditionalFormatting sqref="D101:F101">
    <cfRule type="cellIs" dxfId="38" priority="26" operator="lessThan">
      <formula>0</formula>
    </cfRule>
  </conditionalFormatting>
  <conditionalFormatting sqref="C89">
    <cfRule type="cellIs" dxfId="37" priority="11" operator="lessThan">
      <formula>0</formula>
    </cfRule>
  </conditionalFormatting>
  <conditionalFormatting sqref="F89">
    <cfRule type="cellIs" dxfId="36" priority="10" operator="lessThan">
      <formula>0</formula>
    </cfRule>
  </conditionalFormatting>
  <conditionalFormatting sqref="D61:F61">
    <cfRule type="cellIs" dxfId="35" priority="6" operator="lessThan">
      <formula>0</formula>
    </cfRule>
  </conditionalFormatting>
  <conditionalFormatting sqref="D75:E75">
    <cfRule type="cellIs" dxfId="34" priority="5" operator="lessThan">
      <formula>0</formula>
    </cfRule>
  </conditionalFormatting>
  <conditionalFormatting sqref="F75">
    <cfRule type="cellIs" dxfId="33" priority="4" operator="lessThan">
      <formula>0</formula>
    </cfRule>
  </conditionalFormatting>
  <conditionalFormatting sqref="D73:F73">
    <cfRule type="cellIs" dxfId="32" priority="2" operator="lessThan">
      <formula>0</formula>
    </cfRule>
  </conditionalFormatting>
  <conditionalFormatting sqref="D89:E89">
    <cfRule type="cellIs" dxfId="31" priority="1" operator="lessThan">
      <formula>0</formula>
    </cfRule>
  </conditionalFormatting>
  <dataValidations count="1">
    <dataValidation type="whole" operator="lessThanOrEqual" allowBlank="1" showInputMessage="1" showErrorMessage="1" errorTitle="AZAMİ İNDİRİM TUTARI AŞIMI" error="YAZILABİLECEK İNDİRİM TUTARI AZAMİ YAZILABİLECEK İNDİRİM TUTARINI AŞAMAZ" sqref="C70" xr:uid="{8DD166BC-C05E-43F6-9BB9-FAAB9299E2E0}">
      <formula1>IF(E70&lt;=0,0,E70)</formula1>
    </dataValidation>
  </dataValidations>
  <pageMargins left="0.7" right="0.7" top="0.75" bottom="0.75" header="0.3" footer="0.3"/>
  <pageSetup paperSize="9" scale="2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2B570-CF96-48C9-BDB1-2C94D834A6BA}">
  <sheetPr>
    <tabColor rgb="FF00B050"/>
  </sheetPr>
  <dimension ref="A1:S151"/>
  <sheetViews>
    <sheetView topLeftCell="A72" zoomScale="55" zoomScaleNormal="55" workbookViewId="0">
      <selection activeCell="C81" sqref="C81"/>
    </sheetView>
  </sheetViews>
  <sheetFormatPr defaultColWidth="8.88671875" defaultRowHeight="15.6" x14ac:dyDescent="0.3"/>
  <cols>
    <col min="1" max="1" width="3.6640625" style="155" customWidth="1"/>
    <col min="2" max="2" width="107.33203125" style="155" customWidth="1"/>
    <col min="3" max="3" width="36.88671875" style="184" customWidth="1"/>
    <col min="4" max="4" width="34.6640625" style="184" customWidth="1"/>
    <col min="5" max="5" width="52.5546875" style="184" customWidth="1"/>
    <col min="6" max="6" width="35.33203125" style="184" customWidth="1"/>
    <col min="7" max="7" width="30.33203125" style="155" customWidth="1"/>
    <col min="8" max="8" width="36.6640625" style="155" customWidth="1"/>
    <col min="9" max="9" width="32.6640625" style="155" customWidth="1"/>
    <col min="10" max="10" width="32.5546875" style="284" customWidth="1"/>
    <col min="11" max="11" width="38" style="66" bestFit="1" customWidth="1"/>
    <col min="12" max="12" width="33" style="1" customWidth="1"/>
    <col min="13" max="13" width="34.33203125" style="155" customWidth="1"/>
    <col min="14" max="14" width="33.88671875" style="155" customWidth="1"/>
    <col min="15" max="16384" width="8.88671875" style="155"/>
  </cols>
  <sheetData>
    <row r="1" spans="2:12" ht="26.4" thickBot="1" x14ac:dyDescent="0.35">
      <c r="B1" s="154"/>
      <c r="C1" s="15"/>
      <c r="D1" s="15"/>
      <c r="E1" s="15"/>
      <c r="F1" s="15"/>
      <c r="L1" s="2"/>
    </row>
    <row r="2" spans="2:12" ht="30" customHeight="1" x14ac:dyDescent="0.3">
      <c r="B2" s="327" t="s">
        <v>23</v>
      </c>
      <c r="C2" s="21">
        <f>IFERROR(C4/C4,0)</f>
        <v>0</v>
      </c>
      <c r="D2" s="21">
        <f>IFERROR(D4/C4,0)</f>
        <v>0</v>
      </c>
      <c r="E2" s="21">
        <f>IFERROR(E4/C4,0)</f>
        <v>0</v>
      </c>
      <c r="F2" s="22">
        <f>IFERROR(F4/C4,0)</f>
        <v>0</v>
      </c>
      <c r="H2" s="156"/>
      <c r="L2" s="285"/>
    </row>
    <row r="3" spans="2:12" ht="21" x14ac:dyDescent="0.3">
      <c r="B3" s="328"/>
      <c r="C3" s="157" t="s">
        <v>8</v>
      </c>
      <c r="D3" s="157" t="s">
        <v>20</v>
      </c>
      <c r="E3" s="157" t="s">
        <v>21</v>
      </c>
      <c r="F3" s="158" t="s">
        <v>22</v>
      </c>
      <c r="H3" s="156"/>
      <c r="L3" s="285"/>
    </row>
    <row r="4" spans="2:12" ht="24.6" customHeight="1" x14ac:dyDescent="0.3">
      <c r="B4" s="159" t="s">
        <v>73</v>
      </c>
      <c r="C4" s="16">
        <f>D4+E4+F4</f>
        <v>0</v>
      </c>
      <c r="D4" s="16">
        <f>SUM(D5:D7)</f>
        <v>0</v>
      </c>
      <c r="E4" s="16">
        <f t="shared" ref="E4:F4" si="0">SUM(E5:E7)</f>
        <v>0</v>
      </c>
      <c r="F4" s="23">
        <f t="shared" si="0"/>
        <v>0</v>
      </c>
      <c r="H4" s="156"/>
      <c r="L4" s="285"/>
    </row>
    <row r="5" spans="2:12" ht="35.4" customHeight="1" x14ac:dyDescent="0.3">
      <c r="B5" s="160" t="s">
        <v>67</v>
      </c>
      <c r="C5" s="17">
        <f>D5+E5+F5</f>
        <v>0</v>
      </c>
      <c r="D5" s="17"/>
      <c r="E5" s="18"/>
      <c r="F5" s="19"/>
      <c r="H5" s="156"/>
      <c r="L5" s="285"/>
    </row>
    <row r="6" spans="2:12" ht="35.4" customHeight="1" x14ac:dyDescent="0.3">
      <c r="B6" s="160" t="s">
        <v>68</v>
      </c>
      <c r="C6" s="17">
        <f>D6+E6+F6</f>
        <v>0</v>
      </c>
      <c r="D6" s="18"/>
      <c r="E6" s="17"/>
      <c r="F6" s="32"/>
      <c r="H6" s="156"/>
      <c r="L6" s="285"/>
    </row>
    <row r="7" spans="2:12" ht="35.4" customHeight="1" x14ac:dyDescent="0.3">
      <c r="B7" s="160" t="s">
        <v>69</v>
      </c>
      <c r="C7" s="17">
        <f>D7+E7+F7</f>
        <v>0</v>
      </c>
      <c r="D7" s="18"/>
      <c r="E7" s="18"/>
      <c r="F7" s="19"/>
      <c r="H7" s="156"/>
      <c r="L7" s="285"/>
    </row>
    <row r="8" spans="2:12" ht="31.95" customHeight="1" x14ac:dyDescent="0.3">
      <c r="B8" s="161" t="s">
        <v>74</v>
      </c>
      <c r="C8" s="162">
        <f>SUM(C9:C11)</f>
        <v>0</v>
      </c>
      <c r="D8" s="162">
        <f>SUM(D9:D11)</f>
        <v>0</v>
      </c>
      <c r="E8" s="162">
        <f t="shared" ref="E8:F8" si="1">SUM(E9:E11)</f>
        <v>0</v>
      </c>
      <c r="F8" s="163">
        <f t="shared" si="1"/>
        <v>0</v>
      </c>
      <c r="H8" s="156"/>
      <c r="L8" s="2"/>
    </row>
    <row r="9" spans="2:12" ht="35.4" customHeight="1" x14ac:dyDescent="0.3">
      <c r="B9" s="160" t="s">
        <v>70</v>
      </c>
      <c r="C9" s="164">
        <f>SUM(D9:F9)</f>
        <v>0</v>
      </c>
      <c r="D9" s="24"/>
      <c r="E9" s="24"/>
      <c r="F9" s="25"/>
      <c r="H9" s="156"/>
      <c r="L9" s="2"/>
    </row>
    <row r="10" spans="2:12" ht="35.4" customHeight="1" x14ac:dyDescent="0.3">
      <c r="B10" s="160" t="s">
        <v>71</v>
      </c>
      <c r="C10" s="164">
        <f t="shared" ref="C10:C11" si="2">SUM(D10:F10)</f>
        <v>0</v>
      </c>
      <c r="D10" s="24"/>
      <c r="E10" s="24"/>
      <c r="F10" s="25"/>
      <c r="H10" s="156"/>
      <c r="L10" s="2"/>
    </row>
    <row r="11" spans="2:12" ht="35.4" customHeight="1" x14ac:dyDescent="0.3">
      <c r="B11" s="160" t="s">
        <v>72</v>
      </c>
      <c r="C11" s="164">
        <f t="shared" si="2"/>
        <v>0</v>
      </c>
      <c r="D11" s="24"/>
      <c r="E11" s="24"/>
      <c r="F11" s="25"/>
      <c r="H11" s="156"/>
      <c r="L11" s="2"/>
    </row>
    <row r="12" spans="2:12" ht="31.2" customHeight="1" x14ac:dyDescent="0.3">
      <c r="B12" s="165" t="s">
        <v>80</v>
      </c>
      <c r="C12" s="162">
        <f>C4-C8</f>
        <v>0</v>
      </c>
      <c r="D12" s="162">
        <f>D4-D8</f>
        <v>0</v>
      </c>
      <c r="E12" s="162">
        <f t="shared" ref="E12:F12" si="3">E4-E8</f>
        <v>0</v>
      </c>
      <c r="F12" s="163">
        <f t="shared" si="3"/>
        <v>0</v>
      </c>
      <c r="H12" s="156"/>
      <c r="L12" s="2"/>
    </row>
    <row r="13" spans="2:12" ht="33" customHeight="1" x14ac:dyDescent="0.3">
      <c r="B13" s="161" t="s">
        <v>79</v>
      </c>
      <c r="C13" s="162">
        <f>SUM(C14:C17)</f>
        <v>0</v>
      </c>
      <c r="D13" s="162">
        <f>SUM(D14:D17)</f>
        <v>0</v>
      </c>
      <c r="E13" s="162">
        <f>SUM(E14:E17)</f>
        <v>0</v>
      </c>
      <c r="F13" s="163">
        <f>SUM(F14:F17)</f>
        <v>0</v>
      </c>
      <c r="H13" s="156"/>
      <c r="J13" s="53"/>
      <c r="L13" s="2"/>
    </row>
    <row r="14" spans="2:12" ht="33" customHeight="1" x14ac:dyDescent="0.3">
      <c r="B14" s="160" t="s">
        <v>75</v>
      </c>
      <c r="C14" s="164">
        <f>SUM(D14:F14)</f>
        <v>0</v>
      </c>
      <c r="D14" s="24"/>
      <c r="E14" s="24"/>
      <c r="F14" s="25"/>
      <c r="H14" s="156"/>
      <c r="J14" s="53"/>
      <c r="L14" s="2"/>
    </row>
    <row r="15" spans="2:12" ht="33" customHeight="1" x14ac:dyDescent="0.3">
      <c r="B15" s="160" t="s">
        <v>76</v>
      </c>
      <c r="C15" s="164">
        <f t="shared" ref="C15:C17" si="4">SUM(D15:F15)</f>
        <v>0</v>
      </c>
      <c r="D15" s="24"/>
      <c r="E15" s="24"/>
      <c r="F15" s="25"/>
      <c r="H15" s="156"/>
      <c r="J15" s="53"/>
      <c r="L15" s="2"/>
    </row>
    <row r="16" spans="2:12" ht="33" customHeight="1" x14ac:dyDescent="0.3">
      <c r="B16" s="160" t="s">
        <v>77</v>
      </c>
      <c r="C16" s="164">
        <f t="shared" si="4"/>
        <v>0</v>
      </c>
      <c r="D16" s="24"/>
      <c r="E16" s="24"/>
      <c r="F16" s="25"/>
      <c r="H16" s="156"/>
      <c r="J16" s="53"/>
      <c r="L16" s="2"/>
    </row>
    <row r="17" spans="1:19" ht="33" customHeight="1" x14ac:dyDescent="0.3">
      <c r="B17" s="160" t="s">
        <v>78</v>
      </c>
      <c r="C17" s="164">
        <f t="shared" si="4"/>
        <v>0</v>
      </c>
      <c r="D17" s="24"/>
      <c r="E17" s="24"/>
      <c r="F17" s="25"/>
      <c r="H17" s="156"/>
      <c r="J17" s="53"/>
      <c r="L17" s="2"/>
    </row>
    <row r="18" spans="1:19" ht="33" customHeight="1" x14ac:dyDescent="0.3">
      <c r="B18" s="165" t="s">
        <v>7</v>
      </c>
      <c r="C18" s="162">
        <f>C12-C13</f>
        <v>0</v>
      </c>
      <c r="D18" s="162">
        <f>D12-D13</f>
        <v>0</v>
      </c>
      <c r="E18" s="162">
        <f t="shared" ref="E18:F18" si="5">E12-E13</f>
        <v>0</v>
      </c>
      <c r="F18" s="163">
        <f t="shared" si="5"/>
        <v>0</v>
      </c>
      <c r="H18" s="156"/>
      <c r="L18" s="2"/>
    </row>
    <row r="19" spans="1:19" s="166" customFormat="1" ht="33" customHeight="1" x14ac:dyDescent="0.3">
      <c r="A19" s="155"/>
      <c r="B19" s="161" t="s">
        <v>81</v>
      </c>
      <c r="C19" s="162">
        <f>SUM(C20:C24)</f>
        <v>0</v>
      </c>
      <c r="D19" s="162">
        <f>SUM(D20:D24)</f>
        <v>0</v>
      </c>
      <c r="E19" s="162">
        <f t="shared" ref="E19:F19" si="6">SUM(E20:E24)</f>
        <v>0</v>
      </c>
      <c r="F19" s="163">
        <f t="shared" si="6"/>
        <v>0</v>
      </c>
      <c r="G19" s="155"/>
      <c r="H19" s="156"/>
      <c r="I19" s="155"/>
      <c r="J19" s="284"/>
      <c r="K19" s="66"/>
      <c r="L19" s="2"/>
      <c r="M19" s="155"/>
      <c r="N19" s="155"/>
      <c r="O19" s="155"/>
      <c r="P19" s="155"/>
      <c r="Q19" s="155"/>
      <c r="R19" s="155"/>
      <c r="S19" s="155"/>
    </row>
    <row r="20" spans="1:19" s="166" customFormat="1" ht="33" customHeight="1" x14ac:dyDescent="0.3">
      <c r="A20" s="155"/>
      <c r="B20" s="160" t="s">
        <v>82</v>
      </c>
      <c r="C20" s="164">
        <f>SUM(D20:F20)</f>
        <v>0</v>
      </c>
      <c r="D20" s="24"/>
      <c r="E20" s="24"/>
      <c r="F20" s="25"/>
      <c r="G20" s="155"/>
      <c r="H20" s="156"/>
      <c r="I20" s="155"/>
      <c r="J20" s="284"/>
      <c r="K20" s="66"/>
      <c r="L20" s="2"/>
      <c r="M20" s="155"/>
      <c r="N20" s="155"/>
      <c r="O20" s="155"/>
      <c r="P20" s="155"/>
      <c r="Q20" s="155"/>
      <c r="R20" s="155"/>
      <c r="S20" s="155"/>
    </row>
    <row r="21" spans="1:19" s="166" customFormat="1" ht="33" customHeight="1" x14ac:dyDescent="0.3">
      <c r="A21" s="155"/>
      <c r="B21" s="160" t="s">
        <v>83</v>
      </c>
      <c r="C21" s="164">
        <f>SUM(D21:F21)</f>
        <v>0</v>
      </c>
      <c r="D21" s="24"/>
      <c r="E21" s="24"/>
      <c r="F21" s="25"/>
      <c r="G21" s="155"/>
      <c r="H21" s="156"/>
      <c r="I21" s="155"/>
      <c r="J21" s="284"/>
      <c r="K21" s="66"/>
      <c r="L21" s="2"/>
      <c r="M21" s="155"/>
      <c r="N21" s="155"/>
      <c r="O21" s="155"/>
      <c r="P21" s="155"/>
      <c r="Q21" s="155"/>
      <c r="R21" s="155"/>
      <c r="S21" s="155"/>
    </row>
    <row r="22" spans="1:19" s="166" customFormat="1" ht="33" customHeight="1" x14ac:dyDescent="0.3">
      <c r="A22" s="155"/>
      <c r="B22" s="160" t="s">
        <v>84</v>
      </c>
      <c r="C22" s="164">
        <f>SUM(D22:F22)</f>
        <v>0</v>
      </c>
      <c r="D22" s="24"/>
      <c r="E22" s="24"/>
      <c r="F22" s="25"/>
      <c r="G22" s="155"/>
      <c r="H22" s="156"/>
      <c r="I22" s="155"/>
      <c r="J22" s="284"/>
      <c r="K22" s="66"/>
      <c r="L22" s="2"/>
      <c r="M22" s="155"/>
      <c r="N22" s="155"/>
      <c r="O22" s="155"/>
      <c r="P22" s="155"/>
      <c r="Q22" s="155"/>
      <c r="R22" s="155"/>
      <c r="S22" s="155"/>
    </row>
    <row r="23" spans="1:19" s="166" customFormat="1" ht="62.4" customHeight="1" x14ac:dyDescent="0.3">
      <c r="A23" s="155"/>
      <c r="B23" s="160" t="s">
        <v>112</v>
      </c>
      <c r="C23" s="24"/>
      <c r="D23" s="167">
        <f>C23*D2</f>
        <v>0</v>
      </c>
      <c r="E23" s="167">
        <f>C23*E2</f>
        <v>0</v>
      </c>
      <c r="F23" s="168">
        <f>C23*F2</f>
        <v>0</v>
      </c>
      <c r="G23" s="155"/>
      <c r="H23" s="156"/>
      <c r="I23" s="155"/>
      <c r="J23" s="284"/>
      <c r="K23" s="66"/>
      <c r="L23" s="2"/>
      <c r="M23" s="155"/>
      <c r="N23" s="155"/>
      <c r="O23" s="155"/>
      <c r="P23" s="155"/>
      <c r="Q23" s="155"/>
      <c r="R23" s="155"/>
      <c r="S23" s="155"/>
    </row>
    <row r="24" spans="1:19" s="166" customFormat="1" ht="79.95" customHeight="1" x14ac:dyDescent="0.3">
      <c r="A24" s="155"/>
      <c r="B24" s="169" t="s">
        <v>113</v>
      </c>
      <c r="C24" s="24"/>
      <c r="D24" s="167">
        <f>C24*D2</f>
        <v>0</v>
      </c>
      <c r="E24" s="167">
        <f>C24*E2</f>
        <v>0</v>
      </c>
      <c r="F24" s="168">
        <f>C24*F2</f>
        <v>0</v>
      </c>
      <c r="G24" s="155"/>
      <c r="H24" s="156"/>
      <c r="I24" s="155"/>
      <c r="J24" s="284"/>
      <c r="K24" s="66"/>
      <c r="L24" s="2"/>
      <c r="M24" s="155"/>
      <c r="N24" s="155"/>
      <c r="O24" s="155"/>
      <c r="P24" s="155"/>
      <c r="Q24" s="155"/>
      <c r="R24" s="155"/>
      <c r="S24" s="155"/>
    </row>
    <row r="25" spans="1:19" ht="33" customHeight="1" x14ac:dyDescent="0.3">
      <c r="B25" s="165" t="s">
        <v>6</v>
      </c>
      <c r="C25" s="162">
        <f>C18-C19</f>
        <v>0</v>
      </c>
      <c r="D25" s="162">
        <f>D18-D19</f>
        <v>0</v>
      </c>
      <c r="E25" s="162">
        <f t="shared" ref="E25:F25" si="7">E18-E19</f>
        <v>0</v>
      </c>
      <c r="F25" s="163">
        <f t="shared" si="7"/>
        <v>0</v>
      </c>
      <c r="H25" s="156"/>
      <c r="L25" s="2"/>
    </row>
    <row r="26" spans="1:19" s="166" customFormat="1" ht="33" customHeight="1" x14ac:dyDescent="0.3">
      <c r="A26" s="155"/>
      <c r="B26" s="165" t="s">
        <v>85</v>
      </c>
      <c r="C26" s="162">
        <f>SUM(C27:C35)</f>
        <v>0</v>
      </c>
      <c r="D26" s="162">
        <f>SUM(D27:D35)</f>
        <v>0</v>
      </c>
      <c r="E26" s="162">
        <f>SUM(E27:E35)</f>
        <v>0</v>
      </c>
      <c r="F26" s="163">
        <f>SUM(F27:F35)</f>
        <v>0</v>
      </c>
      <c r="G26" s="155"/>
      <c r="H26" s="156"/>
      <c r="I26" s="155"/>
      <c r="J26" s="284"/>
      <c r="K26" s="66"/>
      <c r="L26" s="2"/>
      <c r="M26" s="155"/>
      <c r="N26" s="155"/>
      <c r="O26" s="155"/>
      <c r="P26" s="155"/>
      <c r="Q26" s="155"/>
      <c r="R26" s="155"/>
      <c r="S26" s="155"/>
    </row>
    <row r="27" spans="1:19" s="166" customFormat="1" ht="33" customHeight="1" x14ac:dyDescent="0.3">
      <c r="A27" s="155"/>
      <c r="B27" s="160" t="s">
        <v>86</v>
      </c>
      <c r="C27" s="167">
        <f>SUM(D27:F27)</f>
        <v>0</v>
      </c>
      <c r="D27" s="167"/>
      <c r="E27" s="167"/>
      <c r="F27" s="25"/>
      <c r="G27" s="155"/>
      <c r="H27" s="156"/>
      <c r="I27" s="155"/>
      <c r="J27" s="284"/>
      <c r="K27" s="66"/>
      <c r="L27" s="2"/>
      <c r="M27" s="155"/>
      <c r="N27" s="155"/>
      <c r="O27" s="155"/>
      <c r="P27" s="155"/>
      <c r="Q27" s="155"/>
      <c r="R27" s="155"/>
      <c r="S27" s="155"/>
    </row>
    <row r="28" spans="1:19" s="166" customFormat="1" ht="33" customHeight="1" x14ac:dyDescent="0.3">
      <c r="A28" s="155"/>
      <c r="B28" s="160" t="s">
        <v>87</v>
      </c>
      <c r="C28" s="167">
        <f t="shared" ref="C28:C35" si="8">SUM(D28:F28)</f>
        <v>0</v>
      </c>
      <c r="D28" s="167"/>
      <c r="E28" s="167"/>
      <c r="F28" s="25"/>
      <c r="G28" s="155"/>
      <c r="H28" s="156"/>
      <c r="I28" s="155"/>
      <c r="J28" s="284"/>
      <c r="K28" s="66"/>
      <c r="L28" s="2"/>
      <c r="M28" s="155"/>
      <c r="N28" s="155"/>
      <c r="O28" s="155"/>
      <c r="P28" s="155"/>
      <c r="Q28" s="155"/>
      <c r="R28" s="155"/>
      <c r="S28" s="155"/>
    </row>
    <row r="29" spans="1:19" s="166" customFormat="1" ht="33" customHeight="1" x14ac:dyDescent="0.3">
      <c r="A29" s="155"/>
      <c r="B29" s="160" t="s">
        <v>109</v>
      </c>
      <c r="C29" s="167">
        <f t="shared" si="8"/>
        <v>0</v>
      </c>
      <c r="D29" s="24"/>
      <c r="E29" s="24"/>
      <c r="F29" s="25"/>
      <c r="G29" s="155"/>
      <c r="H29" s="156"/>
      <c r="I29" s="155"/>
      <c r="J29" s="284"/>
      <c r="K29" s="66"/>
      <c r="L29" s="2"/>
      <c r="M29" s="155"/>
      <c r="N29" s="155"/>
      <c r="O29" s="155"/>
      <c r="P29" s="155"/>
      <c r="Q29" s="155"/>
      <c r="R29" s="155"/>
      <c r="S29" s="155"/>
    </row>
    <row r="30" spans="1:19" s="166" customFormat="1" ht="33" customHeight="1" x14ac:dyDescent="0.3">
      <c r="A30" s="155"/>
      <c r="B30" s="160" t="s">
        <v>88</v>
      </c>
      <c r="C30" s="167">
        <f t="shared" si="8"/>
        <v>0</v>
      </c>
      <c r="D30" s="167"/>
      <c r="E30" s="167"/>
      <c r="F30" s="25"/>
      <c r="G30" s="155"/>
      <c r="H30" s="156"/>
      <c r="I30" s="155"/>
      <c r="J30" s="284"/>
      <c r="K30" s="66"/>
      <c r="L30" s="2"/>
      <c r="M30" s="155"/>
      <c r="N30" s="155"/>
      <c r="O30" s="155"/>
      <c r="P30" s="155"/>
      <c r="Q30" s="155"/>
      <c r="R30" s="155"/>
      <c r="S30" s="155"/>
    </row>
    <row r="31" spans="1:19" s="166" customFormat="1" ht="33" customHeight="1" x14ac:dyDescent="0.3">
      <c r="A31" s="155"/>
      <c r="B31" s="160" t="s">
        <v>89</v>
      </c>
      <c r="C31" s="167">
        <f t="shared" si="8"/>
        <v>0</v>
      </c>
      <c r="D31" s="167"/>
      <c r="E31" s="167"/>
      <c r="F31" s="25"/>
      <c r="G31" s="155"/>
      <c r="H31" s="156"/>
      <c r="I31" s="155"/>
      <c r="J31" s="284"/>
      <c r="K31" s="66"/>
      <c r="L31" s="2"/>
      <c r="M31" s="155"/>
      <c r="N31" s="155"/>
      <c r="O31" s="155"/>
      <c r="P31" s="155"/>
      <c r="Q31" s="155"/>
      <c r="R31" s="155"/>
      <c r="S31" s="155"/>
    </row>
    <row r="32" spans="1:19" s="166" customFormat="1" ht="33" customHeight="1" x14ac:dyDescent="0.3">
      <c r="A32" s="155"/>
      <c r="B32" s="160" t="s">
        <v>90</v>
      </c>
      <c r="C32" s="167">
        <f t="shared" si="8"/>
        <v>0</v>
      </c>
      <c r="D32" s="167"/>
      <c r="E32" s="167"/>
      <c r="F32" s="25"/>
      <c r="G32" s="155"/>
      <c r="H32" s="156"/>
      <c r="I32" s="155"/>
      <c r="J32" s="284"/>
      <c r="K32" s="66"/>
      <c r="L32" s="2"/>
      <c r="M32" s="155"/>
      <c r="N32" s="155"/>
      <c r="O32" s="155"/>
      <c r="P32" s="155"/>
      <c r="Q32" s="155"/>
      <c r="R32" s="155"/>
      <c r="S32" s="155"/>
    </row>
    <row r="33" spans="1:19" s="166" customFormat="1" ht="51.6" customHeight="1" x14ac:dyDescent="0.3">
      <c r="A33" s="155"/>
      <c r="B33" s="169" t="s">
        <v>110</v>
      </c>
      <c r="C33" s="167">
        <f t="shared" si="8"/>
        <v>0</v>
      </c>
      <c r="D33" s="24"/>
      <c r="E33" s="24"/>
      <c r="F33" s="25"/>
      <c r="G33" s="155"/>
      <c r="H33" s="156"/>
      <c r="I33" s="155"/>
      <c r="J33" s="284"/>
      <c r="K33" s="66"/>
      <c r="L33" s="2"/>
      <c r="M33" s="155"/>
      <c r="N33" s="155"/>
      <c r="O33" s="155"/>
      <c r="P33" s="155"/>
      <c r="Q33" s="155"/>
      <c r="R33" s="155"/>
      <c r="S33" s="155"/>
    </row>
    <row r="34" spans="1:19" s="166" customFormat="1" ht="33" customHeight="1" x14ac:dyDescent="0.3">
      <c r="A34" s="155"/>
      <c r="B34" s="160" t="s">
        <v>91</v>
      </c>
      <c r="C34" s="167">
        <f t="shared" si="8"/>
        <v>0</v>
      </c>
      <c r="D34" s="167"/>
      <c r="E34" s="167"/>
      <c r="F34" s="25"/>
      <c r="G34" s="155"/>
      <c r="H34" s="156"/>
      <c r="I34" s="155"/>
      <c r="J34" s="284"/>
      <c r="K34" s="66"/>
      <c r="L34" s="2"/>
      <c r="M34" s="155"/>
      <c r="N34" s="155"/>
      <c r="O34" s="155"/>
      <c r="P34" s="155"/>
      <c r="Q34" s="155"/>
      <c r="R34" s="155"/>
      <c r="S34" s="155"/>
    </row>
    <row r="35" spans="1:19" s="166" customFormat="1" ht="33" customHeight="1" x14ac:dyDescent="0.3">
      <c r="A35" s="155"/>
      <c r="B35" s="170" t="s">
        <v>92</v>
      </c>
      <c r="C35" s="171">
        <f t="shared" si="8"/>
        <v>0</v>
      </c>
      <c r="D35" s="137"/>
      <c r="E35" s="137"/>
      <c r="F35" s="138"/>
      <c r="G35" s="155"/>
      <c r="H35" s="156"/>
      <c r="I35" s="155"/>
      <c r="J35" s="284"/>
      <c r="K35" s="66"/>
      <c r="L35" s="2"/>
      <c r="M35" s="155"/>
      <c r="N35" s="155"/>
      <c r="O35" s="155"/>
      <c r="P35" s="155"/>
      <c r="Q35" s="155"/>
      <c r="R35" s="155"/>
      <c r="S35" s="155"/>
    </row>
    <row r="36" spans="1:19" ht="39" customHeight="1" x14ac:dyDescent="0.3">
      <c r="B36" s="165" t="s">
        <v>9</v>
      </c>
      <c r="C36" s="162">
        <f>C25+C26</f>
        <v>0</v>
      </c>
      <c r="D36" s="162">
        <f>D25+D26</f>
        <v>0</v>
      </c>
      <c r="E36" s="162">
        <f t="shared" ref="E36" si="9">E25+E26</f>
        <v>0</v>
      </c>
      <c r="F36" s="163">
        <f>F25+F26</f>
        <v>0</v>
      </c>
      <c r="H36" s="156"/>
      <c r="L36" s="2"/>
    </row>
    <row r="37" spans="1:19" ht="45.6" customHeight="1" x14ac:dyDescent="0.3">
      <c r="B37" s="172" t="s">
        <v>98</v>
      </c>
      <c r="C37" s="173">
        <f>SUM(C38:C43)</f>
        <v>0</v>
      </c>
      <c r="D37" s="173">
        <f>SUM(D38:D43)</f>
        <v>0</v>
      </c>
      <c r="E37" s="173">
        <f t="shared" ref="E37:F37" si="10">SUM(E38:E43)</f>
        <v>0</v>
      </c>
      <c r="F37" s="174">
        <f t="shared" si="10"/>
        <v>0</v>
      </c>
      <c r="H37" s="156"/>
      <c r="L37" s="2"/>
    </row>
    <row r="38" spans="1:19" ht="32.4" customHeight="1" x14ac:dyDescent="0.3">
      <c r="B38" s="160" t="s">
        <v>93</v>
      </c>
      <c r="C38" s="175">
        <f>SUM(D38:F38)</f>
        <v>0</v>
      </c>
      <c r="D38" s="24"/>
      <c r="E38" s="24"/>
      <c r="F38" s="25"/>
      <c r="H38" s="156"/>
      <c r="L38" s="2"/>
    </row>
    <row r="39" spans="1:19" ht="32.4" customHeight="1" x14ac:dyDescent="0.3">
      <c r="B39" s="160" t="s">
        <v>94</v>
      </c>
      <c r="C39" s="175">
        <f t="shared" ref="C39:C42" si="11">SUM(D39:F39)</f>
        <v>0</v>
      </c>
      <c r="D39" s="24"/>
      <c r="E39" s="24"/>
      <c r="F39" s="25"/>
      <c r="H39" s="156"/>
      <c r="L39" s="2"/>
    </row>
    <row r="40" spans="1:19" ht="32.4" customHeight="1" x14ac:dyDescent="0.3">
      <c r="B40" s="160" t="s">
        <v>95</v>
      </c>
      <c r="C40" s="175">
        <f t="shared" si="11"/>
        <v>0</v>
      </c>
      <c r="D40" s="167"/>
      <c r="E40" s="167"/>
      <c r="F40" s="25"/>
      <c r="H40" s="156"/>
      <c r="L40" s="2"/>
    </row>
    <row r="41" spans="1:19" ht="58.95" customHeight="1" x14ac:dyDescent="0.3">
      <c r="B41" s="169" t="s">
        <v>111</v>
      </c>
      <c r="C41" s="175">
        <f t="shared" si="11"/>
        <v>0</v>
      </c>
      <c r="D41" s="24"/>
      <c r="E41" s="24"/>
      <c r="F41" s="25"/>
      <c r="H41" s="156"/>
      <c r="L41" s="2"/>
    </row>
    <row r="42" spans="1:19" ht="32.4" customHeight="1" x14ac:dyDescent="0.3">
      <c r="B42" s="160" t="s">
        <v>96</v>
      </c>
      <c r="C42" s="175">
        <f t="shared" si="11"/>
        <v>0</v>
      </c>
      <c r="D42" s="24"/>
      <c r="E42" s="24"/>
      <c r="F42" s="25"/>
      <c r="H42" s="156"/>
      <c r="L42" s="2"/>
    </row>
    <row r="43" spans="1:19" ht="32.4" customHeight="1" x14ac:dyDescent="0.3">
      <c r="B43" s="160" t="s">
        <v>97</v>
      </c>
      <c r="C43" s="175">
        <f>SUM(D43:F43)</f>
        <v>0</v>
      </c>
      <c r="D43" s="24"/>
      <c r="E43" s="24"/>
      <c r="F43" s="25"/>
      <c r="H43" s="156"/>
      <c r="L43" s="2"/>
    </row>
    <row r="44" spans="1:19" ht="45.6" customHeight="1" x14ac:dyDescent="0.3">
      <c r="B44" s="165" t="s">
        <v>9</v>
      </c>
      <c r="C44" s="162">
        <f>C36-C37</f>
        <v>0</v>
      </c>
      <c r="D44" s="162">
        <f>D36-D37</f>
        <v>0</v>
      </c>
      <c r="E44" s="162">
        <f t="shared" ref="E44:F44" si="12">E36-E37</f>
        <v>0</v>
      </c>
      <c r="F44" s="163">
        <f t="shared" si="12"/>
        <v>0</v>
      </c>
      <c r="H44" s="156"/>
      <c r="L44" s="2"/>
    </row>
    <row r="45" spans="1:19" ht="45.6" customHeight="1" x14ac:dyDescent="0.3">
      <c r="B45" s="165" t="s">
        <v>101</v>
      </c>
      <c r="C45" s="162">
        <f>SUM(C46:C49)</f>
        <v>0</v>
      </c>
      <c r="D45" s="162">
        <f>SUM(D46:D49)</f>
        <v>0</v>
      </c>
      <c r="E45" s="162">
        <f>SUM(E46:E49)</f>
        <v>0</v>
      </c>
      <c r="F45" s="163">
        <f>SUM(F46:F49)</f>
        <v>0</v>
      </c>
      <c r="H45" s="156"/>
      <c r="L45" s="3"/>
    </row>
    <row r="46" spans="1:19" ht="45.6" customHeight="1" x14ac:dyDescent="0.3">
      <c r="B46" s="160" t="s">
        <v>99</v>
      </c>
      <c r="C46" s="167">
        <f>SUM(D46:F46)</f>
        <v>0</v>
      </c>
      <c r="D46" s="24"/>
      <c r="E46" s="24"/>
      <c r="F46" s="25"/>
      <c r="H46" s="156"/>
      <c r="L46" s="3"/>
    </row>
    <row r="47" spans="1:19" ht="45.6" customHeight="1" x14ac:dyDescent="0.3">
      <c r="B47" s="160" t="s">
        <v>100</v>
      </c>
      <c r="C47" s="167">
        <f>SUM(D47:F47)</f>
        <v>0</v>
      </c>
      <c r="D47" s="24"/>
      <c r="E47" s="24"/>
      <c r="F47" s="25"/>
      <c r="H47" s="156"/>
      <c r="L47" s="3"/>
    </row>
    <row r="48" spans="1:19" ht="45.6" customHeight="1" x14ac:dyDescent="0.3">
      <c r="B48" s="160" t="s">
        <v>115</v>
      </c>
      <c r="C48" s="24"/>
      <c r="D48" s="167">
        <f>C48*D2</f>
        <v>0</v>
      </c>
      <c r="E48" s="167">
        <f>C48*E2</f>
        <v>0</v>
      </c>
      <c r="F48" s="168">
        <f>C48*F2</f>
        <v>0</v>
      </c>
      <c r="H48" s="156"/>
      <c r="L48" s="3"/>
    </row>
    <row r="49" spans="1:19" ht="45.6" customHeight="1" x14ac:dyDescent="0.3">
      <c r="B49" s="160" t="s">
        <v>114</v>
      </c>
      <c r="C49" s="24"/>
      <c r="D49" s="167">
        <f>C49*D2</f>
        <v>0</v>
      </c>
      <c r="E49" s="167">
        <f>C49*E2</f>
        <v>0</v>
      </c>
      <c r="F49" s="168">
        <f>C49*F2</f>
        <v>0</v>
      </c>
      <c r="H49" s="156"/>
      <c r="L49" s="3"/>
    </row>
    <row r="50" spans="1:19" ht="45.6" customHeight="1" x14ac:dyDescent="0.3">
      <c r="A50" s="176"/>
      <c r="B50" s="165" t="s">
        <v>9</v>
      </c>
      <c r="C50" s="162">
        <f>C44-C45</f>
        <v>0</v>
      </c>
      <c r="D50" s="162">
        <f>D44-D45</f>
        <v>0</v>
      </c>
      <c r="E50" s="162">
        <f>E44-E45</f>
        <v>0</v>
      </c>
      <c r="F50" s="163">
        <f>F44-F45</f>
        <v>0</v>
      </c>
      <c r="H50" s="156"/>
      <c r="L50" s="2"/>
    </row>
    <row r="51" spans="1:19" ht="45.6" customHeight="1" x14ac:dyDescent="0.3">
      <c r="A51" s="3"/>
      <c r="B51" s="165" t="s">
        <v>104</v>
      </c>
      <c r="C51" s="162">
        <f>SUM(D51:F51)</f>
        <v>0</v>
      </c>
      <c r="D51" s="162">
        <f>SUM(D52:D53)</f>
        <v>0</v>
      </c>
      <c r="E51" s="162">
        <f>SUM(E52:E53)</f>
        <v>0</v>
      </c>
      <c r="F51" s="163">
        <f>SUM(F52:F53)</f>
        <v>0</v>
      </c>
      <c r="H51" s="156"/>
      <c r="L51" s="2"/>
    </row>
    <row r="52" spans="1:19" ht="45.6" customHeight="1" x14ac:dyDescent="0.3">
      <c r="A52" s="3"/>
      <c r="B52" s="177" t="s">
        <v>102</v>
      </c>
      <c r="C52" s="167">
        <f>SUM(D52:F52)</f>
        <v>0</v>
      </c>
      <c r="D52" s="175"/>
      <c r="E52" s="175"/>
      <c r="F52" s="20"/>
      <c r="H52" s="156"/>
      <c r="L52" s="2"/>
    </row>
    <row r="53" spans="1:19" ht="45.6" customHeight="1" x14ac:dyDescent="0.3">
      <c r="A53" s="3"/>
      <c r="B53" s="177" t="s">
        <v>103</v>
      </c>
      <c r="C53" s="167">
        <f>SUM(D53:F53)</f>
        <v>0</v>
      </c>
      <c r="D53" s="175"/>
      <c r="E53" s="175"/>
      <c r="F53" s="20"/>
      <c r="H53" s="156"/>
      <c r="L53" s="2"/>
    </row>
    <row r="54" spans="1:19" ht="45.6" customHeight="1" x14ac:dyDescent="0.3">
      <c r="A54" s="3"/>
      <c r="B54" s="165" t="s">
        <v>9</v>
      </c>
      <c r="C54" s="162">
        <f>SUM(D54:F54)</f>
        <v>0</v>
      </c>
      <c r="D54" s="178">
        <f>D50+D51</f>
        <v>0</v>
      </c>
      <c r="E54" s="178">
        <f t="shared" ref="E54:F54" si="13">E50+E51</f>
        <v>0</v>
      </c>
      <c r="F54" s="179">
        <f t="shared" si="13"/>
        <v>0</v>
      </c>
      <c r="H54" s="156"/>
      <c r="L54" s="2"/>
    </row>
    <row r="55" spans="1:19" s="166" customFormat="1" ht="45.6" customHeight="1" x14ac:dyDescent="0.3">
      <c r="A55" s="3"/>
      <c r="B55" s="165" t="s">
        <v>108</v>
      </c>
      <c r="C55" s="162">
        <f>SUM(C56:C58)</f>
        <v>0</v>
      </c>
      <c r="D55" s="162">
        <f>SUM(D56:D58)</f>
        <v>0</v>
      </c>
      <c r="E55" s="162">
        <f t="shared" ref="E55:F55" si="14">SUM(E56:E58)</f>
        <v>0</v>
      </c>
      <c r="F55" s="163">
        <f t="shared" si="14"/>
        <v>0</v>
      </c>
      <c r="G55" s="155"/>
      <c r="H55" s="156"/>
      <c r="I55" s="155"/>
      <c r="J55" s="284"/>
      <c r="K55" s="66"/>
      <c r="L55" s="2"/>
      <c r="M55" s="155"/>
      <c r="N55" s="155"/>
      <c r="O55" s="155"/>
      <c r="P55" s="155"/>
      <c r="Q55" s="155"/>
      <c r="R55" s="155"/>
      <c r="S55" s="155"/>
    </row>
    <row r="56" spans="1:19" s="166" customFormat="1" ht="45.6" customHeight="1" x14ac:dyDescent="0.3">
      <c r="A56" s="3"/>
      <c r="B56" s="180" t="s">
        <v>105</v>
      </c>
      <c r="C56" s="167">
        <f>SUM(D56:F56)</f>
        <v>0</v>
      </c>
      <c r="D56" s="24"/>
      <c r="E56" s="24"/>
      <c r="F56" s="25"/>
      <c r="G56" s="155"/>
      <c r="H56" s="156"/>
      <c r="I56" s="155"/>
      <c r="J56" s="284"/>
      <c r="K56" s="66"/>
      <c r="L56" s="2"/>
      <c r="M56" s="155"/>
      <c r="N56" s="155"/>
      <c r="O56" s="155"/>
      <c r="P56" s="155"/>
      <c r="Q56" s="155"/>
      <c r="R56" s="155"/>
      <c r="S56" s="155"/>
    </row>
    <row r="57" spans="1:19" s="166" customFormat="1" ht="45.6" customHeight="1" x14ac:dyDescent="0.3">
      <c r="A57" s="3"/>
      <c r="B57" s="180" t="s">
        <v>106</v>
      </c>
      <c r="C57" s="167">
        <f t="shared" ref="C57:C58" si="15">SUM(D57:F57)</f>
        <v>0</v>
      </c>
      <c r="D57" s="24"/>
      <c r="E57" s="24"/>
      <c r="F57" s="25"/>
      <c r="G57" s="155"/>
      <c r="H57" s="156"/>
      <c r="I57" s="155"/>
      <c r="J57" s="284"/>
      <c r="K57" s="66"/>
      <c r="L57" s="2"/>
      <c r="M57" s="155"/>
      <c r="N57" s="155"/>
      <c r="O57" s="155"/>
      <c r="P57" s="155"/>
      <c r="Q57" s="155"/>
      <c r="R57" s="155"/>
      <c r="S57" s="155"/>
    </row>
    <row r="58" spans="1:19" s="166" customFormat="1" ht="45.6" customHeight="1" x14ac:dyDescent="0.3">
      <c r="A58" s="3"/>
      <c r="B58" s="180" t="s">
        <v>107</v>
      </c>
      <c r="C58" s="167">
        <f t="shared" si="15"/>
        <v>0</v>
      </c>
      <c r="D58" s="24"/>
      <c r="E58" s="24"/>
      <c r="F58" s="25"/>
      <c r="G58" s="155"/>
      <c r="H58" s="156"/>
      <c r="I58" s="155"/>
      <c r="J58" s="284"/>
      <c r="K58" s="66"/>
      <c r="L58" s="2"/>
      <c r="M58" s="155"/>
      <c r="N58" s="155"/>
      <c r="O58" s="155"/>
      <c r="P58" s="155"/>
      <c r="Q58" s="155"/>
      <c r="R58" s="155"/>
      <c r="S58" s="155"/>
    </row>
    <row r="59" spans="1:19" ht="48" customHeight="1" thickBot="1" x14ac:dyDescent="0.35">
      <c r="A59" s="3"/>
      <c r="B59" s="181" t="s">
        <v>0</v>
      </c>
      <c r="C59" s="182">
        <f>C54-C55</f>
        <v>0</v>
      </c>
      <c r="D59" s="182">
        <f>D54-D55</f>
        <v>0</v>
      </c>
      <c r="E59" s="182">
        <f t="shared" ref="E59:F59" si="16">E54-E55</f>
        <v>0</v>
      </c>
      <c r="F59" s="183">
        <f t="shared" si="16"/>
        <v>0</v>
      </c>
      <c r="H59" s="156"/>
      <c r="L59" s="2"/>
    </row>
    <row r="60" spans="1:19" ht="54.6" customHeight="1" x14ac:dyDescent="0.3">
      <c r="A60" s="4"/>
      <c r="B60" s="329" t="s">
        <v>167</v>
      </c>
      <c r="C60" s="330"/>
      <c r="D60" s="312">
        <f>IF(D59&gt;=$C$59,1,
    IF(D59&lt;=0,0,
    IF(AND(D59&gt;0,D59&lt;$C$59),D59/$C$59)))</f>
        <v>1</v>
      </c>
      <c r="E60" s="312">
        <f>IF(E59&gt;=$C$59,1,
    IF(E59&lt;=0,0,
    IF(AND(E59&gt;0,E59&lt;$C$59),E59/$C$59)))</f>
        <v>1</v>
      </c>
      <c r="F60" s="313">
        <f t="shared" ref="F60" si="17">IF(F59&gt;=$C$59,1,
    IF(F59&lt;=0,0,
    IF(AND(F59&gt;0,F59&lt;$C$59),F59/$C$59)))</f>
        <v>1</v>
      </c>
      <c r="H60" s="156"/>
      <c r="L60" s="2"/>
    </row>
    <row r="61" spans="1:19" ht="48.6" customHeight="1" thickBot="1" x14ac:dyDescent="0.35">
      <c r="A61" s="4"/>
      <c r="B61" s="331"/>
      <c r="C61" s="332"/>
      <c r="D61" s="314">
        <f>IFERROR( MAX( MIN( IF(OR(D59&gt;=$C$59,($D$59+$E$59)&gt;=$C$59),D59/($D$59+$E$59),D59/$C$59),1),0),0)</f>
        <v>0</v>
      </c>
      <c r="E61" s="314">
        <f>IFERROR(MAX( MIN( IF(OR(E59&gt;=$C$59,($D$59+$E$59)&gt;=$C$59),E59/($D$59+$E$59),E59/$C$59),1),0),0)</f>
        <v>0</v>
      </c>
      <c r="F61" s="315">
        <f>IFERROR(1-(D61+E61),0)</f>
        <v>1</v>
      </c>
      <c r="H61" s="156"/>
      <c r="L61" s="2"/>
    </row>
    <row r="62" spans="1:19" ht="16.2" thickBot="1" x14ac:dyDescent="0.35">
      <c r="A62" s="4"/>
      <c r="D62" s="5"/>
      <c r="E62" s="5"/>
      <c r="F62" s="5"/>
      <c r="H62" s="156"/>
      <c r="L62" s="2"/>
    </row>
    <row r="63" spans="1:19" ht="39" customHeight="1" thickBot="1" x14ac:dyDescent="0.35">
      <c r="A63" s="3"/>
      <c r="B63" s="185" t="s">
        <v>1</v>
      </c>
      <c r="C63" s="147"/>
      <c r="D63" s="186"/>
      <c r="E63" s="186"/>
      <c r="H63" s="156"/>
      <c r="L63" s="2"/>
    </row>
    <row r="64" spans="1:19" ht="39" customHeight="1" thickBot="1" x14ac:dyDescent="0.35">
      <c r="A64" s="3"/>
      <c r="B64" s="187" t="s">
        <v>5</v>
      </c>
      <c r="C64" s="148"/>
      <c r="D64" s="186"/>
      <c r="E64" s="186"/>
      <c r="H64" s="156"/>
      <c r="L64" s="2"/>
    </row>
    <row r="65" spans="1:19" ht="39" customHeight="1" x14ac:dyDescent="0.3">
      <c r="A65" s="3"/>
      <c r="B65" s="188" t="s">
        <v>2</v>
      </c>
      <c r="C65" s="149">
        <f>C66+C67+C68</f>
        <v>0</v>
      </c>
      <c r="D65" s="186"/>
      <c r="E65" s="186"/>
      <c r="H65" s="156"/>
      <c r="L65" s="2"/>
    </row>
    <row r="66" spans="1:19" ht="39" customHeight="1" x14ac:dyDescent="0.3">
      <c r="A66" s="3"/>
      <c r="B66" s="189" t="s">
        <v>28</v>
      </c>
      <c r="C66" s="150"/>
      <c r="D66" s="186"/>
      <c r="E66" s="186"/>
      <c r="H66" s="156"/>
      <c r="L66" s="2"/>
    </row>
    <row r="67" spans="1:19" ht="39" customHeight="1" x14ac:dyDescent="0.3">
      <c r="A67" s="6"/>
      <c r="B67" s="189" t="s">
        <v>10</v>
      </c>
      <c r="C67" s="150"/>
      <c r="D67" s="186"/>
      <c r="E67" s="186"/>
      <c r="H67" s="156"/>
      <c r="L67" s="2"/>
    </row>
    <row r="68" spans="1:19" ht="39" customHeight="1" thickBot="1" x14ac:dyDescent="0.35">
      <c r="A68" s="4"/>
      <c r="B68" s="190" t="s">
        <v>11</v>
      </c>
      <c r="C68" s="151"/>
      <c r="D68" s="186"/>
      <c r="E68" s="186"/>
      <c r="H68" s="156"/>
      <c r="L68" s="2"/>
    </row>
    <row r="69" spans="1:19" ht="39" customHeight="1" thickBot="1" x14ac:dyDescent="0.35">
      <c r="A69" s="3"/>
      <c r="B69" s="187" t="s">
        <v>3</v>
      </c>
      <c r="C69" s="146"/>
      <c r="D69" s="186"/>
      <c r="E69" s="186"/>
      <c r="H69" s="156"/>
      <c r="L69" s="2"/>
    </row>
    <row r="70" spans="1:19" ht="39" customHeight="1" thickBot="1" x14ac:dyDescent="0.35">
      <c r="A70" s="3"/>
      <c r="B70" s="187" t="s">
        <v>4</v>
      </c>
      <c r="C70" s="146"/>
      <c r="D70" s="191" t="s">
        <v>27</v>
      </c>
      <c r="E70" s="192">
        <f>C59+C63-C64-C65-C69</f>
        <v>0</v>
      </c>
      <c r="H70" s="156"/>
      <c r="L70" s="2"/>
    </row>
    <row r="71" spans="1:19" ht="16.2" thickBot="1" x14ac:dyDescent="0.35">
      <c r="A71" s="3"/>
      <c r="H71" s="156"/>
      <c r="L71" s="2"/>
    </row>
    <row r="72" spans="1:19" ht="91.95" customHeight="1" thickBot="1" x14ac:dyDescent="0.35">
      <c r="A72" s="3"/>
      <c r="B72" s="333" t="s">
        <v>168</v>
      </c>
      <c r="C72" s="193" t="s">
        <v>17</v>
      </c>
      <c r="D72" s="193" t="s">
        <v>18</v>
      </c>
      <c r="E72" s="193" t="s">
        <v>19</v>
      </c>
      <c r="F72" s="316" t="s">
        <v>13</v>
      </c>
      <c r="H72" s="156"/>
      <c r="L72" s="2"/>
    </row>
    <row r="73" spans="1:19" ht="33" customHeight="1" thickBot="1" x14ac:dyDescent="0.35">
      <c r="A73" s="3"/>
      <c r="B73" s="334"/>
      <c r="C73" s="317">
        <f>IF(C59-C66-C67&lt;=0,0,C59-C66-C67)</f>
        <v>0</v>
      </c>
      <c r="D73" s="318">
        <f>IF($D$59-C66&lt;=0,0,MIN($D$59-C66,$C$73*D61))</f>
        <v>0</v>
      </c>
      <c r="E73" s="318">
        <f>IF($E$59-C67&lt;=0,0,MIN($E$59-C67,$C$73*E61))</f>
        <v>0</v>
      </c>
      <c r="F73" s="318">
        <f>IF(C73-D73-E73&lt;=0,0,C73-D73-E73)</f>
        <v>0</v>
      </c>
      <c r="H73" s="156"/>
      <c r="L73" s="2"/>
    </row>
    <row r="74" spans="1:19" ht="33" customHeight="1" thickBot="1" x14ac:dyDescent="0.35">
      <c r="A74" s="3"/>
      <c r="B74" s="335" t="s">
        <v>25</v>
      </c>
      <c r="C74" s="336"/>
      <c r="D74" s="319">
        <f>IFERROR(IF(D73/C73&lt;=0,0,D73/C73),0)</f>
        <v>0</v>
      </c>
      <c r="E74" s="319">
        <f>IFERROR(IF(E73/C73&lt;=0,0,E73/C73),0)</f>
        <v>0</v>
      </c>
      <c r="F74" s="319">
        <f>IFERROR(F73/C73,0)</f>
        <v>0</v>
      </c>
      <c r="H74" s="156"/>
      <c r="L74" s="2"/>
    </row>
    <row r="75" spans="1:19" ht="33" customHeight="1" thickBot="1" x14ac:dyDescent="0.35">
      <c r="A75" s="3"/>
      <c r="B75" s="337" t="s">
        <v>26</v>
      </c>
      <c r="C75" s="338"/>
      <c r="D75" s="314">
        <f>IFERROR(MAX( MIN( IF(OR(D73&gt;=$C$73,($D$73+$E$73)&gt;=$C$73),D73/($D$73+$E$73),D73/$C$73),1),0),0)</f>
        <v>0</v>
      </c>
      <c r="E75" s="314">
        <f>IFERROR(MAX( MIN( IF(OR(E73&gt;=$C$73,($D$73+$E$73)&gt;=$C$73),E73/($D$73+$E$73),E73/$C$73),1),0),0)</f>
        <v>0</v>
      </c>
      <c r="F75" s="315">
        <f>1-(D75+E75)</f>
        <v>1</v>
      </c>
      <c r="H75" s="156"/>
      <c r="L75" s="2"/>
    </row>
    <row r="76" spans="1:19" ht="18.600000000000001" thickBot="1" x14ac:dyDescent="0.35">
      <c r="A76" s="3"/>
      <c r="B76" s="194"/>
      <c r="C76" s="195"/>
      <c r="D76" s="26"/>
      <c r="E76" s="26"/>
      <c r="F76" s="26"/>
      <c r="H76" s="156"/>
      <c r="L76" s="2"/>
    </row>
    <row r="77" spans="1:19" ht="37.200000000000003" customHeight="1" thickBot="1" x14ac:dyDescent="0.35">
      <c r="A77" s="6"/>
      <c r="B77" s="196" t="s">
        <v>24</v>
      </c>
      <c r="C77" s="197">
        <f>C59+C63-C64-C65-C69-C70</f>
        <v>0</v>
      </c>
      <c r="D77" s="198" t="str">
        <f>IF(C77&lt;0, "ZARAR","KAR")</f>
        <v>KAR</v>
      </c>
      <c r="E77" s="186"/>
      <c r="F77" s="186"/>
      <c r="H77" s="156"/>
      <c r="L77" s="2"/>
    </row>
    <row r="78" spans="1:19" ht="18.600000000000001" thickBot="1" x14ac:dyDescent="0.35">
      <c r="A78" s="3"/>
      <c r="B78" s="199"/>
      <c r="C78" s="186"/>
      <c r="D78" s="186"/>
      <c r="E78" s="186"/>
      <c r="F78" s="186"/>
      <c r="H78" s="156"/>
      <c r="L78" s="2"/>
    </row>
    <row r="79" spans="1:19" s="1" customFormat="1" ht="25.2" customHeight="1" thickBot="1" x14ac:dyDescent="0.35">
      <c r="A79" s="155"/>
      <c r="B79" s="339" t="s">
        <v>48</v>
      </c>
      <c r="C79" s="340"/>
      <c r="D79" s="341"/>
      <c r="E79" s="199"/>
      <c r="F79" s="199"/>
      <c r="G79" s="155"/>
      <c r="H79" s="156"/>
      <c r="I79" s="155"/>
      <c r="J79" s="53"/>
      <c r="K79" s="66"/>
      <c r="L79" s="2"/>
      <c r="M79" s="155"/>
      <c r="N79" s="155"/>
      <c r="O79" s="155"/>
      <c r="P79" s="155"/>
      <c r="Q79" s="2"/>
      <c r="R79" s="2"/>
      <c r="S79" s="2"/>
    </row>
    <row r="80" spans="1:19" s="1" customFormat="1" ht="25.2" customHeight="1" thickBot="1" x14ac:dyDescent="0.35">
      <c r="A80" s="155"/>
      <c r="B80" s="200"/>
      <c r="C80" s="201" t="s">
        <v>116</v>
      </c>
      <c r="D80" s="201" t="s">
        <v>117</v>
      </c>
      <c r="E80" s="201" t="s">
        <v>118</v>
      </c>
      <c r="F80" s="201" t="s">
        <v>119</v>
      </c>
      <c r="G80" s="201" t="s">
        <v>120</v>
      </c>
      <c r="H80" s="156"/>
      <c r="I80" s="155"/>
      <c r="J80" s="53"/>
      <c r="K80" s="66"/>
      <c r="L80" s="2"/>
      <c r="M80" s="155"/>
      <c r="N80" s="155"/>
      <c r="O80" s="155"/>
      <c r="P80" s="155"/>
      <c r="Q80" s="2"/>
      <c r="R80" s="2"/>
      <c r="S80" s="2"/>
    </row>
    <row r="81" spans="1:19" s="1" customFormat="1" ht="37.950000000000003" customHeight="1" thickBot="1" x14ac:dyDescent="0.35">
      <c r="A81" s="155"/>
      <c r="B81" s="202" t="s">
        <v>37</v>
      </c>
      <c r="C81" s="27"/>
      <c r="D81" s="27"/>
      <c r="E81" s="27"/>
      <c r="F81" s="27"/>
      <c r="G81" s="27"/>
      <c r="H81" s="64"/>
      <c r="I81" s="155"/>
      <c r="J81" s="284"/>
      <c r="K81" s="66"/>
      <c r="L81" s="2"/>
      <c r="M81" s="155"/>
      <c r="N81" s="155"/>
      <c r="O81" s="155"/>
      <c r="P81" s="155"/>
      <c r="Q81" s="2"/>
      <c r="R81" s="2"/>
      <c r="S81" s="2"/>
    </row>
    <row r="82" spans="1:19" s="1" customFormat="1" ht="25.2" customHeight="1" thickBot="1" x14ac:dyDescent="0.35">
      <c r="A82" s="155"/>
      <c r="B82" s="203" t="s">
        <v>32</v>
      </c>
      <c r="C82" s="342">
        <f>C77</f>
        <v>0</v>
      </c>
      <c r="D82" s="343"/>
      <c r="E82" s="343"/>
      <c r="F82" s="343"/>
      <c r="G82" s="344"/>
      <c r="H82" s="64"/>
      <c r="I82" s="2"/>
      <c r="J82" s="53"/>
      <c r="K82" s="56"/>
      <c r="L82" s="2"/>
      <c r="M82" s="155"/>
      <c r="N82" s="155"/>
      <c r="O82" s="155"/>
      <c r="P82" s="155"/>
      <c r="Q82" s="2"/>
      <c r="R82" s="2"/>
      <c r="S82" s="2"/>
    </row>
    <row r="83" spans="1:19" ht="42.6" customHeight="1" thickBot="1" x14ac:dyDescent="0.35">
      <c r="B83" s="204" t="s">
        <v>126</v>
      </c>
      <c r="C83" s="28"/>
      <c r="D83" s="28"/>
      <c r="E83" s="28"/>
      <c r="F83" s="28"/>
      <c r="G83" s="28"/>
      <c r="H83" s="323">
        <f>IF(SUM(C83:G83)&gt;C77,"32/A İNDİRİMİ UYGULANACAK KAZANÇ, SAFİ KURUM KAZANCINDAN FAZLADIR",SUM(C83:G83))</f>
        <v>0</v>
      </c>
      <c r="L83" s="2"/>
    </row>
    <row r="84" spans="1:19" ht="25.2" customHeight="1" x14ac:dyDescent="0.3">
      <c r="B84" s="205" t="s">
        <v>33</v>
      </c>
      <c r="C84" s="324">
        <f>IF(C82-(C83+D83+E83+F83+G83)&lt;0,0,C82-(C83+D83+E83+F83+G83))</f>
        <v>0</v>
      </c>
      <c r="D84" s="325"/>
      <c r="E84" s="325"/>
      <c r="F84" s="325"/>
      <c r="G84" s="326"/>
      <c r="H84" s="156"/>
      <c r="L84" s="2"/>
    </row>
    <row r="85" spans="1:19" ht="25.2" customHeight="1" thickBot="1" x14ac:dyDescent="0.35">
      <c r="B85" s="206" t="s">
        <v>31</v>
      </c>
      <c r="C85" s="345">
        <f>IF((C83+D83+E83+F83+G83+C84)&gt;C77,C77,(C83+D83+E83+F83+G83+C84))</f>
        <v>0</v>
      </c>
      <c r="D85" s="346"/>
      <c r="E85" s="346"/>
      <c r="F85" s="346"/>
      <c r="G85" s="347"/>
      <c r="H85" s="156"/>
      <c r="L85" s="2"/>
    </row>
    <row r="86" spans="1:19" ht="16.2" thickBot="1" x14ac:dyDescent="0.35">
      <c r="A86" s="3"/>
      <c r="L86" s="2"/>
    </row>
    <row r="87" spans="1:19" ht="15.6" customHeight="1" x14ac:dyDescent="0.3">
      <c r="A87" s="3"/>
      <c r="B87" s="348" t="s">
        <v>63</v>
      </c>
      <c r="C87" s="348" t="s">
        <v>12</v>
      </c>
      <c r="D87" s="351" t="s">
        <v>14</v>
      </c>
      <c r="E87" s="351" t="s">
        <v>15</v>
      </c>
      <c r="F87" s="351" t="s">
        <v>16</v>
      </c>
      <c r="G87" s="371" t="s">
        <v>133</v>
      </c>
      <c r="H87" s="372"/>
      <c r="L87" s="2"/>
    </row>
    <row r="88" spans="1:19" ht="16.2" customHeight="1" thickBot="1" x14ac:dyDescent="0.35">
      <c r="A88" s="3"/>
      <c r="B88" s="349"/>
      <c r="C88" s="350"/>
      <c r="D88" s="352"/>
      <c r="E88" s="352"/>
      <c r="F88" s="352"/>
      <c r="G88" s="373"/>
      <c r="H88" s="374"/>
      <c r="L88" s="2"/>
    </row>
    <row r="89" spans="1:19" ht="37.200000000000003" customHeight="1" thickBot="1" x14ac:dyDescent="0.35">
      <c r="A89" s="3"/>
      <c r="B89" s="350"/>
      <c r="C89" s="320">
        <f>C77</f>
        <v>0</v>
      </c>
      <c r="D89" s="321">
        <f>IF(AND(C66&gt;0,OR(D73&gt;=$C$73,$D$73+$E$73&gt;=$C$73)),    MAX( MIN($C$89*D75, D59-C66),0),    IF(C66&gt;0, MAX(MIN($C$89*D75,D59-C66),0), MAX(MIN($C$89*D75,D59),0)))</f>
        <v>0</v>
      </c>
      <c r="E89" s="321">
        <f>IF(AND(C67&gt;0,OR(E73&gt;=$C$73,$D$73+$E$73&gt;=$C$73)),    MAX( MIN($C$89*E75, E59-C67),0),    IF(C67&gt;0, MAX(MIN($C$89*E75,E59-C67),0), MAX(MIN($C$89*E75,E59),0)))</f>
        <v>0</v>
      </c>
      <c r="F89" s="321">
        <f>IF(C89-D89-E89&lt;=0,0,C89-D89-E89)</f>
        <v>0</v>
      </c>
      <c r="G89" s="373"/>
      <c r="H89" s="374"/>
      <c r="L89" s="2"/>
    </row>
    <row r="90" spans="1:19" ht="24" customHeight="1" thickBot="1" x14ac:dyDescent="0.35">
      <c r="A90" s="3"/>
      <c r="B90" s="296" t="s">
        <v>164</v>
      </c>
      <c r="C90" s="297">
        <f>C89</f>
        <v>0</v>
      </c>
      <c r="D90" s="310">
        <f>IFERROR(D89/C89,0)</f>
        <v>0</v>
      </c>
      <c r="E90" s="310">
        <f>IFERROR(E89/D89,0)</f>
        <v>0</v>
      </c>
      <c r="F90" s="310">
        <f>IFERROR(F89/E89,0)</f>
        <v>0</v>
      </c>
      <c r="G90" s="373"/>
      <c r="H90" s="374"/>
      <c r="L90" s="2"/>
    </row>
    <row r="91" spans="1:19" ht="24" customHeight="1" thickBot="1" x14ac:dyDescent="0.35">
      <c r="A91" s="3"/>
      <c r="B91" s="296" t="s">
        <v>66</v>
      </c>
      <c r="C91" s="295">
        <f>C90</f>
        <v>0</v>
      </c>
      <c r="D91" s="298">
        <f>D89</f>
        <v>0</v>
      </c>
      <c r="E91" s="295">
        <f>E89</f>
        <v>0</v>
      </c>
      <c r="F91" s="299">
        <f>F89</f>
        <v>0</v>
      </c>
      <c r="G91" s="373"/>
      <c r="H91" s="374"/>
      <c r="L91" s="2"/>
    </row>
    <row r="92" spans="1:19" ht="24" customHeight="1" thickBot="1" x14ac:dyDescent="0.35">
      <c r="A92" s="3"/>
      <c r="B92" s="296" t="s">
        <v>65</v>
      </c>
      <c r="C92" s="300">
        <f>C91</f>
        <v>0</v>
      </c>
      <c r="D92" s="310">
        <f>IFERROR(IF(D91/C91&gt;=1,1,D91/C91),0)</f>
        <v>0</v>
      </c>
      <c r="E92" s="311">
        <f>IFERROR(IF(E91/C91&gt;=1,1,E91/C91),0)</f>
        <v>0</v>
      </c>
      <c r="F92" s="310">
        <f>IFERROR(IF(F91/C91&gt;=1,1,F91/C91),0)</f>
        <v>0</v>
      </c>
      <c r="G92" s="373"/>
      <c r="H92" s="374"/>
      <c r="I92" s="208" t="s">
        <v>130</v>
      </c>
      <c r="L92" s="2"/>
    </row>
    <row r="93" spans="1:19" ht="41.4" customHeight="1" thickBot="1" x14ac:dyDescent="0.35">
      <c r="A93" s="3"/>
      <c r="B93" s="296" t="s">
        <v>129</v>
      </c>
      <c r="C93" s="295">
        <f>C92*($I$93-2/100)</f>
        <v>0</v>
      </c>
      <c r="D93" s="295">
        <f>D91*($I$93-2/100)</f>
        <v>0</v>
      </c>
      <c r="E93" s="295">
        <f>E91*($I$93-2/100)</f>
        <v>0</v>
      </c>
      <c r="F93" s="295">
        <f>F91*($I$93-2/100)</f>
        <v>0</v>
      </c>
      <c r="G93" s="373"/>
      <c r="H93" s="374"/>
      <c r="I93" s="153">
        <v>0.25</v>
      </c>
      <c r="L93" s="2"/>
    </row>
    <row r="94" spans="1:19" ht="24" customHeight="1" thickBot="1" x14ac:dyDescent="0.35">
      <c r="A94" s="3"/>
      <c r="B94" s="193" t="s">
        <v>50</v>
      </c>
      <c r="C94" s="295">
        <f>C83+D83+E83+F83+G83</f>
        <v>0</v>
      </c>
      <c r="D94" s="295">
        <f>D106+D111+D116+D121+D126</f>
        <v>0</v>
      </c>
      <c r="E94" s="295">
        <f>D105+D110+D115+D120+D125</f>
        <v>0</v>
      </c>
      <c r="F94" s="295">
        <f>D104+D109+D114+D119+D124</f>
        <v>0</v>
      </c>
      <c r="G94" s="373"/>
      <c r="H94" s="374"/>
      <c r="L94" s="2"/>
    </row>
    <row r="95" spans="1:19" ht="24" customHeight="1" thickBot="1" x14ac:dyDescent="0.35">
      <c r="A95" s="3"/>
      <c r="B95" s="193" t="s">
        <v>52</v>
      </c>
      <c r="C95" s="295">
        <f>L107+L112+L117+L122+L127</f>
        <v>0</v>
      </c>
      <c r="D95" s="295">
        <f>L106+L111+L116+L121+L126</f>
        <v>0</v>
      </c>
      <c r="E95" s="295">
        <f>L105+L110+L115+L120+L125</f>
        <v>0</v>
      </c>
      <c r="F95" s="295">
        <f>L104+L109+L114+L119+L124</f>
        <v>0</v>
      </c>
      <c r="G95" s="373"/>
      <c r="H95" s="374"/>
      <c r="L95" s="2"/>
    </row>
    <row r="96" spans="1:19" ht="24" customHeight="1" thickBot="1" x14ac:dyDescent="0.35">
      <c r="A96" s="3"/>
      <c r="B96" s="294" t="s">
        <v>51</v>
      </c>
      <c r="C96" s="301">
        <f>IF(C84&lt;=0,0,C84)</f>
        <v>0</v>
      </c>
      <c r="D96" s="295">
        <f>D131</f>
        <v>0</v>
      </c>
      <c r="E96" s="295">
        <f>D130</f>
        <v>0</v>
      </c>
      <c r="F96" s="295">
        <f>D129</f>
        <v>0</v>
      </c>
      <c r="G96" s="373"/>
      <c r="H96" s="374"/>
      <c r="L96" s="2"/>
    </row>
    <row r="97" spans="1:19" ht="24" customHeight="1" thickBot="1" x14ac:dyDescent="0.35">
      <c r="A97" s="3"/>
      <c r="B97" s="302" t="s">
        <v>53</v>
      </c>
      <c r="C97" s="295">
        <f>N129</f>
        <v>0</v>
      </c>
      <c r="D97" s="295">
        <f>L131</f>
        <v>0</v>
      </c>
      <c r="E97" s="295">
        <f>L130</f>
        <v>0</v>
      </c>
      <c r="F97" s="295">
        <f>L129</f>
        <v>0</v>
      </c>
      <c r="G97" s="373"/>
      <c r="H97" s="374"/>
      <c r="L97" s="2"/>
    </row>
    <row r="98" spans="1:19" ht="24" customHeight="1" thickBot="1" x14ac:dyDescent="0.35">
      <c r="A98" s="3"/>
      <c r="B98" s="303" t="s">
        <v>56</v>
      </c>
      <c r="C98" s="309">
        <f>C95+C97</f>
        <v>0</v>
      </c>
      <c r="D98" s="309">
        <f>L131+L106</f>
        <v>0</v>
      </c>
      <c r="E98" s="309">
        <f>L130+L105</f>
        <v>0</v>
      </c>
      <c r="F98" s="309">
        <f>L129+L104</f>
        <v>0</v>
      </c>
      <c r="G98" s="373"/>
      <c r="H98" s="374"/>
      <c r="L98" s="2"/>
    </row>
    <row r="99" spans="1:19" ht="40.200000000000003" customHeight="1" thickBot="1" x14ac:dyDescent="0.35">
      <c r="A99" s="3"/>
      <c r="B99" s="193" t="s">
        <v>64</v>
      </c>
      <c r="C99" s="301">
        <f>C93-C98</f>
        <v>0</v>
      </c>
      <c r="D99" s="295">
        <f>D100+D101</f>
        <v>0</v>
      </c>
      <c r="E99" s="295">
        <f t="shared" ref="E99:F99" si="18">E100+E101</f>
        <v>0</v>
      </c>
      <c r="F99" s="295">
        <f t="shared" si="18"/>
        <v>0</v>
      </c>
      <c r="G99" s="373"/>
      <c r="H99" s="374"/>
      <c r="L99" s="2"/>
    </row>
    <row r="100" spans="1:19" ht="24" customHeight="1" thickBot="1" x14ac:dyDescent="0.35">
      <c r="A100" s="3"/>
      <c r="B100" s="304" t="s">
        <v>156</v>
      </c>
      <c r="C100" s="305">
        <f>H132+H127+H122+H117+H112+H107</f>
        <v>0</v>
      </c>
      <c r="D100" s="306">
        <f>H131+H106+H111+H116+H121+H126</f>
        <v>0</v>
      </c>
      <c r="E100" s="306">
        <f>H130+H105+H110+H115+H120+H125</f>
        <v>0</v>
      </c>
      <c r="F100" s="306">
        <f>H129+H104+H109+H114+H119+H124</f>
        <v>0</v>
      </c>
      <c r="G100" s="373"/>
      <c r="H100" s="374"/>
      <c r="L100" s="2"/>
    </row>
    <row r="101" spans="1:19" ht="24" customHeight="1" thickBot="1" x14ac:dyDescent="0.35">
      <c r="A101" s="3"/>
      <c r="B101" s="307" t="s">
        <v>57</v>
      </c>
      <c r="C101" s="305">
        <f>M107+M112+M117+M122+M127+M132</f>
        <v>0</v>
      </c>
      <c r="D101" s="306">
        <f>M106+M111+M121+M126+M131+M116</f>
        <v>0</v>
      </c>
      <c r="E101" s="306">
        <f>M105+M110+M115+M120+M125+M130</f>
        <v>0</v>
      </c>
      <c r="F101" s="306">
        <f>M104++M109+M114+M119+M124+M129</f>
        <v>0</v>
      </c>
      <c r="G101" s="375"/>
      <c r="H101" s="376"/>
      <c r="L101" s="2"/>
    </row>
    <row r="102" spans="1:19" ht="16.2" thickBot="1" x14ac:dyDescent="0.35">
      <c r="L102" s="2"/>
    </row>
    <row r="103" spans="1:19" ht="72.599999999999994" thickBot="1" x14ac:dyDescent="0.35">
      <c r="B103" s="286" t="s">
        <v>121</v>
      </c>
      <c r="C103" s="210">
        <f>C83</f>
        <v>0</v>
      </c>
      <c r="D103" s="230" t="s">
        <v>29</v>
      </c>
      <c r="E103" s="207" t="s">
        <v>145</v>
      </c>
      <c r="F103" s="207" t="s">
        <v>127</v>
      </c>
      <c r="G103" s="207" t="s">
        <v>128</v>
      </c>
      <c r="H103" s="211" t="s">
        <v>147</v>
      </c>
      <c r="I103" s="79" t="s">
        <v>148</v>
      </c>
      <c r="J103" s="112" t="s">
        <v>54</v>
      </c>
      <c r="K103" s="113" t="s">
        <v>141</v>
      </c>
      <c r="L103" s="81" t="s">
        <v>143</v>
      </c>
      <c r="M103" s="82" t="s">
        <v>49</v>
      </c>
      <c r="N103" s="83" t="s">
        <v>30</v>
      </c>
      <c r="R103" s="2"/>
      <c r="S103" s="2"/>
    </row>
    <row r="104" spans="1:19" ht="18" x14ac:dyDescent="0.3">
      <c r="B104" s="212" t="s">
        <v>131</v>
      </c>
      <c r="C104" s="101">
        <f>F92</f>
        <v>0</v>
      </c>
      <c r="D104" s="73">
        <f>C103*C104</f>
        <v>0</v>
      </c>
      <c r="E104" s="74">
        <f>D104*$I$93</f>
        <v>0</v>
      </c>
      <c r="F104" s="74">
        <f>D104*0.02</f>
        <v>0</v>
      </c>
      <c r="G104" s="74">
        <f>E104-F104</f>
        <v>0</v>
      </c>
      <c r="H104" s="75">
        <v>0</v>
      </c>
      <c r="I104" s="110">
        <f>E104-H104-F104</f>
        <v>0</v>
      </c>
      <c r="J104" s="111">
        <f>I104</f>
        <v>0</v>
      </c>
      <c r="K104" s="125">
        <f>($I$93-0.02)-(($I$93-0.02)*C81)</f>
        <v>0.23</v>
      </c>
      <c r="L104" s="77">
        <f>K104*D104</f>
        <v>0</v>
      </c>
      <c r="M104" s="78">
        <f>J104-L104</f>
        <v>0</v>
      </c>
      <c r="N104" s="358">
        <f>L107</f>
        <v>0</v>
      </c>
      <c r="Q104" s="2"/>
    </row>
    <row r="105" spans="1:19" ht="18" x14ac:dyDescent="0.3">
      <c r="B105" s="213" t="s">
        <v>132</v>
      </c>
      <c r="C105" s="29">
        <f>E92</f>
        <v>0</v>
      </c>
      <c r="D105" s="30">
        <f>C103*C105</f>
        <v>0</v>
      </c>
      <c r="E105" s="31">
        <f>D105*$I$93</f>
        <v>0</v>
      </c>
      <c r="F105" s="31">
        <f t="shared" ref="F105:F106" si="19">D105*0.02</f>
        <v>0</v>
      </c>
      <c r="G105" s="31">
        <f t="shared" ref="G105:G106" si="20">E105-F105</f>
        <v>0</v>
      </c>
      <c r="H105" s="7">
        <f>D105/100</f>
        <v>0</v>
      </c>
      <c r="I105" s="59">
        <f>E105-H105-F105</f>
        <v>0</v>
      </c>
      <c r="J105" s="60">
        <f t="shared" ref="J105:J106" si="21">I105</f>
        <v>0</v>
      </c>
      <c r="K105" s="126">
        <f>($I$93-0.03)-(($I$93-0.03)*C81)</f>
        <v>0.22</v>
      </c>
      <c r="L105" s="9">
        <f>K105*D105</f>
        <v>0</v>
      </c>
      <c r="M105" s="10">
        <f t="shared" ref="M105:M106" si="22">J105-L105</f>
        <v>0</v>
      </c>
      <c r="N105" s="359"/>
      <c r="Q105" s="2"/>
    </row>
    <row r="106" spans="1:19" ht="18" x14ac:dyDescent="0.3">
      <c r="B106" s="213" t="s">
        <v>136</v>
      </c>
      <c r="C106" s="29">
        <f>D92</f>
        <v>0</v>
      </c>
      <c r="D106" s="30">
        <f>C103*C106</f>
        <v>0</v>
      </c>
      <c r="E106" s="31">
        <f>D106*$I$93</f>
        <v>0</v>
      </c>
      <c r="F106" s="31">
        <f t="shared" si="19"/>
        <v>0</v>
      </c>
      <c r="G106" s="31">
        <f t="shared" si="20"/>
        <v>0</v>
      </c>
      <c r="H106" s="127">
        <f>D106/20</f>
        <v>0</v>
      </c>
      <c r="I106" s="59">
        <f>E106-H106-F106</f>
        <v>0</v>
      </c>
      <c r="J106" s="60">
        <f t="shared" si="21"/>
        <v>0</v>
      </c>
      <c r="K106" s="126">
        <f>($I$93-0.07)-(($I$93-0.07)*C81)</f>
        <v>0.18</v>
      </c>
      <c r="L106" s="9">
        <f>K106*D106</f>
        <v>0</v>
      </c>
      <c r="M106" s="10">
        <f t="shared" si="22"/>
        <v>0</v>
      </c>
      <c r="N106" s="359"/>
      <c r="Q106" s="2"/>
    </row>
    <row r="107" spans="1:19" s="214" customFormat="1" ht="18.600000000000001" thickBot="1" x14ac:dyDescent="0.35">
      <c r="B107" s="215" t="s">
        <v>35</v>
      </c>
      <c r="C107" s="216">
        <f>SUM(C104:C106)</f>
        <v>0</v>
      </c>
      <c r="D107" s="217">
        <f t="shared" ref="D107:G107" si="23">SUM(D104:D106)</f>
        <v>0</v>
      </c>
      <c r="E107" s="218">
        <f t="shared" si="23"/>
        <v>0</v>
      </c>
      <c r="F107" s="218">
        <f t="shared" si="23"/>
        <v>0</v>
      </c>
      <c r="G107" s="218">
        <f t="shared" si="23"/>
        <v>0</v>
      </c>
      <c r="H107" s="11">
        <f>SUM(H104:H106)</f>
        <v>0</v>
      </c>
      <c r="I107" s="12">
        <f>SUM(I104:I106)</f>
        <v>0</v>
      </c>
      <c r="J107" s="54">
        <f t="shared" ref="J107:M107" si="24">SUM(J104:J106)</f>
        <v>0</v>
      </c>
      <c r="K107" s="57"/>
      <c r="L107" s="12">
        <f t="shared" si="24"/>
        <v>0</v>
      </c>
      <c r="M107" s="13">
        <f t="shared" si="24"/>
        <v>0</v>
      </c>
      <c r="N107" s="360"/>
      <c r="Q107" s="14"/>
    </row>
    <row r="108" spans="1:19" ht="72.599999999999994" thickBot="1" x14ac:dyDescent="0.35">
      <c r="B108" s="287" t="s">
        <v>122</v>
      </c>
      <c r="C108" s="220">
        <f>D83</f>
        <v>0</v>
      </c>
      <c r="D108" s="221" t="s">
        <v>29</v>
      </c>
      <c r="E108" s="222" t="s">
        <v>146</v>
      </c>
      <c r="F108" s="222" t="s">
        <v>127</v>
      </c>
      <c r="G108" s="222" t="s">
        <v>128</v>
      </c>
      <c r="H108" s="223" t="s">
        <v>147</v>
      </c>
      <c r="I108" s="97" t="s">
        <v>148</v>
      </c>
      <c r="J108" s="116" t="s">
        <v>54</v>
      </c>
      <c r="K108" s="117" t="s">
        <v>142</v>
      </c>
      <c r="L108" s="98" t="s">
        <v>144</v>
      </c>
      <c r="M108" s="99" t="s">
        <v>49</v>
      </c>
      <c r="N108" s="100" t="s">
        <v>30</v>
      </c>
      <c r="R108" s="2"/>
      <c r="S108" s="2"/>
    </row>
    <row r="109" spans="1:19" ht="18" x14ac:dyDescent="0.3">
      <c r="B109" s="224" t="s">
        <v>131</v>
      </c>
      <c r="C109" s="90">
        <f>F92</f>
        <v>0</v>
      </c>
      <c r="D109" s="91">
        <f>C108*C109</f>
        <v>0</v>
      </c>
      <c r="E109" s="92">
        <f>D109*$I$93</f>
        <v>0</v>
      </c>
      <c r="F109" s="92">
        <f>D109*0.02</f>
        <v>0</v>
      </c>
      <c r="G109" s="92">
        <f>E109-F109</f>
        <v>0</v>
      </c>
      <c r="H109" s="93">
        <v>0</v>
      </c>
      <c r="I109" s="114">
        <f>E109-H109-F109</f>
        <v>0</v>
      </c>
      <c r="J109" s="115">
        <f>I109</f>
        <v>0</v>
      </c>
      <c r="K109" s="125">
        <f>($I$93-0.02)-(($I$93-0.02)*D81)</f>
        <v>0.23</v>
      </c>
      <c r="L109" s="95">
        <f>K109*D109</f>
        <v>0</v>
      </c>
      <c r="M109" s="96">
        <f>J109-L109</f>
        <v>0</v>
      </c>
      <c r="N109" s="361">
        <f>L112</f>
        <v>0</v>
      </c>
      <c r="Q109" s="2"/>
    </row>
    <row r="110" spans="1:19" ht="18" x14ac:dyDescent="0.3">
      <c r="B110" s="225" t="s">
        <v>132</v>
      </c>
      <c r="C110" s="33">
        <f>E92</f>
        <v>0</v>
      </c>
      <c r="D110" s="34">
        <f>C108*C110</f>
        <v>0</v>
      </c>
      <c r="E110" s="35">
        <f>D110*$I$93</f>
        <v>0</v>
      </c>
      <c r="F110" s="35">
        <f t="shared" ref="F110:F111" si="25">D110*0.02</f>
        <v>0</v>
      </c>
      <c r="G110" s="35">
        <f t="shared" ref="G110:G111" si="26">E110-F110</f>
        <v>0</v>
      </c>
      <c r="H110" s="36">
        <f>D110/100</f>
        <v>0</v>
      </c>
      <c r="I110" s="61">
        <f>E110-H110-F110</f>
        <v>0</v>
      </c>
      <c r="J110" s="62">
        <f t="shared" ref="J110:J111" si="27">I110</f>
        <v>0</v>
      </c>
      <c r="K110" s="126">
        <f>($I$93-0.03)-(($I$93-0.03)*D81)</f>
        <v>0.22</v>
      </c>
      <c r="L110" s="38">
        <f>K110*D110</f>
        <v>0</v>
      </c>
      <c r="M110" s="39">
        <f t="shared" ref="M110:M111" si="28">J110-L110</f>
        <v>0</v>
      </c>
      <c r="N110" s="362"/>
      <c r="Q110" s="2"/>
    </row>
    <row r="111" spans="1:19" ht="18" x14ac:dyDescent="0.3">
      <c r="B111" s="225" t="s">
        <v>136</v>
      </c>
      <c r="C111" s="33">
        <f>D92</f>
        <v>0</v>
      </c>
      <c r="D111" s="34">
        <f>C108*C111</f>
        <v>0</v>
      </c>
      <c r="E111" s="35">
        <f>D111*$I$93</f>
        <v>0</v>
      </c>
      <c r="F111" s="35">
        <f t="shared" si="25"/>
        <v>0</v>
      </c>
      <c r="G111" s="35">
        <f t="shared" si="26"/>
        <v>0</v>
      </c>
      <c r="H111" s="36">
        <f>D111/20</f>
        <v>0</v>
      </c>
      <c r="I111" s="61">
        <f>E111-H111-F111</f>
        <v>0</v>
      </c>
      <c r="J111" s="62">
        <f t="shared" si="27"/>
        <v>0</v>
      </c>
      <c r="K111" s="126">
        <f>($I$93-0.07)-(($I$93-0.07)*D81)</f>
        <v>0.18</v>
      </c>
      <c r="L111" s="38">
        <f>K111*D111</f>
        <v>0</v>
      </c>
      <c r="M111" s="39">
        <f t="shared" si="28"/>
        <v>0</v>
      </c>
      <c r="N111" s="362"/>
      <c r="Q111" s="2"/>
    </row>
    <row r="112" spans="1:19" s="214" customFormat="1" ht="18.600000000000001" thickBot="1" x14ac:dyDescent="0.35">
      <c r="B112" s="226" t="s">
        <v>35</v>
      </c>
      <c r="C112" s="227">
        <f t="shared" ref="C112:G112" si="29">SUM(C109:C111)</f>
        <v>0</v>
      </c>
      <c r="D112" s="228">
        <f t="shared" si="29"/>
        <v>0</v>
      </c>
      <c r="E112" s="229">
        <f t="shared" si="29"/>
        <v>0</v>
      </c>
      <c r="F112" s="229">
        <f t="shared" si="29"/>
        <v>0</v>
      </c>
      <c r="G112" s="229">
        <f t="shared" si="29"/>
        <v>0</v>
      </c>
      <c r="H112" s="40">
        <f>SUM(H109:H111)</f>
        <v>0</v>
      </c>
      <c r="I112" s="41">
        <f>SUM(I109:I111)</f>
        <v>0</v>
      </c>
      <c r="J112" s="55">
        <f t="shared" ref="J112" si="30">SUM(J109:J111)</f>
        <v>0</v>
      </c>
      <c r="K112" s="58"/>
      <c r="L112" s="41">
        <f t="shared" ref="L112:M112" si="31">SUM(L109:L111)</f>
        <v>0</v>
      </c>
      <c r="M112" s="42">
        <f t="shared" si="31"/>
        <v>0</v>
      </c>
      <c r="N112" s="363"/>
      <c r="Q112" s="14"/>
    </row>
    <row r="113" spans="2:19" ht="72.599999999999994" thickBot="1" x14ac:dyDescent="0.35">
      <c r="B113" s="286" t="s">
        <v>123</v>
      </c>
      <c r="C113" s="210">
        <f>E83</f>
        <v>0</v>
      </c>
      <c r="D113" s="230" t="s">
        <v>29</v>
      </c>
      <c r="E113" s="207" t="s">
        <v>145</v>
      </c>
      <c r="F113" s="207" t="s">
        <v>127</v>
      </c>
      <c r="G113" s="207" t="s">
        <v>128</v>
      </c>
      <c r="H113" s="211" t="s">
        <v>147</v>
      </c>
      <c r="I113" s="79" t="s">
        <v>148</v>
      </c>
      <c r="J113" s="112" t="s">
        <v>54</v>
      </c>
      <c r="K113" s="113" t="s">
        <v>141</v>
      </c>
      <c r="L113" s="81" t="s">
        <v>143</v>
      </c>
      <c r="M113" s="82" t="s">
        <v>49</v>
      </c>
      <c r="N113" s="83" t="s">
        <v>30</v>
      </c>
      <c r="R113" s="2"/>
      <c r="S113" s="2"/>
    </row>
    <row r="114" spans="2:19" ht="18" x14ac:dyDescent="0.3">
      <c r="B114" s="212" t="s">
        <v>131</v>
      </c>
      <c r="C114" s="101">
        <f>F92</f>
        <v>0</v>
      </c>
      <c r="D114" s="73">
        <f>C113*C114</f>
        <v>0</v>
      </c>
      <c r="E114" s="74">
        <f>D114*$I$93</f>
        <v>0</v>
      </c>
      <c r="F114" s="74">
        <f>D114*0.02</f>
        <v>0</v>
      </c>
      <c r="G114" s="74">
        <f>E114-F114</f>
        <v>0</v>
      </c>
      <c r="H114" s="75">
        <v>0</v>
      </c>
      <c r="I114" s="110">
        <f>E114-H114-F114</f>
        <v>0</v>
      </c>
      <c r="J114" s="111">
        <f>I114</f>
        <v>0</v>
      </c>
      <c r="K114" s="125">
        <f>($I$93-0.02)-(($I$93-0.02)*E81)</f>
        <v>0.23</v>
      </c>
      <c r="L114" s="77">
        <f>K114*D114</f>
        <v>0</v>
      </c>
      <c r="M114" s="78">
        <f>J114-L114</f>
        <v>0</v>
      </c>
      <c r="N114" s="358">
        <f>L117</f>
        <v>0</v>
      </c>
      <c r="Q114" s="2"/>
    </row>
    <row r="115" spans="2:19" ht="18" x14ac:dyDescent="0.3">
      <c r="B115" s="213" t="s">
        <v>132</v>
      </c>
      <c r="C115" s="29">
        <f>E92</f>
        <v>0</v>
      </c>
      <c r="D115" s="30">
        <f>C113*C115</f>
        <v>0</v>
      </c>
      <c r="E115" s="31">
        <f>D115*$I$93</f>
        <v>0</v>
      </c>
      <c r="F115" s="31">
        <f t="shared" ref="F115:F116" si="32">D115*0.02</f>
        <v>0</v>
      </c>
      <c r="G115" s="31">
        <f t="shared" ref="G115:G116" si="33">E115-F115</f>
        <v>0</v>
      </c>
      <c r="H115" s="7">
        <f>D115/100</f>
        <v>0</v>
      </c>
      <c r="I115" s="59">
        <f>E115-H115-F115</f>
        <v>0</v>
      </c>
      <c r="J115" s="60">
        <f t="shared" ref="J115:J116" si="34">I115</f>
        <v>0</v>
      </c>
      <c r="K115" s="126">
        <f>($I$93-0.03)-(($I$93-0.03)*E81)</f>
        <v>0.22</v>
      </c>
      <c r="L115" s="9">
        <f>K115*D115</f>
        <v>0</v>
      </c>
      <c r="M115" s="10">
        <f t="shared" ref="M115:M116" si="35">J115-L115</f>
        <v>0</v>
      </c>
      <c r="N115" s="359"/>
      <c r="Q115" s="2"/>
    </row>
    <row r="116" spans="2:19" ht="18" x14ac:dyDescent="0.3">
      <c r="B116" s="213" t="s">
        <v>136</v>
      </c>
      <c r="C116" s="29">
        <f>D92</f>
        <v>0</v>
      </c>
      <c r="D116" s="30">
        <f>C113*C116</f>
        <v>0</v>
      </c>
      <c r="E116" s="31">
        <f>D116*$I$93</f>
        <v>0</v>
      </c>
      <c r="F116" s="31">
        <f t="shared" si="32"/>
        <v>0</v>
      </c>
      <c r="G116" s="31">
        <f t="shared" si="33"/>
        <v>0</v>
      </c>
      <c r="H116" s="127">
        <f>D116/20</f>
        <v>0</v>
      </c>
      <c r="I116" s="59">
        <f>E116-H116-F116</f>
        <v>0</v>
      </c>
      <c r="J116" s="60">
        <f t="shared" si="34"/>
        <v>0</v>
      </c>
      <c r="K116" s="126">
        <f>($I$93-0.07)-(($I$93-0.07)*E81)</f>
        <v>0.18</v>
      </c>
      <c r="L116" s="9">
        <f>K116*D116</f>
        <v>0</v>
      </c>
      <c r="M116" s="10">
        <f t="shared" si="35"/>
        <v>0</v>
      </c>
      <c r="N116" s="359"/>
      <c r="Q116" s="2"/>
    </row>
    <row r="117" spans="2:19" s="214" customFormat="1" ht="18.600000000000001" thickBot="1" x14ac:dyDescent="0.35">
      <c r="B117" s="215" t="s">
        <v>35</v>
      </c>
      <c r="C117" s="216">
        <f t="shared" ref="C117:G117" si="36">SUM(C114:C116)</f>
        <v>0</v>
      </c>
      <c r="D117" s="217">
        <f t="shared" si="36"/>
        <v>0</v>
      </c>
      <c r="E117" s="218">
        <f t="shared" si="36"/>
        <v>0</v>
      </c>
      <c r="F117" s="218">
        <f t="shared" si="36"/>
        <v>0</v>
      </c>
      <c r="G117" s="218">
        <f t="shared" si="36"/>
        <v>0</v>
      </c>
      <c r="H117" s="11">
        <f>SUM(H114:H116)</f>
        <v>0</v>
      </c>
      <c r="I117" s="12">
        <f>SUM(I114:I116)</f>
        <v>0</v>
      </c>
      <c r="J117" s="54">
        <f t="shared" ref="J117" si="37">SUM(J114:J116)</f>
        <v>0</v>
      </c>
      <c r="K117" s="57"/>
      <c r="L117" s="12">
        <f t="shared" ref="L117:M117" si="38">SUM(L114:L116)</f>
        <v>0</v>
      </c>
      <c r="M117" s="13">
        <f t="shared" si="38"/>
        <v>0</v>
      </c>
      <c r="N117" s="360"/>
      <c r="Q117" s="14"/>
    </row>
    <row r="118" spans="2:19" ht="72.599999999999994" thickBot="1" x14ac:dyDescent="0.35">
      <c r="B118" s="287" t="s">
        <v>124</v>
      </c>
      <c r="C118" s="220">
        <f>F83</f>
        <v>0</v>
      </c>
      <c r="D118" s="221" t="s">
        <v>29</v>
      </c>
      <c r="E118" s="222" t="s">
        <v>146</v>
      </c>
      <c r="F118" s="222" t="s">
        <v>127</v>
      </c>
      <c r="G118" s="222" t="s">
        <v>128</v>
      </c>
      <c r="H118" s="223" t="s">
        <v>147</v>
      </c>
      <c r="I118" s="97" t="s">
        <v>148</v>
      </c>
      <c r="J118" s="116" t="s">
        <v>54</v>
      </c>
      <c r="K118" s="117" t="s">
        <v>142</v>
      </c>
      <c r="L118" s="98" t="s">
        <v>144</v>
      </c>
      <c r="M118" s="99" t="s">
        <v>49</v>
      </c>
      <c r="N118" s="100" t="s">
        <v>30</v>
      </c>
      <c r="R118" s="2"/>
      <c r="S118" s="2"/>
    </row>
    <row r="119" spans="2:19" ht="18" x14ac:dyDescent="0.3">
      <c r="B119" s="224" t="s">
        <v>131</v>
      </c>
      <c r="C119" s="90">
        <f>F92</f>
        <v>0</v>
      </c>
      <c r="D119" s="91">
        <f>C118*C119</f>
        <v>0</v>
      </c>
      <c r="E119" s="92">
        <f>D119*$I$93</f>
        <v>0</v>
      </c>
      <c r="F119" s="92">
        <f>D119*0.02</f>
        <v>0</v>
      </c>
      <c r="G119" s="92">
        <f>E119-F119</f>
        <v>0</v>
      </c>
      <c r="H119" s="93">
        <v>0</v>
      </c>
      <c r="I119" s="114">
        <f>E119-H119-F119</f>
        <v>0</v>
      </c>
      <c r="J119" s="115">
        <f>I119</f>
        <v>0</v>
      </c>
      <c r="K119" s="125">
        <f>($I$93-0.02)-(($I$93-0.02)*F81)</f>
        <v>0.23</v>
      </c>
      <c r="L119" s="95">
        <f>K119*D119</f>
        <v>0</v>
      </c>
      <c r="M119" s="96">
        <f>J119-L119</f>
        <v>0</v>
      </c>
      <c r="N119" s="361">
        <f>L122</f>
        <v>0</v>
      </c>
      <c r="Q119" s="2"/>
    </row>
    <row r="120" spans="2:19" ht="18" x14ac:dyDescent="0.3">
      <c r="B120" s="225" t="s">
        <v>132</v>
      </c>
      <c r="C120" s="33">
        <f>E92</f>
        <v>0</v>
      </c>
      <c r="D120" s="34">
        <f>C118*C120</f>
        <v>0</v>
      </c>
      <c r="E120" s="35">
        <f>D120*$I$93</f>
        <v>0</v>
      </c>
      <c r="F120" s="35">
        <f t="shared" ref="F120:F121" si="39">D120*0.02</f>
        <v>0</v>
      </c>
      <c r="G120" s="35">
        <f t="shared" ref="G120:G121" si="40">E120-F120</f>
        <v>0</v>
      </c>
      <c r="H120" s="36">
        <f>D120/100</f>
        <v>0</v>
      </c>
      <c r="I120" s="61">
        <f>E120-H120-F120</f>
        <v>0</v>
      </c>
      <c r="J120" s="62">
        <f t="shared" ref="J120:J121" si="41">I120</f>
        <v>0</v>
      </c>
      <c r="K120" s="126">
        <f>($I$93-0.03)-(($I$93-0.03)*F81)</f>
        <v>0.22</v>
      </c>
      <c r="L120" s="38">
        <f>K120*D120</f>
        <v>0</v>
      </c>
      <c r="M120" s="39">
        <f t="shared" ref="M120:M121" si="42">J120-L120</f>
        <v>0</v>
      </c>
      <c r="N120" s="362"/>
      <c r="Q120" s="2"/>
    </row>
    <row r="121" spans="2:19" ht="18" x14ac:dyDescent="0.3">
      <c r="B121" s="225" t="s">
        <v>136</v>
      </c>
      <c r="C121" s="33">
        <f>D92</f>
        <v>0</v>
      </c>
      <c r="D121" s="34">
        <f>C118*C121</f>
        <v>0</v>
      </c>
      <c r="E121" s="35">
        <f>D121*$I$93</f>
        <v>0</v>
      </c>
      <c r="F121" s="35">
        <f t="shared" si="39"/>
        <v>0</v>
      </c>
      <c r="G121" s="35">
        <f t="shared" si="40"/>
        <v>0</v>
      </c>
      <c r="H121" s="36">
        <f>D121/20</f>
        <v>0</v>
      </c>
      <c r="I121" s="61">
        <f>E121-H121-F121</f>
        <v>0</v>
      </c>
      <c r="J121" s="62">
        <f t="shared" si="41"/>
        <v>0</v>
      </c>
      <c r="K121" s="126">
        <f>($I$93-0.07)-(($I$93-0.07)*F81)</f>
        <v>0.18</v>
      </c>
      <c r="L121" s="38">
        <f>K121*D121</f>
        <v>0</v>
      </c>
      <c r="M121" s="39">
        <f t="shared" si="42"/>
        <v>0</v>
      </c>
      <c r="N121" s="362"/>
      <c r="Q121" s="2"/>
    </row>
    <row r="122" spans="2:19" s="214" customFormat="1" ht="18.600000000000001" thickBot="1" x14ac:dyDescent="0.35">
      <c r="B122" s="226" t="s">
        <v>35</v>
      </c>
      <c r="C122" s="227">
        <f t="shared" ref="C122:G122" si="43">SUM(C119:C121)</f>
        <v>0</v>
      </c>
      <c r="D122" s="228">
        <f t="shared" si="43"/>
        <v>0</v>
      </c>
      <c r="E122" s="229">
        <f t="shared" si="43"/>
        <v>0</v>
      </c>
      <c r="F122" s="229">
        <f t="shared" si="43"/>
        <v>0</v>
      </c>
      <c r="G122" s="229">
        <f t="shared" si="43"/>
        <v>0</v>
      </c>
      <c r="H122" s="40">
        <f>SUM(H119:H121)</f>
        <v>0</v>
      </c>
      <c r="I122" s="41">
        <f>SUM(I119:I121)</f>
        <v>0</v>
      </c>
      <c r="J122" s="55">
        <f t="shared" ref="J122" si="44">SUM(J119:J121)</f>
        <v>0</v>
      </c>
      <c r="K122" s="58"/>
      <c r="L122" s="41">
        <f t="shared" ref="L122:M122" si="45">SUM(L119:L121)</f>
        <v>0</v>
      </c>
      <c r="M122" s="42">
        <f t="shared" si="45"/>
        <v>0</v>
      </c>
      <c r="N122" s="363"/>
      <c r="Q122" s="14"/>
    </row>
    <row r="123" spans="2:19" ht="72.599999999999994" thickBot="1" x14ac:dyDescent="0.35">
      <c r="B123" s="286" t="s">
        <v>125</v>
      </c>
      <c r="C123" s="210">
        <f>G83</f>
        <v>0</v>
      </c>
      <c r="D123" s="230" t="s">
        <v>29</v>
      </c>
      <c r="E123" s="207" t="s">
        <v>145</v>
      </c>
      <c r="F123" s="207" t="s">
        <v>127</v>
      </c>
      <c r="G123" s="207" t="s">
        <v>128</v>
      </c>
      <c r="H123" s="211" t="s">
        <v>147</v>
      </c>
      <c r="I123" s="79" t="s">
        <v>148</v>
      </c>
      <c r="J123" s="112" t="s">
        <v>54</v>
      </c>
      <c r="K123" s="113" t="s">
        <v>141</v>
      </c>
      <c r="L123" s="81" t="s">
        <v>143</v>
      </c>
      <c r="M123" s="82" t="s">
        <v>49</v>
      </c>
      <c r="N123" s="83" t="s">
        <v>30</v>
      </c>
      <c r="R123" s="2"/>
      <c r="S123" s="2"/>
    </row>
    <row r="124" spans="2:19" ht="18" x14ac:dyDescent="0.3">
      <c r="B124" s="212" t="s">
        <v>131</v>
      </c>
      <c r="C124" s="101">
        <f>F92</f>
        <v>0</v>
      </c>
      <c r="D124" s="73">
        <f>C123*C124</f>
        <v>0</v>
      </c>
      <c r="E124" s="74">
        <f>D124*$I$93</f>
        <v>0</v>
      </c>
      <c r="F124" s="74">
        <f>D124*0.02</f>
        <v>0</v>
      </c>
      <c r="G124" s="74">
        <f>E124-F124</f>
        <v>0</v>
      </c>
      <c r="H124" s="75">
        <v>0</v>
      </c>
      <c r="I124" s="110">
        <f>E124-H124-F124</f>
        <v>0</v>
      </c>
      <c r="J124" s="111">
        <f>I124</f>
        <v>0</v>
      </c>
      <c r="K124" s="125">
        <f>($I$93-0.02)-(($I$93-0.02)*F81)</f>
        <v>0.23</v>
      </c>
      <c r="L124" s="77">
        <f>K124*D124</f>
        <v>0</v>
      </c>
      <c r="M124" s="78">
        <f>J124-L124</f>
        <v>0</v>
      </c>
      <c r="N124" s="358">
        <f>L127</f>
        <v>0</v>
      </c>
      <c r="Q124" s="2"/>
    </row>
    <row r="125" spans="2:19" ht="18" x14ac:dyDescent="0.3">
      <c r="B125" s="213" t="s">
        <v>132</v>
      </c>
      <c r="C125" s="29">
        <f>E92</f>
        <v>0</v>
      </c>
      <c r="D125" s="30">
        <f>C123*C125</f>
        <v>0</v>
      </c>
      <c r="E125" s="31">
        <f>D125*$I$93</f>
        <v>0</v>
      </c>
      <c r="F125" s="31">
        <f t="shared" ref="F125:F126" si="46">D125*0.02</f>
        <v>0</v>
      </c>
      <c r="G125" s="31">
        <f t="shared" ref="G125:G126" si="47">E125-F125</f>
        <v>0</v>
      </c>
      <c r="H125" s="7">
        <f>D125/100</f>
        <v>0</v>
      </c>
      <c r="I125" s="59">
        <f>E125-H125-F125</f>
        <v>0</v>
      </c>
      <c r="J125" s="60">
        <f t="shared" ref="J125:J126" si="48">I125</f>
        <v>0</v>
      </c>
      <c r="K125" s="126">
        <f>($I$93-0.03)-(($I$93-0.03)*G81)</f>
        <v>0.22</v>
      </c>
      <c r="L125" s="9">
        <f>K125*D125</f>
        <v>0</v>
      </c>
      <c r="M125" s="10">
        <f t="shared" ref="M125:M126" si="49">J125-L125</f>
        <v>0</v>
      </c>
      <c r="N125" s="359"/>
      <c r="Q125" s="2"/>
    </row>
    <row r="126" spans="2:19" ht="18" x14ac:dyDescent="0.3">
      <c r="B126" s="213" t="s">
        <v>136</v>
      </c>
      <c r="C126" s="29">
        <f>D92</f>
        <v>0</v>
      </c>
      <c r="D126" s="30">
        <f>C123*C126</f>
        <v>0</v>
      </c>
      <c r="E126" s="31">
        <f>D126*$I$93</f>
        <v>0</v>
      </c>
      <c r="F126" s="31">
        <f t="shared" si="46"/>
        <v>0</v>
      </c>
      <c r="G126" s="31">
        <f t="shared" si="47"/>
        <v>0</v>
      </c>
      <c r="H126" s="127">
        <f>D126/20</f>
        <v>0</v>
      </c>
      <c r="I126" s="59">
        <f>E126-H126-F126</f>
        <v>0</v>
      </c>
      <c r="J126" s="60">
        <f t="shared" si="48"/>
        <v>0</v>
      </c>
      <c r="K126" s="126">
        <f>($I$93-0.07)-(($I$93-0.07)*G81)</f>
        <v>0.18</v>
      </c>
      <c r="L126" s="9">
        <f>K126*D126</f>
        <v>0</v>
      </c>
      <c r="M126" s="10">
        <f t="shared" si="49"/>
        <v>0</v>
      </c>
      <c r="N126" s="359"/>
      <c r="Q126" s="2"/>
    </row>
    <row r="127" spans="2:19" s="214" customFormat="1" ht="18.600000000000001" thickBot="1" x14ac:dyDescent="0.35">
      <c r="B127" s="215" t="s">
        <v>35</v>
      </c>
      <c r="C127" s="216">
        <f t="shared" ref="C127:G127" si="50">SUM(C124:C126)</f>
        <v>0</v>
      </c>
      <c r="D127" s="217">
        <f t="shared" si="50"/>
        <v>0</v>
      </c>
      <c r="E127" s="218">
        <f t="shared" si="50"/>
        <v>0</v>
      </c>
      <c r="F127" s="218">
        <f t="shared" si="50"/>
        <v>0</v>
      </c>
      <c r="G127" s="218">
        <f t="shared" si="50"/>
        <v>0</v>
      </c>
      <c r="H127" s="11">
        <f>SUM(H124:H126)</f>
        <v>0</v>
      </c>
      <c r="I127" s="12">
        <f>SUM(I124:I126)</f>
        <v>0</v>
      </c>
      <c r="J127" s="54">
        <f t="shared" ref="J127" si="51">SUM(J124:J126)</f>
        <v>0</v>
      </c>
      <c r="K127" s="57"/>
      <c r="L127" s="12">
        <f t="shared" ref="L127:M127" si="52">SUM(L124:L126)</f>
        <v>0</v>
      </c>
      <c r="M127" s="13">
        <f t="shared" si="52"/>
        <v>0</v>
      </c>
      <c r="N127" s="360"/>
      <c r="Q127" s="14"/>
    </row>
    <row r="128" spans="2:19" ht="72.599999999999994" thickBot="1" x14ac:dyDescent="0.35">
      <c r="B128" s="243" t="s">
        <v>34</v>
      </c>
      <c r="C128" s="244">
        <f>IF(C84&lt;=0,0,C84)</f>
        <v>0</v>
      </c>
      <c r="D128" s="288" t="s">
        <v>29</v>
      </c>
      <c r="E128" s="289" t="s">
        <v>146</v>
      </c>
      <c r="F128" s="289" t="s">
        <v>127</v>
      </c>
      <c r="G128" s="289" t="s">
        <v>128</v>
      </c>
      <c r="H128" s="123" t="s">
        <v>147</v>
      </c>
      <c r="I128" s="105" t="s">
        <v>148</v>
      </c>
      <c r="J128" s="364" t="s">
        <v>59</v>
      </c>
      <c r="K128" s="365"/>
      <c r="L128" s="105" t="s">
        <v>55</v>
      </c>
      <c r="M128" s="105" t="s">
        <v>49</v>
      </c>
      <c r="N128" s="124" t="s">
        <v>30</v>
      </c>
      <c r="Q128" s="2"/>
    </row>
    <row r="129" spans="2:17" ht="18" x14ac:dyDescent="0.3">
      <c r="B129" s="290" t="s">
        <v>131</v>
      </c>
      <c r="C129" s="118">
        <f>F92</f>
        <v>0</v>
      </c>
      <c r="D129" s="119">
        <f>C128*C129</f>
        <v>0</v>
      </c>
      <c r="E129" s="120">
        <f>D129*$I$93</f>
        <v>0</v>
      </c>
      <c r="F129" s="120">
        <f>D129*0.02</f>
        <v>0</v>
      </c>
      <c r="G129" s="120">
        <f>E129-F129</f>
        <v>0</v>
      </c>
      <c r="H129" s="121">
        <v>0</v>
      </c>
      <c r="I129" s="122">
        <f>E129-H129-F129</f>
        <v>0</v>
      </c>
      <c r="J129" s="366"/>
      <c r="K129" s="367"/>
      <c r="L129" s="104">
        <f>I129</f>
        <v>0</v>
      </c>
      <c r="M129" s="104">
        <v>0</v>
      </c>
      <c r="N129" s="370">
        <f>L132</f>
        <v>0</v>
      </c>
      <c r="Q129" s="2"/>
    </row>
    <row r="130" spans="2:17" ht="18" x14ac:dyDescent="0.3">
      <c r="B130" s="237" t="s">
        <v>132</v>
      </c>
      <c r="C130" s="45">
        <f>E92</f>
        <v>0</v>
      </c>
      <c r="D130" s="46">
        <f>C130*C128</f>
        <v>0</v>
      </c>
      <c r="E130" s="47">
        <f>D130*$I$93</f>
        <v>0</v>
      </c>
      <c r="F130" s="47">
        <f t="shared" ref="F130:F131" si="53">D130*0.02</f>
        <v>0</v>
      </c>
      <c r="G130" s="47">
        <f t="shared" ref="G130:G131" si="54">E130-F130</f>
        <v>0</v>
      </c>
      <c r="H130" s="48">
        <f>D130/100</f>
        <v>0</v>
      </c>
      <c r="I130" s="63">
        <f>E130-H130-F130</f>
        <v>0</v>
      </c>
      <c r="J130" s="366"/>
      <c r="K130" s="367"/>
      <c r="L130" s="49">
        <f t="shared" ref="L130:L132" si="55">I130</f>
        <v>0</v>
      </c>
      <c r="M130" s="49">
        <v>0</v>
      </c>
      <c r="N130" s="367"/>
      <c r="Q130" s="2"/>
    </row>
    <row r="131" spans="2:17" ht="18" x14ac:dyDescent="0.3">
      <c r="B131" s="237" t="s">
        <v>136</v>
      </c>
      <c r="C131" s="45">
        <f>D92</f>
        <v>0</v>
      </c>
      <c r="D131" s="46">
        <f>C131*C128</f>
        <v>0</v>
      </c>
      <c r="E131" s="47">
        <f>D131*$I$93</f>
        <v>0</v>
      </c>
      <c r="F131" s="47">
        <f t="shared" si="53"/>
        <v>0</v>
      </c>
      <c r="G131" s="47">
        <f t="shared" si="54"/>
        <v>0</v>
      </c>
      <c r="H131" s="48">
        <f>D131/20</f>
        <v>0</v>
      </c>
      <c r="I131" s="63">
        <f>E131-H131-F131</f>
        <v>0</v>
      </c>
      <c r="J131" s="366"/>
      <c r="K131" s="367"/>
      <c r="L131" s="49">
        <f t="shared" si="55"/>
        <v>0</v>
      </c>
      <c r="M131" s="49">
        <v>0</v>
      </c>
      <c r="N131" s="367"/>
      <c r="Q131" s="2"/>
    </row>
    <row r="132" spans="2:17" s="214" customFormat="1" ht="18.600000000000001" thickBot="1" x14ac:dyDescent="0.35">
      <c r="B132" s="239" t="s">
        <v>35</v>
      </c>
      <c r="C132" s="240">
        <f t="shared" ref="C132:E132" si="56">SUM(C129:C131)</f>
        <v>0</v>
      </c>
      <c r="D132" s="241">
        <f>SUM(D129:D131)</f>
        <v>0</v>
      </c>
      <c r="E132" s="242">
        <f t="shared" si="56"/>
        <v>0</v>
      </c>
      <c r="F132" s="242">
        <f t="shared" ref="F132:G132" si="57">SUM(F129:F131)</f>
        <v>0</v>
      </c>
      <c r="G132" s="242">
        <f t="shared" si="57"/>
        <v>0</v>
      </c>
      <c r="H132" s="50">
        <f>SUM(H129:H131)</f>
        <v>0</v>
      </c>
      <c r="I132" s="51">
        <f>SUM(I129:I131)</f>
        <v>0</v>
      </c>
      <c r="J132" s="366"/>
      <c r="K132" s="367"/>
      <c r="L132" s="52">
        <f t="shared" si="55"/>
        <v>0</v>
      </c>
      <c r="M132" s="52">
        <f>SUM(M129:M131)</f>
        <v>0</v>
      </c>
      <c r="N132" s="369"/>
      <c r="Q132" s="14"/>
    </row>
    <row r="133" spans="2:17" ht="30.6" customHeight="1" thickBot="1" x14ac:dyDescent="0.35">
      <c r="B133" s="243" t="s">
        <v>36</v>
      </c>
      <c r="C133" s="244">
        <f>C103+C128+C108+C113+C118+C123</f>
        <v>0</v>
      </c>
      <c r="D133" s="245">
        <f t="shared" ref="D133:I133" si="58">D107+D132+D112+D117+D122+D127</f>
        <v>0</v>
      </c>
      <c r="E133" s="246">
        <f t="shared" si="58"/>
        <v>0</v>
      </c>
      <c r="F133" s="247">
        <f t="shared" si="58"/>
        <v>0</v>
      </c>
      <c r="G133" s="247">
        <f t="shared" si="58"/>
        <v>0</v>
      </c>
      <c r="H133" s="247">
        <f t="shared" si="58"/>
        <v>0</v>
      </c>
      <c r="I133" s="247">
        <f t="shared" si="58"/>
        <v>0</v>
      </c>
      <c r="J133" s="368"/>
      <c r="K133" s="369"/>
      <c r="L133" s="291">
        <f>L107+L132+L112+L117+L122+L127</f>
        <v>0</v>
      </c>
      <c r="M133" s="292">
        <f>M132+M107+M112+M117+M122+M127</f>
        <v>0</v>
      </c>
      <c r="N133" s="293">
        <f>N104+N129+N109+N114+N119+N124</f>
        <v>0</v>
      </c>
      <c r="Q133" s="2"/>
    </row>
    <row r="134" spans="2:17" ht="16.2" thickBot="1" x14ac:dyDescent="0.35">
      <c r="L134" s="2"/>
    </row>
    <row r="135" spans="2:17" ht="29.4" customHeight="1" thickBot="1" x14ac:dyDescent="0.35">
      <c r="B135" s="353" t="s">
        <v>38</v>
      </c>
      <c r="C135" s="354"/>
      <c r="D135" s="354"/>
      <c r="E135" s="355"/>
      <c r="H135" s="2"/>
      <c r="L135" s="285"/>
    </row>
    <row r="136" spans="2:17" ht="51" customHeight="1" x14ac:dyDescent="0.3">
      <c r="B136" s="251" t="s">
        <v>39</v>
      </c>
      <c r="C136" s="252">
        <f>C103+C108+C113+C118+C123</f>
        <v>0</v>
      </c>
      <c r="D136" s="253">
        <f>E107+E112+E117+E122+E127</f>
        <v>0</v>
      </c>
      <c r="E136" s="254" t="s">
        <v>149</v>
      </c>
      <c r="H136" s="2"/>
      <c r="L136" s="285"/>
    </row>
    <row r="137" spans="2:17" ht="63" x14ac:dyDescent="0.3">
      <c r="B137" s="356"/>
      <c r="C137" s="357"/>
      <c r="D137" s="255">
        <f>I107+I112+I117+I122++I127</f>
        <v>0</v>
      </c>
      <c r="E137" s="256" t="s">
        <v>150</v>
      </c>
      <c r="H137" s="2"/>
      <c r="L137" s="285"/>
    </row>
    <row r="138" spans="2:17" ht="39.6" customHeight="1" x14ac:dyDescent="0.3">
      <c r="B138" s="356"/>
      <c r="C138" s="357"/>
      <c r="D138" s="255">
        <f>M107+M112+M117+M122+M127</f>
        <v>0</v>
      </c>
      <c r="E138" s="256" t="s">
        <v>41</v>
      </c>
      <c r="H138" s="2"/>
      <c r="L138" s="285"/>
    </row>
    <row r="139" spans="2:17" ht="45.6" customHeight="1" thickBot="1" x14ac:dyDescent="0.35">
      <c r="B139" s="257" t="s">
        <v>40</v>
      </c>
      <c r="C139" s="67">
        <f>IFERROR(D139/C136,0)</f>
        <v>0</v>
      </c>
      <c r="D139" s="132">
        <f>N104+N109+N114+N119+N124</f>
        <v>0</v>
      </c>
      <c r="E139" s="258" t="s">
        <v>46</v>
      </c>
      <c r="H139" s="2"/>
      <c r="L139" s="285"/>
    </row>
    <row r="140" spans="2:17" ht="42" x14ac:dyDescent="0.3">
      <c r="B140" s="259" t="s">
        <v>135</v>
      </c>
      <c r="C140" s="133">
        <f>D131</f>
        <v>0</v>
      </c>
      <c r="D140" s="68">
        <f>G131</f>
        <v>0</v>
      </c>
      <c r="E140" s="260" t="s">
        <v>140</v>
      </c>
      <c r="H140" s="2"/>
      <c r="L140" s="285"/>
    </row>
    <row r="141" spans="2:17" ht="35.4" customHeight="1" x14ac:dyDescent="0.3">
      <c r="B141" s="261"/>
      <c r="C141" s="69"/>
      <c r="D141" s="70">
        <f>H131</f>
        <v>0</v>
      </c>
      <c r="E141" s="262" t="s">
        <v>138</v>
      </c>
      <c r="H141" s="2"/>
      <c r="L141" s="285"/>
    </row>
    <row r="142" spans="2:17" ht="63.6" thickBot="1" x14ac:dyDescent="0.35">
      <c r="B142" s="263" t="s">
        <v>60</v>
      </c>
      <c r="C142" s="72">
        <f>IFERROR(D142/C140,0)</f>
        <v>0</v>
      </c>
      <c r="D142" s="134">
        <f>I131</f>
        <v>0</v>
      </c>
      <c r="E142" s="264" t="s">
        <v>139</v>
      </c>
      <c r="H142" s="2"/>
      <c r="L142" s="285"/>
    </row>
    <row r="143" spans="2:17" ht="42" x14ac:dyDescent="0.3">
      <c r="B143" s="265" t="s">
        <v>134</v>
      </c>
      <c r="C143" s="135">
        <f>D130</f>
        <v>0</v>
      </c>
      <c r="D143" s="128">
        <f>G130</f>
        <v>0</v>
      </c>
      <c r="E143" s="266" t="s">
        <v>45</v>
      </c>
      <c r="H143" s="2"/>
      <c r="L143" s="285"/>
    </row>
    <row r="144" spans="2:17" ht="37.799999999999997" customHeight="1" x14ac:dyDescent="0.3">
      <c r="B144" s="267"/>
      <c r="C144" s="129"/>
      <c r="D144" s="130">
        <f>H130</f>
        <v>0</v>
      </c>
      <c r="E144" s="268" t="s">
        <v>47</v>
      </c>
      <c r="H144" s="2"/>
      <c r="L144" s="285"/>
    </row>
    <row r="145" spans="2:12" ht="72" customHeight="1" thickBot="1" x14ac:dyDescent="0.35">
      <c r="B145" s="269" t="s">
        <v>42</v>
      </c>
      <c r="C145" s="131">
        <f>IFERROR(D145/C143,0)</f>
        <v>0</v>
      </c>
      <c r="D145" s="136">
        <f>I130</f>
        <v>0</v>
      </c>
      <c r="E145" s="268" t="s">
        <v>61</v>
      </c>
      <c r="H145" s="2"/>
      <c r="L145" s="285"/>
    </row>
    <row r="146" spans="2:12" ht="42" x14ac:dyDescent="0.3">
      <c r="B146" s="270" t="s">
        <v>43</v>
      </c>
      <c r="C146" s="271">
        <f>D129</f>
        <v>0</v>
      </c>
      <c r="D146" s="71">
        <f>L129</f>
        <v>0</v>
      </c>
      <c r="E146" s="272" t="s">
        <v>62</v>
      </c>
      <c r="H146" s="2"/>
      <c r="L146" s="285"/>
    </row>
    <row r="147" spans="2:12" ht="21.6" thickBot="1" x14ac:dyDescent="0.35">
      <c r="B147" s="273"/>
      <c r="C147" s="274">
        <f>IFERROR(D146/C146,0)</f>
        <v>0</v>
      </c>
      <c r="D147" s="275"/>
      <c r="E147" s="276"/>
      <c r="H147" s="2"/>
      <c r="L147" s="285"/>
    </row>
    <row r="148" spans="2:12" ht="28.95" customHeight="1" thickBot="1" x14ac:dyDescent="0.35">
      <c r="B148" s="277" t="s">
        <v>44</v>
      </c>
      <c r="C148" s="278">
        <f>C136+C143+C140+C146</f>
        <v>0</v>
      </c>
      <c r="D148" s="279">
        <f>D139+D145+D142+D146</f>
        <v>0</v>
      </c>
      <c r="E148" s="280"/>
      <c r="H148" s="2"/>
      <c r="L148" s="285"/>
    </row>
    <row r="149" spans="2:12" ht="28.95" customHeight="1" x14ac:dyDescent="0.3">
      <c r="B149" s="281"/>
      <c r="C149" s="282"/>
      <c r="D149" s="283"/>
      <c r="E149" s="282"/>
      <c r="H149" s="3"/>
      <c r="L149" s="285"/>
    </row>
    <row r="151" spans="2:12" x14ac:dyDescent="0.3">
      <c r="D151" s="308"/>
    </row>
  </sheetData>
  <sheetProtection algorithmName="SHA-512" hashValue="75iJ99Kw2eCi+3IscV+IKrp6K7Y4lDNncwa21Tb2CC0szV3lT1kDRxOwKk1BMRG6EjZPGxBkjW1MVQxutoRdjQ==" saltValue="33grWpP/Ak0HGCzebIZYqw==" spinCount="100000" sheet="1" selectLockedCells="1"/>
  <mergeCells count="25">
    <mergeCell ref="C84:G84"/>
    <mergeCell ref="B2:B3"/>
    <mergeCell ref="B60:C60"/>
    <mergeCell ref="B61:C61"/>
    <mergeCell ref="B72:B73"/>
    <mergeCell ref="B74:C74"/>
    <mergeCell ref="B75:C75"/>
    <mergeCell ref="B79:D79"/>
    <mergeCell ref="C82:G82"/>
    <mergeCell ref="C85:G85"/>
    <mergeCell ref="B87:B89"/>
    <mergeCell ref="C87:C88"/>
    <mergeCell ref="D87:D88"/>
    <mergeCell ref="E87:E88"/>
    <mergeCell ref="F87:F88"/>
    <mergeCell ref="B135:E135"/>
    <mergeCell ref="B137:C138"/>
    <mergeCell ref="G87:H101"/>
    <mergeCell ref="N104:N107"/>
    <mergeCell ref="N109:N112"/>
    <mergeCell ref="N114:N117"/>
    <mergeCell ref="N119:N122"/>
    <mergeCell ref="N124:N127"/>
    <mergeCell ref="J128:K133"/>
    <mergeCell ref="N129:N132"/>
  </mergeCells>
  <conditionalFormatting sqref="C93:C96">
    <cfRule type="cellIs" dxfId="30" priority="163" operator="lessThan">
      <formula>0</formula>
    </cfRule>
  </conditionalFormatting>
  <conditionalFormatting sqref="D94:F94">
    <cfRule type="cellIs" dxfId="29" priority="159" operator="lessThan">
      <formula>0</formula>
    </cfRule>
  </conditionalFormatting>
  <conditionalFormatting sqref="D93:F93">
    <cfRule type="cellIs" dxfId="28" priority="158" operator="lessThan">
      <formula>0</formula>
    </cfRule>
  </conditionalFormatting>
  <conditionalFormatting sqref="D95:F95">
    <cfRule type="cellIs" dxfId="27" priority="157" operator="lessThan">
      <formula>0</formula>
    </cfRule>
  </conditionalFormatting>
  <conditionalFormatting sqref="C97:C98">
    <cfRule type="cellIs" dxfId="26" priority="156" operator="lessThan">
      <formula>0</formula>
    </cfRule>
  </conditionalFormatting>
  <conditionalFormatting sqref="D97:F97">
    <cfRule type="cellIs" dxfId="25" priority="155" operator="lessThan">
      <formula>0</formula>
    </cfRule>
  </conditionalFormatting>
  <conditionalFormatting sqref="D98:F98">
    <cfRule type="cellIs" dxfId="24" priority="154" operator="lessThan">
      <formula>0</formula>
    </cfRule>
  </conditionalFormatting>
  <conditionalFormatting sqref="D96:F96">
    <cfRule type="cellIs" dxfId="23" priority="153" operator="lessThan">
      <formula>0</formula>
    </cfRule>
  </conditionalFormatting>
  <conditionalFormatting sqref="C99:C101">
    <cfRule type="cellIs" dxfId="22" priority="152" operator="lessThan">
      <formula>0</formula>
    </cfRule>
  </conditionalFormatting>
  <conditionalFormatting sqref="D99:F99">
    <cfRule type="cellIs" dxfId="21" priority="151" operator="lessThan">
      <formula>0</formula>
    </cfRule>
  </conditionalFormatting>
  <conditionalFormatting sqref="D100:F100">
    <cfRule type="cellIs" dxfId="20" priority="150" operator="lessThan">
      <formula>0</formula>
    </cfRule>
  </conditionalFormatting>
  <conditionalFormatting sqref="D101:F101">
    <cfRule type="cellIs" dxfId="19" priority="149" operator="lessThan">
      <formula>0</formula>
    </cfRule>
  </conditionalFormatting>
  <conditionalFormatting sqref="C91:F91 C92 C90">
    <cfRule type="cellIs" dxfId="18" priority="140" operator="lessThan">
      <formula>0</formula>
    </cfRule>
  </conditionalFormatting>
  <conditionalFormatting sqref="D92:F92">
    <cfRule type="cellIs" dxfId="17" priority="137" operator="lessThan">
      <formula>0</formula>
    </cfRule>
  </conditionalFormatting>
  <conditionalFormatting sqref="E70 C50:F59 C4:F47 C63:C70">
    <cfRule type="cellIs" dxfId="16" priority="77" operator="lessThan">
      <formula>0</formula>
    </cfRule>
  </conditionalFormatting>
  <conditionalFormatting sqref="C48:F49">
    <cfRule type="cellIs" dxfId="15" priority="76" operator="lessThan">
      <formula>0</formula>
    </cfRule>
  </conditionalFormatting>
  <conditionalFormatting sqref="C77">
    <cfRule type="cellIs" dxfId="14" priority="62" operator="lessThan">
      <formula>0</formula>
    </cfRule>
  </conditionalFormatting>
  <conditionalFormatting sqref="C77">
    <cfRule type="cellIs" dxfId="13" priority="61" operator="lessThan">
      <formula>0</formula>
    </cfRule>
  </conditionalFormatting>
  <conditionalFormatting sqref="C82">
    <cfRule type="cellIs" dxfId="12" priority="60" operator="lessThan">
      <formula>0</formula>
    </cfRule>
  </conditionalFormatting>
  <conditionalFormatting sqref="C84:C85">
    <cfRule type="cellIs" dxfId="11" priority="59" operator="lessThan">
      <formula>0</formula>
    </cfRule>
  </conditionalFormatting>
  <conditionalFormatting sqref="D90:F90">
    <cfRule type="cellIs" dxfId="10" priority="31" operator="lessThan">
      <formula>0</formula>
    </cfRule>
  </conditionalFormatting>
  <conditionalFormatting sqref="D60:F60">
    <cfRule type="cellIs" dxfId="9" priority="29" operator="lessThan">
      <formula>0</formula>
    </cfRule>
  </conditionalFormatting>
  <conditionalFormatting sqref="D74:F74">
    <cfRule type="cellIs" dxfId="8" priority="27" operator="lessThan">
      <formula>0</formula>
    </cfRule>
  </conditionalFormatting>
  <conditionalFormatting sqref="C73">
    <cfRule type="cellIs" dxfId="7" priority="26" operator="lessThan">
      <formula>0</formula>
    </cfRule>
  </conditionalFormatting>
  <conditionalFormatting sqref="C89">
    <cfRule type="cellIs" dxfId="6" priority="11" operator="lessThan">
      <formula>0</formula>
    </cfRule>
  </conditionalFormatting>
  <conditionalFormatting sqref="F89">
    <cfRule type="cellIs" dxfId="5" priority="10" operator="lessThan">
      <formula>0</formula>
    </cfRule>
  </conditionalFormatting>
  <conditionalFormatting sqref="D61:F61">
    <cfRule type="cellIs" dxfId="4" priority="6" operator="lessThan">
      <formula>0</formula>
    </cfRule>
  </conditionalFormatting>
  <conditionalFormatting sqref="D75:E75">
    <cfRule type="cellIs" dxfId="3" priority="5" operator="lessThan">
      <formula>0</formula>
    </cfRule>
  </conditionalFormatting>
  <conditionalFormatting sqref="F75">
    <cfRule type="cellIs" dxfId="2" priority="4" operator="lessThan">
      <formula>0</formula>
    </cfRule>
  </conditionalFormatting>
  <conditionalFormatting sqref="D73:F73">
    <cfRule type="cellIs" dxfId="1" priority="2" operator="lessThan">
      <formula>0</formula>
    </cfRule>
  </conditionalFormatting>
  <conditionalFormatting sqref="D89:E89">
    <cfRule type="cellIs" dxfId="0" priority="1" operator="lessThan">
      <formula>0</formula>
    </cfRule>
  </conditionalFormatting>
  <dataValidations count="1">
    <dataValidation type="whole" operator="lessThanOrEqual" allowBlank="1" showInputMessage="1" showErrorMessage="1" errorTitle="AZAMİ İNDİRİM TUTARI AŞIMI" error="YAZILABİLECEK İNDİRİM TUTARI AZAMİ YAZILABİLECEK İNDİRİM TUTARINI AŞAMAZ" sqref="C70" xr:uid="{744B2DC6-6E3D-480E-909E-6428247DF004}">
      <formula1>IF(E70&lt;=0,0,E70)</formula1>
    </dataValidation>
  </dataValidations>
  <pageMargins left="0.7" right="0.7" top="0.75" bottom="0.75" header="0.3" footer="0.3"/>
  <pageSetup paperSize="9" scale="22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2</vt:i4>
      </vt:variant>
    </vt:vector>
  </HeadingPairs>
  <TitlesOfParts>
    <vt:vector size="2" baseType="lpstr">
      <vt:lpstr>ŞABLON (32 6 BİST İNDİRİMSİZ)</vt:lpstr>
      <vt:lpstr>BİST (32 6 İNDİRİMLİ)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Selahattin</dc:creator>
  <cp:lastModifiedBy>Bilgisayar</cp:lastModifiedBy>
  <dcterms:created xsi:type="dcterms:W3CDTF">2022-05-13T08:50:27Z</dcterms:created>
  <dcterms:modified xsi:type="dcterms:W3CDTF">2024-05-05T15:26:22Z</dcterms:modified>
</cp:coreProperties>
</file>