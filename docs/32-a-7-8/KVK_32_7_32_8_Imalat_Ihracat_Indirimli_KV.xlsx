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ONTROL PANELİ" sheetId="1" state="visible" r:id="rId1"/>
    <sheet xmlns:r="http://schemas.openxmlformats.org/officeDocument/2006/relationships" name="GELİR TABLOSU" sheetId="2" state="visible" r:id="rId2"/>
    <sheet xmlns:r="http://schemas.openxmlformats.org/officeDocument/2006/relationships" name="HESAPLAMA" sheetId="3" state="visible" r:id="rId3"/>
    <sheet xmlns:r="http://schemas.openxmlformats.org/officeDocument/2006/relationships" name="BELGE LİSTESİ" sheetId="4" state="visible" r:id="rId4"/>
    <sheet xmlns:r="http://schemas.openxmlformats.org/officeDocument/2006/relationships" name="DENETÇİ NOTLARI" sheetId="5" state="visible" r:id="rId5"/>
  </sheets>
  <definedNames/>
  <calcPr calcId="124519" fullCalcOnLoad="1"/>
</workbook>
</file>

<file path=xl/styles.xml><?xml version="1.0" encoding="utf-8"?>
<styleSheet xmlns="http://schemas.openxmlformats.org/spreadsheetml/2006/main">
  <numFmts count="1">
    <numFmt numFmtId="164" formatCode="DD.MM.YYYY"/>
  </numFmts>
  <fonts count="18">
    <font>
      <name val="Calibri"/>
      <family val="2"/>
      <color theme="1"/>
      <sz val="11"/>
      <scheme val="minor"/>
    </font>
    <font>
      <name val="Calibri"/>
      <b val="1"/>
      <color rgb="00FFFFFF"/>
      <sz val="14"/>
    </font>
    <font>
      <name val="Calibri"/>
      <b val="1"/>
      <color rgb="00000000"/>
      <sz val="11"/>
    </font>
    <font>
      <name val="Calibri"/>
      <b val="1"/>
      <color rgb="00FFFFFF"/>
      <sz val="11"/>
    </font>
    <font>
      <name val="Calibri"/>
      <color rgb="00000000"/>
      <sz val="11"/>
    </font>
    <font>
      <name val="Calibri"/>
      <b val="1"/>
      <color rgb="001B5E20"/>
      <sz val="11"/>
    </font>
    <font>
      <name val="Calibri"/>
      <i val="1"/>
      <color rgb="00455A64"/>
      <sz val="10"/>
    </font>
    <font>
      <name val="Calibri"/>
      <b val="1"/>
      <color rgb="00FFFFFF"/>
      <sz val="10"/>
    </font>
    <font>
      <name val="Calibri"/>
      <i val="1"/>
      <color rgb="00546E7A"/>
      <sz val="9"/>
    </font>
    <font>
      <name val="Calibri"/>
      <i val="1"/>
      <color rgb="00455A64"/>
      <sz val="11"/>
    </font>
    <font>
      <name val="Calibri"/>
      <i val="1"/>
      <color rgb="00455A64"/>
      <sz val="9"/>
    </font>
    <font>
      <name val="Calibri"/>
      <i val="1"/>
      <color rgb="0037474F"/>
      <sz val="11"/>
    </font>
    <font>
      <name val="Calibri"/>
      <i val="1"/>
      <color rgb="009E9E9E"/>
      <sz val="9"/>
    </font>
    <font>
      <name val="Calibri"/>
      <i val="1"/>
      <color rgb="00607D8B"/>
      <sz val="9"/>
    </font>
    <font>
      <name val="Calibri"/>
      <b val="1"/>
      <color rgb="001B5E20"/>
      <sz val="12"/>
    </font>
    <font>
      <name val="Calibri"/>
      <b val="1"/>
      <color rgb="00C62828"/>
      <sz val="11"/>
    </font>
    <font>
      <name val="Calibri"/>
      <color rgb="00E65100"/>
      <sz val="11"/>
    </font>
    <font>
      <name val="Calibri"/>
      <color rgb="00000000"/>
      <sz val="10"/>
    </font>
  </fonts>
  <fills count="17">
    <fill>
      <patternFill/>
    </fill>
    <fill>
      <patternFill patternType="gray125"/>
    </fill>
    <fill>
      <patternFill patternType="solid">
        <fgColor rgb="001F3864"/>
      </patternFill>
    </fill>
    <fill>
      <patternFill patternType="solid">
        <fgColor rgb="00FFFDE7"/>
      </patternFill>
    </fill>
    <fill>
      <patternFill patternType="solid">
        <fgColor rgb="002E75B6"/>
      </patternFill>
    </fill>
    <fill>
      <patternFill patternType="solid">
        <fgColor rgb="00E3F2FD"/>
      </patternFill>
    </fill>
    <fill>
      <patternFill patternType="solid">
        <fgColor rgb="00C8E6C9"/>
      </patternFill>
    </fill>
    <fill>
      <patternFill patternType="solid">
        <fgColor rgb="00F8F9FA"/>
      </patternFill>
    </fill>
    <fill>
      <patternFill patternType="solid">
        <fgColor rgb="0037474F"/>
      </patternFill>
    </fill>
    <fill>
      <patternFill patternType="solid">
        <fgColor rgb="00B71C1C"/>
      </patternFill>
    </fill>
    <fill>
      <patternFill patternType="solid">
        <fgColor rgb="00FAFAFA"/>
      </patternFill>
    </fill>
    <fill>
      <patternFill patternType="solid">
        <fgColor rgb="00D6E4F0"/>
      </patternFill>
    </fill>
    <fill>
      <patternFill patternType="solid">
        <fgColor rgb="00E8F5E9"/>
      </patternFill>
    </fill>
    <fill>
      <patternFill patternType="solid">
        <fgColor rgb="00FFF9C4"/>
      </patternFill>
    </fill>
    <fill>
      <patternFill patternType="solid">
        <fgColor rgb="00F5F5F5"/>
      </patternFill>
    </fill>
    <fill>
      <patternFill patternType="solid">
        <fgColor rgb="00ECEFF1"/>
      </patternFill>
    </fill>
    <fill>
      <patternFill patternType="solid">
        <fgColor rgb="00FFF8E1"/>
      </patternFill>
    </fill>
  </fills>
  <borders count="3">
    <border>
      <left/>
      <right/>
      <top/>
      <bottom/>
      <diagonal/>
    </border>
    <border>
      <left style="thin">
        <color rgb="00BDBDBD"/>
      </left>
      <right style="thin">
        <color rgb="00BDBDBD"/>
      </right>
      <top style="thin">
        <color rgb="00BDBDBD"/>
      </top>
      <bottom style="thin">
        <color rgb="00BDBDBD"/>
      </bottom>
    </border>
    <border>
      <left style="medium">
        <color rgb="00455A64"/>
      </left>
      <right style="medium">
        <color rgb="00455A64"/>
      </right>
      <top style="medium">
        <color rgb="00455A64"/>
      </top>
      <bottom style="medium">
        <color rgb="00455A64"/>
      </bottom>
    </border>
  </borders>
  <cellStyleXfs count="1">
    <xf numFmtId="0" fontId="0" fillId="0" borderId="0"/>
  </cellStyleXfs>
  <cellXfs count="54">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right" vertical="center"/>
    </xf>
    <xf numFmtId="0" fontId="0" fillId="3" borderId="1" applyAlignment="1" pivotButton="0" quotePrefix="0" xfId="0">
      <alignment horizontal="left" vertical="center"/>
    </xf>
    <xf numFmtId="0" fontId="3" fillId="2" borderId="0" applyAlignment="1" pivotButton="0" quotePrefix="0" xfId="0">
      <alignment horizontal="center" vertical="center"/>
    </xf>
    <xf numFmtId="0" fontId="4" fillId="0" borderId="1" applyAlignment="1" pivotButton="0" quotePrefix="0" xfId="0">
      <alignment horizontal="left" vertical="center" wrapText="1"/>
    </xf>
    <xf numFmtId="0" fontId="0" fillId="3" borderId="1" applyAlignment="1" pivotButton="0" quotePrefix="0" xfId="0">
      <alignment horizontal="center" vertical="center"/>
    </xf>
    <xf numFmtId="0" fontId="3" fillId="4"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left" vertical="center"/>
    </xf>
    <xf numFmtId="4" fontId="4" fillId="5" borderId="1" applyAlignment="1" pivotButton="0" quotePrefix="0" xfId="0">
      <alignment horizontal="right" vertical="center"/>
    </xf>
    <xf numFmtId="4" fontId="5" fillId="6" borderId="2" applyAlignment="1" pivotButton="0" quotePrefix="0" xfId="0">
      <alignment horizontal="right" vertical="center"/>
    </xf>
    <xf numFmtId="0" fontId="6" fillId="7" borderId="0" applyAlignment="1" pivotButton="0" quotePrefix="0" xfId="0">
      <alignment horizontal="center" vertical="center"/>
    </xf>
    <xf numFmtId="0" fontId="7" fillId="2" borderId="1" applyAlignment="1" pivotButton="0" quotePrefix="0" xfId="0">
      <alignment horizontal="center" vertical="center" wrapText="1"/>
    </xf>
    <xf numFmtId="0" fontId="7" fillId="4" borderId="1" applyAlignment="1" pivotButton="0" quotePrefix="0" xfId="0">
      <alignment horizontal="center" vertical="center" wrapText="1"/>
    </xf>
    <xf numFmtId="0" fontId="7" fillId="8" borderId="1" applyAlignment="1" pivotButton="0" quotePrefix="0" xfId="0">
      <alignment horizontal="center" vertical="center" wrapText="1"/>
    </xf>
    <xf numFmtId="0" fontId="7" fillId="9" borderId="1" applyAlignment="1" pivotButton="0" quotePrefix="0" xfId="0">
      <alignment horizontal="center" vertical="center" wrapText="1"/>
    </xf>
    <xf numFmtId="0" fontId="3" fillId="4" borderId="1" applyAlignment="1" pivotButton="0" quotePrefix="0" xfId="0">
      <alignment horizontal="left" vertical="center"/>
    </xf>
    <xf numFmtId="0" fontId="8" fillId="10" borderId="1" applyAlignment="1" pivotButton="0" quotePrefix="0" xfId="0">
      <alignment horizontal="center" vertical="center"/>
    </xf>
    <xf numFmtId="4" fontId="4" fillId="3" borderId="1" applyAlignment="1" pivotButton="0" quotePrefix="0" xfId="0">
      <alignment horizontal="right" vertical="center"/>
    </xf>
    <xf numFmtId="0" fontId="0" fillId="11" borderId="1" pivotButton="0" quotePrefix="0" xfId="0"/>
    <xf numFmtId="0" fontId="2" fillId="11" borderId="1" applyAlignment="1" pivotButton="0" quotePrefix="0" xfId="0">
      <alignment horizontal="left" vertical="center"/>
    </xf>
    <xf numFmtId="4" fontId="2" fillId="11" borderId="1" applyAlignment="1" pivotButton="0" quotePrefix="0" xfId="0">
      <alignment horizontal="right" vertical="center"/>
    </xf>
    <xf numFmtId="0" fontId="0" fillId="12" borderId="1" pivotButton="0" quotePrefix="0" xfId="0"/>
    <xf numFmtId="0" fontId="2" fillId="12" borderId="1" applyAlignment="1" pivotButton="0" quotePrefix="0" xfId="0">
      <alignment horizontal="left" vertical="center"/>
    </xf>
    <xf numFmtId="4" fontId="2" fillId="12" borderId="1" applyAlignment="1" pivotButton="0" quotePrefix="0" xfId="0">
      <alignment horizontal="right" vertical="center"/>
    </xf>
    <xf numFmtId="0" fontId="0" fillId="10" borderId="1" pivotButton="0" quotePrefix="0" xfId="0"/>
    <xf numFmtId="0" fontId="9" fillId="0" borderId="1" applyAlignment="1" pivotButton="0" quotePrefix="0" xfId="0">
      <alignment horizontal="left" vertical="center" wrapText="1"/>
    </xf>
    <xf numFmtId="0" fontId="0" fillId="6" borderId="2" pivotButton="0" quotePrefix="0" xfId="0"/>
    <xf numFmtId="0" fontId="5" fillId="6" borderId="2" applyAlignment="1" pivotButton="0" quotePrefix="0" xfId="0">
      <alignment horizontal="left" vertical="center"/>
    </xf>
    <xf numFmtId="0" fontId="10" fillId="13" borderId="1" applyAlignment="1" pivotButton="0" quotePrefix="0" xfId="0">
      <alignment horizontal="left" vertical="center" wrapText="1"/>
    </xf>
    <xf numFmtId="0" fontId="0" fillId="0" borderId="1" pivotButton="0" quotePrefix="0" xfId="0"/>
    <xf numFmtId="0" fontId="11" fillId="0" borderId="1" applyAlignment="1" pivotButton="0" quotePrefix="0" xfId="0">
      <alignment horizontal="left" vertical="center"/>
    </xf>
    <xf numFmtId="10" fontId="4" fillId="5" borderId="1" applyAlignment="1" pivotButton="0" quotePrefix="0" xfId="0">
      <alignment horizontal="center" vertical="center"/>
    </xf>
    <xf numFmtId="0" fontId="3" fillId="2" borderId="1" applyAlignment="1" pivotButton="0" quotePrefix="0" xfId="0">
      <alignment horizontal="left" vertical="center"/>
    </xf>
    <xf numFmtId="0" fontId="12" fillId="14" borderId="1" applyAlignment="1" pivotButton="0" quotePrefix="0" xfId="0">
      <alignment horizontal="center" vertical="center"/>
    </xf>
    <xf numFmtId="0" fontId="13" fillId="15" borderId="1" applyAlignment="1" pivotButton="0" quotePrefix="0" xfId="0">
      <alignment horizontal="left" vertical="center" wrapText="1"/>
    </xf>
    <xf numFmtId="0" fontId="14" fillId="6" borderId="2" applyAlignment="1" pivotButton="0" quotePrefix="0" xfId="0">
      <alignment horizontal="left" vertical="center"/>
    </xf>
    <xf numFmtId="10" fontId="4" fillId="3" borderId="1" applyAlignment="1" pivotButton="0" quotePrefix="0" xfId="0">
      <alignment horizontal="right" vertical="center"/>
    </xf>
    <xf numFmtId="0" fontId="0" fillId="0" borderId="2" pivotButton="0" quotePrefix="0" xfId="0"/>
    <xf numFmtId="0" fontId="5" fillId="6" borderId="1" applyAlignment="1" pivotButton="0" quotePrefix="0" xfId="0">
      <alignment horizontal="left" vertical="center"/>
    </xf>
    <xf numFmtId="0" fontId="4" fillId="5" borderId="1" applyAlignment="1" pivotButton="0" quotePrefix="0" xfId="0">
      <alignment horizontal="left" vertical="center" wrapText="1"/>
    </xf>
    <xf numFmtId="0" fontId="2" fillId="5" borderId="1" applyAlignment="1" pivotButton="0" quotePrefix="0" xfId="0">
      <alignment horizontal="center" vertical="center"/>
    </xf>
    <xf numFmtId="0" fontId="15" fillId="5" borderId="1" applyAlignment="1" pivotButton="0" quotePrefix="0" xfId="0">
      <alignment horizontal="center" vertical="center"/>
    </xf>
    <xf numFmtId="164" fontId="0" fillId="3" borderId="1" applyAlignment="1" pivotButton="0" quotePrefix="0" xfId="0">
      <alignment horizontal="center" vertical="center"/>
    </xf>
    <xf numFmtId="0" fontId="0" fillId="3" borderId="1" applyAlignment="1" pivotButton="0" quotePrefix="0" xfId="0">
      <alignment horizontal="left" vertical="center" wrapText="1"/>
    </xf>
    <xf numFmtId="0" fontId="2" fillId="12" borderId="1" applyAlignment="1" pivotButton="0" quotePrefix="0" xfId="0">
      <alignment horizontal="center" vertical="center"/>
    </xf>
    <xf numFmtId="0" fontId="4" fillId="12" borderId="1" applyAlignment="1" pivotButton="0" quotePrefix="0" xfId="0">
      <alignment horizontal="left" vertical="center" wrapText="1"/>
    </xf>
    <xf numFmtId="0" fontId="15" fillId="12" borderId="1" applyAlignment="1" pivotButton="0" quotePrefix="0" xfId="0">
      <alignment horizontal="center" vertical="center"/>
    </xf>
    <xf numFmtId="0" fontId="2" fillId="16" borderId="1" applyAlignment="1" pivotButton="0" quotePrefix="0" xfId="0">
      <alignment horizontal="center" vertical="center"/>
    </xf>
    <xf numFmtId="0" fontId="4" fillId="16" borderId="1" applyAlignment="1" pivotButton="0" quotePrefix="0" xfId="0">
      <alignment horizontal="left" vertical="center" wrapText="1"/>
    </xf>
    <xf numFmtId="0" fontId="15" fillId="16" borderId="1" applyAlignment="1" pivotButton="0" quotePrefix="0" xfId="0">
      <alignment horizontal="center" vertical="center"/>
    </xf>
    <xf numFmtId="0" fontId="16" fillId="16" borderId="1" applyAlignment="1" pivotButton="0" quotePrefix="0" xfId="0">
      <alignment horizontal="center" vertical="center"/>
    </xf>
    <xf numFmtId="0" fontId="17" fillId="7" borderId="1" applyAlignment="1" pivotButton="0" quotePrefix="0" xfId="0">
      <alignment horizontal="left" vertical="center" wrapText="1"/>
    </xf>
  </cellXfs>
  <cellStyles count="1">
    <cellStyle name="Normal" xfId="0" builtinId="0" hidden="0"/>
  </cellStyles>
  <dxfs count="1">
    <dxf>
      <font>
        <b val="1"/>
        <color rgb="00CC0000"/>
      </font>
      <fill>
        <patternFill patternType="solid">
          <fgColor rgb="00FFEB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
  <sheetViews>
    <sheetView showGridLines="0" tabSelected="1" workbookViewId="0">
      <pane ySplit="2" topLeftCell="A3" activePane="bottomLeft" state="frozen"/>
      <selection pane="bottomLeft" activeCell="A1" sqref="A1"/>
    </sheetView>
  </sheetViews>
  <sheetFormatPr baseColWidth="8" defaultRowHeight="15"/>
  <cols>
    <col width="6" customWidth="1" min="1" max="1"/>
    <col width="44" customWidth="1" min="2" max="2"/>
    <col width="22" customWidth="1" min="3" max="3"/>
    <col width="14" customWidth="1" min="4" max="4"/>
    <col width="14" customWidth="1" min="5" max="5"/>
    <col width="14" customWidth="1" min="6" max="6"/>
    <col width="14" customWidth="1" min="7" max="7"/>
    <col width="14" customWidth="1" min="8" max="8"/>
    <col width="14" customWidth="1" min="9" max="9"/>
  </cols>
  <sheetData>
    <row r="1" ht="32" customHeight="1">
      <c r="A1" s="1" t="inlineStr">
        <is>
          <t>KVK Md. 32/7 ve 32/8 — İmalat ve İhracat İndirimli Kurumlar Vergisi Çalışma Kağıdı</t>
        </is>
      </c>
    </row>
    <row r="2" ht="22" customHeight="1">
      <c r="A2" s="2" t="inlineStr">
        <is>
          <t>Mükellef:</t>
        </is>
      </c>
      <c r="B2" s="3" t="n"/>
      <c r="D2" s="2" t="inlineStr">
        <is>
          <t>VKN:</t>
        </is>
      </c>
      <c r="E2" s="3" t="n"/>
      <c r="F2" s="2" t="inlineStr">
        <is>
          <t>Dönem:</t>
        </is>
      </c>
      <c r="G2" s="3" t="n"/>
    </row>
    <row r="3" ht="8" customHeight="1"/>
    <row r="4" ht="20" customHeight="1">
      <c r="A4" s="4" t="inlineStr">
        <is>
          <t>ÖN KONTROL</t>
        </is>
      </c>
      <c r="C4" s="4" t="inlineStr">
        <is>
          <t>CEVAP</t>
        </is>
      </c>
    </row>
    <row r="5" ht="20" customHeight="1">
      <c r="A5" s="5" t="inlineStr">
        <is>
          <t>Sanayi sicil belgesi geçerli mi? (32/7 için)</t>
        </is>
      </c>
      <c r="C5" s="6" t="n"/>
    </row>
    <row r="6" ht="20" customHeight="1">
      <c r="A6" s="5" t="inlineStr">
        <is>
          <t>Sanayi sicil kapsamı imalat faaliyeti aktif mi?</t>
        </is>
      </c>
      <c r="C6" s="6" t="n"/>
    </row>
    <row r="7" ht="20" customHeight="1">
      <c r="A7" s="5" t="inlineStr">
        <is>
          <t>İhracat faaliyeti belgelenmiş mi? (32/8 için)</t>
        </is>
      </c>
      <c r="C7" s="6" t="n"/>
    </row>
    <row r="8" ht="20" customHeight="1">
      <c r="A8" s="5" t="inlineStr">
        <is>
          <t>İhracat + imalat matrahı toplamı KV matrahını aşmıyor mu?</t>
        </is>
      </c>
      <c r="C8" s="6" t="n"/>
    </row>
    <row r="9" ht="20" customHeight="1">
      <c r="A9" s="5" t="inlineStr">
        <is>
          <t>32/A ile çakışma varsa matrahlar ayrıştırıldı mı?</t>
        </is>
      </c>
      <c r="C9" s="6" t="n"/>
    </row>
    <row r="10" ht="8" customHeight="1"/>
    <row r="11" ht="20" customHeight="1">
      <c r="A11" s="4" t="inlineStr">
        <is>
          <t>ÖZET TABLO — DİĞER SAYFALARA BAĞLANTILI</t>
        </is>
      </c>
    </row>
    <row r="12" ht="18" customHeight="1">
      <c r="A12" s="7" t="inlineStr">
        <is>
          <t>No</t>
        </is>
      </c>
      <c r="B12" s="7" t="inlineStr">
        <is>
          <t>Kalem</t>
        </is>
      </c>
      <c r="C12" s="7" t="inlineStr">
        <is>
          <t>Tutar (TL)</t>
        </is>
      </c>
    </row>
    <row r="13" ht="18" customHeight="1">
      <c r="A13" s="8" t="inlineStr">
        <is>
          <t>1</t>
        </is>
      </c>
      <c r="B13" s="9" t="inlineStr">
        <is>
          <t>KV Matrahı (Toplam)</t>
        </is>
      </c>
      <c r="C13" s="10">
        <f>'GELİR TABLOSU'!C90</f>
        <v/>
      </c>
    </row>
    <row r="14" ht="18" customHeight="1">
      <c r="A14" s="8" t="inlineStr">
        <is>
          <t>2</t>
        </is>
      </c>
      <c r="B14" s="9" t="inlineStr">
        <is>
          <t>İmalat Faaliyeti Matrahı (32/7)</t>
        </is>
      </c>
      <c r="C14" s="10">
        <f>'GELİR TABLOSU'!E90</f>
        <v/>
      </c>
    </row>
    <row r="15" ht="18" customHeight="1">
      <c r="A15" s="8" t="inlineStr">
        <is>
          <t>3</t>
        </is>
      </c>
      <c r="B15" s="9" t="inlineStr">
        <is>
          <t>İhracat Faaliyeti Matrahı (32/8)</t>
        </is>
      </c>
      <c r="C15" s="10">
        <f>'GELİR TABLOSU'!D90</f>
        <v/>
      </c>
    </row>
    <row r="16" ht="18" customHeight="1">
      <c r="A16" s="8" t="inlineStr">
        <is>
          <t>4</t>
        </is>
      </c>
      <c r="B16" s="9" t="inlineStr">
        <is>
          <t>Diğer Faaliyetler Matrahı</t>
        </is>
      </c>
      <c r="C16" s="10">
        <f>'GELİR TABLOSU'!F90</f>
        <v/>
      </c>
    </row>
    <row r="17" ht="18" customHeight="1">
      <c r="A17" s="8" t="inlineStr">
        <is>
          <t>5</t>
        </is>
      </c>
      <c r="B17" s="9" t="inlineStr">
        <is>
          <t>32/7 KV Tasarrufu (1 puan)</t>
        </is>
      </c>
      <c r="C17" s="10">
        <f>HESAPLAMA!E14</f>
        <v/>
      </c>
    </row>
    <row r="18" ht="18" customHeight="1">
      <c r="A18" s="8" t="inlineStr">
        <is>
          <t>6</t>
        </is>
      </c>
      <c r="B18" s="9" t="inlineStr">
        <is>
          <t>32/8 KV Tasarrufu (5 puan)</t>
        </is>
      </c>
      <c r="C18" s="10">
        <f>HESAPLAMA!D22</f>
        <v/>
      </c>
    </row>
    <row r="19" ht="18" customHeight="1">
      <c r="A19" s="8" t="inlineStr">
        <is>
          <t>7</t>
        </is>
      </c>
      <c r="B19" s="9" t="inlineStr">
        <is>
          <t>Toplam KV Tasarrufu</t>
        </is>
      </c>
      <c r="C19" s="11">
        <f>HESAPLAMA!C27</f>
        <v/>
      </c>
    </row>
    <row r="20" ht="18" customHeight="1">
      <c r="A20" s="8" t="inlineStr">
        <is>
          <t>8</t>
        </is>
      </c>
      <c r="B20" s="9" t="inlineStr">
        <is>
          <t>Ödenecek KV (tahmini)</t>
        </is>
      </c>
      <c r="C20" s="11">
        <f>HESAPLAMA!C33</f>
        <v/>
      </c>
    </row>
  </sheetData>
  <mergeCells count="10">
    <mergeCell ref="A4:B4"/>
    <mergeCell ref="G2:I2"/>
    <mergeCell ref="B2:C2"/>
    <mergeCell ref="A11:C11"/>
    <mergeCell ref="A7:B7"/>
    <mergeCell ref="A5:B5"/>
    <mergeCell ref="A1:I1"/>
    <mergeCell ref="A9:B9"/>
    <mergeCell ref="A8:B8"/>
    <mergeCell ref="A6:B6"/>
  </mergeCells>
  <dataValidations count="1">
    <dataValidation sqref="C5 C6 C7 C8 C9" showDropDown="0" showInputMessage="0" showErrorMessage="0" allowBlank="1" type="list">
      <formula1>"EVET,HAYIR,N/A"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0"/>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8" customWidth="1" min="1" max="1"/>
    <col width="45" customWidth="1" min="2" max="2"/>
    <col width="18" customWidth="1" min="3" max="3"/>
    <col width="18" customWidth="1" min="4" max="4"/>
    <col width="18" customWidth="1" min="5" max="5"/>
    <col width="18" customWidth="1" min="6" max="6"/>
    <col width="14" customWidth="1" min="7" max="7"/>
  </cols>
  <sheetData>
    <row r="1" ht="30" customHeight="1">
      <c r="A1" s="1" t="inlineStr">
        <is>
          <t>GELİR TABLOSU — FAALİYET BAZINDA DAĞILIM</t>
        </is>
      </c>
    </row>
    <row r="2" ht="18" customHeight="1">
      <c r="A2" s="12" t="inlineStr">
        <is>
          <t>Her kalem Toplam / İhracat / İmalat / Diğer sütunlarına ayrılarak dağıtılır</t>
        </is>
      </c>
    </row>
    <row r="3" ht="30" customHeight="1">
      <c r="A3" s="13" t="inlineStr">
        <is>
          <t>Hesap
Kodu</t>
        </is>
      </c>
      <c r="B3" s="13" t="inlineStr">
        <is>
          <t>Hesap Adı</t>
        </is>
      </c>
      <c r="C3" s="13" t="inlineStr">
        <is>
          <t>Toplam (TL)</t>
        </is>
      </c>
      <c r="D3" s="14" t="inlineStr">
        <is>
          <t>İhracat
Faaliyeti</t>
        </is>
      </c>
      <c r="E3" s="14" t="inlineStr">
        <is>
          <t>İmalat
Faaliyeti</t>
        </is>
      </c>
      <c r="F3" s="15" t="inlineStr">
        <is>
          <t>Diğer
Faaliyetler</t>
        </is>
      </c>
      <c r="G3" s="16" t="inlineStr">
        <is>
          <t>Kontrol
(C-D-E-F)</t>
        </is>
      </c>
    </row>
    <row r="4" ht="20" customHeight="1">
      <c r="A4" s="17" t="inlineStr">
        <is>
          <t>A — BRÜT SATIŞLAR (Hesap 60)</t>
        </is>
      </c>
    </row>
    <row r="5" ht="18" customHeight="1">
      <c r="A5" s="18" t="inlineStr">
        <is>
          <t>600</t>
        </is>
      </c>
      <c r="B5" s="5" t="inlineStr">
        <is>
          <t>1-Yurtiçi Satışlar</t>
        </is>
      </c>
      <c r="C5" s="19" t="n"/>
      <c r="D5" s="19" t="n"/>
      <c r="E5" s="19" t="n"/>
      <c r="F5" s="19" t="n"/>
      <c r="G5" s="10">
        <f>C5-D5-E5-F5</f>
        <v/>
      </c>
    </row>
    <row r="6" ht="18" customHeight="1">
      <c r="A6" s="18" t="inlineStr">
        <is>
          <t>601</t>
        </is>
      </c>
      <c r="B6" s="5" t="inlineStr">
        <is>
          <t>2-Yurtdışı Satışlar</t>
        </is>
      </c>
      <c r="C6" s="19" t="n"/>
      <c r="D6" s="19" t="n"/>
      <c r="E6" s="19" t="n"/>
      <c r="F6" s="19" t="n"/>
      <c r="G6" s="10">
        <f>C6-D6-E6-F6</f>
        <v/>
      </c>
    </row>
    <row r="7" ht="18" customHeight="1">
      <c r="A7" s="18" t="inlineStr">
        <is>
          <t>602</t>
        </is>
      </c>
      <c r="B7" s="5" t="inlineStr">
        <is>
          <t>3-Diğer Gelirler</t>
        </is>
      </c>
      <c r="C7" s="19" t="n"/>
      <c r="D7" s="19" t="n"/>
      <c r="E7" s="19" t="n"/>
      <c r="F7" s="19" t="n"/>
      <c r="G7" s="10">
        <f>C7-D7-E7-F7</f>
        <v/>
      </c>
    </row>
    <row r="8" ht="20" customHeight="1">
      <c r="A8" s="20" t="inlineStr"/>
      <c r="B8" s="21" t="inlineStr">
        <is>
          <t>A — BRÜT SATIŞLAR TOPLAMI</t>
        </is>
      </c>
      <c r="C8" s="22">
        <f>SUM(C5:C7)</f>
        <v/>
      </c>
      <c r="D8" s="22">
        <f>SUM(D5:D7)</f>
        <v/>
      </c>
      <c r="E8" s="22">
        <f>SUM(E5:E7)</f>
        <v/>
      </c>
      <c r="F8" s="22">
        <f>SUM(F5:F7)</f>
        <v/>
      </c>
      <c r="G8" s="10">
        <f>C8-D8-E8-F8</f>
        <v/>
      </c>
    </row>
    <row r="9" ht="6" customHeight="1"/>
    <row r="10" ht="20" customHeight="1">
      <c r="A10" s="17" t="inlineStr">
        <is>
          <t>B — SATIŞ İNDİRİMLERİ (-) (Hesap 61)</t>
        </is>
      </c>
    </row>
    <row r="11" ht="18" customHeight="1">
      <c r="A11" s="18" t="inlineStr">
        <is>
          <t>610</t>
        </is>
      </c>
      <c r="B11" s="5" t="inlineStr">
        <is>
          <t>1-Satıştan İadeler (-)</t>
        </is>
      </c>
      <c r="C11" s="19" t="n"/>
      <c r="D11" s="19" t="n"/>
      <c r="E11" s="19" t="n"/>
      <c r="F11" s="19" t="n"/>
      <c r="G11" s="10">
        <f>C11-D11-E11-F11</f>
        <v/>
      </c>
    </row>
    <row r="12" ht="18" customHeight="1">
      <c r="A12" s="18" t="inlineStr">
        <is>
          <t>611</t>
        </is>
      </c>
      <c r="B12" s="5" t="inlineStr">
        <is>
          <t>2-Satış İskontoları (-)</t>
        </is>
      </c>
      <c r="C12" s="19" t="n"/>
      <c r="D12" s="19" t="n"/>
      <c r="E12" s="19" t="n"/>
      <c r="F12" s="19" t="n"/>
      <c r="G12" s="10">
        <f>C12-D12-E12-F12</f>
        <v/>
      </c>
    </row>
    <row r="13" ht="18" customHeight="1">
      <c r="A13" s="18" t="inlineStr">
        <is>
          <t>612</t>
        </is>
      </c>
      <c r="B13" s="5" t="inlineStr">
        <is>
          <t>3-Diğer İndirimler (-)</t>
        </is>
      </c>
      <c r="C13" s="19" t="n"/>
      <c r="D13" s="19" t="n"/>
      <c r="E13" s="19" t="n"/>
      <c r="F13" s="19" t="n"/>
      <c r="G13" s="10">
        <f>C13-D13-E13-F13</f>
        <v/>
      </c>
    </row>
    <row r="14" ht="20" customHeight="1">
      <c r="A14" s="20" t="inlineStr"/>
      <c r="B14" s="21" t="inlineStr">
        <is>
          <t>B — SATIŞ İNDİRİMLERİ TOPLAMI</t>
        </is>
      </c>
      <c r="C14" s="22">
        <f>SUM(C11:C13)</f>
        <v/>
      </c>
      <c r="D14" s="22">
        <f>SUM(D11:D13)</f>
        <v/>
      </c>
      <c r="E14" s="22">
        <f>SUM(E11:E13)</f>
        <v/>
      </c>
      <c r="F14" s="22">
        <f>SUM(F11:F13)</f>
        <v/>
      </c>
      <c r="G14" s="10">
        <f>C14-D14-E14-F14</f>
        <v/>
      </c>
    </row>
    <row r="15" ht="6" customHeight="1"/>
    <row r="16" ht="20" customHeight="1">
      <c r="A16" s="23" t="inlineStr"/>
      <c r="B16" s="24" t="inlineStr">
        <is>
          <t>C — NET SATIŞLAR</t>
        </is>
      </c>
      <c r="C16" s="25">
        <f>C8-C14</f>
        <v/>
      </c>
      <c r="D16" s="25">
        <f>D8-D14</f>
        <v/>
      </c>
      <c r="E16" s="25">
        <f>E8-E14</f>
        <v/>
      </c>
      <c r="F16" s="25">
        <f>F8-F14</f>
        <v/>
      </c>
      <c r="G16" s="10">
        <f>C16-D16-E16-F16</f>
        <v/>
      </c>
    </row>
    <row r="17" ht="6" customHeight="1"/>
    <row r="18" ht="20" customHeight="1">
      <c r="A18" s="17" t="inlineStr">
        <is>
          <t>D — SATIŞLARIN MALİYETİ (-) (Hesap 62)</t>
        </is>
      </c>
    </row>
    <row r="19" ht="18" customHeight="1">
      <c r="A19" s="18" t="inlineStr">
        <is>
          <t>620</t>
        </is>
      </c>
      <c r="B19" s="5" t="inlineStr">
        <is>
          <t>1-Satılan Mamuller Maliyeti</t>
        </is>
      </c>
      <c r="C19" s="19" t="n"/>
      <c r="D19" s="19" t="n"/>
      <c r="E19" s="19" t="n"/>
      <c r="F19" s="19" t="n"/>
      <c r="G19" s="10">
        <f>C19-D19-E19-F19</f>
        <v/>
      </c>
    </row>
    <row r="20" ht="18" customHeight="1">
      <c r="A20" s="18" t="inlineStr">
        <is>
          <t>621</t>
        </is>
      </c>
      <c r="B20" s="5" t="inlineStr">
        <is>
          <t>2-Satılan Ticari Mal Maliyeti</t>
        </is>
      </c>
      <c r="C20" s="19" t="n"/>
      <c r="D20" s="19" t="n"/>
      <c r="E20" s="19" t="n"/>
      <c r="F20" s="19" t="n"/>
      <c r="G20" s="10">
        <f>C20-D20-E20-F20</f>
        <v/>
      </c>
    </row>
    <row r="21" ht="18" customHeight="1">
      <c r="A21" s="18" t="inlineStr">
        <is>
          <t>622</t>
        </is>
      </c>
      <c r="B21" s="5" t="inlineStr">
        <is>
          <t>3-Satılan Hizmet Maliyeti</t>
        </is>
      </c>
      <c r="C21" s="19" t="n"/>
      <c r="D21" s="19" t="n"/>
      <c r="E21" s="19" t="n"/>
      <c r="F21" s="19" t="n"/>
      <c r="G21" s="10">
        <f>C21-D21-E21-F21</f>
        <v/>
      </c>
    </row>
    <row r="22" ht="18" customHeight="1">
      <c r="A22" s="18" t="inlineStr">
        <is>
          <t>623</t>
        </is>
      </c>
      <c r="B22" s="5" t="inlineStr">
        <is>
          <t>4-Diğer Satışların Maliyeti</t>
        </is>
      </c>
      <c r="C22" s="19" t="n"/>
      <c r="D22" s="19" t="n"/>
      <c r="E22" s="19" t="n"/>
      <c r="F22" s="19" t="n"/>
      <c r="G22" s="10">
        <f>C22-D22-E22-F22</f>
        <v/>
      </c>
    </row>
    <row r="23" ht="20" customHeight="1">
      <c r="A23" s="20" t="inlineStr"/>
      <c r="B23" s="21" t="inlineStr">
        <is>
          <t>D — SATIŞLARIN MALİYETİ TOPLAMI</t>
        </is>
      </c>
      <c r="C23" s="22">
        <f>SUM(C19:C22)</f>
        <v/>
      </c>
      <c r="D23" s="22">
        <f>SUM(D19:D22)</f>
        <v/>
      </c>
      <c r="E23" s="22">
        <f>SUM(E19:E22)</f>
        <v/>
      </c>
      <c r="F23" s="22">
        <f>SUM(F19:F22)</f>
        <v/>
      </c>
      <c r="G23" s="10">
        <f>C23-D23-E23-F23</f>
        <v/>
      </c>
    </row>
    <row r="24" ht="6" customHeight="1"/>
    <row r="25" ht="20" customHeight="1">
      <c r="A25" s="23" t="inlineStr"/>
      <c r="B25" s="24" t="inlineStr">
        <is>
          <t>BRÜT SATIŞ KARI / ZARARI</t>
        </is>
      </c>
      <c r="C25" s="25">
        <f>C16-C23</f>
        <v/>
      </c>
      <c r="D25" s="25">
        <f>D16-D23</f>
        <v/>
      </c>
      <c r="E25" s="25">
        <f>E16-E23</f>
        <v/>
      </c>
      <c r="F25" s="25">
        <f>F16-F23</f>
        <v/>
      </c>
      <c r="G25" s="10">
        <f>C25-D25-E25-F25</f>
        <v/>
      </c>
    </row>
    <row r="26" ht="6" customHeight="1"/>
    <row r="27" ht="20" customHeight="1">
      <c r="A27" s="17" t="inlineStr">
        <is>
          <t>E — FAALİYET GİDERLERİ (-) (Hesap 63)</t>
        </is>
      </c>
    </row>
    <row r="28" ht="18" customHeight="1">
      <c r="A28" s="18" t="inlineStr">
        <is>
          <t>630</t>
        </is>
      </c>
      <c r="B28" s="5" t="inlineStr">
        <is>
          <t>1-Ar-Ge Giderleri (-)</t>
        </is>
      </c>
      <c r="C28" s="19" t="n"/>
      <c r="D28" s="19" t="n"/>
      <c r="E28" s="19" t="n"/>
      <c r="F28" s="19" t="n"/>
      <c r="G28" s="10">
        <f>C28-D28-E28-F28</f>
        <v/>
      </c>
    </row>
    <row r="29" ht="18" customHeight="1">
      <c r="A29" s="18" t="inlineStr">
        <is>
          <t>631</t>
        </is>
      </c>
      <c r="B29" s="5" t="inlineStr">
        <is>
          <t>2-Pazarlama, Satış ve Dağıtım Giderleri (-)</t>
        </is>
      </c>
      <c r="C29" s="19" t="n"/>
      <c r="D29" s="19" t="n"/>
      <c r="E29" s="19" t="n"/>
      <c r="F29" s="19" t="n"/>
      <c r="G29" s="10">
        <f>C29-D29-E29-F29</f>
        <v/>
      </c>
    </row>
    <row r="30" ht="18" customHeight="1">
      <c r="A30" s="18" t="inlineStr">
        <is>
          <t>632</t>
        </is>
      </c>
      <c r="B30" s="5" t="inlineStr">
        <is>
          <t>3-Genel Yönetim Giderleri (-)</t>
        </is>
      </c>
      <c r="C30" s="19" t="n"/>
      <c r="D30" s="19" t="n"/>
      <c r="E30" s="19" t="n"/>
      <c r="F30" s="19" t="n"/>
      <c r="G30" s="10">
        <f>C30-D30-E30-F30</f>
        <v/>
      </c>
    </row>
    <row r="31" ht="20" customHeight="1">
      <c r="A31" s="26" t="inlineStr"/>
      <c r="B31" s="27" t="inlineStr">
        <is>
          <t>Müşterek Genel Giderler (hasılat payına göre dağıtım)</t>
        </is>
      </c>
      <c r="C31" s="10">
        <f>D31+E31+F31</f>
        <v/>
      </c>
      <c r="D31" s="19" t="n"/>
      <c r="E31" s="19" t="n"/>
      <c r="F31" s="19" t="n"/>
      <c r="G31" s="10">
        <f>C31-D31-E31-F31</f>
        <v/>
      </c>
    </row>
    <row r="32" ht="20" customHeight="1">
      <c r="A32" s="26" t="inlineStr"/>
      <c r="B32" s="27" t="inlineStr">
        <is>
          <t>Müşterek Gider Niteliğindeki Amortismanlar</t>
        </is>
      </c>
      <c r="C32" s="10">
        <f>D32+E32+F32</f>
        <v/>
      </c>
      <c r="D32" s="19" t="n"/>
      <c r="E32" s="19" t="n"/>
      <c r="F32" s="19" t="n"/>
      <c r="G32" s="10">
        <f>C32-D32-E32-F32</f>
        <v/>
      </c>
    </row>
    <row r="33" ht="20" customHeight="1">
      <c r="A33" s="20" t="inlineStr"/>
      <c r="B33" s="21" t="inlineStr">
        <is>
          <t>E — FAALİYET GİDERLERİ TOPLAMI</t>
        </is>
      </c>
      <c r="C33" s="22">
        <f>SUM(C28:C32)</f>
        <v/>
      </c>
      <c r="D33" s="22">
        <f>SUM(D28:D32)</f>
        <v/>
      </c>
      <c r="E33" s="22">
        <f>SUM(E28:E32)</f>
        <v/>
      </c>
      <c r="F33" s="22">
        <f>SUM(F28:F32)</f>
        <v/>
      </c>
      <c r="G33" s="10">
        <f>C33-D33-E33-F33</f>
        <v/>
      </c>
    </row>
    <row r="34" ht="6" customHeight="1"/>
    <row r="35" ht="20" customHeight="1">
      <c r="A35" s="23" t="inlineStr"/>
      <c r="B35" s="24" t="inlineStr">
        <is>
          <t>FAALİYET KARI / ZARARI</t>
        </is>
      </c>
      <c r="C35" s="25">
        <f>C25-C33</f>
        <v/>
      </c>
      <c r="D35" s="25">
        <f>D25-D33</f>
        <v/>
      </c>
      <c r="E35" s="25">
        <f>E25-E33</f>
        <v/>
      </c>
      <c r="F35" s="25">
        <f>F25-F33</f>
        <v/>
      </c>
      <c r="G35" s="10">
        <f>C35-D35-E35-F35</f>
        <v/>
      </c>
    </row>
    <row r="36" ht="6" customHeight="1"/>
    <row r="37" ht="20" customHeight="1">
      <c r="A37" s="17" t="inlineStr">
        <is>
          <t>F — DİĞER FAALİYETLERDEN GELİR VE KARLAR (Hesap 64)</t>
        </is>
      </c>
    </row>
    <row r="38" ht="18" customHeight="1">
      <c r="A38" s="18" t="inlineStr">
        <is>
          <t>640</t>
        </is>
      </c>
      <c r="B38" s="5" t="inlineStr">
        <is>
          <t>1-İştiraklerden Temettü Gelirleri</t>
        </is>
      </c>
      <c r="C38" s="19" t="n"/>
      <c r="D38" s="19" t="n"/>
      <c r="E38" s="19" t="n"/>
      <c r="F38" s="19" t="n"/>
      <c r="G38" s="10">
        <f>C38-D38-E38-F38</f>
        <v/>
      </c>
    </row>
    <row r="39" ht="18" customHeight="1">
      <c r="A39" s="18" t="inlineStr">
        <is>
          <t>641</t>
        </is>
      </c>
      <c r="B39" s="5" t="inlineStr">
        <is>
          <t>2-Bağlı Ortaklıklardan Temettü Gelirleri</t>
        </is>
      </c>
      <c r="C39" s="19" t="n"/>
      <c r="D39" s="19" t="n"/>
      <c r="E39" s="19" t="n"/>
      <c r="F39" s="19" t="n"/>
      <c r="G39" s="10">
        <f>C39-D39-E39-F39</f>
        <v/>
      </c>
    </row>
    <row r="40" ht="18" customHeight="1">
      <c r="A40" s="18" t="inlineStr">
        <is>
          <t>642</t>
        </is>
      </c>
      <c r="B40" s="5" t="inlineStr">
        <is>
          <t>3-Faiz Gelirleri (ihracat/imalat kaynaklı)</t>
        </is>
      </c>
      <c r="C40" s="19" t="n"/>
      <c r="D40" s="19" t="n"/>
      <c r="E40" s="19" t="n"/>
      <c r="F40" s="19" t="n"/>
      <c r="G40" s="10">
        <f>C40-D40-E40-F40</f>
        <v/>
      </c>
    </row>
    <row r="41" ht="18" customHeight="1">
      <c r="A41" s="18" t="inlineStr">
        <is>
          <t>643</t>
        </is>
      </c>
      <c r="B41" s="5" t="inlineStr">
        <is>
          <t>4-Komisyon Gelirleri</t>
        </is>
      </c>
      <c r="C41" s="19" t="n"/>
      <c r="D41" s="19" t="n"/>
      <c r="E41" s="19" t="n"/>
      <c r="F41" s="19" t="n"/>
      <c r="G41" s="10">
        <f>C41-D41-E41-F41</f>
        <v/>
      </c>
    </row>
    <row r="42" ht="18" customHeight="1">
      <c r="A42" s="18" t="inlineStr">
        <is>
          <t>644</t>
        </is>
      </c>
      <c r="B42" s="5" t="inlineStr">
        <is>
          <t>5-Konusu Olmayan Karşılıklar</t>
        </is>
      </c>
      <c r="C42" s="19" t="n"/>
      <c r="D42" s="19" t="n"/>
      <c r="E42" s="19" t="n"/>
      <c r="F42" s="19" t="n"/>
      <c r="G42" s="10">
        <f>C42-D42-E42-F42</f>
        <v/>
      </c>
    </row>
    <row r="43" ht="18" customHeight="1">
      <c r="A43" s="18" t="inlineStr">
        <is>
          <t>645</t>
        </is>
      </c>
      <c r="B43" s="5" t="inlineStr">
        <is>
          <t>6-Menkul Kıymet Satış Karları</t>
        </is>
      </c>
      <c r="C43" s="19" t="n"/>
      <c r="D43" s="19" t="n"/>
      <c r="E43" s="19" t="n"/>
      <c r="F43" s="19" t="n"/>
      <c r="G43" s="10">
        <f>C43-D43-E43-F43</f>
        <v/>
      </c>
    </row>
    <row r="44" ht="18" customHeight="1">
      <c r="A44" s="18" t="inlineStr">
        <is>
          <t>646</t>
        </is>
      </c>
      <c r="B44" s="5" t="inlineStr">
        <is>
          <t>7-Kambiyo Karları (faaliyete kaynaklı)</t>
        </is>
      </c>
      <c r="C44" s="19" t="n"/>
      <c r="D44" s="19" t="n"/>
      <c r="E44" s="19" t="n"/>
      <c r="F44" s="19" t="n"/>
      <c r="G44" s="10">
        <f>C44-D44-E44-F44</f>
        <v/>
      </c>
    </row>
    <row r="45" ht="18" customHeight="1">
      <c r="A45" s="18" t="inlineStr">
        <is>
          <t>647</t>
        </is>
      </c>
      <c r="B45" s="5" t="inlineStr">
        <is>
          <t>8-Reeskont Faiz Gelirleri</t>
        </is>
      </c>
      <c r="C45" s="19" t="n"/>
      <c r="D45" s="19" t="n"/>
      <c r="E45" s="19" t="n"/>
      <c r="F45" s="19" t="n"/>
      <c r="G45" s="10">
        <f>C45-D45-E45-F45</f>
        <v/>
      </c>
    </row>
    <row r="46" ht="18" customHeight="1">
      <c r="A46" s="18" t="inlineStr">
        <is>
          <t>649</t>
        </is>
      </c>
      <c r="B46" s="5" t="inlineStr">
        <is>
          <t>9-Diğer Gelir ve Karlar</t>
        </is>
      </c>
      <c r="C46" s="19" t="n"/>
      <c r="D46" s="19" t="n"/>
      <c r="E46" s="19" t="n"/>
      <c r="F46" s="19" t="n"/>
      <c r="G46" s="10">
        <f>C46-D46-E46-F46</f>
        <v/>
      </c>
    </row>
    <row r="47" ht="20" customHeight="1">
      <c r="A47" s="20" t="inlineStr"/>
      <c r="B47" s="21" t="inlineStr">
        <is>
          <t>F — DİĞER FAALİYET GELİRLERİ ARA TOPLAM</t>
        </is>
      </c>
      <c r="C47" s="22">
        <f>SUM(C38:C46)</f>
        <v/>
      </c>
      <c r="D47" s="22">
        <f>SUM(D38:D46)</f>
        <v/>
      </c>
      <c r="E47" s="22">
        <f>SUM(E38:E46)</f>
        <v/>
      </c>
      <c r="F47" s="22">
        <f>SUM(F38:F46)</f>
        <v/>
      </c>
      <c r="G47" s="10">
        <f>C47-D47-E47-F47</f>
        <v/>
      </c>
    </row>
    <row r="48" ht="6" customHeight="1"/>
    <row r="49" ht="20" customHeight="1">
      <c r="A49" s="17" t="inlineStr">
        <is>
          <t>G — DİĞER FAALİYETLERDEN GİDER VE ZARARLAR (-) (Hesap 65)</t>
        </is>
      </c>
    </row>
    <row r="50" ht="18" customHeight="1">
      <c r="A50" s="18" t="inlineStr">
        <is>
          <t>653</t>
        </is>
      </c>
      <c r="B50" s="5" t="inlineStr">
        <is>
          <t>1-Komisyon Giderleri</t>
        </is>
      </c>
      <c r="C50" s="19" t="n"/>
      <c r="D50" s="19" t="n"/>
      <c r="E50" s="19" t="n"/>
      <c r="F50" s="19" t="n"/>
      <c r="G50" s="10">
        <f>C50-D50-E50-F50</f>
        <v/>
      </c>
    </row>
    <row r="51" ht="18" customHeight="1">
      <c r="A51" s="18" t="inlineStr">
        <is>
          <t>654</t>
        </is>
      </c>
      <c r="B51" s="5" t="inlineStr">
        <is>
          <t>2-Karşılık Giderleri</t>
        </is>
      </c>
      <c r="C51" s="19" t="n"/>
      <c r="D51" s="19" t="n"/>
      <c r="E51" s="19" t="n"/>
      <c r="F51" s="19" t="n"/>
      <c r="G51" s="10">
        <f>C51-D51-E51-F51</f>
        <v/>
      </c>
    </row>
    <row r="52" ht="18" customHeight="1">
      <c r="A52" s="18" t="inlineStr">
        <is>
          <t>655</t>
        </is>
      </c>
      <c r="B52" s="5" t="inlineStr">
        <is>
          <t>3-Menkul Kıymet Satış Zararları</t>
        </is>
      </c>
      <c r="C52" s="19" t="n"/>
      <c r="D52" s="19" t="n"/>
      <c r="E52" s="19" t="n"/>
      <c r="F52" s="19" t="n"/>
      <c r="G52" s="10">
        <f>C52-D52-E52-F52</f>
        <v/>
      </c>
    </row>
    <row r="53" ht="18" customHeight="1">
      <c r="A53" s="18" t="inlineStr">
        <is>
          <t>656</t>
        </is>
      </c>
      <c r="B53" s="5" t="inlineStr">
        <is>
          <t>4-Kambiyo Zararları</t>
        </is>
      </c>
      <c r="C53" s="19" t="n"/>
      <c r="D53" s="19" t="n"/>
      <c r="E53" s="19" t="n"/>
      <c r="F53" s="19" t="n"/>
      <c r="G53" s="10">
        <f>C53-D53-E53-F53</f>
        <v/>
      </c>
    </row>
    <row r="54" ht="18" customHeight="1">
      <c r="A54" s="18" t="inlineStr">
        <is>
          <t>657</t>
        </is>
      </c>
      <c r="B54" s="5" t="inlineStr">
        <is>
          <t>5-Reeskont Faiz Giderleri</t>
        </is>
      </c>
      <c r="C54" s="19" t="n"/>
      <c r="D54" s="19" t="n"/>
      <c r="E54" s="19" t="n"/>
      <c r="F54" s="19" t="n"/>
      <c r="G54" s="10">
        <f>C54-D54-E54-F54</f>
        <v/>
      </c>
    </row>
    <row r="55" ht="18" customHeight="1">
      <c r="A55" s="18" t="inlineStr">
        <is>
          <t>659</t>
        </is>
      </c>
      <c r="B55" s="5" t="inlineStr">
        <is>
          <t>6-Diğer Olağan Gider ve Zararlar</t>
        </is>
      </c>
      <c r="C55" s="19" t="n"/>
      <c r="D55" s="19" t="n"/>
      <c r="E55" s="19" t="n"/>
      <c r="F55" s="19" t="n"/>
      <c r="G55" s="10">
        <f>C55-D55-E55-F55</f>
        <v/>
      </c>
    </row>
    <row r="56" ht="20" customHeight="1">
      <c r="A56" s="20" t="inlineStr"/>
      <c r="B56" s="21" t="inlineStr">
        <is>
          <t>G — DİĞER FAALİYET GİDERLERİ ARA TOPLAM</t>
        </is>
      </c>
      <c r="C56" s="22">
        <f>SUM(C50:C55)</f>
        <v/>
      </c>
      <c r="D56" s="22">
        <f>SUM(D50:D55)</f>
        <v/>
      </c>
      <c r="E56" s="22">
        <f>SUM(E50:E55)</f>
        <v/>
      </c>
      <c r="F56" s="22">
        <f>SUM(F50:F55)</f>
        <v/>
      </c>
      <c r="G56" s="10">
        <f>C56-D56-E56-F56</f>
        <v/>
      </c>
    </row>
    <row r="57" ht="6" customHeight="1"/>
    <row r="58" ht="20" customHeight="1">
      <c r="A58" s="17" t="inlineStr">
        <is>
          <t>H — FİNANSMAN GİDERLERİ (-) (Hesap 66)</t>
        </is>
      </c>
    </row>
    <row r="59" ht="18" customHeight="1">
      <c r="A59" s="18" t="inlineStr">
        <is>
          <t>660</t>
        </is>
      </c>
      <c r="B59" s="5" t="inlineStr">
        <is>
          <t>1-Kısa Vadeli Borçlanma Giderleri (-)</t>
        </is>
      </c>
      <c r="C59" s="19" t="n"/>
      <c r="D59" s="19" t="n"/>
      <c r="E59" s="19" t="n"/>
      <c r="F59" s="19" t="n"/>
      <c r="G59" s="10">
        <f>C59-D59-E59-F59</f>
        <v/>
      </c>
    </row>
    <row r="60" ht="18" customHeight="1">
      <c r="A60" s="18" t="inlineStr">
        <is>
          <t>661</t>
        </is>
      </c>
      <c r="B60" s="5" t="inlineStr">
        <is>
          <t>2-Uzun Vadeli Borçlanma Giderleri (-)</t>
        </is>
      </c>
      <c r="C60" s="19" t="n"/>
      <c r="D60" s="19" t="n"/>
      <c r="E60" s="19" t="n"/>
      <c r="F60" s="19" t="n"/>
      <c r="G60" s="10">
        <f>C60-D60-E60-F60</f>
        <v/>
      </c>
    </row>
    <row r="61" ht="20" customHeight="1">
      <c r="A61" s="20" t="inlineStr"/>
      <c r="B61" s="21" t="inlineStr">
        <is>
          <t>H — FİNANSMAN GİDERLERİ ARA TOPLAM</t>
        </is>
      </c>
      <c r="C61" s="22">
        <f>SUM(C59:C60)</f>
        <v/>
      </c>
      <c r="D61" s="22">
        <f>SUM(D59:D60)</f>
        <v/>
      </c>
      <c r="E61" s="22">
        <f>SUM(E59:E60)</f>
        <v/>
      </c>
      <c r="F61" s="22">
        <f>SUM(F59:F60)</f>
        <v/>
      </c>
      <c r="G61" s="10">
        <f>C61-D61-E61-F61</f>
        <v/>
      </c>
    </row>
    <row r="62" ht="6" customHeight="1"/>
    <row r="63" ht="20" customHeight="1">
      <c r="A63" s="17" t="inlineStr">
        <is>
          <t>I — OLAĞANDIŞI GELİR VE KARLAR (Hesap 67)</t>
        </is>
      </c>
    </row>
    <row r="64" ht="18" customHeight="1">
      <c r="A64" s="18" t="inlineStr">
        <is>
          <t>671</t>
        </is>
      </c>
      <c r="B64" s="5" t="inlineStr">
        <is>
          <t>1-Önceki Dönem Gelir ve Karları</t>
        </is>
      </c>
      <c r="C64" s="19" t="n"/>
      <c r="D64" s="19" t="n"/>
      <c r="E64" s="19" t="n"/>
      <c r="F64" s="19" t="n"/>
      <c r="G64" s="10">
        <f>C64-D64-E64-F64</f>
        <v/>
      </c>
    </row>
    <row r="65" ht="18" customHeight="1">
      <c r="A65" s="18" t="inlineStr">
        <is>
          <t>679</t>
        </is>
      </c>
      <c r="B65" s="5" t="inlineStr">
        <is>
          <t>2-Diğer Olağandışı Gelir ve Karlar</t>
        </is>
      </c>
      <c r="C65" s="19" t="n"/>
      <c r="D65" s="19" t="n"/>
      <c r="E65" s="19" t="n"/>
      <c r="F65" s="19" t="n"/>
      <c r="G65" s="10">
        <f>C65-D65-E65-F65</f>
        <v/>
      </c>
    </row>
    <row r="66" ht="20" customHeight="1">
      <c r="A66" s="20" t="inlineStr"/>
      <c r="B66" s="21" t="inlineStr">
        <is>
          <t>I — OLAĞANDIŞI GELİR VE KARLAR ARA TOPLAM</t>
        </is>
      </c>
      <c r="C66" s="22">
        <f>SUM(C64:C65)</f>
        <v/>
      </c>
      <c r="D66" s="22">
        <f>SUM(D64:D65)</f>
        <v/>
      </c>
      <c r="E66" s="22">
        <f>SUM(E64:E65)</f>
        <v/>
      </c>
      <c r="F66" s="22">
        <f>SUM(F64:F65)</f>
        <v/>
      </c>
      <c r="G66" s="10">
        <f>C66-D66-E66-F66</f>
        <v/>
      </c>
    </row>
    <row r="67" ht="6" customHeight="1"/>
    <row r="68" ht="20" customHeight="1">
      <c r="A68" s="17" t="inlineStr">
        <is>
          <t>J — OLAĞANDIŞI GİDER VE ZARARLAR (-) (Hesap 68)</t>
        </is>
      </c>
    </row>
    <row r="69" ht="18" customHeight="1">
      <c r="A69" s="18" t="inlineStr">
        <is>
          <t>680</t>
        </is>
      </c>
      <c r="B69" s="5" t="inlineStr">
        <is>
          <t>1-Çalışmayan Kısım Gider ve Zararları</t>
        </is>
      </c>
      <c r="C69" s="19" t="n"/>
      <c r="D69" s="19" t="n"/>
      <c r="E69" s="19" t="n"/>
      <c r="F69" s="19" t="n"/>
      <c r="G69" s="10">
        <f>C69-D69-E69-F69</f>
        <v/>
      </c>
    </row>
    <row r="70" ht="18" customHeight="1">
      <c r="A70" s="18" t="inlineStr">
        <is>
          <t>681</t>
        </is>
      </c>
      <c r="B70" s="5" t="inlineStr">
        <is>
          <t>2-Önceki Dönem Gider ve Zararları</t>
        </is>
      </c>
      <c r="C70" s="19" t="n"/>
      <c r="D70" s="19" t="n"/>
      <c r="E70" s="19" t="n"/>
      <c r="F70" s="19" t="n"/>
      <c r="G70" s="10">
        <f>C70-D70-E70-F70</f>
        <v/>
      </c>
    </row>
    <row r="71" ht="18" customHeight="1">
      <c r="A71" s="18" t="inlineStr">
        <is>
          <t>689</t>
        </is>
      </c>
      <c r="B71" s="5" t="inlineStr">
        <is>
          <t>3-Diğer Olağandışı Gider ve Zararlar</t>
        </is>
      </c>
      <c r="C71" s="19" t="n"/>
      <c r="D71" s="19" t="n"/>
      <c r="E71" s="19" t="n"/>
      <c r="F71" s="19" t="n"/>
      <c r="G71" s="10">
        <f>C71-D71-E71-F71</f>
        <v/>
      </c>
    </row>
    <row r="72" ht="20" customHeight="1">
      <c r="A72" s="20" t="inlineStr"/>
      <c r="B72" s="21" t="inlineStr">
        <is>
          <t>J — OLAĞANDIŞI GİDER VE ZARARLAR ARA TOPLAM</t>
        </is>
      </c>
      <c r="C72" s="22">
        <f>SUM(C69:C71)</f>
        <v/>
      </c>
      <c r="D72" s="22">
        <f>SUM(D69:D71)</f>
        <v/>
      </c>
      <c r="E72" s="22">
        <f>SUM(E69:E71)</f>
        <v/>
      </c>
      <c r="F72" s="22">
        <f>SUM(F69:F71)</f>
        <v/>
      </c>
      <c r="G72" s="10">
        <f>C72-D72-E72-F72</f>
        <v/>
      </c>
    </row>
    <row r="73" ht="6" customHeight="1"/>
    <row r="74" ht="22" customHeight="1">
      <c r="A74" s="28" t="inlineStr"/>
      <c r="B74" s="29" t="inlineStr">
        <is>
          <t>DÖNEM KARI / ZARARI (TİCARİ BİLANÇO KARI)</t>
        </is>
      </c>
      <c r="C74" s="11">
        <f>C35+C47-C56-C61+C66-C72</f>
        <v/>
      </c>
      <c r="D74" s="11">
        <f>D35+D47-D56-D61+D66-D72</f>
        <v/>
      </c>
      <c r="E74" s="11">
        <f>E35+E47-E56-E61+E66-E72</f>
        <v/>
      </c>
      <c r="F74" s="11">
        <f>F35+F47-F56-F61+F66-F72</f>
        <v/>
      </c>
      <c r="G74" s="10">
        <f>C74-D74-E74-F74</f>
        <v/>
      </c>
    </row>
    <row r="75" ht="6" customHeight="1"/>
    <row r="76" ht="26" customHeight="1">
      <c r="A76" s="30" t="inlineStr">
        <is>
          <t>Faaliyet bazında matrah dağılımı: Her kalemi ilgili faaliyet sütununa dağıtın. Dağıtılamayan genel giderler hasılat payına göre bölüştürülür.</t>
        </is>
      </c>
    </row>
    <row r="77" ht="18" customHeight="1">
      <c r="A77" s="31" t="inlineStr"/>
      <c r="B77" s="32" t="inlineStr">
        <is>
          <t>İhracat Oranı (D/C)</t>
        </is>
      </c>
      <c r="C77" s="33">
        <f>IF(C74&lt;&gt;0,D74/C74,0)</f>
        <v/>
      </c>
      <c r="D77" s="31" t="n"/>
      <c r="E77" s="31" t="n"/>
      <c r="F77" s="31" t="n"/>
      <c r="G77" s="31" t="n"/>
    </row>
    <row r="78" ht="18" customHeight="1">
      <c r="A78" s="31" t="inlineStr"/>
      <c r="B78" s="32" t="inlineStr">
        <is>
          <t>İmalat Oranı (E/C)</t>
        </is>
      </c>
      <c r="C78" s="33">
        <f>IF(C74&lt;&gt;0,E74/C74,0)</f>
        <v/>
      </c>
      <c r="D78" s="31" t="n"/>
      <c r="E78" s="31" t="n"/>
      <c r="F78" s="31" t="n"/>
      <c r="G78" s="31" t="n"/>
    </row>
    <row r="79" ht="18" customHeight="1">
      <c r="A79" s="31" t="inlineStr"/>
      <c r="B79" s="32" t="inlineStr">
        <is>
          <t>Diğer Oranı (F/C)</t>
        </is>
      </c>
      <c r="C79" s="33">
        <f>IF(C74&lt;&gt;0,F74/C74,0)</f>
        <v/>
      </c>
      <c r="D79" s="31" t="n"/>
      <c r="E79" s="31" t="n"/>
      <c r="F79" s="31" t="n"/>
      <c r="G79" s="31" t="n"/>
    </row>
    <row r="80" ht="6" customHeight="1"/>
    <row r="81" ht="20" customHeight="1">
      <c r="A81" s="34" t="inlineStr">
        <is>
          <t>MALİ KAR HESABI — KKEG ve İndirimler (KKEG tüm faaliyetlere aittir)</t>
        </is>
      </c>
    </row>
    <row r="82" ht="18" customHeight="1">
      <c r="A82" s="31" t="inlineStr"/>
      <c r="B82" s="5" t="inlineStr">
        <is>
          <t>KKEG (+) (Kanunen Kabul Edilmeyen Giderler)</t>
        </is>
      </c>
      <c r="C82" s="19" t="n">
        <v>0</v>
      </c>
      <c r="D82" s="35" t="inlineStr">
        <is>
          <t>—</t>
        </is>
      </c>
      <c r="E82" s="35" t="inlineStr">
        <is>
          <t>—</t>
        </is>
      </c>
      <c r="F82" s="35" t="inlineStr">
        <is>
          <t>—</t>
        </is>
      </c>
      <c r="G82" s="31" t="n"/>
    </row>
    <row r="83" ht="18" customHeight="1">
      <c r="A83" s="31" t="inlineStr"/>
      <c r="B83" s="5" t="inlineStr">
        <is>
          <t>Kabul Edilmeyen Gelirler (-)</t>
        </is>
      </c>
      <c r="C83" s="19" t="n">
        <v>0</v>
      </c>
      <c r="D83" s="35" t="inlineStr">
        <is>
          <t>—</t>
        </is>
      </c>
      <c r="E83" s="35" t="inlineStr">
        <is>
          <t>—</t>
        </is>
      </c>
      <c r="F83" s="35" t="inlineStr">
        <is>
          <t>—</t>
        </is>
      </c>
      <c r="G83" s="31" t="n"/>
    </row>
    <row r="84" ht="18" customHeight="1">
      <c r="A84" s="31" t="inlineStr"/>
      <c r="B84" s="5" t="inlineStr">
        <is>
          <t>Zarar Olsa Dahi İndirilecek İstisnalar (-)</t>
        </is>
      </c>
      <c r="C84" s="19" t="n">
        <v>0</v>
      </c>
      <c r="D84" s="35" t="inlineStr">
        <is>
          <t>—</t>
        </is>
      </c>
      <c r="E84" s="35" t="inlineStr">
        <is>
          <t>—</t>
        </is>
      </c>
      <c r="F84" s="35" t="inlineStr">
        <is>
          <t>—</t>
        </is>
      </c>
      <c r="G84" s="31" t="n"/>
    </row>
    <row r="85" ht="18" customHeight="1">
      <c r="A85" s="31" t="inlineStr"/>
      <c r="B85" s="5" t="inlineStr">
        <is>
          <t>Geçmiş Yıl Zararları (-)</t>
        </is>
      </c>
      <c r="C85" s="19" t="n">
        <v>0</v>
      </c>
      <c r="D85" s="35" t="inlineStr">
        <is>
          <t>—</t>
        </is>
      </c>
      <c r="E85" s="35" t="inlineStr">
        <is>
          <t>—</t>
        </is>
      </c>
      <c r="F85" s="35" t="inlineStr">
        <is>
          <t>—</t>
        </is>
      </c>
      <c r="G85" s="31" t="n"/>
    </row>
    <row r="86" ht="18" customHeight="1">
      <c r="A86" s="31" t="inlineStr"/>
      <c r="B86" s="5" t="inlineStr">
        <is>
          <t>Diğer İndirimler (-)</t>
        </is>
      </c>
      <c r="C86" s="19" t="n">
        <v>0</v>
      </c>
      <c r="D86" s="35" t="inlineStr">
        <is>
          <t>—</t>
        </is>
      </c>
      <c r="E86" s="35" t="inlineStr">
        <is>
          <t>—</t>
        </is>
      </c>
      <c r="F86" s="35" t="inlineStr">
        <is>
          <t>—</t>
        </is>
      </c>
      <c r="G86" s="31" t="n"/>
    </row>
    <row r="87" ht="6" customHeight="1"/>
    <row r="88" ht="20" customHeight="1">
      <c r="A88" s="36" t="inlineStr">
        <is>
          <t>Not: D, E, F sütunları için mali kar kalemi dağılımı otomatik olarak oran üzerinden hesaplanır.</t>
        </is>
      </c>
    </row>
    <row r="89" ht="6" customHeight="1"/>
    <row r="90" ht="26" customHeight="1">
      <c r="A90" s="28" t="inlineStr"/>
      <c r="B90" s="37" t="inlineStr">
        <is>
          <t>SAFİ KURUM KAZANCI (KV MATRAHI)</t>
        </is>
      </c>
      <c r="C90" s="11">
        <f>C74+C82-C83-C84-C85-C86</f>
        <v/>
      </c>
      <c r="D90" s="11">
        <f>IF(C74&lt;&gt;0,D74/C74*C90,0)</f>
        <v/>
      </c>
      <c r="E90" s="11">
        <f>IF(C74&lt;&gt;0,E74/C74*C90,0)</f>
        <v/>
      </c>
      <c r="F90" s="11">
        <f>IF(C74&lt;&gt;0,F74/C74*C90,0)</f>
        <v/>
      </c>
      <c r="G90" s="10">
        <f>C90-D90-E90-F90</f>
        <v/>
      </c>
    </row>
  </sheetData>
  <mergeCells count="14">
    <mergeCell ref="A58:G58"/>
    <mergeCell ref="A1:G1"/>
    <mergeCell ref="A88:G88"/>
    <mergeCell ref="A18:G18"/>
    <mergeCell ref="A27:G27"/>
    <mergeCell ref="A63:G63"/>
    <mergeCell ref="A4:G4"/>
    <mergeCell ref="A2:G2"/>
    <mergeCell ref="A81:G81"/>
    <mergeCell ref="A76:G76"/>
    <mergeCell ref="A68:G68"/>
    <mergeCell ref="A49:G49"/>
    <mergeCell ref="A10:G10"/>
    <mergeCell ref="A37:G37"/>
  </mergeCells>
  <conditionalFormatting sqref="G5:G90">
    <cfRule type="expression" priority="1" dxfId="0">
      <formula>AND(G5&lt;&gt;0,G5&lt;&gt;"")</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8"/>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 customWidth="1" min="1" max="1"/>
    <col width="42" customWidth="1" min="2" max="2"/>
    <col width="18" customWidth="1" min="3" max="3"/>
    <col width="18" customWidth="1" min="4" max="4"/>
    <col width="18" customWidth="1" min="5" max="5"/>
    <col width="14" customWidth="1" min="6" max="6"/>
  </cols>
  <sheetData>
    <row r="1" ht="30" customHeight="1">
      <c r="A1" s="1" t="inlineStr">
        <is>
          <t>KVK 32/7 ve 32/8 — İndirimli Kurumlar Vergisi Hesaplama Tablosu</t>
        </is>
      </c>
    </row>
    <row r="2" ht="6" customHeight="1"/>
    <row r="3" ht="20" customHeight="1">
      <c r="A3" s="34" t="inlineStr">
        <is>
          <t>1. MATRAH ÖZETİ</t>
        </is>
      </c>
    </row>
    <row r="4" ht="18" customHeight="1">
      <c r="A4" s="31" t="n"/>
      <c r="B4" s="7" t="inlineStr">
        <is>
          <t>Kalem</t>
        </is>
      </c>
      <c r="C4" s="7" t="inlineStr">
        <is>
          <t>Toplam (TL)</t>
        </is>
      </c>
      <c r="D4" s="7" t="inlineStr">
        <is>
          <t>İhracat</t>
        </is>
      </c>
      <c r="E4" s="7" t="inlineStr">
        <is>
          <t>İmalat</t>
        </is>
      </c>
      <c r="F4" s="7" t="inlineStr">
        <is>
          <t>Diğer</t>
        </is>
      </c>
    </row>
    <row r="5" ht="18" customHeight="1">
      <c r="A5" s="31" t="inlineStr"/>
      <c r="B5" s="9" t="inlineStr">
        <is>
          <t>KV Matrahı (Toplam)</t>
        </is>
      </c>
      <c r="C5" s="10">
        <f>'GELİR TABLOSU'!C90</f>
        <v/>
      </c>
      <c r="D5" s="31" t="n"/>
      <c r="E5" s="31" t="n"/>
      <c r="F5" s="31" t="n"/>
    </row>
    <row r="6" ht="18" customHeight="1">
      <c r="A6" s="31" t="inlineStr"/>
      <c r="B6" s="9" t="inlineStr">
        <is>
          <t>İhracat Faaliyeti Matrahı (32/8)</t>
        </is>
      </c>
      <c r="C6" s="31" t="n"/>
      <c r="D6" s="10">
        <f>'GELİR TABLOSU'!D90</f>
        <v/>
      </c>
      <c r="E6" s="31" t="n"/>
      <c r="F6" s="31" t="n"/>
    </row>
    <row r="7" ht="18" customHeight="1">
      <c r="A7" s="31" t="inlineStr"/>
      <c r="B7" s="9" t="inlineStr">
        <is>
          <t>İmalat Faaliyeti Matrahı (32/7)</t>
        </is>
      </c>
      <c r="C7" s="31" t="n"/>
      <c r="D7" s="31" t="n"/>
      <c r="E7" s="10">
        <f>'GELİR TABLOSU'!E90</f>
        <v/>
      </c>
      <c r="F7" s="31" t="n"/>
    </row>
    <row r="8" ht="18" customHeight="1">
      <c r="A8" s="31" t="inlineStr"/>
      <c r="B8" s="9" t="inlineStr">
        <is>
          <t>Diğer Faaliyetler Matrahı</t>
        </is>
      </c>
      <c r="C8" s="31" t="n"/>
      <c r="D8" s="31" t="n"/>
      <c r="E8" s="31" t="n"/>
      <c r="F8" s="10">
        <f>'GELİR TABLOSU'!F90</f>
        <v/>
      </c>
    </row>
    <row r="9" ht="6" customHeight="1"/>
    <row r="10" ht="22" customHeight="1">
      <c r="A10" s="17" t="inlineStr">
        <is>
          <t>2. KVK 32/7 — İMALAT FAALİYETİ İNDİRİMLİ KV</t>
        </is>
      </c>
    </row>
    <row r="11" ht="18" customHeight="1">
      <c r="A11" s="31" t="inlineStr"/>
      <c r="B11" s="9" t="inlineStr">
        <is>
          <t>İmalat Faaliyeti Matrahı (32/7)</t>
        </is>
      </c>
      <c r="C11" s="31" t="n"/>
      <c r="D11" s="31" t="n"/>
      <c r="E11" s="10">
        <f>E7</f>
        <v/>
      </c>
      <c r="F11" s="31" t="n"/>
    </row>
    <row r="12" ht="18" customHeight="1">
      <c r="A12" s="31" t="inlineStr"/>
      <c r="B12" s="9" t="inlineStr">
        <is>
          <t>Normal KV Oranı (%25)</t>
        </is>
      </c>
      <c r="C12" s="31" t="n"/>
      <c r="D12" s="31" t="n"/>
      <c r="E12" s="38" t="n">
        <v>0.25</v>
      </c>
      <c r="F12" s="31" t="n"/>
    </row>
    <row r="13" ht="18" customHeight="1">
      <c r="A13" s="31" t="inlineStr"/>
      <c r="B13" s="9" t="inlineStr">
        <is>
          <t>Normal KV (İmalat)</t>
        </is>
      </c>
      <c r="C13" s="31" t="n"/>
      <c r="D13" s="31" t="n"/>
      <c r="E13" s="10">
        <f>E11*E12</f>
        <v/>
      </c>
      <c r="F13" s="31" t="n"/>
    </row>
    <row r="14" ht="18" customHeight="1">
      <c r="A14" s="31" t="inlineStr"/>
      <c r="B14" s="9" t="inlineStr">
        <is>
          <t>1 Puan İndirim Tutarı</t>
        </is>
      </c>
      <c r="C14" s="31" t="n"/>
      <c r="D14" s="31" t="n"/>
      <c r="E14" s="10">
        <f>E11*0.01</f>
        <v/>
      </c>
      <c r="F14" s="31" t="n"/>
    </row>
    <row r="15" ht="18" customHeight="1">
      <c r="A15" s="31" t="inlineStr"/>
      <c r="B15" s="9" t="inlineStr">
        <is>
          <t>İndirimli KV (%24)</t>
        </is>
      </c>
      <c r="C15" s="31" t="n"/>
      <c r="D15" s="31" t="n"/>
      <c r="E15" s="10">
        <f>E13-E14</f>
        <v/>
      </c>
      <c r="F15" s="31" t="n"/>
    </row>
    <row r="16" ht="22" customHeight="1">
      <c r="A16" s="39" t="inlineStr"/>
      <c r="B16" s="29" t="inlineStr">
        <is>
          <t>32/7 KV TASARRUFU (1 Puan)</t>
        </is>
      </c>
      <c r="C16" s="31" t="n"/>
      <c r="D16" s="31" t="n"/>
      <c r="E16" s="11">
        <f>E14</f>
        <v/>
      </c>
      <c r="F16" s="31" t="n"/>
    </row>
    <row r="17" ht="6" customHeight="1"/>
    <row r="18" ht="22" customHeight="1">
      <c r="A18" s="17" t="inlineStr">
        <is>
          <t>3. KVK 32/8 — İHRACAT FAALİYETİ İNDİRİMLİ KV</t>
        </is>
      </c>
    </row>
    <row r="19" ht="18" customHeight="1">
      <c r="A19" s="31" t="inlineStr"/>
      <c r="B19" s="9" t="inlineStr">
        <is>
          <t>İhracat Faaliyeti Matrahı (32/8)</t>
        </is>
      </c>
      <c r="C19" s="31" t="n"/>
      <c r="D19" s="10">
        <f>D6</f>
        <v/>
      </c>
      <c r="E19" s="31" t="n"/>
      <c r="F19" s="31" t="n"/>
    </row>
    <row r="20" ht="18" customHeight="1">
      <c r="A20" s="31" t="inlineStr"/>
      <c r="B20" s="9" t="inlineStr">
        <is>
          <t>Normal KV Oranı (%25)</t>
        </is>
      </c>
      <c r="C20" s="31" t="n"/>
      <c r="D20" s="38" t="n">
        <v>0.25</v>
      </c>
      <c r="E20" s="31" t="n"/>
      <c r="F20" s="31" t="n"/>
    </row>
    <row r="21" ht="18" customHeight="1">
      <c r="A21" s="31" t="inlineStr"/>
      <c r="B21" s="9" t="inlineStr">
        <is>
          <t>Normal KV (İhracat)</t>
        </is>
      </c>
      <c r="C21" s="31" t="n"/>
      <c r="D21" s="10">
        <f>D19*D20</f>
        <v/>
      </c>
      <c r="E21" s="31" t="n"/>
      <c r="F21" s="31" t="n"/>
    </row>
    <row r="22" ht="18" customHeight="1">
      <c r="A22" s="31" t="inlineStr"/>
      <c r="B22" s="9" t="inlineStr">
        <is>
          <t>5 Puan İndirim Tutarı</t>
        </is>
      </c>
      <c r="C22" s="31" t="n"/>
      <c r="D22" s="10">
        <f>D19*0.05</f>
        <v/>
      </c>
      <c r="E22" s="31" t="n"/>
      <c r="F22" s="31" t="n"/>
    </row>
    <row r="23" ht="18" customHeight="1">
      <c r="A23" s="31" t="inlineStr"/>
      <c r="B23" s="9" t="inlineStr">
        <is>
          <t>İndirimli KV (%20)</t>
        </is>
      </c>
      <c r="C23" s="31" t="n"/>
      <c r="D23" s="10">
        <f>D21-D22</f>
        <v/>
      </c>
      <c r="E23" s="31" t="n"/>
      <c r="F23" s="31" t="n"/>
    </row>
    <row r="24" ht="22" customHeight="1">
      <c r="A24" s="39" t="inlineStr"/>
      <c r="B24" s="29" t="inlineStr">
        <is>
          <t>32/8 KV TASARRUFU (5 Puan)</t>
        </is>
      </c>
      <c r="C24" s="31" t="n"/>
      <c r="D24" s="11">
        <f>D22</f>
        <v/>
      </c>
      <c r="E24" s="31" t="n"/>
      <c r="F24" s="31" t="n"/>
    </row>
    <row r="25" ht="6" customHeight="1"/>
    <row r="26" ht="22" customHeight="1">
      <c r="A26" s="34" t="inlineStr">
        <is>
          <t>4. KONSOLİDASYON — TOPLAM KV HESABI</t>
        </is>
      </c>
    </row>
    <row r="27" ht="18" customHeight="1">
      <c r="A27" s="31" t="inlineStr"/>
      <c r="B27" s="40" t="inlineStr">
        <is>
          <t>Toplam KV Tasarrufu (32/7 + 32/8)</t>
        </is>
      </c>
      <c r="C27" s="11">
        <f>E14+D22</f>
        <v/>
      </c>
      <c r="D27" s="31" t="n"/>
      <c r="E27" s="31" t="n"/>
      <c r="F27" s="31" t="n"/>
    </row>
    <row r="28" ht="18" customHeight="1">
      <c r="A28" s="31" t="inlineStr"/>
      <c r="B28" s="9" t="inlineStr">
        <is>
          <t>Kalan Matrah (Diğer Faaliyetler)</t>
        </is>
      </c>
      <c r="C28" s="10">
        <f>C5-E11-D19</f>
        <v/>
      </c>
      <c r="D28" s="31" t="n"/>
      <c r="E28" s="31" t="n"/>
      <c r="F28" s="31" t="n"/>
    </row>
    <row r="29" ht="18" customHeight="1">
      <c r="A29" s="31" t="inlineStr"/>
      <c r="B29" s="9" t="inlineStr">
        <is>
          <t>Kalan Matrah Normal KV (%25)</t>
        </is>
      </c>
      <c r="C29" s="10">
        <f>C28*0.25</f>
        <v/>
      </c>
      <c r="D29" s="31" t="n"/>
      <c r="E29" s="31" t="n"/>
      <c r="F29" s="31" t="n"/>
    </row>
    <row r="30" ht="18" customHeight="1">
      <c r="A30" s="31" t="inlineStr"/>
      <c r="B30" s="9" t="inlineStr">
        <is>
          <t>32/7 İndirimli KV</t>
        </is>
      </c>
      <c r="C30" s="10">
        <f>E15</f>
        <v/>
      </c>
      <c r="D30" s="31" t="n"/>
      <c r="E30" s="31" t="n"/>
      <c r="F30" s="31" t="n"/>
    </row>
    <row r="31" ht="18" customHeight="1">
      <c r="A31" s="31" t="inlineStr"/>
      <c r="B31" s="9" t="inlineStr">
        <is>
          <t>32/8 İndirimli KV</t>
        </is>
      </c>
      <c r="C31" s="10">
        <f>D23</f>
        <v/>
      </c>
      <c r="D31" s="31" t="n"/>
      <c r="E31" s="31" t="n"/>
      <c r="F31" s="31" t="n"/>
    </row>
    <row r="32" ht="18" customHeight="1">
      <c r="A32" s="31" t="inlineStr"/>
      <c r="B32" s="9" t="inlineStr">
        <is>
          <t>Hesaplanan Toplam KV</t>
        </is>
      </c>
      <c r="C32" s="22">
        <f>C29+E15+D23</f>
        <v/>
      </c>
      <c r="D32" s="31" t="n"/>
      <c r="E32" s="31" t="n"/>
      <c r="F32" s="31" t="n"/>
    </row>
    <row r="33" ht="24" customHeight="1">
      <c r="A33" s="39" t="inlineStr"/>
      <c r="B33" s="37" t="inlineStr">
        <is>
          <t>TAHMİNİ ÖDENECEK KV</t>
        </is>
      </c>
      <c r="C33" s="11">
        <f>C32</f>
        <v/>
      </c>
      <c r="D33" s="31" t="n"/>
      <c r="E33" s="31" t="n"/>
      <c r="F33" s="31" t="n"/>
    </row>
    <row r="34" ht="6" customHeight="1"/>
    <row r="35" ht="22" customHeight="1">
      <c r="A35" s="34" t="inlineStr">
        <is>
          <t>5. UYUMLULUK KONTROLLERİ</t>
        </is>
      </c>
    </row>
    <row r="36" ht="22" customHeight="1">
      <c r="A36" s="31" t="inlineStr"/>
      <c r="B36" s="5" t="inlineStr">
        <is>
          <t>İhracat + İmalat Matrah Toplamı ≤ KV Matrahı?</t>
        </is>
      </c>
      <c r="C36" s="41">
        <f>IF(D19+E11&lt;=C5,"✓ OK — Toplam matrah sınırı aşılmadı","✗ UYARI: İhracat+İmalat toplamı KV matrahını aşıyor!")</f>
        <v/>
      </c>
    </row>
    <row r="37" ht="22" customHeight="1">
      <c r="A37" s="31" t="inlineStr"/>
      <c r="B37" s="5" t="inlineStr">
        <is>
          <t>32/7 (İmalat) Matrahı &gt; 0?</t>
        </is>
      </c>
      <c r="C37" s="41">
        <f>IF(E11&gt;0,"✓ Uygulanabilir — İmalat matrahı mevcut","— Uygulanmıyor (İmalat matrahı sıfır)")</f>
        <v/>
      </c>
    </row>
    <row r="38" ht="22" customHeight="1">
      <c r="A38" s="31" t="inlineStr"/>
      <c r="B38" s="5" t="inlineStr">
        <is>
          <t>32/8 (İhracat) Matrahı &gt; 0?</t>
        </is>
      </c>
      <c r="C38" s="41">
        <f>IF(D19&gt;0,"✓ Uygulanabilir — İhracat matrahı mevcut","— Uygulanmıyor (İhracat matrahı sıfır)")</f>
        <v/>
      </c>
    </row>
  </sheetData>
  <mergeCells count="9">
    <mergeCell ref="A10:F10"/>
    <mergeCell ref="A1:F1"/>
    <mergeCell ref="A26:F26"/>
    <mergeCell ref="C38:F38"/>
    <mergeCell ref="A18:F18"/>
    <mergeCell ref="A35:F35"/>
    <mergeCell ref="A3:F3"/>
    <mergeCell ref="C37:F37"/>
    <mergeCell ref="C36:F3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
  <sheetViews>
    <sheetView showGridLines="0" workbookViewId="0">
      <pane ySplit="2" topLeftCell="A3" activePane="bottomLeft" state="frozen"/>
      <selection pane="bottomLeft" activeCell="A1" sqref="A1"/>
    </sheetView>
  </sheetViews>
  <sheetFormatPr baseColWidth="8" defaultRowHeight="15"/>
  <cols>
    <col width="5" customWidth="1" min="1" max="1"/>
    <col width="44" customWidth="1" min="2" max="2"/>
    <col width="12" customWidth="1" min="3" max="3"/>
    <col width="14" customWidth="1" min="4" max="4"/>
    <col width="16" customWidth="1" min="5" max="5"/>
    <col width="12" customWidth="1" min="6" max="6"/>
    <col width="28" customWidth="1" min="7" max="7"/>
  </cols>
  <sheetData>
    <row r="1" ht="28" customHeight="1">
      <c r="A1" s="1" t="inlineStr">
        <is>
          <t>KVK 32/7 ve 32/8 — Belge Kontrol Listesi</t>
        </is>
      </c>
    </row>
    <row r="2" ht="20" customHeight="1">
      <c r="A2" s="7" t="inlineStr">
        <is>
          <t>No</t>
        </is>
      </c>
      <c r="B2" s="7" t="inlineStr">
        <is>
          <t>Belge Adı</t>
        </is>
      </c>
      <c r="C2" s="7" t="inlineStr">
        <is>
          <t>Kapsam</t>
        </is>
      </c>
      <c r="D2" s="7" t="inlineStr">
        <is>
          <t>Zorunlu mu?</t>
        </is>
      </c>
      <c r="E2" s="7" t="inlineStr">
        <is>
          <t>Mevcut mu?</t>
        </is>
      </c>
      <c r="F2" s="7" t="inlineStr">
        <is>
          <t>Tarih</t>
        </is>
      </c>
      <c r="G2" s="7" t="inlineStr">
        <is>
          <t>Notlar</t>
        </is>
      </c>
    </row>
    <row r="3" ht="22" customHeight="1">
      <c r="A3" s="42" t="inlineStr">
        <is>
          <t>1</t>
        </is>
      </c>
      <c r="B3" s="41" t="inlineStr">
        <is>
          <t>Sanayi Sicil Belgesi (güncel, bakanlık onaylı)</t>
        </is>
      </c>
      <c r="C3" s="42" t="inlineStr">
        <is>
          <t>32/7</t>
        </is>
      </c>
      <c r="D3" s="43" t="inlineStr">
        <is>
          <t>Zorunlu</t>
        </is>
      </c>
      <c r="E3" s="6" t="n"/>
      <c r="F3" s="44" t="n"/>
      <c r="G3" s="45" t="n"/>
    </row>
    <row r="4" ht="22" customHeight="1">
      <c r="A4" s="42" t="inlineStr">
        <is>
          <t>2</t>
        </is>
      </c>
      <c r="B4" s="41" t="inlineStr">
        <is>
          <t>NACE / Faaliyet Kodu Teyidi (imalat sektörü)</t>
        </is>
      </c>
      <c r="C4" s="42" t="inlineStr">
        <is>
          <t>32/7</t>
        </is>
      </c>
      <c r="D4" s="43" t="inlineStr">
        <is>
          <t>Zorunlu</t>
        </is>
      </c>
      <c r="E4" s="6" t="n"/>
      <c r="F4" s="44" t="n"/>
      <c r="G4" s="45" t="n"/>
    </row>
    <row r="5" ht="22" customHeight="1">
      <c r="A5" s="42" t="inlineStr">
        <is>
          <t>3</t>
        </is>
      </c>
      <c r="B5" s="41" t="inlineStr">
        <is>
          <t>İmalat Faaliyeti Gelir Tablosu Dağılımı</t>
        </is>
      </c>
      <c r="C5" s="42" t="inlineStr">
        <is>
          <t>32/7</t>
        </is>
      </c>
      <c r="D5" s="43" t="inlineStr">
        <is>
          <t>Zorunlu</t>
        </is>
      </c>
      <c r="E5" s="6" t="n"/>
      <c r="F5" s="44" t="n"/>
      <c r="G5" s="45" t="n"/>
    </row>
    <row r="6" ht="22" customHeight="1">
      <c r="A6" s="42" t="inlineStr">
        <is>
          <t>4</t>
        </is>
      </c>
      <c r="B6" s="41" t="inlineStr">
        <is>
          <t>Matrah Ayrıştırma Hesap Tablosu (bu dosya)</t>
        </is>
      </c>
      <c r="C6" s="42" t="inlineStr">
        <is>
          <t>32/7</t>
        </is>
      </c>
      <c r="D6" s="43" t="inlineStr">
        <is>
          <t>Zorunlu</t>
        </is>
      </c>
      <c r="E6" s="6" t="n"/>
      <c r="F6" s="44" t="n"/>
      <c r="G6" s="45" t="n"/>
    </row>
    <row r="7" ht="22" customHeight="1">
      <c r="A7" s="46" t="inlineStr">
        <is>
          <t>5</t>
        </is>
      </c>
      <c r="B7" s="47" t="inlineStr">
        <is>
          <t>İhracat Gümrük Beyannameleri (dönem)</t>
        </is>
      </c>
      <c r="C7" s="46" t="inlineStr">
        <is>
          <t>32/8</t>
        </is>
      </c>
      <c r="D7" s="48" t="inlineStr">
        <is>
          <t>Zorunlu</t>
        </is>
      </c>
      <c r="E7" s="6" t="n"/>
      <c r="F7" s="44" t="n"/>
      <c r="G7" s="45" t="n"/>
    </row>
    <row r="8" ht="22" customHeight="1">
      <c r="A8" s="46" t="inlineStr">
        <is>
          <t>6</t>
        </is>
      </c>
      <c r="B8" s="47" t="inlineStr">
        <is>
          <t>İhracat Hasılat Özet Tablosu</t>
        </is>
      </c>
      <c r="C8" s="46" t="inlineStr">
        <is>
          <t>32/8</t>
        </is>
      </c>
      <c r="D8" s="48" t="inlineStr">
        <is>
          <t>Zorunlu</t>
        </is>
      </c>
      <c r="E8" s="6" t="n"/>
      <c r="F8" s="44" t="n"/>
      <c r="G8" s="45" t="n"/>
    </row>
    <row r="9" ht="22" customHeight="1">
      <c r="A9" s="46" t="inlineStr">
        <is>
          <t>7</t>
        </is>
      </c>
      <c r="B9" s="47" t="inlineStr">
        <is>
          <t>Döviz Alım Belgeleri (DAB)</t>
        </is>
      </c>
      <c r="C9" s="46" t="inlineStr">
        <is>
          <t>32/8</t>
        </is>
      </c>
      <c r="D9" s="48" t="inlineStr">
        <is>
          <t>Zorunlu</t>
        </is>
      </c>
      <c r="E9" s="6" t="n"/>
      <c r="F9" s="44" t="n"/>
      <c r="G9" s="45" t="n"/>
    </row>
    <row r="10" ht="22" customHeight="1">
      <c r="A10" s="46" t="inlineStr">
        <is>
          <t>8</t>
        </is>
      </c>
      <c r="B10" s="47" t="inlineStr">
        <is>
          <t>İhracat Matrahı Ayrıştırma Hesabı</t>
        </is>
      </c>
      <c r="C10" s="46" t="inlineStr">
        <is>
          <t>32/8</t>
        </is>
      </c>
      <c r="D10" s="48" t="inlineStr">
        <is>
          <t>Zorunlu</t>
        </is>
      </c>
      <c r="E10" s="6" t="n"/>
      <c r="F10" s="44" t="n"/>
      <c r="G10" s="45" t="n"/>
    </row>
    <row r="11" ht="22" customHeight="1">
      <c r="A11" s="49" t="inlineStr">
        <is>
          <t>9</t>
        </is>
      </c>
      <c r="B11" s="50" t="inlineStr">
        <is>
          <t>Kurumlar Vergisi Beyannamesi (KV1)</t>
        </is>
      </c>
      <c r="C11" s="49" t="inlineStr">
        <is>
          <t>Her ikisi</t>
        </is>
      </c>
      <c r="D11" s="51" t="inlineStr">
        <is>
          <t>Zorunlu</t>
        </is>
      </c>
      <c r="E11" s="6" t="n"/>
      <c r="F11" s="44" t="n"/>
      <c r="G11" s="45" t="n"/>
    </row>
    <row r="12" ht="22" customHeight="1">
      <c r="A12" s="49" t="inlineStr">
        <is>
          <t>10</t>
        </is>
      </c>
      <c r="B12" s="50" t="inlineStr">
        <is>
          <t>32/A YTB varsa — Konsolidasyon Notu ve Matrah Tablosu</t>
        </is>
      </c>
      <c r="C12" s="49" t="inlineStr">
        <is>
          <t>Her ikisi</t>
        </is>
      </c>
      <c r="D12" s="52" t="inlineStr">
        <is>
          <t>Gerekirse</t>
        </is>
      </c>
      <c r="E12" s="6" t="n"/>
      <c r="F12" s="44" t="n"/>
      <c r="G12" s="45" t="n"/>
    </row>
  </sheetData>
  <mergeCells count="1">
    <mergeCell ref="A1:G1"/>
  </mergeCells>
  <dataValidations count="1">
    <dataValidation sqref="E3 E4 E5 E6 E7 E8 E9 E10 E11 E12" showDropDown="0" showInputMessage="0" showErrorMessage="0" allowBlank="1" type="list">
      <formula1>"Mevcut,Eksik,N/A"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9"/>
  <sheetViews>
    <sheetView showGridLines="0" workbookViewId="0">
      <pane ySplit="1" topLeftCell="A2" activePane="bottomLeft" state="frozen"/>
      <selection pane="bottomLeft" activeCell="A1" sqref="A1"/>
    </sheetView>
  </sheetViews>
  <sheetFormatPr baseColWidth="8" defaultRowHeight="15"/>
  <cols>
    <col width="4" customWidth="1" min="1" max="1"/>
    <col width="80" customWidth="1" min="2" max="2"/>
  </cols>
  <sheetData>
    <row r="1" ht="30" customHeight="1">
      <c r="A1" s="1" t="inlineStr">
        <is>
          <t>KVK 32/7 ve 32/8 — Denetçi Notları ve Temel Prensipler</t>
        </is>
      </c>
    </row>
    <row r="2" ht="6" customHeight="1"/>
    <row r="3" ht="22" customHeight="1">
      <c r="A3" s="17" t="inlineStr">
        <is>
          <t>KVK 32/7 — İMALAT FAALİYETİ İNDİRİMLİ KV TEMEL PRENSİPLERİ</t>
        </is>
      </c>
    </row>
    <row r="4" ht="80" customHeight="1">
      <c r="A4" s="53" t="inlineStr">
        <is>
          <t>Sanayi sicil belgesine sahip, Sanayi ve Teknoloji Bakanlığı'nca belirlenen imalat sanayii sektörlerinde faaliyette bulunan kurumlar bu kapsamdaki kazançlarına 1 puan indirim uygular. Normal oran: %25 → İndirimli oran: %24. İndirim yalnızca imalat faaliyetinden elde edilen kazanç kısmına uygulanır. Tüm ticari kazanca değil, ayrıştırılmış imalat matrahına uygulanır.</t>
        </is>
      </c>
    </row>
    <row r="5" ht="6" customHeight="1"/>
    <row r="6" ht="22" customHeight="1">
      <c r="A6" s="17" t="inlineStr">
        <is>
          <t>KVK 32/8 — İHRACAT FAALİYETİ İNDİRİMLİ KV TEMEL PRENSİPLERİ</t>
        </is>
      </c>
    </row>
    <row r="7" ht="64" customHeight="1">
      <c r="A7" s="53" t="inlineStr">
        <is>
          <t>İhracat faaliyetinden elde edilen kazançlara 5 puan indirim uygulanır. Normal oran: %25 → İndirimli oran: %20. İndirim, sadece fiilen ihracat gelirinden elde edilen kazançla sınırlıdır. İhracat hasılatının gümrük beyannamesi ve döviz alım belgeleriyle belgelenmiş olması zorunludur.</t>
        </is>
      </c>
    </row>
    <row r="8" ht="6" customHeight="1"/>
    <row r="9" ht="22" customHeight="1">
      <c r="A9" s="17" t="inlineStr">
        <is>
          <t>MATRAH AYRIŞTIRMA PRENSİPLERİ</t>
        </is>
      </c>
    </row>
    <row r="10" ht="80" customHeight="1">
      <c r="A10" s="53" t="inlineStr">
        <is>
          <t>Faaliyet bazında matrah tespiti için gelir tablosundaki her kalem ilgili faaliyet kolonu altında takip edilmelidir. İhracat, imalat ve diğer faaliyetlere direkt bağlanamayan ortak (müşterek) giderler net satışlar içindeki faaliyet payına göre dağıtılmalıdır. KKEG (Kanunen Kabul Edilmeyen Giderler) tüm faaliyetlere ortak kabul edilir.</t>
        </is>
      </c>
    </row>
    <row r="11" ht="6" customHeight="1"/>
    <row r="12" ht="22" customHeight="1">
      <c r="A12" s="17" t="inlineStr">
        <is>
          <t>32/A İLE BİRLİKTE UYGULAMA</t>
        </is>
      </c>
    </row>
    <row r="13" ht="80" customHeight="1">
      <c r="A13" s="53" t="inlineStr">
        <is>
          <t>KVK 32/A (Yatırım Teşvik Belgesi — İndirimli KV) ile 32/7 ve 32/8 aynı vergilendirme döneminde birlikte uygulanabilir. Ancak herhangi bir matrahın birden fazla indirime konu edilmemesi zorunludur. Her üç indirim kapsamındaki matrahların toplamı toplam KV matrahını aşmamalıdır. Matrahlar net biçimde ayrıştırılmalı ve belgelenmelidir.</t>
        </is>
      </c>
    </row>
    <row r="14" ht="6" customHeight="1"/>
    <row r="15" ht="22" customHeight="1">
      <c r="A15" s="17" t="inlineStr">
        <is>
          <t>YİAKV ETKİSİ (YURT İÇİ ASGARİ KURUMLAR VERGİSİ)</t>
        </is>
      </c>
    </row>
    <row r="16" ht="64" customHeight="1">
      <c r="A16" s="53" t="inlineStr">
        <is>
          <t>KVK 32/7 ve 32/8 kapsamındaki indirimler YİAKV matrahını etkilemez. YİAKV hesaplamasında ticari bilanço karı esas alınır ve bu indirimler düşülmez. Dolayısıyla uygulanan indirimli KV oranının YİAKV oranının altında kalmaması gerekmektedir; aksi hâlde YİAKV uygulanır.</t>
        </is>
      </c>
    </row>
    <row r="17" ht="6" customHeight="1"/>
    <row r="18" ht="22" customHeight="1">
      <c r="A18" s="17" t="inlineStr">
        <is>
          <t>DENETİM NOKTALARI — ÖZET</t>
        </is>
      </c>
    </row>
    <row r="19" ht="96" customHeight="1">
      <c r="A19" s="53" t="inlineStr">
        <is>
          <t>1. Sanayi sicil belgesi geçerlilik tarihi kontrol edilmeli (32/7).
2. İhracat belgelerinin döneme ait olduğu teyit edilmeli (32/8).
3. Gelir tablosu faaliyet dağılımı muhasebe kayıtlarıyla uyumlu olmalı.
4. Müşterek gider dağıtım oranı tutarlı uygulanmalı.
5. HESAPLAMA sayfasında kontrol formülleri ✓ OK göstermeli.
6. BELGE LİSTESİ sayfasındaki tüm zorunlu belgeler 'Mevcut' işaretli olmalı.</t>
        </is>
      </c>
    </row>
    <row r="20" ht="6" customHeight="1"/>
  </sheetData>
  <mergeCells count="13">
    <mergeCell ref="A4:B4"/>
    <mergeCell ref="A16:B16"/>
    <mergeCell ref="A15:B15"/>
    <mergeCell ref="A7:B7"/>
    <mergeCell ref="A19:B19"/>
    <mergeCell ref="A10:B10"/>
    <mergeCell ref="A13:B13"/>
    <mergeCell ref="A1:B1"/>
    <mergeCell ref="A18:B18"/>
    <mergeCell ref="A9:B9"/>
    <mergeCell ref="A3:B3"/>
    <mergeCell ref="A6:B6"/>
    <mergeCell ref="A12:B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2026-04-08T11:25:38Z</dcterms:created>
  <dcterms:modified xmlns:dcterms="http://purl.org/dc/terms/" xmlns:xsi="http://www.w3.org/2001/XMLSchema-instance" xsi:type="dcterms:W3CDTF">2026-04-08T11:25:39Z</dcterms:modified>
</cp:coreProperties>
</file>