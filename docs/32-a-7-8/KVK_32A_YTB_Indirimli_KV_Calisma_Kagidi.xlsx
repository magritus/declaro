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 PANELİ" sheetId="1" state="visible" r:id="rId1"/>
    <sheet xmlns:r="http://schemas.openxmlformats.org/officeDocument/2006/relationships" name="YTB-1" sheetId="2" state="visible" r:id="rId2"/>
    <sheet xmlns:r="http://schemas.openxmlformats.org/officeDocument/2006/relationships" name="YTB-2" sheetId="3" state="visible" r:id="rId3"/>
    <sheet xmlns:r="http://schemas.openxmlformats.org/officeDocument/2006/relationships" name="YTB-3" sheetId="4" state="visible" r:id="rId4"/>
    <sheet xmlns:r="http://schemas.openxmlformats.org/officeDocument/2006/relationships" name="YTB-4" sheetId="5" state="visible" r:id="rId5"/>
    <sheet xmlns:r="http://schemas.openxmlformats.org/officeDocument/2006/relationships" name="YTB-5" sheetId="6" state="visible" r:id="rId6"/>
    <sheet xmlns:r="http://schemas.openxmlformats.org/officeDocument/2006/relationships" name="BELGE LİSTESİ" sheetId="7" state="visible" r:id="rId7"/>
    <sheet xmlns:r="http://schemas.openxmlformats.org/officeDocument/2006/relationships" name="DENETÇİ NOT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1B5E20"/>
      <sz val="10"/>
    </font>
    <font>
      <name val="Calibri"/>
      <i val="1"/>
      <color rgb="00000000"/>
      <sz val="9"/>
    </font>
    <font>
      <name val="Calibri"/>
      <b val="1"/>
      <color rgb="00FFFFFF"/>
      <sz val="12"/>
    </font>
    <font>
      <name val="Calibri"/>
      <i val="1"/>
      <color rgb="005D4037"/>
      <sz val="9"/>
    </font>
    <font>
      <name val="Calibri"/>
      <b val="1"/>
      <color rgb="00FFFFFF"/>
      <sz val="10"/>
    </font>
    <font>
      <name val="Calibri"/>
      <color rgb="00FFFFFF"/>
      <sz val="8"/>
    </font>
    <font>
      <name val="Calibri"/>
      <b val="1"/>
      <color rgb="00FFFFFF"/>
      <sz val="13"/>
    </font>
    <font>
      <name val="Calibri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BF0F8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FECB3"/>
      </patternFill>
    </fill>
    <fill>
      <patternFill patternType="solid">
        <fgColor rgb="00F5F5F5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medium">
        <color rgb="004F4F4F"/>
      </left>
      <right style="medium">
        <color rgb="004F4F4F"/>
      </right>
      <top style="medium">
        <color rgb="004F4F4F"/>
      </top>
      <bottom style="medium">
        <color rgb="004F4F4F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4" fontId="3" fillId="7" borderId="2" applyAlignment="1" pivotButton="0" quotePrefix="0" xfId="0">
      <alignment horizontal="right" vertical="center"/>
    </xf>
    <xf numFmtId="0" fontId="2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4" fontId="2" fillId="8" borderId="2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4" fontId="5" fillId="8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left" vertical="center" wrapText="1"/>
    </xf>
    <xf numFmtId="0" fontId="0" fillId="6" borderId="0" pivotButton="0" quotePrefix="0" xfId="0"/>
    <xf numFmtId="0" fontId="7" fillId="2" borderId="1" applyAlignment="1" pivotButton="0" quotePrefix="0" xfId="0">
      <alignment horizontal="center" vertical="center"/>
    </xf>
    <xf numFmtId="0" fontId="10" fillId="6" borderId="0" pivotButton="0" quotePrefix="0" xfId="0"/>
    <xf numFmtId="0" fontId="10" fillId="3" borderId="2" applyAlignment="1" pivotButton="0" quotePrefix="0" xfId="0">
      <alignment horizontal="left" vertical="center"/>
    </xf>
    <xf numFmtId="0" fontId="10" fillId="0" borderId="0" pivotButton="0" quotePrefix="0" xfId="0"/>
    <xf numFmtId="0" fontId="8" fillId="0" borderId="2" applyAlignment="1" pivotButton="0" quotePrefix="0" xfId="0">
      <alignment horizontal="left" vertical="center"/>
    </xf>
    <xf numFmtId="0" fontId="2" fillId="11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49" fontId="3" fillId="5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164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left" vertical="center"/>
    </xf>
    <xf numFmtId="2" fontId="3" fillId="5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/>
    </xf>
    <xf numFmtId="2" fontId="3" fillId="7" borderId="2" applyAlignment="1" pivotButton="0" quotePrefix="0" xfId="0">
      <alignment horizontal="right" vertical="center"/>
    </xf>
    <xf numFmtId="165" fontId="3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4" fontId="2" fillId="7" borderId="2" applyAlignment="1" pivotButton="0" quotePrefix="0" xfId="0">
      <alignment horizontal="right" vertical="center"/>
    </xf>
    <xf numFmtId="0" fontId="2" fillId="10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0" fontId="0" fillId="8" borderId="2" pivotButton="0" quotePrefix="0" xfId="0"/>
    <xf numFmtId="0" fontId="11" fillId="2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5" customWidth="1" min="11" max="11"/>
  </cols>
  <sheetData>
    <row r="1" ht="8" customHeight="1"/>
    <row r="2" ht="36" customHeight="1">
      <c r="B2" s="1" t="inlineStr">
        <is>
          <t>KVK Md. 32/A — Yatırıma Katkı Tutarı (YKT) ve İndirimli KV Çalışma Kağıdı</t>
        </is>
      </c>
    </row>
    <row r="3" ht="6" customHeight="1"/>
    <row r="4" ht="20" customHeight="1">
      <c r="B4" s="2" t="inlineStr">
        <is>
          <t>MÜKELLEf BİLGİLERİ</t>
        </is>
      </c>
      <c r="D4" s="3" t="n"/>
    </row>
    <row r="5" ht="18" customHeight="1">
      <c r="B5" s="4" t="inlineStr">
        <is>
          <t>Mükellef Unvanı</t>
        </is>
      </c>
      <c r="D5" s="5" t="n"/>
    </row>
    <row r="6" ht="18" customHeight="1">
      <c r="B6" s="4" t="inlineStr">
        <is>
          <t>Vergi Kimlik Numarası (VKN)</t>
        </is>
      </c>
      <c r="D6" s="5" t="n"/>
    </row>
    <row r="7" ht="18" customHeight="1">
      <c r="B7" s="4" t="inlineStr">
        <is>
          <t>Dönem Yılı</t>
        </is>
      </c>
      <c r="D7" s="5" t="n"/>
    </row>
    <row r="8" ht="6" customHeight="1"/>
    <row r="9" ht="20" customHeight="1">
      <c r="B9" s="6" t="inlineStr">
        <is>
          <t>ÖN KONTROL TABLOSU</t>
        </is>
      </c>
    </row>
    <row r="10" ht="18" customHeight="1">
      <c r="B10" s="2" t="inlineStr">
        <is>
          <t>No</t>
        </is>
      </c>
      <c r="C10" s="2" t="inlineStr">
        <is>
          <t>Kontrol Konusu</t>
        </is>
      </c>
      <c r="G10" s="2" t="inlineStr">
        <is>
          <t>Durum</t>
        </is>
      </c>
    </row>
    <row r="11" ht="18" customHeight="1">
      <c r="B11" s="7" t="inlineStr">
        <is>
          <t>1</t>
        </is>
      </c>
      <c r="C11" s="8" t="inlineStr">
        <is>
          <t>YTB(ler) geçerli ve iptal/revize edilmemiş</t>
        </is>
      </c>
      <c r="G11" s="9" t="n"/>
    </row>
    <row r="12" ht="18" customHeight="1">
      <c r="B12" s="7" t="inlineStr">
        <is>
          <t>2</t>
        </is>
      </c>
      <c r="C12" s="8" t="inlineStr">
        <is>
          <t>Finans/sigortacılık/adi ortaklık kapsamı dışı</t>
        </is>
      </c>
      <c r="G12" s="9" t="n"/>
    </row>
    <row r="13" ht="18" customHeight="1">
      <c r="B13" s="7" t="inlineStr">
        <is>
          <t>3</t>
        </is>
      </c>
      <c r="C13" s="8" t="inlineStr">
        <is>
          <t>Her YTB için kazanç ayrıştırması yapıldı</t>
        </is>
      </c>
      <c r="G13" s="9" t="n"/>
    </row>
    <row r="14" ht="18" customHeight="1">
      <c r="B14" s="7" t="inlineStr">
        <is>
          <t>4</t>
        </is>
      </c>
      <c r="C14" s="8" t="inlineStr">
        <is>
          <t>Çapraz YTB YKT uygulanmadı</t>
        </is>
      </c>
      <c r="G14" s="9" t="n"/>
    </row>
    <row r="15" ht="18" customHeight="1">
      <c r="B15" s="7" t="inlineStr">
        <is>
          <t>5</t>
        </is>
      </c>
      <c r="C15" s="8" t="inlineStr">
        <is>
          <t>YİAKV değerlendirmesi yapıldı</t>
        </is>
      </c>
      <c r="G15" s="9" t="n"/>
    </row>
    <row r="16" ht="18" customHeight="1">
      <c r="B16" s="7" t="inlineStr">
        <is>
          <t>6</t>
        </is>
      </c>
      <c r="C16" s="8" t="inlineStr">
        <is>
          <t>YMM raporu yükümlülüğü kontrol edildi (49 No'lu Sirkül)</t>
        </is>
      </c>
      <c r="G16" s="9" t="n"/>
    </row>
    <row r="17" ht="6" customHeight="1"/>
    <row r="18" ht="20" customHeight="1">
      <c r="B18" s="6" t="inlineStr">
        <is>
          <t>YTB ÖZET TABLOSU (Tüm YTB'lerin Özeti)</t>
        </is>
      </c>
    </row>
    <row r="19" ht="36" customHeight="1">
      <c r="B19" s="10" t="inlineStr">
        <is>
          <t>YTB No</t>
        </is>
      </c>
      <c r="C19" s="10" t="inlineStr">
        <is>
          <t>Durum</t>
        </is>
      </c>
      <c r="D19" s="10" t="inlineStr">
        <is>
          <t>Yatırım Tutarı
(TL)</t>
        </is>
      </c>
      <c r="E19" s="10" t="inlineStr">
        <is>
          <t>YKT
(TL)</t>
        </is>
      </c>
      <c r="F19" s="10" t="inlineStr">
        <is>
          <t>Önceki Kümülatif
Kullanım (TL)</t>
        </is>
      </c>
      <c r="G19" s="10" t="inlineStr">
        <is>
          <t>Bu Dönem
Kullanım (TL)</t>
        </is>
      </c>
      <c r="H19" s="10" t="inlineStr">
        <is>
          <t>Bu Dönem KV
Tasarrufu (TL)</t>
        </is>
      </c>
      <c r="I19" s="10" t="inlineStr">
        <is>
          <t>Kalan YKT
(TL)</t>
        </is>
      </c>
    </row>
    <row r="20" ht="18" customHeight="1">
      <c r="B20" s="11">
        <f>IFERROR('YTB-1'!A3,"YTB-1")</f>
        <v/>
      </c>
      <c r="C20" s="11">
        <f>IFERROR('YTB-1'!A4,"")</f>
        <v/>
      </c>
      <c r="D20" s="12">
        <f>IFERROR('YTB-1'!A5,0)</f>
        <v/>
      </c>
      <c r="E20" s="12">
        <f>IFERROR('YTB-1'!A6,0)</f>
        <v/>
      </c>
      <c r="F20" s="12">
        <f>IFERROR('YTB-1'!A7,0)</f>
        <v/>
      </c>
      <c r="G20" s="12">
        <f>IFERROR('YTB-1'!A8,0)</f>
        <v/>
      </c>
      <c r="H20" s="12">
        <f>IFERROR('YTB-1'!A9,0)</f>
        <v/>
      </c>
      <c r="I20" s="12">
        <f>IFERROR('YTB-1'!A10,0)</f>
        <v/>
      </c>
    </row>
    <row r="21" ht="18" customHeight="1">
      <c r="B21" s="11">
        <f>IFERROR('YTB-2'!A3,"YTB-2")</f>
        <v/>
      </c>
      <c r="C21" s="11">
        <f>IFERROR('YTB-2'!A4,"")</f>
        <v/>
      </c>
      <c r="D21" s="12">
        <f>IFERROR('YTB-2'!A5,0)</f>
        <v/>
      </c>
      <c r="E21" s="12">
        <f>IFERROR('YTB-2'!A6,0)</f>
        <v/>
      </c>
      <c r="F21" s="12">
        <f>IFERROR('YTB-2'!A7,0)</f>
        <v/>
      </c>
      <c r="G21" s="12">
        <f>IFERROR('YTB-2'!A8,0)</f>
        <v/>
      </c>
      <c r="H21" s="12">
        <f>IFERROR('YTB-2'!A9,0)</f>
        <v/>
      </c>
      <c r="I21" s="12">
        <f>IFERROR('YTB-2'!A10,0)</f>
        <v/>
      </c>
    </row>
    <row r="22" ht="18" customHeight="1">
      <c r="B22" s="11">
        <f>IFERROR('YTB-3'!A3,"YTB-3")</f>
        <v/>
      </c>
      <c r="C22" s="11">
        <f>IFERROR('YTB-3'!A4,"")</f>
        <v/>
      </c>
      <c r="D22" s="12">
        <f>IFERROR('YTB-3'!A5,0)</f>
        <v/>
      </c>
      <c r="E22" s="12">
        <f>IFERROR('YTB-3'!A6,0)</f>
        <v/>
      </c>
      <c r="F22" s="12">
        <f>IFERROR('YTB-3'!A7,0)</f>
        <v/>
      </c>
      <c r="G22" s="12">
        <f>IFERROR('YTB-3'!A8,0)</f>
        <v/>
      </c>
      <c r="H22" s="12">
        <f>IFERROR('YTB-3'!A9,0)</f>
        <v/>
      </c>
      <c r="I22" s="12">
        <f>IFERROR('YTB-3'!A10,0)</f>
        <v/>
      </c>
    </row>
    <row r="23" ht="18" customHeight="1">
      <c r="B23" s="11">
        <f>IFERROR('YTB-4'!A3,"YTB-4")</f>
        <v/>
      </c>
      <c r="C23" s="11">
        <f>IFERROR('YTB-4'!A4,"")</f>
        <v/>
      </c>
      <c r="D23" s="12">
        <f>IFERROR('YTB-4'!A5,0)</f>
        <v/>
      </c>
      <c r="E23" s="12">
        <f>IFERROR('YTB-4'!A6,0)</f>
        <v/>
      </c>
      <c r="F23" s="12">
        <f>IFERROR('YTB-4'!A7,0)</f>
        <v/>
      </c>
      <c r="G23" s="12">
        <f>IFERROR('YTB-4'!A8,0)</f>
        <v/>
      </c>
      <c r="H23" s="12">
        <f>IFERROR('YTB-4'!A9,0)</f>
        <v/>
      </c>
      <c r="I23" s="12">
        <f>IFERROR('YTB-4'!A10,0)</f>
        <v/>
      </c>
    </row>
    <row r="24" ht="18" customHeight="1">
      <c r="B24" s="11">
        <f>IFERROR('YTB-5'!A3,"YTB-5")</f>
        <v/>
      </c>
      <c r="C24" s="11">
        <f>IFERROR('YTB-5'!A4,"")</f>
        <v/>
      </c>
      <c r="D24" s="12">
        <f>IFERROR('YTB-5'!A5,0)</f>
        <v/>
      </c>
      <c r="E24" s="12">
        <f>IFERROR('YTB-5'!A6,0)</f>
        <v/>
      </c>
      <c r="F24" s="12">
        <f>IFERROR('YTB-5'!A7,0)</f>
        <v/>
      </c>
      <c r="G24" s="12">
        <f>IFERROR('YTB-5'!A8,0)</f>
        <v/>
      </c>
      <c r="H24" s="12">
        <f>IFERROR('YTB-5'!A9,0)</f>
        <v/>
      </c>
      <c r="I24" s="12">
        <f>IFERROR('YTB-5'!A10,0)</f>
        <v/>
      </c>
    </row>
    <row r="25" ht="18" customHeight="1">
      <c r="B25" s="11">
        <f>IFERROR('YTB-6'!A3,"YTB-6")</f>
        <v/>
      </c>
      <c r="C25" s="11">
        <f>IFERROR('YTB-6'!A4,"")</f>
        <v/>
      </c>
      <c r="D25" s="12">
        <f>IFERROR('YTB-6'!A5,0)</f>
        <v/>
      </c>
      <c r="E25" s="12">
        <f>IFERROR('YTB-6'!A6,0)</f>
        <v/>
      </c>
      <c r="F25" s="12">
        <f>IFERROR('YTB-6'!A7,0)</f>
        <v/>
      </c>
      <c r="G25" s="12">
        <f>IFERROR('YTB-6'!A8,0)</f>
        <v/>
      </c>
      <c r="H25" s="12">
        <f>IFERROR('YTB-6'!A9,0)</f>
        <v/>
      </c>
      <c r="I25" s="12">
        <f>IFERROR('YTB-6'!A10,0)</f>
        <v/>
      </c>
    </row>
    <row r="26" ht="18" customHeight="1">
      <c r="B26" s="11">
        <f>IFERROR('YTB-7'!A3,"YTB-7")</f>
        <v/>
      </c>
      <c r="C26" s="11">
        <f>IFERROR('YTB-7'!A4,"")</f>
        <v/>
      </c>
      <c r="D26" s="12">
        <f>IFERROR('YTB-7'!A5,0)</f>
        <v/>
      </c>
      <c r="E26" s="12">
        <f>IFERROR('YTB-7'!A6,0)</f>
        <v/>
      </c>
      <c r="F26" s="12">
        <f>IFERROR('YTB-7'!A7,0)</f>
        <v/>
      </c>
      <c r="G26" s="12">
        <f>IFERROR('YTB-7'!A8,0)</f>
        <v/>
      </c>
      <c r="H26" s="12">
        <f>IFERROR('YTB-7'!A9,0)</f>
        <v/>
      </c>
      <c r="I26" s="12">
        <f>IFERROR('YTB-7'!A10,0)</f>
        <v/>
      </c>
    </row>
    <row r="27" ht="18" customHeight="1">
      <c r="B27" s="11">
        <f>IFERROR('YTB-8'!A3,"YTB-8")</f>
        <v/>
      </c>
      <c r="C27" s="11">
        <f>IFERROR('YTB-8'!A4,"")</f>
        <v/>
      </c>
      <c r="D27" s="12">
        <f>IFERROR('YTB-8'!A5,0)</f>
        <v/>
      </c>
      <c r="E27" s="12">
        <f>IFERROR('YTB-8'!A6,0)</f>
        <v/>
      </c>
      <c r="F27" s="12">
        <f>IFERROR('YTB-8'!A7,0)</f>
        <v/>
      </c>
      <c r="G27" s="12">
        <f>IFERROR('YTB-8'!A8,0)</f>
        <v/>
      </c>
      <c r="H27" s="12">
        <f>IFERROR('YTB-8'!A9,0)</f>
        <v/>
      </c>
      <c r="I27" s="12">
        <f>IFERROR('YTB-8'!A10,0)</f>
        <v/>
      </c>
    </row>
    <row r="28" ht="18" customHeight="1">
      <c r="B28" s="11">
        <f>IFERROR('YTB-9'!A3,"YTB-9")</f>
        <v/>
      </c>
      <c r="C28" s="11">
        <f>IFERROR('YTB-9'!A4,"")</f>
        <v/>
      </c>
      <c r="D28" s="12">
        <f>IFERROR('YTB-9'!A5,0)</f>
        <v/>
      </c>
      <c r="E28" s="12">
        <f>IFERROR('YTB-9'!A6,0)</f>
        <v/>
      </c>
      <c r="F28" s="12">
        <f>IFERROR('YTB-9'!A7,0)</f>
        <v/>
      </c>
      <c r="G28" s="12">
        <f>IFERROR('YTB-9'!A8,0)</f>
        <v/>
      </c>
      <c r="H28" s="12">
        <f>IFERROR('YTB-9'!A9,0)</f>
        <v/>
      </c>
      <c r="I28" s="12">
        <f>IFERROR('YTB-9'!A10,0)</f>
        <v/>
      </c>
    </row>
    <row r="29" ht="18" customHeight="1">
      <c r="B29" s="11">
        <f>IFERROR('YTB-10'!A3,"YTB-10")</f>
        <v/>
      </c>
      <c r="C29" s="11">
        <f>IFERROR('YTB-10'!A4,"")</f>
        <v/>
      </c>
      <c r="D29" s="12">
        <f>IFERROR('YTB-10'!A5,0)</f>
        <v/>
      </c>
      <c r="E29" s="12">
        <f>IFERROR('YTB-10'!A6,0)</f>
        <v/>
      </c>
      <c r="F29" s="12">
        <f>IFERROR('YTB-10'!A7,0)</f>
        <v/>
      </c>
      <c r="G29" s="12">
        <f>IFERROR('YTB-10'!A8,0)</f>
        <v/>
      </c>
      <c r="H29" s="12">
        <f>IFERROR('YTB-10'!A9,0)</f>
        <v/>
      </c>
      <c r="I29" s="12">
        <f>IFERROR('YTB-10'!A10,0)</f>
        <v/>
      </c>
    </row>
    <row r="30" ht="20" customHeight="1">
      <c r="B30" s="13" t="inlineStr">
        <is>
          <t>TOPLAM</t>
        </is>
      </c>
      <c r="C30" s="14" t="inlineStr"/>
      <c r="D30" s="15">
        <f>SUM(D20:D29)</f>
        <v/>
      </c>
      <c r="E30" s="15">
        <f>SUM(E20:E29)</f>
        <v/>
      </c>
      <c r="F30" s="15">
        <f>SUM(F20:F29)</f>
        <v/>
      </c>
      <c r="G30" s="15">
        <f>SUM(G20:G29)</f>
        <v/>
      </c>
      <c r="H30" s="15">
        <f>SUM(H20:H29)</f>
        <v/>
      </c>
      <c r="I30" s="15">
        <f>SUM(I20:I29)</f>
        <v/>
      </c>
    </row>
    <row r="31" ht="6" customHeight="1"/>
    <row r="32" ht="20" customHeight="1">
      <c r="B32" s="16" t="inlineStr">
        <is>
          <t>DÖNEM SONU BEYANNAME SONUÇLARI</t>
        </is>
      </c>
    </row>
    <row r="33" ht="20" customHeight="1">
      <c r="B33" s="17" t="inlineStr">
        <is>
          <t>Toplam Bu Dönem KV Tasarrufu (Beyanname 710/720)</t>
        </is>
      </c>
      <c r="I33" s="18">
        <f>H30</f>
        <v/>
      </c>
    </row>
    <row r="34" ht="20" customHeight="1">
      <c r="B34" s="17" t="inlineStr">
        <is>
          <t>Tüm YTB'ler Kalan YKT Toplamı (Devreden)</t>
        </is>
      </c>
      <c r="I34" s="18">
        <f>J30</f>
        <v/>
      </c>
    </row>
    <row r="35" ht="6" customHeight="1"/>
    <row r="36" ht="30" customHeight="1">
      <c r="B36" s="19" t="inlineStr">
        <is>
          <t>ℹ️  KULLANIM: Her YTB için ayrı bir YTB-X sayfası kullanın. Daha fazla YTB için mevcut bir YTB sayfasını kopyalayıp adını değiştirin (YTB-6, YTB-7, ...) ve formülleri güncelleyin.</t>
        </is>
      </c>
    </row>
  </sheetData>
  <mergeCells count="23">
    <mergeCell ref="I34:J34"/>
    <mergeCell ref="B7:C7"/>
    <mergeCell ref="B33:H33"/>
    <mergeCell ref="D5:G5"/>
    <mergeCell ref="C13:F13"/>
    <mergeCell ref="B9:G9"/>
    <mergeCell ref="C15:F15"/>
    <mergeCell ref="C14:F14"/>
    <mergeCell ref="D7:E7"/>
    <mergeCell ref="D6:G6"/>
    <mergeCell ref="B36:J36"/>
    <mergeCell ref="B32:J32"/>
    <mergeCell ref="I33:J33"/>
    <mergeCell ref="C16:F16"/>
    <mergeCell ref="C10:F10"/>
    <mergeCell ref="B6:C6"/>
    <mergeCell ref="B5:C5"/>
    <mergeCell ref="C12:F12"/>
    <mergeCell ref="B18:J18"/>
    <mergeCell ref="C11:F11"/>
    <mergeCell ref="B34:H34"/>
    <mergeCell ref="B4:C4"/>
    <mergeCell ref="B2:J2"/>
  </mergeCells>
  <dataValidations count="1">
    <dataValidation sqref="G11 G12 G13 G14 G15 G16" showDropDown="0" showInputMessage="0" showErrorMessage="1" allowBlank="1" errorTitle="Geçersiz Değer" error="EVET veya HAYIR giriniz" type="list">
      <formula1>"EVET,HAYIR"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38" customWidth="1" min="4" max="4"/>
  </cols>
  <sheetData>
    <row r="1" ht="4" customHeight="1">
      <c r="A1" s="20" t="inlineStr">
        <is>
          <t>YTB-1</t>
        </is>
      </c>
      <c r="B1" s="20" t="n"/>
      <c r="C1" s="20" t="n"/>
      <c r="D1" s="20" t="n"/>
    </row>
    <row r="2" ht="34" customHeight="1">
      <c r="A2" s="21" t="inlineStr">
        <is>
          <t>YTB-1  —  KVK Md.32/A İndirimli KV Çalışma Kağıdı</t>
        </is>
      </c>
    </row>
    <row r="3" ht="4" customHeight="1">
      <c r="A3" s="22">
        <f>C16</f>
        <v/>
      </c>
      <c r="B3" s="20" t="n"/>
      <c r="C3" s="20" t="n"/>
      <c r="D3" s="20" t="n"/>
    </row>
    <row r="4" ht="22" customHeight="1">
      <c r="A4" s="23">
        <f>C26</f>
        <v/>
      </c>
    </row>
    <row r="5" ht="18" customHeight="1">
      <c r="A5" s="24">
        <f>C20</f>
        <v/>
      </c>
      <c r="B5" s="8" t="inlineStr">
        <is>
          <t>A0.1  YTB geçerli mi? (İptal veya revize edilmemiş)</t>
        </is>
      </c>
      <c r="C5" s="9" t="inlineStr"/>
      <c r="D5" s="25" t="inlineStr">
        <is>
          <t>EVET veya HAYIR seçin</t>
        </is>
      </c>
    </row>
    <row r="6" ht="18" customHeight="1">
      <c r="A6" s="24">
        <f>C22</f>
        <v/>
      </c>
      <c r="B6" s="8" t="inlineStr">
        <is>
          <t>A0.2  Sektör uygun mu? (Finans/sigorta/adi ortaklık değil)</t>
        </is>
      </c>
      <c r="C6" s="9" t="inlineStr"/>
      <c r="D6" s="25" t="inlineStr">
        <is>
          <t>EVET veya HAYIR seçin</t>
        </is>
      </c>
    </row>
    <row r="7" ht="18" customHeight="1">
      <c r="A7" s="24">
        <f>C71</f>
        <v/>
      </c>
      <c r="B7" s="8" t="inlineStr">
        <is>
          <t>A0.3  Bu YTB'den elde edilen kazanç bu YTB'ye mi uygulanıyor?</t>
        </is>
      </c>
      <c r="C7" s="9" t="inlineStr"/>
      <c r="D7" s="25" t="inlineStr">
        <is>
          <t>EVET veya HAYIR seçin</t>
        </is>
      </c>
    </row>
    <row r="8" ht="18" customHeight="1">
      <c r="A8" s="24">
        <f>C77</f>
        <v/>
      </c>
      <c r="B8" s="8" t="inlineStr">
        <is>
          <t>A0.4  Yatırım/işletme dönemi doğru tespit edildi mi?</t>
        </is>
      </c>
      <c r="C8" s="9" t="inlineStr"/>
      <c r="D8" s="25" t="inlineStr">
        <is>
          <t>EVET veya HAYIR seçin</t>
        </is>
      </c>
    </row>
    <row r="9" ht="18" customHeight="1">
      <c r="A9" s="24">
        <f>C76</f>
        <v/>
      </c>
      <c r="B9" s="8" t="inlineStr">
        <is>
          <t>A0.5  Önceki dönem YKT kümülatif kullanımı doğru girildi mi?</t>
        </is>
      </c>
      <c r="C9" s="9" t="inlineStr"/>
      <c r="D9" s="25" t="inlineStr">
        <is>
          <t>EVET veya HAYIR seçin</t>
        </is>
      </c>
    </row>
    <row r="10" ht="18" customHeight="1">
      <c r="A10" s="24">
        <f>C79</f>
        <v/>
      </c>
      <c r="B10" s="8" t="inlineStr">
        <is>
          <t>A0.6  Çapraz YTB YKT uygulaması yok mu?</t>
        </is>
      </c>
      <c r="C10" s="9" t="inlineStr"/>
      <c r="D10" s="25" t="inlineStr">
        <is>
          <t>EVET veya HAYIR seçin</t>
        </is>
      </c>
    </row>
    <row r="11" ht="18" customHeight="1">
      <c r="B11" s="8" t="inlineStr">
        <is>
          <t>A0.7  YİAKV uyarlaması değerlendirildi mi?</t>
        </is>
      </c>
      <c r="C11" s="9" t="inlineStr"/>
      <c r="D11" s="25" t="inlineStr">
        <is>
          <t>EVET veya HAYIR seçin</t>
        </is>
      </c>
    </row>
    <row r="12" ht="18" customHeight="1">
      <c r="B12" s="8" t="inlineStr">
        <is>
          <t>A0.8  YMM raporu yükümlülüğü kontrol edildi mi?</t>
        </is>
      </c>
      <c r="C12" s="9" t="inlineStr"/>
      <c r="D12" s="25" t="inlineStr">
        <is>
          <t>EVET veya HAYIR seçin</t>
        </is>
      </c>
    </row>
    <row r="13" ht="22" customHeight="1">
      <c r="B13" s="26" t="inlineStr">
        <is>
          <t>A0.9  Ön Koşul Sonucu</t>
        </is>
      </c>
      <c r="C13" s="27">
        <f>IF(AND(C5="EVET",C6="EVET",C7="EVET",C8="EVET",C9="EVET",C10="EVET",C11="EVET",C12="EVET"),"✓ Hesaplanabilir","✗ Ön Koşul Eksik")</f>
        <v/>
      </c>
      <c r="D13" s="28" t="inlineStr">
        <is>
          <t>Tüm koşullar EVET ise hesaplama yapılabilir</t>
        </is>
      </c>
    </row>
    <row r="14" ht="6" customHeight="1">
      <c r="A14" s="20" t="n"/>
      <c r="B14" s="20" t="n"/>
      <c r="C14" s="20" t="n"/>
      <c r="D14" s="20" t="n"/>
    </row>
    <row r="15" ht="22" customHeight="1">
      <c r="A15" s="29" t="inlineStr">
        <is>
          <t>BÖLÜM A — YTB KİMLİK BİLGİLERİ (Girdi)</t>
        </is>
      </c>
    </row>
    <row r="16" ht="18" customHeight="1">
      <c r="B16" s="8" t="inlineStr">
        <is>
          <t>A.1   YTB Numarası</t>
        </is>
      </c>
      <c r="C16" s="30" t="n"/>
      <c r="D16" s="31" t="inlineStr">
        <is>
          <t>Örn: 2023/B-123456</t>
        </is>
      </c>
    </row>
    <row r="17" ht="18" customHeight="1">
      <c r="B17" s="8" t="inlineStr">
        <is>
          <t>A.2   YTB Düzenleme Tarihi</t>
        </is>
      </c>
      <c r="C17" s="32" t="n"/>
      <c r="D17" s="31" t="inlineStr">
        <is>
          <t>GG.AA.YYYY formatında</t>
        </is>
      </c>
    </row>
    <row r="18" ht="18" customHeight="1">
      <c r="B18" s="8" t="inlineStr">
        <is>
          <t>A.3   Yatırım Bölgesi (1-6)</t>
        </is>
      </c>
      <c r="C18" s="30" t="n"/>
      <c r="D18" s="31" t="inlineStr">
        <is>
          <t>Bölge1→0% / Bölge2→10% / Bölge3→20% / Bölge4→30% / Bölge5→50% / Bölge6→80%</t>
        </is>
      </c>
    </row>
    <row r="19" ht="18" customHeight="1">
      <c r="B19" s="8" t="inlineStr">
        <is>
          <t>A.4   Yatırım Türü</t>
        </is>
      </c>
      <c r="C19" s="30" t="n"/>
      <c r="D19" s="31" t="inlineStr">
        <is>
          <t>Komple Yeni / Tevsi / Modernizasyon / Diğer</t>
        </is>
      </c>
    </row>
    <row r="20" ht="18" customHeight="1">
      <c r="B20" s="8" t="inlineStr">
        <is>
          <t>A.5   Toplam Yatırım Tutarı (TL)</t>
        </is>
      </c>
      <c r="C20" s="33" t="n"/>
      <c r="D20" s="31" t="inlineStr">
        <is>
          <t>YTB'de belirtilen toplam yatırım tutarı</t>
        </is>
      </c>
    </row>
    <row r="21" ht="18" customHeight="1">
      <c r="B21" s="8" t="inlineStr">
        <is>
          <t>A.6   YKT Oranı (%)</t>
        </is>
      </c>
      <c r="C21" s="34" t="n"/>
      <c r="D21" s="31" t="inlineStr">
        <is>
          <t>YTB'den gelen yatırıma katkı oranı</t>
        </is>
      </c>
    </row>
    <row r="22" ht="18" customHeight="1">
      <c r="B22" s="35" t="inlineStr">
        <is>
          <t>A.7   YKT Tutarı (TL)</t>
        </is>
      </c>
      <c r="C22" s="12">
        <f>IF(C20*C21/100=0,0,C20*C21/100)</f>
        <v/>
      </c>
      <c r="D22" s="31">
        <f> A.5 × A.6 / 100</f>
        <v/>
      </c>
    </row>
    <row r="23" ht="18" customHeight="1">
      <c r="B23" s="8" t="inlineStr">
        <is>
          <t>A.8   Vergi İndirim Oranı (%)</t>
        </is>
      </c>
      <c r="C23" s="34" t="n"/>
      <c r="D23" s="31" t="inlineStr">
        <is>
          <t>YTB'den gelen vergi indirimi oranı</t>
        </is>
      </c>
    </row>
    <row r="24" ht="18" customHeight="1">
      <c r="B24" s="8" t="inlineStr">
        <is>
          <t>A.9   Normal KV Oranı (%)</t>
        </is>
      </c>
      <c r="C24" s="34" t="n">
        <v>25</v>
      </c>
      <c r="D24" s="31" t="inlineStr">
        <is>
          <t>Varsayılan 25 (2024+); daha önce 20</t>
        </is>
      </c>
    </row>
    <row r="25" ht="18" customHeight="1">
      <c r="B25" s="35" t="inlineStr">
        <is>
          <t>A.10  İndirimli KV Oranı (%)</t>
        </is>
      </c>
      <c r="C25" s="36">
        <f>C24*(1-C23/100)</f>
        <v/>
      </c>
      <c r="D25" s="31">
        <f> A.9 × (1 - A.8/100)</f>
        <v/>
      </c>
    </row>
    <row r="26" ht="18" customHeight="1">
      <c r="B26" s="8" t="inlineStr">
        <is>
          <t>A.11  Dönem Durumu</t>
        </is>
      </c>
      <c r="C26" s="30" t="n"/>
      <c r="D26" s="31" t="inlineStr">
        <is>
          <t>Yatırım / İşletme / Tamamlandı-İşletme Devam</t>
        </is>
      </c>
    </row>
    <row r="27" ht="18" customHeight="1">
      <c r="B27" s="8" t="inlineStr">
        <is>
          <t>A.12  Tamamlama Vizesi Tarihi (Opsiyonel)</t>
        </is>
      </c>
      <c r="C27" s="32" t="n"/>
      <c r="D27" s="31" t="inlineStr">
        <is>
          <t>İşletme dönemine geçişi belgeleyiniz</t>
        </is>
      </c>
    </row>
    <row r="28" ht="6" customHeight="1">
      <c r="A28" s="20" t="n"/>
      <c r="B28" s="20" t="n"/>
      <c r="C28" s="20" t="n"/>
      <c r="D28" s="20" t="n"/>
    </row>
    <row r="29" ht="22" customHeight="1">
      <c r="A29" s="4" t="inlineStr">
        <is>
          <t>BÖLÜM B — YATIRIM DÖNEMİNDE DİĞER FAALİYET KAZANCI İNDİRİMİ</t>
        </is>
      </c>
    </row>
    <row r="30" ht="20" customHeight="1">
      <c r="A30" s="19" t="inlineStr">
        <is>
          <t>⚠  Bu bölüm yalnızca A.11 = "Yatırım Döneminde" ise uygulanır. İşletme dönemindeyse Bölüm D kullanınız.</t>
        </is>
      </c>
    </row>
    <row r="31" ht="18" customHeight="1">
      <c r="B31" s="8" t="inlineStr">
        <is>
          <t>B.1   Dönem Başı Kümülatif Yatırım Harcaması (TL)</t>
        </is>
      </c>
      <c r="C31" s="33" t="n"/>
      <c r="D31" s="31" t="inlineStr">
        <is>
          <t>Önceki dönemlerde yapılan yatırım harcamaları toplamı</t>
        </is>
      </c>
    </row>
    <row r="32" ht="18" customHeight="1">
      <c r="B32" s="8" t="inlineStr">
        <is>
          <t>B.2   Bu Dönem Yatırım Harcaması (TL)</t>
        </is>
      </c>
      <c r="C32" s="33" t="n"/>
      <c r="D32" s="31" t="inlineStr">
        <is>
          <t>Cari dönemde gerçekleşen yatırım harcaması</t>
        </is>
      </c>
    </row>
    <row r="33" ht="18" customHeight="1">
      <c r="B33" s="35" t="inlineStr">
        <is>
          <t>B.3   Kümülatif Toplam Harcama (TL)</t>
        </is>
      </c>
      <c r="C33" s="12">
        <f>C31+C32</f>
        <v/>
      </c>
      <c r="D33" s="31">
        <f> B.1 + B.2</f>
        <v/>
      </c>
    </row>
    <row r="34" ht="18" customHeight="1">
      <c r="B34" s="35" t="inlineStr">
        <is>
          <t>B.4   Bölge Limit Oranı (%)</t>
        </is>
      </c>
      <c r="C34" s="36">
        <f>SWITCH(C18,1,0,2,10,3,20,4,30,5,50,6,80,0)</f>
        <v/>
      </c>
      <c r="D34" s="31" t="inlineStr">
        <is>
          <t>Bölgeye göre otomatik: B1→0, B2→10, B3→20, B4→30, B5→50, B6→80</t>
        </is>
      </c>
    </row>
    <row r="35" ht="18" customHeight="1">
      <c r="B35" s="35" t="inlineStr">
        <is>
          <t>B.5   YKT × Bölge Limiti (TL)</t>
        </is>
      </c>
      <c r="C35" s="12">
        <f>C22*C34/100</f>
        <v/>
      </c>
      <c r="D35" s="31">
        <f> A.7 × B.4 / 100</f>
        <v/>
      </c>
    </row>
    <row r="36" ht="18" customHeight="1">
      <c r="B36" s="35" t="inlineStr">
        <is>
          <t>B.6   Azami Kullanılabilir Limit (TL)</t>
        </is>
      </c>
      <c r="C36" s="12">
        <f>MIN(C35,C33)</f>
        <v/>
      </c>
      <c r="D36" s="31">
        <f> MIN(B.5, B.3)</f>
        <v/>
      </c>
    </row>
    <row r="37" ht="18" customHeight="1">
      <c r="B37" s="8" t="inlineStr">
        <is>
          <t>B.7   Önceki Dönemler Kümülatif YKT Kullanımı (TL)</t>
        </is>
      </c>
      <c r="C37" s="33" t="n"/>
      <c r="D37" s="31" t="inlineStr">
        <is>
          <t>Bir önceki yıl beyannamesinden alınır</t>
        </is>
      </c>
    </row>
    <row r="38" ht="18" customHeight="1">
      <c r="B38" s="35" t="inlineStr">
        <is>
          <t>B.8   Bu Dönem Kullanılabilir YKT (TL)</t>
        </is>
      </c>
      <c r="C38" s="12">
        <f>MAX(0,C36-C37)</f>
        <v/>
      </c>
      <c r="D38" s="31">
        <f> MAX(0, B.6 - B.7)</f>
        <v/>
      </c>
    </row>
    <row r="39" ht="18" customHeight="1">
      <c r="B39" s="8" t="inlineStr">
        <is>
          <t>B.9   Diğer Faaliyet Kazancı Matrahı (TL)</t>
        </is>
      </c>
      <c r="C39" s="33" t="n"/>
      <c r="D39" s="31" t="inlineStr">
        <is>
          <t>Yatırım dönemi diğer faaliyet kazancı</t>
        </is>
      </c>
    </row>
    <row r="40" ht="18" customHeight="1">
      <c r="B40" s="35" t="inlineStr">
        <is>
          <t>B.10  İndirimli Matrah — Yatırım Dönemi (TL)</t>
        </is>
      </c>
      <c r="C40" s="12">
        <f>IF(C39&gt;0,MIN(C39,IF(C24&gt;0,C38/(C24/100),0)),0)</f>
        <v/>
      </c>
      <c r="D40" s="31">
        <f> MIN(B.9, B.8 / (A.9/100)) — max indirimli matrah</f>
        <v/>
      </c>
    </row>
    <row r="41" ht="18" customHeight="1">
      <c r="B41" s="35" t="inlineStr">
        <is>
          <t>B.11  Normal KV (TL)</t>
        </is>
      </c>
      <c r="C41" s="12">
        <f>C40*C24/100</f>
        <v/>
      </c>
      <c r="D41" s="31">
        <f> B.10 × A.9/100</f>
        <v/>
      </c>
    </row>
    <row r="42" ht="18" customHeight="1">
      <c r="B42" s="35" t="inlineStr">
        <is>
          <t>B.12  İndirimli KV (TL)</t>
        </is>
      </c>
      <c r="C42" s="12">
        <f>C40*C25/100</f>
        <v/>
      </c>
      <c r="D42" s="31">
        <f> B.10 × A.10/100</f>
        <v/>
      </c>
    </row>
    <row r="43" ht="20" customHeight="1">
      <c r="B43" s="17" t="inlineStr">
        <is>
          <t>B.13  KV Tasarrufu — Yatırım Dönemi (TL)</t>
        </is>
      </c>
      <c r="C43" s="18">
        <f>C41-C42</f>
        <v/>
      </c>
      <c r="D43" s="31">
        <f> B.11 - B.12  (Bu YTB için YKT kullanımı)</f>
        <v/>
      </c>
    </row>
    <row r="44" ht="6" customHeight="1">
      <c r="A44" s="20" t="n"/>
      <c r="B44" s="20" t="n"/>
      <c r="C44" s="20" t="n"/>
      <c r="D44" s="20" t="n"/>
    </row>
    <row r="45" ht="22" customHeight="1">
      <c r="A45" s="4" t="inlineStr">
        <is>
          <t>BÖLÜM C — TEVSİ YATIRIMLARDA KAZANÇ TESPİTİ</t>
        </is>
      </c>
    </row>
    <row r="46" ht="20" customHeight="1">
      <c r="A46" s="19" t="inlineStr">
        <is>
          <t>⚠  Bu bölüm yalnızca A.4 = "Tevsi" ise uygulanır.</t>
        </is>
      </c>
    </row>
    <row r="47" ht="18" customHeight="1">
      <c r="B47" s="8" t="inlineStr">
        <is>
          <t>C.1   Kazanç Tespit Yöntemi</t>
        </is>
      </c>
      <c r="C47" s="30" t="n"/>
      <c r="D47" s="31" t="inlineStr">
        <is>
          <t>Gerçek Usul veya Götürü - Oransal</t>
        </is>
      </c>
    </row>
    <row r="48" ht="18" customHeight="1">
      <c r="B48" s="8" t="inlineStr">
        <is>
          <t>C.2   YTB Kapsamı ATİK Değeri — Dönem Sonu (TL)</t>
        </is>
      </c>
      <c r="C48" s="33" t="n"/>
      <c r="D48" s="31" t="inlineStr">
        <is>
          <t>Yeniden değerlenmiş, tevsi yatırımına ait ATİK toplamı</t>
        </is>
      </c>
    </row>
    <row r="49" ht="18" customHeight="1">
      <c r="B49" s="8" t="inlineStr">
        <is>
          <t>C.3   Toplam ATİK Değeri — Dönem Sonu (TL)</t>
        </is>
      </c>
      <c r="C49" s="33" t="n"/>
      <c r="D49" s="31" t="inlineStr">
        <is>
          <t>Tüm faaliyetlere ait ATİK toplamı</t>
        </is>
      </c>
    </row>
    <row r="50" ht="18" customHeight="1">
      <c r="B50" s="35" t="inlineStr">
        <is>
          <t>C.4   Götürü Oran</t>
        </is>
      </c>
      <c r="C50" s="37">
        <f>IF(C49&gt;0,C48/C49,0)</f>
        <v/>
      </c>
      <c r="D50" s="31">
        <f> C.2 / C.3</f>
        <v/>
      </c>
    </row>
    <row r="51" ht="18" customHeight="1">
      <c r="B51" s="8" t="inlineStr">
        <is>
          <t>C.5   Dönem KV Matrahı — Tüm Faaliyetler (TL)</t>
        </is>
      </c>
      <c r="C51" s="33" t="n"/>
      <c r="D51" s="31" t="inlineStr">
        <is>
          <t>Tüm faaliyetler için hesaplanan KV matrahı</t>
        </is>
      </c>
    </row>
    <row r="52" ht="18" customHeight="1">
      <c r="B52" s="8" t="inlineStr">
        <is>
          <t>C.6   Gerçek Usul Tevsi Kazancı (TL)</t>
        </is>
      </c>
      <c r="C52" s="33" t="n"/>
      <c r="D52" s="31" t="inlineStr">
        <is>
          <t>Sadece gerçek usulde: doğrudan tespit edilen tevsi kazancı</t>
        </is>
      </c>
    </row>
    <row r="53" ht="18" customHeight="1">
      <c r="B53" s="35" t="inlineStr">
        <is>
          <t>C.7   Tevsi İndirimli Matrah (TL)</t>
        </is>
      </c>
      <c r="C53" s="12">
        <f>IF(C47="Götürü - Oransal",C51*C50,C52)</f>
        <v/>
      </c>
      <c r="D53" s="31">
        <f> Götürü: C.5×C.4   /   Gerçek: C.6</f>
        <v/>
      </c>
    </row>
    <row r="54" ht="6" customHeight="1">
      <c r="A54" s="20" t="n"/>
      <c r="B54" s="20" t="n"/>
      <c r="C54" s="20" t="n"/>
      <c r="D54" s="20" t="n"/>
    </row>
    <row r="55" ht="22" customHeight="1">
      <c r="A55" s="4" t="inlineStr">
        <is>
          <t>BÖLÜM D — İŞLETME DÖNEMİNDE BU YTB'DEN KAZANÇ</t>
        </is>
      </c>
    </row>
    <row r="56" ht="20" customHeight="1">
      <c r="A56" s="38" t="inlineStr">
        <is>
          <t>ℹ  İşletme döneminde D.1 değerini girin. Tevsi yatırımında C.7 otomatik yansıtılır.</t>
        </is>
      </c>
    </row>
    <row r="57" ht="18" customHeight="1">
      <c r="B57" s="8" t="inlineStr">
        <is>
          <t>D.1   Bu YTB'den Elde Edilen Kazanç Matrahı (TL)</t>
        </is>
      </c>
      <c r="C57" s="33" t="n"/>
      <c r="D57" s="31" t="inlineStr">
        <is>
          <t>Tevsi ise C.7 değerini buraya kopyalayabilirsiniz: =C53</t>
        </is>
      </c>
    </row>
    <row r="58" ht="18" customHeight="1">
      <c r="B58" s="35" t="inlineStr">
        <is>
          <t>D.2   Normal KV (TL)</t>
        </is>
      </c>
      <c r="C58" s="12">
        <f>C57*C24/100</f>
        <v/>
      </c>
      <c r="D58" s="31">
        <f> D.1 × A.9/100</f>
        <v/>
      </c>
    </row>
    <row r="59" ht="18" customHeight="1">
      <c r="B59" s="35" t="inlineStr">
        <is>
          <t>D.3   İndirimli KV (TL)</t>
        </is>
      </c>
      <c r="C59" s="12">
        <f>C57*C25/100</f>
        <v/>
      </c>
      <c r="D59" s="31">
        <f> D.1 × A.10/100</f>
        <v/>
      </c>
    </row>
    <row r="60" ht="20" customHeight="1">
      <c r="B60" s="17" t="inlineStr">
        <is>
          <t>D.4   KV Tasarrufu — İşletme Dönemi (TL)</t>
        </is>
      </c>
      <c r="C60" s="18">
        <f>C58-C59</f>
        <v/>
      </c>
      <c r="D60" s="31">
        <f> D.2 - D.3</f>
        <v/>
      </c>
    </row>
    <row r="61" ht="6" customHeight="1">
      <c r="A61" s="20" t="n"/>
      <c r="B61" s="20" t="n"/>
      <c r="C61" s="20" t="n"/>
      <c r="D61" s="20" t="n"/>
    </row>
    <row r="62" ht="22" customHeight="1">
      <c r="A62" s="4" t="inlineStr">
        <is>
          <t>BÖLÜM E — YDO ENDEKSLEMESİ (Tamamlama Sonrası)</t>
        </is>
      </c>
    </row>
    <row r="63" ht="20" customHeight="1">
      <c r="A63" s="38" t="inlineStr">
        <is>
          <t>ℹ  Tamamlama vizesi alındıktan sonra kalan YKT YDO ile endekslenir. 2024: %63,93 — 2025: %3,30</t>
        </is>
      </c>
    </row>
    <row r="64" ht="18" customHeight="1">
      <c r="B64" s="8" t="inlineStr">
        <is>
          <t>E.1   Dönem Başı Kalan YKT (TL)</t>
        </is>
      </c>
      <c r="C64" s="33" t="n"/>
      <c r="D64" s="31" t="inlineStr">
        <is>
          <t>Tamamlama vizesi sonrası dönem başındaki bakiye YKT</t>
        </is>
      </c>
    </row>
    <row r="65" ht="18" customHeight="1">
      <c r="B65" s="8" t="inlineStr">
        <is>
          <t>E.2   YDO Oranı (%)</t>
        </is>
      </c>
      <c r="C65" s="34" t="n"/>
      <c r="D65" s="31" t="inlineStr">
        <is>
          <t>2024: 63,93% — 2025: 3,30% — Hazine açıklaması izleyin</t>
        </is>
      </c>
    </row>
    <row r="66" ht="18" customHeight="1">
      <c r="B66" s="35" t="inlineStr">
        <is>
          <t>E.3   YDO Artışı (TL)</t>
        </is>
      </c>
      <c r="C66" s="12">
        <f>C64*C65/100</f>
        <v/>
      </c>
      <c r="D66" s="31">
        <f> E.1 × E.2/100</f>
        <v/>
      </c>
    </row>
    <row r="67" ht="20" customHeight="1">
      <c r="B67" s="17" t="inlineStr">
        <is>
          <t>E.4   Endekslenmiş Dönem Başı YKT (TL)</t>
        </is>
      </c>
      <c r="C67" s="18">
        <f>C64+C66</f>
        <v/>
      </c>
      <c r="D67" s="31">
        <f> E.1 + E.3</f>
        <v/>
      </c>
    </row>
    <row r="68" ht="6" customHeight="1">
      <c r="A68" s="20" t="n"/>
      <c r="B68" s="20" t="n"/>
      <c r="C68" s="20" t="n"/>
      <c r="D68" s="20" t="n"/>
    </row>
    <row r="69" ht="22" customHeight="1">
      <c r="A69" s="29" t="inlineStr">
        <is>
          <t>BÖLÜM F — KÜMÜLATİF YKT TAKİBİ VE DÖNEM SONUCU</t>
        </is>
      </c>
    </row>
    <row r="70" ht="18" customHeight="1">
      <c r="B70" s="26" t="inlineStr">
        <is>
          <t>F.1   Toplam YKT (TL)</t>
        </is>
      </c>
      <c r="C70" s="39">
        <f>C22</f>
        <v/>
      </c>
      <c r="D70" s="31">
        <f> A.7</f>
        <v/>
      </c>
    </row>
    <row r="71" ht="18" customHeight="1">
      <c r="B71" s="8" t="inlineStr">
        <is>
          <t>F.2   Önceki Dönemler Kümülatif YKT Kullanımı (TL)</t>
        </is>
      </c>
      <c r="C71" s="33" t="n"/>
      <c r="D71" s="31" t="inlineStr">
        <is>
          <t>GİB beyanname / vergi dairesi kayıtlarından alınır</t>
        </is>
      </c>
    </row>
    <row r="72" ht="18" customHeight="1">
      <c r="B72" s="35" t="inlineStr">
        <is>
          <t>F.3   Dönem Başı Kalan YKT (TL)</t>
        </is>
      </c>
      <c r="C72" s="12">
        <f>MAX(0,C70-C71)</f>
        <v/>
      </c>
      <c r="D72" s="31">
        <f> F.1 - F.2</f>
        <v/>
      </c>
    </row>
    <row r="73" ht="18" customHeight="1">
      <c r="B73" s="35" t="inlineStr">
        <is>
          <t>F.4   Bu Dönem Toplam İndirimli Matrah (TL)</t>
        </is>
      </c>
      <c r="C73" s="12">
        <f>C40+C57</f>
        <v/>
      </c>
      <c r="D73" s="31">
        <f> B.10 + D.1</f>
        <v/>
      </c>
    </row>
    <row r="74" ht="18" customHeight="1">
      <c r="B74" s="35" t="inlineStr">
        <is>
          <t>F.5   Bu Dönem Normal KV (TL)</t>
        </is>
      </c>
      <c r="C74" s="12">
        <f>C41+C58</f>
        <v/>
      </c>
      <c r="D74" s="31">
        <f> B.11 + D.2</f>
        <v/>
      </c>
    </row>
    <row r="75" ht="18" customHeight="1">
      <c r="B75" s="35" t="inlineStr">
        <is>
          <t>F.6   Bu Dönem İndirimli KV (TL)</t>
        </is>
      </c>
      <c r="C75" s="12">
        <f>C42+C59</f>
        <v/>
      </c>
      <c r="D75" s="31">
        <f> B.12 + D.3</f>
        <v/>
      </c>
    </row>
    <row r="76" ht="18" customHeight="1">
      <c r="B76" s="26" t="inlineStr">
        <is>
          <t>F.7   Bu Dönem KV Tasarrufu (TL)</t>
        </is>
      </c>
      <c r="C76" s="15">
        <f>C74-C75</f>
        <v/>
      </c>
      <c r="D76" s="31">
        <f> F.5 - F.6</f>
        <v/>
      </c>
    </row>
    <row r="77" ht="18" customHeight="1">
      <c r="B77" s="26" t="inlineStr">
        <is>
          <t>F.8   Bu Dönem YKT Kullanımı (TL)</t>
        </is>
      </c>
      <c r="C77" s="15">
        <f>C43+C60</f>
        <v/>
      </c>
      <c r="D77" s="31">
        <f> B.13 + D.4</f>
        <v/>
      </c>
    </row>
    <row r="78" ht="18" customHeight="1">
      <c r="B78" s="35" t="inlineStr">
        <is>
          <t>F.9   Kontrol (F.7 - F.8 = 0?)</t>
        </is>
      </c>
      <c r="C78" s="12">
        <f>ROUND(C76-C77,2)</f>
        <v/>
      </c>
      <c r="D78" s="31" t="inlineStr">
        <is>
          <t>⚠  0 olmalı. Farklıysa kontrol edin.</t>
        </is>
      </c>
    </row>
    <row r="79" ht="22" customHeight="1">
      <c r="B79" s="17" t="inlineStr">
        <is>
          <t>F.10  Dönem Sonu Kalan YKT (TL) — DEVREDEN</t>
        </is>
      </c>
      <c r="C79" s="18">
        <f>MAX(0,C72-C77)</f>
        <v/>
      </c>
      <c r="D79" s="31">
        <f> MAX(0, F.3 - F.8)  → Bir sonraki döneme devreder</f>
        <v/>
      </c>
    </row>
    <row r="80" ht="18" customHeight="1">
      <c r="B80" s="35" t="inlineStr">
        <is>
          <t>F.11  Kümülatif Kullanım Oranı (%)</t>
        </is>
      </c>
      <c r="C80" s="36">
        <f>IF(C70&gt;0,(C71+C77)/C70*100,0)</f>
        <v/>
      </c>
      <c r="D80" s="31">
        <f> (F.2 + F.8) / F.1 × 100</f>
        <v/>
      </c>
    </row>
    <row r="81" ht="22" customHeight="1">
      <c r="B81" s="26" t="inlineStr">
        <is>
          <t>F.12  YKT Durum Göstergesi</t>
        </is>
      </c>
      <c r="C81" s="40">
        <f>IF(C22=0,"YKT Giriş Eksik",IF(C79&lt;=0,"YKT Tükendi",IF(C77=0,"Bu Dönem Kullanım Yok",IF(C80&gt;=95,"Son Dönem","Devam Ediyor"))))</f>
        <v/>
      </c>
      <c r="D81" s="28" t="inlineStr">
        <is>
          <t>YKT Giriş Eksik / YKT Tükendi / Bu Dönem Kullanım Yok / Son Dönem / Devam Ediyor</t>
        </is>
      </c>
    </row>
    <row r="82" ht="6" customHeight="1">
      <c r="A82" s="20" t="n"/>
      <c r="B82" s="20" t="n"/>
      <c r="C82" s="20" t="n"/>
      <c r="D82" s="20" t="n"/>
    </row>
    <row r="83" ht="22" customHeight="1">
      <c r="A83" s="41" t="inlineStr">
        <is>
          <t>BÖLÜM G — SONUÇ ÖZETİ</t>
        </is>
      </c>
    </row>
    <row r="84" ht="22" customHeight="1">
      <c r="B84" s="17" t="inlineStr">
        <is>
          <t>Bu YTB KV Tasarrufu (TL)</t>
        </is>
      </c>
      <c r="C84" s="18">
        <f>C76</f>
        <v/>
      </c>
      <c r="D84" s="42" t="n"/>
    </row>
    <row r="85" ht="22" customHeight="1">
      <c r="B85" s="17" t="inlineStr">
        <is>
          <t>Kalan YKT — Devreden (TL)</t>
        </is>
      </c>
      <c r="C85" s="18">
        <f>C79</f>
        <v/>
      </c>
      <c r="D85" s="42" t="n"/>
    </row>
    <row r="86" ht="22" customHeight="1">
      <c r="B86" s="17" t="inlineStr">
        <is>
          <t>YKT Kullanım Durumu</t>
        </is>
      </c>
      <c r="C86" s="18">
        <f>C81</f>
        <v/>
      </c>
      <c r="D86" s="42" t="n"/>
    </row>
    <row r="87" ht="6" customHeight="1">
      <c r="A87" s="20" t="n"/>
      <c r="B87" s="20" t="n"/>
      <c r="C87" s="20" t="n"/>
      <c r="D87" s="20" t="n"/>
    </row>
  </sheetData>
  <mergeCells count="16">
    <mergeCell ref="A45:D45"/>
    <mergeCell ref="A56:D56"/>
    <mergeCell ref="A69:D69"/>
    <mergeCell ref="A83:D83"/>
    <mergeCell ref="A4:D4"/>
    <mergeCell ref="A62:D62"/>
    <mergeCell ref="A30:D30"/>
    <mergeCell ref="D86"/>
    <mergeCell ref="A55:D55"/>
    <mergeCell ref="A15:D15"/>
    <mergeCell ref="A29:D29"/>
    <mergeCell ref="A2:D2"/>
    <mergeCell ref="A63:D63"/>
    <mergeCell ref="D85"/>
    <mergeCell ref="D84"/>
    <mergeCell ref="A46:D46"/>
  </mergeCells>
  <dataValidations count="5">
    <dataValidation sqref="C5 C6 C7 C8 C9 C10 C11 C12" showDropDown="0" showInputMessage="0" showErrorMessage="0" allowBlank="1" type="list">
      <formula1>"EVET,HAYIR"</formula1>
    </dataValidation>
    <dataValidation sqref="C18" showDropDown="0" showInputMessage="0" showErrorMessage="0" allowBlank="1" type="list">
      <formula1>"1,2,3,4,5,6"</formula1>
    </dataValidation>
    <dataValidation sqref="C19" showDropDown="0" showInputMessage="0" showErrorMessage="0" allowBlank="1" type="list">
      <formula1>"Komple Yeni,Tevsi,Modernizasyon,Diğer"</formula1>
    </dataValidation>
    <dataValidation sqref="C26" showDropDown="0" showInputMessage="0" showErrorMessage="0" allowBlank="1" type="list">
      <formula1>"Yatırım Döneminde,İşletme Döneminde,Tamamlandı-İşletme Devam"</formula1>
    </dataValidation>
    <dataValidation sqref="C47" showDropDown="0" showInputMessage="0" showErrorMessage="0" allowBlank="1" type="list">
      <formula1>"Gerçek Usul,Götürü - Oransal"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38" customWidth="1" min="4" max="4"/>
  </cols>
  <sheetData>
    <row r="1" ht="4" customHeight="1">
      <c r="A1" s="20" t="inlineStr">
        <is>
          <t>YTB-2</t>
        </is>
      </c>
      <c r="B1" s="20" t="n"/>
      <c r="C1" s="20" t="n"/>
      <c r="D1" s="20" t="n"/>
    </row>
    <row r="2" ht="34" customHeight="1">
      <c r="A2" s="21" t="inlineStr">
        <is>
          <t>YTB-2  —  KVK Md.32/A İndirimli KV Çalışma Kağıdı</t>
        </is>
      </c>
    </row>
    <row r="3" ht="4" customHeight="1">
      <c r="A3" s="22">
        <f>C16</f>
        <v/>
      </c>
      <c r="B3" s="20" t="n"/>
      <c r="C3" s="20" t="n"/>
      <c r="D3" s="20" t="n"/>
    </row>
    <row r="4" ht="22" customHeight="1">
      <c r="A4" s="23">
        <f>C26</f>
        <v/>
      </c>
    </row>
    <row r="5" ht="18" customHeight="1">
      <c r="A5" s="24">
        <f>C20</f>
        <v/>
      </c>
      <c r="B5" s="8" t="inlineStr">
        <is>
          <t>A0.1  YTB geçerli mi? (İptal veya revize edilmemiş)</t>
        </is>
      </c>
      <c r="C5" s="9" t="inlineStr"/>
      <c r="D5" s="25" t="inlineStr">
        <is>
          <t>EVET veya HAYIR seçin</t>
        </is>
      </c>
    </row>
    <row r="6" ht="18" customHeight="1">
      <c r="A6" s="24">
        <f>C22</f>
        <v/>
      </c>
      <c r="B6" s="8" t="inlineStr">
        <is>
          <t>A0.2  Sektör uygun mu? (Finans/sigorta/adi ortaklık değil)</t>
        </is>
      </c>
      <c r="C6" s="9" t="inlineStr"/>
      <c r="D6" s="25" t="inlineStr">
        <is>
          <t>EVET veya HAYIR seçin</t>
        </is>
      </c>
    </row>
    <row r="7" ht="18" customHeight="1">
      <c r="A7" s="24">
        <f>C71</f>
        <v/>
      </c>
      <c r="B7" s="8" t="inlineStr">
        <is>
          <t>A0.3  Bu YTB'den elde edilen kazanç bu YTB'ye mi uygulanıyor?</t>
        </is>
      </c>
      <c r="C7" s="9" t="inlineStr"/>
      <c r="D7" s="25" t="inlineStr">
        <is>
          <t>EVET veya HAYIR seçin</t>
        </is>
      </c>
    </row>
    <row r="8" ht="18" customHeight="1">
      <c r="A8" s="24">
        <f>C77</f>
        <v/>
      </c>
      <c r="B8" s="8" t="inlineStr">
        <is>
          <t>A0.4  Yatırım/işletme dönemi doğru tespit edildi mi?</t>
        </is>
      </c>
      <c r="C8" s="9" t="inlineStr"/>
      <c r="D8" s="25" t="inlineStr">
        <is>
          <t>EVET veya HAYIR seçin</t>
        </is>
      </c>
    </row>
    <row r="9" ht="18" customHeight="1">
      <c r="A9" s="24">
        <f>C76</f>
        <v/>
      </c>
      <c r="B9" s="8" t="inlineStr">
        <is>
          <t>A0.5  Önceki dönem YKT kümülatif kullanımı doğru girildi mi?</t>
        </is>
      </c>
      <c r="C9" s="9" t="inlineStr"/>
      <c r="D9" s="25" t="inlineStr">
        <is>
          <t>EVET veya HAYIR seçin</t>
        </is>
      </c>
    </row>
    <row r="10" ht="18" customHeight="1">
      <c r="A10" s="24">
        <f>C79</f>
        <v/>
      </c>
      <c r="B10" s="8" t="inlineStr">
        <is>
          <t>A0.6  Çapraz YTB YKT uygulaması yok mu?</t>
        </is>
      </c>
      <c r="C10" s="9" t="inlineStr"/>
      <c r="D10" s="25" t="inlineStr">
        <is>
          <t>EVET veya HAYIR seçin</t>
        </is>
      </c>
    </row>
    <row r="11" ht="18" customHeight="1">
      <c r="B11" s="8" t="inlineStr">
        <is>
          <t>A0.7  YİAKV uyarlaması değerlendirildi mi?</t>
        </is>
      </c>
      <c r="C11" s="9" t="inlineStr"/>
      <c r="D11" s="25" t="inlineStr">
        <is>
          <t>EVET veya HAYIR seçin</t>
        </is>
      </c>
    </row>
    <row r="12" ht="18" customHeight="1">
      <c r="B12" s="8" t="inlineStr">
        <is>
          <t>A0.8  YMM raporu yükümlülüğü kontrol edildi mi?</t>
        </is>
      </c>
      <c r="C12" s="9" t="inlineStr"/>
      <c r="D12" s="25" t="inlineStr">
        <is>
          <t>EVET veya HAYIR seçin</t>
        </is>
      </c>
    </row>
    <row r="13" ht="22" customHeight="1">
      <c r="B13" s="26" t="inlineStr">
        <is>
          <t>A0.9  Ön Koşul Sonucu</t>
        </is>
      </c>
      <c r="C13" s="27">
        <f>IF(AND(C5="EVET",C6="EVET",C7="EVET",C8="EVET",C9="EVET",C10="EVET",C11="EVET",C12="EVET"),"✓ Hesaplanabilir","✗ Ön Koşul Eksik")</f>
        <v/>
      </c>
      <c r="D13" s="28" t="inlineStr">
        <is>
          <t>Tüm koşullar EVET ise hesaplama yapılabilir</t>
        </is>
      </c>
    </row>
    <row r="14" ht="6" customHeight="1">
      <c r="A14" s="20" t="n"/>
      <c r="B14" s="20" t="n"/>
      <c r="C14" s="20" t="n"/>
      <c r="D14" s="20" t="n"/>
    </row>
    <row r="15" ht="22" customHeight="1">
      <c r="A15" s="29" t="inlineStr">
        <is>
          <t>BÖLÜM A — YTB KİMLİK BİLGİLERİ (Girdi)</t>
        </is>
      </c>
    </row>
    <row r="16" ht="18" customHeight="1">
      <c r="B16" s="8" t="inlineStr">
        <is>
          <t>A.1   YTB Numarası</t>
        </is>
      </c>
      <c r="C16" s="30" t="n"/>
      <c r="D16" s="31" t="inlineStr">
        <is>
          <t>Örn: 2023/B-123456</t>
        </is>
      </c>
    </row>
    <row r="17" ht="18" customHeight="1">
      <c r="B17" s="8" t="inlineStr">
        <is>
          <t>A.2   YTB Düzenleme Tarihi</t>
        </is>
      </c>
      <c r="C17" s="32" t="n"/>
      <c r="D17" s="31" t="inlineStr">
        <is>
          <t>GG.AA.YYYY formatında</t>
        </is>
      </c>
    </row>
    <row r="18" ht="18" customHeight="1">
      <c r="B18" s="8" t="inlineStr">
        <is>
          <t>A.3   Yatırım Bölgesi (1-6)</t>
        </is>
      </c>
      <c r="C18" s="30" t="n"/>
      <c r="D18" s="31" t="inlineStr">
        <is>
          <t>Bölge1→0% / Bölge2→10% / Bölge3→20% / Bölge4→30% / Bölge5→50% / Bölge6→80%</t>
        </is>
      </c>
    </row>
    <row r="19" ht="18" customHeight="1">
      <c r="B19" s="8" t="inlineStr">
        <is>
          <t>A.4   Yatırım Türü</t>
        </is>
      </c>
      <c r="C19" s="30" t="n"/>
      <c r="D19" s="31" t="inlineStr">
        <is>
          <t>Komple Yeni / Tevsi / Modernizasyon / Diğer</t>
        </is>
      </c>
    </row>
    <row r="20" ht="18" customHeight="1">
      <c r="B20" s="8" t="inlineStr">
        <is>
          <t>A.5   Toplam Yatırım Tutarı (TL)</t>
        </is>
      </c>
      <c r="C20" s="33" t="n"/>
      <c r="D20" s="31" t="inlineStr">
        <is>
          <t>YTB'de belirtilen toplam yatırım tutarı</t>
        </is>
      </c>
    </row>
    <row r="21" ht="18" customHeight="1">
      <c r="B21" s="8" t="inlineStr">
        <is>
          <t>A.6   YKT Oranı (%)</t>
        </is>
      </c>
      <c r="C21" s="34" t="n"/>
      <c r="D21" s="31" t="inlineStr">
        <is>
          <t>YTB'den gelen yatırıma katkı oranı</t>
        </is>
      </c>
    </row>
    <row r="22" ht="18" customHeight="1">
      <c r="B22" s="35" t="inlineStr">
        <is>
          <t>A.7   YKT Tutarı (TL)</t>
        </is>
      </c>
      <c r="C22" s="12">
        <f>IF(C20*C21/100=0,0,C20*C21/100)</f>
        <v/>
      </c>
      <c r="D22" s="31">
        <f> A.5 × A.6 / 100</f>
        <v/>
      </c>
    </row>
    <row r="23" ht="18" customHeight="1">
      <c r="B23" s="8" t="inlineStr">
        <is>
          <t>A.8   Vergi İndirim Oranı (%)</t>
        </is>
      </c>
      <c r="C23" s="34" t="n"/>
      <c r="D23" s="31" t="inlineStr">
        <is>
          <t>YTB'den gelen vergi indirimi oranı</t>
        </is>
      </c>
    </row>
    <row r="24" ht="18" customHeight="1">
      <c r="B24" s="8" t="inlineStr">
        <is>
          <t>A.9   Normal KV Oranı (%)</t>
        </is>
      </c>
      <c r="C24" s="34" t="n">
        <v>25</v>
      </c>
      <c r="D24" s="31" t="inlineStr">
        <is>
          <t>Varsayılan 25 (2024+); daha önce 20</t>
        </is>
      </c>
    </row>
    <row r="25" ht="18" customHeight="1">
      <c r="B25" s="35" t="inlineStr">
        <is>
          <t>A.10  İndirimli KV Oranı (%)</t>
        </is>
      </c>
      <c r="C25" s="36">
        <f>C24*(1-C23/100)</f>
        <v/>
      </c>
      <c r="D25" s="31">
        <f> A.9 × (1 - A.8/100)</f>
        <v/>
      </c>
    </row>
    <row r="26" ht="18" customHeight="1">
      <c r="B26" s="8" t="inlineStr">
        <is>
          <t>A.11  Dönem Durumu</t>
        </is>
      </c>
      <c r="C26" s="30" t="n"/>
      <c r="D26" s="31" t="inlineStr">
        <is>
          <t>Yatırım / İşletme / Tamamlandı-İşletme Devam</t>
        </is>
      </c>
    </row>
    <row r="27" ht="18" customHeight="1">
      <c r="B27" s="8" t="inlineStr">
        <is>
          <t>A.12  Tamamlama Vizesi Tarihi (Opsiyonel)</t>
        </is>
      </c>
      <c r="C27" s="32" t="n"/>
      <c r="D27" s="31" t="inlineStr">
        <is>
          <t>İşletme dönemine geçişi belgeleyiniz</t>
        </is>
      </c>
    </row>
    <row r="28" ht="6" customHeight="1">
      <c r="A28" s="20" t="n"/>
      <c r="B28" s="20" t="n"/>
      <c r="C28" s="20" t="n"/>
      <c r="D28" s="20" t="n"/>
    </row>
    <row r="29" ht="22" customHeight="1">
      <c r="A29" s="4" t="inlineStr">
        <is>
          <t>BÖLÜM B — YATIRIM DÖNEMİNDE DİĞER FAALİYET KAZANCI İNDİRİMİ</t>
        </is>
      </c>
    </row>
    <row r="30" ht="20" customHeight="1">
      <c r="A30" s="19" t="inlineStr">
        <is>
          <t>⚠  Bu bölüm yalnızca A.11 = "Yatırım Döneminde" ise uygulanır. İşletme dönemindeyse Bölüm D kullanınız.</t>
        </is>
      </c>
    </row>
    <row r="31" ht="18" customHeight="1">
      <c r="B31" s="8" t="inlineStr">
        <is>
          <t>B.1   Dönem Başı Kümülatif Yatırım Harcaması (TL)</t>
        </is>
      </c>
      <c r="C31" s="33" t="n"/>
      <c r="D31" s="31" t="inlineStr">
        <is>
          <t>Önceki dönemlerde yapılan yatırım harcamaları toplamı</t>
        </is>
      </c>
    </row>
    <row r="32" ht="18" customHeight="1">
      <c r="B32" s="8" t="inlineStr">
        <is>
          <t>B.2   Bu Dönem Yatırım Harcaması (TL)</t>
        </is>
      </c>
      <c r="C32" s="33" t="n"/>
      <c r="D32" s="31" t="inlineStr">
        <is>
          <t>Cari dönemde gerçekleşen yatırım harcaması</t>
        </is>
      </c>
    </row>
    <row r="33" ht="18" customHeight="1">
      <c r="B33" s="35" t="inlineStr">
        <is>
          <t>B.3   Kümülatif Toplam Harcama (TL)</t>
        </is>
      </c>
      <c r="C33" s="12">
        <f>C31+C32</f>
        <v/>
      </c>
      <c r="D33" s="31">
        <f> B.1 + B.2</f>
        <v/>
      </c>
    </row>
    <row r="34" ht="18" customHeight="1">
      <c r="B34" s="35" t="inlineStr">
        <is>
          <t>B.4   Bölge Limit Oranı (%)</t>
        </is>
      </c>
      <c r="C34" s="36">
        <f>SWITCH(C18,1,0,2,10,3,20,4,30,5,50,6,80,0)</f>
        <v/>
      </c>
      <c r="D34" s="31" t="inlineStr">
        <is>
          <t>Bölgeye göre otomatik: B1→0, B2→10, B3→20, B4→30, B5→50, B6→80</t>
        </is>
      </c>
    </row>
    <row r="35" ht="18" customHeight="1">
      <c r="B35" s="35" t="inlineStr">
        <is>
          <t>B.5   YKT × Bölge Limiti (TL)</t>
        </is>
      </c>
      <c r="C35" s="12">
        <f>C22*C34/100</f>
        <v/>
      </c>
      <c r="D35" s="31">
        <f> A.7 × B.4 / 100</f>
        <v/>
      </c>
    </row>
    <row r="36" ht="18" customHeight="1">
      <c r="B36" s="35" t="inlineStr">
        <is>
          <t>B.6   Azami Kullanılabilir Limit (TL)</t>
        </is>
      </c>
      <c r="C36" s="12">
        <f>MIN(C35,C33)</f>
        <v/>
      </c>
      <c r="D36" s="31">
        <f> MIN(B.5, B.3)</f>
        <v/>
      </c>
    </row>
    <row r="37" ht="18" customHeight="1">
      <c r="B37" s="8" t="inlineStr">
        <is>
          <t>B.7   Önceki Dönemler Kümülatif YKT Kullanımı (TL)</t>
        </is>
      </c>
      <c r="C37" s="33" t="n"/>
      <c r="D37" s="31" t="inlineStr">
        <is>
          <t>Bir önceki yıl beyannamesinden alınır</t>
        </is>
      </c>
    </row>
    <row r="38" ht="18" customHeight="1">
      <c r="B38" s="35" t="inlineStr">
        <is>
          <t>B.8   Bu Dönem Kullanılabilir YKT (TL)</t>
        </is>
      </c>
      <c r="C38" s="12">
        <f>MAX(0,C36-C37)</f>
        <v/>
      </c>
      <c r="D38" s="31">
        <f> MAX(0, B.6 - B.7)</f>
        <v/>
      </c>
    </row>
    <row r="39" ht="18" customHeight="1">
      <c r="B39" s="8" t="inlineStr">
        <is>
          <t>B.9   Diğer Faaliyet Kazancı Matrahı (TL)</t>
        </is>
      </c>
      <c r="C39" s="33" t="n"/>
      <c r="D39" s="31" t="inlineStr">
        <is>
          <t>Yatırım dönemi diğer faaliyet kazancı</t>
        </is>
      </c>
    </row>
    <row r="40" ht="18" customHeight="1">
      <c r="B40" s="35" t="inlineStr">
        <is>
          <t>B.10  İndirimli Matrah — Yatırım Dönemi (TL)</t>
        </is>
      </c>
      <c r="C40" s="12">
        <f>IF(C39&gt;0,MIN(C39,IF(C24&gt;0,C38/(C24/100),0)),0)</f>
        <v/>
      </c>
      <c r="D40" s="31">
        <f> MIN(B.9, B.8 / (A.9/100)) — max indirimli matrah</f>
        <v/>
      </c>
    </row>
    <row r="41" ht="18" customHeight="1">
      <c r="B41" s="35" t="inlineStr">
        <is>
          <t>B.11  Normal KV (TL)</t>
        </is>
      </c>
      <c r="C41" s="12">
        <f>C40*C24/100</f>
        <v/>
      </c>
      <c r="D41" s="31">
        <f> B.10 × A.9/100</f>
        <v/>
      </c>
    </row>
    <row r="42" ht="18" customHeight="1">
      <c r="B42" s="35" t="inlineStr">
        <is>
          <t>B.12  İndirimli KV (TL)</t>
        </is>
      </c>
      <c r="C42" s="12">
        <f>C40*C25/100</f>
        <v/>
      </c>
      <c r="D42" s="31">
        <f> B.10 × A.10/100</f>
        <v/>
      </c>
    </row>
    <row r="43" ht="20" customHeight="1">
      <c r="B43" s="17" t="inlineStr">
        <is>
          <t>B.13  KV Tasarrufu — Yatırım Dönemi (TL)</t>
        </is>
      </c>
      <c r="C43" s="18">
        <f>C41-C42</f>
        <v/>
      </c>
      <c r="D43" s="31">
        <f> B.11 - B.12  (Bu YTB için YKT kullanımı)</f>
        <v/>
      </c>
    </row>
    <row r="44" ht="6" customHeight="1">
      <c r="A44" s="20" t="n"/>
      <c r="B44" s="20" t="n"/>
      <c r="C44" s="20" t="n"/>
      <c r="D44" s="20" t="n"/>
    </row>
    <row r="45" ht="22" customHeight="1">
      <c r="A45" s="4" t="inlineStr">
        <is>
          <t>BÖLÜM C — TEVSİ YATIRIMLARDA KAZANÇ TESPİTİ</t>
        </is>
      </c>
    </row>
    <row r="46" ht="20" customHeight="1">
      <c r="A46" s="19" t="inlineStr">
        <is>
          <t>⚠  Bu bölüm yalnızca A.4 = "Tevsi" ise uygulanır.</t>
        </is>
      </c>
    </row>
    <row r="47" ht="18" customHeight="1">
      <c r="B47" s="8" t="inlineStr">
        <is>
          <t>C.1   Kazanç Tespit Yöntemi</t>
        </is>
      </c>
      <c r="C47" s="30" t="n"/>
      <c r="D47" s="31" t="inlineStr">
        <is>
          <t>Gerçek Usul veya Götürü - Oransal</t>
        </is>
      </c>
    </row>
    <row r="48" ht="18" customHeight="1">
      <c r="B48" s="8" t="inlineStr">
        <is>
          <t>C.2   YTB Kapsamı ATİK Değeri — Dönem Sonu (TL)</t>
        </is>
      </c>
      <c r="C48" s="33" t="n"/>
      <c r="D48" s="31" t="inlineStr">
        <is>
          <t>Yeniden değerlenmiş, tevsi yatırımına ait ATİK toplamı</t>
        </is>
      </c>
    </row>
    <row r="49" ht="18" customHeight="1">
      <c r="B49" s="8" t="inlineStr">
        <is>
          <t>C.3   Toplam ATİK Değeri — Dönem Sonu (TL)</t>
        </is>
      </c>
      <c r="C49" s="33" t="n"/>
      <c r="D49" s="31" t="inlineStr">
        <is>
          <t>Tüm faaliyetlere ait ATİK toplamı</t>
        </is>
      </c>
    </row>
    <row r="50" ht="18" customHeight="1">
      <c r="B50" s="35" t="inlineStr">
        <is>
          <t>C.4   Götürü Oran</t>
        </is>
      </c>
      <c r="C50" s="37">
        <f>IF(C49&gt;0,C48/C49,0)</f>
        <v/>
      </c>
      <c r="D50" s="31">
        <f> C.2 / C.3</f>
        <v/>
      </c>
    </row>
    <row r="51" ht="18" customHeight="1">
      <c r="B51" s="8" t="inlineStr">
        <is>
          <t>C.5   Dönem KV Matrahı — Tüm Faaliyetler (TL)</t>
        </is>
      </c>
      <c r="C51" s="33" t="n"/>
      <c r="D51" s="31" t="inlineStr">
        <is>
          <t>Tüm faaliyetler için hesaplanan KV matrahı</t>
        </is>
      </c>
    </row>
    <row r="52" ht="18" customHeight="1">
      <c r="B52" s="8" t="inlineStr">
        <is>
          <t>C.6   Gerçek Usul Tevsi Kazancı (TL)</t>
        </is>
      </c>
      <c r="C52" s="33" t="n"/>
      <c r="D52" s="31" t="inlineStr">
        <is>
          <t>Sadece gerçek usulde: doğrudan tespit edilen tevsi kazancı</t>
        </is>
      </c>
    </row>
    <row r="53" ht="18" customHeight="1">
      <c r="B53" s="35" t="inlineStr">
        <is>
          <t>C.7   Tevsi İndirimli Matrah (TL)</t>
        </is>
      </c>
      <c r="C53" s="12">
        <f>IF(C47="Götürü - Oransal",C51*C50,C52)</f>
        <v/>
      </c>
      <c r="D53" s="31">
        <f> Götürü: C.5×C.4   /   Gerçek: C.6</f>
        <v/>
      </c>
    </row>
    <row r="54" ht="6" customHeight="1">
      <c r="A54" s="20" t="n"/>
      <c r="B54" s="20" t="n"/>
      <c r="C54" s="20" t="n"/>
      <c r="D54" s="20" t="n"/>
    </row>
    <row r="55" ht="22" customHeight="1">
      <c r="A55" s="4" t="inlineStr">
        <is>
          <t>BÖLÜM D — İŞLETME DÖNEMİNDE BU YTB'DEN KAZANÇ</t>
        </is>
      </c>
    </row>
    <row r="56" ht="20" customHeight="1">
      <c r="A56" s="38" t="inlineStr">
        <is>
          <t>ℹ  İşletme döneminde D.1 değerini girin. Tevsi yatırımında C.7 otomatik yansıtılır.</t>
        </is>
      </c>
    </row>
    <row r="57" ht="18" customHeight="1">
      <c r="B57" s="8" t="inlineStr">
        <is>
          <t>D.1   Bu YTB'den Elde Edilen Kazanç Matrahı (TL)</t>
        </is>
      </c>
      <c r="C57" s="33" t="n"/>
      <c r="D57" s="31" t="inlineStr">
        <is>
          <t>Tevsi ise C.7 değerini buraya kopyalayabilirsiniz: =C53</t>
        </is>
      </c>
    </row>
    <row r="58" ht="18" customHeight="1">
      <c r="B58" s="35" t="inlineStr">
        <is>
          <t>D.2   Normal KV (TL)</t>
        </is>
      </c>
      <c r="C58" s="12">
        <f>C57*C24/100</f>
        <v/>
      </c>
      <c r="D58" s="31">
        <f> D.1 × A.9/100</f>
        <v/>
      </c>
    </row>
    <row r="59" ht="18" customHeight="1">
      <c r="B59" s="35" t="inlineStr">
        <is>
          <t>D.3   İndirimli KV (TL)</t>
        </is>
      </c>
      <c r="C59" s="12">
        <f>C57*C25/100</f>
        <v/>
      </c>
      <c r="D59" s="31">
        <f> D.1 × A.10/100</f>
        <v/>
      </c>
    </row>
    <row r="60" ht="20" customHeight="1">
      <c r="B60" s="17" t="inlineStr">
        <is>
          <t>D.4   KV Tasarrufu — İşletme Dönemi (TL)</t>
        </is>
      </c>
      <c r="C60" s="18">
        <f>C58-C59</f>
        <v/>
      </c>
      <c r="D60" s="31">
        <f> D.2 - D.3</f>
        <v/>
      </c>
    </row>
    <row r="61" ht="6" customHeight="1">
      <c r="A61" s="20" t="n"/>
      <c r="B61" s="20" t="n"/>
      <c r="C61" s="20" t="n"/>
      <c r="D61" s="20" t="n"/>
    </row>
    <row r="62" ht="22" customHeight="1">
      <c r="A62" s="4" t="inlineStr">
        <is>
          <t>BÖLÜM E — YDO ENDEKSLEMESİ (Tamamlama Sonrası)</t>
        </is>
      </c>
    </row>
    <row r="63" ht="20" customHeight="1">
      <c r="A63" s="38" t="inlineStr">
        <is>
          <t>ℹ  Tamamlama vizesi alındıktan sonra kalan YKT YDO ile endekslenir. 2024: %63,93 — 2025: %3,30</t>
        </is>
      </c>
    </row>
    <row r="64" ht="18" customHeight="1">
      <c r="B64" s="8" t="inlineStr">
        <is>
          <t>E.1   Dönem Başı Kalan YKT (TL)</t>
        </is>
      </c>
      <c r="C64" s="33" t="n"/>
      <c r="D64" s="31" t="inlineStr">
        <is>
          <t>Tamamlama vizesi sonrası dönem başındaki bakiye YKT</t>
        </is>
      </c>
    </row>
    <row r="65" ht="18" customHeight="1">
      <c r="B65" s="8" t="inlineStr">
        <is>
          <t>E.2   YDO Oranı (%)</t>
        </is>
      </c>
      <c r="C65" s="34" t="n"/>
      <c r="D65" s="31" t="inlineStr">
        <is>
          <t>2024: 63,93% — 2025: 3,30% — Hazine açıklaması izleyin</t>
        </is>
      </c>
    </row>
    <row r="66" ht="18" customHeight="1">
      <c r="B66" s="35" t="inlineStr">
        <is>
          <t>E.3   YDO Artışı (TL)</t>
        </is>
      </c>
      <c r="C66" s="12">
        <f>C64*C65/100</f>
        <v/>
      </c>
      <c r="D66" s="31">
        <f> E.1 × E.2/100</f>
        <v/>
      </c>
    </row>
    <row r="67" ht="20" customHeight="1">
      <c r="B67" s="17" t="inlineStr">
        <is>
          <t>E.4   Endekslenmiş Dönem Başı YKT (TL)</t>
        </is>
      </c>
      <c r="C67" s="18">
        <f>C64+C66</f>
        <v/>
      </c>
      <c r="D67" s="31">
        <f> E.1 + E.3</f>
        <v/>
      </c>
    </row>
    <row r="68" ht="6" customHeight="1">
      <c r="A68" s="20" t="n"/>
      <c r="B68" s="20" t="n"/>
      <c r="C68" s="20" t="n"/>
      <c r="D68" s="20" t="n"/>
    </row>
    <row r="69" ht="22" customHeight="1">
      <c r="A69" s="29" t="inlineStr">
        <is>
          <t>BÖLÜM F — KÜMÜLATİF YKT TAKİBİ VE DÖNEM SONUCU</t>
        </is>
      </c>
    </row>
    <row r="70" ht="18" customHeight="1">
      <c r="B70" s="26" t="inlineStr">
        <is>
          <t>F.1   Toplam YKT (TL)</t>
        </is>
      </c>
      <c r="C70" s="39">
        <f>C22</f>
        <v/>
      </c>
      <c r="D70" s="31">
        <f> A.7</f>
        <v/>
      </c>
    </row>
    <row r="71" ht="18" customHeight="1">
      <c r="B71" s="8" t="inlineStr">
        <is>
          <t>F.2   Önceki Dönemler Kümülatif YKT Kullanımı (TL)</t>
        </is>
      </c>
      <c r="C71" s="33" t="n"/>
      <c r="D71" s="31" t="inlineStr">
        <is>
          <t>GİB beyanname / vergi dairesi kayıtlarından alınır</t>
        </is>
      </c>
    </row>
    <row r="72" ht="18" customHeight="1">
      <c r="B72" s="35" t="inlineStr">
        <is>
          <t>F.3   Dönem Başı Kalan YKT (TL)</t>
        </is>
      </c>
      <c r="C72" s="12">
        <f>MAX(0,C70-C71)</f>
        <v/>
      </c>
      <c r="D72" s="31">
        <f> F.1 - F.2</f>
        <v/>
      </c>
    </row>
    <row r="73" ht="18" customHeight="1">
      <c r="B73" s="35" t="inlineStr">
        <is>
          <t>F.4   Bu Dönem Toplam İndirimli Matrah (TL)</t>
        </is>
      </c>
      <c r="C73" s="12">
        <f>C40+C57</f>
        <v/>
      </c>
      <c r="D73" s="31">
        <f> B.10 + D.1</f>
        <v/>
      </c>
    </row>
    <row r="74" ht="18" customHeight="1">
      <c r="B74" s="35" t="inlineStr">
        <is>
          <t>F.5   Bu Dönem Normal KV (TL)</t>
        </is>
      </c>
      <c r="C74" s="12">
        <f>C41+C58</f>
        <v/>
      </c>
      <c r="D74" s="31">
        <f> B.11 + D.2</f>
        <v/>
      </c>
    </row>
    <row r="75" ht="18" customHeight="1">
      <c r="B75" s="35" t="inlineStr">
        <is>
          <t>F.6   Bu Dönem İndirimli KV (TL)</t>
        </is>
      </c>
      <c r="C75" s="12">
        <f>C42+C59</f>
        <v/>
      </c>
      <c r="D75" s="31">
        <f> B.12 + D.3</f>
        <v/>
      </c>
    </row>
    <row r="76" ht="18" customHeight="1">
      <c r="B76" s="26" t="inlineStr">
        <is>
          <t>F.7   Bu Dönem KV Tasarrufu (TL)</t>
        </is>
      </c>
      <c r="C76" s="15">
        <f>C74-C75</f>
        <v/>
      </c>
      <c r="D76" s="31">
        <f> F.5 - F.6</f>
        <v/>
      </c>
    </row>
    <row r="77" ht="18" customHeight="1">
      <c r="B77" s="26" t="inlineStr">
        <is>
          <t>F.8   Bu Dönem YKT Kullanımı (TL)</t>
        </is>
      </c>
      <c r="C77" s="15">
        <f>C43+C60</f>
        <v/>
      </c>
      <c r="D77" s="31">
        <f> B.13 + D.4</f>
        <v/>
      </c>
    </row>
    <row r="78" ht="18" customHeight="1">
      <c r="B78" s="35" t="inlineStr">
        <is>
          <t>F.9   Kontrol (F.7 - F.8 = 0?)</t>
        </is>
      </c>
      <c r="C78" s="12">
        <f>ROUND(C76-C77,2)</f>
        <v/>
      </c>
      <c r="D78" s="31" t="inlineStr">
        <is>
          <t>⚠  0 olmalı. Farklıysa kontrol edin.</t>
        </is>
      </c>
    </row>
    <row r="79" ht="22" customHeight="1">
      <c r="B79" s="17" t="inlineStr">
        <is>
          <t>F.10  Dönem Sonu Kalan YKT (TL) — DEVREDEN</t>
        </is>
      </c>
      <c r="C79" s="18">
        <f>MAX(0,C72-C77)</f>
        <v/>
      </c>
      <c r="D79" s="31">
        <f> MAX(0, F.3 - F.8)  → Bir sonraki döneme devreder</f>
        <v/>
      </c>
    </row>
    <row r="80" ht="18" customHeight="1">
      <c r="B80" s="35" t="inlineStr">
        <is>
          <t>F.11  Kümülatif Kullanım Oranı (%)</t>
        </is>
      </c>
      <c r="C80" s="36">
        <f>IF(C70&gt;0,(C71+C77)/C70*100,0)</f>
        <v/>
      </c>
      <c r="D80" s="31">
        <f> (F.2 + F.8) / F.1 × 100</f>
        <v/>
      </c>
    </row>
    <row r="81" ht="22" customHeight="1">
      <c r="B81" s="26" t="inlineStr">
        <is>
          <t>F.12  YKT Durum Göstergesi</t>
        </is>
      </c>
      <c r="C81" s="40">
        <f>IF(C22=0,"YKT Giriş Eksik",IF(C79&lt;=0,"YKT Tükendi",IF(C77=0,"Bu Dönem Kullanım Yok",IF(C80&gt;=95,"Son Dönem","Devam Ediyor"))))</f>
        <v/>
      </c>
      <c r="D81" s="28" t="inlineStr">
        <is>
          <t>YKT Giriş Eksik / YKT Tükendi / Bu Dönem Kullanım Yok / Son Dönem / Devam Ediyor</t>
        </is>
      </c>
    </row>
    <row r="82" ht="6" customHeight="1">
      <c r="A82" s="20" t="n"/>
      <c r="B82" s="20" t="n"/>
      <c r="C82" s="20" t="n"/>
      <c r="D82" s="20" t="n"/>
    </row>
    <row r="83" ht="22" customHeight="1">
      <c r="A83" s="41" t="inlineStr">
        <is>
          <t>BÖLÜM G — SONUÇ ÖZETİ</t>
        </is>
      </c>
    </row>
    <row r="84" ht="22" customHeight="1">
      <c r="B84" s="17" t="inlineStr">
        <is>
          <t>Bu YTB KV Tasarrufu (TL)</t>
        </is>
      </c>
      <c r="C84" s="18">
        <f>C76</f>
        <v/>
      </c>
      <c r="D84" s="42" t="n"/>
    </row>
    <row r="85" ht="22" customHeight="1">
      <c r="B85" s="17" t="inlineStr">
        <is>
          <t>Kalan YKT — Devreden (TL)</t>
        </is>
      </c>
      <c r="C85" s="18">
        <f>C79</f>
        <v/>
      </c>
      <c r="D85" s="42" t="n"/>
    </row>
    <row r="86" ht="22" customHeight="1">
      <c r="B86" s="17" t="inlineStr">
        <is>
          <t>YKT Kullanım Durumu</t>
        </is>
      </c>
      <c r="C86" s="18">
        <f>C81</f>
        <v/>
      </c>
      <c r="D86" s="42" t="n"/>
    </row>
    <row r="87" ht="6" customHeight="1">
      <c r="A87" s="20" t="n"/>
      <c r="B87" s="20" t="n"/>
      <c r="C87" s="20" t="n"/>
      <c r="D87" s="20" t="n"/>
    </row>
  </sheetData>
  <mergeCells count="16">
    <mergeCell ref="A45:D45"/>
    <mergeCell ref="A56:D56"/>
    <mergeCell ref="A69:D69"/>
    <mergeCell ref="A83:D83"/>
    <mergeCell ref="A4:D4"/>
    <mergeCell ref="A62:D62"/>
    <mergeCell ref="A30:D30"/>
    <mergeCell ref="D86"/>
    <mergeCell ref="A55:D55"/>
    <mergeCell ref="A15:D15"/>
    <mergeCell ref="A29:D29"/>
    <mergeCell ref="A2:D2"/>
    <mergeCell ref="A63:D63"/>
    <mergeCell ref="D85"/>
    <mergeCell ref="D84"/>
    <mergeCell ref="A46:D46"/>
  </mergeCells>
  <dataValidations count="5">
    <dataValidation sqref="C5 C6 C7 C8 C9 C10 C11 C12" showDropDown="0" showInputMessage="0" showErrorMessage="0" allowBlank="1" type="list">
      <formula1>"EVET,HAYIR"</formula1>
    </dataValidation>
    <dataValidation sqref="C18" showDropDown="0" showInputMessage="0" showErrorMessage="0" allowBlank="1" type="list">
      <formula1>"1,2,3,4,5,6"</formula1>
    </dataValidation>
    <dataValidation sqref="C19" showDropDown="0" showInputMessage="0" showErrorMessage="0" allowBlank="1" type="list">
      <formula1>"Komple Yeni,Tevsi,Modernizasyon,Diğer"</formula1>
    </dataValidation>
    <dataValidation sqref="C26" showDropDown="0" showInputMessage="0" showErrorMessage="0" allowBlank="1" type="list">
      <formula1>"Yatırım Döneminde,İşletme Döneminde,Tamamlandı-İşletme Devam"</formula1>
    </dataValidation>
    <dataValidation sqref="C47" showDropDown="0" showInputMessage="0" showErrorMessage="0" allowBlank="1" type="list">
      <formula1>"Gerçek Usul,Götürü - Oransal"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38" customWidth="1" min="4" max="4"/>
  </cols>
  <sheetData>
    <row r="1" ht="4" customHeight="1">
      <c r="A1" s="20" t="inlineStr">
        <is>
          <t>YTB-3</t>
        </is>
      </c>
      <c r="B1" s="20" t="n"/>
      <c r="C1" s="20" t="n"/>
      <c r="D1" s="20" t="n"/>
    </row>
    <row r="2" ht="34" customHeight="1">
      <c r="A2" s="21" t="inlineStr">
        <is>
          <t>YTB-3  —  KVK Md.32/A İndirimli KV Çalışma Kağıdı</t>
        </is>
      </c>
    </row>
    <row r="3" ht="4" customHeight="1">
      <c r="A3" s="22">
        <f>C16</f>
        <v/>
      </c>
      <c r="B3" s="20" t="n"/>
      <c r="C3" s="20" t="n"/>
      <c r="D3" s="20" t="n"/>
    </row>
    <row r="4" ht="22" customHeight="1">
      <c r="A4" s="23">
        <f>C26</f>
        <v/>
      </c>
    </row>
    <row r="5" ht="18" customHeight="1">
      <c r="A5" s="24">
        <f>C20</f>
        <v/>
      </c>
      <c r="B5" s="8" t="inlineStr">
        <is>
          <t>A0.1  YTB geçerli mi? (İptal veya revize edilmemiş)</t>
        </is>
      </c>
      <c r="C5" s="9" t="inlineStr"/>
      <c r="D5" s="25" t="inlineStr">
        <is>
          <t>EVET veya HAYIR seçin</t>
        </is>
      </c>
    </row>
    <row r="6" ht="18" customHeight="1">
      <c r="A6" s="24">
        <f>C22</f>
        <v/>
      </c>
      <c r="B6" s="8" t="inlineStr">
        <is>
          <t>A0.2  Sektör uygun mu? (Finans/sigorta/adi ortaklık değil)</t>
        </is>
      </c>
      <c r="C6" s="9" t="inlineStr"/>
      <c r="D6" s="25" t="inlineStr">
        <is>
          <t>EVET veya HAYIR seçin</t>
        </is>
      </c>
    </row>
    <row r="7" ht="18" customHeight="1">
      <c r="A7" s="24">
        <f>C71</f>
        <v/>
      </c>
      <c r="B7" s="8" t="inlineStr">
        <is>
          <t>A0.3  Bu YTB'den elde edilen kazanç bu YTB'ye mi uygulanıyor?</t>
        </is>
      </c>
      <c r="C7" s="9" t="inlineStr"/>
      <c r="D7" s="25" t="inlineStr">
        <is>
          <t>EVET veya HAYIR seçin</t>
        </is>
      </c>
    </row>
    <row r="8" ht="18" customHeight="1">
      <c r="A8" s="24">
        <f>C77</f>
        <v/>
      </c>
      <c r="B8" s="8" t="inlineStr">
        <is>
          <t>A0.4  Yatırım/işletme dönemi doğru tespit edildi mi?</t>
        </is>
      </c>
      <c r="C8" s="9" t="inlineStr"/>
      <c r="D8" s="25" t="inlineStr">
        <is>
          <t>EVET veya HAYIR seçin</t>
        </is>
      </c>
    </row>
    <row r="9" ht="18" customHeight="1">
      <c r="A9" s="24">
        <f>C76</f>
        <v/>
      </c>
      <c r="B9" s="8" t="inlineStr">
        <is>
          <t>A0.5  Önceki dönem YKT kümülatif kullanımı doğru girildi mi?</t>
        </is>
      </c>
      <c r="C9" s="9" t="inlineStr"/>
      <c r="D9" s="25" t="inlineStr">
        <is>
          <t>EVET veya HAYIR seçin</t>
        </is>
      </c>
    </row>
    <row r="10" ht="18" customHeight="1">
      <c r="A10" s="24">
        <f>C79</f>
        <v/>
      </c>
      <c r="B10" s="8" t="inlineStr">
        <is>
          <t>A0.6  Çapraz YTB YKT uygulaması yok mu?</t>
        </is>
      </c>
      <c r="C10" s="9" t="inlineStr"/>
      <c r="D10" s="25" t="inlineStr">
        <is>
          <t>EVET veya HAYIR seçin</t>
        </is>
      </c>
    </row>
    <row r="11" ht="18" customHeight="1">
      <c r="B11" s="8" t="inlineStr">
        <is>
          <t>A0.7  YİAKV uyarlaması değerlendirildi mi?</t>
        </is>
      </c>
      <c r="C11" s="9" t="inlineStr"/>
      <c r="D11" s="25" t="inlineStr">
        <is>
          <t>EVET veya HAYIR seçin</t>
        </is>
      </c>
    </row>
    <row r="12" ht="18" customHeight="1">
      <c r="B12" s="8" t="inlineStr">
        <is>
          <t>A0.8  YMM raporu yükümlülüğü kontrol edildi mi?</t>
        </is>
      </c>
      <c r="C12" s="9" t="inlineStr"/>
      <c r="D12" s="25" t="inlineStr">
        <is>
          <t>EVET veya HAYIR seçin</t>
        </is>
      </c>
    </row>
    <row r="13" ht="22" customHeight="1">
      <c r="B13" s="26" t="inlineStr">
        <is>
          <t>A0.9  Ön Koşul Sonucu</t>
        </is>
      </c>
      <c r="C13" s="27">
        <f>IF(AND(C5="EVET",C6="EVET",C7="EVET",C8="EVET",C9="EVET",C10="EVET",C11="EVET",C12="EVET"),"✓ Hesaplanabilir","✗ Ön Koşul Eksik")</f>
        <v/>
      </c>
      <c r="D13" s="28" t="inlineStr">
        <is>
          <t>Tüm koşullar EVET ise hesaplama yapılabilir</t>
        </is>
      </c>
    </row>
    <row r="14" ht="6" customHeight="1">
      <c r="A14" s="20" t="n"/>
      <c r="B14" s="20" t="n"/>
      <c r="C14" s="20" t="n"/>
      <c r="D14" s="20" t="n"/>
    </row>
    <row r="15" ht="22" customHeight="1">
      <c r="A15" s="29" t="inlineStr">
        <is>
          <t>BÖLÜM A — YTB KİMLİK BİLGİLERİ (Girdi)</t>
        </is>
      </c>
    </row>
    <row r="16" ht="18" customHeight="1">
      <c r="B16" s="8" t="inlineStr">
        <is>
          <t>A.1   YTB Numarası</t>
        </is>
      </c>
      <c r="C16" s="30" t="n"/>
      <c r="D16" s="31" t="inlineStr">
        <is>
          <t>Örn: 2023/B-123456</t>
        </is>
      </c>
    </row>
    <row r="17" ht="18" customHeight="1">
      <c r="B17" s="8" t="inlineStr">
        <is>
          <t>A.2   YTB Düzenleme Tarihi</t>
        </is>
      </c>
      <c r="C17" s="32" t="n"/>
      <c r="D17" s="31" t="inlineStr">
        <is>
          <t>GG.AA.YYYY formatında</t>
        </is>
      </c>
    </row>
    <row r="18" ht="18" customHeight="1">
      <c r="B18" s="8" t="inlineStr">
        <is>
          <t>A.3   Yatırım Bölgesi (1-6)</t>
        </is>
      </c>
      <c r="C18" s="30" t="n"/>
      <c r="D18" s="31" t="inlineStr">
        <is>
          <t>Bölge1→0% / Bölge2→10% / Bölge3→20% / Bölge4→30% / Bölge5→50% / Bölge6→80%</t>
        </is>
      </c>
    </row>
    <row r="19" ht="18" customHeight="1">
      <c r="B19" s="8" t="inlineStr">
        <is>
          <t>A.4   Yatırım Türü</t>
        </is>
      </c>
      <c r="C19" s="30" t="n"/>
      <c r="D19" s="31" t="inlineStr">
        <is>
          <t>Komple Yeni / Tevsi / Modernizasyon / Diğer</t>
        </is>
      </c>
    </row>
    <row r="20" ht="18" customHeight="1">
      <c r="B20" s="8" t="inlineStr">
        <is>
          <t>A.5   Toplam Yatırım Tutarı (TL)</t>
        </is>
      </c>
      <c r="C20" s="33" t="n"/>
      <c r="D20" s="31" t="inlineStr">
        <is>
          <t>YTB'de belirtilen toplam yatırım tutarı</t>
        </is>
      </c>
    </row>
    <row r="21" ht="18" customHeight="1">
      <c r="B21" s="8" t="inlineStr">
        <is>
          <t>A.6   YKT Oranı (%)</t>
        </is>
      </c>
      <c r="C21" s="34" t="n"/>
      <c r="D21" s="31" t="inlineStr">
        <is>
          <t>YTB'den gelen yatırıma katkı oranı</t>
        </is>
      </c>
    </row>
    <row r="22" ht="18" customHeight="1">
      <c r="B22" s="35" t="inlineStr">
        <is>
          <t>A.7   YKT Tutarı (TL)</t>
        </is>
      </c>
      <c r="C22" s="12">
        <f>IF(C20*C21/100=0,0,C20*C21/100)</f>
        <v/>
      </c>
      <c r="D22" s="31">
        <f> A.5 × A.6 / 100</f>
        <v/>
      </c>
    </row>
    <row r="23" ht="18" customHeight="1">
      <c r="B23" s="8" t="inlineStr">
        <is>
          <t>A.8   Vergi İndirim Oranı (%)</t>
        </is>
      </c>
      <c r="C23" s="34" t="n"/>
      <c r="D23" s="31" t="inlineStr">
        <is>
          <t>YTB'den gelen vergi indirimi oranı</t>
        </is>
      </c>
    </row>
    <row r="24" ht="18" customHeight="1">
      <c r="B24" s="8" t="inlineStr">
        <is>
          <t>A.9   Normal KV Oranı (%)</t>
        </is>
      </c>
      <c r="C24" s="34" t="n">
        <v>25</v>
      </c>
      <c r="D24" s="31" t="inlineStr">
        <is>
          <t>Varsayılan 25 (2024+); daha önce 20</t>
        </is>
      </c>
    </row>
    <row r="25" ht="18" customHeight="1">
      <c r="B25" s="35" t="inlineStr">
        <is>
          <t>A.10  İndirimli KV Oranı (%)</t>
        </is>
      </c>
      <c r="C25" s="36">
        <f>C24*(1-C23/100)</f>
        <v/>
      </c>
      <c r="D25" s="31">
        <f> A.9 × (1 - A.8/100)</f>
        <v/>
      </c>
    </row>
    <row r="26" ht="18" customHeight="1">
      <c r="B26" s="8" t="inlineStr">
        <is>
          <t>A.11  Dönem Durumu</t>
        </is>
      </c>
      <c r="C26" s="30" t="n"/>
      <c r="D26" s="31" t="inlineStr">
        <is>
          <t>Yatırım / İşletme / Tamamlandı-İşletme Devam</t>
        </is>
      </c>
    </row>
    <row r="27" ht="18" customHeight="1">
      <c r="B27" s="8" t="inlineStr">
        <is>
          <t>A.12  Tamamlama Vizesi Tarihi (Opsiyonel)</t>
        </is>
      </c>
      <c r="C27" s="32" t="n"/>
      <c r="D27" s="31" t="inlineStr">
        <is>
          <t>İşletme dönemine geçişi belgeleyiniz</t>
        </is>
      </c>
    </row>
    <row r="28" ht="6" customHeight="1">
      <c r="A28" s="20" t="n"/>
      <c r="B28" s="20" t="n"/>
      <c r="C28" s="20" t="n"/>
      <c r="D28" s="20" t="n"/>
    </row>
    <row r="29" ht="22" customHeight="1">
      <c r="A29" s="4" t="inlineStr">
        <is>
          <t>BÖLÜM B — YATIRIM DÖNEMİNDE DİĞER FAALİYET KAZANCI İNDİRİMİ</t>
        </is>
      </c>
    </row>
    <row r="30" ht="20" customHeight="1">
      <c r="A30" s="19" t="inlineStr">
        <is>
          <t>⚠  Bu bölüm yalnızca A.11 = "Yatırım Döneminde" ise uygulanır. İşletme dönemindeyse Bölüm D kullanınız.</t>
        </is>
      </c>
    </row>
    <row r="31" ht="18" customHeight="1">
      <c r="B31" s="8" t="inlineStr">
        <is>
          <t>B.1   Dönem Başı Kümülatif Yatırım Harcaması (TL)</t>
        </is>
      </c>
      <c r="C31" s="33" t="n"/>
      <c r="D31" s="31" t="inlineStr">
        <is>
          <t>Önceki dönemlerde yapılan yatırım harcamaları toplamı</t>
        </is>
      </c>
    </row>
    <row r="32" ht="18" customHeight="1">
      <c r="B32" s="8" t="inlineStr">
        <is>
          <t>B.2   Bu Dönem Yatırım Harcaması (TL)</t>
        </is>
      </c>
      <c r="C32" s="33" t="n"/>
      <c r="D32" s="31" t="inlineStr">
        <is>
          <t>Cari dönemde gerçekleşen yatırım harcaması</t>
        </is>
      </c>
    </row>
    <row r="33" ht="18" customHeight="1">
      <c r="B33" s="35" t="inlineStr">
        <is>
          <t>B.3   Kümülatif Toplam Harcama (TL)</t>
        </is>
      </c>
      <c r="C33" s="12">
        <f>C31+C32</f>
        <v/>
      </c>
      <c r="D33" s="31">
        <f> B.1 + B.2</f>
        <v/>
      </c>
    </row>
    <row r="34" ht="18" customHeight="1">
      <c r="B34" s="35" t="inlineStr">
        <is>
          <t>B.4   Bölge Limit Oranı (%)</t>
        </is>
      </c>
      <c r="C34" s="36">
        <f>SWITCH(C18,1,0,2,10,3,20,4,30,5,50,6,80,0)</f>
        <v/>
      </c>
      <c r="D34" s="31" t="inlineStr">
        <is>
          <t>Bölgeye göre otomatik: B1→0, B2→10, B3→20, B4→30, B5→50, B6→80</t>
        </is>
      </c>
    </row>
    <row r="35" ht="18" customHeight="1">
      <c r="B35" s="35" t="inlineStr">
        <is>
          <t>B.5   YKT × Bölge Limiti (TL)</t>
        </is>
      </c>
      <c r="C35" s="12">
        <f>C22*C34/100</f>
        <v/>
      </c>
      <c r="D35" s="31">
        <f> A.7 × B.4 / 100</f>
        <v/>
      </c>
    </row>
    <row r="36" ht="18" customHeight="1">
      <c r="B36" s="35" t="inlineStr">
        <is>
          <t>B.6   Azami Kullanılabilir Limit (TL)</t>
        </is>
      </c>
      <c r="C36" s="12">
        <f>MIN(C35,C33)</f>
        <v/>
      </c>
      <c r="D36" s="31">
        <f> MIN(B.5, B.3)</f>
        <v/>
      </c>
    </row>
    <row r="37" ht="18" customHeight="1">
      <c r="B37" s="8" t="inlineStr">
        <is>
          <t>B.7   Önceki Dönemler Kümülatif YKT Kullanımı (TL)</t>
        </is>
      </c>
      <c r="C37" s="33" t="n"/>
      <c r="D37" s="31" t="inlineStr">
        <is>
          <t>Bir önceki yıl beyannamesinden alınır</t>
        </is>
      </c>
    </row>
    <row r="38" ht="18" customHeight="1">
      <c r="B38" s="35" t="inlineStr">
        <is>
          <t>B.8   Bu Dönem Kullanılabilir YKT (TL)</t>
        </is>
      </c>
      <c r="C38" s="12">
        <f>MAX(0,C36-C37)</f>
        <v/>
      </c>
      <c r="D38" s="31">
        <f> MAX(0, B.6 - B.7)</f>
        <v/>
      </c>
    </row>
    <row r="39" ht="18" customHeight="1">
      <c r="B39" s="8" t="inlineStr">
        <is>
          <t>B.9   Diğer Faaliyet Kazancı Matrahı (TL)</t>
        </is>
      </c>
      <c r="C39" s="33" t="n"/>
      <c r="D39" s="31" t="inlineStr">
        <is>
          <t>Yatırım dönemi diğer faaliyet kazancı</t>
        </is>
      </c>
    </row>
    <row r="40" ht="18" customHeight="1">
      <c r="B40" s="35" t="inlineStr">
        <is>
          <t>B.10  İndirimli Matrah — Yatırım Dönemi (TL)</t>
        </is>
      </c>
      <c r="C40" s="12">
        <f>IF(C39&gt;0,MIN(C39,IF(C24&gt;0,C38/(C24/100),0)),0)</f>
        <v/>
      </c>
      <c r="D40" s="31">
        <f> MIN(B.9, B.8 / (A.9/100)) — max indirimli matrah</f>
        <v/>
      </c>
    </row>
    <row r="41" ht="18" customHeight="1">
      <c r="B41" s="35" t="inlineStr">
        <is>
          <t>B.11  Normal KV (TL)</t>
        </is>
      </c>
      <c r="C41" s="12">
        <f>C40*C24/100</f>
        <v/>
      </c>
      <c r="D41" s="31">
        <f> B.10 × A.9/100</f>
        <v/>
      </c>
    </row>
    <row r="42" ht="18" customHeight="1">
      <c r="B42" s="35" t="inlineStr">
        <is>
          <t>B.12  İndirimli KV (TL)</t>
        </is>
      </c>
      <c r="C42" s="12">
        <f>C40*C25/100</f>
        <v/>
      </c>
      <c r="D42" s="31">
        <f> B.10 × A.10/100</f>
        <v/>
      </c>
    </row>
    <row r="43" ht="20" customHeight="1">
      <c r="B43" s="17" t="inlineStr">
        <is>
          <t>B.13  KV Tasarrufu — Yatırım Dönemi (TL)</t>
        </is>
      </c>
      <c r="C43" s="18">
        <f>C41-C42</f>
        <v/>
      </c>
      <c r="D43" s="31">
        <f> B.11 - B.12  (Bu YTB için YKT kullanımı)</f>
        <v/>
      </c>
    </row>
    <row r="44" ht="6" customHeight="1">
      <c r="A44" s="20" t="n"/>
      <c r="B44" s="20" t="n"/>
      <c r="C44" s="20" t="n"/>
      <c r="D44" s="20" t="n"/>
    </row>
    <row r="45" ht="22" customHeight="1">
      <c r="A45" s="4" t="inlineStr">
        <is>
          <t>BÖLÜM C — TEVSİ YATIRIMLARDA KAZANÇ TESPİTİ</t>
        </is>
      </c>
    </row>
    <row r="46" ht="20" customHeight="1">
      <c r="A46" s="19" t="inlineStr">
        <is>
          <t>⚠  Bu bölüm yalnızca A.4 = "Tevsi" ise uygulanır.</t>
        </is>
      </c>
    </row>
    <row r="47" ht="18" customHeight="1">
      <c r="B47" s="8" t="inlineStr">
        <is>
          <t>C.1   Kazanç Tespit Yöntemi</t>
        </is>
      </c>
      <c r="C47" s="30" t="n"/>
      <c r="D47" s="31" t="inlineStr">
        <is>
          <t>Gerçek Usul veya Götürü - Oransal</t>
        </is>
      </c>
    </row>
    <row r="48" ht="18" customHeight="1">
      <c r="B48" s="8" t="inlineStr">
        <is>
          <t>C.2   YTB Kapsamı ATİK Değeri — Dönem Sonu (TL)</t>
        </is>
      </c>
      <c r="C48" s="33" t="n"/>
      <c r="D48" s="31" t="inlineStr">
        <is>
          <t>Yeniden değerlenmiş, tevsi yatırımına ait ATİK toplamı</t>
        </is>
      </c>
    </row>
    <row r="49" ht="18" customHeight="1">
      <c r="B49" s="8" t="inlineStr">
        <is>
          <t>C.3   Toplam ATİK Değeri — Dönem Sonu (TL)</t>
        </is>
      </c>
      <c r="C49" s="33" t="n"/>
      <c r="D49" s="31" t="inlineStr">
        <is>
          <t>Tüm faaliyetlere ait ATİK toplamı</t>
        </is>
      </c>
    </row>
    <row r="50" ht="18" customHeight="1">
      <c r="B50" s="35" t="inlineStr">
        <is>
          <t>C.4   Götürü Oran</t>
        </is>
      </c>
      <c r="C50" s="37">
        <f>IF(C49&gt;0,C48/C49,0)</f>
        <v/>
      </c>
      <c r="D50" s="31">
        <f> C.2 / C.3</f>
        <v/>
      </c>
    </row>
    <row r="51" ht="18" customHeight="1">
      <c r="B51" s="8" t="inlineStr">
        <is>
          <t>C.5   Dönem KV Matrahı — Tüm Faaliyetler (TL)</t>
        </is>
      </c>
      <c r="C51" s="33" t="n"/>
      <c r="D51" s="31" t="inlineStr">
        <is>
          <t>Tüm faaliyetler için hesaplanan KV matrahı</t>
        </is>
      </c>
    </row>
    <row r="52" ht="18" customHeight="1">
      <c r="B52" s="8" t="inlineStr">
        <is>
          <t>C.6   Gerçek Usul Tevsi Kazancı (TL)</t>
        </is>
      </c>
      <c r="C52" s="33" t="n"/>
      <c r="D52" s="31" t="inlineStr">
        <is>
          <t>Sadece gerçek usulde: doğrudan tespit edilen tevsi kazancı</t>
        </is>
      </c>
    </row>
    <row r="53" ht="18" customHeight="1">
      <c r="B53" s="35" t="inlineStr">
        <is>
          <t>C.7   Tevsi İndirimli Matrah (TL)</t>
        </is>
      </c>
      <c r="C53" s="12">
        <f>IF(C47="Götürü - Oransal",C51*C50,C52)</f>
        <v/>
      </c>
      <c r="D53" s="31">
        <f> Götürü: C.5×C.4   /   Gerçek: C.6</f>
        <v/>
      </c>
    </row>
    <row r="54" ht="6" customHeight="1">
      <c r="A54" s="20" t="n"/>
      <c r="B54" s="20" t="n"/>
      <c r="C54" s="20" t="n"/>
      <c r="D54" s="20" t="n"/>
    </row>
    <row r="55" ht="22" customHeight="1">
      <c r="A55" s="4" t="inlineStr">
        <is>
          <t>BÖLÜM D — İŞLETME DÖNEMİNDE BU YTB'DEN KAZANÇ</t>
        </is>
      </c>
    </row>
    <row r="56" ht="20" customHeight="1">
      <c r="A56" s="38" t="inlineStr">
        <is>
          <t>ℹ  İşletme döneminde D.1 değerini girin. Tevsi yatırımında C.7 otomatik yansıtılır.</t>
        </is>
      </c>
    </row>
    <row r="57" ht="18" customHeight="1">
      <c r="B57" s="8" t="inlineStr">
        <is>
          <t>D.1   Bu YTB'den Elde Edilen Kazanç Matrahı (TL)</t>
        </is>
      </c>
      <c r="C57" s="33" t="n"/>
      <c r="D57" s="31" t="inlineStr">
        <is>
          <t>Tevsi ise C.7 değerini buraya kopyalayabilirsiniz: =C53</t>
        </is>
      </c>
    </row>
    <row r="58" ht="18" customHeight="1">
      <c r="B58" s="35" t="inlineStr">
        <is>
          <t>D.2   Normal KV (TL)</t>
        </is>
      </c>
      <c r="C58" s="12">
        <f>C57*C24/100</f>
        <v/>
      </c>
      <c r="D58" s="31">
        <f> D.1 × A.9/100</f>
        <v/>
      </c>
    </row>
    <row r="59" ht="18" customHeight="1">
      <c r="B59" s="35" t="inlineStr">
        <is>
          <t>D.3   İndirimli KV (TL)</t>
        </is>
      </c>
      <c r="C59" s="12">
        <f>C57*C25/100</f>
        <v/>
      </c>
      <c r="D59" s="31">
        <f> D.1 × A.10/100</f>
        <v/>
      </c>
    </row>
    <row r="60" ht="20" customHeight="1">
      <c r="B60" s="17" t="inlineStr">
        <is>
          <t>D.4   KV Tasarrufu — İşletme Dönemi (TL)</t>
        </is>
      </c>
      <c r="C60" s="18">
        <f>C58-C59</f>
        <v/>
      </c>
      <c r="D60" s="31">
        <f> D.2 - D.3</f>
        <v/>
      </c>
    </row>
    <row r="61" ht="6" customHeight="1">
      <c r="A61" s="20" t="n"/>
      <c r="B61" s="20" t="n"/>
      <c r="C61" s="20" t="n"/>
      <c r="D61" s="20" t="n"/>
    </row>
    <row r="62" ht="22" customHeight="1">
      <c r="A62" s="4" t="inlineStr">
        <is>
          <t>BÖLÜM E — YDO ENDEKSLEMESİ (Tamamlama Sonrası)</t>
        </is>
      </c>
    </row>
    <row r="63" ht="20" customHeight="1">
      <c r="A63" s="38" t="inlineStr">
        <is>
          <t>ℹ  Tamamlama vizesi alındıktan sonra kalan YKT YDO ile endekslenir. 2024: %63,93 — 2025: %3,30</t>
        </is>
      </c>
    </row>
    <row r="64" ht="18" customHeight="1">
      <c r="B64" s="8" t="inlineStr">
        <is>
          <t>E.1   Dönem Başı Kalan YKT (TL)</t>
        </is>
      </c>
      <c r="C64" s="33" t="n"/>
      <c r="D64" s="31" t="inlineStr">
        <is>
          <t>Tamamlama vizesi sonrası dönem başındaki bakiye YKT</t>
        </is>
      </c>
    </row>
    <row r="65" ht="18" customHeight="1">
      <c r="B65" s="8" t="inlineStr">
        <is>
          <t>E.2   YDO Oranı (%)</t>
        </is>
      </c>
      <c r="C65" s="34" t="n"/>
      <c r="D65" s="31" t="inlineStr">
        <is>
          <t>2024: 63,93% — 2025: 3,30% — Hazine açıklaması izleyin</t>
        </is>
      </c>
    </row>
    <row r="66" ht="18" customHeight="1">
      <c r="B66" s="35" t="inlineStr">
        <is>
          <t>E.3   YDO Artışı (TL)</t>
        </is>
      </c>
      <c r="C66" s="12">
        <f>C64*C65/100</f>
        <v/>
      </c>
      <c r="D66" s="31">
        <f> E.1 × E.2/100</f>
        <v/>
      </c>
    </row>
    <row r="67" ht="20" customHeight="1">
      <c r="B67" s="17" t="inlineStr">
        <is>
          <t>E.4   Endekslenmiş Dönem Başı YKT (TL)</t>
        </is>
      </c>
      <c r="C67" s="18">
        <f>C64+C66</f>
        <v/>
      </c>
      <c r="D67" s="31">
        <f> E.1 + E.3</f>
        <v/>
      </c>
    </row>
    <row r="68" ht="6" customHeight="1">
      <c r="A68" s="20" t="n"/>
      <c r="B68" s="20" t="n"/>
      <c r="C68" s="20" t="n"/>
      <c r="D68" s="20" t="n"/>
    </row>
    <row r="69" ht="22" customHeight="1">
      <c r="A69" s="29" t="inlineStr">
        <is>
          <t>BÖLÜM F — KÜMÜLATİF YKT TAKİBİ VE DÖNEM SONUCU</t>
        </is>
      </c>
    </row>
    <row r="70" ht="18" customHeight="1">
      <c r="B70" s="26" t="inlineStr">
        <is>
          <t>F.1   Toplam YKT (TL)</t>
        </is>
      </c>
      <c r="C70" s="39">
        <f>C22</f>
        <v/>
      </c>
      <c r="D70" s="31">
        <f> A.7</f>
        <v/>
      </c>
    </row>
    <row r="71" ht="18" customHeight="1">
      <c r="B71" s="8" t="inlineStr">
        <is>
          <t>F.2   Önceki Dönemler Kümülatif YKT Kullanımı (TL)</t>
        </is>
      </c>
      <c r="C71" s="33" t="n"/>
      <c r="D71" s="31" t="inlineStr">
        <is>
          <t>GİB beyanname / vergi dairesi kayıtlarından alınır</t>
        </is>
      </c>
    </row>
    <row r="72" ht="18" customHeight="1">
      <c r="B72" s="35" t="inlineStr">
        <is>
          <t>F.3   Dönem Başı Kalan YKT (TL)</t>
        </is>
      </c>
      <c r="C72" s="12">
        <f>MAX(0,C70-C71)</f>
        <v/>
      </c>
      <c r="D72" s="31">
        <f> F.1 - F.2</f>
        <v/>
      </c>
    </row>
    <row r="73" ht="18" customHeight="1">
      <c r="B73" s="35" t="inlineStr">
        <is>
          <t>F.4   Bu Dönem Toplam İndirimli Matrah (TL)</t>
        </is>
      </c>
      <c r="C73" s="12">
        <f>C40+C57</f>
        <v/>
      </c>
      <c r="D73" s="31">
        <f> B.10 + D.1</f>
        <v/>
      </c>
    </row>
    <row r="74" ht="18" customHeight="1">
      <c r="B74" s="35" t="inlineStr">
        <is>
          <t>F.5   Bu Dönem Normal KV (TL)</t>
        </is>
      </c>
      <c r="C74" s="12">
        <f>C41+C58</f>
        <v/>
      </c>
      <c r="D74" s="31">
        <f> B.11 + D.2</f>
        <v/>
      </c>
    </row>
    <row r="75" ht="18" customHeight="1">
      <c r="B75" s="35" t="inlineStr">
        <is>
          <t>F.6   Bu Dönem İndirimli KV (TL)</t>
        </is>
      </c>
      <c r="C75" s="12">
        <f>C42+C59</f>
        <v/>
      </c>
      <c r="D75" s="31">
        <f> B.12 + D.3</f>
        <v/>
      </c>
    </row>
    <row r="76" ht="18" customHeight="1">
      <c r="B76" s="26" t="inlineStr">
        <is>
          <t>F.7   Bu Dönem KV Tasarrufu (TL)</t>
        </is>
      </c>
      <c r="C76" s="15">
        <f>C74-C75</f>
        <v/>
      </c>
      <c r="D76" s="31">
        <f> F.5 - F.6</f>
        <v/>
      </c>
    </row>
    <row r="77" ht="18" customHeight="1">
      <c r="B77" s="26" t="inlineStr">
        <is>
          <t>F.8   Bu Dönem YKT Kullanımı (TL)</t>
        </is>
      </c>
      <c r="C77" s="15">
        <f>C43+C60</f>
        <v/>
      </c>
      <c r="D77" s="31">
        <f> B.13 + D.4</f>
        <v/>
      </c>
    </row>
    <row r="78" ht="18" customHeight="1">
      <c r="B78" s="35" t="inlineStr">
        <is>
          <t>F.9   Kontrol (F.7 - F.8 = 0?)</t>
        </is>
      </c>
      <c r="C78" s="12">
        <f>ROUND(C76-C77,2)</f>
        <v/>
      </c>
      <c r="D78" s="31" t="inlineStr">
        <is>
          <t>⚠  0 olmalı. Farklıysa kontrol edin.</t>
        </is>
      </c>
    </row>
    <row r="79" ht="22" customHeight="1">
      <c r="B79" s="17" t="inlineStr">
        <is>
          <t>F.10  Dönem Sonu Kalan YKT (TL) — DEVREDEN</t>
        </is>
      </c>
      <c r="C79" s="18">
        <f>MAX(0,C72-C77)</f>
        <v/>
      </c>
      <c r="D79" s="31">
        <f> MAX(0, F.3 - F.8)  → Bir sonraki döneme devreder</f>
        <v/>
      </c>
    </row>
    <row r="80" ht="18" customHeight="1">
      <c r="B80" s="35" t="inlineStr">
        <is>
          <t>F.11  Kümülatif Kullanım Oranı (%)</t>
        </is>
      </c>
      <c r="C80" s="36">
        <f>IF(C70&gt;0,(C71+C77)/C70*100,0)</f>
        <v/>
      </c>
      <c r="D80" s="31">
        <f> (F.2 + F.8) / F.1 × 100</f>
        <v/>
      </c>
    </row>
    <row r="81" ht="22" customHeight="1">
      <c r="B81" s="26" t="inlineStr">
        <is>
          <t>F.12  YKT Durum Göstergesi</t>
        </is>
      </c>
      <c r="C81" s="40">
        <f>IF(C22=0,"YKT Giriş Eksik",IF(C79&lt;=0,"YKT Tükendi",IF(C77=0,"Bu Dönem Kullanım Yok",IF(C80&gt;=95,"Son Dönem","Devam Ediyor"))))</f>
        <v/>
      </c>
      <c r="D81" s="28" t="inlineStr">
        <is>
          <t>YKT Giriş Eksik / YKT Tükendi / Bu Dönem Kullanım Yok / Son Dönem / Devam Ediyor</t>
        </is>
      </c>
    </row>
    <row r="82" ht="6" customHeight="1">
      <c r="A82" s="20" t="n"/>
      <c r="B82" s="20" t="n"/>
      <c r="C82" s="20" t="n"/>
      <c r="D82" s="20" t="n"/>
    </row>
    <row r="83" ht="22" customHeight="1">
      <c r="A83" s="41" t="inlineStr">
        <is>
          <t>BÖLÜM G — SONUÇ ÖZETİ</t>
        </is>
      </c>
    </row>
    <row r="84" ht="22" customHeight="1">
      <c r="B84" s="17" t="inlineStr">
        <is>
          <t>Bu YTB KV Tasarrufu (TL)</t>
        </is>
      </c>
      <c r="C84" s="18">
        <f>C76</f>
        <v/>
      </c>
      <c r="D84" s="42" t="n"/>
    </row>
    <row r="85" ht="22" customHeight="1">
      <c r="B85" s="17" t="inlineStr">
        <is>
          <t>Kalan YKT — Devreden (TL)</t>
        </is>
      </c>
      <c r="C85" s="18">
        <f>C79</f>
        <v/>
      </c>
      <c r="D85" s="42" t="n"/>
    </row>
    <row r="86" ht="22" customHeight="1">
      <c r="B86" s="17" t="inlineStr">
        <is>
          <t>YKT Kullanım Durumu</t>
        </is>
      </c>
      <c r="C86" s="18">
        <f>C81</f>
        <v/>
      </c>
      <c r="D86" s="42" t="n"/>
    </row>
    <row r="87" ht="6" customHeight="1">
      <c r="A87" s="20" t="n"/>
      <c r="B87" s="20" t="n"/>
      <c r="C87" s="20" t="n"/>
      <c r="D87" s="20" t="n"/>
    </row>
  </sheetData>
  <mergeCells count="16">
    <mergeCell ref="A45:D45"/>
    <mergeCell ref="A56:D56"/>
    <mergeCell ref="A69:D69"/>
    <mergeCell ref="A83:D83"/>
    <mergeCell ref="A4:D4"/>
    <mergeCell ref="A62:D62"/>
    <mergeCell ref="A30:D30"/>
    <mergeCell ref="D86"/>
    <mergeCell ref="A55:D55"/>
    <mergeCell ref="A15:D15"/>
    <mergeCell ref="A29:D29"/>
    <mergeCell ref="A2:D2"/>
    <mergeCell ref="A63:D63"/>
    <mergeCell ref="D85"/>
    <mergeCell ref="D84"/>
    <mergeCell ref="A46:D46"/>
  </mergeCells>
  <dataValidations count="5">
    <dataValidation sqref="C5 C6 C7 C8 C9 C10 C11 C12" showDropDown="0" showInputMessage="0" showErrorMessage="0" allowBlank="1" type="list">
      <formula1>"EVET,HAYIR"</formula1>
    </dataValidation>
    <dataValidation sqref="C18" showDropDown="0" showInputMessage="0" showErrorMessage="0" allowBlank="1" type="list">
      <formula1>"1,2,3,4,5,6"</formula1>
    </dataValidation>
    <dataValidation sqref="C19" showDropDown="0" showInputMessage="0" showErrorMessage="0" allowBlank="1" type="list">
      <formula1>"Komple Yeni,Tevsi,Modernizasyon,Diğer"</formula1>
    </dataValidation>
    <dataValidation sqref="C26" showDropDown="0" showInputMessage="0" showErrorMessage="0" allowBlank="1" type="list">
      <formula1>"Yatırım Döneminde,İşletme Döneminde,Tamamlandı-İşletme Devam"</formula1>
    </dataValidation>
    <dataValidation sqref="C47" showDropDown="0" showInputMessage="0" showErrorMessage="0" allowBlank="1" type="list">
      <formula1>"Gerçek Usul,Götürü - Oransal"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38" customWidth="1" min="4" max="4"/>
  </cols>
  <sheetData>
    <row r="1" ht="4" customHeight="1">
      <c r="A1" s="20" t="inlineStr">
        <is>
          <t>YTB-4</t>
        </is>
      </c>
      <c r="B1" s="20" t="n"/>
      <c r="C1" s="20" t="n"/>
      <c r="D1" s="20" t="n"/>
    </row>
    <row r="2" ht="34" customHeight="1">
      <c r="A2" s="21" t="inlineStr">
        <is>
          <t>YTB-4  —  KVK Md.32/A İndirimli KV Çalışma Kağıdı</t>
        </is>
      </c>
    </row>
    <row r="3" ht="4" customHeight="1">
      <c r="A3" s="22">
        <f>C16</f>
        <v/>
      </c>
      <c r="B3" s="20" t="n"/>
      <c r="C3" s="20" t="n"/>
      <c r="D3" s="20" t="n"/>
    </row>
    <row r="4" ht="22" customHeight="1">
      <c r="A4" s="23">
        <f>C26</f>
        <v/>
      </c>
    </row>
    <row r="5" ht="18" customHeight="1">
      <c r="A5" s="24">
        <f>C20</f>
        <v/>
      </c>
      <c r="B5" s="8" t="inlineStr">
        <is>
          <t>A0.1  YTB geçerli mi? (İptal veya revize edilmemiş)</t>
        </is>
      </c>
      <c r="C5" s="9" t="inlineStr"/>
      <c r="D5" s="25" t="inlineStr">
        <is>
          <t>EVET veya HAYIR seçin</t>
        </is>
      </c>
    </row>
    <row r="6" ht="18" customHeight="1">
      <c r="A6" s="24">
        <f>C22</f>
        <v/>
      </c>
      <c r="B6" s="8" t="inlineStr">
        <is>
          <t>A0.2  Sektör uygun mu? (Finans/sigorta/adi ortaklık değil)</t>
        </is>
      </c>
      <c r="C6" s="9" t="inlineStr"/>
      <c r="D6" s="25" t="inlineStr">
        <is>
          <t>EVET veya HAYIR seçin</t>
        </is>
      </c>
    </row>
    <row r="7" ht="18" customHeight="1">
      <c r="A7" s="24">
        <f>C71</f>
        <v/>
      </c>
      <c r="B7" s="8" t="inlineStr">
        <is>
          <t>A0.3  Bu YTB'den elde edilen kazanç bu YTB'ye mi uygulanıyor?</t>
        </is>
      </c>
      <c r="C7" s="9" t="inlineStr"/>
      <c r="D7" s="25" t="inlineStr">
        <is>
          <t>EVET veya HAYIR seçin</t>
        </is>
      </c>
    </row>
    <row r="8" ht="18" customHeight="1">
      <c r="A8" s="24">
        <f>C77</f>
        <v/>
      </c>
      <c r="B8" s="8" t="inlineStr">
        <is>
          <t>A0.4  Yatırım/işletme dönemi doğru tespit edildi mi?</t>
        </is>
      </c>
      <c r="C8" s="9" t="inlineStr"/>
      <c r="D8" s="25" t="inlineStr">
        <is>
          <t>EVET veya HAYIR seçin</t>
        </is>
      </c>
    </row>
    <row r="9" ht="18" customHeight="1">
      <c r="A9" s="24">
        <f>C76</f>
        <v/>
      </c>
      <c r="B9" s="8" t="inlineStr">
        <is>
          <t>A0.5  Önceki dönem YKT kümülatif kullanımı doğru girildi mi?</t>
        </is>
      </c>
      <c r="C9" s="9" t="inlineStr"/>
      <c r="D9" s="25" t="inlineStr">
        <is>
          <t>EVET veya HAYIR seçin</t>
        </is>
      </c>
    </row>
    <row r="10" ht="18" customHeight="1">
      <c r="A10" s="24">
        <f>C79</f>
        <v/>
      </c>
      <c r="B10" s="8" t="inlineStr">
        <is>
          <t>A0.6  Çapraz YTB YKT uygulaması yok mu?</t>
        </is>
      </c>
      <c r="C10" s="9" t="inlineStr"/>
      <c r="D10" s="25" t="inlineStr">
        <is>
          <t>EVET veya HAYIR seçin</t>
        </is>
      </c>
    </row>
    <row r="11" ht="18" customHeight="1">
      <c r="B11" s="8" t="inlineStr">
        <is>
          <t>A0.7  YİAKV uyarlaması değerlendirildi mi?</t>
        </is>
      </c>
      <c r="C11" s="9" t="inlineStr"/>
      <c r="D11" s="25" t="inlineStr">
        <is>
          <t>EVET veya HAYIR seçin</t>
        </is>
      </c>
    </row>
    <row r="12" ht="18" customHeight="1">
      <c r="B12" s="8" t="inlineStr">
        <is>
          <t>A0.8  YMM raporu yükümlülüğü kontrol edildi mi?</t>
        </is>
      </c>
      <c r="C12" s="9" t="inlineStr"/>
      <c r="D12" s="25" t="inlineStr">
        <is>
          <t>EVET veya HAYIR seçin</t>
        </is>
      </c>
    </row>
    <row r="13" ht="22" customHeight="1">
      <c r="B13" s="26" t="inlineStr">
        <is>
          <t>A0.9  Ön Koşul Sonucu</t>
        </is>
      </c>
      <c r="C13" s="27">
        <f>IF(AND(C5="EVET",C6="EVET",C7="EVET",C8="EVET",C9="EVET",C10="EVET",C11="EVET",C12="EVET"),"✓ Hesaplanabilir","✗ Ön Koşul Eksik")</f>
        <v/>
      </c>
      <c r="D13" s="28" t="inlineStr">
        <is>
          <t>Tüm koşullar EVET ise hesaplama yapılabilir</t>
        </is>
      </c>
    </row>
    <row r="14" ht="6" customHeight="1">
      <c r="A14" s="20" t="n"/>
      <c r="B14" s="20" t="n"/>
      <c r="C14" s="20" t="n"/>
      <c r="D14" s="20" t="n"/>
    </row>
    <row r="15" ht="22" customHeight="1">
      <c r="A15" s="29" t="inlineStr">
        <is>
          <t>BÖLÜM A — YTB KİMLİK BİLGİLERİ (Girdi)</t>
        </is>
      </c>
    </row>
    <row r="16" ht="18" customHeight="1">
      <c r="B16" s="8" t="inlineStr">
        <is>
          <t>A.1   YTB Numarası</t>
        </is>
      </c>
      <c r="C16" s="30" t="n"/>
      <c r="D16" s="31" t="inlineStr">
        <is>
          <t>Örn: 2023/B-123456</t>
        </is>
      </c>
    </row>
    <row r="17" ht="18" customHeight="1">
      <c r="B17" s="8" t="inlineStr">
        <is>
          <t>A.2   YTB Düzenleme Tarihi</t>
        </is>
      </c>
      <c r="C17" s="32" t="n"/>
      <c r="D17" s="31" t="inlineStr">
        <is>
          <t>GG.AA.YYYY formatında</t>
        </is>
      </c>
    </row>
    <row r="18" ht="18" customHeight="1">
      <c r="B18" s="8" t="inlineStr">
        <is>
          <t>A.3   Yatırım Bölgesi (1-6)</t>
        </is>
      </c>
      <c r="C18" s="30" t="n"/>
      <c r="D18" s="31" t="inlineStr">
        <is>
          <t>Bölge1→0% / Bölge2→10% / Bölge3→20% / Bölge4→30% / Bölge5→50% / Bölge6→80%</t>
        </is>
      </c>
    </row>
    <row r="19" ht="18" customHeight="1">
      <c r="B19" s="8" t="inlineStr">
        <is>
          <t>A.4   Yatırım Türü</t>
        </is>
      </c>
      <c r="C19" s="30" t="n"/>
      <c r="D19" s="31" t="inlineStr">
        <is>
          <t>Komple Yeni / Tevsi / Modernizasyon / Diğer</t>
        </is>
      </c>
    </row>
    <row r="20" ht="18" customHeight="1">
      <c r="B20" s="8" t="inlineStr">
        <is>
          <t>A.5   Toplam Yatırım Tutarı (TL)</t>
        </is>
      </c>
      <c r="C20" s="33" t="n"/>
      <c r="D20" s="31" t="inlineStr">
        <is>
          <t>YTB'de belirtilen toplam yatırım tutarı</t>
        </is>
      </c>
    </row>
    <row r="21" ht="18" customHeight="1">
      <c r="B21" s="8" t="inlineStr">
        <is>
          <t>A.6   YKT Oranı (%)</t>
        </is>
      </c>
      <c r="C21" s="34" t="n"/>
      <c r="D21" s="31" t="inlineStr">
        <is>
          <t>YTB'den gelen yatırıma katkı oranı</t>
        </is>
      </c>
    </row>
    <row r="22" ht="18" customHeight="1">
      <c r="B22" s="35" t="inlineStr">
        <is>
          <t>A.7   YKT Tutarı (TL)</t>
        </is>
      </c>
      <c r="C22" s="12">
        <f>IF(C20*C21/100=0,0,C20*C21/100)</f>
        <v/>
      </c>
      <c r="D22" s="31">
        <f> A.5 × A.6 / 100</f>
        <v/>
      </c>
    </row>
    <row r="23" ht="18" customHeight="1">
      <c r="B23" s="8" t="inlineStr">
        <is>
          <t>A.8   Vergi İndirim Oranı (%)</t>
        </is>
      </c>
      <c r="C23" s="34" t="n"/>
      <c r="D23" s="31" t="inlineStr">
        <is>
          <t>YTB'den gelen vergi indirimi oranı</t>
        </is>
      </c>
    </row>
    <row r="24" ht="18" customHeight="1">
      <c r="B24" s="8" t="inlineStr">
        <is>
          <t>A.9   Normal KV Oranı (%)</t>
        </is>
      </c>
      <c r="C24" s="34" t="n">
        <v>25</v>
      </c>
      <c r="D24" s="31" t="inlineStr">
        <is>
          <t>Varsayılan 25 (2024+); daha önce 20</t>
        </is>
      </c>
    </row>
    <row r="25" ht="18" customHeight="1">
      <c r="B25" s="35" t="inlineStr">
        <is>
          <t>A.10  İndirimli KV Oranı (%)</t>
        </is>
      </c>
      <c r="C25" s="36">
        <f>C24*(1-C23/100)</f>
        <v/>
      </c>
      <c r="D25" s="31">
        <f> A.9 × (1 - A.8/100)</f>
        <v/>
      </c>
    </row>
    <row r="26" ht="18" customHeight="1">
      <c r="B26" s="8" t="inlineStr">
        <is>
          <t>A.11  Dönem Durumu</t>
        </is>
      </c>
      <c r="C26" s="30" t="n"/>
      <c r="D26" s="31" t="inlineStr">
        <is>
          <t>Yatırım / İşletme / Tamamlandı-İşletme Devam</t>
        </is>
      </c>
    </row>
    <row r="27" ht="18" customHeight="1">
      <c r="B27" s="8" t="inlineStr">
        <is>
          <t>A.12  Tamamlama Vizesi Tarihi (Opsiyonel)</t>
        </is>
      </c>
      <c r="C27" s="32" t="n"/>
      <c r="D27" s="31" t="inlineStr">
        <is>
          <t>İşletme dönemine geçişi belgeleyiniz</t>
        </is>
      </c>
    </row>
    <row r="28" ht="6" customHeight="1">
      <c r="A28" s="20" t="n"/>
      <c r="B28" s="20" t="n"/>
      <c r="C28" s="20" t="n"/>
      <c r="D28" s="20" t="n"/>
    </row>
    <row r="29" ht="22" customHeight="1">
      <c r="A29" s="4" t="inlineStr">
        <is>
          <t>BÖLÜM B — YATIRIM DÖNEMİNDE DİĞER FAALİYET KAZANCI İNDİRİMİ</t>
        </is>
      </c>
    </row>
    <row r="30" ht="20" customHeight="1">
      <c r="A30" s="19" t="inlineStr">
        <is>
          <t>⚠  Bu bölüm yalnızca A.11 = "Yatırım Döneminde" ise uygulanır. İşletme dönemindeyse Bölüm D kullanınız.</t>
        </is>
      </c>
    </row>
    <row r="31" ht="18" customHeight="1">
      <c r="B31" s="8" t="inlineStr">
        <is>
          <t>B.1   Dönem Başı Kümülatif Yatırım Harcaması (TL)</t>
        </is>
      </c>
      <c r="C31" s="33" t="n"/>
      <c r="D31" s="31" t="inlineStr">
        <is>
          <t>Önceki dönemlerde yapılan yatırım harcamaları toplamı</t>
        </is>
      </c>
    </row>
    <row r="32" ht="18" customHeight="1">
      <c r="B32" s="8" t="inlineStr">
        <is>
          <t>B.2   Bu Dönem Yatırım Harcaması (TL)</t>
        </is>
      </c>
      <c r="C32" s="33" t="n"/>
      <c r="D32" s="31" t="inlineStr">
        <is>
          <t>Cari dönemde gerçekleşen yatırım harcaması</t>
        </is>
      </c>
    </row>
    <row r="33" ht="18" customHeight="1">
      <c r="B33" s="35" t="inlineStr">
        <is>
          <t>B.3   Kümülatif Toplam Harcama (TL)</t>
        </is>
      </c>
      <c r="C33" s="12">
        <f>C31+C32</f>
        <v/>
      </c>
      <c r="D33" s="31">
        <f> B.1 + B.2</f>
        <v/>
      </c>
    </row>
    <row r="34" ht="18" customHeight="1">
      <c r="B34" s="35" t="inlineStr">
        <is>
          <t>B.4   Bölge Limit Oranı (%)</t>
        </is>
      </c>
      <c r="C34" s="36">
        <f>SWITCH(C18,1,0,2,10,3,20,4,30,5,50,6,80,0)</f>
        <v/>
      </c>
      <c r="D34" s="31" t="inlineStr">
        <is>
          <t>Bölgeye göre otomatik: B1→0, B2→10, B3→20, B4→30, B5→50, B6→80</t>
        </is>
      </c>
    </row>
    <row r="35" ht="18" customHeight="1">
      <c r="B35" s="35" t="inlineStr">
        <is>
          <t>B.5   YKT × Bölge Limiti (TL)</t>
        </is>
      </c>
      <c r="C35" s="12">
        <f>C22*C34/100</f>
        <v/>
      </c>
      <c r="D35" s="31">
        <f> A.7 × B.4 / 100</f>
        <v/>
      </c>
    </row>
    <row r="36" ht="18" customHeight="1">
      <c r="B36" s="35" t="inlineStr">
        <is>
          <t>B.6   Azami Kullanılabilir Limit (TL)</t>
        </is>
      </c>
      <c r="C36" s="12">
        <f>MIN(C35,C33)</f>
        <v/>
      </c>
      <c r="D36" s="31">
        <f> MIN(B.5, B.3)</f>
        <v/>
      </c>
    </row>
    <row r="37" ht="18" customHeight="1">
      <c r="B37" s="8" t="inlineStr">
        <is>
          <t>B.7   Önceki Dönemler Kümülatif YKT Kullanımı (TL)</t>
        </is>
      </c>
      <c r="C37" s="33" t="n"/>
      <c r="D37" s="31" t="inlineStr">
        <is>
          <t>Bir önceki yıl beyannamesinden alınır</t>
        </is>
      </c>
    </row>
    <row r="38" ht="18" customHeight="1">
      <c r="B38" s="35" t="inlineStr">
        <is>
          <t>B.8   Bu Dönem Kullanılabilir YKT (TL)</t>
        </is>
      </c>
      <c r="C38" s="12">
        <f>MAX(0,C36-C37)</f>
        <v/>
      </c>
      <c r="D38" s="31">
        <f> MAX(0, B.6 - B.7)</f>
        <v/>
      </c>
    </row>
    <row r="39" ht="18" customHeight="1">
      <c r="B39" s="8" t="inlineStr">
        <is>
          <t>B.9   Diğer Faaliyet Kazancı Matrahı (TL)</t>
        </is>
      </c>
      <c r="C39" s="33" t="n"/>
      <c r="D39" s="31" t="inlineStr">
        <is>
          <t>Yatırım dönemi diğer faaliyet kazancı</t>
        </is>
      </c>
    </row>
    <row r="40" ht="18" customHeight="1">
      <c r="B40" s="35" t="inlineStr">
        <is>
          <t>B.10  İndirimli Matrah — Yatırım Dönemi (TL)</t>
        </is>
      </c>
      <c r="C40" s="12">
        <f>IF(C39&gt;0,MIN(C39,IF(C24&gt;0,C38/(C24/100),0)),0)</f>
        <v/>
      </c>
      <c r="D40" s="31">
        <f> MIN(B.9, B.8 / (A.9/100)) — max indirimli matrah</f>
        <v/>
      </c>
    </row>
    <row r="41" ht="18" customHeight="1">
      <c r="B41" s="35" t="inlineStr">
        <is>
          <t>B.11  Normal KV (TL)</t>
        </is>
      </c>
      <c r="C41" s="12">
        <f>C40*C24/100</f>
        <v/>
      </c>
      <c r="D41" s="31">
        <f> B.10 × A.9/100</f>
        <v/>
      </c>
    </row>
    <row r="42" ht="18" customHeight="1">
      <c r="B42" s="35" t="inlineStr">
        <is>
          <t>B.12  İndirimli KV (TL)</t>
        </is>
      </c>
      <c r="C42" s="12">
        <f>C40*C25/100</f>
        <v/>
      </c>
      <c r="D42" s="31">
        <f> B.10 × A.10/100</f>
        <v/>
      </c>
    </row>
    <row r="43" ht="20" customHeight="1">
      <c r="B43" s="17" t="inlineStr">
        <is>
          <t>B.13  KV Tasarrufu — Yatırım Dönemi (TL)</t>
        </is>
      </c>
      <c r="C43" s="18">
        <f>C41-C42</f>
        <v/>
      </c>
      <c r="D43" s="31">
        <f> B.11 - B.12  (Bu YTB için YKT kullanımı)</f>
        <v/>
      </c>
    </row>
    <row r="44" ht="6" customHeight="1">
      <c r="A44" s="20" t="n"/>
      <c r="B44" s="20" t="n"/>
      <c r="C44" s="20" t="n"/>
      <c r="D44" s="20" t="n"/>
    </row>
    <row r="45" ht="22" customHeight="1">
      <c r="A45" s="4" t="inlineStr">
        <is>
          <t>BÖLÜM C — TEVSİ YATIRIMLARDA KAZANÇ TESPİTİ</t>
        </is>
      </c>
    </row>
    <row r="46" ht="20" customHeight="1">
      <c r="A46" s="19" t="inlineStr">
        <is>
          <t>⚠  Bu bölüm yalnızca A.4 = "Tevsi" ise uygulanır.</t>
        </is>
      </c>
    </row>
    <row r="47" ht="18" customHeight="1">
      <c r="B47" s="8" t="inlineStr">
        <is>
          <t>C.1   Kazanç Tespit Yöntemi</t>
        </is>
      </c>
      <c r="C47" s="30" t="n"/>
      <c r="D47" s="31" t="inlineStr">
        <is>
          <t>Gerçek Usul veya Götürü - Oransal</t>
        </is>
      </c>
    </row>
    <row r="48" ht="18" customHeight="1">
      <c r="B48" s="8" t="inlineStr">
        <is>
          <t>C.2   YTB Kapsamı ATİK Değeri — Dönem Sonu (TL)</t>
        </is>
      </c>
      <c r="C48" s="33" t="n"/>
      <c r="D48" s="31" t="inlineStr">
        <is>
          <t>Yeniden değerlenmiş, tevsi yatırımına ait ATİK toplamı</t>
        </is>
      </c>
    </row>
    <row r="49" ht="18" customHeight="1">
      <c r="B49" s="8" t="inlineStr">
        <is>
          <t>C.3   Toplam ATİK Değeri — Dönem Sonu (TL)</t>
        </is>
      </c>
      <c r="C49" s="33" t="n"/>
      <c r="D49" s="31" t="inlineStr">
        <is>
          <t>Tüm faaliyetlere ait ATİK toplamı</t>
        </is>
      </c>
    </row>
    <row r="50" ht="18" customHeight="1">
      <c r="B50" s="35" t="inlineStr">
        <is>
          <t>C.4   Götürü Oran</t>
        </is>
      </c>
      <c r="C50" s="37">
        <f>IF(C49&gt;0,C48/C49,0)</f>
        <v/>
      </c>
      <c r="D50" s="31">
        <f> C.2 / C.3</f>
        <v/>
      </c>
    </row>
    <row r="51" ht="18" customHeight="1">
      <c r="B51" s="8" t="inlineStr">
        <is>
          <t>C.5   Dönem KV Matrahı — Tüm Faaliyetler (TL)</t>
        </is>
      </c>
      <c r="C51" s="33" t="n"/>
      <c r="D51" s="31" t="inlineStr">
        <is>
          <t>Tüm faaliyetler için hesaplanan KV matrahı</t>
        </is>
      </c>
    </row>
    <row r="52" ht="18" customHeight="1">
      <c r="B52" s="8" t="inlineStr">
        <is>
          <t>C.6   Gerçek Usul Tevsi Kazancı (TL)</t>
        </is>
      </c>
      <c r="C52" s="33" t="n"/>
      <c r="D52" s="31" t="inlineStr">
        <is>
          <t>Sadece gerçek usulde: doğrudan tespit edilen tevsi kazancı</t>
        </is>
      </c>
    </row>
    <row r="53" ht="18" customHeight="1">
      <c r="B53" s="35" t="inlineStr">
        <is>
          <t>C.7   Tevsi İndirimli Matrah (TL)</t>
        </is>
      </c>
      <c r="C53" s="12">
        <f>IF(C47="Götürü - Oransal",C51*C50,C52)</f>
        <v/>
      </c>
      <c r="D53" s="31">
        <f> Götürü: C.5×C.4   /   Gerçek: C.6</f>
        <v/>
      </c>
    </row>
    <row r="54" ht="6" customHeight="1">
      <c r="A54" s="20" t="n"/>
      <c r="B54" s="20" t="n"/>
      <c r="C54" s="20" t="n"/>
      <c r="D54" s="20" t="n"/>
    </row>
    <row r="55" ht="22" customHeight="1">
      <c r="A55" s="4" t="inlineStr">
        <is>
          <t>BÖLÜM D — İŞLETME DÖNEMİNDE BU YTB'DEN KAZANÇ</t>
        </is>
      </c>
    </row>
    <row r="56" ht="20" customHeight="1">
      <c r="A56" s="38" t="inlineStr">
        <is>
          <t>ℹ  İşletme döneminde D.1 değerini girin. Tevsi yatırımında C.7 otomatik yansıtılır.</t>
        </is>
      </c>
    </row>
    <row r="57" ht="18" customHeight="1">
      <c r="B57" s="8" t="inlineStr">
        <is>
          <t>D.1   Bu YTB'den Elde Edilen Kazanç Matrahı (TL)</t>
        </is>
      </c>
      <c r="C57" s="33" t="n"/>
      <c r="D57" s="31" t="inlineStr">
        <is>
          <t>Tevsi ise C.7 değerini buraya kopyalayabilirsiniz: =C53</t>
        </is>
      </c>
    </row>
    <row r="58" ht="18" customHeight="1">
      <c r="B58" s="35" t="inlineStr">
        <is>
          <t>D.2   Normal KV (TL)</t>
        </is>
      </c>
      <c r="C58" s="12">
        <f>C57*C24/100</f>
        <v/>
      </c>
      <c r="D58" s="31">
        <f> D.1 × A.9/100</f>
        <v/>
      </c>
    </row>
    <row r="59" ht="18" customHeight="1">
      <c r="B59" s="35" t="inlineStr">
        <is>
          <t>D.3   İndirimli KV (TL)</t>
        </is>
      </c>
      <c r="C59" s="12">
        <f>C57*C25/100</f>
        <v/>
      </c>
      <c r="D59" s="31">
        <f> D.1 × A.10/100</f>
        <v/>
      </c>
    </row>
    <row r="60" ht="20" customHeight="1">
      <c r="B60" s="17" t="inlineStr">
        <is>
          <t>D.4   KV Tasarrufu — İşletme Dönemi (TL)</t>
        </is>
      </c>
      <c r="C60" s="18">
        <f>C58-C59</f>
        <v/>
      </c>
      <c r="D60" s="31">
        <f> D.2 - D.3</f>
        <v/>
      </c>
    </row>
    <row r="61" ht="6" customHeight="1">
      <c r="A61" s="20" t="n"/>
      <c r="B61" s="20" t="n"/>
      <c r="C61" s="20" t="n"/>
      <c r="D61" s="20" t="n"/>
    </row>
    <row r="62" ht="22" customHeight="1">
      <c r="A62" s="4" t="inlineStr">
        <is>
          <t>BÖLÜM E — YDO ENDEKSLEMESİ (Tamamlama Sonrası)</t>
        </is>
      </c>
    </row>
    <row r="63" ht="20" customHeight="1">
      <c r="A63" s="38" t="inlineStr">
        <is>
          <t>ℹ  Tamamlama vizesi alındıktan sonra kalan YKT YDO ile endekslenir. 2024: %63,93 — 2025: %3,30</t>
        </is>
      </c>
    </row>
    <row r="64" ht="18" customHeight="1">
      <c r="B64" s="8" t="inlineStr">
        <is>
          <t>E.1   Dönem Başı Kalan YKT (TL)</t>
        </is>
      </c>
      <c r="C64" s="33" t="n"/>
      <c r="D64" s="31" t="inlineStr">
        <is>
          <t>Tamamlama vizesi sonrası dönem başındaki bakiye YKT</t>
        </is>
      </c>
    </row>
    <row r="65" ht="18" customHeight="1">
      <c r="B65" s="8" t="inlineStr">
        <is>
          <t>E.2   YDO Oranı (%)</t>
        </is>
      </c>
      <c r="C65" s="34" t="n"/>
      <c r="D65" s="31" t="inlineStr">
        <is>
          <t>2024: 63,93% — 2025: 3,30% — Hazine açıklaması izleyin</t>
        </is>
      </c>
    </row>
    <row r="66" ht="18" customHeight="1">
      <c r="B66" s="35" t="inlineStr">
        <is>
          <t>E.3   YDO Artışı (TL)</t>
        </is>
      </c>
      <c r="C66" s="12">
        <f>C64*C65/100</f>
        <v/>
      </c>
      <c r="D66" s="31">
        <f> E.1 × E.2/100</f>
        <v/>
      </c>
    </row>
    <row r="67" ht="20" customHeight="1">
      <c r="B67" s="17" t="inlineStr">
        <is>
          <t>E.4   Endekslenmiş Dönem Başı YKT (TL)</t>
        </is>
      </c>
      <c r="C67" s="18">
        <f>C64+C66</f>
        <v/>
      </c>
      <c r="D67" s="31">
        <f> E.1 + E.3</f>
        <v/>
      </c>
    </row>
    <row r="68" ht="6" customHeight="1">
      <c r="A68" s="20" t="n"/>
      <c r="B68" s="20" t="n"/>
      <c r="C68" s="20" t="n"/>
      <c r="D68" s="20" t="n"/>
    </row>
    <row r="69" ht="22" customHeight="1">
      <c r="A69" s="29" t="inlineStr">
        <is>
          <t>BÖLÜM F — KÜMÜLATİF YKT TAKİBİ VE DÖNEM SONUCU</t>
        </is>
      </c>
    </row>
    <row r="70" ht="18" customHeight="1">
      <c r="B70" s="26" t="inlineStr">
        <is>
          <t>F.1   Toplam YKT (TL)</t>
        </is>
      </c>
      <c r="C70" s="39">
        <f>C22</f>
        <v/>
      </c>
      <c r="D70" s="31">
        <f> A.7</f>
        <v/>
      </c>
    </row>
    <row r="71" ht="18" customHeight="1">
      <c r="B71" s="8" t="inlineStr">
        <is>
          <t>F.2   Önceki Dönemler Kümülatif YKT Kullanımı (TL)</t>
        </is>
      </c>
      <c r="C71" s="33" t="n"/>
      <c r="D71" s="31" t="inlineStr">
        <is>
          <t>GİB beyanname / vergi dairesi kayıtlarından alınır</t>
        </is>
      </c>
    </row>
    <row r="72" ht="18" customHeight="1">
      <c r="B72" s="35" t="inlineStr">
        <is>
          <t>F.3   Dönem Başı Kalan YKT (TL)</t>
        </is>
      </c>
      <c r="C72" s="12">
        <f>MAX(0,C70-C71)</f>
        <v/>
      </c>
      <c r="D72" s="31">
        <f> F.1 - F.2</f>
        <v/>
      </c>
    </row>
    <row r="73" ht="18" customHeight="1">
      <c r="B73" s="35" t="inlineStr">
        <is>
          <t>F.4   Bu Dönem Toplam İndirimli Matrah (TL)</t>
        </is>
      </c>
      <c r="C73" s="12">
        <f>C40+C57</f>
        <v/>
      </c>
      <c r="D73" s="31">
        <f> B.10 + D.1</f>
        <v/>
      </c>
    </row>
    <row r="74" ht="18" customHeight="1">
      <c r="B74" s="35" t="inlineStr">
        <is>
          <t>F.5   Bu Dönem Normal KV (TL)</t>
        </is>
      </c>
      <c r="C74" s="12">
        <f>C41+C58</f>
        <v/>
      </c>
      <c r="D74" s="31">
        <f> B.11 + D.2</f>
        <v/>
      </c>
    </row>
    <row r="75" ht="18" customHeight="1">
      <c r="B75" s="35" t="inlineStr">
        <is>
          <t>F.6   Bu Dönem İndirimli KV (TL)</t>
        </is>
      </c>
      <c r="C75" s="12">
        <f>C42+C59</f>
        <v/>
      </c>
      <c r="D75" s="31">
        <f> B.12 + D.3</f>
        <v/>
      </c>
    </row>
    <row r="76" ht="18" customHeight="1">
      <c r="B76" s="26" t="inlineStr">
        <is>
          <t>F.7   Bu Dönem KV Tasarrufu (TL)</t>
        </is>
      </c>
      <c r="C76" s="15">
        <f>C74-C75</f>
        <v/>
      </c>
      <c r="D76" s="31">
        <f> F.5 - F.6</f>
        <v/>
      </c>
    </row>
    <row r="77" ht="18" customHeight="1">
      <c r="B77" s="26" t="inlineStr">
        <is>
          <t>F.8   Bu Dönem YKT Kullanımı (TL)</t>
        </is>
      </c>
      <c r="C77" s="15">
        <f>C43+C60</f>
        <v/>
      </c>
      <c r="D77" s="31">
        <f> B.13 + D.4</f>
        <v/>
      </c>
    </row>
    <row r="78" ht="18" customHeight="1">
      <c r="B78" s="35" t="inlineStr">
        <is>
          <t>F.9   Kontrol (F.7 - F.8 = 0?)</t>
        </is>
      </c>
      <c r="C78" s="12">
        <f>ROUND(C76-C77,2)</f>
        <v/>
      </c>
      <c r="D78" s="31" t="inlineStr">
        <is>
          <t>⚠  0 olmalı. Farklıysa kontrol edin.</t>
        </is>
      </c>
    </row>
    <row r="79" ht="22" customHeight="1">
      <c r="B79" s="17" t="inlineStr">
        <is>
          <t>F.10  Dönem Sonu Kalan YKT (TL) — DEVREDEN</t>
        </is>
      </c>
      <c r="C79" s="18">
        <f>MAX(0,C72-C77)</f>
        <v/>
      </c>
      <c r="D79" s="31">
        <f> MAX(0, F.3 - F.8)  → Bir sonraki döneme devreder</f>
        <v/>
      </c>
    </row>
    <row r="80" ht="18" customHeight="1">
      <c r="B80" s="35" t="inlineStr">
        <is>
          <t>F.11  Kümülatif Kullanım Oranı (%)</t>
        </is>
      </c>
      <c r="C80" s="36">
        <f>IF(C70&gt;0,(C71+C77)/C70*100,0)</f>
        <v/>
      </c>
      <c r="D80" s="31">
        <f> (F.2 + F.8) / F.1 × 100</f>
        <v/>
      </c>
    </row>
    <row r="81" ht="22" customHeight="1">
      <c r="B81" s="26" t="inlineStr">
        <is>
          <t>F.12  YKT Durum Göstergesi</t>
        </is>
      </c>
      <c r="C81" s="40">
        <f>IF(C22=0,"YKT Giriş Eksik",IF(C79&lt;=0,"YKT Tükendi",IF(C77=0,"Bu Dönem Kullanım Yok",IF(C80&gt;=95,"Son Dönem","Devam Ediyor"))))</f>
        <v/>
      </c>
      <c r="D81" s="28" t="inlineStr">
        <is>
          <t>YKT Giriş Eksik / YKT Tükendi / Bu Dönem Kullanım Yok / Son Dönem / Devam Ediyor</t>
        </is>
      </c>
    </row>
    <row r="82" ht="6" customHeight="1">
      <c r="A82" s="20" t="n"/>
      <c r="B82" s="20" t="n"/>
      <c r="C82" s="20" t="n"/>
      <c r="D82" s="20" t="n"/>
    </row>
    <row r="83" ht="22" customHeight="1">
      <c r="A83" s="41" t="inlineStr">
        <is>
          <t>BÖLÜM G — SONUÇ ÖZETİ</t>
        </is>
      </c>
    </row>
    <row r="84" ht="22" customHeight="1">
      <c r="B84" s="17" t="inlineStr">
        <is>
          <t>Bu YTB KV Tasarrufu (TL)</t>
        </is>
      </c>
      <c r="C84" s="18">
        <f>C76</f>
        <v/>
      </c>
      <c r="D84" s="42" t="n"/>
    </row>
    <row r="85" ht="22" customHeight="1">
      <c r="B85" s="17" t="inlineStr">
        <is>
          <t>Kalan YKT — Devreden (TL)</t>
        </is>
      </c>
      <c r="C85" s="18">
        <f>C79</f>
        <v/>
      </c>
      <c r="D85" s="42" t="n"/>
    </row>
    <row r="86" ht="22" customHeight="1">
      <c r="B86" s="17" t="inlineStr">
        <is>
          <t>YKT Kullanım Durumu</t>
        </is>
      </c>
      <c r="C86" s="18">
        <f>C81</f>
        <v/>
      </c>
      <c r="D86" s="42" t="n"/>
    </row>
    <row r="87" ht="6" customHeight="1">
      <c r="A87" s="20" t="n"/>
      <c r="B87" s="20" t="n"/>
      <c r="C87" s="20" t="n"/>
      <c r="D87" s="20" t="n"/>
    </row>
  </sheetData>
  <mergeCells count="16">
    <mergeCell ref="A45:D45"/>
    <mergeCell ref="A56:D56"/>
    <mergeCell ref="A69:D69"/>
    <mergeCell ref="A83:D83"/>
    <mergeCell ref="A4:D4"/>
    <mergeCell ref="A62:D62"/>
    <mergeCell ref="A30:D30"/>
    <mergeCell ref="D86"/>
    <mergeCell ref="A55:D55"/>
    <mergeCell ref="A15:D15"/>
    <mergeCell ref="A29:D29"/>
    <mergeCell ref="A2:D2"/>
    <mergeCell ref="A63:D63"/>
    <mergeCell ref="D85"/>
    <mergeCell ref="D84"/>
    <mergeCell ref="A46:D46"/>
  </mergeCells>
  <dataValidations count="5">
    <dataValidation sqref="C5 C6 C7 C8 C9 C10 C11 C12" showDropDown="0" showInputMessage="0" showErrorMessage="0" allowBlank="1" type="list">
      <formula1>"EVET,HAYIR"</formula1>
    </dataValidation>
    <dataValidation sqref="C18" showDropDown="0" showInputMessage="0" showErrorMessage="0" allowBlank="1" type="list">
      <formula1>"1,2,3,4,5,6"</formula1>
    </dataValidation>
    <dataValidation sqref="C19" showDropDown="0" showInputMessage="0" showErrorMessage="0" allowBlank="1" type="list">
      <formula1>"Komple Yeni,Tevsi,Modernizasyon,Diğer"</formula1>
    </dataValidation>
    <dataValidation sqref="C26" showDropDown="0" showInputMessage="0" showErrorMessage="0" allowBlank="1" type="list">
      <formula1>"Yatırım Döneminde,İşletme Döneminde,Tamamlandı-İşletme Devam"</formula1>
    </dataValidation>
    <dataValidation sqref="C47" showDropDown="0" showInputMessage="0" showErrorMessage="0" allowBlank="1" type="list">
      <formula1>"Gerçek Usul,Götürü - Oransal"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38" customWidth="1" min="4" max="4"/>
  </cols>
  <sheetData>
    <row r="1" ht="4" customHeight="1">
      <c r="A1" s="20" t="inlineStr">
        <is>
          <t>YTB-5</t>
        </is>
      </c>
      <c r="B1" s="20" t="n"/>
      <c r="C1" s="20" t="n"/>
      <c r="D1" s="20" t="n"/>
    </row>
    <row r="2" ht="34" customHeight="1">
      <c r="A2" s="21" t="inlineStr">
        <is>
          <t>YTB-5  —  KVK Md.32/A İndirimli KV Çalışma Kağıdı</t>
        </is>
      </c>
    </row>
    <row r="3" ht="4" customHeight="1">
      <c r="A3" s="22">
        <f>C16</f>
        <v/>
      </c>
      <c r="B3" s="20" t="n"/>
      <c r="C3" s="20" t="n"/>
      <c r="D3" s="20" t="n"/>
    </row>
    <row r="4" ht="22" customHeight="1">
      <c r="A4" s="23">
        <f>C26</f>
        <v/>
      </c>
    </row>
    <row r="5" ht="18" customHeight="1">
      <c r="A5" s="24">
        <f>C20</f>
        <v/>
      </c>
      <c r="B5" s="8" t="inlineStr">
        <is>
          <t>A0.1  YTB geçerli mi? (İptal veya revize edilmemiş)</t>
        </is>
      </c>
      <c r="C5" s="9" t="inlineStr"/>
      <c r="D5" s="25" t="inlineStr">
        <is>
          <t>EVET veya HAYIR seçin</t>
        </is>
      </c>
    </row>
    <row r="6" ht="18" customHeight="1">
      <c r="A6" s="24">
        <f>C22</f>
        <v/>
      </c>
      <c r="B6" s="8" t="inlineStr">
        <is>
          <t>A0.2  Sektör uygun mu? (Finans/sigorta/adi ortaklık değil)</t>
        </is>
      </c>
      <c r="C6" s="9" t="inlineStr"/>
      <c r="D6" s="25" t="inlineStr">
        <is>
          <t>EVET veya HAYIR seçin</t>
        </is>
      </c>
    </row>
    <row r="7" ht="18" customHeight="1">
      <c r="A7" s="24">
        <f>C71</f>
        <v/>
      </c>
      <c r="B7" s="8" t="inlineStr">
        <is>
          <t>A0.3  Bu YTB'den elde edilen kazanç bu YTB'ye mi uygulanıyor?</t>
        </is>
      </c>
      <c r="C7" s="9" t="inlineStr"/>
      <c r="D7" s="25" t="inlineStr">
        <is>
          <t>EVET veya HAYIR seçin</t>
        </is>
      </c>
    </row>
    <row r="8" ht="18" customHeight="1">
      <c r="A8" s="24">
        <f>C77</f>
        <v/>
      </c>
      <c r="B8" s="8" t="inlineStr">
        <is>
          <t>A0.4  Yatırım/işletme dönemi doğru tespit edildi mi?</t>
        </is>
      </c>
      <c r="C8" s="9" t="inlineStr"/>
      <c r="D8" s="25" t="inlineStr">
        <is>
          <t>EVET veya HAYIR seçin</t>
        </is>
      </c>
    </row>
    <row r="9" ht="18" customHeight="1">
      <c r="A9" s="24">
        <f>C76</f>
        <v/>
      </c>
      <c r="B9" s="8" t="inlineStr">
        <is>
          <t>A0.5  Önceki dönem YKT kümülatif kullanımı doğru girildi mi?</t>
        </is>
      </c>
      <c r="C9" s="9" t="inlineStr"/>
      <c r="D9" s="25" t="inlineStr">
        <is>
          <t>EVET veya HAYIR seçin</t>
        </is>
      </c>
    </row>
    <row r="10" ht="18" customHeight="1">
      <c r="A10" s="24">
        <f>C79</f>
        <v/>
      </c>
      <c r="B10" s="8" t="inlineStr">
        <is>
          <t>A0.6  Çapraz YTB YKT uygulaması yok mu?</t>
        </is>
      </c>
      <c r="C10" s="9" t="inlineStr"/>
      <c r="D10" s="25" t="inlineStr">
        <is>
          <t>EVET veya HAYIR seçin</t>
        </is>
      </c>
    </row>
    <row r="11" ht="18" customHeight="1">
      <c r="B11" s="8" t="inlineStr">
        <is>
          <t>A0.7  YİAKV uyarlaması değerlendirildi mi?</t>
        </is>
      </c>
      <c r="C11" s="9" t="inlineStr"/>
      <c r="D11" s="25" t="inlineStr">
        <is>
          <t>EVET veya HAYIR seçin</t>
        </is>
      </c>
    </row>
    <row r="12" ht="18" customHeight="1">
      <c r="B12" s="8" t="inlineStr">
        <is>
          <t>A0.8  YMM raporu yükümlülüğü kontrol edildi mi?</t>
        </is>
      </c>
      <c r="C12" s="9" t="inlineStr"/>
      <c r="D12" s="25" t="inlineStr">
        <is>
          <t>EVET veya HAYIR seçin</t>
        </is>
      </c>
    </row>
    <row r="13" ht="22" customHeight="1">
      <c r="B13" s="26" t="inlineStr">
        <is>
          <t>A0.9  Ön Koşul Sonucu</t>
        </is>
      </c>
      <c r="C13" s="27">
        <f>IF(AND(C5="EVET",C6="EVET",C7="EVET",C8="EVET",C9="EVET",C10="EVET",C11="EVET",C12="EVET"),"✓ Hesaplanabilir","✗ Ön Koşul Eksik")</f>
        <v/>
      </c>
      <c r="D13" s="28" t="inlineStr">
        <is>
          <t>Tüm koşullar EVET ise hesaplama yapılabilir</t>
        </is>
      </c>
    </row>
    <row r="14" ht="6" customHeight="1">
      <c r="A14" s="20" t="n"/>
      <c r="B14" s="20" t="n"/>
      <c r="C14" s="20" t="n"/>
      <c r="D14" s="20" t="n"/>
    </row>
    <row r="15" ht="22" customHeight="1">
      <c r="A15" s="29" t="inlineStr">
        <is>
          <t>BÖLÜM A — YTB KİMLİK BİLGİLERİ (Girdi)</t>
        </is>
      </c>
    </row>
    <row r="16" ht="18" customHeight="1">
      <c r="B16" s="8" t="inlineStr">
        <is>
          <t>A.1   YTB Numarası</t>
        </is>
      </c>
      <c r="C16" s="30" t="n"/>
      <c r="D16" s="31" t="inlineStr">
        <is>
          <t>Örn: 2023/B-123456</t>
        </is>
      </c>
    </row>
    <row r="17" ht="18" customHeight="1">
      <c r="B17" s="8" t="inlineStr">
        <is>
          <t>A.2   YTB Düzenleme Tarihi</t>
        </is>
      </c>
      <c r="C17" s="32" t="n"/>
      <c r="D17" s="31" t="inlineStr">
        <is>
          <t>GG.AA.YYYY formatında</t>
        </is>
      </c>
    </row>
    <row r="18" ht="18" customHeight="1">
      <c r="B18" s="8" t="inlineStr">
        <is>
          <t>A.3   Yatırım Bölgesi (1-6)</t>
        </is>
      </c>
      <c r="C18" s="30" t="n"/>
      <c r="D18" s="31" t="inlineStr">
        <is>
          <t>Bölge1→0% / Bölge2→10% / Bölge3→20% / Bölge4→30% / Bölge5→50% / Bölge6→80%</t>
        </is>
      </c>
    </row>
    <row r="19" ht="18" customHeight="1">
      <c r="B19" s="8" t="inlineStr">
        <is>
          <t>A.4   Yatırım Türü</t>
        </is>
      </c>
      <c r="C19" s="30" t="n"/>
      <c r="D19" s="31" t="inlineStr">
        <is>
          <t>Komple Yeni / Tevsi / Modernizasyon / Diğer</t>
        </is>
      </c>
    </row>
    <row r="20" ht="18" customHeight="1">
      <c r="B20" s="8" t="inlineStr">
        <is>
          <t>A.5   Toplam Yatırım Tutarı (TL)</t>
        </is>
      </c>
      <c r="C20" s="33" t="n"/>
      <c r="D20" s="31" t="inlineStr">
        <is>
          <t>YTB'de belirtilen toplam yatırım tutarı</t>
        </is>
      </c>
    </row>
    <row r="21" ht="18" customHeight="1">
      <c r="B21" s="8" t="inlineStr">
        <is>
          <t>A.6   YKT Oranı (%)</t>
        </is>
      </c>
      <c r="C21" s="34" t="n"/>
      <c r="D21" s="31" t="inlineStr">
        <is>
          <t>YTB'den gelen yatırıma katkı oranı</t>
        </is>
      </c>
    </row>
    <row r="22" ht="18" customHeight="1">
      <c r="B22" s="35" t="inlineStr">
        <is>
          <t>A.7   YKT Tutarı (TL)</t>
        </is>
      </c>
      <c r="C22" s="12">
        <f>IF(C20*C21/100=0,0,C20*C21/100)</f>
        <v/>
      </c>
      <c r="D22" s="31">
        <f> A.5 × A.6 / 100</f>
        <v/>
      </c>
    </row>
    <row r="23" ht="18" customHeight="1">
      <c r="B23" s="8" t="inlineStr">
        <is>
          <t>A.8   Vergi İndirim Oranı (%)</t>
        </is>
      </c>
      <c r="C23" s="34" t="n"/>
      <c r="D23" s="31" t="inlineStr">
        <is>
          <t>YTB'den gelen vergi indirimi oranı</t>
        </is>
      </c>
    </row>
    <row r="24" ht="18" customHeight="1">
      <c r="B24" s="8" t="inlineStr">
        <is>
          <t>A.9   Normal KV Oranı (%)</t>
        </is>
      </c>
      <c r="C24" s="34" t="n">
        <v>25</v>
      </c>
      <c r="D24" s="31" t="inlineStr">
        <is>
          <t>Varsayılan 25 (2024+); daha önce 20</t>
        </is>
      </c>
    </row>
    <row r="25" ht="18" customHeight="1">
      <c r="B25" s="35" t="inlineStr">
        <is>
          <t>A.10  İndirimli KV Oranı (%)</t>
        </is>
      </c>
      <c r="C25" s="36">
        <f>C24*(1-C23/100)</f>
        <v/>
      </c>
      <c r="D25" s="31">
        <f> A.9 × (1 - A.8/100)</f>
        <v/>
      </c>
    </row>
    <row r="26" ht="18" customHeight="1">
      <c r="B26" s="8" t="inlineStr">
        <is>
          <t>A.11  Dönem Durumu</t>
        </is>
      </c>
      <c r="C26" s="30" t="n"/>
      <c r="D26" s="31" t="inlineStr">
        <is>
          <t>Yatırım / İşletme / Tamamlandı-İşletme Devam</t>
        </is>
      </c>
    </row>
    <row r="27" ht="18" customHeight="1">
      <c r="B27" s="8" t="inlineStr">
        <is>
          <t>A.12  Tamamlama Vizesi Tarihi (Opsiyonel)</t>
        </is>
      </c>
      <c r="C27" s="32" t="n"/>
      <c r="D27" s="31" t="inlineStr">
        <is>
          <t>İşletme dönemine geçişi belgeleyiniz</t>
        </is>
      </c>
    </row>
    <row r="28" ht="6" customHeight="1">
      <c r="A28" s="20" t="n"/>
      <c r="B28" s="20" t="n"/>
      <c r="C28" s="20" t="n"/>
      <c r="D28" s="20" t="n"/>
    </row>
    <row r="29" ht="22" customHeight="1">
      <c r="A29" s="4" t="inlineStr">
        <is>
          <t>BÖLÜM B — YATIRIM DÖNEMİNDE DİĞER FAALİYET KAZANCI İNDİRİMİ</t>
        </is>
      </c>
    </row>
    <row r="30" ht="20" customHeight="1">
      <c r="A30" s="19" t="inlineStr">
        <is>
          <t>⚠  Bu bölüm yalnızca A.11 = "Yatırım Döneminde" ise uygulanır. İşletme dönemindeyse Bölüm D kullanınız.</t>
        </is>
      </c>
    </row>
    <row r="31" ht="18" customHeight="1">
      <c r="B31" s="8" t="inlineStr">
        <is>
          <t>B.1   Dönem Başı Kümülatif Yatırım Harcaması (TL)</t>
        </is>
      </c>
      <c r="C31" s="33" t="n"/>
      <c r="D31" s="31" t="inlineStr">
        <is>
          <t>Önceki dönemlerde yapılan yatırım harcamaları toplamı</t>
        </is>
      </c>
    </row>
    <row r="32" ht="18" customHeight="1">
      <c r="B32" s="8" t="inlineStr">
        <is>
          <t>B.2   Bu Dönem Yatırım Harcaması (TL)</t>
        </is>
      </c>
      <c r="C32" s="33" t="n"/>
      <c r="D32" s="31" t="inlineStr">
        <is>
          <t>Cari dönemde gerçekleşen yatırım harcaması</t>
        </is>
      </c>
    </row>
    <row r="33" ht="18" customHeight="1">
      <c r="B33" s="35" t="inlineStr">
        <is>
          <t>B.3   Kümülatif Toplam Harcama (TL)</t>
        </is>
      </c>
      <c r="C33" s="12">
        <f>C31+C32</f>
        <v/>
      </c>
      <c r="D33" s="31">
        <f> B.1 + B.2</f>
        <v/>
      </c>
    </row>
    <row r="34" ht="18" customHeight="1">
      <c r="B34" s="35" t="inlineStr">
        <is>
          <t>B.4   Bölge Limit Oranı (%)</t>
        </is>
      </c>
      <c r="C34" s="36">
        <f>SWITCH(C18,1,0,2,10,3,20,4,30,5,50,6,80,0)</f>
        <v/>
      </c>
      <c r="D34" s="31" t="inlineStr">
        <is>
          <t>Bölgeye göre otomatik: B1→0, B2→10, B3→20, B4→30, B5→50, B6→80</t>
        </is>
      </c>
    </row>
    <row r="35" ht="18" customHeight="1">
      <c r="B35" s="35" t="inlineStr">
        <is>
          <t>B.5   YKT × Bölge Limiti (TL)</t>
        </is>
      </c>
      <c r="C35" s="12">
        <f>C22*C34/100</f>
        <v/>
      </c>
      <c r="D35" s="31">
        <f> A.7 × B.4 / 100</f>
        <v/>
      </c>
    </row>
    <row r="36" ht="18" customHeight="1">
      <c r="B36" s="35" t="inlineStr">
        <is>
          <t>B.6   Azami Kullanılabilir Limit (TL)</t>
        </is>
      </c>
      <c r="C36" s="12">
        <f>MIN(C35,C33)</f>
        <v/>
      </c>
      <c r="D36" s="31">
        <f> MIN(B.5, B.3)</f>
        <v/>
      </c>
    </row>
    <row r="37" ht="18" customHeight="1">
      <c r="B37" s="8" t="inlineStr">
        <is>
          <t>B.7   Önceki Dönemler Kümülatif YKT Kullanımı (TL)</t>
        </is>
      </c>
      <c r="C37" s="33" t="n"/>
      <c r="D37" s="31" t="inlineStr">
        <is>
          <t>Bir önceki yıl beyannamesinden alınır</t>
        </is>
      </c>
    </row>
    <row r="38" ht="18" customHeight="1">
      <c r="B38" s="35" t="inlineStr">
        <is>
          <t>B.8   Bu Dönem Kullanılabilir YKT (TL)</t>
        </is>
      </c>
      <c r="C38" s="12">
        <f>MAX(0,C36-C37)</f>
        <v/>
      </c>
      <c r="D38" s="31">
        <f> MAX(0, B.6 - B.7)</f>
        <v/>
      </c>
    </row>
    <row r="39" ht="18" customHeight="1">
      <c r="B39" s="8" t="inlineStr">
        <is>
          <t>B.9   Diğer Faaliyet Kazancı Matrahı (TL)</t>
        </is>
      </c>
      <c r="C39" s="33" t="n"/>
      <c r="D39" s="31" t="inlineStr">
        <is>
          <t>Yatırım dönemi diğer faaliyet kazancı</t>
        </is>
      </c>
    </row>
    <row r="40" ht="18" customHeight="1">
      <c r="B40" s="35" t="inlineStr">
        <is>
          <t>B.10  İndirimli Matrah — Yatırım Dönemi (TL)</t>
        </is>
      </c>
      <c r="C40" s="12">
        <f>IF(C39&gt;0,MIN(C39,IF(C24&gt;0,C38/(C24/100),0)),0)</f>
        <v/>
      </c>
      <c r="D40" s="31">
        <f> MIN(B.9, B.8 / (A.9/100)) — max indirimli matrah</f>
        <v/>
      </c>
    </row>
    <row r="41" ht="18" customHeight="1">
      <c r="B41" s="35" t="inlineStr">
        <is>
          <t>B.11  Normal KV (TL)</t>
        </is>
      </c>
      <c r="C41" s="12">
        <f>C40*C24/100</f>
        <v/>
      </c>
      <c r="D41" s="31">
        <f> B.10 × A.9/100</f>
        <v/>
      </c>
    </row>
    <row r="42" ht="18" customHeight="1">
      <c r="B42" s="35" t="inlineStr">
        <is>
          <t>B.12  İndirimli KV (TL)</t>
        </is>
      </c>
      <c r="C42" s="12">
        <f>C40*C25/100</f>
        <v/>
      </c>
      <c r="D42" s="31">
        <f> B.10 × A.10/100</f>
        <v/>
      </c>
    </row>
    <row r="43" ht="20" customHeight="1">
      <c r="B43" s="17" t="inlineStr">
        <is>
          <t>B.13  KV Tasarrufu — Yatırım Dönemi (TL)</t>
        </is>
      </c>
      <c r="C43" s="18">
        <f>C41-C42</f>
        <v/>
      </c>
      <c r="D43" s="31">
        <f> B.11 - B.12  (Bu YTB için YKT kullanımı)</f>
        <v/>
      </c>
    </row>
    <row r="44" ht="6" customHeight="1">
      <c r="A44" s="20" t="n"/>
      <c r="B44" s="20" t="n"/>
      <c r="C44" s="20" t="n"/>
      <c r="D44" s="20" t="n"/>
    </row>
    <row r="45" ht="22" customHeight="1">
      <c r="A45" s="4" t="inlineStr">
        <is>
          <t>BÖLÜM C — TEVSİ YATIRIMLARDA KAZANÇ TESPİTİ</t>
        </is>
      </c>
    </row>
    <row r="46" ht="20" customHeight="1">
      <c r="A46" s="19" t="inlineStr">
        <is>
          <t>⚠  Bu bölüm yalnızca A.4 = "Tevsi" ise uygulanır.</t>
        </is>
      </c>
    </row>
    <row r="47" ht="18" customHeight="1">
      <c r="B47" s="8" t="inlineStr">
        <is>
          <t>C.1   Kazanç Tespit Yöntemi</t>
        </is>
      </c>
      <c r="C47" s="30" t="n"/>
      <c r="D47" s="31" t="inlineStr">
        <is>
          <t>Gerçek Usul veya Götürü - Oransal</t>
        </is>
      </c>
    </row>
    <row r="48" ht="18" customHeight="1">
      <c r="B48" s="8" t="inlineStr">
        <is>
          <t>C.2   YTB Kapsamı ATİK Değeri — Dönem Sonu (TL)</t>
        </is>
      </c>
      <c r="C48" s="33" t="n"/>
      <c r="D48" s="31" t="inlineStr">
        <is>
          <t>Yeniden değerlenmiş, tevsi yatırımına ait ATİK toplamı</t>
        </is>
      </c>
    </row>
    <row r="49" ht="18" customHeight="1">
      <c r="B49" s="8" t="inlineStr">
        <is>
          <t>C.3   Toplam ATİK Değeri — Dönem Sonu (TL)</t>
        </is>
      </c>
      <c r="C49" s="33" t="n"/>
      <c r="D49" s="31" t="inlineStr">
        <is>
          <t>Tüm faaliyetlere ait ATİK toplamı</t>
        </is>
      </c>
    </row>
    <row r="50" ht="18" customHeight="1">
      <c r="B50" s="35" t="inlineStr">
        <is>
          <t>C.4   Götürü Oran</t>
        </is>
      </c>
      <c r="C50" s="37">
        <f>IF(C49&gt;0,C48/C49,0)</f>
        <v/>
      </c>
      <c r="D50" s="31">
        <f> C.2 / C.3</f>
        <v/>
      </c>
    </row>
    <row r="51" ht="18" customHeight="1">
      <c r="B51" s="8" t="inlineStr">
        <is>
          <t>C.5   Dönem KV Matrahı — Tüm Faaliyetler (TL)</t>
        </is>
      </c>
      <c r="C51" s="33" t="n"/>
      <c r="D51" s="31" t="inlineStr">
        <is>
          <t>Tüm faaliyetler için hesaplanan KV matrahı</t>
        </is>
      </c>
    </row>
    <row r="52" ht="18" customHeight="1">
      <c r="B52" s="8" t="inlineStr">
        <is>
          <t>C.6   Gerçek Usul Tevsi Kazancı (TL)</t>
        </is>
      </c>
      <c r="C52" s="33" t="n"/>
      <c r="D52" s="31" t="inlineStr">
        <is>
          <t>Sadece gerçek usulde: doğrudan tespit edilen tevsi kazancı</t>
        </is>
      </c>
    </row>
    <row r="53" ht="18" customHeight="1">
      <c r="B53" s="35" t="inlineStr">
        <is>
          <t>C.7   Tevsi İndirimli Matrah (TL)</t>
        </is>
      </c>
      <c r="C53" s="12">
        <f>IF(C47="Götürü - Oransal",C51*C50,C52)</f>
        <v/>
      </c>
      <c r="D53" s="31">
        <f> Götürü: C.5×C.4   /   Gerçek: C.6</f>
        <v/>
      </c>
    </row>
    <row r="54" ht="6" customHeight="1">
      <c r="A54" s="20" t="n"/>
      <c r="B54" s="20" t="n"/>
      <c r="C54" s="20" t="n"/>
      <c r="D54" s="20" t="n"/>
    </row>
    <row r="55" ht="22" customHeight="1">
      <c r="A55" s="4" t="inlineStr">
        <is>
          <t>BÖLÜM D — İŞLETME DÖNEMİNDE BU YTB'DEN KAZANÇ</t>
        </is>
      </c>
    </row>
    <row r="56" ht="20" customHeight="1">
      <c r="A56" s="38" t="inlineStr">
        <is>
          <t>ℹ  İşletme döneminde D.1 değerini girin. Tevsi yatırımında C.7 otomatik yansıtılır.</t>
        </is>
      </c>
    </row>
    <row r="57" ht="18" customHeight="1">
      <c r="B57" s="8" t="inlineStr">
        <is>
          <t>D.1   Bu YTB'den Elde Edilen Kazanç Matrahı (TL)</t>
        </is>
      </c>
      <c r="C57" s="33" t="n"/>
      <c r="D57" s="31" t="inlineStr">
        <is>
          <t>Tevsi ise C.7 değerini buraya kopyalayabilirsiniz: =C53</t>
        </is>
      </c>
    </row>
    <row r="58" ht="18" customHeight="1">
      <c r="B58" s="35" t="inlineStr">
        <is>
          <t>D.2   Normal KV (TL)</t>
        </is>
      </c>
      <c r="C58" s="12">
        <f>C57*C24/100</f>
        <v/>
      </c>
      <c r="D58" s="31">
        <f> D.1 × A.9/100</f>
        <v/>
      </c>
    </row>
    <row r="59" ht="18" customHeight="1">
      <c r="B59" s="35" t="inlineStr">
        <is>
          <t>D.3   İndirimli KV (TL)</t>
        </is>
      </c>
      <c r="C59" s="12">
        <f>C57*C25/100</f>
        <v/>
      </c>
      <c r="D59" s="31">
        <f> D.1 × A.10/100</f>
        <v/>
      </c>
    </row>
    <row r="60" ht="20" customHeight="1">
      <c r="B60" s="17" t="inlineStr">
        <is>
          <t>D.4   KV Tasarrufu — İşletme Dönemi (TL)</t>
        </is>
      </c>
      <c r="C60" s="18">
        <f>C58-C59</f>
        <v/>
      </c>
      <c r="D60" s="31">
        <f> D.2 - D.3</f>
        <v/>
      </c>
    </row>
    <row r="61" ht="6" customHeight="1">
      <c r="A61" s="20" t="n"/>
      <c r="B61" s="20" t="n"/>
      <c r="C61" s="20" t="n"/>
      <c r="D61" s="20" t="n"/>
    </row>
    <row r="62" ht="22" customHeight="1">
      <c r="A62" s="4" t="inlineStr">
        <is>
          <t>BÖLÜM E — YDO ENDEKSLEMESİ (Tamamlama Sonrası)</t>
        </is>
      </c>
    </row>
    <row r="63" ht="20" customHeight="1">
      <c r="A63" s="38" t="inlineStr">
        <is>
          <t>ℹ  Tamamlama vizesi alındıktan sonra kalan YKT YDO ile endekslenir. 2024: %63,93 — 2025: %3,30</t>
        </is>
      </c>
    </row>
    <row r="64" ht="18" customHeight="1">
      <c r="B64" s="8" t="inlineStr">
        <is>
          <t>E.1   Dönem Başı Kalan YKT (TL)</t>
        </is>
      </c>
      <c r="C64" s="33" t="n"/>
      <c r="D64" s="31" t="inlineStr">
        <is>
          <t>Tamamlama vizesi sonrası dönem başındaki bakiye YKT</t>
        </is>
      </c>
    </row>
    <row r="65" ht="18" customHeight="1">
      <c r="B65" s="8" t="inlineStr">
        <is>
          <t>E.2   YDO Oranı (%)</t>
        </is>
      </c>
      <c r="C65" s="34" t="n"/>
      <c r="D65" s="31" t="inlineStr">
        <is>
          <t>2024: 63,93% — 2025: 3,30% — Hazine açıklaması izleyin</t>
        </is>
      </c>
    </row>
    <row r="66" ht="18" customHeight="1">
      <c r="B66" s="35" t="inlineStr">
        <is>
          <t>E.3   YDO Artışı (TL)</t>
        </is>
      </c>
      <c r="C66" s="12">
        <f>C64*C65/100</f>
        <v/>
      </c>
      <c r="D66" s="31">
        <f> E.1 × E.2/100</f>
        <v/>
      </c>
    </row>
    <row r="67" ht="20" customHeight="1">
      <c r="B67" s="17" t="inlineStr">
        <is>
          <t>E.4   Endekslenmiş Dönem Başı YKT (TL)</t>
        </is>
      </c>
      <c r="C67" s="18">
        <f>C64+C66</f>
        <v/>
      </c>
      <c r="D67" s="31">
        <f> E.1 + E.3</f>
        <v/>
      </c>
    </row>
    <row r="68" ht="6" customHeight="1">
      <c r="A68" s="20" t="n"/>
      <c r="B68" s="20" t="n"/>
      <c r="C68" s="20" t="n"/>
      <c r="D68" s="20" t="n"/>
    </row>
    <row r="69" ht="22" customHeight="1">
      <c r="A69" s="29" t="inlineStr">
        <is>
          <t>BÖLÜM F — KÜMÜLATİF YKT TAKİBİ VE DÖNEM SONUCU</t>
        </is>
      </c>
    </row>
    <row r="70" ht="18" customHeight="1">
      <c r="B70" s="26" t="inlineStr">
        <is>
          <t>F.1   Toplam YKT (TL)</t>
        </is>
      </c>
      <c r="C70" s="39">
        <f>C22</f>
        <v/>
      </c>
      <c r="D70" s="31">
        <f> A.7</f>
        <v/>
      </c>
    </row>
    <row r="71" ht="18" customHeight="1">
      <c r="B71" s="8" t="inlineStr">
        <is>
          <t>F.2   Önceki Dönemler Kümülatif YKT Kullanımı (TL)</t>
        </is>
      </c>
      <c r="C71" s="33" t="n"/>
      <c r="D71" s="31" t="inlineStr">
        <is>
          <t>GİB beyanname / vergi dairesi kayıtlarından alınır</t>
        </is>
      </c>
    </row>
    <row r="72" ht="18" customHeight="1">
      <c r="B72" s="35" t="inlineStr">
        <is>
          <t>F.3   Dönem Başı Kalan YKT (TL)</t>
        </is>
      </c>
      <c r="C72" s="12">
        <f>MAX(0,C70-C71)</f>
        <v/>
      </c>
      <c r="D72" s="31">
        <f> F.1 - F.2</f>
        <v/>
      </c>
    </row>
    <row r="73" ht="18" customHeight="1">
      <c r="B73" s="35" t="inlineStr">
        <is>
          <t>F.4   Bu Dönem Toplam İndirimli Matrah (TL)</t>
        </is>
      </c>
      <c r="C73" s="12">
        <f>C40+C57</f>
        <v/>
      </c>
      <c r="D73" s="31">
        <f> B.10 + D.1</f>
        <v/>
      </c>
    </row>
    <row r="74" ht="18" customHeight="1">
      <c r="B74" s="35" t="inlineStr">
        <is>
          <t>F.5   Bu Dönem Normal KV (TL)</t>
        </is>
      </c>
      <c r="C74" s="12">
        <f>C41+C58</f>
        <v/>
      </c>
      <c r="D74" s="31">
        <f> B.11 + D.2</f>
        <v/>
      </c>
    </row>
    <row r="75" ht="18" customHeight="1">
      <c r="B75" s="35" t="inlineStr">
        <is>
          <t>F.6   Bu Dönem İndirimli KV (TL)</t>
        </is>
      </c>
      <c r="C75" s="12">
        <f>C42+C59</f>
        <v/>
      </c>
      <c r="D75" s="31">
        <f> B.12 + D.3</f>
        <v/>
      </c>
    </row>
    <row r="76" ht="18" customHeight="1">
      <c r="B76" s="26" t="inlineStr">
        <is>
          <t>F.7   Bu Dönem KV Tasarrufu (TL)</t>
        </is>
      </c>
      <c r="C76" s="15">
        <f>C74-C75</f>
        <v/>
      </c>
      <c r="D76" s="31">
        <f> F.5 - F.6</f>
        <v/>
      </c>
    </row>
    <row r="77" ht="18" customHeight="1">
      <c r="B77" s="26" t="inlineStr">
        <is>
          <t>F.8   Bu Dönem YKT Kullanımı (TL)</t>
        </is>
      </c>
      <c r="C77" s="15">
        <f>C43+C60</f>
        <v/>
      </c>
      <c r="D77" s="31">
        <f> B.13 + D.4</f>
        <v/>
      </c>
    </row>
    <row r="78" ht="18" customHeight="1">
      <c r="B78" s="35" t="inlineStr">
        <is>
          <t>F.9   Kontrol (F.7 - F.8 = 0?)</t>
        </is>
      </c>
      <c r="C78" s="12">
        <f>ROUND(C76-C77,2)</f>
        <v/>
      </c>
      <c r="D78" s="31" t="inlineStr">
        <is>
          <t>⚠  0 olmalı. Farklıysa kontrol edin.</t>
        </is>
      </c>
    </row>
    <row r="79" ht="22" customHeight="1">
      <c r="B79" s="17" t="inlineStr">
        <is>
          <t>F.10  Dönem Sonu Kalan YKT (TL) — DEVREDEN</t>
        </is>
      </c>
      <c r="C79" s="18">
        <f>MAX(0,C72-C77)</f>
        <v/>
      </c>
      <c r="D79" s="31">
        <f> MAX(0, F.3 - F.8)  → Bir sonraki döneme devreder</f>
        <v/>
      </c>
    </row>
    <row r="80" ht="18" customHeight="1">
      <c r="B80" s="35" t="inlineStr">
        <is>
          <t>F.11  Kümülatif Kullanım Oranı (%)</t>
        </is>
      </c>
      <c r="C80" s="36">
        <f>IF(C70&gt;0,(C71+C77)/C70*100,0)</f>
        <v/>
      </c>
      <c r="D80" s="31">
        <f> (F.2 + F.8) / F.1 × 100</f>
        <v/>
      </c>
    </row>
    <row r="81" ht="22" customHeight="1">
      <c r="B81" s="26" t="inlineStr">
        <is>
          <t>F.12  YKT Durum Göstergesi</t>
        </is>
      </c>
      <c r="C81" s="40">
        <f>IF(C22=0,"YKT Giriş Eksik",IF(C79&lt;=0,"YKT Tükendi",IF(C77=0,"Bu Dönem Kullanım Yok",IF(C80&gt;=95,"Son Dönem","Devam Ediyor"))))</f>
        <v/>
      </c>
      <c r="D81" s="28" t="inlineStr">
        <is>
          <t>YKT Giriş Eksik / YKT Tükendi / Bu Dönem Kullanım Yok / Son Dönem / Devam Ediyor</t>
        </is>
      </c>
    </row>
    <row r="82" ht="6" customHeight="1">
      <c r="A82" s="20" t="n"/>
      <c r="B82" s="20" t="n"/>
      <c r="C82" s="20" t="n"/>
      <c r="D82" s="20" t="n"/>
    </row>
    <row r="83" ht="22" customHeight="1">
      <c r="A83" s="41" t="inlineStr">
        <is>
          <t>BÖLÜM G — SONUÇ ÖZETİ</t>
        </is>
      </c>
    </row>
    <row r="84" ht="22" customHeight="1">
      <c r="B84" s="17" t="inlineStr">
        <is>
          <t>Bu YTB KV Tasarrufu (TL)</t>
        </is>
      </c>
      <c r="C84" s="18">
        <f>C76</f>
        <v/>
      </c>
      <c r="D84" s="42" t="n"/>
    </row>
    <row r="85" ht="22" customHeight="1">
      <c r="B85" s="17" t="inlineStr">
        <is>
          <t>Kalan YKT — Devreden (TL)</t>
        </is>
      </c>
      <c r="C85" s="18">
        <f>C79</f>
        <v/>
      </c>
      <c r="D85" s="42" t="n"/>
    </row>
    <row r="86" ht="22" customHeight="1">
      <c r="B86" s="17" t="inlineStr">
        <is>
          <t>YKT Kullanım Durumu</t>
        </is>
      </c>
      <c r="C86" s="18">
        <f>C81</f>
        <v/>
      </c>
      <c r="D86" s="42" t="n"/>
    </row>
    <row r="87" ht="6" customHeight="1">
      <c r="A87" s="20" t="n"/>
      <c r="B87" s="20" t="n"/>
      <c r="C87" s="20" t="n"/>
      <c r="D87" s="20" t="n"/>
    </row>
  </sheetData>
  <mergeCells count="16">
    <mergeCell ref="A45:D45"/>
    <mergeCell ref="A56:D56"/>
    <mergeCell ref="A69:D69"/>
    <mergeCell ref="A83:D83"/>
    <mergeCell ref="A4:D4"/>
    <mergeCell ref="A62:D62"/>
    <mergeCell ref="A30:D30"/>
    <mergeCell ref="D86"/>
    <mergeCell ref="A55:D55"/>
    <mergeCell ref="A15:D15"/>
    <mergeCell ref="A29:D29"/>
    <mergeCell ref="A2:D2"/>
    <mergeCell ref="A63:D63"/>
    <mergeCell ref="D85"/>
    <mergeCell ref="D84"/>
    <mergeCell ref="A46:D46"/>
  </mergeCells>
  <dataValidations count="5">
    <dataValidation sqref="C5 C6 C7 C8 C9 C10 C11 C12" showDropDown="0" showInputMessage="0" showErrorMessage="0" allowBlank="1" type="list">
      <formula1>"EVET,HAYIR"</formula1>
    </dataValidation>
    <dataValidation sqref="C18" showDropDown="0" showInputMessage="0" showErrorMessage="0" allowBlank="1" type="list">
      <formula1>"1,2,3,4,5,6"</formula1>
    </dataValidation>
    <dataValidation sqref="C19" showDropDown="0" showInputMessage="0" showErrorMessage="0" allowBlank="1" type="list">
      <formula1>"Komple Yeni,Tevsi,Modernizasyon,Diğer"</formula1>
    </dataValidation>
    <dataValidation sqref="C26" showDropDown="0" showInputMessage="0" showErrorMessage="0" allowBlank="1" type="list">
      <formula1>"Yatırım Döneminde,İşletme Döneminde,Tamamlandı-İşletme Devam"</formula1>
    </dataValidation>
    <dataValidation sqref="C47" showDropDown="0" showInputMessage="0" showErrorMessage="0" allowBlank="1" type="list">
      <formula1>"Gerçek Usul,Götürü - Oransal"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F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8" customWidth="1" min="2" max="2"/>
    <col width="28" customWidth="1" min="3" max="3"/>
    <col width="16" customWidth="1" min="4" max="4"/>
    <col width="16" customWidth="1" min="5" max="5"/>
    <col width="32" customWidth="1" min="6" max="6"/>
  </cols>
  <sheetData>
    <row r="1" ht="8" customHeight="1"/>
    <row r="2" ht="32" customHeight="1">
      <c r="B2" s="43" t="inlineStr">
        <is>
          <t>KVK Md.32/A — Zorunlu Belge Listesi ve Kontrol Tablosu</t>
        </is>
      </c>
    </row>
    <row r="3" ht="8" customHeight="1"/>
    <row r="4" ht="30" customHeight="1">
      <c r="B4" s="2" t="inlineStr">
        <is>
          <t>Belge</t>
        </is>
      </c>
      <c r="C4" s="2" t="inlineStr">
        <is>
          <t>Zorunluluk</t>
        </is>
      </c>
      <c r="D4" s="2" t="inlineStr">
        <is>
          <t>Mevcut mu?</t>
        </is>
      </c>
      <c r="E4" s="2" t="inlineStr">
        <is>
          <t>Tarih / No</t>
        </is>
      </c>
      <c r="F4" s="2" t="inlineStr">
        <is>
          <t>Not</t>
        </is>
      </c>
    </row>
    <row r="5" ht="22" customHeight="1">
      <c r="B5" s="44" t="inlineStr">
        <is>
          <t>YTB aslı veya noter onaylı sureti</t>
        </is>
      </c>
      <c r="C5" s="19" t="inlineStr">
        <is>
          <t>Zorunlu</t>
        </is>
      </c>
      <c r="D5" s="9" t="inlineStr"/>
      <c r="E5" s="5" t="inlineStr"/>
      <c r="F5" s="45" t="inlineStr">
        <is>
          <t>Her YTB için ayrı</t>
        </is>
      </c>
    </row>
    <row r="6" ht="22" customHeight="1">
      <c r="B6" s="44" t="inlineStr">
        <is>
          <t>Tamamlama vizesi belgesi</t>
        </is>
      </c>
      <c r="C6" s="19" t="inlineStr">
        <is>
          <t>İşletme döneminde zorunlu</t>
        </is>
      </c>
      <c r="D6" s="9" t="inlineStr"/>
      <c r="E6" s="5" t="inlineStr"/>
      <c r="F6" s="45" t="inlineStr">
        <is>
          <t>İşletme dönemine geçişte</t>
        </is>
      </c>
    </row>
    <row r="7" ht="22" customHeight="1">
      <c r="B7" s="44" t="inlineStr">
        <is>
          <t>Yatırım harcamaları özet tablosu</t>
        </is>
      </c>
      <c r="C7" s="19" t="inlineStr">
        <is>
          <t>Zorunlu</t>
        </is>
      </c>
      <c r="D7" s="9" t="inlineStr"/>
      <c r="E7" s="5" t="inlineStr"/>
      <c r="F7" s="45" t="inlineStr">
        <is>
          <t>Her dönem güncel</t>
        </is>
      </c>
    </row>
    <row r="8" ht="22" customHeight="1">
      <c r="B8" s="44" t="inlineStr">
        <is>
          <t>Kazanç ayrıştırma tablosu (Tevsi için)</t>
        </is>
      </c>
      <c r="C8" s="19" t="inlineStr">
        <is>
          <t>Tevsi yatırımlarda zorunlu</t>
        </is>
      </c>
      <c r="D8" s="9" t="inlineStr"/>
      <c r="E8" s="5" t="inlineStr"/>
      <c r="F8" s="45" t="inlineStr">
        <is>
          <t>C bölümünü destekler</t>
        </is>
      </c>
    </row>
    <row r="9" ht="22" customHeight="1">
      <c r="B9" s="44" t="inlineStr">
        <is>
          <t>YMM tasdik raporu (49 No'lu Sirkül kapsamı)</t>
        </is>
      </c>
      <c r="C9" s="19" t="inlineStr">
        <is>
          <t>Gerekiyorsa zorunlu</t>
        </is>
      </c>
      <c r="D9" s="9" t="inlineStr"/>
      <c r="E9" s="5" t="inlineStr"/>
      <c r="F9" s="45" t="inlineStr">
        <is>
          <t>Sirkül koşullarını kontrol edin</t>
        </is>
      </c>
    </row>
    <row r="10" ht="22" customHeight="1">
      <c r="B10" s="44" t="inlineStr">
        <is>
          <t>ATİK değerleme belgesi (Tevsi götürü usul)</t>
        </is>
      </c>
      <c r="C10" s="19" t="inlineStr">
        <is>
          <t>Tevsi götürü usulde zorunlu</t>
        </is>
      </c>
      <c r="D10" s="9" t="inlineStr"/>
      <c r="E10" s="5" t="inlineStr"/>
      <c r="F10" s="45" t="inlineStr">
        <is>
          <t>Dönem sonu değerlemesi</t>
        </is>
      </c>
    </row>
    <row r="11" ht="22" customHeight="1">
      <c r="B11" s="44" t="inlineStr">
        <is>
          <t>Önceki dönemler kümülatif YKT kullanım tablosu</t>
        </is>
      </c>
      <c r="C11" s="19" t="inlineStr">
        <is>
          <t>Zorunlu</t>
        </is>
      </c>
      <c r="D11" s="9" t="inlineStr"/>
      <c r="E11" s="5" t="inlineStr"/>
      <c r="F11" s="45" t="inlineStr">
        <is>
          <t>F.2 için kaynak belge</t>
        </is>
      </c>
    </row>
  </sheetData>
  <mergeCells count="1">
    <mergeCell ref="B2:F2"/>
  </mergeCells>
  <dataValidations count="1">
    <dataValidation sqref="D5 D6 D7 D8 D9 D10 D11" showDropDown="0" showInputMessage="0" showErrorMessage="0" allowBlank="1" type="list">
      <formula1>"EVET,HAYIR,N/A"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70" customWidth="1" min="3" max="3"/>
    <col width="5" customWidth="1" min="4" max="4"/>
  </cols>
  <sheetData>
    <row r="1" ht="8" customHeight="1"/>
    <row r="2" ht="32" customHeight="1">
      <c r="B2" s="43" t="inlineStr">
        <is>
          <t>DENETÇİ NOTLARI — KVK Md.32/A Uygulama Rehberi</t>
        </is>
      </c>
    </row>
    <row r="3" ht="8" customHeight="1"/>
    <row r="4" ht="22" customHeight="1">
      <c r="B4" s="29" t="inlineStr">
        <is>
          <t>KVK 32/A TEMEL PRENSİPLER</t>
        </is>
      </c>
    </row>
    <row r="5" ht="56" customHeight="1">
      <c r="B5" s="46" t="inlineStr">
        <is>
          <t>• YTB, Ekonomi/Sanayi/Ticaret Bakanlığı'nca verilen Yatırım Teşvik Belgesi'dir.
• İndirimli KV, YTB'de belirtilen katkı ve indirim oranları çerçevesinde uygulanır.
• Her YTB bağımsız değerlendirilir; YKT bir YTB'den diğerine aktarılamaz.
• YKT tamamen kullanılıncaya veya YTB süresi doluncaya kadar devam eder.</t>
        </is>
      </c>
    </row>
    <row r="6" ht="6" customHeight="1"/>
    <row r="7" ht="22" customHeight="1">
      <c r="B7" s="29" t="inlineStr">
        <is>
          <t>YATIRIM vs İŞLETME DÖNEMİ FARKI</t>
        </is>
      </c>
    </row>
    <row r="8" ht="70" customHeight="1">
      <c r="B8" s="46" t="inlineStr">
        <is>
          <t>• Yatırım Dönemi: YTB onay tarihi → Tamamlama vizesi. Bu dönemde YALNIZCA
  diğer faaliyet kazancından (Bölüm B) indirim yapılabilir; bölge limiti uygulanır.
• İşletme Dönemi: Tamamlama vizesinden sonra. Bu dönemde YTB kazancından
  (Bölüm D) indirim yapılır; bölge limiti UYGULANMAZ.
• Yatırım döneminde indirilemeyen kümülatif miktar işletme dönemine devrolur.</t>
        </is>
      </c>
    </row>
    <row r="9" ht="6" customHeight="1"/>
    <row r="10" ht="22" customHeight="1">
      <c r="B10" s="29" t="inlineStr">
        <is>
          <t>TEVSİ İÇİN MATRAH TESPİTİ</t>
        </is>
      </c>
    </row>
    <row r="11" ht="70" customHeight="1">
      <c r="B11" s="46" t="inlineStr">
        <is>
          <t>• Tevsi yatırımında kazanç tespiti için iki yöntem vardır:
  1. Gerçek Usul: İşletme içi kayıtlardan doğrudan tespit (daha güvenilir).
  2. Götürü - Oransal: (YTB ATİK / Toplam ATİK) × KV Matrahı.
• Yöntem seçimi tutarlı uygulanmalıdır; dönem içinde değiştirilemez.
• ATİK değerleri dönem sonu itibarıyla, yeniden değerleme sonrası alınır.</t>
        </is>
      </c>
    </row>
    <row r="12" ht="6" customHeight="1"/>
    <row r="13" ht="22" customHeight="1">
      <c r="B13" s="29" t="inlineStr">
        <is>
          <t>ÇAPRAZ YTB UYGULAMA YASAĞI</t>
        </is>
      </c>
    </row>
    <row r="14" ht="56" customHeight="1">
      <c r="B14" s="46" t="inlineStr">
        <is>
          <t>• Bir YTB'den elde edilen kazanç yalnızca o YTB için YKT indiriminde
  kullanılabilir; başka bir YTB'nin YKT'sine mahsup edilemez.
• Birden fazla YTB varsa her biri için bağımsız kazanç ayrıştırması şarttır.
• Çapraz uygulama cezai tarhiyat riskine yol açar.</t>
        </is>
      </c>
    </row>
    <row r="15" ht="6" customHeight="1"/>
    <row r="16" ht="22" customHeight="1">
      <c r="B16" s="29" t="inlineStr">
        <is>
          <t>YDO ENDEKSLEMESİ KURALI</t>
        </is>
      </c>
    </row>
    <row r="17" ht="70" customHeight="1">
      <c r="B17" s="46" t="inlineStr">
        <is>
          <t>• Tamamlama vizesi alındıktan sonra devreden kalan YKT, her yıl
  Yeniden Değerleme Oranı (YDO) ile artırılır.
• YDO: Maliye Bakanlığı her yıl Kasım/Aralık aylarında ilan eder.
  2024 yılı: %63,93 — 2025 yılı: %3,30 (tahmini)
• Endekslenmiş tutar beyannamede gösterilmeli ve desteklenmelidir.</t>
        </is>
      </c>
    </row>
    <row r="18" ht="6" customHeight="1"/>
    <row r="19" ht="22" customHeight="1">
      <c r="B19" s="29" t="inlineStr">
        <is>
          <t>49 NO'LU SİRKÜLERE GÖRE YMM RAPORU ZORUNLULUĞU</t>
        </is>
      </c>
    </row>
    <row r="20" ht="56" customHeight="1">
      <c r="B20" s="46" t="inlineStr">
        <is>
          <t>• Belirli koşullarda (büyük ölçekli yatırım, özel bölge vb.) YMM
  tasdik raporu zorunludur. 49 No'lu Sirküleri mutlaka inceleyin.
• YMM raporu olmadan yapılan indirimlerin tarhiyatta reddedilme riski vardır.
• Rapor, beyannamenin verildiği dönemde hazırlanmış olmalıdır.</t>
        </is>
      </c>
    </row>
    <row r="21" ht="6" customHeight="1"/>
    <row r="22" ht="22" customHeight="1">
      <c r="B22" s="29" t="inlineStr">
        <is>
          <t>YİAKV İLE ETKİLEŞİM</t>
        </is>
      </c>
    </row>
    <row r="23" ht="70" customHeight="1">
      <c r="B23" s="46" t="inlineStr">
        <is>
          <t>• Yurt İçi Asgari Kurumlar Vergisi (YİAKV), indirimli KV uygulamasını
  dolaylı olarak sınırlayabilir. KV, YİAKV'nin altına düşemez.
• YİAKV hesabında indirimli KV öncesi matrah dikkate alınır.
• İki hesaplama paralel yapılmalı ve yüksek olan beyannamede kullanılmalıdır.
• 2024+ dönemleri için YİAKV etkisi özellikle dikkatle değerlendirilmelidir.</t>
        </is>
      </c>
    </row>
    <row r="24" ht="6" customHeight="1"/>
  </sheetData>
  <mergeCells count="15">
    <mergeCell ref="B13:C13"/>
    <mergeCell ref="B2:C2"/>
    <mergeCell ref="B16:C16"/>
    <mergeCell ref="B7:C7"/>
    <mergeCell ref="B11:C11"/>
    <mergeCell ref="B5:C5"/>
    <mergeCell ref="B19:C19"/>
    <mergeCell ref="B20:C20"/>
    <mergeCell ref="B10:C10"/>
    <mergeCell ref="B23:C23"/>
    <mergeCell ref="B22:C22"/>
    <mergeCell ref="B14:C14"/>
    <mergeCell ref="B17:C17"/>
    <mergeCell ref="B8:C8"/>
    <mergeCell ref="B4:C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2026-04-08T11:06:36Z</dcterms:created>
  <dcterms:modified xmlns:dcterms="http://purl.org/dc/terms/" xmlns:xsi="http://www.w3.org/2001/XMLSchema-instance" xsi:type="dcterms:W3CDTF">2026-04-08T11:06:36Z</dcterms:modified>
</cp:coreProperties>
</file>