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4AE95B8B-FB0A-4F68-A031-F9B6835C641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63" i="1"/>
  <c r="F61" i="1"/>
  <c r="C53" i="1"/>
  <c r="C51" i="1"/>
  <c r="D6" i="2"/>
  <c r="D5" i="2"/>
  <c r="F59" i="1"/>
  <c r="F58" i="1"/>
  <c r="C50" i="1"/>
  <c r="E45" i="1"/>
  <c r="G44" i="1"/>
  <c r="G43" i="1"/>
  <c r="G42" i="1"/>
  <c r="G41" i="1"/>
  <c r="G40" i="1"/>
  <c r="G39" i="1"/>
  <c r="G38" i="1"/>
  <c r="G45" i="1" s="1"/>
  <c r="G37" i="1"/>
  <c r="E15" i="1"/>
  <c r="C52" i="1" l="1"/>
</calcChain>
</file>

<file path=xl/sharedStrings.xml><?xml version="1.0" encoding="utf-8"?>
<sst xmlns="http://schemas.openxmlformats.org/spreadsheetml/2006/main" count="388" uniqueCount="315">
  <si>
    <t>371 – KVK GEÇİCİ MADDE 14/1-b | KUR FARKI KAZANCI İSTİSNASI | BANKADAN ALINAN KUR FARKI KORUMA ÖDEMELERİ | KKM | YMM TASDİK</t>
  </si>
  <si>
    <t>KVK Geçici Md.14/1-b | KKM Hesabı Boyunca Bankadan Alınan Kur Farkı Tazminat Ödemeleri | Dönemsel İstisna | Beyanname 371 | ★ YİAKV MATRAHINDA DÜŞÜLEMEZ</t>
  </si>
  <si>
    <t xml:space="preserve">  370 ile FARK: 370 (Md.14/1-a) = 31/12/2021 yabancı parasını KKM'ye çevirirken oluşan TEK SEFERLİK değerleme kazancı. 371 (Md.14/1-b) = KKM hesabı tutulduğu dönem boyunca BANKADAN ALINAN kur farkı koruma/tazminat ödemeleri (dönemsel, süregelen). Her ikisi de YİAKV matrahından DÜŞÜLEMEZ. Ayrı beyanname satırları ve ayrı çalışma kâğıtları.</t>
  </si>
  <si>
    <t xml:space="preserve">  ★★ YİAKV (KVK Md.32/C) KRİTİK: 371 kapsamındaki kur farkı tazminat ödemeleri YİAKV matrahından DÜŞÜLEMEZ — asgari vergide matrahta kalır. (YİAKV Reh. No:607 | E.7)</t>
  </si>
  <si>
    <t>A0. KAPSAM VE NİTELİK UYGUNLUK ÖN KONTROLÜ</t>
  </si>
  <si>
    <t>Kontrol Sorusu</t>
  </si>
  <si>
    <t>Yanıt</t>
  </si>
  <si>
    <t>YMM Tasdik Notu</t>
  </si>
  <si>
    <t>A0.1  Kurumun KVK Geçici Md.14/1-a kapsamında açılmış aktif KKM hesabı var mı?</t>
  </si>
  <si>
    <t>EVET</t>
  </si>
  <si>
    <t>371, mevcut bir KKM hesabından elde edilen kur farkı tazminat ödemeleridir. 370 ile birlikte uygulanır, ayrı beyanname satırı.</t>
  </si>
  <si>
    <t>A0.2  ★ KKM hesabının 31/12/2021 bilanço bakiyesinden dönüşüm yoluyla açıldığı teyit edildi mi?</t>
  </si>
  <si>
    <t>371 yalnızca 370 kapsamındaki dönüşümden doğan KKM hesapları için geçerlidir. Sonradan edinilen dövizlerden açılan KKM hesapları 371 kapsamında değildir.</t>
  </si>
  <si>
    <t>A0.3  Dönem içinde bankadan kur farkı tazminat ödemesi/kredisi alındı mı?</t>
  </si>
  <si>
    <t>TL zayıfladığında banka kur farkı ödemesi yapar. TL güçlüyse ödeme olmaz — 371 sıfırdır. Banka ekstresiyle teyit zorunludur.</t>
  </si>
  <si>
    <t>A0.4  370 (değerleme kazancı) ile 371 (kur farkı tazminat) doğru ayrıştırıldı mı?</t>
  </si>
  <si>
    <t>370: Dönüşüm anındaki tek seferlik kur farkı. 371: Hesap ömrü boyunca bankadan alınan dönemsel ödemeler. Ayrı çalışma kâğıtları.</t>
  </si>
  <si>
    <t>A0.5  ★ 371 tutarının YİAKV matrahından DÜŞÜLMEDIĞI teyit edildi mi?</t>
  </si>
  <si>
    <t>KVK Geçici Md.14 kazançları (370+371) YİAKV matrahından DÜŞÜLEMEZ. YİAKV E.7'de her iki satır DÜŞÜLEMEZ listesinde.</t>
  </si>
  <si>
    <t>A0.6  Banka hesap ekstresi ayrıştırılarak kur farkı ödeme satırları belirlendi mi?</t>
  </si>
  <si>
    <t>Banka ekstresi zorunludur. Kur farkı satırları faiz ve diğer banka gelirlerinden ayrı gösterilmiş olmalıdır.</t>
  </si>
  <si>
    <t>A0.7  YMM Tasdik Raporu gereksinimi değerlendirildi mi? (49 No.lu Tebliğ)</t>
  </si>
  <si>
    <t>&gt;=500.000 TL → YMM raporu. KV beyannamesi ile birlikte veya 2 ay içinde elektronik gönderim.</t>
  </si>
  <si>
    <t>A0.8  Tasdik Uygunluk Sonucu</t>
  </si>
  <si>
    <t>★ A0.2 (31/12/2021 dönüşümü), A0.5 (YİAKV düşülemez)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</si>
  <si>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</si>
  <si>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</si>
  <si>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</si>
  <si>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</si>
  <si>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</si>
  <si>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</si>
  <si>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</si>
  <si>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</si>
  <si>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</si>
  <si>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</si>
  <si>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YMM-2025/371-01</t>
  </si>
  <si>
    <t>370 Çalışma Kâğıdı Ref.</t>
  </si>
  <si>
    <t>Çapraz kontrol için 370 dosyası</t>
  </si>
  <si>
    <t>B. KKM HESAP BİLGİLERİ VE MEKANİZMA (KVK Geçici Md.14/1-b)</t>
  </si>
  <si>
    <t xml:space="preserve">  371 mekanizması: KKM hesap bakiyesine, dönem sonu piyasa kuru ile hesap açılış referans kuru arasındaki fark kadar banka tarafından kur farkı tazminat ödemesi yapılır.</t>
  </si>
  <si>
    <t>Parametre</t>
  </si>
  <si>
    <t>Değer / Tarih</t>
  </si>
  <si>
    <t>Açıklama</t>
  </si>
  <si>
    <t>Kaynak</t>
  </si>
  <si>
    <t>B.1  KKM Hesap Açılış Tarihi</t>
  </si>
  <si>
    <t>370 ile aynı tarih olmalı. Banka hesap sözleşmesiyle teyit.</t>
  </si>
  <si>
    <t>Banka sözleşmesi</t>
  </si>
  <si>
    <t>B.2  KKM Hesap Referans Kuru (Açılış Günü TCMB Kuru)</t>
  </si>
  <si>
    <t>Hesap açılış günü TCMB döviz alış kuru. Koruma bu kur üzerinden hesaplanır.</t>
  </si>
  <si>
    <t>Banka belgesi/TCMB</t>
  </si>
  <si>
    <t>B.3  KKM Hesap Vade Tarihi</t>
  </si>
  <si>
    <t>KKM hesabının vade tarihi. Süre sonunda kapanır veya yenilenir.</t>
  </si>
  <si>
    <t>B.4  Kur Farkı Ödeme Sıklığı</t>
  </si>
  <si>
    <t>Vadede</t>
  </si>
  <si>
    <t>Banka kur farkı ödemesini ne zaman yapıyor? C tablosundaki ödemeler bu dönemlere göre.</t>
  </si>
  <si>
    <t>B.5  ★ KKM Hesabının 31/12/2021 Bilanço Kaynaklı Olduğu Teyit Edildi mi?</t>
  </si>
  <si>
    <t>Yalnızca 370 dönüşüm kapsamındaki KKM hesapları 371'den yararlanabilir.</t>
  </si>
  <si>
    <t>KVK Geç.Md.14</t>
  </si>
  <si>
    <t>C. KKM HESAP BAZINDA KUR FARKI KORUMA ÖDEMELERİ (BEYANNAME 371)</t>
  </si>
  <si>
    <t xml:space="preserve">  Her KKM hesabı için ayrı satır. Kur farkı ödemeleri banka hesap ekstresinden alınır. Tüm kapsam içi tutarlar 371 kapsamında istisnadır. Col 5 (koyu çerçeveli): ANA VERİ GİRİŞİ.</t>
  </si>
  <si>
    <t>KKM Hesap Adı/No</t>
  </si>
  <si>
    <t>Açılış Tarihi</t>
  </si>
  <si>
    <t>Ref. Kur</t>
  </si>
  <si>
    <t>TL Bakiye (Dönem Başı)</t>
  </si>
  <si>
    <t>Dönem Kur Farkı Ödemesi (TL)</t>
  </si>
  <si>
    <t>İstisna Oranı (%)</t>
  </si>
  <si>
    <t>371 İstisna Tutarı (TL)</t>
  </si>
  <si>
    <t>TOPLAM</t>
  </si>
  <si>
    <t>Toplam Kur Farkı Ödemeleri → Beyanname 371</t>
  </si>
  <si>
    <t>—</t>
  </si>
  <si>
    <t xml:space="preserve">  ★ SÜTUN 5 (koyu turuncu çerçeve): Bankadan alınan kur farkı ödemesi — hesap ekstresindeki 'KKM Kur Farkı'/'Döviz Farkı Tazminatı' satırlarından. TL güçlü dönemlerde ödeme olmaz → 0 bırakın. Sütun 6 (İstisna Oranı): Normalde 100 (%). Kapsam dışı hesap → 0.</t>
  </si>
  <si>
    <t>D. KUR FARKI KAZANCI İSTİSNASI ÖZET — BEYANNAME 371</t>
  </si>
  <si>
    <t>Hesap Kalemi</t>
  </si>
  <si>
    <t>Tutar (TL)</t>
  </si>
  <si>
    <t>YMM Notu</t>
  </si>
  <si>
    <t>D.1  Dönem İçinde Bankadan Alınan Toplam Kur Farkı Ödemesi</t>
  </si>
  <si>
    <t>C tablosu toplam — banka ekstresiyle mutabık</t>
  </si>
  <si>
    <t>Banka hesap ekstresi</t>
  </si>
  <si>
    <t>D.2  Kapsam Dışı Kur Farkı Ödemesi (İstisna oranı 0 girilmiş hesaplar)</t>
  </si>
  <si>
    <t>C tablosunda istisna oranı 0 olan hesaplar — vergiye tabi</t>
  </si>
  <si>
    <t>Kapsam dışı tutarlar</t>
  </si>
  <si>
    <t>D.3  ★ NET 371 İSTİSNA TUTARI → BEYANNAME 371</t>
  </si>
  <si>
    <t>→ Beyanname 371 | Kazancın Bulunması Halinde</t>
  </si>
  <si>
    <t>KVK Geçici Md.14/1-b</t>
  </si>
  <si>
    <t>D.4  Vergiye Tabi Kur Farkı (Kapsam Dışı — D.2)</t>
  </si>
  <si>
    <t>Bu kısım KV matrahında kalır</t>
  </si>
  <si>
    <t>Vergilendirilir</t>
  </si>
  <si>
    <t>E. 370 – 371 ÇAPRAZ MUTABAKAT</t>
  </si>
  <si>
    <t xml:space="preserve">  370 ve 371 aynı KKM hesabıyla ilgilidir. Her iki istisna ayrı satırlarda — her ikisi de YİAKV matrahından DÜŞÜLEMEZ.</t>
  </si>
  <si>
    <t>Kalem</t>
  </si>
  <si>
    <t>370 Dosyasından</t>
  </si>
  <si>
    <t>371 Bu Dosyadan</t>
  </si>
  <si>
    <t>Kontrol</t>
  </si>
  <si>
    <t>KKM Hesap Açılış Tarihi</t>
  </si>
  <si>
    <t>370:</t>
  </si>
  <si>
    <t>← 370 dosyasından giriniz</t>
  </si>
  <si>
    <t>371:</t>
  </si>
  <si>
    <t>İki dosyada aynı olmalı</t>
  </si>
  <si>
    <t>KKM Hesap Referans Kuru</t>
  </si>
  <si>
    <t>370 dönüşüm kuru ile uyumlu</t>
  </si>
  <si>
    <t>370 İstisna Tutarı (Değerleme)</t>
  </si>
  <si>
    <t>370 dosyasından manuel giriniz</t>
  </si>
  <si>
    <t>371 İstisna Tutarı (Bu Dosya)</t>
  </si>
  <si>
    <t>Bu dosya D.3</t>
  </si>
  <si>
    <t>Her ikisi YİAKV'de DÜŞÜLEMEZ?</t>
  </si>
  <si>
    <t>YİAKV E.7 — her iki satır</t>
  </si>
  <si>
    <t>F.1  TOPLAM İSTİSNA → Beyanname Satır 371 (Kazancın Bulunması Halinde)</t>
  </si>
  <si>
    <t>D.3 — KVK Geçici Md.14/1-b</t>
  </si>
  <si>
    <t xml:space="preserve">  ★★ KRİTİK UYARILAR:
(1) YİAKV MATRAHINDA DÜŞÜLEMEZ: 371 asgari KV matrahından çıkarılmaz — YİAKV E.7'de hem 370 hem 371 DÜŞÜLEMEZ.
(2) BEYANNAME: 'Kazancın Bulunması Halinde İndirilecek'. Zarar döneminde uygulanamaz.
(3) KAYNAK: Yalnızca 31/12/2021 bilanço bakiyesinden dönüştürülen KKM hesapları kapsamda.
(4) FAİZ/KÂR PAYI: Faiz ve kâr payı gelirleri 371 kapsamında DEĞİLDİR — ayrı değerlendirilir.</t>
  </si>
  <si>
    <t>371 – KVK GEÇİCİ MD.14/1-b KUR FARKI KAZANCI | HESAPLAMALAR VE DENETİM</t>
  </si>
  <si>
    <t>Bankadan Alınan Kur Farkı Koruma Ödemeleri | Beyanname 371 | YİAKV MATRAHINDA DÜŞÜLEMEZ</t>
  </si>
  <si>
    <t>A. TASDİK ÖZETİ</t>
  </si>
  <si>
    <t>A0 Uygunluğu</t>
  </si>
  <si>
    <t>OK ise devam</t>
  </si>
  <si>
    <t>31/12/2021 Kaynaklı (B.5)</t>
  </si>
  <si>
    <t>EVET zorunlu</t>
  </si>
  <si>
    <t>Toplam Kur Farkı Ödemesi (D.1)</t>
  </si>
  <si>
    <t>Banka ekstresiyle mutabık</t>
  </si>
  <si>
    <t>Kapsam Dışı (D.2)</t>
  </si>
  <si>
    <t>Varsa vergilendirilir</t>
  </si>
  <si>
    <t>371 NET İSTİSNA (D.3)</t>
  </si>
  <si>
    <t>★★ YİAKV'de DÜŞÜLEMEZ</t>
  </si>
  <si>
    <t>Evet — E.7 hem 370 hem 371</t>
  </si>
  <si>
    <t>Her zaman DÜŞÜLEMEZ</t>
  </si>
  <si>
    <t>B. 370 – 371 KARŞILAŞTIRMA MATRİSİ</t>
  </si>
  <si>
    <t>Özellik</t>
  </si>
  <si>
    <t>370 (Md.14/1-a) — Değerleme Kazancı</t>
  </si>
  <si>
    <t>371 (Md.14/1-b) — Kur Farkı Tazminat</t>
  </si>
  <si>
    <t>Ortak</t>
  </si>
  <si>
    <t>Zaman</t>
  </si>
  <si>
    <t>Tek seferlik — dönüşüm anında</t>
  </si>
  <si>
    <t>Dönemsel — hesap yaşadığı sürece</t>
  </si>
  <si>
    <t>Ayrı beyanname satırı</t>
  </si>
  <si>
    <t>Bilanço kuru → Dönüşüm kuru farkı</t>
  </si>
  <si>
    <t>Bankadan alınan kur farkı tazminat ödemesi</t>
  </si>
  <si>
    <t>Banka belgesiyle teyit</t>
  </si>
  <si>
    <t>Hesaplama</t>
  </si>
  <si>
    <t>(Dönüşüm Kuru − Bilanço Kuru) × Miktar</t>
  </si>
  <si>
    <t>Banka ekstresindeki kur farkı ödeme tutarı</t>
  </si>
  <si>
    <t>Ekstreden doğrulama</t>
  </si>
  <si>
    <t>Muhasebe</t>
  </si>
  <si>
    <t>646 Kambiyo Kârları / 679</t>
  </si>
  <si>
    <t>642 Faiz Gelirleri / 648 / 679</t>
  </si>
  <si>
    <t>Ticari kâra dahil</t>
  </si>
  <si>
    <t>Beyanname</t>
  </si>
  <si>
    <t>370 | Kazancın Bulunması Halinde</t>
  </si>
  <si>
    <t>371 | Kazancın Bulunması Halinde</t>
  </si>
  <si>
    <t>Ayrı satır</t>
  </si>
  <si>
    <t>YİAKV</t>
  </si>
  <si>
    <t>DÜŞÜLEMEZ (E.7)</t>
  </si>
  <si>
    <t>Her ikisi E.7'de</t>
  </si>
  <si>
    <t>Sonraki Dönemler</t>
  </si>
  <si>
    <t>Genellikle sıfır (tek seferlik)</t>
  </si>
  <si>
    <t>Her dönem güncel ekstreye göre</t>
  </si>
  <si>
    <t>371 hesap süresince devam</t>
  </si>
  <si>
    <t>C. DENETİM KONTROL LİSTESİ (K1–K11)</t>
  </si>
  <si>
    <t>Sonuç</t>
  </si>
  <si>
    <t>K1</t>
  </si>
  <si>
    <t>★ KKM hesabı 31/12/2021 bilanço kaynaklı dönüşümden mi açıldı?</t>
  </si>
  <si>
    <t>Yalnızca 370 kapsamındaki dönüşümden açılan KKM hesapları 371'den yararlanabilir.</t>
  </si>
  <si>
    <t>Uygun/Eksik/Risk</t>
  </si>
  <si>
    <t>K2</t>
  </si>
  <si>
    <t>★ Kur farkı ödemeleri banka ekstresiyle teyit edildi mi?</t>
  </si>
  <si>
    <t>Her hesap için banka ekstresi — kur farkı satırları faiz ve diğer gelirlerden ayrı.</t>
  </si>
  <si>
    <t>K3</t>
  </si>
  <si>
    <t>★ C tablosundaki ödemeler banka ekstresiyle mutabık mı?</t>
  </si>
  <si>
    <t>Her KKM hesabı satırı ekstreden doğrulanmış. Yuvarlama farkları not edilmeli.</t>
  </si>
  <si>
    <t>K4</t>
  </si>
  <si>
    <t>Kapsam dışı KKM hesapları (D.2) ayrıştırıldı mı?</t>
  </si>
  <si>
    <t>C tablosunda istisna oranı 0 girilen hesaplar D.2'ye aktarılır — vergiye tabi.</t>
  </si>
  <si>
    <t>K5</t>
  </si>
  <si>
    <t>★ 370 çalışma kâğıdıyla çapraz mutabakat (E bölümü) yapıldı mı?</t>
  </si>
  <si>
    <t>KKM hesap tarihleri ve referans kurları her iki dosyada tutarlı olmalı.</t>
  </si>
  <si>
    <t>K6</t>
  </si>
  <si>
    <t>Kur farkı ödemeleri faiz/kâr payı gelirinden ayrıştırıldı mı?</t>
  </si>
  <si>
    <t>Kur farkı tazminatı → 371. Faiz/kâr payı → ayrı gelir.</t>
  </si>
  <si>
    <t>K7</t>
  </si>
  <si>
    <t>★★ 371 istisnası YİAKV matrahından DÜŞÜLMEDI mi?</t>
  </si>
  <si>
    <t>YİAKV E.7'de hem 370 hem 371 DÜŞÜLEMEZ. EN KRİTİK KONTROL.</t>
  </si>
  <si>
    <t>K8</t>
  </si>
  <si>
    <t>Beyanname 371 'Kazancın Bulunması Halinde' bölümünde mi?</t>
  </si>
  <si>
    <t>Zarar döneminde uygulanamaz.</t>
  </si>
  <si>
    <t>K9</t>
  </si>
  <si>
    <t>KKM hesabı vadeye kadar sürdü mü? Erken kapatma var mı?</t>
  </si>
  <si>
    <t>Erken kapatmada o tarihe kadar alınan kur farkı ödemeleri 371 kapsamındadır.</t>
  </si>
  <si>
    <t>K10</t>
  </si>
  <si>
    <t>Hesap yenileme (rollover) durumunda yeni kapsam analizi yapıldı mı?</t>
  </si>
  <si>
    <t>Yenilenen hesap için 371 kapsamı ayrıca değerlendirilmeli.</t>
  </si>
  <si>
    <t>K11</t>
  </si>
  <si>
    <t>YMM Tasdik Raporu (49 No.lu Tebliğ) değerlendirildi mi?</t>
  </si>
  <si>
    <t>&gt;=500.000 TL → YMM raporu.</t>
  </si>
  <si>
    <t>371 – KVK GEÇİCİ MD.14/1-b KUR FARKI KAZANCI | MUHASEBE KAYITLARI</t>
  </si>
  <si>
    <t>Bankadan Alınan Kur Farkı Tazminat Ödemesi | 370 ile Karşılaştırma | YİAKV Uyarısı</t>
  </si>
  <si>
    <t>KAYIT 1 — DÖNEM İÇİNDE BANKADAN ALINAN KUR FARKI KORUMA ÖDEMESİ</t>
  </si>
  <si>
    <t>Tarih</t>
  </si>
  <si>
    <t>Hesap</t>
  </si>
  <si>
    <t>Not</t>
  </si>
  <si>
    <t>Dr</t>
  </si>
  <si>
    <t>Kr</t>
  </si>
  <si>
    <t>Ref</t>
  </si>
  <si>
    <t>[Ödeme Tarihi]</t>
  </si>
  <si>
    <t>102 Bankalar</t>
  </si>
  <si>
    <t>KKM hesabına bankadan alacak kaydedilen kur farkı tazminat ödemesi</t>
  </si>
  <si>
    <t>[Tutar]</t>
  </si>
  <si>
    <t>Banka ekstresi</t>
  </si>
  <si>
    <t>648 Diğer Olağan Gelirler / 642 Faiz Gelirleri</t>
  </si>
  <si>
    <t>KKM kur farkı tazminat geliri — KVK Geçici Md.14/1-b kapsamı → Beyanname 371</t>
  </si>
  <si>
    <t>KV 371</t>
  </si>
  <si>
    <t xml:space="preserve">  NOT: 648 veya 642 hesap seçimi banka uygulaması ve muhasebe politikasına göre değişebilir. Vade sonu ödeme → 102 Dr / 648 Kr. Dönem içi tahakkuk → 181 Dr / 642 Kr.</t>
  </si>
  <si>
    <t>KAYIT 2 — 370 (TEK SEFERLİK) vs 371 (DÖNEMSel) YAN YANA KARŞILAŞTIRMA</t>
  </si>
  <si>
    <t>370</t>
  </si>
  <si>
    <t>[Dönüşüm]</t>
  </si>
  <si>
    <t>646/679 — Tek Seferlik</t>
  </si>
  <si>
    <t>31/12/2021 bilanço kuru farkı — dönüşüm anında — Beyanname 370</t>
  </si>
  <si>
    <t>[370 Tutarı]</t>
  </si>
  <si>
    <t>KV 370</t>
  </si>
  <si>
    <t>371</t>
  </si>
  <si>
    <t>[Her Ödeme]</t>
  </si>
  <si>
    <t>648/642 — Dönemsel</t>
  </si>
  <si>
    <t>Bankadan alınan kur farkı tazminatı — her ödeme döneminde — Beyanname 371</t>
  </si>
  <si>
    <t>[371 Tutarı]</t>
  </si>
  <si>
    <t xml:space="preserve">  BEYANNAME AKIŞI — 370 + 371 BİRLİKTE:
1. 646/679 ve 648/642 hesaplarındaki kazançlar ticari kârda yer alır.
2. KV Beyannamesi: 370. satır (değerleme) + 371. satır (kur farkı tazminat) → 'Kazancın Bulunması Halinde'.
3. ★★ YİAKV MATRAHI: HER İKİ TUTAR DA çıkarılmaz — asgari vergi matrahında kalır (E.7 → DÜŞÜLEMEZ).
4. FAİZ/KÂR PAYI: KKM hesabından ayrıca faiz/kâr payı geliri olabilir — 371 kapsamında DEĞİLDİR.</t>
  </si>
  <si>
    <t>371 – KVK GEÇİCİ MD.14/1-b KUR FARKI KAZANCI | DENETÇİ NOTLARI</t>
  </si>
  <si>
    <t>GİB KV Beyan Rehberi Mart 2026 (No:606) | KVK Geçici Md.14/1-b | ★★ YİAKV MATRAHINDA DÜŞÜLEMEZ | 370 ile Birlikte</t>
  </si>
  <si>
    <t>Kod</t>
  </si>
  <si>
    <t>Konu</t>
  </si>
  <si>
    <t>Mesleki Değerlendirme / Tasdik Standardı</t>
  </si>
  <si>
    <t>Mevzuat / Kaynak</t>
  </si>
  <si>
    <t>N1</t>
  </si>
  <si>
    <t>KVK Geçici Md.14/1-b — Kur Farkı Tazminat Mekanizması</t>
  </si>
  <si>
    <t>KKM KUR FARKI KORUMA MEKANİZMASI (371):
KKM hesabı açılışında referans kur belirlenir (hesap açılış günü TCMB kuru).
Dönem boyunca piyasa TCMB kuru referans kurun ÜSTÜNE çıkarsa:
→ Banka, hesap sahibine kur farkını tazmin eder.
→ Bu tazminat ödemesi KVK Geçici Md.14/1-b kapsamında kurumlar vergisinden istisnadır.
370 (Md.14/1-a) ile FARK:
• 370: Dönüşüm anındaki TEK SEFERLİK kur farkı değerleme kazancı.
• 371: Hesap süresince bankadan DÖNEMSEL kur farkı koruma ödemeleri.
BEYANNAME: 371 | Kazancın Bulunması Halinde İndirilecek
GİB KV Beyan Rehberi 2026 (No:606) Bölüm 2.2.15 kapsamındadır.</t>
  </si>
  <si>
    <t>KVK Geçici Md.14/1-b | GİB KV Beyan Reh. 2026 (No:606)</t>
  </si>
  <si>
    <t>N2</t>
  </si>
  <si>
    <t>370 ile 371 Karşılaştırması ve Faiz/Kâr Payı Ayrımı</t>
  </si>
  <si>
    <t>AYNI KKM HESABINDAN HER İKİSİ OLUŞABILIR:
• 2022 dönüşüm → 370 (tek seferlik değerleme kazancı) → Yalnızca dönüşüm yılında
• 2022-2025 arası → 371 (dönemsel banka kur farkı ödemeleri) → Her KV döneminde
FAİZ/KÂR PAYI AYRIMI:
KKM hesabı aynı zamanda faiz/kâr payı da üretebilir.
• Kur farkı tazminat ödemesi → 371 kapsamında istisna
• Faiz ve kâr payı geliri → 371 kapsamında DEĞİL — ayrı muhasebe ve vergi değerlendirmesi
TL GÜÇLENDİĞİNDE: Piyasa kuru &lt; Referans kur → Banka ödeme yapmaz → 371 sıfır.</t>
  </si>
  <si>
    <t>KVK Geçici Md.14/1-a (370) | KVK Geçici Md.14/1-b (371)</t>
  </si>
  <si>
    <t>N3</t>
  </si>
  <si>
    <t>★★ YİAKV ile İlişki — 370 ve 371 Her İkisi DÜŞÜLEMEZ</t>
  </si>
  <si>
    <t>YİAKV MATRAHINDA DÜŞÜLEMEZ:
• 370 (değerleme kazancı istisnası) → DÜŞÜLEMEZ
• 371 (kur farkı tazminat istisnası) → DÜŞÜLEMEZ
Her ikisi YİAKV çalışma kâğıdı E.7'de birlikte yer alır.
EN SIK YAPILAN HATA: 371 tutarını YİAKV matrahından düşmek.
Bazı YMM'ler 371'i 370'ten ayrı değerlendirerek YİAKV hesabını hatalı yapabilmektedir.
HER İKİSİ BİRLİKTE DÜŞÜLEMEZ — ayrı ayrı da düşülemez.
YİAKV çalışma kâğıdı E.7:
'KKM Değerleme + Kur Farkı Tazminatı (KVK Geçici Md.14) → DÜŞÜLEMEZ ✗ | Beyanname 370/371'</t>
  </si>
  <si>
    <t>KVK Md.32/C | YİAKV Reh. (No:607) | GİB KV Beyan Reh. (No:606)</t>
  </si>
  <si>
    <t>N4</t>
  </si>
  <si>
    <t>Hesap Yenileme, Erken Kapatma ve Özel Durumlar</t>
  </si>
  <si>
    <t>HESAP YENİLEME (ROLLOVER):
Yenilenen hesap için yeni referans kur (yenileme günü TCMB kuru) oluşur.
Kapsam analizi: Orijinal 31/12/2021 kaynaklı bakiyenin devamı mı? → 371 devam edebilir.
ERKEN KAPANMA:
Kapanma tarihine kadar alınan kur farkı ödemeleri 371 kapsamındadır.
KUR FAİZ/KÂR PAYI AYRIŞTIRMASI:
Banka ekstresinde kur farkı tazminatı ile faiz/kâr payı farklı satırlarda görünmeli.
Banka bu ayrımı yapmazsa yazılı teyit veya sözleşme incelemesi gerekir.</t>
  </si>
  <si>
    <t>KVK Geçici Md.14/1-b | Banka Sözleşmesi</t>
  </si>
  <si>
    <t>N5</t>
  </si>
  <si>
    <t>49 No.lu Tebliğ + YMM Tasdik Dil Standardı</t>
  </si>
  <si>
    <t>KULLANIN:
'...31/12/2021 tarihli bilançoda kayıtlı yabancı paranın TL kur korumalı mevduat hesabına dönüştürülmesi sonucunda açılan KKM hesabından [dönem] döneminde KVK Geçici Madde 14/1-b kapsamında bankadan [Tutar] TL kur farkı tazminat ödemesi alınmış, söz konusu tutar kurumlar vergisinden istisna edilmiş ve yurt içi asgari kurumlar vergisi matrahından indirilmemiştir.'
KULLANMAYIN:
'...371 tutarı YİAKV matrahından düşülmüştür.' (YANLIŞ)
'...Faiz geliri 371 istisnası kapsamındadır.' (Yanlış)
KRİTİK RİSKLER:
(1) 371 tutarını YİAKV matrahından düşmek.
(2) Faiz/kâr payı gelirini 371 ile karıştırmak.
(3) 31/12/2021 dışı kaynaklı KKM hesaplarını kapsama almak.
(4) 370 ile çapraz mutabakat yapmamak.</t>
  </si>
  <si>
    <t>49 No.lu Tebliğ | KVK Geçici Md.14 | SM-SMMM-YMM K. Md.12</t>
  </si>
  <si>
    <t xml:space="preserve">  GİB KV BEYAN REHBERİ MART 2026 (No:606) KAPANIŞ (371): 370 + 371 birlikte KVK Geçici Md.14 paketini oluşturur. Her ikisi ayrı beyanname satırı. Her ikisi YİAKV matrahından DÜŞÜLEMEZ. Faiz/kâr payı 371 kapsamında değildir. YMM müteselsil sorumluluk: SM-SMMM-YMM Kanunu Md.12.</t>
  </si>
  <si>
    <t>371 – KVK GEÇİCİ MD.14/1-b KUR FARKI KAZANCI | BELGE LİSTESİ | YMM TASDİK</t>
  </si>
  <si>
    <t>GİB KV Beyan Rehberi Mart 2026 (No:606) | Banka Ekstresi | 370 Çapraz Mutabakat</t>
  </si>
  <si>
    <t>KATEGORİ 1 — ZORUNLU BELGELER</t>
  </si>
  <si>
    <t>No</t>
  </si>
  <si>
    <t>Belge</t>
  </si>
  <si>
    <t>Açıklama / YMM Kontrol</t>
  </si>
  <si>
    <t>Temin</t>
  </si>
  <si>
    <t>1</t>
  </si>
  <si>
    <t>★ Banka Hesap Ekstresi — Kur Farkı Tazminat Ödemeleri Ayrıştırılmış</t>
  </si>
  <si>
    <t>Dönem içinde her KKM hesabına yapılan kur farkı tazminat ödemelerini gösteren banka ekstresi.
Kur farkı satırları faiz gelirinden AYRI gösterilmiş olmalı. C tablosunun her satırı ekstreden doğrulanmalı.</t>
  </si>
  <si>
    <t>Banka şubesi / internet bankacılığı</t>
  </si>
  <si>
    <t>2</t>
  </si>
  <si>
    <t>★ KKM Hesap Sözleşmesi — Referans Kur ve Vade Bilgisi</t>
  </si>
  <si>
    <t>KKM hesap açılış belgesi: Açılış tarihi, referans kur, vade, kur farkı ödeme şartları.
B.2 referans kur kaynağıdır. 370 dönüşüm tarihi ile uyumlu olmalı.</t>
  </si>
  <si>
    <t>Banka KKM sözleşmesi</t>
  </si>
  <si>
    <t>3</t>
  </si>
  <si>
    <t>★ 370 Çalışma Kâğıdı — Çapraz Mutabakat</t>
  </si>
  <si>
    <t>370 dosyası E bölümü ile çapraz kontrol — hesap tarihleri ve referans kurlar tutarlı olmalı.</t>
  </si>
  <si>
    <t>370 çalışma kâğıdı E bölümü</t>
  </si>
  <si>
    <t>4</t>
  </si>
  <si>
    <t>Kur Farkı Hesaplama Tablosu (Bu Dosya — C ve D Bölümleri)</t>
  </si>
  <si>
    <t>Her KKM hesabı için dönem ödemeleri — D.3 net istisna tutarı beyanname 371 ile uyumlu.</t>
  </si>
  <si>
    <t>Bu çalışma kâğıdı</t>
  </si>
  <si>
    <t>5</t>
  </si>
  <si>
    <t>KV Beyannamesi Taslağı — 371. Satır</t>
  </si>
  <si>
    <t>'Kazancın Bulunması Halinde' bölümü. ★★ YİAKV matrahından çıkarılmamış olmalı.</t>
  </si>
  <si>
    <t>GİB e-Beyanname sistemi</t>
  </si>
  <si>
    <t>KATEGORİ 2 — EK BELGELER</t>
  </si>
  <si>
    <t>6</t>
  </si>
  <si>
    <t>TCMB Döviz Kur Tablosu</t>
  </si>
  <si>
    <t>Banka kur farkı hesabını doğrulamak için dönem TCMB kurları.</t>
  </si>
  <si>
    <t>tcmb.gov.tr</t>
  </si>
  <si>
    <t>7</t>
  </si>
  <si>
    <t>Muhasebe Yevmiye Kayıtları — 648/642</t>
  </si>
  <si>
    <t>Kur farkı ödeme yevmiye kayıtları — C tablosu toplamıyla mutabık.</t>
  </si>
  <si>
    <t>Yevmiye defteri</t>
  </si>
  <si>
    <t>8</t>
  </si>
  <si>
    <t>Hesap Yenileme Belgesi (Varsa)</t>
  </si>
  <si>
    <t>Rollover için yenileme sözleşmesi — yeni referans kur bilgisi.</t>
  </si>
  <si>
    <t>Banka belgesi</t>
  </si>
  <si>
    <t>KATEGORİ 3 — YMM TASDİK KONTROL SORULARI</t>
  </si>
  <si>
    <t>Beklenen Sonuç</t>
  </si>
  <si>
    <t>YMM Aksiyonu</t>
  </si>
  <si>
    <t>S1</t>
  </si>
  <si>
    <t>370 çapraz teyit. B.5 EVET.</t>
  </si>
  <si>
    <t>YMM kontrolü</t>
  </si>
  <si>
    <t>S2</t>
  </si>
  <si>
    <t>★ Kur farkı ödemeleri banka ekstresiyle mutabık mı?</t>
  </si>
  <si>
    <t>Her hesap satırı ekstreden doğrulanmalı.</t>
  </si>
  <si>
    <t>S3</t>
  </si>
  <si>
    <t>★ 370 ile çapraz mutabakat (E bölümü) tamamlandı mı?</t>
  </si>
  <si>
    <t>Hesap tarihleri ve referans kurlar örtüşmeli.</t>
  </si>
  <si>
    <t>S4</t>
  </si>
  <si>
    <t>Kur farkı tazminatı faiz/kâr payından ayrıştırıldı mı?</t>
  </si>
  <si>
    <t>Kur farkı → 371. Faiz → ayrı.</t>
  </si>
  <si>
    <t>S5</t>
  </si>
  <si>
    <t>Kapsam dışı hesaplar (D.2) ayrıştırıldı mı?</t>
  </si>
  <si>
    <t>Kapsam dışı tutarlar vergilendirilir.</t>
  </si>
  <si>
    <t>S6</t>
  </si>
  <si>
    <t>YİAKV E.7'de her ikisi DÜŞÜLEMEZ.</t>
  </si>
  <si>
    <t>S7</t>
  </si>
  <si>
    <t>S8</t>
  </si>
  <si>
    <t>Hesap yenileme varsa yeni kapsam analizi yapıldı mı?</t>
  </si>
  <si>
    <t>Rollover hesabın 371 kapsamı ayrıca.</t>
  </si>
  <si>
    <t>S9</t>
  </si>
  <si>
    <t>SON NOT: GİB KV Beyan Rehberi Mart 2026 (No:606) esas alınmıştır. 371, 370 ile birlikte KVK Geçici Md.14 paketini oluşturur. Her ikisi ayrı beyanname satırı. EN KRİTİK: Her iki istisna da YİAKV matrahından DÜŞÜLEMEZ (E.7). Faiz/kâr payı 371 kapsamında değildir.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</si>
</sst>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i/>
      <sz val="8"/>
      <color rgb="FF004D40"/>
      <name val="Arial"/>
    </font>
    <font>
      <b/>
      <sz val="9"/>
      <color rgb="FF1565C0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i/>
      <sz val="8"/>
      <color rgb="FF1565C0"/>
      <name val="Arial"/>
    </font>
    <font>
      <b/>
      <sz val="13"/>
      <color rgb="FF1B5E20"/>
      <name val="Arial"/>
    </font>
    <font>
      <b/>
      <sz val="9"/>
      <color rgb="FF00574B"/>
      <name val="Arial"/>
    </font>
    <font>
      <b/>
      <sz val="9"/>
      <color rgb="FF004D40"/>
      <name val="Arial"/>
    </font>
    <font>
      <i/>
      <sz val="9"/>
      <color rgb="FF888888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b/>
      <sz val="12"/>
      <color rgb="FF1B5E20"/>
      <name val="Arial"/>
    </font>
    <font>
      <b/>
      <sz val="10"/>
      <color rgb="FFE65100"/>
      <name val="Arial"/>
    </font>
    <font>
      <sz val="8"/>
      <color rgb="FF00574B"/>
      <name val="Arial"/>
    </font>
    <font>
      <sz val="8"/>
      <color rgb="FF004D40"/>
      <name val="Arial"/>
    </font>
    <font>
      <sz val="8"/>
      <color rgb="FF1F3864"/>
      <name val="Arial"/>
    </font>
    <font>
      <b/>
      <sz val="8"/>
      <color rgb="FFC0392B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FFFFFF"/>
      <name val="Arial"/>
    </font>
    <font>
      <i/>
      <sz val="8"/>
      <color rgb="FF444444"/>
      <name val="Arial"/>
    </font>
    <font>
      <b/>
      <sz val="9"/>
      <color rgb="FF7B5E00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4D40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0F7FA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DE7"/>
      </patternFill>
    </fill>
    <fill>
      <patternFill patternType="solid">
        <fgColor rgb="FFEEF4FF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EBEE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0" fillId="10" borderId="1" xfId="0" applyNumberFormat="1" applyFill="1" applyBorder="1" applyAlignment="1">
      <alignment horizontal="right" vertical="center"/>
    </xf>
    <xf numFmtId="3" fontId="0" fillId="10" borderId="1" xfId="0" applyNumberFormat="1" applyFill="1" applyBorder="1" applyAlignment="1">
      <alignment horizontal="right" vertical="center"/>
    </xf>
    <xf numFmtId="3" fontId="14" fillId="14" borderId="3" xfId="0" applyNumberFormat="1" applyFont="1" applyFill="1" applyBorder="1" applyAlignment="1">
      <alignment horizontal="right" vertical="center"/>
    </xf>
    <xf numFmtId="1" fontId="0" fillId="10" borderId="1" xfId="0" applyNumberFormat="1" applyFill="1" applyBorder="1" applyAlignment="1">
      <alignment horizontal="center" vertical="center"/>
    </xf>
    <xf numFmtId="3" fontId="15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19" fillId="13" borderId="4" xfId="0" applyNumberFormat="1" applyFont="1" applyFill="1" applyBorder="1" applyAlignment="1">
      <alignment horizontal="right" vertical="center"/>
    </xf>
    <xf numFmtId="0" fontId="20" fillId="9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right" vertical="center"/>
    </xf>
    <xf numFmtId="0" fontId="21" fillId="9" borderId="1" xfId="0" applyFont="1" applyFill="1" applyBorder="1" applyAlignment="1">
      <alignment horizontal="center" vertical="center"/>
    </xf>
    <xf numFmtId="3" fontId="15" fillId="9" borderId="1" xfId="0" applyNumberFormat="1" applyFont="1" applyFill="1" applyBorder="1" applyAlignment="1">
      <alignment horizontal="right" vertical="center"/>
    </xf>
    <xf numFmtId="0" fontId="20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right" vertical="center"/>
    </xf>
    <xf numFmtId="3" fontId="23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6" fillId="13" borderId="1" xfId="0" applyNumberFormat="1" applyFont="1" applyFill="1" applyBorder="1" applyAlignment="1">
      <alignment horizontal="right" vertical="center"/>
    </xf>
    <xf numFmtId="0" fontId="0" fillId="16" borderId="1" xfId="0" applyFill="1" applyBorder="1"/>
    <xf numFmtId="0" fontId="27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2" fillId="1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0" fillId="18" borderId="1" xfId="0" applyFill="1" applyBorder="1"/>
    <xf numFmtId="0" fontId="5" fillId="9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left" vertical="top" wrapText="1"/>
    </xf>
    <xf numFmtId="0" fontId="35" fillId="9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35" fillId="11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32" fillId="22" borderId="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0" fillId="23" borderId="1" xfId="0" applyFill="1" applyBorder="1"/>
    <xf numFmtId="0" fontId="5" fillId="23" borderId="1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horizontal="left" vertical="top" wrapText="1"/>
    </xf>
    <xf numFmtId="0" fontId="32" fillId="15" borderId="1" xfId="0" applyFont="1" applyFill="1" applyBorder="1" applyAlignment="1">
      <alignment horizontal="left" vertical="top" wrapText="1"/>
    </xf>
    <xf numFmtId="0" fontId="35" fillId="23" borderId="1" xfId="0" applyFont="1" applyFill="1" applyBorder="1" applyAlignment="1">
      <alignment horizontal="left" vertical="top" wrapText="1"/>
    </xf>
    <xf numFmtId="0" fontId="1" fillId="24" borderId="2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top"/>
    </xf>
    <xf numFmtId="0" fontId="8" fillId="18" borderId="1" xfId="0" applyFont="1" applyFill="1" applyBorder="1" applyAlignment="1">
      <alignment horizontal="left" vertical="top" wrapText="1"/>
    </xf>
    <xf numFmtId="0" fontId="32" fillId="20" borderId="1" xfId="0" applyFont="1" applyFill="1" applyBorder="1" applyAlignment="1">
      <alignment horizontal="left" vertical="top" wrapText="1"/>
    </xf>
    <xf numFmtId="0" fontId="18" fillId="18" borderId="1" xfId="0" applyFont="1" applyFill="1" applyBorder="1" applyAlignment="1">
      <alignment horizontal="center" vertical="top"/>
    </xf>
    <xf numFmtId="0" fontId="14" fillId="23" borderId="1" xfId="0" applyFont="1" applyFill="1" applyBorder="1" applyAlignment="1">
      <alignment horizontal="center" vertical="top"/>
    </xf>
    <xf numFmtId="0" fontId="14" fillId="23" borderId="1" xfId="0" applyFont="1" applyFill="1" applyBorder="1" applyAlignment="1">
      <alignment horizontal="left" vertical="top" wrapText="1"/>
    </xf>
    <xf numFmtId="0" fontId="18" fillId="23" borderId="1" xfId="0" applyFont="1" applyFill="1" applyBorder="1" applyAlignment="1">
      <alignment horizontal="center" vertical="top"/>
    </xf>
    <xf numFmtId="0" fontId="14" fillId="20" borderId="1" xfId="0" applyFont="1" applyFill="1" applyBorder="1" applyAlignment="1">
      <alignment horizontal="center" vertical="top"/>
    </xf>
    <xf numFmtId="0" fontId="32" fillId="25" borderId="1" xfId="0" applyFont="1" applyFill="1" applyBorder="1" applyAlignment="1">
      <alignment horizontal="left" vertical="top" wrapText="1"/>
    </xf>
    <xf numFmtId="0" fontId="18" fillId="20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3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5" fillId="1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0" fillId="10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5" fillId="13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7" fillId="9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8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32" fillId="9" borderId="1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5" fillId="12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32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8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32" fillId="18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32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33" fillId="2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0" fillId="9" borderId="1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left" vertical="center" wrapText="1"/>
    </xf>
    <xf numFmtId="0" fontId="36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6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4" borderId="5" xfId="0" applyFont="1" applyFill="1" applyBorder="1" applyAlignment="1">
      <alignment horizontal="left" vertical="center"/>
    </xf>
    <xf numFmtId="0" fontId="0" fillId="24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17" borderId="5" xfId="0" applyFont="1" applyFill="1" applyBorder="1" applyAlignment="1">
      <alignment horizontal="left" vertical="center"/>
    </xf>
    <xf numFmtId="0" fontId="0" fillId="17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841893-4034-47BF-B6F5-6783C84861D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6969508-a17e-4950-8e6a-d42caa26ba8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6" customWidth="1"/>
    <col min="6" max="6" width="14" customWidth="1"/>
    <col min="7" max="7" width="24" customWidth="1"/>
  </cols>
  <sheetData>
    <row r="1" spans="1:7" ht="52" customHeight="1" x14ac:dyDescent="0.55000000000000004">
      <c r="A1" s="99" t="s">
        <v>0</v>
      </c>
      <c r="B1" s="100"/>
      <c r="C1" s="100"/>
      <c r="D1" s="100"/>
      <c r="E1" s="100"/>
      <c r="F1" s="100"/>
      <c r="G1" s="100"/>
    </row>
    <row r="2" spans="1:7" ht="22" customHeight="1" x14ac:dyDescent="0.55000000000000004">
      <c r="A2" s="113" t="s">
        <v>1</v>
      </c>
      <c r="B2" s="114"/>
      <c r="C2" s="114"/>
      <c r="D2" s="114"/>
      <c r="E2" s="114"/>
      <c r="F2" s="114"/>
      <c r="G2" s="114"/>
    </row>
    <row r="3" spans="1:7" ht="30" customHeight="1" x14ac:dyDescent="0.55000000000000004">
      <c r="A3" s="103" t="s">
        <v>2</v>
      </c>
      <c r="B3" s="104"/>
      <c r="C3" s="104"/>
      <c r="D3" s="104"/>
      <c r="E3" s="104"/>
      <c r="F3" s="104"/>
      <c r="G3" s="104"/>
    </row>
    <row r="4" spans="1:7" ht="22" customHeight="1" x14ac:dyDescent="0.55000000000000004">
      <c r="A4" s="105" t="s">
        <v>3</v>
      </c>
      <c r="B4" s="106"/>
      <c r="C4" s="106"/>
      <c r="D4" s="106"/>
      <c r="E4" s="106"/>
      <c r="F4" s="106"/>
      <c r="G4" s="106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9" t="s">
        <v>4</v>
      </c>
      <c r="B6" s="110"/>
      <c r="C6" s="110"/>
      <c r="D6" s="110"/>
      <c r="E6" s="110"/>
      <c r="F6" s="110"/>
      <c r="G6" s="110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91" t="s">
        <v>8</v>
      </c>
      <c r="B8" s="84"/>
      <c r="C8" s="84"/>
      <c r="D8" s="84"/>
      <c r="E8" s="4" t="s">
        <v>9</v>
      </c>
      <c r="F8" s="94" t="s">
        <v>10</v>
      </c>
      <c r="G8" s="84"/>
    </row>
    <row r="9" spans="1:7" ht="28" customHeight="1" x14ac:dyDescent="0.55000000000000004">
      <c r="A9" s="96" t="s">
        <v>11</v>
      </c>
      <c r="B9" s="97"/>
      <c r="C9" s="97"/>
      <c r="D9" s="97"/>
      <c r="E9" s="4" t="s">
        <v>9</v>
      </c>
      <c r="F9" s="101" t="s">
        <v>12</v>
      </c>
      <c r="G9" s="97"/>
    </row>
    <row r="10" spans="1:7" ht="28" customHeight="1" x14ac:dyDescent="0.55000000000000004">
      <c r="A10" s="91" t="s">
        <v>13</v>
      </c>
      <c r="B10" s="84"/>
      <c r="C10" s="84"/>
      <c r="D10" s="84"/>
      <c r="E10" s="4" t="s">
        <v>9</v>
      </c>
      <c r="F10" s="94" t="s">
        <v>14</v>
      </c>
      <c r="G10" s="84"/>
    </row>
    <row r="11" spans="1:7" ht="28" customHeight="1" x14ac:dyDescent="0.55000000000000004">
      <c r="A11" s="82" t="s">
        <v>15</v>
      </c>
      <c r="B11" s="81"/>
      <c r="C11" s="81"/>
      <c r="D11" s="81"/>
      <c r="E11" s="4" t="s">
        <v>9</v>
      </c>
      <c r="F11" s="90" t="s">
        <v>16</v>
      </c>
      <c r="G11" s="81"/>
    </row>
    <row r="12" spans="1:7" ht="28" customHeight="1" x14ac:dyDescent="0.55000000000000004">
      <c r="A12" s="96" t="s">
        <v>17</v>
      </c>
      <c r="B12" s="97"/>
      <c r="C12" s="97"/>
      <c r="D12" s="97"/>
      <c r="E12" s="4" t="s">
        <v>9</v>
      </c>
      <c r="F12" s="101" t="s">
        <v>18</v>
      </c>
      <c r="G12" s="97"/>
    </row>
    <row r="13" spans="1:7" ht="28" customHeight="1" x14ac:dyDescent="0.55000000000000004">
      <c r="A13" s="82" t="s">
        <v>19</v>
      </c>
      <c r="B13" s="81"/>
      <c r="C13" s="81"/>
      <c r="D13" s="81"/>
      <c r="E13" s="4" t="s">
        <v>9</v>
      </c>
      <c r="F13" s="90" t="s">
        <v>20</v>
      </c>
      <c r="G13" s="81"/>
    </row>
    <row r="14" spans="1:7" ht="28" customHeight="1" x14ac:dyDescent="0.55000000000000004">
      <c r="A14" s="91" t="s">
        <v>21</v>
      </c>
      <c r="B14" s="84"/>
      <c r="C14" s="84"/>
      <c r="D14" s="84"/>
      <c r="E14" s="4" t="s">
        <v>9</v>
      </c>
      <c r="F14" s="94" t="s">
        <v>22</v>
      </c>
      <c r="G14" s="84"/>
    </row>
    <row r="15" spans="1:7" ht="24" customHeight="1" x14ac:dyDescent="0.55000000000000004">
      <c r="A15" s="89" t="s">
        <v>23</v>
      </c>
      <c r="B15" s="88"/>
      <c r="C15" s="88"/>
      <c r="D15" s="88"/>
      <c r="E15" s="7" t="str">
        <f>IF(AND(E8="EVET",E9="EVET",E10="EVET",E12="EVET"),"OK - Hesaplanabilir","HATA - Ön koşul eksik")</f>
        <v>OK - Hesaplanabilir</v>
      </c>
      <c r="F15" s="87" t="s">
        <v>24</v>
      </c>
      <c r="G15" s="8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8" t="s">
        <v>25</v>
      </c>
      <c r="B17" s="79"/>
      <c r="C17" s="79"/>
      <c r="D17" s="79"/>
      <c r="E17" s="79"/>
      <c r="F17" s="79"/>
      <c r="G17" s="79"/>
    </row>
    <row r="18" spans="1:7" ht="22" customHeight="1" x14ac:dyDescent="0.55000000000000004">
      <c r="A18" s="91" t="s">
        <v>26</v>
      </c>
      <c r="B18" s="84"/>
      <c r="C18" s="85"/>
      <c r="D18" s="85"/>
      <c r="E18" s="85"/>
      <c r="F18" s="8" t="s">
        <v>27</v>
      </c>
      <c r="G18" s="3"/>
    </row>
    <row r="19" spans="1:7" ht="22" customHeight="1" x14ac:dyDescent="0.55000000000000004">
      <c r="A19" s="82" t="s">
        <v>28</v>
      </c>
      <c r="B19" s="81"/>
      <c r="C19" s="85"/>
      <c r="D19" s="85"/>
      <c r="E19" s="85"/>
      <c r="F19" s="9" t="s">
        <v>29</v>
      </c>
      <c r="G19" s="5"/>
    </row>
    <row r="20" spans="1:7" ht="22" customHeight="1" x14ac:dyDescent="0.55000000000000004">
      <c r="A20" s="91" t="s">
        <v>30</v>
      </c>
      <c r="B20" s="84"/>
      <c r="C20" s="85"/>
      <c r="D20" s="85"/>
      <c r="E20" s="85"/>
      <c r="F20" s="8" t="s">
        <v>31</v>
      </c>
      <c r="G20" s="3"/>
    </row>
    <row r="21" spans="1:7" ht="22" customHeight="1" x14ac:dyDescent="0.55000000000000004">
      <c r="A21" s="82" t="s">
        <v>32</v>
      </c>
      <c r="B21" s="81"/>
      <c r="C21" s="85"/>
      <c r="D21" s="85"/>
      <c r="E21" s="85"/>
      <c r="F21" s="9" t="s">
        <v>33</v>
      </c>
      <c r="G21" s="5"/>
    </row>
    <row r="22" spans="1:7" ht="22" customHeight="1" x14ac:dyDescent="0.55000000000000004">
      <c r="A22" s="91" t="s">
        <v>34</v>
      </c>
      <c r="B22" s="84"/>
      <c r="C22" s="85"/>
      <c r="D22" s="85"/>
      <c r="E22" s="85"/>
      <c r="F22" s="8" t="s">
        <v>35</v>
      </c>
      <c r="G22" s="3"/>
    </row>
    <row r="23" spans="1:7" ht="22" customHeight="1" x14ac:dyDescent="0.55000000000000004">
      <c r="A23" s="82" t="s">
        <v>36</v>
      </c>
      <c r="B23" s="81"/>
      <c r="C23" s="85"/>
      <c r="D23" s="85"/>
      <c r="E23" s="85"/>
      <c r="F23" s="9" t="s">
        <v>37</v>
      </c>
      <c r="G23" s="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78" t="s">
        <v>38</v>
      </c>
      <c r="B25" s="79"/>
      <c r="C25" s="79"/>
      <c r="D25" s="79"/>
      <c r="E25" s="79"/>
      <c r="F25" s="79"/>
      <c r="G25" s="79"/>
    </row>
    <row r="26" spans="1:7" ht="24" customHeight="1" x14ac:dyDescent="0.55000000000000004">
      <c r="A26" s="83" t="s">
        <v>39</v>
      </c>
      <c r="B26" s="84"/>
      <c r="C26" s="84"/>
      <c r="D26" s="84"/>
      <c r="E26" s="84"/>
      <c r="F26" s="84"/>
      <c r="G26" s="84"/>
    </row>
    <row r="27" spans="1:7" ht="18" customHeight="1" x14ac:dyDescent="0.55000000000000004">
      <c r="A27" s="2"/>
      <c r="B27" s="2" t="s">
        <v>40</v>
      </c>
      <c r="C27" s="2"/>
      <c r="D27" s="2" t="s">
        <v>41</v>
      </c>
      <c r="E27" s="2"/>
      <c r="F27" s="2" t="s">
        <v>42</v>
      </c>
      <c r="G27" s="2" t="s">
        <v>43</v>
      </c>
    </row>
    <row r="28" spans="1:7" ht="26.05" customHeight="1" x14ac:dyDescent="0.55000000000000004">
      <c r="A28" s="91" t="s">
        <v>44</v>
      </c>
      <c r="B28" s="84"/>
      <c r="C28" s="10"/>
      <c r="D28" s="112" t="s">
        <v>45</v>
      </c>
      <c r="E28" s="84"/>
      <c r="F28" s="98" t="s">
        <v>46</v>
      </c>
      <c r="G28" s="84"/>
    </row>
    <row r="29" spans="1:7" ht="26.05" customHeight="1" x14ac:dyDescent="0.55000000000000004">
      <c r="A29" s="82" t="s">
        <v>47</v>
      </c>
      <c r="B29" s="81"/>
      <c r="C29" s="10"/>
      <c r="D29" s="86" t="s">
        <v>48</v>
      </c>
      <c r="E29" s="81"/>
      <c r="F29" s="80" t="s">
        <v>49</v>
      </c>
      <c r="G29" s="81"/>
    </row>
    <row r="30" spans="1:7" ht="26.05" customHeight="1" x14ac:dyDescent="0.55000000000000004">
      <c r="A30" s="91" t="s">
        <v>50</v>
      </c>
      <c r="B30" s="84"/>
      <c r="C30" s="10"/>
      <c r="D30" s="112" t="s">
        <v>51</v>
      </c>
      <c r="E30" s="84"/>
      <c r="F30" s="98" t="s">
        <v>46</v>
      </c>
      <c r="G30" s="84"/>
    </row>
    <row r="31" spans="1:7" ht="26.05" customHeight="1" x14ac:dyDescent="0.55000000000000004">
      <c r="A31" s="82" t="s">
        <v>52</v>
      </c>
      <c r="B31" s="81"/>
      <c r="C31" s="4" t="s">
        <v>53</v>
      </c>
      <c r="D31" s="86" t="s">
        <v>54</v>
      </c>
      <c r="E31" s="81"/>
      <c r="F31" s="80" t="s">
        <v>46</v>
      </c>
      <c r="G31" s="81"/>
    </row>
    <row r="32" spans="1:7" ht="26.05" customHeight="1" x14ac:dyDescent="0.55000000000000004">
      <c r="A32" s="111" t="s">
        <v>55</v>
      </c>
      <c r="B32" s="84"/>
      <c r="C32" s="4" t="s">
        <v>9</v>
      </c>
      <c r="D32" s="112" t="s">
        <v>56</v>
      </c>
      <c r="E32" s="84"/>
      <c r="F32" s="98" t="s">
        <v>57</v>
      </c>
      <c r="G32" s="84"/>
    </row>
    <row r="33" spans="1:7" ht="5.05" customHeight="1" x14ac:dyDescent="0.55000000000000004">
      <c r="A33" s="1"/>
      <c r="B33" s="1"/>
      <c r="C33" s="1"/>
      <c r="D33" s="1"/>
      <c r="E33" s="1"/>
      <c r="F33" s="1"/>
      <c r="G33" s="1"/>
    </row>
    <row r="34" spans="1:7" ht="24" customHeight="1" x14ac:dyDescent="0.55000000000000004">
      <c r="A34" s="78" t="s">
        <v>58</v>
      </c>
      <c r="B34" s="79"/>
      <c r="C34" s="79"/>
      <c r="D34" s="79"/>
      <c r="E34" s="79"/>
      <c r="F34" s="79"/>
      <c r="G34" s="79"/>
    </row>
    <row r="35" spans="1:7" ht="22" customHeight="1" x14ac:dyDescent="0.55000000000000004">
      <c r="A35" s="83" t="s">
        <v>59</v>
      </c>
      <c r="B35" s="84"/>
      <c r="C35" s="84"/>
      <c r="D35" s="84"/>
      <c r="E35" s="84"/>
      <c r="F35" s="84"/>
      <c r="G35" s="84"/>
    </row>
    <row r="36" spans="1:7" ht="18" customHeight="1" x14ac:dyDescent="0.55000000000000004">
      <c r="A36" s="13" t="s">
        <v>60</v>
      </c>
      <c r="B36" s="13" t="s">
        <v>61</v>
      </c>
      <c r="C36" s="13" t="s">
        <v>62</v>
      </c>
      <c r="D36" s="13" t="s">
        <v>63</v>
      </c>
      <c r="E36" s="13" t="s">
        <v>64</v>
      </c>
      <c r="F36" s="13" t="s">
        <v>65</v>
      </c>
      <c r="G36" s="13" t="s">
        <v>66</v>
      </c>
    </row>
    <row r="37" spans="1:7" ht="26.05" customHeight="1" x14ac:dyDescent="0.55000000000000004">
      <c r="A37" s="14"/>
      <c r="B37" s="10"/>
      <c r="C37" s="15"/>
      <c r="D37" s="16"/>
      <c r="E37" s="17"/>
      <c r="F37" s="18">
        <v>100</v>
      </c>
      <c r="G37" s="19">
        <f t="shared" ref="G37:G44" si="0">IF(E37&gt;0,E37*F37/100,0)</f>
        <v>0</v>
      </c>
    </row>
    <row r="38" spans="1:7" ht="26.05" customHeight="1" x14ac:dyDescent="0.55000000000000004">
      <c r="A38" s="14"/>
      <c r="B38" s="10"/>
      <c r="C38" s="15"/>
      <c r="D38" s="16"/>
      <c r="E38" s="17"/>
      <c r="F38" s="18">
        <v>100</v>
      </c>
      <c r="G38" s="19">
        <f t="shared" si="0"/>
        <v>0</v>
      </c>
    </row>
    <row r="39" spans="1:7" ht="26.05" customHeight="1" x14ac:dyDescent="0.55000000000000004">
      <c r="A39" s="14"/>
      <c r="B39" s="10"/>
      <c r="C39" s="15"/>
      <c r="D39" s="16"/>
      <c r="E39" s="17"/>
      <c r="F39" s="18">
        <v>100</v>
      </c>
      <c r="G39" s="19">
        <f t="shared" si="0"/>
        <v>0</v>
      </c>
    </row>
    <row r="40" spans="1:7" ht="26.05" customHeight="1" x14ac:dyDescent="0.55000000000000004">
      <c r="A40" s="14"/>
      <c r="B40" s="10"/>
      <c r="C40" s="15"/>
      <c r="D40" s="16"/>
      <c r="E40" s="17"/>
      <c r="F40" s="18">
        <v>100</v>
      </c>
      <c r="G40" s="19">
        <f t="shared" si="0"/>
        <v>0</v>
      </c>
    </row>
    <row r="41" spans="1:7" ht="26.05" customHeight="1" x14ac:dyDescent="0.55000000000000004">
      <c r="A41" s="14"/>
      <c r="B41" s="10"/>
      <c r="C41" s="15"/>
      <c r="D41" s="16"/>
      <c r="E41" s="17"/>
      <c r="F41" s="18">
        <v>100</v>
      </c>
      <c r="G41" s="19">
        <f t="shared" si="0"/>
        <v>0</v>
      </c>
    </row>
    <row r="42" spans="1:7" ht="26.05" customHeight="1" x14ac:dyDescent="0.55000000000000004">
      <c r="A42" s="14"/>
      <c r="B42" s="10"/>
      <c r="C42" s="15"/>
      <c r="D42" s="16"/>
      <c r="E42" s="17"/>
      <c r="F42" s="18">
        <v>100</v>
      </c>
      <c r="G42" s="19">
        <f t="shared" si="0"/>
        <v>0</v>
      </c>
    </row>
    <row r="43" spans="1:7" ht="26.05" customHeight="1" x14ac:dyDescent="0.55000000000000004">
      <c r="A43" s="14"/>
      <c r="B43" s="10"/>
      <c r="C43" s="15"/>
      <c r="D43" s="16"/>
      <c r="E43" s="17"/>
      <c r="F43" s="18">
        <v>100</v>
      </c>
      <c r="G43" s="19">
        <f t="shared" si="0"/>
        <v>0</v>
      </c>
    </row>
    <row r="44" spans="1:7" ht="26.05" customHeight="1" x14ac:dyDescent="0.55000000000000004">
      <c r="A44" s="14"/>
      <c r="B44" s="10"/>
      <c r="C44" s="15"/>
      <c r="D44" s="16"/>
      <c r="E44" s="17"/>
      <c r="F44" s="18">
        <v>100</v>
      </c>
      <c r="G44" s="19">
        <f t="shared" si="0"/>
        <v>0</v>
      </c>
    </row>
    <row r="45" spans="1:7" ht="30" customHeight="1" x14ac:dyDescent="0.55000000000000004">
      <c r="A45" s="20" t="s">
        <v>67</v>
      </c>
      <c r="B45" s="99" t="s">
        <v>68</v>
      </c>
      <c r="C45" s="100"/>
      <c r="D45" s="100"/>
      <c r="E45" s="21">
        <f>SUM(E37:E44)</f>
        <v>0</v>
      </c>
      <c r="F45" s="20" t="s">
        <v>69</v>
      </c>
      <c r="G45" s="22">
        <f>SUM(G37:G44)</f>
        <v>0</v>
      </c>
    </row>
    <row r="46" spans="1:7" ht="26.05" customHeight="1" x14ac:dyDescent="0.55000000000000004">
      <c r="A46" s="92" t="s">
        <v>70</v>
      </c>
      <c r="B46" s="93"/>
      <c r="C46" s="93"/>
      <c r="D46" s="93"/>
      <c r="E46" s="93"/>
      <c r="F46" s="93"/>
      <c r="G46" s="93"/>
    </row>
    <row r="47" spans="1:7" ht="5.05" customHeight="1" x14ac:dyDescent="0.55000000000000004">
      <c r="A47" s="1"/>
      <c r="B47" s="1"/>
      <c r="C47" s="1"/>
      <c r="D47" s="1"/>
      <c r="E47" s="1"/>
      <c r="F47" s="1"/>
      <c r="G47" s="1"/>
    </row>
    <row r="48" spans="1:7" ht="24" customHeight="1" x14ac:dyDescent="0.55000000000000004">
      <c r="A48" s="78" t="s">
        <v>71</v>
      </c>
      <c r="B48" s="79"/>
      <c r="C48" s="79"/>
      <c r="D48" s="79"/>
      <c r="E48" s="79"/>
      <c r="F48" s="79"/>
      <c r="G48" s="79"/>
    </row>
    <row r="49" spans="1:7" ht="18" customHeight="1" x14ac:dyDescent="0.55000000000000004">
      <c r="A49" s="2"/>
      <c r="B49" s="2" t="s">
        <v>72</v>
      </c>
      <c r="C49" s="2"/>
      <c r="D49" s="2" t="s">
        <v>73</v>
      </c>
      <c r="E49" s="2"/>
      <c r="F49" s="2" t="s">
        <v>42</v>
      </c>
      <c r="G49" s="2" t="s">
        <v>74</v>
      </c>
    </row>
    <row r="50" spans="1:7" ht="28" customHeight="1" x14ac:dyDescent="0.55000000000000004">
      <c r="A50" s="91" t="s">
        <v>75</v>
      </c>
      <c r="B50" s="84"/>
      <c r="C50" s="23">
        <f>E45</f>
        <v>0</v>
      </c>
      <c r="D50" s="112" t="s">
        <v>76</v>
      </c>
      <c r="E50" s="84"/>
      <c r="F50" s="94" t="s">
        <v>77</v>
      </c>
      <c r="G50" s="84"/>
    </row>
    <row r="51" spans="1:7" ht="28" customHeight="1" x14ac:dyDescent="0.55000000000000004">
      <c r="A51" s="82" t="s">
        <v>78</v>
      </c>
      <c r="B51" s="81"/>
      <c r="C51" s="23">
        <f>E45-G45</f>
        <v>0</v>
      </c>
      <c r="D51" s="86" t="s">
        <v>79</v>
      </c>
      <c r="E51" s="81"/>
      <c r="F51" s="90" t="s">
        <v>80</v>
      </c>
      <c r="G51" s="81"/>
    </row>
    <row r="52" spans="1:7" ht="28" customHeight="1" x14ac:dyDescent="0.55000000000000004">
      <c r="A52" s="102" t="s">
        <v>81</v>
      </c>
      <c r="B52" s="88"/>
      <c r="C52" s="24">
        <f>G45</f>
        <v>0</v>
      </c>
      <c r="D52" s="108" t="s">
        <v>82</v>
      </c>
      <c r="E52" s="88"/>
      <c r="F52" s="117" t="s">
        <v>83</v>
      </c>
      <c r="G52" s="88"/>
    </row>
    <row r="53" spans="1:7" ht="28" customHeight="1" x14ac:dyDescent="0.55000000000000004">
      <c r="A53" s="82" t="s">
        <v>84</v>
      </c>
      <c r="B53" s="81"/>
      <c r="C53" s="23">
        <f>C51</f>
        <v>0</v>
      </c>
      <c r="D53" s="86" t="s">
        <v>85</v>
      </c>
      <c r="E53" s="81"/>
      <c r="F53" s="90" t="s">
        <v>86</v>
      </c>
      <c r="G53" s="81"/>
    </row>
    <row r="54" spans="1:7" ht="5.05" customHeight="1" x14ac:dyDescent="0.55000000000000004">
      <c r="A54" s="1"/>
      <c r="B54" s="1"/>
      <c r="C54" s="1"/>
      <c r="D54" s="1"/>
      <c r="E54" s="1"/>
      <c r="F54" s="1"/>
      <c r="G54" s="1"/>
    </row>
    <row r="55" spans="1:7" ht="22" customHeight="1" x14ac:dyDescent="0.55000000000000004">
      <c r="A55" s="78" t="s">
        <v>87</v>
      </c>
      <c r="B55" s="79"/>
      <c r="C55" s="79"/>
      <c r="D55" s="79"/>
      <c r="E55" s="79"/>
      <c r="F55" s="79"/>
      <c r="G55" s="79"/>
    </row>
    <row r="56" spans="1:7" ht="20.05" customHeight="1" x14ac:dyDescent="0.55000000000000004">
      <c r="A56" s="83" t="s">
        <v>88</v>
      </c>
      <c r="B56" s="84"/>
      <c r="C56" s="84"/>
      <c r="D56" s="84"/>
      <c r="E56" s="84"/>
      <c r="F56" s="84"/>
      <c r="G56" s="84"/>
    </row>
    <row r="57" spans="1:7" ht="18" customHeight="1" x14ac:dyDescent="0.55000000000000004">
      <c r="A57" s="2"/>
      <c r="B57" s="2" t="s">
        <v>89</v>
      </c>
      <c r="C57" s="2"/>
      <c r="D57" s="2" t="s">
        <v>90</v>
      </c>
      <c r="E57" s="2"/>
      <c r="F57" s="2" t="s">
        <v>91</v>
      </c>
      <c r="G57" s="2" t="s">
        <v>92</v>
      </c>
    </row>
    <row r="58" spans="1:7" ht="24" customHeight="1" x14ac:dyDescent="0.55000000000000004">
      <c r="A58" s="91" t="s">
        <v>93</v>
      </c>
      <c r="B58" s="84"/>
      <c r="C58" s="25" t="s">
        <v>94</v>
      </c>
      <c r="D58" s="26" t="s">
        <v>95</v>
      </c>
      <c r="E58" s="27" t="s">
        <v>96</v>
      </c>
      <c r="F58" s="28">
        <f>C28</f>
        <v>0</v>
      </c>
      <c r="G58" s="11" t="s">
        <v>97</v>
      </c>
    </row>
    <row r="59" spans="1:7" ht="24" customHeight="1" x14ac:dyDescent="0.55000000000000004">
      <c r="A59" s="82" t="s">
        <v>98</v>
      </c>
      <c r="B59" s="81"/>
      <c r="C59" s="29" t="s">
        <v>94</v>
      </c>
      <c r="D59" s="26" t="s">
        <v>95</v>
      </c>
      <c r="E59" s="30" t="s">
        <v>96</v>
      </c>
      <c r="F59" s="28">
        <f>C29</f>
        <v>0</v>
      </c>
      <c r="G59" s="12" t="s">
        <v>99</v>
      </c>
    </row>
    <row r="60" spans="1:7" ht="24" customHeight="1" x14ac:dyDescent="0.55000000000000004">
      <c r="A60" s="91" t="s">
        <v>100</v>
      </c>
      <c r="B60" s="84"/>
      <c r="C60" s="25" t="s">
        <v>94</v>
      </c>
      <c r="D60" s="26" t="s">
        <v>95</v>
      </c>
      <c r="E60" s="27" t="s">
        <v>96</v>
      </c>
      <c r="F60" s="31" t="s">
        <v>69</v>
      </c>
      <c r="G60" s="11" t="s">
        <v>101</v>
      </c>
    </row>
    <row r="61" spans="1:7" ht="24" customHeight="1" x14ac:dyDescent="0.55000000000000004">
      <c r="A61" s="82" t="s">
        <v>102</v>
      </c>
      <c r="B61" s="81"/>
      <c r="C61" s="29" t="s">
        <v>94</v>
      </c>
      <c r="D61" s="26" t="s">
        <v>95</v>
      </c>
      <c r="E61" s="30" t="s">
        <v>96</v>
      </c>
      <c r="F61" s="28">
        <f>C52</f>
        <v>0</v>
      </c>
      <c r="G61" s="12" t="s">
        <v>103</v>
      </c>
    </row>
    <row r="62" spans="1:7" ht="24" customHeight="1" x14ac:dyDescent="0.55000000000000004">
      <c r="A62" s="91" t="s">
        <v>104</v>
      </c>
      <c r="B62" s="84"/>
      <c r="C62" s="25" t="s">
        <v>94</v>
      </c>
      <c r="D62" s="26" t="s">
        <v>95</v>
      </c>
      <c r="E62" s="27" t="s">
        <v>96</v>
      </c>
      <c r="F62" s="31" t="s">
        <v>9</v>
      </c>
      <c r="G62" s="11" t="s">
        <v>105</v>
      </c>
    </row>
    <row r="63" spans="1:7" ht="32.049999999999997" customHeight="1" x14ac:dyDescent="0.55000000000000004">
      <c r="A63" s="107" t="s">
        <v>106</v>
      </c>
      <c r="B63" s="88"/>
      <c r="C63" s="88"/>
      <c r="D63" s="88"/>
      <c r="E63" s="32">
        <f>C52</f>
        <v>0</v>
      </c>
      <c r="F63" s="95" t="s">
        <v>107</v>
      </c>
      <c r="G63" s="88"/>
    </row>
    <row r="64" spans="1:7" ht="52" customHeight="1" x14ac:dyDescent="0.55000000000000004">
      <c r="A64" s="115" t="s">
        <v>108</v>
      </c>
      <c r="B64" s="116"/>
      <c r="C64" s="116"/>
      <c r="D64" s="116"/>
      <c r="E64" s="116"/>
      <c r="F64" s="116"/>
      <c r="G64" s="116"/>
    </row>
  </sheetData>
  <mergeCells count="78">
    <mergeCell ref="A64:G64"/>
    <mergeCell ref="F32:G32"/>
    <mergeCell ref="A18:B18"/>
    <mergeCell ref="A50:B50"/>
    <mergeCell ref="C19:E19"/>
    <mergeCell ref="F52:G52"/>
    <mergeCell ref="A20:B20"/>
    <mergeCell ref="A29:B29"/>
    <mergeCell ref="A56:G56"/>
    <mergeCell ref="D50:E50"/>
    <mergeCell ref="A31:B31"/>
    <mergeCell ref="A58:B58"/>
    <mergeCell ref="F53:G53"/>
    <mergeCell ref="A12:D12"/>
    <mergeCell ref="A2:G2"/>
    <mergeCell ref="F14:G14"/>
    <mergeCell ref="A14:D14"/>
    <mergeCell ref="F11:G11"/>
    <mergeCell ref="F12:G12"/>
    <mergeCell ref="A1:G1"/>
    <mergeCell ref="B45:D45"/>
    <mergeCell ref="F31:G31"/>
    <mergeCell ref="F28:G28"/>
    <mergeCell ref="F9:G9"/>
    <mergeCell ref="A3:G3"/>
    <mergeCell ref="D29:E29"/>
    <mergeCell ref="A8:D8"/>
    <mergeCell ref="A4:G4"/>
    <mergeCell ref="A10:D10"/>
    <mergeCell ref="F8:G8"/>
    <mergeCell ref="A21:B21"/>
    <mergeCell ref="A6:G6"/>
    <mergeCell ref="A32:B32"/>
    <mergeCell ref="D28:E28"/>
    <mergeCell ref="A23:B23"/>
    <mergeCell ref="F10:G10"/>
    <mergeCell ref="F63:G63"/>
    <mergeCell ref="C22:E22"/>
    <mergeCell ref="A61:B61"/>
    <mergeCell ref="A9:D9"/>
    <mergeCell ref="F30:G30"/>
    <mergeCell ref="A34:G34"/>
    <mergeCell ref="A11:D11"/>
    <mergeCell ref="D53:E53"/>
    <mergeCell ref="A52:B52"/>
    <mergeCell ref="A55:G55"/>
    <mergeCell ref="A63:D63"/>
    <mergeCell ref="D52:E52"/>
    <mergeCell ref="F50:G50"/>
    <mergeCell ref="A25:G25"/>
    <mergeCell ref="D30:E30"/>
    <mergeCell ref="A53:B53"/>
    <mergeCell ref="A46:G46"/>
    <mergeCell ref="A62:B62"/>
    <mergeCell ref="A19:B19"/>
    <mergeCell ref="D51:E51"/>
    <mergeCell ref="A28:B28"/>
    <mergeCell ref="A26:G26"/>
    <mergeCell ref="C20:E20"/>
    <mergeCell ref="A30:B30"/>
    <mergeCell ref="A59:B59"/>
    <mergeCell ref="A60:B60"/>
    <mergeCell ref="F51:G51"/>
    <mergeCell ref="D32:E32"/>
    <mergeCell ref="A13:D13"/>
    <mergeCell ref="F15:G15"/>
    <mergeCell ref="C23:E23"/>
    <mergeCell ref="A48:G48"/>
    <mergeCell ref="A15:D15"/>
    <mergeCell ref="C18:E18"/>
    <mergeCell ref="F13:G13"/>
    <mergeCell ref="A22:B22"/>
    <mergeCell ref="A17:G17"/>
    <mergeCell ref="F29:G29"/>
    <mergeCell ref="A51:B51"/>
    <mergeCell ref="A35:G35"/>
    <mergeCell ref="C21:E21"/>
    <mergeCell ref="D31:E31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7">
    <dataValidation type="list" sqref="E8 E10" xr:uid="{00000000-0002-0000-0000-000000000000}">
      <formula1>"EVET,HAYIR-İstisna Yok"</formula1>
    </dataValidation>
    <dataValidation type="list" sqref="E9 E11" xr:uid="{00000000-0002-0000-0000-000001000000}">
      <formula1>"EVET,HAYIR-Risk"</formula1>
    </dataValidation>
    <dataValidation type="list" sqref="E12" xr:uid="{00000000-0002-0000-0000-000004000000}">
      <formula1>"EVET,HAYIR-KRİTİK HATA"</formula1>
    </dataValidation>
    <dataValidation type="list" sqref="E13" xr:uid="{00000000-0002-0000-0000-000005000000}">
      <formula1>"EVET,HAYIR-Eksik Belge"</formula1>
    </dataValidation>
    <dataValidation type="list" sqref="E14" xr:uid="{00000000-0002-0000-0000-000006000000}">
      <formula1>"EVET,Tam Tasdik"</formula1>
    </dataValidation>
    <dataValidation type="list" sqref="C31" xr:uid="{00000000-0002-0000-0000-000007000000}">
      <formula1>"Vadede,Aylık,3 Aylık,Diğer"</formula1>
    </dataValidation>
    <dataValidation type="list" sqref="C32" xr:uid="{00000000-0002-0000-0000-000008000000}">
      <formula1>"EVET,HAYIR-Kapsam Dışı"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29" t="s">
        <v>109</v>
      </c>
      <c r="B1" s="79"/>
      <c r="C1" s="79"/>
      <c r="D1" s="79"/>
      <c r="E1" s="79"/>
      <c r="F1" s="79"/>
      <c r="G1" s="79"/>
    </row>
    <row r="2" spans="1:7" ht="20.05" customHeight="1" x14ac:dyDescent="0.55000000000000004">
      <c r="A2" s="113" t="s">
        <v>110</v>
      </c>
      <c r="B2" s="114"/>
      <c r="C2" s="114"/>
      <c r="D2" s="114"/>
      <c r="E2" s="114"/>
      <c r="F2" s="114"/>
      <c r="G2" s="11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2" t="s">
        <v>111</v>
      </c>
      <c r="B4" s="123"/>
      <c r="C4" s="123"/>
      <c r="D4" s="123"/>
      <c r="E4" s="123"/>
      <c r="F4" s="123"/>
      <c r="G4" s="123"/>
    </row>
    <row r="5" spans="1:7" ht="22" customHeight="1" x14ac:dyDescent="0.55000000000000004">
      <c r="A5" s="126" t="s">
        <v>112</v>
      </c>
      <c r="B5" s="81"/>
      <c r="C5" s="81"/>
      <c r="D5" s="33" t="str">
        <f>'VERİ GİRİŞİ'!E15</f>
        <v>OK - Hesaplanabilir</v>
      </c>
      <c r="E5" s="90" t="s">
        <v>113</v>
      </c>
      <c r="F5" s="81"/>
      <c r="G5" s="81"/>
    </row>
    <row r="6" spans="1:7" ht="22" customHeight="1" x14ac:dyDescent="0.55000000000000004">
      <c r="A6" s="127" t="s">
        <v>114</v>
      </c>
      <c r="B6" s="84"/>
      <c r="C6" s="84"/>
      <c r="D6" s="33" t="str">
        <f>'VERİ GİRİŞİ'!C32</f>
        <v>EVET</v>
      </c>
      <c r="E6" s="94" t="s">
        <v>115</v>
      </c>
      <c r="F6" s="84"/>
      <c r="G6" s="84"/>
    </row>
    <row r="7" spans="1:7" ht="22" customHeight="1" x14ac:dyDescent="0.55000000000000004">
      <c r="A7" s="126" t="s">
        <v>116</v>
      </c>
      <c r="B7" s="81"/>
      <c r="C7" s="81"/>
      <c r="D7" s="33">
        <f>'VERİ GİRİŞİ'!C50</f>
        <v>0</v>
      </c>
      <c r="E7" s="90" t="s">
        <v>117</v>
      </c>
      <c r="F7" s="81"/>
      <c r="G7" s="81"/>
    </row>
    <row r="8" spans="1:7" ht="22" customHeight="1" x14ac:dyDescent="0.55000000000000004">
      <c r="A8" s="127" t="s">
        <v>118</v>
      </c>
      <c r="B8" s="84"/>
      <c r="C8" s="84"/>
      <c r="D8" s="33">
        <f>'VERİ GİRİŞİ'!C51</f>
        <v>0</v>
      </c>
      <c r="E8" s="94" t="s">
        <v>119</v>
      </c>
      <c r="F8" s="84"/>
      <c r="G8" s="84"/>
    </row>
    <row r="9" spans="1:7" ht="22" customHeight="1" x14ac:dyDescent="0.55000000000000004">
      <c r="A9" s="89" t="s">
        <v>120</v>
      </c>
      <c r="B9" s="88"/>
      <c r="C9" s="88"/>
      <c r="D9" s="34">
        <f>'VERİ GİRİŞİ'!C52</f>
        <v>0</v>
      </c>
      <c r="E9" s="117"/>
      <c r="F9" s="88"/>
      <c r="G9" s="88"/>
    </row>
    <row r="10" spans="1:7" ht="22" customHeight="1" x14ac:dyDescent="0.55000000000000004">
      <c r="A10" s="128" t="s">
        <v>121</v>
      </c>
      <c r="B10" s="119"/>
      <c r="C10" s="119"/>
      <c r="D10" s="36" t="s">
        <v>122</v>
      </c>
      <c r="E10" s="118" t="s">
        <v>123</v>
      </c>
      <c r="F10" s="119"/>
      <c r="G10" s="119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8" t="s">
        <v>124</v>
      </c>
      <c r="B12" s="79"/>
      <c r="C12" s="79"/>
      <c r="D12" s="79"/>
      <c r="E12" s="79"/>
      <c r="F12" s="79"/>
      <c r="G12" s="79"/>
    </row>
    <row r="13" spans="1:7" ht="18" customHeight="1" x14ac:dyDescent="0.55000000000000004">
      <c r="A13" s="2"/>
      <c r="B13" s="2" t="s">
        <v>125</v>
      </c>
      <c r="C13" s="2"/>
      <c r="D13" s="2" t="s">
        <v>126</v>
      </c>
      <c r="E13" s="2"/>
      <c r="F13" s="2" t="s">
        <v>127</v>
      </c>
      <c r="G13" s="2" t="s">
        <v>128</v>
      </c>
    </row>
    <row r="14" spans="1:7" ht="24" customHeight="1" x14ac:dyDescent="0.55000000000000004">
      <c r="A14" s="37" t="s">
        <v>129</v>
      </c>
      <c r="B14" s="3"/>
      <c r="C14" s="38" t="s">
        <v>130</v>
      </c>
      <c r="D14" s="35"/>
      <c r="E14" s="39" t="s">
        <v>131</v>
      </c>
      <c r="F14" s="40" t="s">
        <v>132</v>
      </c>
      <c r="G14" s="3"/>
    </row>
    <row r="15" spans="1:7" ht="24" customHeight="1" x14ac:dyDescent="0.55000000000000004">
      <c r="A15" s="37" t="s">
        <v>43</v>
      </c>
      <c r="B15" s="5"/>
      <c r="C15" s="38" t="s">
        <v>133</v>
      </c>
      <c r="D15" s="35"/>
      <c r="E15" s="39" t="s">
        <v>134</v>
      </c>
      <c r="F15" s="40" t="s">
        <v>135</v>
      </c>
      <c r="G15" s="5"/>
    </row>
    <row r="16" spans="1:7" ht="24" customHeight="1" x14ac:dyDescent="0.55000000000000004">
      <c r="A16" s="37" t="s">
        <v>136</v>
      </c>
      <c r="B16" s="3"/>
      <c r="C16" s="38" t="s">
        <v>137</v>
      </c>
      <c r="D16" s="35"/>
      <c r="E16" s="39" t="s">
        <v>138</v>
      </c>
      <c r="F16" s="40" t="s">
        <v>139</v>
      </c>
      <c r="G16" s="3"/>
    </row>
    <row r="17" spans="1:7" ht="24" customHeight="1" x14ac:dyDescent="0.55000000000000004">
      <c r="A17" s="37" t="s">
        <v>140</v>
      </c>
      <c r="B17" s="5"/>
      <c r="C17" s="38" t="s">
        <v>141</v>
      </c>
      <c r="D17" s="35"/>
      <c r="E17" s="39" t="s">
        <v>142</v>
      </c>
      <c r="F17" s="40" t="s">
        <v>143</v>
      </c>
      <c r="G17" s="5"/>
    </row>
    <row r="18" spans="1:7" ht="24" customHeight="1" x14ac:dyDescent="0.55000000000000004">
      <c r="A18" s="37" t="s">
        <v>144</v>
      </c>
      <c r="B18" s="3"/>
      <c r="C18" s="38" t="s">
        <v>145</v>
      </c>
      <c r="D18" s="35"/>
      <c r="E18" s="39" t="s">
        <v>146</v>
      </c>
      <c r="F18" s="40" t="s">
        <v>147</v>
      </c>
      <c r="G18" s="3"/>
    </row>
    <row r="19" spans="1:7" ht="24" customHeight="1" x14ac:dyDescent="0.55000000000000004">
      <c r="A19" s="37" t="s">
        <v>148</v>
      </c>
      <c r="B19" s="5"/>
      <c r="C19" s="38" t="s">
        <v>149</v>
      </c>
      <c r="D19" s="35"/>
      <c r="E19" s="39" t="s">
        <v>149</v>
      </c>
      <c r="F19" s="41" t="s">
        <v>150</v>
      </c>
      <c r="G19" s="5"/>
    </row>
    <row r="20" spans="1:7" ht="24" customHeight="1" x14ac:dyDescent="0.55000000000000004">
      <c r="A20" s="37" t="s">
        <v>151</v>
      </c>
      <c r="B20" s="3"/>
      <c r="C20" s="38" t="s">
        <v>152</v>
      </c>
      <c r="D20" s="35"/>
      <c r="E20" s="39" t="s">
        <v>153</v>
      </c>
      <c r="F20" s="40" t="s">
        <v>154</v>
      </c>
      <c r="G20" s="3"/>
    </row>
    <row r="21" spans="1:7" ht="5.05" customHeight="1" x14ac:dyDescent="0.55000000000000004">
      <c r="A21" s="1"/>
      <c r="B21" s="1"/>
      <c r="C21" s="1"/>
      <c r="D21" s="1"/>
      <c r="E21" s="1"/>
      <c r="F21" s="1"/>
      <c r="G21" s="1"/>
    </row>
    <row r="22" spans="1:7" ht="22" customHeight="1" x14ac:dyDescent="0.55000000000000004">
      <c r="A22" s="78" t="s">
        <v>155</v>
      </c>
      <c r="B22" s="79"/>
      <c r="C22" s="79"/>
      <c r="D22" s="79"/>
      <c r="E22" s="79"/>
      <c r="F22" s="79"/>
      <c r="G22" s="79"/>
    </row>
    <row r="23" spans="1:7" ht="18" customHeight="1" x14ac:dyDescent="0.55000000000000004">
      <c r="A23" s="2"/>
      <c r="B23" s="2" t="s">
        <v>92</v>
      </c>
      <c r="C23" s="2"/>
      <c r="D23" s="2" t="s">
        <v>42</v>
      </c>
      <c r="E23" s="2"/>
      <c r="F23" s="2" t="s">
        <v>156</v>
      </c>
      <c r="G23" s="2"/>
    </row>
    <row r="24" spans="1:7" ht="22" customHeight="1" x14ac:dyDescent="0.55000000000000004">
      <c r="A24" s="42" t="s">
        <v>157</v>
      </c>
      <c r="B24" s="120" t="s">
        <v>158</v>
      </c>
      <c r="C24" s="97"/>
      <c r="D24" s="131" t="s">
        <v>159</v>
      </c>
      <c r="E24" s="132"/>
      <c r="F24" s="45" t="s">
        <v>160</v>
      </c>
      <c r="G24" s="3"/>
    </row>
    <row r="25" spans="1:7" ht="22" customHeight="1" x14ac:dyDescent="0.55000000000000004">
      <c r="A25" s="42" t="s">
        <v>161</v>
      </c>
      <c r="B25" s="120" t="s">
        <v>162</v>
      </c>
      <c r="C25" s="97"/>
      <c r="D25" s="131" t="s">
        <v>163</v>
      </c>
      <c r="E25" s="132"/>
      <c r="F25" s="45" t="s">
        <v>160</v>
      </c>
      <c r="G25" s="5"/>
    </row>
    <row r="26" spans="1:7" ht="22" customHeight="1" x14ac:dyDescent="0.55000000000000004">
      <c r="A26" s="42" t="s">
        <v>164</v>
      </c>
      <c r="B26" s="120" t="s">
        <v>165</v>
      </c>
      <c r="C26" s="97"/>
      <c r="D26" s="131" t="s">
        <v>166</v>
      </c>
      <c r="E26" s="132"/>
      <c r="F26" s="45" t="s">
        <v>160</v>
      </c>
      <c r="G26" s="3"/>
    </row>
    <row r="27" spans="1:7" ht="22" customHeight="1" x14ac:dyDescent="0.55000000000000004">
      <c r="A27" s="42" t="s">
        <v>167</v>
      </c>
      <c r="B27" s="124" t="s">
        <v>168</v>
      </c>
      <c r="C27" s="81"/>
      <c r="D27" s="125" t="s">
        <v>169</v>
      </c>
      <c r="E27" s="81"/>
      <c r="F27" s="45" t="s">
        <v>160</v>
      </c>
      <c r="G27" s="5"/>
    </row>
    <row r="28" spans="1:7" ht="22" customHeight="1" x14ac:dyDescent="0.55000000000000004">
      <c r="A28" s="42" t="s">
        <v>170</v>
      </c>
      <c r="B28" s="120" t="s">
        <v>171</v>
      </c>
      <c r="C28" s="97"/>
      <c r="D28" s="131" t="s">
        <v>172</v>
      </c>
      <c r="E28" s="132"/>
      <c r="F28" s="45" t="s">
        <v>160</v>
      </c>
      <c r="G28" s="3"/>
    </row>
    <row r="29" spans="1:7" ht="22" customHeight="1" x14ac:dyDescent="0.55000000000000004">
      <c r="A29" s="42" t="s">
        <v>173</v>
      </c>
      <c r="B29" s="124" t="s">
        <v>174</v>
      </c>
      <c r="C29" s="81"/>
      <c r="D29" s="125" t="s">
        <v>175</v>
      </c>
      <c r="E29" s="81"/>
      <c r="F29" s="45" t="s">
        <v>160</v>
      </c>
      <c r="G29" s="5"/>
    </row>
    <row r="30" spans="1:7" ht="22" customHeight="1" x14ac:dyDescent="0.55000000000000004">
      <c r="A30" s="47" t="s">
        <v>176</v>
      </c>
      <c r="B30" s="133" t="s">
        <v>177</v>
      </c>
      <c r="C30" s="134"/>
      <c r="D30" s="135" t="s">
        <v>178</v>
      </c>
      <c r="E30" s="136"/>
      <c r="F30" s="45" t="s">
        <v>160</v>
      </c>
      <c r="G30" s="3"/>
    </row>
    <row r="31" spans="1:7" ht="22" customHeight="1" x14ac:dyDescent="0.55000000000000004">
      <c r="A31" s="42" t="s">
        <v>179</v>
      </c>
      <c r="B31" s="124" t="s">
        <v>180</v>
      </c>
      <c r="C31" s="81"/>
      <c r="D31" s="125" t="s">
        <v>181</v>
      </c>
      <c r="E31" s="81"/>
      <c r="F31" s="45" t="s">
        <v>160</v>
      </c>
      <c r="G31" s="5"/>
    </row>
    <row r="32" spans="1:7" ht="22" customHeight="1" x14ac:dyDescent="0.55000000000000004">
      <c r="A32" s="42" t="s">
        <v>182</v>
      </c>
      <c r="B32" s="130" t="s">
        <v>183</v>
      </c>
      <c r="C32" s="84"/>
      <c r="D32" s="121" t="s">
        <v>184</v>
      </c>
      <c r="E32" s="84"/>
      <c r="F32" s="45" t="s">
        <v>160</v>
      </c>
      <c r="G32" s="3"/>
    </row>
    <row r="33" spans="1:7" ht="22" customHeight="1" x14ac:dyDescent="0.55000000000000004">
      <c r="A33" s="42" t="s">
        <v>185</v>
      </c>
      <c r="B33" s="124" t="s">
        <v>186</v>
      </c>
      <c r="C33" s="81"/>
      <c r="D33" s="125" t="s">
        <v>187</v>
      </c>
      <c r="E33" s="81"/>
      <c r="F33" s="45" t="s">
        <v>160</v>
      </c>
      <c r="G33" s="5"/>
    </row>
    <row r="34" spans="1:7" ht="22" customHeight="1" x14ac:dyDescent="0.55000000000000004">
      <c r="A34" s="42" t="s">
        <v>188</v>
      </c>
      <c r="B34" s="130" t="s">
        <v>189</v>
      </c>
      <c r="C34" s="84"/>
      <c r="D34" s="121" t="s">
        <v>190</v>
      </c>
      <c r="E34" s="84"/>
      <c r="F34" s="45" t="s">
        <v>160</v>
      </c>
      <c r="G34" s="3"/>
    </row>
  </sheetData>
  <mergeCells count="39">
    <mergeCell ref="E8:G8"/>
    <mergeCell ref="A12:G12"/>
    <mergeCell ref="A2:G2"/>
    <mergeCell ref="B32:C32"/>
    <mergeCell ref="B26:C26"/>
    <mergeCell ref="A7:C7"/>
    <mergeCell ref="D26:E26"/>
    <mergeCell ref="A1:G1"/>
    <mergeCell ref="B29:C29"/>
    <mergeCell ref="B34:C34"/>
    <mergeCell ref="B28:C28"/>
    <mergeCell ref="A9:C9"/>
    <mergeCell ref="D28:E28"/>
    <mergeCell ref="D25:E25"/>
    <mergeCell ref="B24:C24"/>
    <mergeCell ref="B30:C30"/>
    <mergeCell ref="D24:E24"/>
    <mergeCell ref="D30:E30"/>
    <mergeCell ref="B33:C33"/>
    <mergeCell ref="E5:G5"/>
    <mergeCell ref="D33:E33"/>
    <mergeCell ref="D29:E29"/>
    <mergeCell ref="A6:C6"/>
    <mergeCell ref="E10:G10"/>
    <mergeCell ref="B25:C25"/>
    <mergeCell ref="D34:E34"/>
    <mergeCell ref="A22:G22"/>
    <mergeCell ref="A4:G4"/>
    <mergeCell ref="E9:G9"/>
    <mergeCell ref="B31:C31"/>
    <mergeCell ref="B27:C27"/>
    <mergeCell ref="D31:E31"/>
    <mergeCell ref="E6:G6"/>
    <mergeCell ref="A5:C5"/>
    <mergeCell ref="A8:C8"/>
    <mergeCell ref="D27:E27"/>
    <mergeCell ref="D32:E32"/>
    <mergeCell ref="E7:G7"/>
    <mergeCell ref="A10:C10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9" t="s">
        <v>191</v>
      </c>
      <c r="B1" s="79"/>
      <c r="C1" s="79"/>
      <c r="D1" s="79"/>
      <c r="E1" s="79"/>
      <c r="F1" s="79"/>
      <c r="G1" s="79"/>
    </row>
    <row r="2" spans="1:7" ht="20.05" customHeight="1" x14ac:dyDescent="0.55000000000000004">
      <c r="A2" s="143" t="s">
        <v>192</v>
      </c>
      <c r="B2" s="114"/>
      <c r="C2" s="114"/>
      <c r="D2" s="114"/>
      <c r="E2" s="114"/>
      <c r="F2" s="114"/>
      <c r="G2" s="114"/>
    </row>
    <row r="4" spans="1:7" ht="26.05" customHeight="1" x14ac:dyDescent="0.55000000000000004">
      <c r="A4" s="78" t="s">
        <v>193</v>
      </c>
      <c r="B4" s="79"/>
      <c r="C4" s="79"/>
      <c r="D4" s="79"/>
      <c r="E4" s="79"/>
      <c r="F4" s="79"/>
      <c r="G4" s="79"/>
    </row>
    <row r="5" spans="1:7" ht="18" customHeight="1" x14ac:dyDescent="0.55000000000000004">
      <c r="A5" s="2"/>
      <c r="B5" s="2" t="s">
        <v>194</v>
      </c>
      <c r="C5" s="2" t="s">
        <v>195</v>
      </c>
      <c r="D5" s="2" t="s">
        <v>196</v>
      </c>
      <c r="E5" s="2" t="s">
        <v>197</v>
      </c>
      <c r="F5" s="2" t="s">
        <v>198</v>
      </c>
      <c r="G5" s="2" t="s">
        <v>199</v>
      </c>
    </row>
    <row r="6" spans="1:7" ht="26.05" customHeight="1" x14ac:dyDescent="0.55000000000000004">
      <c r="A6" s="52" t="s">
        <v>197</v>
      </c>
      <c r="B6" s="52" t="s">
        <v>200</v>
      </c>
      <c r="C6" s="52" t="s">
        <v>201</v>
      </c>
      <c r="D6" s="52" t="s">
        <v>202</v>
      </c>
      <c r="E6" s="52" t="s">
        <v>203</v>
      </c>
      <c r="F6" s="52" t="s">
        <v>69</v>
      </c>
      <c r="G6" s="52" t="s">
        <v>204</v>
      </c>
    </row>
    <row r="7" spans="1:7" ht="26.05" customHeight="1" x14ac:dyDescent="0.55000000000000004">
      <c r="A7" s="53" t="s">
        <v>198</v>
      </c>
      <c r="B7" s="53" t="s">
        <v>200</v>
      </c>
      <c r="C7" s="53" t="s">
        <v>205</v>
      </c>
      <c r="D7" s="53" t="s">
        <v>206</v>
      </c>
      <c r="E7" s="53" t="s">
        <v>69</v>
      </c>
      <c r="F7" s="53" t="s">
        <v>203</v>
      </c>
      <c r="G7" s="53" t="s">
        <v>207</v>
      </c>
    </row>
    <row r="8" spans="1:7" ht="24" customHeight="1" x14ac:dyDescent="0.55000000000000004">
      <c r="A8" s="142" t="s">
        <v>208</v>
      </c>
      <c r="B8" s="84"/>
      <c r="C8" s="84"/>
      <c r="D8" s="84"/>
      <c r="E8" s="84"/>
      <c r="F8" s="84"/>
      <c r="G8" s="84"/>
    </row>
    <row r="9" spans="1:7" ht="26.05" customHeight="1" x14ac:dyDescent="0.55000000000000004">
      <c r="A9" s="140" t="s">
        <v>209</v>
      </c>
      <c r="B9" s="141"/>
      <c r="C9" s="141"/>
      <c r="D9" s="141"/>
      <c r="E9" s="141"/>
      <c r="F9" s="141"/>
      <c r="G9" s="141"/>
    </row>
    <row r="10" spans="1:7" ht="18" customHeight="1" x14ac:dyDescent="0.55000000000000004">
      <c r="A10" s="2"/>
      <c r="B10" s="2" t="s">
        <v>194</v>
      </c>
      <c r="C10" s="2" t="s">
        <v>195</v>
      </c>
      <c r="D10" s="2" t="s">
        <v>196</v>
      </c>
      <c r="E10" s="2" t="s">
        <v>197</v>
      </c>
      <c r="F10" s="2" t="s">
        <v>198</v>
      </c>
      <c r="G10" s="2" t="s">
        <v>199</v>
      </c>
    </row>
    <row r="11" spans="1:7" ht="26.05" customHeight="1" x14ac:dyDescent="0.55000000000000004">
      <c r="A11" s="52" t="s">
        <v>210</v>
      </c>
      <c r="B11" s="52" t="s">
        <v>211</v>
      </c>
      <c r="C11" s="52" t="s">
        <v>212</v>
      </c>
      <c r="D11" s="52" t="s">
        <v>213</v>
      </c>
      <c r="E11" s="52" t="s">
        <v>69</v>
      </c>
      <c r="F11" s="52" t="s">
        <v>214</v>
      </c>
      <c r="G11" s="52" t="s">
        <v>215</v>
      </c>
    </row>
    <row r="12" spans="1:7" ht="26.05" customHeight="1" x14ac:dyDescent="0.55000000000000004">
      <c r="A12" s="53" t="s">
        <v>216</v>
      </c>
      <c r="B12" s="53" t="s">
        <v>217</v>
      </c>
      <c r="C12" s="53" t="s">
        <v>218</v>
      </c>
      <c r="D12" s="53" t="s">
        <v>219</v>
      </c>
      <c r="E12" s="53" t="s">
        <v>69</v>
      </c>
      <c r="F12" s="53" t="s">
        <v>220</v>
      </c>
      <c r="G12" s="53" t="s">
        <v>207</v>
      </c>
    </row>
    <row r="13" spans="1:7" ht="52" customHeight="1" x14ac:dyDescent="0.55000000000000004">
      <c r="A13" s="137" t="s">
        <v>221</v>
      </c>
      <c r="B13" s="138"/>
      <c r="C13" s="138"/>
      <c r="D13" s="138"/>
      <c r="E13" s="138"/>
      <c r="F13" s="138"/>
      <c r="G13" s="138"/>
    </row>
  </sheetData>
  <mergeCells count="6">
    <mergeCell ref="A13:G13"/>
    <mergeCell ref="A1:G1"/>
    <mergeCell ref="A9:G9"/>
    <mergeCell ref="A8:G8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7" t="s">
        <v>222</v>
      </c>
      <c r="B1" s="79"/>
      <c r="C1" s="79"/>
      <c r="D1" s="79"/>
      <c r="E1" s="79"/>
      <c r="F1" s="79"/>
      <c r="G1" s="79"/>
    </row>
    <row r="2" spans="1:7" ht="22" customHeight="1" x14ac:dyDescent="0.55000000000000004">
      <c r="A2" s="145" t="s">
        <v>223</v>
      </c>
      <c r="B2" s="146"/>
      <c r="C2" s="146"/>
      <c r="D2" s="146"/>
      <c r="E2" s="146"/>
      <c r="F2" s="146"/>
      <c r="G2" s="146"/>
    </row>
    <row r="3" spans="1:7" ht="18" customHeight="1" x14ac:dyDescent="0.55000000000000004">
      <c r="A3" s="2" t="s">
        <v>224</v>
      </c>
      <c r="B3" s="2" t="s">
        <v>225</v>
      </c>
      <c r="C3" s="2" t="s">
        <v>226</v>
      </c>
      <c r="D3" s="2" t="s">
        <v>227</v>
      </c>
    </row>
    <row r="4" spans="1:7" ht="72" customHeight="1" x14ac:dyDescent="0.55000000000000004">
      <c r="A4" s="42" t="s">
        <v>228</v>
      </c>
      <c r="B4" s="51" t="s">
        <v>229</v>
      </c>
      <c r="C4" s="54" t="s">
        <v>230</v>
      </c>
      <c r="D4" s="55" t="s">
        <v>231</v>
      </c>
    </row>
    <row r="5" spans="1:7" ht="64" customHeight="1" x14ac:dyDescent="0.55000000000000004">
      <c r="A5" s="42" t="s">
        <v>232</v>
      </c>
      <c r="B5" s="46" t="s">
        <v>233</v>
      </c>
      <c r="C5" s="54" t="s">
        <v>234</v>
      </c>
      <c r="D5" s="56" t="s">
        <v>235</v>
      </c>
    </row>
    <row r="6" spans="1:7" ht="64" customHeight="1" x14ac:dyDescent="0.55000000000000004">
      <c r="A6" s="47" t="s">
        <v>236</v>
      </c>
      <c r="B6" s="43" t="s">
        <v>237</v>
      </c>
      <c r="C6" s="44" t="s">
        <v>238</v>
      </c>
      <c r="D6" s="57" t="s">
        <v>239</v>
      </c>
    </row>
    <row r="7" spans="1:7" ht="56.05" customHeight="1" x14ac:dyDescent="0.55000000000000004">
      <c r="A7" s="42" t="s">
        <v>240</v>
      </c>
      <c r="B7" s="51" t="s">
        <v>241</v>
      </c>
      <c r="C7" s="54" t="s">
        <v>242</v>
      </c>
      <c r="D7" s="55" t="s">
        <v>243</v>
      </c>
    </row>
    <row r="8" spans="1:7" ht="72" customHeight="1" x14ac:dyDescent="0.55000000000000004">
      <c r="A8" s="42" t="s">
        <v>244</v>
      </c>
      <c r="B8" s="46" t="s">
        <v>245</v>
      </c>
      <c r="C8" s="54" t="s">
        <v>246</v>
      </c>
      <c r="D8" s="56" t="s">
        <v>247</v>
      </c>
    </row>
    <row r="9" spans="1:7" ht="40" customHeight="1" x14ac:dyDescent="0.55000000000000004">
      <c r="A9" s="144" t="s">
        <v>248</v>
      </c>
      <c r="B9" s="104"/>
      <c r="C9" s="104"/>
      <c r="D9" s="104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0" t="s">
        <v>249</v>
      </c>
      <c r="B1" s="151"/>
      <c r="C1" s="151"/>
      <c r="D1" s="151"/>
      <c r="E1" s="151"/>
      <c r="F1" s="151"/>
    </row>
    <row r="2" spans="1:6" ht="22" customHeight="1" x14ac:dyDescent="0.55000000000000004">
      <c r="A2" s="148" t="s">
        <v>250</v>
      </c>
      <c r="B2" s="149"/>
      <c r="C2" s="149"/>
      <c r="D2" s="149"/>
      <c r="E2" s="149"/>
      <c r="F2" s="149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6" t="s">
        <v>251</v>
      </c>
      <c r="B4" s="157"/>
      <c r="C4" s="157"/>
      <c r="D4" s="157"/>
      <c r="E4" s="157"/>
      <c r="F4" s="157"/>
    </row>
    <row r="5" spans="1:6" ht="18" customHeight="1" x14ac:dyDescent="0.55000000000000004">
      <c r="A5" s="2"/>
      <c r="B5" s="2" t="s">
        <v>252</v>
      </c>
      <c r="C5" s="2" t="s">
        <v>253</v>
      </c>
      <c r="D5" s="2" t="s">
        <v>254</v>
      </c>
      <c r="E5" s="2" t="s">
        <v>255</v>
      </c>
      <c r="F5" s="2"/>
    </row>
    <row r="6" spans="1:6" ht="44.05" customHeight="1" x14ac:dyDescent="0.55000000000000004">
      <c r="A6" s="6"/>
      <c r="B6" s="58" t="s">
        <v>256</v>
      </c>
      <c r="C6" s="59" t="s">
        <v>257</v>
      </c>
      <c r="D6" s="60" t="s">
        <v>258</v>
      </c>
      <c r="E6" s="61" t="s">
        <v>259</v>
      </c>
      <c r="F6" s="6"/>
    </row>
    <row r="7" spans="1:6" ht="36" customHeight="1" x14ac:dyDescent="0.55000000000000004">
      <c r="A7" s="6"/>
      <c r="B7" s="58" t="s">
        <v>260</v>
      </c>
      <c r="C7" s="59" t="s">
        <v>261</v>
      </c>
      <c r="D7" s="60" t="s">
        <v>262</v>
      </c>
      <c r="E7" s="61" t="s">
        <v>263</v>
      </c>
      <c r="F7" s="6"/>
    </row>
    <row r="8" spans="1:6" ht="32.049999999999997" customHeight="1" x14ac:dyDescent="0.55000000000000004">
      <c r="A8" s="6"/>
      <c r="B8" s="58" t="s">
        <v>264</v>
      </c>
      <c r="C8" s="59" t="s">
        <v>265</v>
      </c>
      <c r="D8" s="60" t="s">
        <v>266</v>
      </c>
      <c r="E8" s="61" t="s">
        <v>267</v>
      </c>
      <c r="F8" s="6"/>
    </row>
    <row r="9" spans="1:6" ht="28" customHeight="1" x14ac:dyDescent="0.55000000000000004">
      <c r="A9" s="6"/>
      <c r="B9" s="58" t="s">
        <v>268</v>
      </c>
      <c r="C9" s="59" t="s">
        <v>269</v>
      </c>
      <c r="D9" s="60" t="s">
        <v>270</v>
      </c>
      <c r="E9" s="61" t="s">
        <v>271</v>
      </c>
      <c r="F9" s="6"/>
    </row>
    <row r="10" spans="1:6" ht="28" customHeight="1" x14ac:dyDescent="0.55000000000000004">
      <c r="A10" s="6"/>
      <c r="B10" s="58" t="s">
        <v>272</v>
      </c>
      <c r="C10" s="59" t="s">
        <v>273</v>
      </c>
      <c r="D10" s="60" t="s">
        <v>274</v>
      </c>
      <c r="E10" s="61" t="s">
        <v>275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4" t="s">
        <v>276</v>
      </c>
      <c r="B12" s="155"/>
      <c r="C12" s="155"/>
      <c r="D12" s="155"/>
      <c r="E12" s="155"/>
      <c r="F12" s="155"/>
    </row>
    <row r="13" spans="1:6" ht="18" customHeight="1" x14ac:dyDescent="0.55000000000000004">
      <c r="A13" s="2"/>
      <c r="B13" s="2" t="s">
        <v>252</v>
      </c>
      <c r="C13" s="2" t="s">
        <v>253</v>
      </c>
      <c r="D13" s="2" t="s">
        <v>254</v>
      </c>
      <c r="E13" s="2" t="s">
        <v>255</v>
      </c>
      <c r="F13" s="2"/>
    </row>
    <row r="14" spans="1:6" ht="28" customHeight="1" x14ac:dyDescent="0.55000000000000004">
      <c r="A14" s="62"/>
      <c r="B14" s="63" t="s">
        <v>277</v>
      </c>
      <c r="C14" s="64" t="s">
        <v>278</v>
      </c>
      <c r="D14" s="65" t="s">
        <v>279</v>
      </c>
      <c r="E14" s="66" t="s">
        <v>280</v>
      </c>
      <c r="F14" s="62"/>
    </row>
    <row r="15" spans="1:6" ht="28" customHeight="1" x14ac:dyDescent="0.55000000000000004">
      <c r="A15" s="62"/>
      <c r="B15" s="63" t="s">
        <v>281</v>
      </c>
      <c r="C15" s="64" t="s">
        <v>282</v>
      </c>
      <c r="D15" s="65" t="s">
        <v>283</v>
      </c>
      <c r="E15" s="66" t="s">
        <v>284</v>
      </c>
      <c r="F15" s="62"/>
    </row>
    <row r="16" spans="1:6" ht="28" customHeight="1" x14ac:dyDescent="0.55000000000000004">
      <c r="A16" s="62"/>
      <c r="B16" s="63" t="s">
        <v>285</v>
      </c>
      <c r="C16" s="64" t="s">
        <v>286</v>
      </c>
      <c r="D16" s="65" t="s">
        <v>287</v>
      </c>
      <c r="E16" s="66" t="s">
        <v>288</v>
      </c>
      <c r="F16" s="62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52" t="s">
        <v>289</v>
      </c>
      <c r="B18" s="153"/>
      <c r="C18" s="153"/>
      <c r="D18" s="153"/>
      <c r="E18" s="153"/>
      <c r="F18" s="153"/>
    </row>
    <row r="19" spans="1:6" ht="18" customHeight="1" x14ac:dyDescent="0.55000000000000004">
      <c r="A19" s="67"/>
      <c r="B19" s="67" t="s">
        <v>252</v>
      </c>
      <c r="C19" s="67" t="s">
        <v>5</v>
      </c>
      <c r="D19" s="67" t="s">
        <v>290</v>
      </c>
      <c r="E19" s="67" t="s">
        <v>291</v>
      </c>
      <c r="F19" s="67"/>
    </row>
    <row r="20" spans="1:6" ht="32.049999999999997" customHeight="1" x14ac:dyDescent="0.55000000000000004">
      <c r="A20" s="50"/>
      <c r="B20" s="68" t="s">
        <v>292</v>
      </c>
      <c r="C20" s="69" t="s">
        <v>158</v>
      </c>
      <c r="D20" s="70" t="s">
        <v>293</v>
      </c>
      <c r="E20" s="71" t="s">
        <v>294</v>
      </c>
      <c r="F20" s="50"/>
    </row>
    <row r="21" spans="1:6" ht="32.049999999999997" customHeight="1" x14ac:dyDescent="0.55000000000000004">
      <c r="A21" s="50"/>
      <c r="B21" s="68" t="s">
        <v>295</v>
      </c>
      <c r="C21" s="69" t="s">
        <v>296</v>
      </c>
      <c r="D21" s="70" t="s">
        <v>297</v>
      </c>
      <c r="E21" s="71" t="s">
        <v>294</v>
      </c>
      <c r="F21" s="50"/>
    </row>
    <row r="22" spans="1:6" ht="32.049999999999997" customHeight="1" x14ac:dyDescent="0.55000000000000004">
      <c r="A22" s="50"/>
      <c r="B22" s="68" t="s">
        <v>298</v>
      </c>
      <c r="C22" s="69" t="s">
        <v>299</v>
      </c>
      <c r="D22" s="70" t="s">
        <v>300</v>
      </c>
      <c r="E22" s="71" t="s">
        <v>294</v>
      </c>
      <c r="F22" s="50"/>
    </row>
    <row r="23" spans="1:6" ht="32.049999999999997" customHeight="1" x14ac:dyDescent="0.55000000000000004">
      <c r="A23" s="62"/>
      <c r="B23" s="72" t="s">
        <v>301</v>
      </c>
      <c r="C23" s="73" t="s">
        <v>302</v>
      </c>
      <c r="D23" s="65" t="s">
        <v>303</v>
      </c>
      <c r="E23" s="74" t="s">
        <v>294</v>
      </c>
      <c r="F23" s="62"/>
    </row>
    <row r="24" spans="1:6" ht="32.049999999999997" customHeight="1" x14ac:dyDescent="0.55000000000000004">
      <c r="A24" s="62"/>
      <c r="B24" s="72" t="s">
        <v>304</v>
      </c>
      <c r="C24" s="73" t="s">
        <v>305</v>
      </c>
      <c r="D24" s="65" t="s">
        <v>306</v>
      </c>
      <c r="E24" s="74" t="s">
        <v>294</v>
      </c>
      <c r="F24" s="62"/>
    </row>
    <row r="25" spans="1:6" ht="32.049999999999997" customHeight="1" x14ac:dyDescent="0.55000000000000004">
      <c r="A25" s="49"/>
      <c r="B25" s="75" t="s">
        <v>307</v>
      </c>
      <c r="C25" s="48" t="s">
        <v>177</v>
      </c>
      <c r="D25" s="76" t="s">
        <v>308</v>
      </c>
      <c r="E25" s="77" t="s">
        <v>294</v>
      </c>
      <c r="F25" s="49"/>
    </row>
    <row r="26" spans="1:6" ht="32.049999999999997" customHeight="1" x14ac:dyDescent="0.55000000000000004">
      <c r="A26" s="62"/>
      <c r="B26" s="72" t="s">
        <v>309</v>
      </c>
      <c r="C26" s="73" t="s">
        <v>180</v>
      </c>
      <c r="D26" s="65" t="s">
        <v>181</v>
      </c>
      <c r="E26" s="74" t="s">
        <v>294</v>
      </c>
      <c r="F26" s="62"/>
    </row>
    <row r="27" spans="1:6" ht="32.049999999999997" customHeight="1" x14ac:dyDescent="0.55000000000000004">
      <c r="A27" s="62"/>
      <c r="B27" s="72" t="s">
        <v>310</v>
      </c>
      <c r="C27" s="73" t="s">
        <v>311</v>
      </c>
      <c r="D27" s="65" t="s">
        <v>312</v>
      </c>
      <c r="E27" s="74" t="s">
        <v>294</v>
      </c>
      <c r="F27" s="62"/>
    </row>
    <row r="28" spans="1:6" ht="32.049999999999997" customHeight="1" x14ac:dyDescent="0.55000000000000004">
      <c r="A28" s="62"/>
      <c r="B28" s="72" t="s">
        <v>313</v>
      </c>
      <c r="C28" s="73" t="s">
        <v>189</v>
      </c>
      <c r="D28" s="65" t="s">
        <v>190</v>
      </c>
      <c r="E28" s="74" t="s">
        <v>294</v>
      </c>
      <c r="F28" s="62"/>
    </row>
    <row r="29" spans="1:6" ht="5.05" customHeight="1" x14ac:dyDescent="0.55000000000000004">
      <c r="A29" s="1"/>
      <c r="B29" s="1"/>
      <c r="C29" s="1"/>
      <c r="D29" s="1"/>
      <c r="E29" s="1"/>
      <c r="F29" s="1"/>
    </row>
    <row r="30" spans="1:6" ht="48" customHeight="1" x14ac:dyDescent="0.55000000000000004">
      <c r="A30" s="144" t="s">
        <v>314</v>
      </c>
      <c r="B30" s="104"/>
      <c r="C30" s="104"/>
      <c r="D30" s="104"/>
      <c r="E30" s="104"/>
      <c r="F30" s="104"/>
    </row>
  </sheetData>
  <mergeCells count="6">
    <mergeCell ref="A30:F30"/>
    <mergeCell ref="A2:F2"/>
    <mergeCell ref="A1:F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2026-04-05T11:52:24Z</dcterms:created>
  <dcterms:modified xsi:type="dcterms:W3CDTF">2026-04-05T11:57:37Z</dcterms:modified>
</cp:coreProperties>
</file>