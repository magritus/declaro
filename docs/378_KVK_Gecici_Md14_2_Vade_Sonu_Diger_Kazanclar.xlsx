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EEEEC99F-6282-4DB0-B2AC-4E5583FA3F4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E52" i="1"/>
  <c r="C48" i="1"/>
  <c r="D6" i="2"/>
  <c r="E42" i="1"/>
  <c r="C47" i="1" s="1"/>
  <c r="G41" i="1"/>
  <c r="G40" i="1"/>
  <c r="G39" i="1"/>
  <c r="G38" i="1"/>
  <c r="G37" i="1"/>
  <c r="G36" i="1"/>
  <c r="G35" i="1"/>
  <c r="G34" i="1"/>
  <c r="G42" i="1" s="1"/>
  <c r="E15" i="1"/>
  <c r="D5" i="2" s="1"/>
  <c r="C49" i="1" l="1"/>
</calcChain>
</file>

<file path=xl/sharedStrings.xml><?xml version="1.0" encoding="utf-8"?>
<sst xmlns="http://schemas.openxmlformats.org/spreadsheetml/2006/main" count="442" uniqueCount="305">
  <si>
    <t>378 – KVK GEÇİCİ MADDE 14/2 | VADE SONUNDA DOĞAN DİĞER KAZANÇLARDAN İSTİSNA | PARAGRAF 2 — 375/376/377 DIŞINDA KALAN | KVK GEÇİCİ MD.14 SON KOD | YMM TASDİK</t>
  </si>
  <si>
    <t>KVK Geçici Md.14/2 (Paragraf 2) | Borç Dönüşümü Sonrası Vade Sonu Diğer Kazançlar | Beyanname 378 | ★ YİAKV MATRAHINDA DÜŞÜLEMEZ | KVK GEÇİCİ MD.14 PAKET TAMAMLANDI (370–378)</t>
  </si>
  <si>
    <t xml:space="preserve">  374 – 378 PARAGRAF KARŞILAŞTIRMASI:
  374 (Md.14/1-b): Paragraf 1 AKTİF — TL KKM (mevduat/altın) vade sonu DİĞER kazançları (371/372/373 dışı).
  378 (Md.14/2): Paragraf 2 PASİF — Borç dönüşümü sonrası vade sonu DİĞER kazançlar (375/376/377 dışı) → BU DOSYA.
  ★ KVK GEÇİCİ MD.14 PAKETI TAMAMLANDI: 370→378 dokuz kod (Paragraf 1: 370–374 | Paragraf 2: 375–378).
  Tüm dokuz kod YİAKV matrahından DÜŞÜLEMEZ (E.7).</t>
  </si>
  <si>
    <t xml:space="preserve">  ★★ YİAKV (KVK Md.32/C) KRİTİK: 378 kapsamındaki vade sonu diğer kazançlar YİAKV matrahından DÜŞÜLEMEZ. 370–378 tamamı E.7 DÜŞÜLEMEZ listesindedir.</t>
  </si>
  <si>
    <t>A0. KAPSAM VE NİTELİK UYGUNLUK ÖN KONTROLÜ</t>
  </si>
  <si>
    <t>Kontrol Sorusu</t>
  </si>
  <si>
    <t>Yanıt</t>
  </si>
  <si>
    <t>YMM Tasdik Notu</t>
  </si>
  <si>
    <t>A0.1  KVK Geçici Md.14/2 kapsamında borç dönüşümü (375) gerçekleştirildi mi?</t>
  </si>
  <si>
    <t>EVET</t>
  </si>
  <si>
    <t>378, 375 bağlantısı gerektirir. 375 olmadan 378 oluşamaz. 375 çalışma kâğıdıyla çapraz kontrol zorunludur.</t>
  </si>
  <si>
    <t>A0.2  ★ Bu kazanç 375/376/377 kapsamına girmiyor mu? ('Diğer' niteliği teyit edildi mi?)</t>
  </si>
  <si>
    <t>378 = 375 (kur farkı) + 376 (dönem sonu tahakkuk) + 377 (vade kâr payı/faiz) DIŞINDA kalan kazançlar. Üç kodun kapsamını önce kontrol edin — 378 gerçekten 'diğer' niteliğinde olmalı.</t>
  </si>
  <si>
    <t>A0.3  Kazanç türü belirlendi mi? (Borç dönüşümü avantajı / Özel TL araç getirisi / Diğer)</t>
  </si>
  <si>
    <t>Borç Dönüşümü TL Avantajı</t>
  </si>
  <si>
    <t>Her tür için ayrı yasal dayanak ve belge zorunludur. B bölümünde detaylandırın.</t>
  </si>
  <si>
    <t>A0.4  Vade tarihi dönem içinde (01.01–31.12) mi?</t>
  </si>
  <si>
    <t>378, vade sonu kazancıdır. Vade tarihi dönem içinde olmalı.</t>
  </si>
  <si>
    <t>A0.5  375/376/377 ile mükerrerlik analizi yapıldı mı?</t>
  </si>
  <si>
    <t>378 kapsamındaki kazancın 375/376/377'den farklı kalem olduğu teyit edilmeli. 374 ile de mükerrerlik kontrolü: Paragraf 1 araçları → 374. Paragraf 2 araçları → 378.</t>
  </si>
  <si>
    <t>A0.6  ★ 378 tutarının YİAKV matrahından DÜŞÜLMEDIĞI teyit edildi mi?</t>
  </si>
  <si>
    <t>370–378 tamamı YİAKV matrahından DÜŞÜLEMEZ. E.7'de dokuz satır da kontrol edilmeli.</t>
  </si>
  <si>
    <t>A0.7  YMM Tasdik Raporu gereksinimi değerlendirildi mi? (49 No.lu Tebliğ)</t>
  </si>
  <si>
    <t>&gt;=500.000 TL → YMM raporu.</t>
  </si>
  <si>
    <t>A0.8  Tasdik Uygunluk Sonucu</t>
  </si>
  <si>
    <t>★ A0.2 (diğer niteliği), A0.5 (mükerrerlik), A0.6 (YİAKV)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</si>
  <si>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</si>
  <si>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</si>
  <si>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</si>
  <si>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</si>
  <si>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</si>
  <si>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</si>
  <si>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</si>
  <si>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</si>
  <si>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</si>
  <si>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</si>
  <si>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YMM-2025/378-01</t>
  </si>
  <si>
    <t>375/376/377 Çalışma Kâğıdı Referansı</t>
  </si>
  <si>
    <t>Paragraf 2 zinciri — üç dosya çapraz mutabakat</t>
  </si>
  <si>
    <t>B. KAZANÇ TÜRÜ ANALİZİ — 378 KAPSAMININ KATEGORİLERİ (Paragraf 2)</t>
  </si>
  <si>
    <t xml:space="preserve">  378 = 'Diğer' — Paragraf 2 kapsamında 375/376/377 dışında kalan her KKM veya borç dönüşümü kaynaklı vade sonu kazancı. Her kalem için GİB'e açıklanabilir 'diğer' niteliği teyit edilmeli.</t>
  </si>
  <si>
    <t xml:space="preserve">  B.1  BAŞLICA 378 KALEMLERİ</t>
  </si>
  <si>
    <t xml:space="preserve">  ① BORÇ DÖNÜŞÜMÜ TL AVANTAJI (En Tipik 378 Kalemi): Paragraf 2 kapsamında yabancı para borç TL'ye dönüştürüldüğünde, TL araç üzerinden elde edilen faiz/kâr payı (376/377) dışındaki finansal fayda — örneğin TL kredi maliyetinin yabancı para maliyetinin altında kalmasından doğan kur avantajı.
  ② ÖZEL TL ARAÇ GETİRİSİ: Paragraf 2 dönüşümü sonrası kurulan TL araçlardan (tahvil, bono vb.) faiz/kâr payı dışında oluşan ek getiri (sermaye artışı, değer artış kazancı vb.).
  ③ PRİM / TEŞVİK ÖDEMESİ: Borç dönüşümü kapsamında banka/alacaklı tarafından ödenen teşvik ödemesi.
  ④ DİĞER: 375/376/377 kapsamına girmediği açık olan her türlü Paragraf 2 vade sonu kazancı.</t>
  </si>
  <si>
    <t xml:space="preserve">  374 ile KAPSAM KARŞILAŞTIRMASI: 374 Paragraf 1 (altın KKM, prim, endeks vb.) diğer kazançları. 378 Paragraf 2 (borç dönüşümü TL avantajı, özel TL araç getirisi vb.) diğer kazançları. Her ikisi de 'diğer' kategorisi — ancak farklı paragraf ve farklı enstrüman.</t>
  </si>
  <si>
    <t>C. VADE SONU DİĞER KAZANÇ TABLOSU (378) — KALEMİ VE TUTARI GİRİN</t>
  </si>
  <si>
    <t xml:space="preserve">  Her 378 kalemi için ayrı satır. SÜTUN 3 (kazanç türü) ve SÜTUN 5 (tutar) ANA GİRİŞ. 375/376/377 ile mükerrerlik var mı? kontrolü SÜTUN 6'da yapılır. Mükerrerlik yoksa tüm tutar istisna — varsa 0.</t>
  </si>
  <si>
    <t>Kazanç Türü</t>
  </si>
  <si>
    <t>Açıklama / Hesap</t>
  </si>
  <si>
    <t>375/376 Araç</t>
  </si>
  <si>
    <t>Vade Tarihi</t>
  </si>
  <si>
    <t>378 Brüt Tutar (TL)</t>
  </si>
  <si>
    <t>375–377 Mükerrerlik?</t>
  </si>
  <si>
    <t>Net 378 İstisna (TL)</t>
  </si>
  <si>
    <t>Yok</t>
  </si>
  <si>
    <t>TOPLAM</t>
  </si>
  <si>
    <t>378 Kapsamı Vade Sonu Diğer Kazançlar → Beyanname 378</t>
  </si>
  <si>
    <t>—</t>
  </si>
  <si>
    <t xml:space="preserve">  SÜTUN 5 (lacivert çerçeve): 378 kapsamındaki vade sonu diğer kazanç — ANA GİRİŞ. SÜTUN 6: Mükerrerlik analizi — 375/376/377'de zaten gösterildiyse 'Var' seçin, net 378 = 0. 374 (Paragraf 1) ile de ayrıştırma zorunlu: Paragraf 1 → 374. Paragraf 2 → 378.</t>
  </si>
  <si>
    <t>D. VADE SONU DİĞER KAZANÇ İSTİSNASI ÖZET — BEYANNAME 378</t>
  </si>
  <si>
    <t>Hesap Kalemi</t>
  </si>
  <si>
    <t>Tutar (TL)</t>
  </si>
  <si>
    <t>Açıklama</t>
  </si>
  <si>
    <t>YMM Notu</t>
  </si>
  <si>
    <t>D.1  Toplam 378 Brüt Kazanç (C Tablosu Sütun 5)</t>
  </si>
  <si>
    <t>C Sütun 5 toplamı</t>
  </si>
  <si>
    <t>D.2  Mükerrer Kalemler (375/376/377 ile çakışan)</t>
  </si>
  <si>
    <t>Mükerrer tutarlar — 378'e yazılmaz</t>
  </si>
  <si>
    <t>D.3  ★ NET 378 İSTİSNA TUTARI → BEYANNAME 378</t>
  </si>
  <si>
    <t>→ Beyanname 378 | Kazancın Bulunması Halinde</t>
  </si>
  <si>
    <t>KVK Geçici Md.14/2</t>
  </si>
  <si>
    <t>D.4  Kapsam Dışı (Paragraf 2 dışı araçlar)</t>
  </si>
  <si>
    <t>Vergilendirilir</t>
  </si>
  <si>
    <t>E.1  TOPLAM İSTİSNA → Beyanname Satır 378 (Kazancın Bulunması Halinde)</t>
  </si>
  <si>
    <t>D.3 — KVK Geçici Md.14/2 | Paragraf 2 Vade Sonu Diğer Kazançlar</t>
  </si>
  <si>
    <t xml:space="preserve">  ★★ KRİTİK UYARILAR:
(1) YİAKV MATRAHINDA DÜŞÜLEMEZ: 370–378 tamamı asgari KV matrahından çıkarılmaz — YİAKV E.7.
(2) KAPSAM SINIRI: 378 = 375+376+377 DIŞINDA kalan Paragraf 2 vade sonu kazançlar. Mükerrerlik önle.
(3) 374 ile KAPSAM FARKI: 374 Paragraf 1 araçları, 378 Paragraf 2 araçları. Aynı araç için ikisi yazılamaz.
(4) 'DİĞER' GEREKÇESİ: Her kalem için GİB'e savunulabilir yasal dayanak gereklidir. Tartışmalı kalemler için özelge alınması tavsiye edilir.</t>
  </si>
  <si>
    <t>378 – KVK GEÇİCİ MD.14/2 VADE SONU DİĞER KAZANÇLAR | HESAPLAMALAR VE DENETİM</t>
  </si>
  <si>
    <t>Paragraf 2 Diğer Kazançlar | 370–378 KVK GEÇİCİ MD.14 PAKET TAMAMLANDI | YİAKV MATRAHINDA DÜŞÜLEMEZ</t>
  </si>
  <si>
    <t>A. TASDİK ÖZETİ</t>
  </si>
  <si>
    <t>A0 Uygunluğu</t>
  </si>
  <si>
    <t>OK ise devam</t>
  </si>
  <si>
    <t>Kazanç Türü (A0.3)</t>
  </si>
  <si>
    <t>Borç avantajı/Prim/Özel/Diğer</t>
  </si>
  <si>
    <t>Toplam Brüt (D.1)</t>
  </si>
  <si>
    <t>Mükerrer Kalemler (D.2)</t>
  </si>
  <si>
    <t>375-377 çakışan — hariç tutuldu</t>
  </si>
  <si>
    <t>378 NET İSTİSNA (D.3)</t>
  </si>
  <si>
    <t>★★ YİAKV'de DÜŞÜLEMEZ</t>
  </si>
  <si>
    <t>370–378 tamamı E.7 (9 kod)</t>
  </si>
  <si>
    <t>Her zaman DÜŞÜLEMEZ</t>
  </si>
  <si>
    <t>B. KVK GEÇİCİ MD.14 TAM PAKET — 370'DEN 378'E DOKUZ KOD (TAMAMLANDI)</t>
  </si>
  <si>
    <t xml:space="preserve">  ★ PAKET TAMAMLANDI: 370–378 dokuz kod, iki paragraf, iki taraf (aktif + pasif). Tümü YİAKV matrahından DÜŞÜLEMEZ. YİAKV E.7 satırı tüm dokuz kodu kapsamalıdır.</t>
  </si>
  <si>
    <t>Kod</t>
  </si>
  <si>
    <t>Par.</t>
  </si>
  <si>
    <t>Taraf</t>
  </si>
  <si>
    <t>Kapsam</t>
  </si>
  <si>
    <t>Muhasebe</t>
  </si>
  <si>
    <t>Zaman</t>
  </si>
  <si>
    <t>Beyanname</t>
  </si>
  <si>
    <t>YİAKV</t>
  </si>
  <si>
    <t>370</t>
  </si>
  <si>
    <t>1-a</t>
  </si>
  <si>
    <t>Aktif</t>
  </si>
  <si>
    <t>Kur farkı değerleme (dönüşüm)</t>
  </si>
  <si>
    <t>646/679</t>
  </si>
  <si>
    <t>Dönüşüm anı</t>
  </si>
  <si>
    <t>DÜŞÜLEMEZ</t>
  </si>
  <si>
    <t>371</t>
  </si>
  <si>
    <t>1-b</t>
  </si>
  <si>
    <t>Kur farkı tazminat (bankadan)</t>
  </si>
  <si>
    <t>102/648</t>
  </si>
  <si>
    <t>Ödeme dönemleri</t>
  </si>
  <si>
    <t>372</t>
  </si>
  <si>
    <t>Dönem sonu faiz/kâr payı tahakkuk</t>
  </si>
  <si>
    <t>181/642</t>
  </si>
  <si>
    <t>31 Aralık</t>
  </si>
  <si>
    <t>373</t>
  </si>
  <si>
    <t>Vade sonu faiz/kâr payı tahsilat</t>
  </si>
  <si>
    <t>102/(181+642)</t>
  </si>
  <si>
    <t>Vade tarihi</t>
  </si>
  <si>
    <t>374</t>
  </si>
  <si>
    <t>Vade sonu diğer kazançlar</t>
  </si>
  <si>
    <t>646/648/679</t>
  </si>
  <si>
    <t>375</t>
  </si>
  <si>
    <t>2</t>
  </si>
  <si>
    <t>Pasif</t>
  </si>
  <si>
    <t>Borç kur farkı kazancı</t>
  </si>
  <si>
    <t>376</t>
  </si>
  <si>
    <t>377</t>
  </si>
  <si>
    <t>378</t>
  </si>
  <si>
    <t>Vade sonu diğer kazançlar (BU)</t>
  </si>
  <si>
    <t xml:space="preserve">  ★★ YİAKV E.7 GÜNCELLENMESİ GEREKLİ (9 KOD TAMAMLANDI):
  E.7 satırı: 'KKM Aktif+Pasif Kur Farkı + Faiz/Kâr Payı + Vade Kazançları (Tüm Paragraflar ve Kodlar) (KVK Geçici Md.14 Md.14/2) → YİAKV'de DÜŞÜLEMEZ ✗ | Beyanname 370/371/372/373/374/375/376/377/378'
  YMM, tüm 9 kodun YİAKV çalışma kâğıdında E.7'de eksiksiz listelendiğini teyit etmelidir.</t>
  </si>
  <si>
    <t>C. DENETİM KONTROL LİSTESİ (K1–K12)</t>
  </si>
  <si>
    <t>Kontrol</t>
  </si>
  <si>
    <t>Sonuç</t>
  </si>
  <si>
    <t>K1</t>
  </si>
  <si>
    <t>★ 375 kapsamı borç dönüşümü var mı? (375 ÇK hazır mı?)</t>
  </si>
  <si>
    <t>378, Paragraf 2 zincirinin son kodu — 375/376/377 olmadan oluşamaz.</t>
  </si>
  <si>
    <t>Uygun/Eksik/Risk</t>
  </si>
  <si>
    <t>K2</t>
  </si>
  <si>
    <t>★ Bu kazanç türü gerçekten 375/376/377 kapsamına girmiyor mu?</t>
  </si>
  <si>
    <t>378 = 'Diğer' = 375+376+377 dışı. Her üçünün kapsamı kontrol edilmeli.</t>
  </si>
  <si>
    <t>K3</t>
  </si>
  <si>
    <t>Kazanç türü belgelendi mi? (Sözleşme, banka yazısı vb.)</t>
  </si>
  <si>
    <t>Her 378 kalemi için ayrı belge ve savunulabilir yasal dayanak.</t>
  </si>
  <si>
    <t>K4</t>
  </si>
  <si>
    <t>★ 375/376/377 ile mükerrerlik analizi (C Sütun 6) yapıldı mı?</t>
  </si>
  <si>
    <t>'Yok' olanlar 378'e yazıldı. 'Var' olanlar dışlandı (D.2).</t>
  </si>
  <si>
    <t>K5</t>
  </si>
  <si>
    <t>374 (Paragraf 1) ile 378 (Paragraf 2) doğru ayrıştırıldı mı?</t>
  </si>
  <si>
    <t>Paragraf 1 araçları → 374. Paragraf 2 araçları → 378. Ayrı satırlar.</t>
  </si>
  <si>
    <t>K6</t>
  </si>
  <si>
    <t>375/376/377 çalışma kâğıtlarıyla çapraz mutabakat yapıldı mı?</t>
  </si>
  <si>
    <t>Paragraf 2 zinciri tutarlı.</t>
  </si>
  <si>
    <t>K7</t>
  </si>
  <si>
    <t>Tartışmalı 378 kalemleri için özelge alındı mı?</t>
  </si>
  <si>
    <t>'Diğer' niteliği tartışmalı olabilir — GİB özelgesi risk yönetiminin temelidir.</t>
  </si>
  <si>
    <t>K8</t>
  </si>
  <si>
    <t>★★ 378 istisnası YİAKV matrahından DÜŞÜLMEDI mi?</t>
  </si>
  <si>
    <t>370–378 dokuz kod tamamı YİAKV matrahından DÜŞÜLEMEZ. E.7'de dokuz satır.</t>
  </si>
  <si>
    <t>K9</t>
  </si>
  <si>
    <t>YİAKV E.7 satırı 378 dahil tüm 9 kodu kapsıyor mu?</t>
  </si>
  <si>
    <t>YİAKV çalışma kâğıdı E.7 güncellenmeli — 378 eklenmeli.</t>
  </si>
  <si>
    <t>K10</t>
  </si>
  <si>
    <t>Beyanname 378 'Kazancın Bulunması Halinde' bölümünde mi?</t>
  </si>
  <si>
    <t>Zarar döneminde uygulanamaz.</t>
  </si>
  <si>
    <t>K11</t>
  </si>
  <si>
    <t>Vade tarihi dönem içinde (01.01–31.12) mi?</t>
  </si>
  <si>
    <t>Sonraki dönemde vadeye girenler → Gelecek yıl.</t>
  </si>
  <si>
    <t>K12</t>
  </si>
  <si>
    <t>YMM Tasdik Raporu (49 No.lu Tebliğ) değerlendirildi mi?</t>
  </si>
  <si>
    <t>378 – KVK GEÇİCİ MD.14/2 VADE SONU DİĞER KAZANÇLAR | MUHASEBE KAYITLARI</t>
  </si>
  <si>
    <t>Paragraf 2 Diğer Kazanç Kaydı | 370–378 Tam Muhasebe Tablosu (9 Kod) | KVK Geçici Md.14 Kapanışı</t>
  </si>
  <si>
    <t>KAYIT 1 — VADE SONU: PARAGRAF 2 DİĞER KAZANÇ TASFİYESİ (BORÇ DÖNÜŞÜMÜ TL AVANTAJI)</t>
  </si>
  <si>
    <t xml:space="preserve">  Borç dönüşümü TL avantajı: Yabancı para borçlanma maliyeti &gt; TL borçlanma maliyeti farkından doğan kazanç.</t>
  </si>
  <si>
    <t>Tarih</t>
  </si>
  <si>
    <t>Hesap</t>
  </si>
  <si>
    <t>Not</t>
  </si>
  <si>
    <t>Dr</t>
  </si>
  <si>
    <t>Kr</t>
  </si>
  <si>
    <t>Ref</t>
  </si>
  <si>
    <t>[Vade Tarihi]</t>
  </si>
  <si>
    <t>102 Bankalar / 300-320 Borçlar</t>
  </si>
  <si>
    <t>Paragraf 2 diğer kazanç tahsilatı (veya hesaplaması)</t>
  </si>
  <si>
    <t>[Tutar]</t>
  </si>
  <si>
    <t>Hesaplama/Belge</t>
  </si>
  <si>
    <t>646 Kambiyo Kârları / 679 Diğer Kâr / 648 Diğer Gelir</t>
  </si>
  <si>
    <t>Paragraf 2 vade sonu diğer kazanç — KVK Geçici Md.14/2 → Beyanname 378</t>
  </si>
  <si>
    <t>KV 378</t>
  </si>
  <si>
    <t>KAYIT 2 — 370–378 TAM MUHASEBE TABLOSU (DOKUZ KOD)</t>
  </si>
  <si>
    <t xml:space="preserve">  KVK Geçici Md.14 kapsamındaki tüm dokuz kod ve muhasebe hesapları:</t>
  </si>
  <si>
    <t>Dönüşüm</t>
  </si>
  <si>
    <t>P1 AKT: Döviz/altın KKM kur farkı değerleme → 370</t>
  </si>
  <si>
    <t>[370]</t>
  </si>
  <si>
    <t>KV 370</t>
  </si>
  <si>
    <t>Ödeme</t>
  </si>
  <si>
    <t>P1 AKT: Bankadan kur farkı tazminat → 371</t>
  </si>
  <si>
    <t>[371]</t>
  </si>
  <si>
    <t>KV 371</t>
  </si>
  <si>
    <t>31.12</t>
  </si>
  <si>
    <t>P1 AKT: Dönem sonu faiz/kâr payı tahakkuk → 372</t>
  </si>
  <si>
    <t>[372]</t>
  </si>
  <si>
    <t>KV 372</t>
  </si>
  <si>
    <t>Vade</t>
  </si>
  <si>
    <t>P1 AKT: Vade sonu faiz/kâr payı tahsilat → 373</t>
  </si>
  <si>
    <t>[373]</t>
  </si>
  <si>
    <t>KV 373</t>
  </si>
  <si>
    <t>P1 AKT: Vade sonu diğer kazançlar → 374</t>
  </si>
  <si>
    <t>[374]</t>
  </si>
  <si>
    <t>KV 374</t>
  </si>
  <si>
    <t>P2 PAS: Borç kur farkı kazancı → 375</t>
  </si>
  <si>
    <t>[375]</t>
  </si>
  <si>
    <t>KV 375</t>
  </si>
  <si>
    <t>P2 PAS: Dönem sonu faiz/kâr payı tahakkuk → 376</t>
  </si>
  <si>
    <t>[376]</t>
  </si>
  <si>
    <t>KV 376</t>
  </si>
  <si>
    <t>P2 PAS: Vade sonu faiz/kâr payı tahsilat → 377</t>
  </si>
  <si>
    <t>[377]</t>
  </si>
  <si>
    <t>KV 377</t>
  </si>
  <si>
    <t>P2 PAS: Vade sonu diğer kazançlar (BU) → 378</t>
  </si>
  <si>
    <t>[378]</t>
  </si>
  <si>
    <t xml:space="preserve">  KVK GEÇİCİ MD.14 PAKETI TAMAMLANDI (370–378 DOKUZ KOD):
  Paragraf 1 (5 kod: 370–374): Aktif taraf — Yabancı para mevduat/altın → TL KKM
  Paragraf 2 (4 kod: 375–378): Pasif taraf — Yabancı para borç → TL dönüşümü
  ★★ TÜME DOKUZ KODUN TAMAMININ GELİRİ YİAKV MATRAHINDA DÜŞÜLEMEZ (E.7 — GÜNCELLENMESİ GEREKİR).</t>
  </si>
  <si>
    <t>378 – KVK GEÇİCİ MD.14/2 VADE SONU DİĞER KAZANÇLAR | DENETÇİ NOTLARI | PAKET KAPANIŞI</t>
  </si>
  <si>
    <t>GİB KV Beyan Rehberi Mart 2026 (No:606) | 374 ile Karşılaştırma | 370–378 Tam Paket | YİAKV E.7 Güncellemesi</t>
  </si>
  <si>
    <t>Konu</t>
  </si>
  <si>
    <t>Mesleki Değerlendirme / Tasdik Standardı</t>
  </si>
  <si>
    <t>Mevzuat / Kaynak</t>
  </si>
  <si>
    <t>N1</t>
  </si>
  <si>
    <t>KVK Geçici Md.14/2 — 378 Kapsamı ve 374 ile Karşılaştırması</t>
  </si>
  <si>
    <t>378 (PARAGRAF 2 — VADE SONU DİĞER KAZANÇLAR) TANIMI:
KVK Geçici Madde 14/2 kapsamında yabancı para borçlarını TL'ye dönüştüren kurumların,
dönüşüm sonrası TL araçlarından vade sonunda elde ettiği 375 (kur farkı) +
376 (dönem sonu tahakkuk) + 377 (vade kâr payı/faiz) dışında kalan diğer kazançlar.
374 ile FARK:
• 374 (Paragraf 1): Aktif — TL KKM (mevduat/altın) diğer kazançları (altın, prim, endeks)
• 378 (Paragraf 2): Pasif — Borç dönüşümü TL araç diğer kazançları
BAŞLICA 378 KALEMLERİ:
① Borç dönüşümü TL finansman avantajı
② Özel TL araç sermaye/değer artış kazancı
③ Prim/teşvik ödemeleri
④ 375+376+377 kapsamına girmeyen diğer Paragraf 2 vade sonu kazançları
BEYANNAME: 378 | Kazancın Bulunması Halinde İndirilecek</t>
  </si>
  <si>
    <t>KVK Geçici Md.14/2 | GİB KV Beyan Reh. 2026 (No:606)</t>
  </si>
  <si>
    <t>N2</t>
  </si>
  <si>
    <t>Paragraf 1 (374) ile Paragraf 2 (378) Mükerrerlik Önleme</t>
  </si>
  <si>
    <t>374 ve 378 BIRLIKTE UYGULANABİLİR (Mükerrerlik Değil):
Kurum hem Paragraf 1 (mevduat/altın → KKM) hem Paragraf 2 (borç → TL) yaptıysa:
• Paragraf 1 diğer kazancı → 374
• Paragraf 2 diğer kazancı → 378
Her ikisi ayrı enstrüman, ayrı paragraf, ayrı satır — MÜKERRERLİK DEĞİL.
MÜKERRERLİK HATASI:
Aynı TL araç hem 374 hem 378 kapsamında raporlanırsa → Mükerrerlik.
Aynı kazanç hem 377 (kâr payı/faiz) hem 378 (diğer) olarak yazılırsa → Mükerrerlik.
ÖZELGE TAVSİYESİ:
378'in 'diğer' niteliği 374'e göre daha tartışmalıdır. Özellikle borç avantajının
nasıl hesaplanacağı ve belgeleneceği konusunda GİB özelgesi alınması tavsiye edilir.</t>
  </si>
  <si>
    <t>KVK Geçici Md.14/1-b (374) | KVK Geçici Md.14/2 (378)</t>
  </si>
  <si>
    <t>N3</t>
  </si>
  <si>
    <t>★★ YİAKV ile İlişki — 370–378 Tamamı DÜŞÜLEMEZ + E.7 Güncelleme</t>
  </si>
  <si>
    <t>KVK GEÇİCİ MD.14 DOKUZ KODUNUN TAMAMININ YİAKV MATRAHINDA DÜŞÜLEMEZLİĞİ:
Paragraf 1: 370 | 371 | 372 | 373 | 374 → BEŞİ DE DÜŞÜLEMEZ
Paragraf 2: 375 | 376 | 377 | 378 → DÖRDÜ DE DÜŞÜLEMEZ
TOPLAM DOKUZ KOD: TAMAMINA YİAKV MATRAHINDA DÜŞÜLEMEZ
★ YİAKV ÇALIŞMA KÂĞIDI E.7 GÜNCELLEME ZORUNLU:
Mevcut E.7 metni 370–374 veya 370–377 ile sınırlıysa 378 eklenerek güncellenmelidir.
GÜNCEL E.7 METNİ (Önerilen):
'KKM Aktif+Pasif Kur Farkı + Faiz/Kâr Payı + Vade Kazançları (Paragraf 1 ve 2)
(KVK Geçici Md.14) → DÜŞÜLEMEZ ✗ | Beyanname 370/371/372/373/374/375/376/377/378'
YMM, YİAKV çalışma kâğıdında E.7 güncellenmesini ilk kontrol noktası olarak belirlemelidir.</t>
  </si>
  <si>
    <t>KVK Md.32/C | YİAKV Reh. (No:607) | GİB KV Beyan Reh. (No:606)</t>
  </si>
  <si>
    <t>N4</t>
  </si>
  <si>
    <t>KVK Geçici Md.14 370–378 Paket Özeti — YMM Tasdik Perspektifi</t>
  </si>
  <si>
    <t>370–378 PAKETİNDE YMM'NİN KONTROL ODAKLARI:
PARAGRAF 1 (370–374) — AKTİF TARAF:
• 372-373 çapraz: Her KKM hesabı için 372 + 373 = Toplam kâr payı/faiz
• 374 'diğer' niteliği teyidi (özellikle altın KKM)
• 370 tek seferlik — sonraki yıllarda 370 sıfır olmalı
PARAGRAF 2 (375–378) — PASİF TARAF:
• 375 bağlantısı: 376/377/378 için 375 dönüşüm belgesi zorunlu
• 376-377 çapraz: Her araç için 376 + 377 = Toplam kâr payı/faiz
• 378 'diğer' niteliği teyidi — özelge tavsiye
HER İKİ PARAGRAF İÇİN ORTAK:
• YİAKV E.7: 9 kodun tamamı DÜŞÜLEMEZ listesinde
• Beyanname bölümü: 'Kazancın Bulunması Halinde' (zarar döneminde uygulanamaz)
• 49 No.lu Tebliğ: &gt;=500.000 TL → YMM raporu</t>
  </si>
  <si>
    <t>KVK Geçici Md.14 | GİB KV Beyan Reh. 2026 (No:606) | 49 No.lu Tebliğ</t>
  </si>
  <si>
    <t>N5</t>
  </si>
  <si>
    <t>49 No.lu Tebliğ + YMM Tasdik Dil Standardı</t>
  </si>
  <si>
    <t>KULLANIN:
'...KVK Geçici Madde 14/2 kapsamında yabancı para borçlarının TL'ye dönüştürülmesi
sonucunda kurulan [Araç Türü] hesabından vade sonunda elde edilen, faiz/kâr payı ve kur
farkı istisnası dışında kalan [Tutar] TL [Kazanç Türü], KVK Geçici Madde 14/2 kapsamında
kurumlar vergisinden istisna edilmiş ve yurt içi asgari kurumlar vergisi matrahından
indirilmemiştir.'
KULLANMAYIN:
'...378 tutarı YİAKV matrahından düşülmüştür.' (YANLIŞ)
'...374 ve 378 aynı araç için uygulanmıştır.' (Mükerrerlik)
KRİTİK RİSKLER:
(1) 378'i YİAKV matrahından düşmek.
(2) YİAKV E.7'de 378'i unutmak (9 kod tamamı listede olmalı).
(3) 377 (kâr payı/faiz) ile 378 (diğer) ayrımını yapmamak.
(4) Paragraf 1 araçlarını (374) Paragraf 2'ye (378) yazmak.</t>
  </si>
  <si>
    <t>49 No.lu Tebliğ | KVK Geçici Md.14 | SM-SMMM-YMM K. Md.12</t>
  </si>
  <si>
    <t xml:space="preserve">  KVK GEÇİCİ MD.14 PAKETI TAMAMLANDI — 370'DEN 378'E DOKUZ KOD:
  Paragraf 1 (5 kod 370–374): Aktif taraf yabancı para mevduat/altın → TL KKM.
  Paragraf 2 (4 kod 375–378): Pasif taraf yabancı para borç → TL dönüşümü.
  ★★ TÜME DOKUZ KODUN TAMAMININ GELİRİ YİAKV MATRAHINDA DÜŞÜLEMEZ. YİAKV E.7 satırı 378'i de kapsayacak şekilde güncellenmelidir. YMM müteselsil sorumluluk: SM-SMMM-YMM Kanunu Md.12.</t>
  </si>
  <si>
    <t>378 – KVK GEÇİCİ MD.14/2 VADE SONU DİĞER KAZANÇLAR | BELGE LİSTESİ | YMM TASDİK</t>
  </si>
  <si>
    <t>GİB KV Beyan Rehberi Mart 2026 (No:606) | 375/376/377 Çapraz | Özelge | YİAKV E.7 Güncelleme</t>
  </si>
  <si>
    <t>KATEGORİ 1 — ZORUNLU BELGELER</t>
  </si>
  <si>
    <t>No</t>
  </si>
  <si>
    <t>Belge</t>
  </si>
  <si>
    <t>Temin</t>
  </si>
  <si>
    <t>1</t>
  </si>
  <si>
    <t>★ 375/376/377 Çalışma Kâğıtları — Paragraf 2 Zinciri ve 'Diğer' Teyidi</t>
  </si>
  <si>
    <t>375 (borç kur farkı) + 376 (dönem sonu) + 377 (vade) üçü birlikte 378'in 'diğer' niteliğini teyit eder.
378 tutarının 375/376/377 kapsamına girmediği bu dosyalar üzerinden kanıtlanmalıdır.</t>
  </si>
  <si>
    <t>375/376/377 çalışma kâğıtları</t>
  </si>
  <si>
    <t>★ Kazanç Türüne Özgü Belge (Sözleşme / Banka Yazısı / Hesaplama)</t>
  </si>
  <si>
    <t>Borç avantajı → Kredi sözleşmeleri + TL/YP maliyet karşılaştırması.
Prim/teşvik → Banka resmi yazısı. Özel araç getirisi → Araç sözleşmesi.
Her 378 kalemi için ayrı belge zorunludur.</t>
  </si>
  <si>
    <t>Kazanç türüne göre</t>
  </si>
  <si>
    <t>3</t>
  </si>
  <si>
    <t>GİB Özelgesi (Tartışmalı 378 Kalemleri İçin — Tavsiye)</t>
  </si>
  <si>
    <t>378 'diğer' niteliği özellikle borç avantajı konusunda tartışmalı olabilir.
GİB özelgesi alınması risk yönetiminin temelidir — özellikle ilk uygulama döneminde.</t>
  </si>
  <si>
    <t>GİB özelge başvuru sistemi</t>
  </si>
  <si>
    <t>4</t>
  </si>
  <si>
    <t>KV Beyannamesi Taslağı — 378. Satır</t>
  </si>
  <si>
    <t>'Kazancın Bulunması Halinde' bölümü. ★★ YİAKV matrahından çıkarılmamış.
★ YİAKV E.7 satırı 378'i de kapsayacak şekilde güncellenmiş.</t>
  </si>
  <si>
    <t>GİB e-Beyanname sistemi + YİAKV çalışma kâğıdı</t>
  </si>
  <si>
    <t>KATEGORİ 2 — EK BELGELER</t>
  </si>
  <si>
    <t>5</t>
  </si>
  <si>
    <t>Muhasebe Yevmiyesi — 646/648/679 Vade Diğer Kazanç Kaydı</t>
  </si>
  <si>
    <t>378 kapsamındaki kazancın muhasebe yevmiye kaydı. 642 (faiz) ile karışmamalı.</t>
  </si>
  <si>
    <t>Yevmiye defteri</t>
  </si>
  <si>
    <t>6</t>
  </si>
  <si>
    <t>374 (Paragraf 1) ve 378 (Paragraf 2) Ayrıştırma Notu</t>
  </si>
  <si>
    <t>Aynı dönemde hem 374 hem 378 uygulanıyorsa araç bazlı ayrıştırma belgelenmelidir.</t>
  </si>
  <si>
    <t>Çalışma kâğıdı notu</t>
  </si>
  <si>
    <t>KATEGORİ 3 — YMM TASDİK KONTROL SORULARI</t>
  </si>
  <si>
    <t>Beklenen Sonuç</t>
  </si>
  <si>
    <t>YMM Aksiyonu</t>
  </si>
  <si>
    <t>S1</t>
  </si>
  <si>
    <t>★ 375/376/377 Paragraf 2 zinciri mevcut mu?</t>
  </si>
  <si>
    <t>378 bağlantısı zorunlu.</t>
  </si>
  <si>
    <t>YMM kontrolü</t>
  </si>
  <si>
    <t>S2</t>
  </si>
  <si>
    <t>★ Bu kazanç 375/376/377 kapsamına girmiyor mu? ('Diğer' niteliği teyit)</t>
  </si>
  <si>
    <t>Üç kodun kapsamı karşılaştırılarak teyit.</t>
  </si>
  <si>
    <t>S3</t>
  </si>
  <si>
    <t>'Yok' olanlar 378'e yazıldı.</t>
  </si>
  <si>
    <t>S4</t>
  </si>
  <si>
    <t>Kazanç türü belgelendi mi? (Sözleşme/banka yazısı)</t>
  </si>
  <si>
    <t>Her kalem için ayrı belge.</t>
  </si>
  <si>
    <t>S5</t>
  </si>
  <si>
    <t>Paragraf 1 → 374. Paragraf 2 → 378.</t>
  </si>
  <si>
    <t>S6</t>
  </si>
  <si>
    <t>Tartışmalı kalemler için özelge alındı mı?</t>
  </si>
  <si>
    <t>GİB özelgesi — borç avantajı gibi tartışmalı kalemler.</t>
  </si>
  <si>
    <t>S7</t>
  </si>
  <si>
    <t>370–378 tamamı YİAKV E.7'de DÜŞÜLEMEZ.</t>
  </si>
  <si>
    <t>S8</t>
  </si>
  <si>
    <t>★ YİAKV E.7 satırı 378'i de kapsayacak şekilde güncellendi mi?</t>
  </si>
  <si>
    <t>9 kodun tamamı E.7'de listelenmiş.</t>
  </si>
  <si>
    <t>S9</t>
  </si>
  <si>
    <t>S10</t>
  </si>
  <si>
    <t xml:space="preserve">  KVK GEÇİCİ MD.14 PAKETI TAMAMLANDI (370–378):
  Paragraf 1 (5 kod): 370 Kur farkı değerleme | 371 Kur farkı tazminat | 372 Dönem sonu tahakkuk | 373 Vade kâr payı/faiz | 374 Vade diğer kazançlar.
  Paragraf 2 (4 kod): 375 Borç kur farkı | 376 Dönem sonu tahakkuk | 377 Vade kâr payı/faiz | 378 Vade diğer kazançlar.
  ★★ TÜMÜ YİAKV MATRAHINDA DÜŞÜLEMEZ (E.7 — 9 kod eksiksiz listede). GİB KV Beyan Rehberi Mart 2026 (No:606) esas alınmıştır.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</si>
</sst>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sz val="9"/>
      <color rgb="FF1F3864"/>
      <name val="Arial"/>
      <family val="2"/>
      <charset val="162"/>
    </font>
    <font>
      <sz val="8"/>
      <color rgb="FF333333"/>
      <name val="Arial"/>
      <family val="2"/>
      <charset val="162"/>
    </font>
    <font>
      <b/>
      <i/>
      <sz val="8"/>
      <color rgb="FF880E4F"/>
      <name val="Arial"/>
      <family val="2"/>
      <charset val="162"/>
    </font>
    <font>
      <b/>
      <sz val="9"/>
      <color rgb="FF3949AB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i/>
      <sz val="8"/>
      <color rgb="FF3949AB"/>
      <name val="Arial"/>
      <family val="2"/>
      <charset val="162"/>
    </font>
    <font>
      <b/>
      <sz val="13"/>
      <color rgb="FF1B5E20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1F3864"/>
      <name val="Arial"/>
      <family val="2"/>
      <charset val="162"/>
    </font>
    <font>
      <b/>
      <sz val="8"/>
      <color rgb="FFC0392B"/>
      <name val="Arial"/>
      <family val="2"/>
      <charset val="162"/>
    </font>
    <font>
      <sz val="8"/>
      <color rgb="FF1A237E"/>
      <name val="Arial"/>
      <family val="2"/>
      <charset val="162"/>
    </font>
    <font>
      <sz val="8"/>
      <color rgb="FF3949AB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34">
    <fill>
      <patternFill patternType="none"/>
    </fill>
    <fill>
      <patternFill patternType="gray125"/>
    </fill>
    <fill>
      <patternFill patternType="solid">
        <fgColor rgb="FF3949AB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8EAF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CE4EC"/>
      </patternFill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00574B"/>
      </patternFill>
    </fill>
    <fill>
      <patternFill patternType="solid">
        <fgColor rgb="FFFFEBEE"/>
      </patternFill>
    </fill>
    <fill>
      <patternFill patternType="solid">
        <fgColor rgb="FF004D40"/>
      </patternFill>
    </fill>
    <fill>
      <patternFill patternType="solid">
        <fgColor rgb="FF01579B"/>
      </patternFill>
    </fill>
    <fill>
      <patternFill patternType="solid">
        <fgColor rgb="FF0D47A1"/>
      </patternFill>
    </fill>
    <fill>
      <patternFill patternType="solid">
        <fgColor rgb="FF880E4F"/>
      </patternFill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283593"/>
      </patternFill>
    </fill>
    <fill>
      <patternFill patternType="solid">
        <fgColor rgb="FF303F9F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949AB"/>
      </left>
      <right style="thin">
        <color rgb="FF3949AB"/>
      </right>
      <top style="thin">
        <color rgb="FF3949AB"/>
      </top>
      <bottom style="thin">
        <color rgb="FF3949A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3" fontId="15" fillId="9" borderId="3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3" fontId="16" fillId="13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right" vertical="center"/>
    </xf>
    <xf numFmtId="3" fontId="18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20" fillId="13" borderId="4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3" fontId="21" fillId="13" borderId="4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4" fillId="13" borderId="1" xfId="0" applyNumberFormat="1" applyFont="1" applyFill="1" applyBorder="1" applyAlignment="1">
      <alignment horizontal="right" vertical="center"/>
    </xf>
    <xf numFmtId="0" fontId="25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3" fillId="27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8" borderId="1" xfId="0" applyFont="1" applyFill="1" applyBorder="1" applyAlignment="1">
      <alignment horizontal="left" vertical="top" wrapText="1"/>
    </xf>
    <xf numFmtId="0" fontId="0" fillId="28" borderId="1" xfId="0" applyFill="1" applyBorder="1"/>
    <xf numFmtId="0" fontId="0" fillId="18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29" borderId="1" xfId="0" applyFont="1" applyFill="1" applyBorder="1" applyAlignment="1">
      <alignment horizontal="left" vertical="top" wrapText="1"/>
    </xf>
    <xf numFmtId="0" fontId="32" fillId="9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32" fillId="11" borderId="1" xfId="0" applyFont="1" applyFill="1" applyBorder="1" applyAlignment="1">
      <alignment horizontal="left" vertical="top" wrapText="1"/>
    </xf>
    <xf numFmtId="0" fontId="8" fillId="18" borderId="1" xfId="0" applyFont="1" applyFill="1" applyBorder="1" applyAlignment="1">
      <alignment horizontal="left" vertical="top" wrapText="1"/>
    </xf>
    <xf numFmtId="0" fontId="32" fillId="18" borderId="1" xfId="0" applyFont="1" applyFill="1" applyBorder="1" applyAlignment="1">
      <alignment horizontal="left" vertical="top" wrapText="1"/>
    </xf>
    <xf numFmtId="0" fontId="32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13" fillId="30" borderId="1" xfId="0" applyFont="1" applyFill="1" applyBorder="1" applyAlignment="1">
      <alignment horizontal="left" vertical="top" wrapText="1"/>
    </xf>
    <xf numFmtId="0" fontId="32" fillId="13" borderId="1" xfId="0" applyFont="1" applyFill="1" applyBorder="1" applyAlignment="1">
      <alignment horizontal="left" vertical="top" wrapText="1"/>
    </xf>
    <xf numFmtId="0" fontId="0" fillId="24" borderId="1" xfId="0" applyFill="1" applyBorder="1"/>
    <xf numFmtId="0" fontId="5" fillId="24" borderId="1" xfId="0" applyFont="1" applyFill="1" applyBorder="1" applyAlignment="1">
      <alignment horizontal="center" vertical="top"/>
    </xf>
    <xf numFmtId="0" fontId="5" fillId="24" borderId="1" xfId="0" applyFont="1" applyFill="1" applyBorder="1" applyAlignment="1">
      <alignment horizontal="left" vertical="top" wrapText="1"/>
    </xf>
    <xf numFmtId="0" fontId="13" fillId="31" borderId="1" xfId="0" applyFont="1" applyFill="1" applyBorder="1" applyAlignment="1">
      <alignment horizontal="left" vertical="top" wrapText="1"/>
    </xf>
    <xf numFmtId="0" fontId="32" fillId="24" borderId="1" xfId="0" applyFont="1" applyFill="1" applyBorder="1" applyAlignment="1">
      <alignment horizontal="left" vertical="top" wrapText="1"/>
    </xf>
    <xf numFmtId="0" fontId="1" fillId="32" borderId="2" xfId="0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top"/>
    </xf>
    <xf numFmtId="0" fontId="13" fillId="28" borderId="1" xfId="0" applyFont="1" applyFill="1" applyBorder="1" applyAlignment="1">
      <alignment horizontal="left" vertical="top" wrapText="1"/>
    </xf>
    <xf numFmtId="0" fontId="35" fillId="18" borderId="1" xfId="0" applyFont="1" applyFill="1" applyBorder="1" applyAlignment="1">
      <alignment horizontal="center" vertical="top"/>
    </xf>
    <xf numFmtId="0" fontId="34" fillId="24" borderId="1" xfId="0" applyFont="1" applyFill="1" applyBorder="1" applyAlignment="1">
      <alignment horizontal="center" vertical="top"/>
    </xf>
    <xf numFmtId="0" fontId="34" fillId="24" borderId="1" xfId="0" applyFont="1" applyFill="1" applyBorder="1" applyAlignment="1">
      <alignment horizontal="left" vertical="top" wrapText="1"/>
    </xf>
    <xf numFmtId="0" fontId="35" fillId="24" borderId="1" xfId="0" applyFont="1" applyFill="1" applyBorder="1" applyAlignment="1">
      <alignment horizontal="center" vertical="top"/>
    </xf>
    <xf numFmtId="0" fontId="34" fillId="28" borderId="1" xfId="0" applyFont="1" applyFill="1" applyBorder="1" applyAlignment="1">
      <alignment horizontal="center" vertical="top"/>
    </xf>
    <xf numFmtId="0" fontId="13" fillId="33" borderId="1" xfId="0" applyFont="1" applyFill="1" applyBorder="1" applyAlignment="1">
      <alignment horizontal="left" vertical="top" wrapText="1"/>
    </xf>
    <xf numFmtId="0" fontId="35" fillId="28" borderId="1" xfId="0" applyFont="1" applyFill="1" applyBorder="1" applyAlignment="1">
      <alignment horizontal="center" vertical="top"/>
    </xf>
    <xf numFmtId="0" fontId="12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9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7" fillId="9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0" fillId="10" borderId="1" xfId="0" applyFill="1" applyBorder="1"/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0" fillId="13" borderId="1" xfId="0" applyFont="1" applyFill="1" applyBorder="1" applyAlignment="1">
      <alignment horizontal="left" vertical="center"/>
    </xf>
    <xf numFmtId="0" fontId="14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19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3" fillId="9" borderId="2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7" fillId="1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7" fillId="16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13" fillId="9" borderId="1" xfId="0" applyFont="1" applyFill="1" applyBorder="1" applyAlignment="1">
      <alignment horizontal="left" vertical="top" wrapText="1"/>
    </xf>
    <xf numFmtId="0" fontId="4" fillId="15" borderId="2" xfId="0" applyFont="1" applyFill="1" applyBorder="1" applyAlignment="1">
      <alignment horizontal="left" vertical="center"/>
    </xf>
    <xf numFmtId="0" fontId="0" fillId="15" borderId="2" xfId="0" applyFill="1" applyBorder="1"/>
    <xf numFmtId="0" fontId="8" fillId="11" borderId="1" xfId="0" applyFont="1" applyFill="1" applyBorder="1" applyAlignment="1">
      <alignment horizontal="left" vertical="top" wrapText="1"/>
    </xf>
    <xf numFmtId="0" fontId="13" fillId="27" borderId="1" xfId="0" applyFont="1" applyFill="1" applyBorder="1" applyAlignment="1">
      <alignment horizontal="left" vertical="top" wrapText="1"/>
    </xf>
    <xf numFmtId="0" fontId="0" fillId="27" borderId="1" xfId="0" applyFill="1" applyBorder="1"/>
    <xf numFmtId="0" fontId="5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top" wrapText="1"/>
    </xf>
    <xf numFmtId="0" fontId="23" fillId="2" borderId="2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top" wrapText="1"/>
    </xf>
    <xf numFmtId="0" fontId="8" fillId="28" borderId="1" xfId="0" applyFont="1" applyFill="1" applyBorder="1" applyAlignment="1">
      <alignment horizontal="left" vertical="top" wrapText="1"/>
    </xf>
    <xf numFmtId="0" fontId="0" fillId="28" borderId="1" xfId="0" applyFill="1" applyBorder="1"/>
    <xf numFmtId="0" fontId="13" fillId="18" borderId="1" xfId="0" applyFont="1" applyFill="1" applyBorder="1" applyAlignment="1">
      <alignment horizontal="left" vertical="top" wrapText="1"/>
    </xf>
    <xf numFmtId="0" fontId="0" fillId="18" borderId="1" xfId="0" applyFill="1" applyBorder="1"/>
    <xf numFmtId="0" fontId="30" fillId="2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1" fillId="3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33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7" fillId="2" borderId="2" xfId="0" applyFont="1" applyFill="1" applyBorder="1" applyAlignment="1">
      <alignment horizontal="left" vertical="center"/>
    </xf>
    <xf numFmtId="0" fontId="4" fillId="32" borderId="5" xfId="0" applyFont="1" applyFill="1" applyBorder="1" applyAlignment="1">
      <alignment horizontal="left" vertical="center"/>
    </xf>
    <xf numFmtId="0" fontId="0" fillId="32" borderId="5" xfId="0" applyFill="1" applyBorder="1"/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15" borderId="5" xfId="0" applyFont="1" applyFill="1" applyBorder="1" applyAlignment="1">
      <alignment horizontal="left" vertical="center"/>
    </xf>
    <xf numFmtId="0" fontId="0" fillId="15" borderId="5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868B11-C880-4799-B045-3B6EABB6C7F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891e67f-cbc9-4688-a422-caa89d4766f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3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3" width="16" customWidth="1"/>
    <col min="4" max="4" width="18" customWidth="1"/>
    <col min="5" max="5" width="16" customWidth="1"/>
    <col min="6" max="6" width="14" customWidth="1"/>
    <col min="7" max="7" width="24" customWidth="1"/>
  </cols>
  <sheetData>
    <row r="1" spans="1:7" ht="52" customHeight="1" x14ac:dyDescent="0.55000000000000004">
      <c r="A1" s="80" t="s">
        <v>0</v>
      </c>
      <c r="B1" s="81"/>
      <c r="C1" s="81"/>
      <c r="D1" s="81"/>
      <c r="E1" s="81"/>
      <c r="F1" s="81"/>
      <c r="G1" s="81"/>
    </row>
    <row r="2" spans="1:7" ht="22" customHeight="1" x14ac:dyDescent="0.55000000000000004">
      <c r="A2" s="117" t="s">
        <v>1</v>
      </c>
      <c r="B2" s="118"/>
      <c r="C2" s="118"/>
      <c r="D2" s="118"/>
      <c r="E2" s="118"/>
      <c r="F2" s="118"/>
      <c r="G2" s="118"/>
    </row>
    <row r="3" spans="1:7" ht="44.05" customHeight="1" x14ac:dyDescent="0.55000000000000004">
      <c r="A3" s="114" t="s">
        <v>2</v>
      </c>
      <c r="B3" s="115"/>
      <c r="C3" s="115"/>
      <c r="D3" s="115"/>
      <c r="E3" s="115"/>
      <c r="F3" s="115"/>
      <c r="G3" s="115"/>
    </row>
    <row r="4" spans="1:7" ht="22" customHeight="1" x14ac:dyDescent="0.55000000000000004">
      <c r="A4" s="93" t="s">
        <v>3</v>
      </c>
      <c r="B4" s="94"/>
      <c r="C4" s="94"/>
      <c r="D4" s="94"/>
      <c r="E4" s="94"/>
      <c r="F4" s="94"/>
      <c r="G4" s="94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09" t="s">
        <v>4</v>
      </c>
      <c r="B6" s="110"/>
      <c r="C6" s="110"/>
      <c r="D6" s="110"/>
      <c r="E6" s="110"/>
      <c r="F6" s="110"/>
      <c r="G6" s="110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2" t="s">
        <v>8</v>
      </c>
      <c r="B8" s="79"/>
      <c r="C8" s="79"/>
      <c r="D8" s="79"/>
      <c r="E8" s="4" t="s">
        <v>9</v>
      </c>
      <c r="F8" s="87" t="s">
        <v>10</v>
      </c>
      <c r="G8" s="79"/>
    </row>
    <row r="9" spans="1:7" ht="28" customHeight="1" x14ac:dyDescent="0.55000000000000004">
      <c r="A9" s="100" t="s">
        <v>11</v>
      </c>
      <c r="B9" s="101"/>
      <c r="C9" s="101"/>
      <c r="D9" s="101"/>
      <c r="E9" s="4" t="s">
        <v>9</v>
      </c>
      <c r="F9" s="111" t="s">
        <v>12</v>
      </c>
      <c r="G9" s="101"/>
    </row>
    <row r="10" spans="1:7" ht="28" customHeight="1" x14ac:dyDescent="0.55000000000000004">
      <c r="A10" s="82" t="s">
        <v>13</v>
      </c>
      <c r="B10" s="79"/>
      <c r="C10" s="79"/>
      <c r="D10" s="79"/>
      <c r="E10" s="4" t="s">
        <v>14</v>
      </c>
      <c r="F10" s="87" t="s">
        <v>15</v>
      </c>
      <c r="G10" s="79"/>
    </row>
    <row r="11" spans="1:7" ht="28" customHeight="1" x14ac:dyDescent="0.55000000000000004">
      <c r="A11" s="106" t="s">
        <v>16</v>
      </c>
      <c r="B11" s="84"/>
      <c r="C11" s="84"/>
      <c r="D11" s="84"/>
      <c r="E11" s="4" t="s">
        <v>9</v>
      </c>
      <c r="F11" s="83" t="s">
        <v>17</v>
      </c>
      <c r="G11" s="84"/>
    </row>
    <row r="12" spans="1:7" ht="28" customHeight="1" x14ac:dyDescent="0.55000000000000004">
      <c r="A12" s="82" t="s">
        <v>18</v>
      </c>
      <c r="B12" s="79"/>
      <c r="C12" s="79"/>
      <c r="D12" s="79"/>
      <c r="E12" s="4" t="s">
        <v>9</v>
      </c>
      <c r="F12" s="87" t="s">
        <v>19</v>
      </c>
      <c r="G12" s="79"/>
    </row>
    <row r="13" spans="1:7" ht="28" customHeight="1" x14ac:dyDescent="0.55000000000000004">
      <c r="A13" s="100" t="s">
        <v>20</v>
      </c>
      <c r="B13" s="101"/>
      <c r="C13" s="101"/>
      <c r="D13" s="101"/>
      <c r="E13" s="4" t="s">
        <v>9</v>
      </c>
      <c r="F13" s="111" t="s">
        <v>21</v>
      </c>
      <c r="G13" s="101"/>
    </row>
    <row r="14" spans="1:7" ht="28" customHeight="1" x14ac:dyDescent="0.55000000000000004">
      <c r="A14" s="82" t="s">
        <v>22</v>
      </c>
      <c r="B14" s="79"/>
      <c r="C14" s="79"/>
      <c r="D14" s="79"/>
      <c r="E14" s="4" t="s">
        <v>9</v>
      </c>
      <c r="F14" s="87" t="s">
        <v>23</v>
      </c>
      <c r="G14" s="79"/>
    </row>
    <row r="15" spans="1:7" ht="24" customHeight="1" x14ac:dyDescent="0.55000000000000004">
      <c r="A15" s="105" t="s">
        <v>24</v>
      </c>
      <c r="B15" s="89"/>
      <c r="C15" s="89"/>
      <c r="D15" s="89"/>
      <c r="E15" s="7" t="str">
        <f>IF(AND(E8="EVET",E9="EVET",E11="EVET",E13="EVET"),"OK - Hesaplanabilir","HATA - Ön koşul eksik")</f>
        <v>OK - Hesaplanabilir</v>
      </c>
      <c r="F15" s="103" t="s">
        <v>25</v>
      </c>
      <c r="G15" s="89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85" t="s">
        <v>26</v>
      </c>
      <c r="B17" s="86"/>
      <c r="C17" s="86"/>
      <c r="D17" s="86"/>
      <c r="E17" s="86"/>
      <c r="F17" s="86"/>
      <c r="G17" s="86"/>
    </row>
    <row r="18" spans="1:7" ht="22" customHeight="1" x14ac:dyDescent="0.55000000000000004">
      <c r="A18" s="82" t="s">
        <v>27</v>
      </c>
      <c r="B18" s="79"/>
      <c r="C18" s="92"/>
      <c r="D18" s="92"/>
      <c r="E18" s="92"/>
      <c r="F18" s="8" t="s">
        <v>28</v>
      </c>
      <c r="G18" s="3"/>
    </row>
    <row r="19" spans="1:7" ht="22" customHeight="1" x14ac:dyDescent="0.55000000000000004">
      <c r="A19" s="106" t="s">
        <v>29</v>
      </c>
      <c r="B19" s="84"/>
      <c r="C19" s="92"/>
      <c r="D19" s="92"/>
      <c r="E19" s="92"/>
      <c r="F19" s="9" t="s">
        <v>30</v>
      </c>
      <c r="G19" s="5"/>
    </row>
    <row r="20" spans="1:7" ht="22" customHeight="1" x14ac:dyDescent="0.55000000000000004">
      <c r="A20" s="82" t="s">
        <v>31</v>
      </c>
      <c r="B20" s="79"/>
      <c r="C20" s="92"/>
      <c r="D20" s="92"/>
      <c r="E20" s="92"/>
      <c r="F20" s="8" t="s">
        <v>32</v>
      </c>
      <c r="G20" s="3"/>
    </row>
    <row r="21" spans="1:7" ht="22" customHeight="1" x14ac:dyDescent="0.55000000000000004">
      <c r="A21" s="106" t="s">
        <v>33</v>
      </c>
      <c r="B21" s="84"/>
      <c r="C21" s="92"/>
      <c r="D21" s="92"/>
      <c r="E21" s="92"/>
      <c r="F21" s="9" t="s">
        <v>34</v>
      </c>
      <c r="G21" s="5"/>
    </row>
    <row r="22" spans="1:7" ht="22" customHeight="1" x14ac:dyDescent="0.55000000000000004">
      <c r="A22" s="82" t="s">
        <v>35</v>
      </c>
      <c r="B22" s="79"/>
      <c r="C22" s="92"/>
      <c r="D22" s="92"/>
      <c r="E22" s="92"/>
      <c r="F22" s="8" t="s">
        <v>36</v>
      </c>
      <c r="G22" s="3"/>
    </row>
    <row r="23" spans="1:7" ht="22" customHeight="1" x14ac:dyDescent="0.55000000000000004">
      <c r="A23" s="106" t="s">
        <v>37</v>
      </c>
      <c r="B23" s="84"/>
      <c r="C23" s="92"/>
      <c r="D23" s="92"/>
      <c r="E23" s="92"/>
      <c r="F23" s="9" t="s">
        <v>38</v>
      </c>
      <c r="G23" s="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85" t="s">
        <v>39</v>
      </c>
      <c r="B25" s="86"/>
      <c r="C25" s="86"/>
      <c r="D25" s="86"/>
      <c r="E25" s="86"/>
      <c r="F25" s="86"/>
      <c r="G25" s="86"/>
    </row>
    <row r="26" spans="1:7" ht="24" customHeight="1" x14ac:dyDescent="0.55000000000000004">
      <c r="A26" s="78" t="s">
        <v>40</v>
      </c>
      <c r="B26" s="79"/>
      <c r="C26" s="79"/>
      <c r="D26" s="79"/>
      <c r="E26" s="79"/>
      <c r="F26" s="79"/>
      <c r="G26" s="79"/>
    </row>
    <row r="27" spans="1:7" ht="20.05" customHeight="1" x14ac:dyDescent="0.55000000000000004">
      <c r="A27" s="113" t="s">
        <v>41</v>
      </c>
      <c r="B27" s="86"/>
      <c r="C27" s="86"/>
      <c r="D27" s="86"/>
      <c r="E27" s="86"/>
      <c r="F27" s="86"/>
      <c r="G27" s="86"/>
    </row>
    <row r="28" spans="1:7" ht="52" customHeight="1" x14ac:dyDescent="0.55000000000000004">
      <c r="A28" s="102" t="s">
        <v>42</v>
      </c>
      <c r="B28" s="99"/>
      <c r="C28" s="99"/>
      <c r="D28" s="99"/>
      <c r="E28" s="99"/>
      <c r="F28" s="99"/>
      <c r="G28" s="99"/>
    </row>
    <row r="29" spans="1:7" ht="28" customHeight="1" x14ac:dyDescent="0.55000000000000004">
      <c r="A29" s="96" t="s">
        <v>43</v>
      </c>
      <c r="B29" s="97"/>
      <c r="C29" s="97"/>
      <c r="D29" s="97"/>
      <c r="E29" s="97"/>
      <c r="F29" s="97"/>
      <c r="G29" s="97"/>
    </row>
    <row r="30" spans="1:7" ht="5.05" customHeight="1" x14ac:dyDescent="0.55000000000000004">
      <c r="A30" s="1"/>
      <c r="B30" s="1"/>
      <c r="C30" s="1"/>
      <c r="D30" s="1"/>
      <c r="E30" s="1"/>
      <c r="F30" s="1"/>
      <c r="G30" s="1"/>
    </row>
    <row r="31" spans="1:7" ht="24" customHeight="1" x14ac:dyDescent="0.55000000000000004">
      <c r="A31" s="85" t="s">
        <v>44</v>
      </c>
      <c r="B31" s="86"/>
      <c r="C31" s="86"/>
      <c r="D31" s="86"/>
      <c r="E31" s="86"/>
      <c r="F31" s="86"/>
      <c r="G31" s="86"/>
    </row>
    <row r="32" spans="1:7" ht="24" customHeight="1" x14ac:dyDescent="0.55000000000000004">
      <c r="A32" s="78" t="s">
        <v>45</v>
      </c>
      <c r="B32" s="79"/>
      <c r="C32" s="79"/>
      <c r="D32" s="79"/>
      <c r="E32" s="79"/>
      <c r="F32" s="79"/>
      <c r="G32" s="79"/>
    </row>
    <row r="33" spans="1:7" ht="18" customHeight="1" x14ac:dyDescent="0.55000000000000004">
      <c r="A33" s="10" t="s">
        <v>46</v>
      </c>
      <c r="B33" s="10" t="s">
        <v>47</v>
      </c>
      <c r="C33" s="10" t="s">
        <v>48</v>
      </c>
      <c r="D33" s="10" t="s">
        <v>49</v>
      </c>
      <c r="E33" s="10" t="s">
        <v>50</v>
      </c>
      <c r="F33" s="10" t="s">
        <v>51</v>
      </c>
      <c r="G33" s="10" t="s">
        <v>52</v>
      </c>
    </row>
    <row r="34" spans="1:7" ht="26.05" customHeight="1" x14ac:dyDescent="0.55000000000000004">
      <c r="A34" s="11"/>
      <c r="B34" s="11"/>
      <c r="C34" s="11"/>
      <c r="D34" s="12"/>
      <c r="E34" s="13"/>
      <c r="F34" s="14" t="s">
        <v>53</v>
      </c>
      <c r="G34" s="15">
        <f t="shared" ref="G34:G41" si="0">IF(E34&gt;0,IF(F34="Yok",E34,0),0)</f>
        <v>0</v>
      </c>
    </row>
    <row r="35" spans="1:7" ht="26.05" customHeight="1" x14ac:dyDescent="0.55000000000000004">
      <c r="A35" s="11"/>
      <c r="B35" s="11"/>
      <c r="C35" s="11"/>
      <c r="D35" s="12"/>
      <c r="E35" s="13"/>
      <c r="F35" s="14" t="s">
        <v>53</v>
      </c>
      <c r="G35" s="15">
        <f t="shared" si="0"/>
        <v>0</v>
      </c>
    </row>
    <row r="36" spans="1:7" ht="26.05" customHeight="1" x14ac:dyDescent="0.55000000000000004">
      <c r="A36" s="11"/>
      <c r="B36" s="11"/>
      <c r="C36" s="11"/>
      <c r="D36" s="12"/>
      <c r="E36" s="13"/>
      <c r="F36" s="14" t="s">
        <v>53</v>
      </c>
      <c r="G36" s="15">
        <f t="shared" si="0"/>
        <v>0</v>
      </c>
    </row>
    <row r="37" spans="1:7" ht="26.05" customHeight="1" x14ac:dyDescent="0.55000000000000004">
      <c r="A37" s="11"/>
      <c r="B37" s="11"/>
      <c r="C37" s="11"/>
      <c r="D37" s="12"/>
      <c r="E37" s="13"/>
      <c r="F37" s="14" t="s">
        <v>53</v>
      </c>
      <c r="G37" s="15">
        <f t="shared" si="0"/>
        <v>0</v>
      </c>
    </row>
    <row r="38" spans="1:7" ht="26.05" customHeight="1" x14ac:dyDescent="0.55000000000000004">
      <c r="A38" s="11"/>
      <c r="B38" s="11"/>
      <c r="C38" s="11"/>
      <c r="D38" s="12"/>
      <c r="E38" s="13"/>
      <c r="F38" s="14" t="s">
        <v>53</v>
      </c>
      <c r="G38" s="15">
        <f t="shared" si="0"/>
        <v>0</v>
      </c>
    </row>
    <row r="39" spans="1:7" ht="26.05" customHeight="1" x14ac:dyDescent="0.55000000000000004">
      <c r="A39" s="11"/>
      <c r="B39" s="11"/>
      <c r="C39" s="11"/>
      <c r="D39" s="12"/>
      <c r="E39" s="13"/>
      <c r="F39" s="14" t="s">
        <v>53</v>
      </c>
      <c r="G39" s="15">
        <f t="shared" si="0"/>
        <v>0</v>
      </c>
    </row>
    <row r="40" spans="1:7" ht="26.05" customHeight="1" x14ac:dyDescent="0.55000000000000004">
      <c r="A40" s="11"/>
      <c r="B40" s="11"/>
      <c r="C40" s="11"/>
      <c r="D40" s="12"/>
      <c r="E40" s="13"/>
      <c r="F40" s="14" t="s">
        <v>53</v>
      </c>
      <c r="G40" s="15">
        <f t="shared" si="0"/>
        <v>0</v>
      </c>
    </row>
    <row r="41" spans="1:7" ht="26.05" customHeight="1" x14ac:dyDescent="0.55000000000000004">
      <c r="A41" s="11"/>
      <c r="B41" s="11"/>
      <c r="C41" s="11"/>
      <c r="D41" s="12"/>
      <c r="E41" s="13"/>
      <c r="F41" s="14" t="s">
        <v>53</v>
      </c>
      <c r="G41" s="15">
        <f t="shared" si="0"/>
        <v>0</v>
      </c>
    </row>
    <row r="42" spans="1:7" ht="30" customHeight="1" x14ac:dyDescent="0.55000000000000004">
      <c r="A42" s="16" t="s">
        <v>54</v>
      </c>
      <c r="B42" s="80" t="s">
        <v>55</v>
      </c>
      <c r="C42" s="81"/>
      <c r="D42" s="81"/>
      <c r="E42" s="17">
        <f>SUM(E34:E41)</f>
        <v>0</v>
      </c>
      <c r="F42" s="16" t="s">
        <v>56</v>
      </c>
      <c r="G42" s="18">
        <f>SUM(G34:G41)</f>
        <v>0</v>
      </c>
    </row>
    <row r="43" spans="1:7" ht="28" customHeight="1" x14ac:dyDescent="0.55000000000000004">
      <c r="A43" s="98" t="s">
        <v>57</v>
      </c>
      <c r="B43" s="99"/>
      <c r="C43" s="99"/>
      <c r="D43" s="99"/>
      <c r="E43" s="99"/>
      <c r="F43" s="99"/>
      <c r="G43" s="99"/>
    </row>
    <row r="44" spans="1:7" ht="5.05" customHeight="1" x14ac:dyDescent="0.55000000000000004">
      <c r="A44" s="1"/>
      <c r="B44" s="1"/>
      <c r="C44" s="1"/>
      <c r="D44" s="1"/>
      <c r="E44" s="1"/>
      <c r="F44" s="1"/>
      <c r="G44" s="1"/>
    </row>
    <row r="45" spans="1:7" ht="24" customHeight="1" x14ac:dyDescent="0.55000000000000004">
      <c r="A45" s="85" t="s">
        <v>58</v>
      </c>
      <c r="B45" s="86"/>
      <c r="C45" s="86"/>
      <c r="D45" s="86"/>
      <c r="E45" s="86"/>
      <c r="F45" s="86"/>
      <c r="G45" s="86"/>
    </row>
    <row r="46" spans="1:7" ht="18" customHeight="1" x14ac:dyDescent="0.55000000000000004">
      <c r="A46" s="2"/>
      <c r="B46" s="2" t="s">
        <v>59</v>
      </c>
      <c r="C46" s="2"/>
      <c r="D46" s="2" t="s">
        <v>60</v>
      </c>
      <c r="E46" s="2"/>
      <c r="F46" s="2" t="s">
        <v>61</v>
      </c>
      <c r="G46" s="2" t="s">
        <v>62</v>
      </c>
    </row>
    <row r="47" spans="1:7" ht="28" customHeight="1" x14ac:dyDescent="0.55000000000000004">
      <c r="A47" s="106" t="s">
        <v>63</v>
      </c>
      <c r="B47" s="84"/>
      <c r="C47" s="19">
        <f>E42</f>
        <v>0</v>
      </c>
      <c r="D47" s="108" t="s">
        <v>64</v>
      </c>
      <c r="E47" s="84"/>
      <c r="F47" s="83"/>
      <c r="G47" s="84"/>
    </row>
    <row r="48" spans="1:7" ht="28" customHeight="1" x14ac:dyDescent="0.55000000000000004">
      <c r="A48" s="82" t="s">
        <v>65</v>
      </c>
      <c r="B48" s="79"/>
      <c r="C48" s="19">
        <f>E42-G42</f>
        <v>0</v>
      </c>
      <c r="D48" s="107" t="s">
        <v>66</v>
      </c>
      <c r="E48" s="79"/>
      <c r="F48" s="87"/>
      <c r="G48" s="79"/>
    </row>
    <row r="49" spans="1:7" ht="28" customHeight="1" x14ac:dyDescent="0.55000000000000004">
      <c r="A49" s="88" t="s">
        <v>67</v>
      </c>
      <c r="B49" s="89"/>
      <c r="C49" s="20">
        <f>G42</f>
        <v>0</v>
      </c>
      <c r="D49" s="104" t="s">
        <v>68</v>
      </c>
      <c r="E49" s="89"/>
      <c r="F49" s="116" t="s">
        <v>69</v>
      </c>
      <c r="G49" s="89"/>
    </row>
    <row r="50" spans="1:7" ht="28" customHeight="1" x14ac:dyDescent="0.55000000000000004">
      <c r="A50" s="82" t="s">
        <v>70</v>
      </c>
      <c r="B50" s="79"/>
      <c r="C50" s="21"/>
      <c r="D50" s="107" t="s">
        <v>71</v>
      </c>
      <c r="E50" s="79"/>
      <c r="F50" s="87"/>
      <c r="G50" s="79"/>
    </row>
    <row r="51" spans="1:7" ht="5.05" customHeight="1" x14ac:dyDescent="0.55000000000000004">
      <c r="A51" s="1"/>
      <c r="B51" s="1"/>
      <c r="C51" s="1"/>
      <c r="D51" s="1"/>
      <c r="E51" s="1"/>
      <c r="F51" s="1"/>
      <c r="G51" s="1"/>
    </row>
    <row r="52" spans="1:7" ht="32.049999999999997" customHeight="1" x14ac:dyDescent="0.55000000000000004">
      <c r="A52" s="95" t="s">
        <v>72</v>
      </c>
      <c r="B52" s="89"/>
      <c r="C52" s="89"/>
      <c r="D52" s="89"/>
      <c r="E52" s="22">
        <f>C49</f>
        <v>0</v>
      </c>
      <c r="F52" s="112" t="s">
        <v>73</v>
      </c>
      <c r="G52" s="89"/>
    </row>
    <row r="53" spans="1:7" ht="52" customHeight="1" x14ac:dyDescent="0.55000000000000004">
      <c r="A53" s="90" t="s">
        <v>74</v>
      </c>
      <c r="B53" s="91"/>
      <c r="C53" s="91"/>
      <c r="D53" s="91"/>
      <c r="E53" s="91"/>
      <c r="F53" s="91"/>
      <c r="G53" s="91"/>
    </row>
  </sheetData>
  <mergeCells count="59">
    <mergeCell ref="F52:G52"/>
    <mergeCell ref="A20:B20"/>
    <mergeCell ref="F48:G48"/>
    <mergeCell ref="A27:G27"/>
    <mergeCell ref="A3:G3"/>
    <mergeCell ref="A12:D12"/>
    <mergeCell ref="A19:B19"/>
    <mergeCell ref="A26:G26"/>
    <mergeCell ref="F49:G49"/>
    <mergeCell ref="F14:G14"/>
    <mergeCell ref="D50:E50"/>
    <mergeCell ref="C20:E20"/>
    <mergeCell ref="A14:D14"/>
    <mergeCell ref="A1:G1"/>
    <mergeCell ref="F47:G47"/>
    <mergeCell ref="C19:E19"/>
    <mergeCell ref="A6:G6"/>
    <mergeCell ref="A47:B47"/>
    <mergeCell ref="C18:E18"/>
    <mergeCell ref="F13:G13"/>
    <mergeCell ref="A23:B23"/>
    <mergeCell ref="A25:G25"/>
    <mergeCell ref="F9:G9"/>
    <mergeCell ref="A22:B22"/>
    <mergeCell ref="A2:G2"/>
    <mergeCell ref="F50:G50"/>
    <mergeCell ref="A45:G45"/>
    <mergeCell ref="F8:G8"/>
    <mergeCell ref="A50:B50"/>
    <mergeCell ref="D47:E47"/>
    <mergeCell ref="A21:B21"/>
    <mergeCell ref="A49:B49"/>
    <mergeCell ref="A53:G53"/>
    <mergeCell ref="C22:E22"/>
    <mergeCell ref="A4:G4"/>
    <mergeCell ref="A52:D52"/>
    <mergeCell ref="A29:G29"/>
    <mergeCell ref="C21:E21"/>
    <mergeCell ref="A10:D10"/>
    <mergeCell ref="A43:G43"/>
    <mergeCell ref="A13:D13"/>
    <mergeCell ref="A28:G28"/>
    <mergeCell ref="A9:D9"/>
    <mergeCell ref="F12:G12"/>
    <mergeCell ref="F15:G15"/>
    <mergeCell ref="A31:G31"/>
    <mergeCell ref="D49:E49"/>
    <mergeCell ref="A32:G32"/>
    <mergeCell ref="B42:D42"/>
    <mergeCell ref="A48:B48"/>
    <mergeCell ref="F11:G11"/>
    <mergeCell ref="A8:D8"/>
    <mergeCell ref="A17:G17"/>
    <mergeCell ref="F10:G10"/>
    <mergeCell ref="C23:E23"/>
    <mergeCell ref="A15:D15"/>
    <mergeCell ref="A11:D11"/>
    <mergeCell ref="A18:B18"/>
    <mergeCell ref="D48:E48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9">
    <dataValidation type="list" sqref="E8" xr:uid="{00000000-0002-0000-0000-000000000000}">
      <formula1>"EVET,HAYIR-İstisna Yok"</formula1>
    </dataValidation>
    <dataValidation type="list" sqref="E9" xr:uid="{00000000-0002-0000-0000-000001000000}">
      <formula1>"EVET,HAYIR-Yanlış Kod"</formula1>
    </dataValidation>
    <dataValidation type="list" sqref="E10" xr:uid="{00000000-0002-0000-0000-000002000000}">
      <formula1>"Borç Dönüşümü TL Avantajı,Özel TL Araç Getirisi,Prim/Teşvik Ödemesi,Diğer (Açıklama Zorunlu)"</formula1>
    </dataValidation>
    <dataValidation type="list" sqref="E11" xr:uid="{00000000-0002-0000-0000-000003000000}">
      <formula1>"EVET,HAYIR-Sonraki Yıl"</formula1>
    </dataValidation>
    <dataValidation type="list" sqref="E12" xr:uid="{00000000-0002-0000-0000-000004000000}">
      <formula1>"EVET,HAYIR-Risk"</formula1>
    </dataValidation>
    <dataValidation type="list" sqref="E13" xr:uid="{00000000-0002-0000-0000-000005000000}">
      <formula1>"EVET,HAYIR-KRİTİK HATA"</formula1>
    </dataValidation>
    <dataValidation type="list" sqref="E14" xr:uid="{00000000-0002-0000-0000-000006000000}">
      <formula1>"EVET,Tam Tasdik"</formula1>
    </dataValidation>
    <dataValidation type="list" sqref="A34:A41" xr:uid="{00000000-0002-0000-0000-000007000000}">
      <formula1>"Borç Dönüşümü TL Avantajı,Özel TL Araç Getirisi,Prim/Teşvik Ödemesi,Diğer Paragraf 2 Kazancı"</formula1>
    </dataValidation>
    <dataValidation type="list" sqref="F34:F41" xr:uid="{00000000-0002-0000-0000-000008000000}">
      <formula1>"Yok,Var-375,Var-376,Var-377,Var-Birden Fazla"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4.4" x14ac:dyDescent="0.55000000000000004"/>
  <cols>
    <col min="1" max="1" width="4" customWidth="1"/>
    <col min="2" max="2" width="38" customWidth="1"/>
    <col min="3" max="5" width="14" customWidth="1"/>
    <col min="6" max="6" width="12" customWidth="1"/>
    <col min="7" max="7" width="16" customWidth="1"/>
  </cols>
  <sheetData>
    <row r="1" spans="1:8" ht="36" customHeight="1" x14ac:dyDescent="0.55000000000000004">
      <c r="A1" s="132" t="s">
        <v>75</v>
      </c>
      <c r="B1" s="86"/>
      <c r="C1" s="86"/>
      <c r="D1" s="86"/>
      <c r="E1" s="86"/>
      <c r="F1" s="86"/>
      <c r="G1" s="86"/>
    </row>
    <row r="2" spans="1:8" ht="20.05" customHeight="1" x14ac:dyDescent="0.55000000000000004">
      <c r="A2" s="117" t="s">
        <v>76</v>
      </c>
      <c r="B2" s="118"/>
      <c r="C2" s="118"/>
      <c r="D2" s="118"/>
      <c r="E2" s="118"/>
      <c r="F2" s="118"/>
      <c r="G2" s="118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</row>
    <row r="4" spans="1:8" ht="22" customHeight="1" x14ac:dyDescent="0.55000000000000004">
      <c r="A4" s="122" t="s">
        <v>77</v>
      </c>
      <c r="B4" s="123"/>
      <c r="C4" s="123"/>
      <c r="D4" s="123"/>
      <c r="E4" s="123"/>
      <c r="F4" s="123"/>
      <c r="G4" s="123"/>
    </row>
    <row r="5" spans="1:8" ht="22" customHeight="1" x14ac:dyDescent="0.55000000000000004">
      <c r="A5" s="128" t="s">
        <v>78</v>
      </c>
      <c r="B5" s="84"/>
      <c r="C5" s="84"/>
      <c r="D5" s="23" t="str">
        <f>'VERİ GİRİŞİ'!E15</f>
        <v>OK - Hesaplanabilir</v>
      </c>
      <c r="E5" s="83" t="s">
        <v>79</v>
      </c>
      <c r="F5" s="84"/>
      <c r="G5" s="84"/>
    </row>
    <row r="6" spans="1:8" ht="22" customHeight="1" x14ac:dyDescent="0.55000000000000004">
      <c r="A6" s="129" t="s">
        <v>80</v>
      </c>
      <c r="B6" s="79"/>
      <c r="C6" s="79"/>
      <c r="D6" s="23" t="str">
        <f>'VERİ GİRİŞİ'!E10</f>
        <v>Borç Dönüşümü TL Avantajı</v>
      </c>
      <c r="E6" s="87" t="s">
        <v>81</v>
      </c>
      <c r="F6" s="79"/>
      <c r="G6" s="79"/>
    </row>
    <row r="7" spans="1:8" ht="22" customHeight="1" x14ac:dyDescent="0.55000000000000004">
      <c r="A7" s="128" t="s">
        <v>82</v>
      </c>
      <c r="B7" s="84"/>
      <c r="C7" s="84"/>
      <c r="D7" s="23">
        <f>'VERİ GİRİŞİ'!C47</f>
        <v>0</v>
      </c>
      <c r="E7" s="83" t="s">
        <v>64</v>
      </c>
      <c r="F7" s="84"/>
      <c r="G7" s="84"/>
    </row>
    <row r="8" spans="1:8" ht="22" customHeight="1" x14ac:dyDescent="0.55000000000000004">
      <c r="A8" s="129" t="s">
        <v>83</v>
      </c>
      <c r="B8" s="79"/>
      <c r="C8" s="79"/>
      <c r="D8" s="23">
        <f>'VERİ GİRİŞİ'!C48</f>
        <v>0</v>
      </c>
      <c r="E8" s="87" t="s">
        <v>84</v>
      </c>
      <c r="F8" s="79"/>
      <c r="G8" s="79"/>
    </row>
    <row r="9" spans="1:8" ht="22" customHeight="1" x14ac:dyDescent="0.55000000000000004">
      <c r="A9" s="105" t="s">
        <v>85</v>
      </c>
      <c r="B9" s="89"/>
      <c r="C9" s="89"/>
      <c r="D9" s="24">
        <f>'VERİ GİRİŞİ'!C49</f>
        <v>0</v>
      </c>
      <c r="E9" s="116"/>
      <c r="F9" s="89"/>
      <c r="G9" s="89"/>
    </row>
    <row r="10" spans="1:8" ht="22" customHeight="1" x14ac:dyDescent="0.55000000000000004">
      <c r="A10" s="130" t="s">
        <v>86</v>
      </c>
      <c r="B10" s="120"/>
      <c r="C10" s="120"/>
      <c r="D10" s="25" t="s">
        <v>87</v>
      </c>
      <c r="E10" s="119" t="s">
        <v>88</v>
      </c>
      <c r="F10" s="120"/>
      <c r="G10" s="120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</row>
    <row r="12" spans="1:8" ht="24" customHeight="1" x14ac:dyDescent="0.55000000000000004">
      <c r="A12" s="85" t="s">
        <v>89</v>
      </c>
      <c r="B12" s="86"/>
      <c r="C12" s="86"/>
      <c r="D12" s="86"/>
      <c r="E12" s="86"/>
      <c r="F12" s="86"/>
      <c r="G12" s="86"/>
    </row>
    <row r="13" spans="1:8" ht="22" customHeight="1" x14ac:dyDescent="0.55000000000000004">
      <c r="A13" s="117" t="s">
        <v>90</v>
      </c>
      <c r="B13" s="118"/>
      <c r="C13" s="118"/>
      <c r="D13" s="118"/>
      <c r="E13" s="118"/>
      <c r="F13" s="118"/>
      <c r="G13" s="118"/>
    </row>
    <row r="14" spans="1:8" ht="18" customHeight="1" x14ac:dyDescent="0.55000000000000004">
      <c r="A14" s="10" t="s">
        <v>91</v>
      </c>
      <c r="B14" s="10" t="s">
        <v>92</v>
      </c>
      <c r="C14" s="10" t="s">
        <v>93</v>
      </c>
      <c r="D14" s="10" t="s">
        <v>94</v>
      </c>
      <c r="E14" s="10" t="s">
        <v>95</v>
      </c>
      <c r="F14" s="10" t="s">
        <v>96</v>
      </c>
      <c r="G14" s="10" t="s">
        <v>97</v>
      </c>
      <c r="H14" s="10" t="s">
        <v>98</v>
      </c>
    </row>
    <row r="15" spans="1:8" ht="22" customHeight="1" x14ac:dyDescent="0.55000000000000004">
      <c r="A15" s="26" t="s">
        <v>99</v>
      </c>
      <c r="B15" s="27" t="s">
        <v>100</v>
      </c>
      <c r="C15" s="27" t="s">
        <v>101</v>
      </c>
      <c r="D15" s="27" t="s">
        <v>102</v>
      </c>
      <c r="E15" s="27" t="s">
        <v>103</v>
      </c>
      <c r="F15" s="27" t="s">
        <v>104</v>
      </c>
      <c r="G15" s="27" t="s">
        <v>99</v>
      </c>
      <c r="H15" s="28" t="s">
        <v>105</v>
      </c>
    </row>
    <row r="16" spans="1:8" ht="22" customHeight="1" x14ac:dyDescent="0.55000000000000004">
      <c r="A16" s="29" t="s">
        <v>106</v>
      </c>
      <c r="B16" s="30" t="s">
        <v>107</v>
      </c>
      <c r="C16" s="30" t="s">
        <v>101</v>
      </c>
      <c r="D16" s="30" t="s">
        <v>108</v>
      </c>
      <c r="E16" s="30" t="s">
        <v>109</v>
      </c>
      <c r="F16" s="30" t="s">
        <v>110</v>
      </c>
      <c r="G16" s="30" t="s">
        <v>106</v>
      </c>
      <c r="H16" s="28" t="s">
        <v>105</v>
      </c>
    </row>
    <row r="17" spans="1:8" ht="22" customHeight="1" x14ac:dyDescent="0.55000000000000004">
      <c r="A17" s="31" t="s">
        <v>111</v>
      </c>
      <c r="B17" s="27" t="s">
        <v>107</v>
      </c>
      <c r="C17" s="27" t="s">
        <v>101</v>
      </c>
      <c r="D17" s="27" t="s">
        <v>112</v>
      </c>
      <c r="E17" s="27" t="s">
        <v>113</v>
      </c>
      <c r="F17" s="27" t="s">
        <v>114</v>
      </c>
      <c r="G17" s="27" t="s">
        <v>111</v>
      </c>
      <c r="H17" s="28" t="s">
        <v>105</v>
      </c>
    </row>
    <row r="18" spans="1:8" ht="22" customHeight="1" x14ac:dyDescent="0.55000000000000004">
      <c r="A18" s="32" t="s">
        <v>115</v>
      </c>
      <c r="B18" s="30" t="s">
        <v>107</v>
      </c>
      <c r="C18" s="30" t="s">
        <v>101</v>
      </c>
      <c r="D18" s="30" t="s">
        <v>116</v>
      </c>
      <c r="E18" s="30" t="s">
        <v>117</v>
      </c>
      <c r="F18" s="30" t="s">
        <v>118</v>
      </c>
      <c r="G18" s="30" t="s">
        <v>115</v>
      </c>
      <c r="H18" s="28" t="s">
        <v>105</v>
      </c>
    </row>
    <row r="19" spans="1:8" ht="22" customHeight="1" x14ac:dyDescent="0.55000000000000004">
      <c r="A19" s="33" t="s">
        <v>119</v>
      </c>
      <c r="B19" s="27" t="s">
        <v>107</v>
      </c>
      <c r="C19" s="27" t="s">
        <v>101</v>
      </c>
      <c r="D19" s="27" t="s">
        <v>120</v>
      </c>
      <c r="E19" s="27" t="s">
        <v>121</v>
      </c>
      <c r="F19" s="27" t="s">
        <v>118</v>
      </c>
      <c r="G19" s="27" t="s">
        <v>119</v>
      </c>
      <c r="H19" s="28" t="s">
        <v>105</v>
      </c>
    </row>
    <row r="20" spans="1:8" ht="22" customHeight="1" x14ac:dyDescent="0.55000000000000004">
      <c r="A20" s="34" t="s">
        <v>122</v>
      </c>
      <c r="B20" s="35" t="s">
        <v>123</v>
      </c>
      <c r="C20" s="35" t="s">
        <v>124</v>
      </c>
      <c r="D20" s="35" t="s">
        <v>125</v>
      </c>
      <c r="E20" s="35" t="s">
        <v>103</v>
      </c>
      <c r="F20" s="35" t="s">
        <v>104</v>
      </c>
      <c r="G20" s="35" t="s">
        <v>122</v>
      </c>
      <c r="H20" s="28" t="s">
        <v>105</v>
      </c>
    </row>
    <row r="21" spans="1:8" ht="22" customHeight="1" x14ac:dyDescent="0.55000000000000004">
      <c r="A21" s="36" t="s">
        <v>126</v>
      </c>
      <c r="B21" s="35" t="s">
        <v>123</v>
      </c>
      <c r="C21" s="35" t="s">
        <v>124</v>
      </c>
      <c r="D21" s="35" t="s">
        <v>112</v>
      </c>
      <c r="E21" s="35" t="s">
        <v>113</v>
      </c>
      <c r="F21" s="35" t="s">
        <v>114</v>
      </c>
      <c r="G21" s="35" t="s">
        <v>126</v>
      </c>
      <c r="H21" s="28" t="s">
        <v>105</v>
      </c>
    </row>
    <row r="22" spans="1:8" ht="22" customHeight="1" x14ac:dyDescent="0.55000000000000004">
      <c r="A22" s="37" t="s">
        <v>127</v>
      </c>
      <c r="B22" s="35" t="s">
        <v>123</v>
      </c>
      <c r="C22" s="35" t="s">
        <v>124</v>
      </c>
      <c r="D22" s="35" t="s">
        <v>116</v>
      </c>
      <c r="E22" s="35" t="s">
        <v>117</v>
      </c>
      <c r="F22" s="35" t="s">
        <v>118</v>
      </c>
      <c r="G22" s="35" t="s">
        <v>127</v>
      </c>
      <c r="H22" s="28" t="s">
        <v>105</v>
      </c>
    </row>
    <row r="23" spans="1:8" ht="22" customHeight="1" x14ac:dyDescent="0.55000000000000004">
      <c r="A23" s="38" t="s">
        <v>128</v>
      </c>
      <c r="B23" s="39" t="s">
        <v>123</v>
      </c>
      <c r="C23" s="39" t="s">
        <v>124</v>
      </c>
      <c r="D23" s="39" t="s">
        <v>129</v>
      </c>
      <c r="E23" s="39" t="s">
        <v>121</v>
      </c>
      <c r="F23" s="39" t="s">
        <v>118</v>
      </c>
      <c r="G23" s="39" t="s">
        <v>128</v>
      </c>
      <c r="H23" s="28" t="s">
        <v>105</v>
      </c>
    </row>
    <row r="24" spans="1:8" ht="36" customHeight="1" x14ac:dyDescent="0.55000000000000004">
      <c r="A24" s="90" t="s">
        <v>130</v>
      </c>
      <c r="B24" s="91"/>
      <c r="C24" s="91"/>
      <c r="D24" s="91"/>
      <c r="E24" s="91"/>
      <c r="F24" s="91"/>
      <c r="G24" s="91"/>
    </row>
    <row r="25" spans="1:8" ht="5.05" customHeight="1" x14ac:dyDescent="0.55000000000000004">
      <c r="A25" s="1"/>
      <c r="B25" s="1"/>
      <c r="C25" s="1"/>
      <c r="D25" s="1"/>
      <c r="E25" s="1"/>
      <c r="F25" s="1"/>
      <c r="G25" s="1"/>
    </row>
    <row r="26" spans="1:8" ht="22" customHeight="1" x14ac:dyDescent="0.55000000000000004">
      <c r="A26" s="85" t="s">
        <v>131</v>
      </c>
      <c r="B26" s="86"/>
      <c r="C26" s="86"/>
      <c r="D26" s="86"/>
      <c r="E26" s="86"/>
      <c r="F26" s="86"/>
      <c r="G26" s="86"/>
    </row>
    <row r="27" spans="1:8" ht="18" customHeight="1" x14ac:dyDescent="0.55000000000000004">
      <c r="A27" s="2"/>
      <c r="B27" s="2" t="s">
        <v>132</v>
      </c>
      <c r="C27" s="2"/>
      <c r="D27" s="2" t="s">
        <v>61</v>
      </c>
      <c r="E27" s="2"/>
      <c r="F27" s="2" t="s">
        <v>133</v>
      </c>
      <c r="G27" s="2"/>
    </row>
    <row r="28" spans="1:8" ht="22" customHeight="1" x14ac:dyDescent="0.55000000000000004">
      <c r="A28" s="40" t="s">
        <v>134</v>
      </c>
      <c r="B28" s="124" t="s">
        <v>135</v>
      </c>
      <c r="C28" s="101"/>
      <c r="D28" s="125" t="s">
        <v>136</v>
      </c>
      <c r="E28" s="126"/>
      <c r="F28" s="42" t="s">
        <v>137</v>
      </c>
      <c r="G28" s="3"/>
    </row>
    <row r="29" spans="1:8" ht="22" customHeight="1" x14ac:dyDescent="0.55000000000000004">
      <c r="A29" s="40" t="s">
        <v>138</v>
      </c>
      <c r="B29" s="124" t="s">
        <v>139</v>
      </c>
      <c r="C29" s="101"/>
      <c r="D29" s="125" t="s">
        <v>140</v>
      </c>
      <c r="E29" s="126"/>
      <c r="F29" s="42" t="s">
        <v>137</v>
      </c>
      <c r="G29" s="5"/>
    </row>
    <row r="30" spans="1:8" ht="22" customHeight="1" x14ac:dyDescent="0.55000000000000004">
      <c r="A30" s="40" t="s">
        <v>141</v>
      </c>
      <c r="B30" s="131" t="s">
        <v>142</v>
      </c>
      <c r="C30" s="79"/>
      <c r="D30" s="121" t="s">
        <v>143</v>
      </c>
      <c r="E30" s="79"/>
      <c r="F30" s="42" t="s">
        <v>137</v>
      </c>
      <c r="G30" s="3"/>
    </row>
    <row r="31" spans="1:8" ht="22" customHeight="1" x14ac:dyDescent="0.55000000000000004">
      <c r="A31" s="40" t="s">
        <v>144</v>
      </c>
      <c r="B31" s="124" t="s">
        <v>145</v>
      </c>
      <c r="C31" s="101"/>
      <c r="D31" s="125" t="s">
        <v>146</v>
      </c>
      <c r="E31" s="126"/>
      <c r="F31" s="42" t="s">
        <v>137</v>
      </c>
      <c r="G31" s="5"/>
    </row>
    <row r="32" spans="1:8" ht="22" customHeight="1" x14ac:dyDescent="0.55000000000000004">
      <c r="A32" s="40" t="s">
        <v>147</v>
      </c>
      <c r="B32" s="131" t="s">
        <v>148</v>
      </c>
      <c r="C32" s="79"/>
      <c r="D32" s="121" t="s">
        <v>149</v>
      </c>
      <c r="E32" s="79"/>
      <c r="F32" s="42" t="s">
        <v>137</v>
      </c>
      <c r="G32" s="3"/>
    </row>
    <row r="33" spans="1:7" ht="22" customHeight="1" x14ac:dyDescent="0.55000000000000004">
      <c r="A33" s="40" t="s">
        <v>150</v>
      </c>
      <c r="B33" s="127" t="s">
        <v>151</v>
      </c>
      <c r="C33" s="84"/>
      <c r="D33" s="133" t="s">
        <v>152</v>
      </c>
      <c r="E33" s="84"/>
      <c r="F33" s="42" t="s">
        <v>137</v>
      </c>
      <c r="G33" s="5"/>
    </row>
    <row r="34" spans="1:7" ht="22" customHeight="1" x14ac:dyDescent="0.55000000000000004">
      <c r="A34" s="40" t="s">
        <v>153</v>
      </c>
      <c r="B34" s="131" t="s">
        <v>154</v>
      </c>
      <c r="C34" s="79"/>
      <c r="D34" s="121" t="s">
        <v>155</v>
      </c>
      <c r="E34" s="79"/>
      <c r="F34" s="42" t="s">
        <v>137</v>
      </c>
      <c r="G34" s="3"/>
    </row>
    <row r="35" spans="1:7" ht="22" customHeight="1" x14ac:dyDescent="0.55000000000000004">
      <c r="A35" s="45" t="s">
        <v>156</v>
      </c>
      <c r="B35" s="134" t="s">
        <v>157</v>
      </c>
      <c r="C35" s="135"/>
      <c r="D35" s="136" t="s">
        <v>158</v>
      </c>
      <c r="E35" s="137"/>
      <c r="F35" s="42" t="s">
        <v>137</v>
      </c>
      <c r="G35" s="5"/>
    </row>
    <row r="36" spans="1:7" ht="22" customHeight="1" x14ac:dyDescent="0.55000000000000004">
      <c r="A36" s="40" t="s">
        <v>159</v>
      </c>
      <c r="B36" s="131" t="s">
        <v>160</v>
      </c>
      <c r="C36" s="79"/>
      <c r="D36" s="121" t="s">
        <v>161</v>
      </c>
      <c r="E36" s="79"/>
      <c r="F36" s="42" t="s">
        <v>137</v>
      </c>
      <c r="G36" s="3"/>
    </row>
    <row r="37" spans="1:7" ht="22" customHeight="1" x14ac:dyDescent="0.55000000000000004">
      <c r="A37" s="40" t="s">
        <v>162</v>
      </c>
      <c r="B37" s="127" t="s">
        <v>163</v>
      </c>
      <c r="C37" s="84"/>
      <c r="D37" s="133" t="s">
        <v>164</v>
      </c>
      <c r="E37" s="84"/>
      <c r="F37" s="42" t="s">
        <v>137</v>
      </c>
      <c r="G37" s="5"/>
    </row>
    <row r="38" spans="1:7" ht="22" customHeight="1" x14ac:dyDescent="0.55000000000000004">
      <c r="A38" s="40" t="s">
        <v>165</v>
      </c>
      <c r="B38" s="131" t="s">
        <v>166</v>
      </c>
      <c r="C38" s="79"/>
      <c r="D38" s="121" t="s">
        <v>167</v>
      </c>
      <c r="E38" s="79"/>
      <c r="F38" s="42" t="s">
        <v>137</v>
      </c>
      <c r="G38" s="3"/>
    </row>
    <row r="39" spans="1:7" ht="22" customHeight="1" x14ac:dyDescent="0.55000000000000004">
      <c r="A39" s="40" t="s">
        <v>168</v>
      </c>
      <c r="B39" s="127" t="s">
        <v>169</v>
      </c>
      <c r="C39" s="84"/>
      <c r="D39" s="133" t="s">
        <v>23</v>
      </c>
      <c r="E39" s="84"/>
      <c r="F39" s="42" t="s">
        <v>137</v>
      </c>
      <c r="G39" s="5"/>
    </row>
  </sheetData>
  <mergeCells count="43">
    <mergeCell ref="A2:G2"/>
    <mergeCell ref="B32:C32"/>
    <mergeCell ref="D38:E38"/>
    <mergeCell ref="A7:C7"/>
    <mergeCell ref="B35:C35"/>
    <mergeCell ref="D35:E35"/>
    <mergeCell ref="A1:G1"/>
    <mergeCell ref="B29:C29"/>
    <mergeCell ref="B34:C34"/>
    <mergeCell ref="B37:C37"/>
    <mergeCell ref="B28:C28"/>
    <mergeCell ref="D37:E37"/>
    <mergeCell ref="A9:C9"/>
    <mergeCell ref="D28:E28"/>
    <mergeCell ref="B30:C30"/>
    <mergeCell ref="D30:E30"/>
    <mergeCell ref="B33:C33"/>
    <mergeCell ref="E5:G5"/>
    <mergeCell ref="D33:E33"/>
    <mergeCell ref="D29:E29"/>
    <mergeCell ref="A6:C6"/>
    <mergeCell ref="E8:G8"/>
    <mergeCell ref="D36:E36"/>
    <mergeCell ref="D31:E31"/>
    <mergeCell ref="E6:G6"/>
    <mergeCell ref="B39:C39"/>
    <mergeCell ref="A13:G13"/>
    <mergeCell ref="A8:C8"/>
    <mergeCell ref="A24:G24"/>
    <mergeCell ref="D32:E32"/>
    <mergeCell ref="E7:G7"/>
    <mergeCell ref="A10:C10"/>
    <mergeCell ref="B38:C38"/>
    <mergeCell ref="D39:E39"/>
    <mergeCell ref="A12:G12"/>
    <mergeCell ref="A26:G26"/>
    <mergeCell ref="B36:C36"/>
    <mergeCell ref="E10:G10"/>
    <mergeCell ref="D34:E34"/>
    <mergeCell ref="A4:G4"/>
    <mergeCell ref="E9:G9"/>
    <mergeCell ref="B31:C31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38" t="s">
        <v>170</v>
      </c>
      <c r="B1" s="86"/>
      <c r="C1" s="86"/>
      <c r="D1" s="86"/>
      <c r="E1" s="86"/>
      <c r="F1" s="86"/>
      <c r="G1" s="86"/>
    </row>
    <row r="2" spans="1:7" ht="20.05" customHeight="1" x14ac:dyDescent="0.55000000000000004">
      <c r="A2" s="141" t="s">
        <v>171</v>
      </c>
      <c r="B2" s="118"/>
      <c r="C2" s="118"/>
      <c r="D2" s="118"/>
      <c r="E2" s="118"/>
      <c r="F2" s="118"/>
      <c r="G2" s="118"/>
    </row>
    <row r="4" spans="1:7" ht="26.05" customHeight="1" x14ac:dyDescent="0.55000000000000004">
      <c r="A4" s="85" t="s">
        <v>172</v>
      </c>
      <c r="B4" s="86"/>
      <c r="C4" s="86"/>
      <c r="D4" s="86"/>
      <c r="E4" s="86"/>
      <c r="F4" s="86"/>
      <c r="G4" s="86"/>
    </row>
    <row r="5" spans="1:7" ht="22" customHeight="1" x14ac:dyDescent="0.55000000000000004">
      <c r="A5" s="142" t="s">
        <v>173</v>
      </c>
      <c r="B5" s="79"/>
      <c r="C5" s="79"/>
      <c r="D5" s="79"/>
      <c r="E5" s="79"/>
      <c r="F5" s="79"/>
      <c r="G5" s="79"/>
    </row>
    <row r="6" spans="1:7" ht="18" customHeight="1" x14ac:dyDescent="0.55000000000000004">
      <c r="A6" s="49"/>
      <c r="B6" s="49" t="s">
        <v>174</v>
      </c>
      <c r="C6" s="49" t="s">
        <v>175</v>
      </c>
      <c r="D6" s="49" t="s">
        <v>176</v>
      </c>
      <c r="E6" s="49" t="s">
        <v>177</v>
      </c>
      <c r="F6" s="49" t="s">
        <v>178</v>
      </c>
      <c r="G6" s="49" t="s">
        <v>179</v>
      </c>
    </row>
    <row r="7" spans="1:7" ht="26.05" customHeight="1" x14ac:dyDescent="0.55000000000000004">
      <c r="A7" s="50" t="s">
        <v>177</v>
      </c>
      <c r="B7" s="50" t="s">
        <v>180</v>
      </c>
      <c r="C7" s="50" t="s">
        <v>181</v>
      </c>
      <c r="D7" s="50" t="s">
        <v>182</v>
      </c>
      <c r="E7" s="50" t="s">
        <v>183</v>
      </c>
      <c r="F7" s="50" t="s">
        <v>56</v>
      </c>
      <c r="G7" s="50" t="s">
        <v>184</v>
      </c>
    </row>
    <row r="8" spans="1:7" ht="26.05" customHeight="1" x14ac:dyDescent="0.55000000000000004">
      <c r="A8" s="51" t="s">
        <v>178</v>
      </c>
      <c r="B8" s="51" t="s">
        <v>180</v>
      </c>
      <c r="C8" s="51" t="s">
        <v>185</v>
      </c>
      <c r="D8" s="51" t="s">
        <v>186</v>
      </c>
      <c r="E8" s="51" t="s">
        <v>56</v>
      </c>
      <c r="F8" s="51" t="s">
        <v>183</v>
      </c>
      <c r="G8" s="51" t="s">
        <v>187</v>
      </c>
    </row>
    <row r="9" spans="1:7" ht="26.05" customHeight="1" x14ac:dyDescent="0.55000000000000004">
      <c r="A9" s="139" t="s">
        <v>188</v>
      </c>
      <c r="B9" s="140"/>
      <c r="C9" s="140"/>
      <c r="D9" s="140"/>
      <c r="E9" s="140"/>
      <c r="F9" s="140"/>
      <c r="G9" s="140"/>
    </row>
    <row r="10" spans="1:7" ht="20.05" customHeight="1" x14ac:dyDescent="0.55000000000000004">
      <c r="A10" s="142" t="s">
        <v>189</v>
      </c>
      <c r="B10" s="79"/>
      <c r="C10" s="79"/>
      <c r="D10" s="79"/>
      <c r="E10" s="79"/>
      <c r="F10" s="79"/>
      <c r="G10" s="79"/>
    </row>
    <row r="11" spans="1:7" ht="18" customHeight="1" x14ac:dyDescent="0.55000000000000004">
      <c r="A11" s="49"/>
      <c r="B11" s="49" t="s">
        <v>174</v>
      </c>
      <c r="C11" s="49" t="s">
        <v>175</v>
      </c>
      <c r="D11" s="49" t="s">
        <v>176</v>
      </c>
      <c r="E11" s="49" t="s">
        <v>177</v>
      </c>
      <c r="F11" s="49" t="s">
        <v>178</v>
      </c>
      <c r="G11" s="49" t="s">
        <v>179</v>
      </c>
    </row>
    <row r="12" spans="1:7" ht="20.05" customHeight="1" x14ac:dyDescent="0.55000000000000004">
      <c r="A12" s="50" t="s">
        <v>99</v>
      </c>
      <c r="B12" s="50" t="s">
        <v>190</v>
      </c>
      <c r="C12" s="50" t="s">
        <v>103</v>
      </c>
      <c r="D12" s="50" t="s">
        <v>191</v>
      </c>
      <c r="E12" s="50" t="s">
        <v>56</v>
      </c>
      <c r="F12" s="50" t="s">
        <v>192</v>
      </c>
      <c r="G12" s="50" t="s">
        <v>193</v>
      </c>
    </row>
    <row r="13" spans="1:7" ht="20.05" customHeight="1" x14ac:dyDescent="0.55000000000000004">
      <c r="A13" s="51" t="s">
        <v>106</v>
      </c>
      <c r="B13" s="51" t="s">
        <v>194</v>
      </c>
      <c r="C13" s="51" t="s">
        <v>109</v>
      </c>
      <c r="D13" s="51" t="s">
        <v>195</v>
      </c>
      <c r="E13" s="51" t="s">
        <v>56</v>
      </c>
      <c r="F13" s="51" t="s">
        <v>196</v>
      </c>
      <c r="G13" s="51" t="s">
        <v>197</v>
      </c>
    </row>
    <row r="14" spans="1:7" ht="20.05" customHeight="1" x14ac:dyDescent="0.55000000000000004">
      <c r="A14" s="50" t="s">
        <v>111</v>
      </c>
      <c r="B14" s="50" t="s">
        <v>198</v>
      </c>
      <c r="C14" s="50" t="s">
        <v>113</v>
      </c>
      <c r="D14" s="50" t="s">
        <v>199</v>
      </c>
      <c r="E14" s="50" t="s">
        <v>56</v>
      </c>
      <c r="F14" s="50" t="s">
        <v>200</v>
      </c>
      <c r="G14" s="50" t="s">
        <v>201</v>
      </c>
    </row>
    <row r="15" spans="1:7" ht="20.05" customHeight="1" x14ac:dyDescent="0.55000000000000004">
      <c r="A15" s="51" t="s">
        <v>115</v>
      </c>
      <c r="B15" s="51" t="s">
        <v>202</v>
      </c>
      <c r="C15" s="51" t="s">
        <v>117</v>
      </c>
      <c r="D15" s="51" t="s">
        <v>203</v>
      </c>
      <c r="E15" s="51" t="s">
        <v>56</v>
      </c>
      <c r="F15" s="51" t="s">
        <v>204</v>
      </c>
      <c r="G15" s="51" t="s">
        <v>205</v>
      </c>
    </row>
    <row r="16" spans="1:7" ht="20.05" customHeight="1" x14ac:dyDescent="0.55000000000000004">
      <c r="A16" s="50" t="s">
        <v>119</v>
      </c>
      <c r="B16" s="50" t="s">
        <v>202</v>
      </c>
      <c r="C16" s="50" t="s">
        <v>121</v>
      </c>
      <c r="D16" s="50" t="s">
        <v>206</v>
      </c>
      <c r="E16" s="50" t="s">
        <v>56</v>
      </c>
      <c r="F16" s="50" t="s">
        <v>207</v>
      </c>
      <c r="G16" s="50" t="s">
        <v>208</v>
      </c>
    </row>
    <row r="17" spans="1:7" ht="20.05" customHeight="1" x14ac:dyDescent="0.55000000000000004">
      <c r="A17" s="51" t="s">
        <v>122</v>
      </c>
      <c r="B17" s="51" t="s">
        <v>190</v>
      </c>
      <c r="C17" s="51" t="s">
        <v>103</v>
      </c>
      <c r="D17" s="51" t="s">
        <v>209</v>
      </c>
      <c r="E17" s="51" t="s">
        <v>56</v>
      </c>
      <c r="F17" s="51" t="s">
        <v>210</v>
      </c>
      <c r="G17" s="51" t="s">
        <v>211</v>
      </c>
    </row>
    <row r="18" spans="1:7" ht="20.05" customHeight="1" x14ac:dyDescent="0.55000000000000004">
      <c r="A18" s="50" t="s">
        <v>126</v>
      </c>
      <c r="B18" s="50" t="s">
        <v>198</v>
      </c>
      <c r="C18" s="50" t="s">
        <v>113</v>
      </c>
      <c r="D18" s="50" t="s">
        <v>212</v>
      </c>
      <c r="E18" s="50" t="s">
        <v>56</v>
      </c>
      <c r="F18" s="50" t="s">
        <v>213</v>
      </c>
      <c r="G18" s="50" t="s">
        <v>214</v>
      </c>
    </row>
    <row r="19" spans="1:7" ht="20.05" customHeight="1" x14ac:dyDescent="0.55000000000000004">
      <c r="A19" s="51" t="s">
        <v>127</v>
      </c>
      <c r="B19" s="51" t="s">
        <v>202</v>
      </c>
      <c r="C19" s="51" t="s">
        <v>117</v>
      </c>
      <c r="D19" s="51" t="s">
        <v>215</v>
      </c>
      <c r="E19" s="51" t="s">
        <v>56</v>
      </c>
      <c r="F19" s="51" t="s">
        <v>216</v>
      </c>
      <c r="G19" s="51" t="s">
        <v>217</v>
      </c>
    </row>
    <row r="20" spans="1:7" ht="20.05" customHeight="1" x14ac:dyDescent="0.55000000000000004">
      <c r="A20" s="50" t="s">
        <v>128</v>
      </c>
      <c r="B20" s="50" t="s">
        <v>202</v>
      </c>
      <c r="C20" s="50" t="s">
        <v>121</v>
      </c>
      <c r="D20" s="50" t="s">
        <v>218</v>
      </c>
      <c r="E20" s="50" t="s">
        <v>56</v>
      </c>
      <c r="F20" s="50" t="s">
        <v>219</v>
      </c>
      <c r="G20" s="50" t="s">
        <v>187</v>
      </c>
    </row>
    <row r="21" spans="1:7" ht="44.05" customHeight="1" x14ac:dyDescent="0.55000000000000004">
      <c r="A21" s="90" t="s">
        <v>220</v>
      </c>
      <c r="B21" s="91"/>
      <c r="C21" s="91"/>
      <c r="D21" s="91"/>
      <c r="E21" s="91"/>
      <c r="F21" s="91"/>
      <c r="G21" s="91"/>
    </row>
  </sheetData>
  <mergeCells count="7">
    <mergeCell ref="A1:G1"/>
    <mergeCell ref="A9:G9"/>
    <mergeCell ref="A21:G21"/>
    <mergeCell ref="A4:G4"/>
    <mergeCell ref="A2:G2"/>
    <mergeCell ref="A10:G10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46" t="s">
        <v>221</v>
      </c>
      <c r="B1" s="86"/>
      <c r="C1" s="86"/>
      <c r="D1" s="86"/>
      <c r="E1" s="86"/>
      <c r="F1" s="86"/>
      <c r="G1" s="86"/>
    </row>
    <row r="2" spans="1:7" ht="22" customHeight="1" x14ac:dyDescent="0.55000000000000004">
      <c r="A2" s="144" t="s">
        <v>222</v>
      </c>
      <c r="B2" s="145"/>
      <c r="C2" s="145"/>
      <c r="D2" s="145"/>
      <c r="E2" s="145"/>
      <c r="F2" s="145"/>
      <c r="G2" s="145"/>
    </row>
    <row r="3" spans="1:7" ht="18" customHeight="1" x14ac:dyDescent="0.55000000000000004">
      <c r="A3" s="49" t="s">
        <v>91</v>
      </c>
      <c r="B3" s="49" t="s">
        <v>223</v>
      </c>
      <c r="C3" s="49" t="s">
        <v>224</v>
      </c>
      <c r="D3" s="49" t="s">
        <v>225</v>
      </c>
    </row>
    <row r="4" spans="1:7" ht="72" customHeight="1" x14ac:dyDescent="0.55000000000000004">
      <c r="A4" s="40" t="s">
        <v>226</v>
      </c>
      <c r="B4" s="43" t="s">
        <v>227</v>
      </c>
      <c r="C4" s="52" t="s">
        <v>228</v>
      </c>
      <c r="D4" s="53" t="s">
        <v>229</v>
      </c>
    </row>
    <row r="5" spans="1:7" ht="64" customHeight="1" x14ac:dyDescent="0.55000000000000004">
      <c r="A5" s="45" t="s">
        <v>230</v>
      </c>
      <c r="B5" s="54" t="s">
        <v>231</v>
      </c>
      <c r="C5" s="41" t="s">
        <v>232</v>
      </c>
      <c r="D5" s="55" t="s">
        <v>233</v>
      </c>
    </row>
    <row r="6" spans="1:7" ht="64" customHeight="1" x14ac:dyDescent="0.55000000000000004">
      <c r="A6" s="45" t="s">
        <v>234</v>
      </c>
      <c r="B6" s="56" t="s">
        <v>235</v>
      </c>
      <c r="C6" s="41" t="s">
        <v>236</v>
      </c>
      <c r="D6" s="57" t="s">
        <v>237</v>
      </c>
    </row>
    <row r="7" spans="1:7" ht="72" customHeight="1" x14ac:dyDescent="0.55000000000000004">
      <c r="A7" s="40" t="s">
        <v>238</v>
      </c>
      <c r="B7" s="43" t="s">
        <v>239</v>
      </c>
      <c r="C7" s="52" t="s">
        <v>240</v>
      </c>
      <c r="D7" s="53" t="s">
        <v>241</v>
      </c>
    </row>
    <row r="8" spans="1:7" ht="72" customHeight="1" x14ac:dyDescent="0.55000000000000004">
      <c r="A8" s="40" t="s">
        <v>242</v>
      </c>
      <c r="B8" s="44" t="s">
        <v>243</v>
      </c>
      <c r="C8" s="52" t="s">
        <v>244</v>
      </c>
      <c r="D8" s="58" t="s">
        <v>245</v>
      </c>
    </row>
    <row r="9" spans="1:7" ht="52" customHeight="1" x14ac:dyDescent="0.55000000000000004">
      <c r="A9" s="143" t="s">
        <v>246</v>
      </c>
      <c r="B9" s="115"/>
      <c r="C9" s="115"/>
      <c r="D9" s="115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53" t="s">
        <v>247</v>
      </c>
      <c r="B1" s="154"/>
      <c r="C1" s="154"/>
      <c r="D1" s="154"/>
      <c r="E1" s="154"/>
      <c r="F1" s="154"/>
    </row>
    <row r="2" spans="1:6" ht="22" customHeight="1" x14ac:dyDescent="0.55000000000000004">
      <c r="A2" s="149" t="s">
        <v>248</v>
      </c>
      <c r="B2" s="150"/>
      <c r="C2" s="150"/>
      <c r="D2" s="150"/>
      <c r="E2" s="150"/>
      <c r="F2" s="150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55" t="s">
        <v>249</v>
      </c>
      <c r="B4" s="156"/>
      <c r="C4" s="156"/>
      <c r="D4" s="156"/>
      <c r="E4" s="156"/>
      <c r="F4" s="156"/>
    </row>
    <row r="5" spans="1:6" ht="18" customHeight="1" x14ac:dyDescent="0.55000000000000004">
      <c r="A5" s="49"/>
      <c r="B5" s="49" t="s">
        <v>250</v>
      </c>
      <c r="C5" s="49" t="s">
        <v>251</v>
      </c>
      <c r="D5" s="49" t="s">
        <v>61</v>
      </c>
      <c r="E5" s="49" t="s">
        <v>252</v>
      </c>
      <c r="F5" s="49"/>
    </row>
    <row r="6" spans="1:6" ht="40" customHeight="1" x14ac:dyDescent="0.55000000000000004">
      <c r="A6" s="6"/>
      <c r="B6" s="59" t="s">
        <v>253</v>
      </c>
      <c r="C6" s="60" t="s">
        <v>254</v>
      </c>
      <c r="D6" s="61" t="s">
        <v>255</v>
      </c>
      <c r="E6" s="62" t="s">
        <v>256</v>
      </c>
      <c r="F6" s="6"/>
    </row>
    <row r="7" spans="1:6" ht="40" customHeight="1" x14ac:dyDescent="0.55000000000000004">
      <c r="A7" s="6"/>
      <c r="B7" s="59" t="s">
        <v>123</v>
      </c>
      <c r="C7" s="60" t="s">
        <v>257</v>
      </c>
      <c r="D7" s="61" t="s">
        <v>258</v>
      </c>
      <c r="E7" s="62" t="s">
        <v>259</v>
      </c>
      <c r="F7" s="6"/>
    </row>
    <row r="8" spans="1:6" ht="32.049999999999997" customHeight="1" x14ac:dyDescent="0.55000000000000004">
      <c r="A8" s="6"/>
      <c r="B8" s="59" t="s">
        <v>260</v>
      </c>
      <c r="C8" s="60" t="s">
        <v>261</v>
      </c>
      <c r="D8" s="61" t="s">
        <v>262</v>
      </c>
      <c r="E8" s="62" t="s">
        <v>263</v>
      </c>
      <c r="F8" s="6"/>
    </row>
    <row r="9" spans="1:6" ht="32.049999999999997" customHeight="1" x14ac:dyDescent="0.55000000000000004">
      <c r="A9" s="6"/>
      <c r="B9" s="59" t="s">
        <v>264</v>
      </c>
      <c r="C9" s="60" t="s">
        <v>265</v>
      </c>
      <c r="D9" s="61" t="s">
        <v>266</v>
      </c>
      <c r="E9" s="62" t="s">
        <v>267</v>
      </c>
      <c r="F9" s="6"/>
    </row>
    <row r="10" spans="1:6" ht="5.05" customHeight="1" x14ac:dyDescent="0.55000000000000004">
      <c r="A10" s="1"/>
      <c r="B10" s="1"/>
      <c r="C10" s="1"/>
      <c r="D10" s="1"/>
      <c r="E10" s="1"/>
      <c r="F10" s="1"/>
    </row>
    <row r="11" spans="1:6" ht="36" customHeight="1" x14ac:dyDescent="0.55000000000000004">
      <c r="A11" s="151" t="s">
        <v>268</v>
      </c>
      <c r="B11" s="152"/>
      <c r="C11" s="152"/>
      <c r="D11" s="152"/>
      <c r="E11" s="152"/>
      <c r="F11" s="152"/>
    </row>
    <row r="12" spans="1:6" ht="18" customHeight="1" x14ac:dyDescent="0.55000000000000004">
      <c r="A12" s="49"/>
      <c r="B12" s="49" t="s">
        <v>250</v>
      </c>
      <c r="C12" s="49" t="s">
        <v>251</v>
      </c>
      <c r="D12" s="49" t="s">
        <v>61</v>
      </c>
      <c r="E12" s="49" t="s">
        <v>252</v>
      </c>
      <c r="F12" s="49"/>
    </row>
    <row r="13" spans="1:6" ht="28" customHeight="1" x14ac:dyDescent="0.55000000000000004">
      <c r="A13" s="63"/>
      <c r="B13" s="64" t="s">
        <v>269</v>
      </c>
      <c r="C13" s="65" t="s">
        <v>270</v>
      </c>
      <c r="D13" s="66" t="s">
        <v>271</v>
      </c>
      <c r="E13" s="67" t="s">
        <v>272</v>
      </c>
      <c r="F13" s="63"/>
    </row>
    <row r="14" spans="1:6" ht="28" customHeight="1" x14ac:dyDescent="0.55000000000000004">
      <c r="A14" s="63"/>
      <c r="B14" s="64" t="s">
        <v>273</v>
      </c>
      <c r="C14" s="65" t="s">
        <v>274</v>
      </c>
      <c r="D14" s="66" t="s">
        <v>275</v>
      </c>
      <c r="E14" s="67" t="s">
        <v>276</v>
      </c>
      <c r="F14" s="63"/>
    </row>
    <row r="15" spans="1:6" ht="5.05" customHeight="1" x14ac:dyDescent="0.55000000000000004">
      <c r="A15" s="1"/>
      <c r="B15" s="1"/>
      <c r="C15" s="1"/>
      <c r="D15" s="1"/>
      <c r="E15" s="1"/>
      <c r="F15" s="1"/>
    </row>
    <row r="16" spans="1:6" ht="36" customHeight="1" x14ac:dyDescent="0.55000000000000004">
      <c r="A16" s="147" t="s">
        <v>277</v>
      </c>
      <c r="B16" s="148"/>
      <c r="C16" s="148"/>
      <c r="D16" s="148"/>
      <c r="E16" s="148"/>
      <c r="F16" s="148"/>
    </row>
    <row r="17" spans="1:6" ht="18" customHeight="1" x14ac:dyDescent="0.55000000000000004">
      <c r="A17" s="68"/>
      <c r="B17" s="68" t="s">
        <v>250</v>
      </c>
      <c r="C17" s="68" t="s">
        <v>5</v>
      </c>
      <c r="D17" s="68" t="s">
        <v>278</v>
      </c>
      <c r="E17" s="68" t="s">
        <v>279</v>
      </c>
      <c r="F17" s="68"/>
    </row>
    <row r="18" spans="1:6" ht="32.049999999999997" customHeight="1" x14ac:dyDescent="0.55000000000000004">
      <c r="A18" s="48"/>
      <c r="B18" s="69" t="s">
        <v>280</v>
      </c>
      <c r="C18" s="56" t="s">
        <v>281</v>
      </c>
      <c r="D18" s="70" t="s">
        <v>282</v>
      </c>
      <c r="E18" s="71" t="s">
        <v>283</v>
      </c>
      <c r="F18" s="48"/>
    </row>
    <row r="19" spans="1:6" ht="32.049999999999997" customHeight="1" x14ac:dyDescent="0.55000000000000004">
      <c r="A19" s="48"/>
      <c r="B19" s="69" t="s">
        <v>284</v>
      </c>
      <c r="C19" s="56" t="s">
        <v>285</v>
      </c>
      <c r="D19" s="70" t="s">
        <v>286</v>
      </c>
      <c r="E19" s="71" t="s">
        <v>283</v>
      </c>
      <c r="F19" s="48"/>
    </row>
    <row r="20" spans="1:6" ht="32.049999999999997" customHeight="1" x14ac:dyDescent="0.55000000000000004">
      <c r="A20" s="48"/>
      <c r="B20" s="69" t="s">
        <v>287</v>
      </c>
      <c r="C20" s="56" t="s">
        <v>145</v>
      </c>
      <c r="D20" s="70" t="s">
        <v>288</v>
      </c>
      <c r="E20" s="71" t="s">
        <v>283</v>
      </c>
      <c r="F20" s="48"/>
    </row>
    <row r="21" spans="1:6" ht="32.049999999999997" customHeight="1" x14ac:dyDescent="0.55000000000000004">
      <c r="A21" s="63"/>
      <c r="B21" s="72" t="s">
        <v>289</v>
      </c>
      <c r="C21" s="73" t="s">
        <v>290</v>
      </c>
      <c r="D21" s="66" t="s">
        <v>291</v>
      </c>
      <c r="E21" s="74" t="s">
        <v>283</v>
      </c>
      <c r="F21" s="63"/>
    </row>
    <row r="22" spans="1:6" ht="32.049999999999997" customHeight="1" x14ac:dyDescent="0.55000000000000004">
      <c r="A22" s="63"/>
      <c r="B22" s="72" t="s">
        <v>292</v>
      </c>
      <c r="C22" s="73" t="s">
        <v>148</v>
      </c>
      <c r="D22" s="66" t="s">
        <v>293</v>
      </c>
      <c r="E22" s="74" t="s">
        <v>283</v>
      </c>
      <c r="F22" s="63"/>
    </row>
    <row r="23" spans="1:6" ht="32.049999999999997" customHeight="1" x14ac:dyDescent="0.55000000000000004">
      <c r="A23" s="63"/>
      <c r="B23" s="72" t="s">
        <v>294</v>
      </c>
      <c r="C23" s="73" t="s">
        <v>295</v>
      </c>
      <c r="D23" s="66" t="s">
        <v>296</v>
      </c>
      <c r="E23" s="74" t="s">
        <v>283</v>
      </c>
      <c r="F23" s="63"/>
    </row>
    <row r="24" spans="1:6" ht="32.049999999999997" customHeight="1" x14ac:dyDescent="0.55000000000000004">
      <c r="A24" s="47"/>
      <c r="B24" s="75" t="s">
        <v>297</v>
      </c>
      <c r="C24" s="46" t="s">
        <v>157</v>
      </c>
      <c r="D24" s="76" t="s">
        <v>298</v>
      </c>
      <c r="E24" s="77" t="s">
        <v>283</v>
      </c>
      <c r="F24" s="47"/>
    </row>
    <row r="25" spans="1:6" ht="32.049999999999997" customHeight="1" x14ac:dyDescent="0.55000000000000004">
      <c r="A25" s="48"/>
      <c r="B25" s="69" t="s">
        <v>299</v>
      </c>
      <c r="C25" s="56" t="s">
        <v>300</v>
      </c>
      <c r="D25" s="70" t="s">
        <v>301</v>
      </c>
      <c r="E25" s="71" t="s">
        <v>283</v>
      </c>
      <c r="F25" s="48"/>
    </row>
    <row r="26" spans="1:6" ht="32.049999999999997" customHeight="1" x14ac:dyDescent="0.55000000000000004">
      <c r="A26" s="63"/>
      <c r="B26" s="72" t="s">
        <v>302</v>
      </c>
      <c r="C26" s="73" t="s">
        <v>163</v>
      </c>
      <c r="D26" s="66" t="s">
        <v>164</v>
      </c>
      <c r="E26" s="74" t="s">
        <v>283</v>
      </c>
      <c r="F26" s="63"/>
    </row>
    <row r="27" spans="1:6" ht="32.049999999999997" customHeight="1" x14ac:dyDescent="0.55000000000000004">
      <c r="A27" s="63"/>
      <c r="B27" s="72" t="s">
        <v>303</v>
      </c>
      <c r="C27" s="73" t="s">
        <v>169</v>
      </c>
      <c r="D27" s="66" t="s">
        <v>23</v>
      </c>
      <c r="E27" s="74" t="s">
        <v>283</v>
      </c>
      <c r="F27" s="63"/>
    </row>
    <row r="28" spans="1:6" ht="5.05" customHeight="1" x14ac:dyDescent="0.55000000000000004">
      <c r="A28" s="1"/>
      <c r="B28" s="1"/>
      <c r="C28" s="1"/>
      <c r="D28" s="1"/>
      <c r="E28" s="1"/>
      <c r="F28" s="1"/>
    </row>
    <row r="29" spans="1:6" ht="60" customHeight="1" x14ac:dyDescent="0.55000000000000004">
      <c r="A29" s="143" t="s">
        <v>304</v>
      </c>
      <c r="B29" s="115"/>
      <c r="C29" s="115"/>
      <c r="D29" s="115"/>
      <c r="E29" s="115"/>
      <c r="F29" s="115"/>
    </row>
  </sheetData>
  <mergeCells count="6">
    <mergeCell ref="A29:F29"/>
    <mergeCell ref="A16:F16"/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2026-04-05T14:20:41Z</dcterms:created>
  <dcterms:modified xsi:type="dcterms:W3CDTF">2026-04-05T14:25:16Z</dcterms:modified>
</cp:coreProperties>
</file>