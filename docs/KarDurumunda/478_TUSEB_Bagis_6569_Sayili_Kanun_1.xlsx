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KARIN BULUNMASI HALİNDE/"/>
    </mc:Choice>
  </mc:AlternateContent>
  <xr:revisionPtr revIDLastSave="0" documentId="8_{B5B6AB01-59BC-42FD-92B7-E3BE511E2B95}"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7" i="2"/>
  <c r="D6" i="2"/>
  <c r="E58" i="1"/>
  <c r="C52" i="1"/>
  <c r="D47" i="1"/>
  <c r="C47" i="1"/>
  <c r="C51" i="1" s="1"/>
  <c r="E46" i="1"/>
  <c r="F46" i="1" s="1"/>
  <c r="E45" i="1"/>
  <c r="F45" i="1" s="1"/>
  <c r="E44" i="1"/>
  <c r="F44" i="1" s="1"/>
  <c r="E43" i="1"/>
  <c r="F43" i="1" s="1"/>
  <c r="E42" i="1"/>
  <c r="F42" i="1" s="1"/>
  <c r="E41" i="1"/>
  <c r="E47" i="1" s="1"/>
  <c r="C53" i="1" s="1"/>
  <c r="C35" i="1"/>
  <c r="E15" i="1"/>
  <c r="D5" i="2" s="1"/>
  <c r="F41" i="1" l="1"/>
  <c r="F47" i="1" s="1"/>
  <c r="C55" i="1" s="1"/>
</calcChain>
</file>

<file path=xl/sharedStrings.xml><?xml version="1.0" encoding="utf-8"?>
<sst xmlns="http://schemas.openxmlformats.org/spreadsheetml/2006/main" count="321" uniqueCount="259">
  <si>
    <t>478 – TÜRKİYE SAĞLIK ENSTİTÜLERİ BAŞKANLIĞI (TÜSEB) BAĞIŞLARI | 6569 s.K. | YMM TASDİK</t>
  </si>
  <si>
    <t>Beyanname 478 | GİB KV Beyan Rehberi Mart 2026 (No:606) | ✗ YİAKV MATRAHINDA DÜŞÜLEMEZ</t>
  </si>
  <si>
    <t xml:space="preserve">  6569 SAYILI KANUN KAPSAMI — TÜSEB BAĞIŞI:
  6569 sayılı 'Türkiye Sağlık Enstitüleri Başkanlığına İlişkin Bazı Düzenlemeler ile Bazı Kanun ve Kanun Hükmünde Kararnamelerde Değişiklik Yapılmasına Dair Kanun' kapsamında Türkiye Sağlık Enstitüleri Başkanlığı'na (TÜSEB) yapılan bağış ve yardımların tamamı kurumlar vergisi matrahından indirilir.
  TÜSEB: Sağlık alanında Ar-Ge, inovasyon, biyoteknoloji ve sağlık bilimleri eğitimini desteklemek amacıyla kurulan kamu kurumu.
  İNDİRİM: TAMAMININ İNDİRİMİ — matrahı aşan kısım devredilemez.
  ★ YİAKV: DÜŞÜLEMEZ — E.11 bilgi satırı.
  ★ 469 (TÜBİTAK) ile KARŞILAŞTIRMA: TÜBİTAK genel Ar-Ge. TÜSEB → Sağlık odaklı Ar-Ge.</t>
  </si>
  <si>
    <t xml:space="preserve">  ✗ YİAKV (KVK Md.32/C): 478 TÜSEB Bağışı YİAKV MATRAHINDA DÜŞÜLEMEZ. YİAKV E.11 bilgi satırı — 402/460–477 kodlarıyla aynı E.11 kategorisi.</t>
  </si>
  <si>
    <t>A0. KAPSAM VE NİTELİK UYGUNLUK ÖN KONTROLÜ — 6569 s.K. TÜSEB BAĞIŞI</t>
  </si>
  <si>
    <t>Kontrol Sorusu</t>
  </si>
  <si>
    <t>Yanıt</t>
  </si>
  <si>
    <t>YMM Tasdik Notu</t>
  </si>
  <si>
    <t>A0.1  ★ Bağış 6569 s.K. kapsamında TÜSEB'e mi yapıldı?</t>
  </si>
  <si>
    <t>EVET</t>
  </si>
  <si>
    <t>Türkiye Sağlık Enstitüleri Başkanlığı (TÜSEB) veya bünyesindeki enstitü/fon/program. Sağlık alanında faaliyet gösteren başka kurum/vakıf/üniversite → Bu kod değil. TÜSEB, TÜBİTAK'tan farklı — sağlık odaklı, 6569 s.K. kapsamı.</t>
  </si>
  <si>
    <t>A0.2  ★ Bağış FİİLEN yapıldı mı? (Nakdi: Banka — Ayni: Teslim belgesi)</t>
  </si>
  <si>
    <t>Nakdi: Banka EFT/havale dekontu. Ayni: İmzalı teslim tutanağı.</t>
  </si>
  <si>
    <t>A0.3  TÜSEB'den resmi bağış makbuzu / kabul belgesi alındı mı?</t>
  </si>
  <si>
    <t>TÜSEB tarafından düzenlenen resmi makbuz veya bağış kabul yazısı zorunludur.</t>
  </si>
  <si>
    <t>A0.4  Bağışın amacı 6569 s.K. kapsamında sağlık Ar-Ge/inovasyon faaliyetiyle ilgili mi?</t>
  </si>
  <si>
    <t>Sağlık alanında Ar-Ge, biyoteknoloji, tıbbi cihaz, ilaç araştırması, sağlık bilimleri eğitimi gibi TÜSEB faaliyet alanları.</t>
  </si>
  <si>
    <t>A0.5  Ayni bağış varsa maliyet/net defter değeri ile değerleme yapıldı mı?</t>
  </si>
  <si>
    <t>Tıbbi cihaz, sarf malzeme, bilimsel ekipman bağışlarında maliyet/net defter değeri esas. KDV hesaplanmaz — KDVK Md.17/2-b istisnası.</t>
  </si>
  <si>
    <t>A0.6  ✗ YİAKV E.11'de bilgi satırı olarak gösterildi mi?</t>
  </si>
  <si>
    <t>478 YİAKV matrahından düşülemez — E.11 bilgi.</t>
  </si>
  <si>
    <t>A0.7  YMM Tasdik Raporu gereksinimi değerlendirildi mi?</t>
  </si>
  <si>
    <t>&gt;=500.000 TL → YMM raporu.</t>
  </si>
  <si>
    <t>A0.8  Tasdik Uygunluk Sonucu</t>
  </si>
  <si>
    <t>★ A0.1 TÜSEB/6569 | A0.2 fiili yapım | A0.3 makbuz | A0.4 sağlık Ar-Ge — dördü kritik.</t>
  </si>
  <si>
    <t>A. GENEL BİLGİLER</t>
  </si>
  <si>
    <t>Kurumun Unvanı</t>
  </si>
  <si>
    <t>Tam ticaret unvanı</t>
  </si>
  <si>
    <t>VKN</t>
  </si>
  <si>
    <t>10 haneli VKN</t>
  </si>
  <si>
    <t>Hesap Dönemi</t>
  </si>
  <si>
    <t>01.01.2025 – 31.12.2025</t>
  </si>
  <si>
    <t>KV Oranı (%)</t>
  </si>
  <si>
    <t>2025: %25</t>
  </si>
  <si>
    <t>Bağış Alıcısı</t>
  </si>
  <si>
    <t>Türkiye Sağlık Enstitüleri Başkanlığı (TÜSEB)</t>
  </si>
  <si>
    <t>Bağışın Alanı</t>
  </si>
  <si>
    <t>Sağlık Ar-Ge / Biyoteknoloji / Tıbbi Cihaz / Sağlık Bilimleri</t>
  </si>
  <si>
    <t>Dosya Referansı</t>
  </si>
  <si>
    <t>YMM-2025/478-01</t>
  </si>
  <si>
    <t>B. BAĞIŞ VE YARDIM DETAYLARI — 6569 s.K. / TÜSEB</t>
  </si>
  <si>
    <t>Parametre</t>
  </si>
  <si>
    <t>Değer</t>
  </si>
  <si>
    <t>Açıklama</t>
  </si>
  <si>
    <t>Kaynak</t>
  </si>
  <si>
    <t>B.1  Bağış Şekli</t>
  </si>
  <si>
    <t>Nakdi (Banka Transferi/EFT/Havale)</t>
  </si>
  <si>
    <t>Nakdi: Banka dekontu. Ayni: Cihaz/malzeme → teslim tutanağı.</t>
  </si>
  <si>
    <t>Belge</t>
  </si>
  <si>
    <t>B.2  Alıcı</t>
  </si>
  <si>
    <t>TÜSEB doğrudan veya bünyesindeki enstitü/fon/program.</t>
  </si>
  <si>
    <t>TÜSEB belgesi</t>
  </si>
  <si>
    <t>B.3  Bağışın Amacı</t>
  </si>
  <si>
    <t>Sağlık Ar-Ge Projelerine Destek</t>
  </si>
  <si>
    <t>6569 s.K. kapsamında sağlık Ar-Ge/inovasyon alanı.</t>
  </si>
  <si>
    <t>Protokol/Makbuz</t>
  </si>
  <si>
    <t>B.4  Bağış Tarihi</t>
  </si>
  <si>
    <t>Fiilen yapılan bağışın tarihi (nakdi: ödeme, ayni: teslim).</t>
  </si>
  <si>
    <t>Banka/Tutanak</t>
  </si>
  <si>
    <t>B.5  ★ Nakdi Bağış Tutarı (TL)</t>
  </si>
  <si>
    <t>Banka yoluyla TÜSEB'e ödenen tutar.</t>
  </si>
  <si>
    <t>Banka dekontu</t>
  </si>
  <si>
    <t>B.6  Ayni Bağış Değeri (TL — Maliyet/Net Defter Değeri)</t>
  </si>
  <si>
    <t>Tıbbi cihaz, sarf malzeme, bilimsel ekipman bağışı varsa maliyet değeri.</t>
  </si>
  <si>
    <t>Stok/sabit kıymet</t>
  </si>
  <si>
    <t>B.7  ★ TOPLAM BAĞIŞ (B.5 + B.6)</t>
  </si>
  <si>
    <t>Nakdi + Ayni toplam — beyanname 478 tutarının dayanağı.</t>
  </si>
  <si>
    <t>Formül</t>
  </si>
  <si>
    <t>B.8  ★ TÜSEB Resmi Makbuzu / Bağış Kabul Belgesi</t>
  </si>
  <si>
    <t>TÜSEB tarafından düzenlenen resmi makbuz veya bağış kabul yazısı — zorunlu.</t>
  </si>
  <si>
    <t>TÜSEB</t>
  </si>
  <si>
    <t>C. BAĞIŞ VE YARDIM TABLOSU — TÜSEB / 6569 s.K. (BEYANNAME 478)</t>
  </si>
  <si>
    <t xml:space="preserve">  Her bağış kalemi için ayrı satır. SÜTUN 3 (turkuaz çerçeve): Nakdi bağış. SÜTUN 4: Ayni bağış maliyet değeri. SÜTUN 5: Toplam (otomatik). SÜTUN 6: İndirim = Tamamı (otomatik).</t>
  </si>
  <si>
    <t>Bağış Tarihi</t>
  </si>
  <si>
    <t>Alıcı Enstitü / Amaç</t>
  </si>
  <si>
    <t>Nakdi (TL)</t>
  </si>
  <si>
    <t>Ayni Değer (TL)</t>
  </si>
  <si>
    <t>Toplam (TL)</t>
  </si>
  <si>
    <t>İndirim (TL)</t>
  </si>
  <si>
    <t>Makbuz/Belge No</t>
  </si>
  <si>
    <t>TOPLAM</t>
  </si>
  <si>
    <t>← Beyanname 478 (Tamamının İndirimi)</t>
  </si>
  <si>
    <t>D. BAĞIŞ VE YARDIM İNDİRİMİ ÖZET — BEYANNAME 478 (6569 s.K.)</t>
  </si>
  <si>
    <t>Hesap Kalemi</t>
  </si>
  <si>
    <t>Tutar (TL)</t>
  </si>
  <si>
    <t>Not</t>
  </si>
  <si>
    <t>D.1  Toplam Nakdi Bağış (C Sütun 3)</t>
  </si>
  <si>
    <t>Banka yoluyla yapılan nakdi toplam</t>
  </si>
  <si>
    <t>D.2  Toplam Ayni Bağış Değeri (C Sütun 4)</t>
  </si>
  <si>
    <t>Maliyet/net defter değeri toplam</t>
  </si>
  <si>
    <t>D.3  TOPLAM BAĞIŞ (D.1 + D.2)</t>
  </si>
  <si>
    <t>C tablosu toplam</t>
  </si>
  <si>
    <t>D.4  İndirim Oranı / Sınır</t>
  </si>
  <si>
    <t>TAMAMININ İNDİRİMİ — Devredilmez</t>
  </si>
  <si>
    <t>6569 s.K. kapsamı: Tamamının indirimi — matrahı aşan devredilmez</t>
  </si>
  <si>
    <t>6569 s.K.</t>
  </si>
  <si>
    <t>D.5  ★ BEYANNAME 478 = TOPLAM BAĞIŞ (D.3)</t>
  </si>
  <si>
    <t>→ Beyanname 478 | Kazancın Bulunması Halinde</t>
  </si>
  <si>
    <t>D.6  YİAKV DURUMU — DÜŞÜLEMEZ</t>
  </si>
  <si>
    <t>YİAKV E.11 Bilgi ✗</t>
  </si>
  <si>
    <t>Tüm bağış/yardım kodları YİAKV matrahından düşülemez</t>
  </si>
  <si>
    <t>KVK Md.32/C</t>
  </si>
  <si>
    <t>E.1  TÜSEB BAĞIŞI → Beyanname Satır 478 (Kazancın Bulunması Halinde)</t>
  </si>
  <si>
    <t>D.5 = Toplam Bağış Tamamı | 6569 s.K. — Matrahı aşan devredilmez</t>
  </si>
  <si>
    <t xml:space="preserve">  ★ KRİTİK: (1) ALICI: TÜSEB — başka sağlık kurumu değil. (2) 469 (TÜBİTAK) ile fark: TÜBİTAK genel Ar-Ge, TÜSEB sağlık odaklı Ar-Ge — farklı kod. (3) AYNİ BAĞIŞ: Tıbbi cihaz/malzeme → Maliyet değeri + KDV istisnası. (4) DEVREDEN YOK. (5) YİAKV ✗: E.11.</t>
  </si>
  <si>
    <t>478 – TÜSEB BAĞIŞLARI 6569 SAYILI KANUN | HESAPLAMALAR VE DENETİM</t>
  </si>
  <si>
    <t>Tamamının İndirimi | 6569 s.K. | TÜSEB | Sağlık Ar-Ge | Beyanname 478 | ✗ YİAKV E.11</t>
  </si>
  <si>
    <t>A. TASDİK ÖZETİ</t>
  </si>
  <si>
    <t>A0 Uygunluğu</t>
  </si>
  <si>
    <t>OK ise devam</t>
  </si>
  <si>
    <t>Alıcı / Amaç (B.2/B.3)</t>
  </si>
  <si>
    <t>TÜSEB / 6569 s.K. kapsamı</t>
  </si>
  <si>
    <t>Toplam Bağış (D.3)</t>
  </si>
  <si>
    <t>C tablosu toplamı</t>
  </si>
  <si>
    <t>478 İNDİRİM (D.5)</t>
  </si>
  <si>
    <t>YİAKV</t>
  </si>
  <si>
    <t>✗ DÜŞÜLEMEZ (E.11 Bilgi)</t>
  </si>
  <si>
    <t>Bağış/yardım tümü YİAKV dışı</t>
  </si>
  <si>
    <t>B. 6569 SAYILI KANUN VE TÜSEB — KAPSAM VE 469 (TÜBİTAK) FARKI</t>
  </si>
  <si>
    <t xml:space="preserve">  TÜRKİYE SAĞLIK ENSTİTÜLERİ BAŞKANLIĞI (TÜSEB) — 6569 s.K.:
  TÜSEB, 6569 sayılı Kanunla kurulan ve sağlık alanında Ar-Ge, inovasyon, biyoteknoloji, tıbbi cihaz geliştirme ve sağlık bilimleri eğitimini desteklemek amacıyla faaliyet gösteren kamu kurumudur.
  TÜSEB FAALİYET ALANLARI:
  • Sağlık Ar-Ge ve inovasyon projeleri
  • Biyoteknoloji ve biyomedikal araştırma
  • Tıbbi cihaz ve ilaç araştırması/geliştirme
  • Sağlık bilimleri eğitimi ve insan kaynağı geliştirme
  • Sağlık teknolojisi değerlendirmesi
  469 (TÜBİTAK) vs 478 (TÜSEB) FARKI:
  469 — TÜBİTAK (278 s.K.): Genel bilim ve teknoloji Ar-Ge bağışı.
  478 — TÜSEB (6569 s.K.): Sağlık odaklı Ar-Ge bağışı.
  Aynı dönemde her ikisi de uygulanabilir — farklı projeler için farklı kodlar.
  KAPSAM DIŞI:
  ✗ Üniversite sağlık fakülteleri → 470 (2547 s.K. yükseköğretim bağışı)
  ✗ Devlet hastanelerine ekipman bağışı → 402 (kamu idaresi bağışı)
  ✗ Sağlık vakıf/derneği → Ayrı değerlendirme</t>
  </si>
  <si>
    <t>C. DENETİM KONTROL LİSTESİ (K1–K11)</t>
  </si>
  <si>
    <t>Kontrol</t>
  </si>
  <si>
    <t>Sonuç</t>
  </si>
  <si>
    <t>K1</t>
  </si>
  <si>
    <t>★ Alıcı gerçekten TÜSEB mi? (6569 s.K. kapsamı)</t>
  </si>
  <si>
    <t>Sağlık üniversitesi/hastane → Farklı kod.</t>
  </si>
  <si>
    <t>Uygun/Eksik/Risk</t>
  </si>
  <si>
    <t>K2</t>
  </si>
  <si>
    <t>★ Bağış fiilen yapıldı mı? (Nakdi: Banka — Ayni: Tutanak)</t>
  </si>
  <si>
    <t>Banka dekontu veya teslim tutanağı.</t>
  </si>
  <si>
    <t>K3</t>
  </si>
  <si>
    <t>★ TÜSEB'den resmi makbuz alındı mı?</t>
  </si>
  <si>
    <t>Makbuz olmadan 478 belgelenemez.</t>
  </si>
  <si>
    <t>K4</t>
  </si>
  <si>
    <t>★ Bağışın amacı sağlık Ar-Ge/inovasyon faaliyetiyle ilgili mi?</t>
  </si>
  <si>
    <t>TÜSEB faaliyet alanı kapsamında.</t>
  </si>
  <si>
    <t>K5</t>
  </si>
  <si>
    <t>Ayni bağış varsa maliyet/net defter değeri esas alındı mı?</t>
  </si>
  <si>
    <t>Piyasa değeri değil. KDV istisnası.</t>
  </si>
  <si>
    <t>K6</t>
  </si>
  <si>
    <t>C tablosu toplamı D.3 ile mutabık mı?</t>
  </si>
  <si>
    <t>E47 = D.3 eşitliği.</t>
  </si>
  <si>
    <t>K7</t>
  </si>
  <si>
    <t>★ İndirim matrahı aşıyor mu? (Devredilemez!)</t>
  </si>
  <si>
    <t>Aşan kısım beyanname notu.</t>
  </si>
  <si>
    <t>K8</t>
  </si>
  <si>
    <t>✗ YİAKV E.11'de bilgi satırı olarak gösterildi mi?</t>
  </si>
  <si>
    <t>478 DÜŞÜLEMEZ — E.11 bilgi.</t>
  </si>
  <si>
    <t>K9</t>
  </si>
  <si>
    <t>469 (TÜBİTAK) ile 478 (TÜSEB) doğru ayrıştırıldı mı?</t>
  </si>
  <si>
    <t>Sağlık → 478. Genel Ar-Ge → 469.</t>
  </si>
  <si>
    <t>K10</t>
  </si>
  <si>
    <t>Beyanname 478 'Kazancın Bulunması Halinde' bölümünde mi?</t>
  </si>
  <si>
    <t>Zarar döneminde uygulanamaz.</t>
  </si>
  <si>
    <t>K11</t>
  </si>
  <si>
    <t>YMM Tasdik Raporu (49 No.lu Tebliğ) değerlendirildi mi?</t>
  </si>
  <si>
    <t>478 – TÜSEB BAĞIŞLARI 6569 s.K. | MUHASEBE KAYITLARI</t>
  </si>
  <si>
    <t>KAYIT 1 — NAKDİ BAĞIŞ (EFT/HAVALE — TÜSEB)</t>
  </si>
  <si>
    <t>Tarih</t>
  </si>
  <si>
    <t>Hesap</t>
  </si>
  <si>
    <t>Dr</t>
  </si>
  <si>
    <t>Kr</t>
  </si>
  <si>
    <t>Ref</t>
  </si>
  <si>
    <t>[Bağış Tarihi]</t>
  </si>
  <si>
    <t>689 Diğer Olağan Dışı Gid. / 770 Genel Yön.</t>
  </si>
  <si>
    <t>TÜSEB bağışı (6569 s.K.) — gider kaydı</t>
  </si>
  <si>
    <t>[Tutar]</t>
  </si>
  <si>
    <t>—</t>
  </si>
  <si>
    <t>TÜSEB Makbuzu</t>
  </si>
  <si>
    <t>KAYIT 2 — AYNİ BAĞIŞ (TIBBİ CİHAZ / SARF MALZEME / EKİPMAN)</t>
  </si>
  <si>
    <t>[Teslim]</t>
  </si>
  <si>
    <t>689 Diğer Olağan Dışı Gid.</t>
  </si>
  <si>
    <t>Ayni bağış — maliyet/net defter değeri</t>
  </si>
  <si>
    <t>[Maliyet]</t>
  </si>
  <si>
    <t>Teslim tutanağı</t>
  </si>
  <si>
    <t>KAYIT 3 — DÖNEM SONU: KKEG + BEYANNAME 478 İNDİRİMİ</t>
  </si>
  <si>
    <t>[Dönem Sonu]</t>
  </si>
  <si>
    <t>951 KKEG</t>
  </si>
  <si>
    <t>TÜSEB bağış gideri KKEG'e alınır</t>
  </si>
  <si>
    <t>Beyanname eki</t>
  </si>
  <si>
    <t xml:space="preserve">  DÖNEM SONU NET ETKİ — BEYANNAME 478:
  TÜSEB bağışı (689/770) → KKEG → Matrahı artırır → Beyanname 478 tamamının indirimi → Matrahtan düşülür.
  YİAKV: ✗ DÜŞÜLEMEZ — E.11. Ayni bağışta KDV istisnası (KDVK Md.17/2-b).
  469 TÜBİTAK ile aynı mekanizma — sadece alıcı ve yasal dayanak farklı.</t>
  </si>
  <si>
    <t>478 – TÜSEB BAĞIŞLARI 6569 SAYILI KANUN | DENETÇİ NOTLARI</t>
  </si>
  <si>
    <t>GİB KV Beyan Rehberi 2026 | 6569 s.K. | TÜSEB | Sağlık Ar-Ge | TÜBİTAK Farkı | YİAKV E.11</t>
  </si>
  <si>
    <t>Kod</t>
  </si>
  <si>
    <t>Konu</t>
  </si>
  <si>
    <t>Mesleki Değerlendirme / Tasdik Standardı</t>
  </si>
  <si>
    <t>Mevzuat / Kaynak</t>
  </si>
  <si>
    <t>N1</t>
  </si>
  <si>
    <t>6569 s.K. — TÜSEB Kapsam ve Faaliyet Alanı</t>
  </si>
  <si>
    <t>TÜRKİYE SAĞLIK ENSTİTÜLERİ BAŞKANLIĞI (TÜSEB) BAĞIŞI — 6569 s.K.:
6569 sayılı Kanunla kurulan TÜSEB'e veya bünyesindeki enstitü/fon/programlara
yapılan bağış ve yardımların tamamı kurumlar vergisi matrahından indirilir.
TÜSEB FAALİYET ALANLARI:
• Sağlık Ar-Ge ve inovasyon
• Biyoteknoloji ve biyomedikal araştırma
• Tıbbi cihaz ve ilaç geliştirme
• Sağlık bilimleri eğitimi ve insan kaynağı
• Sağlık teknolojisi değerlendirmesi
AYNİ BAĞIŞ: Tıbbi cihaz, sarf malzeme, bilimsel ekipman — maliyet değeri esas.
YİAKV: ✗ DÜŞÜLEMEZ (E.11 bilgi) | BEYANNAME: 478</t>
  </si>
  <si>
    <t>6569 s.K. | GİB KV Beyan Reh. 2026 (No:606)</t>
  </si>
  <si>
    <t>N2</t>
  </si>
  <si>
    <t>★ 469 (TÜBİTAK) ile 478 (TÜSEB) Ayrımı</t>
  </si>
  <si>
    <t>AR-GE BAĞIŞLARINDA KOD SEÇİMİ:
469 — TÜBİTAK (278 s.K.):
Türkiye Bilimsel ve Teknolojik Araştırma Kurumu.
Genel bilim, teknoloji ve Ar-Ge alanı — sağlık dahil her disiplin.
Kapsam: Geniş (fizik, kimya, mühendislik, sağlık, sosyal bilim vb.).
478 — TÜSEB (6569 s.K.):
Türkiye Sağlık Enstitüleri Başkanlığı.
Münhasıran sağlık alanı Ar-Ge ve inovasyon.
Kapsam: Dar (sadece sağlık).
EŞ ZAMANLI UYGULAMA:
Aynı dönemde hem TÜBİTAK'a genel Ar-Ge bağışı (→ 469) hem
TÜSEB'e sağlık Ar-Ge bağışı (→ 478) yapılabilir — farklı kodlar.
KAPSAM KARIŞIKLIĞI:
Sağlık Ar-Ge bağışını 469 yerine 478'e veya tersine yazmak → Yanlış kod.
Alıcı kurumu her zaman belgeyle doğrula.</t>
  </si>
  <si>
    <t>6569 s.K. | 278 s.K. | GİB Özelge</t>
  </si>
  <si>
    <t>N3</t>
  </si>
  <si>
    <t>Sağlık Bağışlarında Kod Seçimi — 402/470/478 Karşılaştırma</t>
  </si>
  <si>
    <t>SAĞLIK ALANINDA BAĞIŞ KODLARI:
402 (KVK Md.10/1-c):
Kamu idaresine sağlık tesisi (hastane, klinik) inşası veya faaliyetleri için bağış.
→ Devlet hastanesi, sağlık bakanlığı birimleri.
470 (2547 s.K.):
Üniversite/yüksekokul'a bağış — sağlık fakültesi dahil.
→ Tıp fakültesi, sağlık bilimleri fakültesi.
478 (6569 s.K. — TÜSEB):
TÜSEB'e sağlık Ar-Ge ve inovasyon desteği.
→ Araştırma enstitüsü, sağlık teknolojisi geliştirme.
ÖRTÜŞME: Tıp fakültesine Ar-Ge ekipmanı bağışı hem 470 hem 478 kapsamında olabilir.
Alıcı üniversite ise → 470. Alıcı TÜSEB enstitüsü ise → 478.</t>
  </si>
  <si>
    <t>6569 s.K. | KVK Md.10/1-c | 2547 s.K. | GİB Özelge</t>
  </si>
  <si>
    <t>N4</t>
  </si>
  <si>
    <t>YİAKV ile İlişki — E.11 Son Tablo</t>
  </si>
  <si>
    <t>YİAKV (KVK Md.32/C) VE TÜSEB BAĞIŞI:
✗ 478 (6569 s.K.): DÜŞÜLEMEZ → YİAKV E.11
BU OTURUMDA TAMAMLANAN TÜM BAĞIŞ/YARDIM/MASRAF KODLARI:
✗ 402 | ✗ 460/461 | ✗ 464 | ✗ 465 | ✗ 466 | ✗ 469
✗ 470 | ✗ 471 | ✗ 472 | ✗ 473 | ✗ 474 | ✗ 475
✗ 476 | ✗ 477 | ✗ 478
→ YİAKV E.11 = Tüm bu kodların dönem toplamı
DÜŞÜLEBILIR:
✓ 283/455 → D.10 | ✓ 456/457 → E.13
✓ 401 → D.4 | ✓ 413 → D.11 | ✗ 453 → E.10</t>
  </si>
  <si>
    <t>KVK Md.32/C | GİB Rehberi No:607 | No:606</t>
  </si>
  <si>
    <t>N5</t>
  </si>
  <si>
    <t>49 No.lu Tebliğ + YMM Tasdik Dil Standardı</t>
  </si>
  <si>
    <t>KULLANIN:
'...6569 sayılı Türkiye Sağlık Enstitüleri Başkanlığına İlişkin Bazı Düzenlemeler
ile Bazı Kanun ve Kanun Hükmünde Kararnamelerde Değişiklik Yapılmasına Dair
Kanun kapsamında Türkiye Sağlık Enstitüleri Başkanlığı'na [Bağış Tarihi]
tarihinde banka yoluyla ödenen [Nakdi TL] TL nakdi bağış ile [Ayni TL] TL
maliyet bedelindeki ayni bağışın tamamı olan [Toplam TL] TL, kurumlar vergisi
matrahından indirilmiştir. Söz konusu tutar YİAKV matrahından indirilmemiştir.'
KULLANMAYIN:
'...TÜBİTAK'a yapılan sağlık Ar-Ge bağışı 478 kapsamında indirilmiştir.' (Kod yanlış)
'...Sağlık üniversitesine yapılan bağış 478'e dahil edilmiştir.' (→ 470 olmalı)
'...478 YİAKV matrahından düşülmüştür.' (YANLIŞ)
KRİTİK RİSKLER:
(1) TÜSEB yerine başka sağlık kurumunu 478'e dahil etmek.
(2) TÜBİTAK'a yapılan sağlık bağışını 478, TÜSEB'e yapılanı 469 yazmak.
(3) Makbuz olmadan 478 uygulamak.
(4) Matrahı aşan kısmı devretmeye çalışmak.</t>
  </si>
  <si>
    <t>49 No.lu Tebliğ | 6569 s.K. | SM-SMMM-YMM K. Md.12</t>
  </si>
  <si>
    <t xml:space="preserve">  GİB KV BEYAN REHBERİ MART 2026 (No:606) KAPANIŞ (478): 6569 s.K. — TÜSEB (Türkiye Sağlık Enstitüleri Başkanlığı). 469 TÜBİTAK (genel Ar-Ge) ile karıştırılmamalı. Sağlık üniversitesi → 470. Devlet hastanesi → 402. TÜSEB Ar-Ge → 478. Tamamının indirimi — matrahı aşan devredilmez. ✗ YİAKV E.11. YMM: SM-SMMM-YMM K. Md.12.</t>
  </si>
  <si>
    <t>478 – TÜSEB BAĞIŞLARI 6569 SAYILI KANUN | BELGE LİSTESİ | YMM TASDİK</t>
  </si>
  <si>
    <t>TÜSEB Makbuzu | Banka Dekontu | Teslim Tutanağı | Değerleme | YİAKV E.11</t>
  </si>
  <si>
    <t>KATEGORİ 1 — ZORUNLU BELGELER</t>
  </si>
  <si>
    <t>No</t>
  </si>
  <si>
    <t>Temin</t>
  </si>
  <si>
    <t>1</t>
  </si>
  <si>
    <t>★ TÜSEB Resmi Bağış Makbuzu / Kabul Belgesi</t>
  </si>
  <si>
    <t>Türkiye Sağlık Enstitüleri Başkanlığı'ndan alınan resmi makbuz veya bağış kabul yazısı. Bağışın 6569 s.K. kapsamında TÜSEB'e yapıldığı açıkça belirtilmeli. Zorunlu belge.</t>
  </si>
  <si>
    <t>2</t>
  </si>
  <si>
    <t>★ Nakdi Bağış — Banka EFT/Havale Dekontu</t>
  </si>
  <si>
    <t>TÜSEB'in banka hesabına yapılan nakdi ödemenin dekont belgesi. Her ödeme için ayrı dekont.</t>
  </si>
  <si>
    <t>Banka / Şirket hesabı</t>
  </si>
  <si>
    <t>3</t>
  </si>
  <si>
    <t>Ayni Bağış — Teslim-Tesellüm Tutanağı + Maliyet/Değerleme Notu</t>
  </si>
  <si>
    <t>Tıbbi cihaz/sarf malzeme/bilimsel ekipman bağışı için TÜSEB imzalı teslim tutanağı. Maliyet veya net defter değeri notu. KDV hesaplanmaz (KDVK Md.17/2-b).</t>
  </si>
  <si>
    <t>Teslim sırasında</t>
  </si>
  <si>
    <t>4</t>
  </si>
  <si>
    <t>KV Beyannamesi 478 Satırı + YİAKV E.11 Bilgi</t>
  </si>
  <si>
    <t>Beyanname 478 = D.5 tutarı. YİAKV E.11 = 402–478 tüm kodların dönem toplamı.</t>
  </si>
  <si>
    <t>GİB e-Beyanname + YİAKV ÇK</t>
  </si>
  <si>
    <t>5</t>
  </si>
  <si>
    <t>TÜSEB Proje/Program Referans Belgesi (Gerektiğinde)</t>
  </si>
  <si>
    <t>Bünyedeki belirli bir enstitü veya programa bağış yapılıyorsa o birimin TÜSEB bünyesinde olduğunu gösteren referans belge.</t>
  </si>
  <si>
    <t>KATEGORİ 2 — YMM TASDİK KONTROL SORULARI</t>
  </si>
  <si>
    <t>Beklenen Sonuç</t>
  </si>
  <si>
    <t>YMM Aksiyonu</t>
  </si>
  <si>
    <t>S1</t>
  </si>
  <si>
    <t>TÜBİTAK/Üniversite/Hastane → Farklı kod.</t>
  </si>
  <si>
    <t>YMM kontrolü</t>
  </si>
  <si>
    <t>S2</t>
  </si>
  <si>
    <t>★ Bağış fiilen yapıldı mı? (Banka / teslim)</t>
  </si>
  <si>
    <t>Taahhüt değil — fiili ödeme.</t>
  </si>
  <si>
    <t>S3</t>
  </si>
  <si>
    <t>Makbuz zorunlu.</t>
  </si>
  <si>
    <t>S4</t>
  </si>
  <si>
    <t>S5</t>
  </si>
  <si>
    <t>Alıcı ve kapsam net belgelendi.</t>
  </si>
  <si>
    <t>S6</t>
  </si>
  <si>
    <t>Ayni bağış varsa maliyet değeri ve KDV istisnası doğru mu?</t>
  </si>
  <si>
    <t>Maliyet esas, KDV yok.</t>
  </si>
  <si>
    <t>S7</t>
  </si>
  <si>
    <t>★ İndirim matrahı aşıyor mu? (Devredilmez!)</t>
  </si>
  <si>
    <t>S8</t>
  </si>
  <si>
    <t>✗ YİAKV E.11'de bilgi satırı var mı?</t>
  </si>
  <si>
    <t>478 DÜŞÜLEMEZ — E.11.</t>
  </si>
  <si>
    <t>S9</t>
  </si>
  <si>
    <t>Beyanname 478 'Kazancın Bulunması Halinde'?</t>
  </si>
  <si>
    <t>S10</t>
  </si>
  <si>
    <t>YMM Tasdik Raporu değerlendirildi mi?</t>
  </si>
  <si>
    <t>&gt;=500.000 TL → Rapor.</t>
  </si>
  <si>
    <t xml:space="preserve">  GİB KV BEYAN REHBERİ MART 2026 (No:606) | 478 TÜSEB BAĞIŞI SON NOT:
  6569 s.K. — Türkiye Sağlık Enstitüleri Başkanlığı (TÜSEB). Sağlık odaklı Ar-Ge.
  469 TÜBİTAK (genel Ar-Ge) ile karıştırılmamalı. TÜSEB makbuzu zorunlu.
  Tamamının indirimi — matrahı aşan kısım devredilemez.
  ✗ YİAKV E.11 bilgi satırı (402–478 tüm kodlar toplamı).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</si>
</sst>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9"/>
      <color rgb="FFFFFFFF"/>
      <name val="Arial"/>
    </font>
    <font>
      <b/>
      <sz val="8"/>
      <color rgb="FF7B5E00"/>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i/>
      <sz val="8"/>
      <color rgb="FF117A65"/>
      <name val="Arial"/>
    </font>
    <font>
      <b/>
      <sz val="10"/>
      <color rgb="FF117A65"/>
      <name val="Arial"/>
    </font>
    <font>
      <sz val="9"/>
      <color rgb="FF1F3864"/>
      <name val="Arial"/>
    </font>
    <font>
      <b/>
      <sz val="9"/>
      <color rgb="FF117A65"/>
      <name val="Arial"/>
    </font>
    <font>
      <b/>
      <sz val="9"/>
      <color rgb="FF1B5E20"/>
      <name val="Arial"/>
    </font>
    <font>
      <sz val="8"/>
      <color rgb="FF1F3864"/>
      <name val="Arial"/>
    </font>
    <font>
      <b/>
      <sz val="11"/>
      <color rgb="FFFFFFFF"/>
      <name val="Arial"/>
    </font>
    <font>
      <b/>
      <sz val="13"/>
      <color rgb="FFFFFFFF"/>
      <name val="Arial"/>
    </font>
    <font>
      <b/>
      <sz val="13"/>
      <color rgb="FF1B5E20"/>
      <name val="Arial"/>
    </font>
    <font>
      <b/>
      <sz val="9"/>
      <color rgb="FFE65100"/>
      <name val="Arial"/>
    </font>
    <font>
      <b/>
      <sz val="10"/>
      <color rgb="FFE65100"/>
      <name val="Arial"/>
    </font>
    <font>
      <b/>
      <sz val="14"/>
      <color rgb="FF1B5E20"/>
      <name val="Arial"/>
    </font>
    <font>
      <i/>
      <sz val="8"/>
      <color rgb="FF1B5E20"/>
      <name val="Arial"/>
    </font>
    <font>
      <b/>
      <sz val="8"/>
      <color rgb="FFC0392B"/>
      <name val="Arial"/>
    </font>
    <font>
      <b/>
      <sz val="12"/>
      <color rgb="FF1B5E20"/>
      <name val="Arial"/>
    </font>
    <font>
      <sz val="8"/>
      <color rgb="FF333333"/>
      <name val="Arial"/>
    </font>
    <font>
      <i/>
      <sz val="8"/>
      <color rgb="FF444444"/>
      <name val="Arial"/>
    </font>
    <font>
      <b/>
      <sz val="9"/>
      <color rgb="FF7B5E00"/>
      <name val="Arial"/>
    </font>
    <font>
      <sz val="8"/>
      <color rgb="FF444444"/>
      <name val="Arial"/>
    </font>
    <font>
      <b/>
      <sz val="9"/>
      <color rgb="FF1565C0"/>
      <name val="Arial"/>
    </font>
    <font>
      <b/>
      <sz val="8"/>
      <color rgb="FF1565C0"/>
      <name val="Arial"/>
    </font>
  </fonts>
  <fills count="25">
    <fill>
      <patternFill patternType="none"/>
    </fill>
    <fill>
      <patternFill patternType="gray125"/>
    </fill>
    <fill>
      <patternFill patternType="solid">
        <fgColor rgb="FF117A65"/>
      </patternFill>
    </fill>
    <fill>
      <patternFill patternType="solid">
        <fgColor rgb="FF2C3E50"/>
      </patternFill>
    </fill>
    <fill>
      <patternFill patternType="solid">
        <fgColor rgb="FFFFF9C4"/>
      </patternFill>
    </fill>
    <fill>
      <patternFill patternType="solid">
        <fgColor rgb="FFE65100"/>
      </patternFill>
    </fill>
    <fill>
      <patternFill patternType="solid">
        <fgColor rgb="FFDEDEDE"/>
      </patternFill>
    </fill>
    <fill>
      <patternFill patternType="solid">
        <fgColor rgb="FFC0392B"/>
      </patternFill>
    </fill>
    <fill>
      <patternFill patternType="solid">
        <fgColor rgb="FF1565C0"/>
      </patternFill>
    </fill>
    <fill>
      <patternFill patternType="solid">
        <fgColor rgb="FFFCE4D6"/>
      </patternFill>
    </fill>
    <fill>
      <patternFill patternType="solid">
        <fgColor rgb="FFFFFF00"/>
      </patternFill>
    </fill>
    <fill>
      <patternFill patternType="solid">
        <fgColor rgb="FFE8F8F5"/>
      </patternFill>
    </fill>
    <fill>
      <patternFill patternType="solid">
        <fgColor rgb="FFFFFFFF"/>
      </patternFill>
    </fill>
    <fill>
      <patternFill patternType="solid">
        <fgColor rgb="FFC6EFCE"/>
      </patternFill>
    </fill>
    <fill>
      <patternFill patternType="solid">
        <fgColor rgb="FFD1F2EB"/>
      </patternFill>
    </fill>
    <fill>
      <patternFill patternType="solid">
        <fgColor rgb="FFFFF3E0"/>
      </patternFill>
    </fill>
    <fill>
      <patternFill patternType="solid">
        <fgColor rgb="FF1B5E20"/>
      </patternFill>
    </fill>
    <fill>
      <patternFill patternType="solid">
        <fgColor rgb="FFFFF5F5"/>
      </patternFill>
    </fill>
    <fill>
      <patternFill patternType="solid">
        <fgColor rgb="FFF7F7F7"/>
      </patternFill>
    </fill>
    <fill>
      <patternFill patternType="solid">
        <fgColor rgb="FFEBF5EB"/>
      </patternFill>
    </fill>
    <fill>
      <patternFill patternType="solid">
        <fgColor rgb="FFB71C1C"/>
      </patternFill>
    </fill>
    <fill>
      <patternFill patternType="solid">
        <fgColor rgb="FFFFEBEE"/>
      </patternFill>
    </fill>
    <fill>
      <patternFill patternType="solid">
        <fgColor rgb="FFFFD0D0"/>
      </patternFill>
    </fill>
    <fill>
      <patternFill patternType="solid">
        <fgColor rgb="FFE3F2FD"/>
      </patternFill>
    </fill>
    <fill>
      <patternFill patternType="solid">
        <fgColor rgb="FFEEF4FF"/>
      </patternFill>
    </fill>
  </fills>
  <borders count="9">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117A65"/>
      </left>
      <right style="thin">
        <color rgb="FF117A65"/>
      </right>
      <top style="thin">
        <color rgb="FF117A65"/>
      </top>
      <bottom style="thin">
        <color rgb="FF117A65"/>
      </bottom>
      <diagonal/>
    </border>
    <border>
      <left style="thin">
        <color rgb="FF009900"/>
      </left>
      <right style="thin">
        <color rgb="FF009900"/>
      </right>
      <top style="thin">
        <color rgb="FF009900"/>
      </top>
      <bottom style="thin">
        <color rgb="FF009900"/>
      </bottom>
      <diagonal/>
    </border>
  </borders>
  <cellStyleXfs count="1">
    <xf numFmtId="0" fontId="0" fillId="0" borderId="0"/>
  </cellStyleXfs>
  <cellXfs count="120">
    <xf numFmtId="0" fontId="0" fillId="0" borderId="0" xfId="0"/>
    <xf numFmtId="0" fontId="0" fillId="6" borderId="4" xfId="0" applyFill="1" applyBorder="1"/>
    <xf numFmtId="0" fontId="1" fillId="8" borderId="1" xfId="0" applyFont="1" applyFill="1" applyBorder="1" applyAlignment="1">
      <alignment horizontal="center" vertical="center" wrapText="1"/>
    </xf>
    <xf numFmtId="0" fontId="5" fillId="10" borderId="4" xfId="0" applyFont="1" applyFill="1" applyBorder="1" applyAlignment="1">
      <alignment horizontal="center" vertical="center"/>
    </xf>
    <xf numFmtId="0" fontId="9" fillId="13" borderId="4" xfId="0" applyFont="1" applyFill="1" applyBorder="1" applyAlignment="1">
      <alignment horizontal="center" vertical="center"/>
    </xf>
    <xf numFmtId="0" fontId="0" fillId="10" borderId="4" xfId="0" applyFill="1" applyBorder="1"/>
    <xf numFmtId="3" fontId="12" fillId="14" borderId="7" xfId="0" applyNumberFormat="1" applyFont="1" applyFill="1" applyBorder="1" applyAlignment="1">
      <alignment horizontal="right" vertical="center"/>
    </xf>
    <xf numFmtId="0" fontId="1" fillId="2" borderId="1"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10" borderId="4" xfId="0" applyFont="1" applyFill="1" applyBorder="1" applyAlignment="1">
      <alignment horizontal="left" vertical="center" wrapText="1"/>
    </xf>
    <xf numFmtId="3" fontId="14" fillId="14" borderId="7" xfId="0" applyNumberFormat="1" applyFont="1" applyFill="1" applyBorder="1" applyAlignment="1">
      <alignment horizontal="right" vertical="center" wrapText="1"/>
    </xf>
    <xf numFmtId="3" fontId="14" fillId="12" borderId="4" xfId="0" applyNumberFormat="1" applyFont="1" applyFill="1" applyBorder="1" applyAlignment="1">
      <alignment horizontal="right" vertical="center" wrapText="1"/>
    </xf>
    <xf numFmtId="3" fontId="15" fillId="13" borderId="8" xfId="0" applyNumberFormat="1" applyFont="1" applyFill="1" applyBorder="1" applyAlignment="1">
      <alignment horizontal="right" vertical="center" wrapText="1"/>
    </xf>
    <xf numFmtId="0" fontId="16" fillId="10" borderId="4" xfId="0" applyFont="1" applyFill="1" applyBorder="1" applyAlignment="1">
      <alignment horizontal="center" vertical="center" wrapText="1"/>
    </xf>
    <xf numFmtId="3" fontId="14" fillId="11" borderId="4" xfId="0" applyNumberFormat="1" applyFont="1" applyFill="1" applyBorder="1" applyAlignment="1">
      <alignment horizontal="right" vertical="center" wrapText="1"/>
    </xf>
    <xf numFmtId="3" fontId="3" fillId="2" borderId="4" xfId="0" applyNumberFormat="1" applyFont="1" applyFill="1" applyBorder="1" applyAlignment="1">
      <alignment horizontal="right" vertical="center" wrapText="1"/>
    </xf>
    <xf numFmtId="3" fontId="17" fillId="2" borderId="4" xfId="0" applyNumberFormat="1" applyFont="1" applyFill="1" applyBorder="1" applyAlignment="1">
      <alignment horizontal="right" vertical="center" wrapText="1"/>
    </xf>
    <xf numFmtId="3" fontId="18" fillId="2" borderId="8" xfId="0" applyNumberFormat="1" applyFont="1" applyFill="1" applyBorder="1" applyAlignment="1">
      <alignment horizontal="right" vertical="center" wrapText="1"/>
    </xf>
    <xf numFmtId="3" fontId="12" fillId="11" borderId="4" xfId="0" applyNumberFormat="1" applyFont="1" applyFill="1" applyBorder="1" applyAlignment="1">
      <alignment horizontal="right" vertical="center"/>
    </xf>
    <xf numFmtId="0" fontId="12" fillId="14" borderId="4" xfId="0" applyFont="1" applyFill="1" applyBorder="1" applyAlignment="1">
      <alignment horizontal="center" vertical="center"/>
    </xf>
    <xf numFmtId="3" fontId="19" fillId="13" borderId="8" xfId="0" applyNumberFormat="1" applyFont="1" applyFill="1" applyBorder="1" applyAlignment="1">
      <alignment horizontal="right" vertical="center"/>
    </xf>
    <xf numFmtId="0" fontId="21" fillId="15" borderId="4" xfId="0" applyFont="1" applyFill="1" applyBorder="1" applyAlignment="1">
      <alignment horizontal="center" vertical="center"/>
    </xf>
    <xf numFmtId="3" fontId="22" fillId="13" borderId="8" xfId="0" applyNumberFormat="1" applyFont="1" applyFill="1" applyBorder="1" applyAlignment="1">
      <alignment horizontal="right" vertical="center" wrapText="1"/>
    </xf>
    <xf numFmtId="3" fontId="9" fillId="11" borderId="4" xfId="0" applyNumberFormat="1" applyFont="1" applyFill="1" applyBorder="1" applyAlignment="1">
      <alignment horizontal="center" vertical="center"/>
    </xf>
    <xf numFmtId="3" fontId="25" fillId="13" borderId="4" xfId="0" applyNumberFormat="1" applyFont="1" applyFill="1" applyBorder="1" applyAlignment="1">
      <alignment horizontal="right" vertical="center"/>
    </xf>
    <xf numFmtId="0" fontId="1" fillId="2" borderId="4" xfId="0" applyFont="1" applyFill="1" applyBorder="1" applyAlignment="1">
      <alignment horizontal="center" vertical="center" wrapText="1"/>
    </xf>
    <xf numFmtId="0" fontId="4" fillId="9"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0" fillId="11" borderId="4" xfId="0" applyFill="1" applyBorder="1"/>
    <xf numFmtId="0" fontId="0" fillId="12" borderId="4" xfId="0" applyFill="1" applyBorder="1"/>
    <xf numFmtId="0" fontId="7" fillId="11"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1" fillId="8" borderId="1" xfId="0" applyFont="1" applyFill="1" applyBorder="1" applyAlignment="1">
      <alignment horizontal="center" vertical="center"/>
    </xf>
    <xf numFmtId="0" fontId="13" fillId="11" borderId="4" xfId="0" applyFont="1" applyFill="1" applyBorder="1" applyAlignment="1">
      <alignment horizontal="center" vertical="center" wrapText="1"/>
    </xf>
    <xf numFmtId="0" fontId="26" fillId="18" borderId="4" xfId="0" applyFont="1" applyFill="1" applyBorder="1" applyAlignment="1">
      <alignment horizontal="left" vertical="top" wrapText="1"/>
    </xf>
    <xf numFmtId="0" fontId="27" fillId="11" borderId="4" xfId="0" applyFont="1" applyFill="1" applyBorder="1" applyAlignment="1">
      <alignment horizontal="left" vertical="top" wrapText="1"/>
    </xf>
    <xf numFmtId="0" fontId="1" fillId="7" borderId="4" xfId="0" applyFont="1" applyFill="1" applyBorder="1" applyAlignment="1">
      <alignment horizontal="center" vertical="center" wrapText="1"/>
    </xf>
    <xf numFmtId="0" fontId="27" fillId="9" borderId="4" xfId="0" applyFont="1" applyFill="1" applyBorder="1" applyAlignment="1">
      <alignment horizontal="left" vertical="top" wrapText="1"/>
    </xf>
    <xf numFmtId="0" fontId="27" fillId="12" borderId="4" xfId="0" applyFont="1" applyFill="1" applyBorder="1" applyAlignment="1">
      <alignment horizontal="left" vertical="top" wrapText="1"/>
    </xf>
    <xf numFmtId="0" fontId="0" fillId="4" borderId="4" xfId="0" applyFill="1" applyBorder="1"/>
    <xf numFmtId="0" fontId="0" fillId="13" borderId="4" xfId="0" applyFill="1" applyBorder="1"/>
    <xf numFmtId="0" fontId="7" fillId="13" borderId="4" xfId="0" applyFont="1" applyFill="1" applyBorder="1" applyAlignment="1">
      <alignment horizontal="center" vertical="center" wrapText="1"/>
    </xf>
    <xf numFmtId="0" fontId="4" fillId="13" borderId="4" xfId="0" applyFont="1" applyFill="1" applyBorder="1" applyAlignment="1">
      <alignment horizontal="left" vertical="top" wrapText="1"/>
    </xf>
    <xf numFmtId="0" fontId="26" fillId="19" borderId="4" xfId="0" applyFont="1" applyFill="1" applyBorder="1" applyAlignment="1">
      <alignment horizontal="left" vertical="top" wrapText="1"/>
    </xf>
    <xf numFmtId="0" fontId="29" fillId="13" borderId="4" xfId="0" applyFont="1" applyFill="1" applyBorder="1" applyAlignment="1">
      <alignment horizontal="left" vertical="center" wrapText="1"/>
    </xf>
    <xf numFmtId="0" fontId="7" fillId="12" borderId="4" xfId="0" applyFont="1" applyFill="1" applyBorder="1" applyAlignment="1">
      <alignment horizontal="center" vertical="center" wrapText="1"/>
    </xf>
    <xf numFmtId="0" fontId="4" fillId="12" borderId="4" xfId="0" applyFont="1" applyFill="1" applyBorder="1" applyAlignment="1">
      <alignment horizontal="left" vertical="top" wrapText="1"/>
    </xf>
    <xf numFmtId="0" fontId="29" fillId="12" borderId="4" xfId="0" applyFont="1" applyFill="1" applyBorder="1" applyAlignment="1">
      <alignment horizontal="left" vertical="center" wrapText="1"/>
    </xf>
    <xf numFmtId="0" fontId="7" fillId="13" borderId="4" xfId="0" applyFont="1" applyFill="1" applyBorder="1" applyAlignment="1">
      <alignment horizontal="left" vertical="top" wrapText="1"/>
    </xf>
    <xf numFmtId="0" fontId="1" fillId="20" borderId="1" xfId="0" applyFont="1" applyFill="1" applyBorder="1" applyAlignment="1">
      <alignment horizontal="center" vertical="center"/>
    </xf>
    <xf numFmtId="0" fontId="0" fillId="21" borderId="4" xfId="0" applyFill="1" applyBorder="1"/>
    <xf numFmtId="0" fontId="30" fillId="21" borderId="4" xfId="0" applyFont="1" applyFill="1" applyBorder="1" applyAlignment="1">
      <alignment horizontal="center" vertical="center" wrapText="1"/>
    </xf>
    <xf numFmtId="0" fontId="4" fillId="21" borderId="4" xfId="0" applyFont="1" applyFill="1" applyBorder="1" applyAlignment="1">
      <alignment horizontal="left" vertical="top" wrapText="1"/>
    </xf>
    <xf numFmtId="0" fontId="26" fillId="22" borderId="4" xfId="0" applyFont="1" applyFill="1" applyBorder="1" applyAlignment="1">
      <alignment horizontal="left" vertical="top" wrapText="1"/>
    </xf>
    <xf numFmtId="0" fontId="31" fillId="21" borderId="4" xfId="0" applyFont="1" applyFill="1" applyBorder="1" applyAlignment="1">
      <alignment horizontal="center" vertical="center" wrapText="1"/>
    </xf>
    <xf numFmtId="0" fontId="0" fillId="23" borderId="4" xfId="0" applyFill="1" applyBorder="1"/>
    <xf numFmtId="0" fontId="30" fillId="23" borderId="4" xfId="0" applyFont="1" applyFill="1" applyBorder="1" applyAlignment="1">
      <alignment horizontal="center" vertical="center" wrapText="1"/>
    </xf>
    <xf numFmtId="0" fontId="30" fillId="23" borderId="4" xfId="0" applyFont="1" applyFill="1" applyBorder="1" applyAlignment="1">
      <alignment horizontal="left" vertical="top" wrapText="1"/>
    </xf>
    <xf numFmtId="0" fontId="26" fillId="24" borderId="4" xfId="0" applyFont="1" applyFill="1" applyBorder="1" applyAlignment="1">
      <alignment horizontal="left" vertical="top" wrapText="1"/>
    </xf>
    <xf numFmtId="0" fontId="31" fillId="23" borderId="4" xfId="0" applyFont="1" applyFill="1" applyBorder="1" applyAlignment="1">
      <alignment horizontal="center" vertical="center" wrapText="1"/>
    </xf>
    <xf numFmtId="0" fontId="3" fillId="2" borderId="1" xfId="0" applyFont="1" applyFill="1" applyBorder="1" applyAlignment="1">
      <alignment horizontal="left" vertical="center"/>
    </xf>
    <xf numFmtId="0" fontId="0" fillId="0" borderId="2" xfId="0" applyBorder="1"/>
    <xf numFmtId="0" fontId="0" fillId="0" borderId="3" xfId="0" applyBorder="1"/>
    <xf numFmtId="0" fontId="11" fillId="12" borderId="4" xfId="0" applyFont="1" applyFill="1" applyBorder="1" applyAlignment="1">
      <alignment horizontal="left" vertical="center" wrapText="1"/>
    </xf>
    <xf numFmtId="0" fontId="0" fillId="0" borderId="6" xfId="0" applyBorder="1"/>
    <xf numFmtId="0" fontId="7" fillId="12" borderId="4" xfId="0" applyFont="1" applyFill="1" applyBorder="1" applyAlignment="1">
      <alignment horizontal="left" vertical="center" wrapText="1"/>
    </xf>
    <xf numFmtId="0" fontId="0" fillId="10" borderId="4" xfId="0" applyFill="1" applyBorder="1"/>
    <xf numFmtId="0" fontId="0" fillId="0" borderId="5" xfId="0" applyBorder="1"/>
    <xf numFmtId="0" fontId="10" fillId="12" borderId="4" xfId="0" applyFont="1" applyFill="1" applyBorder="1" applyAlignment="1">
      <alignment horizontal="left" vertical="center" wrapText="1"/>
    </xf>
    <xf numFmtId="0" fontId="10" fillId="11" borderId="4" xfId="0" applyFont="1" applyFill="1" applyBorder="1" applyAlignment="1">
      <alignment horizontal="left" vertical="center" wrapText="1"/>
    </xf>
    <xf numFmtId="0" fontId="14" fillId="14" borderId="4" xfId="0" applyFont="1" applyFill="1" applyBorder="1" applyAlignment="1">
      <alignment horizontal="left" vertical="center" wrapText="1"/>
    </xf>
    <xf numFmtId="0" fontId="9" fillId="13" borderId="4" xfId="0" applyFont="1" applyFill="1" applyBorder="1" applyAlignment="1">
      <alignment horizontal="left" vertical="center"/>
    </xf>
    <xf numFmtId="0" fontId="6" fillId="13" borderId="4" xfId="0" applyFont="1" applyFill="1" applyBorder="1" applyAlignment="1">
      <alignment horizontal="left" vertical="center" wrapText="1"/>
    </xf>
    <xf numFmtId="0" fontId="13" fillId="11" borderId="4" xfId="0" applyFont="1" applyFill="1" applyBorder="1" applyAlignment="1">
      <alignment horizontal="left" vertical="center" wrapText="1"/>
    </xf>
    <xf numFmtId="0" fontId="7" fillId="13" borderId="4" xfId="0" applyFont="1" applyFill="1" applyBorder="1" applyAlignment="1">
      <alignment horizontal="left" vertical="center"/>
    </xf>
    <xf numFmtId="0" fontId="24" fillId="9" borderId="4" xfId="0" applyFont="1" applyFill="1" applyBorder="1" applyAlignment="1">
      <alignment horizontal="left" vertical="center" wrapText="1"/>
    </xf>
    <xf numFmtId="0" fontId="20" fillId="15"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8" fillId="12" borderId="4" xfId="0" applyFont="1" applyFill="1" applyBorder="1" applyAlignment="1">
      <alignment horizontal="left" vertical="center" wrapText="1"/>
    </xf>
    <xf numFmtId="0" fontId="10" fillId="15" borderId="4" xfId="0" applyFont="1" applyFill="1" applyBorder="1" applyAlignment="1">
      <alignment horizontal="left" vertical="center" wrapText="1"/>
    </xf>
    <xf numFmtId="0" fontId="8" fillId="15" borderId="4" xfId="0" applyFont="1" applyFill="1" applyBorder="1" applyAlignment="1">
      <alignment horizontal="left" vertical="center" wrapText="1"/>
    </xf>
    <xf numFmtId="0" fontId="7" fillId="11" borderId="4" xfId="0" applyFont="1" applyFill="1" applyBorder="1" applyAlignment="1">
      <alignment horizontal="left" vertical="center" wrapText="1"/>
    </xf>
    <xf numFmtId="0" fontId="8" fillId="11" borderId="4" xfId="0" applyFont="1" applyFill="1" applyBorder="1" applyAlignment="1">
      <alignment horizontal="left" vertical="center" wrapText="1"/>
    </xf>
    <xf numFmtId="0" fontId="8" fillId="14" borderId="4"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1" fillId="2" borderId="1" xfId="0" applyFont="1" applyFill="1" applyBorder="1" applyAlignment="1">
      <alignment horizontal="left" vertical="center"/>
    </xf>
    <xf numFmtId="0" fontId="6" fillId="9" borderId="4" xfId="0" applyFont="1" applyFill="1" applyBorder="1" applyAlignment="1">
      <alignment horizontal="left" vertical="center" wrapText="1"/>
    </xf>
    <xf numFmtId="0" fontId="2" fillId="4" borderId="4"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1" fillId="2" borderId="4" xfId="0" applyFont="1" applyFill="1" applyBorder="1" applyAlignment="1">
      <alignment horizontal="left" vertical="center"/>
    </xf>
    <xf numFmtId="0" fontId="15" fillId="13" borderId="4" xfId="0" applyFont="1" applyFill="1" applyBorder="1" applyAlignment="1">
      <alignment horizontal="left" vertical="center" wrapText="1"/>
    </xf>
    <xf numFmtId="0" fontId="3" fillId="7" borderId="1" xfId="0" applyFont="1" applyFill="1" applyBorder="1" applyAlignment="1">
      <alignment horizontal="left" vertical="center"/>
    </xf>
    <xf numFmtId="0" fontId="10" fillId="13" borderId="4" xfId="0" applyFont="1" applyFill="1" applyBorder="1" applyAlignment="1">
      <alignment horizontal="left" vertical="center" wrapText="1"/>
    </xf>
    <xf numFmtId="0" fontId="1" fillId="3" borderId="1" xfId="0" applyFont="1" applyFill="1" applyBorder="1" applyAlignment="1">
      <alignment horizontal="left" vertical="center"/>
    </xf>
    <xf numFmtId="0" fontId="10" fillId="14"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3" fillId="2" borderId="4" xfId="0" applyFont="1" applyFill="1" applyBorder="1" applyAlignment="1">
      <alignment horizontal="center" vertical="center"/>
    </xf>
    <xf numFmtId="0" fontId="23" fillId="13" borderId="4" xfId="0" applyFont="1" applyFill="1" applyBorder="1" applyAlignment="1">
      <alignment horizontal="left" vertical="center" wrapText="1"/>
    </xf>
    <xf numFmtId="0" fontId="26" fillId="11" borderId="4" xfId="0" applyFont="1" applyFill="1" applyBorder="1" applyAlignment="1">
      <alignment horizontal="left" vertical="top" wrapText="1"/>
    </xf>
    <xf numFmtId="0" fontId="4" fillId="9" borderId="4" xfId="0" applyFont="1" applyFill="1" applyBorder="1" applyAlignment="1">
      <alignment horizontal="left" vertical="top" wrapText="1"/>
    </xf>
    <xf numFmtId="0" fontId="7" fillId="12" borderId="4" xfId="0" applyFont="1" applyFill="1" applyBorder="1" applyAlignment="1">
      <alignment horizontal="left" vertical="top" wrapText="1"/>
    </xf>
    <xf numFmtId="0" fontId="26" fillId="17" borderId="4" xfId="0" applyFont="1" applyFill="1" applyBorder="1" applyAlignment="1">
      <alignment horizontal="left" vertical="top" wrapText="1"/>
    </xf>
    <xf numFmtId="0" fontId="3" fillId="16" borderId="1" xfId="0" applyFont="1" applyFill="1" applyBorder="1" applyAlignment="1">
      <alignment horizontal="left" vertical="center"/>
    </xf>
    <xf numFmtId="0" fontId="26" fillId="12" borderId="4" xfId="0" applyFont="1" applyFill="1" applyBorder="1" applyAlignment="1">
      <alignment horizontal="left" vertical="top" wrapText="1"/>
    </xf>
    <xf numFmtId="0" fontId="7" fillId="12" borderId="4" xfId="0" applyFont="1" applyFill="1" applyBorder="1" applyAlignment="1">
      <alignment horizontal="left" vertical="center"/>
    </xf>
    <xf numFmtId="0" fontId="17" fillId="2" borderId="1" xfId="0" applyFont="1" applyFill="1" applyBorder="1" applyAlignment="1">
      <alignment horizontal="left" vertical="center"/>
    </xf>
    <xf numFmtId="0" fontId="7" fillId="15" borderId="4" xfId="0" applyFont="1" applyFill="1" applyBorder="1" applyAlignment="1">
      <alignment horizontal="left" vertical="center"/>
    </xf>
    <xf numFmtId="0" fontId="7" fillId="11" borderId="4" xfId="0" applyFont="1" applyFill="1" applyBorder="1" applyAlignment="1">
      <alignment horizontal="left" vertical="top" wrapText="1"/>
    </xf>
    <xf numFmtId="0" fontId="7" fillId="11" borderId="4" xfId="0" applyFont="1" applyFill="1" applyBorder="1" applyAlignment="1">
      <alignment horizontal="left" vertical="center"/>
    </xf>
    <xf numFmtId="0" fontId="16" fillId="14" borderId="4" xfId="0"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16" borderId="4" xfId="0" applyFont="1" applyFill="1" applyBorder="1" applyAlignment="1">
      <alignment horizontal="left" vertical="center"/>
    </xf>
    <xf numFmtId="0" fontId="3" fillId="2" borderId="4" xfId="0" applyFont="1" applyFill="1" applyBorder="1" applyAlignment="1">
      <alignment horizontal="left" vertical="center"/>
    </xf>
    <xf numFmtId="0" fontId="26" fillId="15" borderId="4" xfId="0" applyFont="1" applyFill="1" applyBorder="1" applyAlignment="1">
      <alignment horizontal="left" vertical="center" wrapText="1"/>
    </xf>
    <xf numFmtId="0" fontId="3" fillId="7" borderId="4" xfId="0" applyFont="1" applyFill="1" applyBorder="1" applyAlignment="1">
      <alignment horizontal="left" vertical="center"/>
    </xf>
    <xf numFmtId="0" fontId="28" fillId="4" borderId="4" xfId="0" applyFont="1" applyFill="1" applyBorder="1" applyAlignment="1">
      <alignment horizontal="left" vertical="center" wrapText="1"/>
    </xf>
    <xf numFmtId="0" fontId="1" fillId="20" borderId="1" xfId="0" applyFont="1" applyFill="1" applyBorder="1" applyAlignment="1">
      <alignment horizontal="left" vertical="center"/>
    </xf>
    <xf numFmtId="0" fontId="1" fillId="16" borderId="1" xfId="0" applyFont="1" applyFill="1" applyBorder="1" applyAlignment="1">
      <alignment horizontal="left" vertical="center"/>
    </xf>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D526BCE-24C4-4C1D-ADB1-9C0821C33B6B}">
  <we:reference id="WA200009404" version="1.0.0.8" store="Omex" storeType="OMEX"/>
  <we:alternateReferences>
    <we:reference id="WA200009404" version="1.0.0.8" store="WA200009404" storeType="OMEX"/>
  </we:alternateReferences>
  <we:properties>
    <we:property name="claude.fileId" value="&quot;b6017ab3-1cab-4f32-bc8b-d9111ed105e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tabSelected="1" workbookViewId="0">
      <selection sqref="A1:G1"/>
    </sheetView>
  </sheetViews>
  <sheetFormatPr defaultRowHeight="14.4" x14ac:dyDescent="0.55000000000000004"/>
  <cols>
    <col min="1" max="1" width="3" customWidth="1"/>
    <col min="2" max="2" width="30" customWidth="1"/>
    <col min="3" max="4" width="18" customWidth="1"/>
    <col min="5" max="6" width="14" customWidth="1"/>
    <col min="7" max="7" width="22" customWidth="1"/>
  </cols>
  <sheetData>
    <row r="1" spans="1:7" ht="44.05" customHeight="1" x14ac:dyDescent="0.55000000000000004">
      <c r="A1" s="86" t="s">
        <v>0</v>
      </c>
      <c r="B1" s="61"/>
      <c r="C1" s="61"/>
      <c r="D1" s="61"/>
      <c r="E1" s="61"/>
      <c r="F1" s="61"/>
      <c r="G1" s="62"/>
    </row>
    <row r="2" spans="1:7" ht="22" customHeight="1" x14ac:dyDescent="0.55000000000000004">
      <c r="A2" s="95" t="s">
        <v>1</v>
      </c>
      <c r="B2" s="61"/>
      <c r="C2" s="61"/>
      <c r="D2" s="61"/>
      <c r="E2" s="61"/>
      <c r="F2" s="61"/>
      <c r="G2" s="62"/>
    </row>
    <row r="3" spans="1:7" ht="48" customHeight="1" x14ac:dyDescent="0.55000000000000004">
      <c r="A3" s="88" t="s">
        <v>2</v>
      </c>
      <c r="B3" s="67"/>
      <c r="C3" s="67"/>
      <c r="D3" s="67"/>
      <c r="E3" s="67"/>
      <c r="F3" s="67"/>
      <c r="G3" s="64"/>
    </row>
    <row r="4" spans="1:7" ht="22" customHeight="1" x14ac:dyDescent="0.55000000000000004">
      <c r="A4" s="89" t="s">
        <v>3</v>
      </c>
      <c r="B4" s="67"/>
      <c r="C4" s="67"/>
      <c r="D4" s="67"/>
      <c r="E4" s="67"/>
      <c r="F4" s="67"/>
      <c r="G4" s="64"/>
    </row>
    <row r="5" spans="1:7" ht="5.05" customHeight="1" x14ac:dyDescent="0.55000000000000004">
      <c r="A5" s="1"/>
      <c r="B5" s="1"/>
      <c r="C5" s="1"/>
      <c r="D5" s="1"/>
      <c r="E5" s="1"/>
      <c r="F5" s="1"/>
      <c r="G5" s="1"/>
    </row>
    <row r="6" spans="1:7" ht="24" customHeight="1" x14ac:dyDescent="0.55000000000000004">
      <c r="A6" s="93" t="s">
        <v>4</v>
      </c>
      <c r="B6" s="61"/>
      <c r="C6" s="61"/>
      <c r="D6" s="61"/>
      <c r="E6" s="61"/>
      <c r="F6" s="61"/>
      <c r="G6" s="62"/>
    </row>
    <row r="7" spans="1:7" ht="18" customHeight="1" x14ac:dyDescent="0.55000000000000004">
      <c r="A7" s="2"/>
      <c r="B7" s="2" t="s">
        <v>5</v>
      </c>
      <c r="C7" s="2"/>
      <c r="D7" s="2"/>
      <c r="E7" s="2" t="s">
        <v>6</v>
      </c>
      <c r="F7" s="2"/>
      <c r="G7" s="2" t="s">
        <v>7</v>
      </c>
    </row>
    <row r="8" spans="1:7" ht="28" customHeight="1" x14ac:dyDescent="0.55000000000000004">
      <c r="A8" s="85" t="s">
        <v>8</v>
      </c>
      <c r="B8" s="67"/>
      <c r="C8" s="67"/>
      <c r="D8" s="64"/>
      <c r="E8" s="3" t="s">
        <v>9</v>
      </c>
      <c r="F8" s="87" t="s">
        <v>10</v>
      </c>
      <c r="G8" s="64"/>
    </row>
    <row r="9" spans="1:7" ht="28" customHeight="1" x14ac:dyDescent="0.55000000000000004">
      <c r="A9" s="85" t="s">
        <v>11</v>
      </c>
      <c r="B9" s="67"/>
      <c r="C9" s="67"/>
      <c r="D9" s="64"/>
      <c r="E9" s="3" t="s">
        <v>9</v>
      </c>
      <c r="F9" s="87" t="s">
        <v>12</v>
      </c>
      <c r="G9" s="64"/>
    </row>
    <row r="10" spans="1:7" ht="28" customHeight="1" x14ac:dyDescent="0.55000000000000004">
      <c r="A10" s="81" t="s">
        <v>13</v>
      </c>
      <c r="B10" s="67"/>
      <c r="C10" s="67"/>
      <c r="D10" s="64"/>
      <c r="E10" s="3" t="s">
        <v>9</v>
      </c>
      <c r="F10" s="82" t="s">
        <v>14</v>
      </c>
      <c r="G10" s="64"/>
    </row>
    <row r="11" spans="1:7" ht="28" customHeight="1" x14ac:dyDescent="0.55000000000000004">
      <c r="A11" s="65" t="s">
        <v>15</v>
      </c>
      <c r="B11" s="67"/>
      <c r="C11" s="67"/>
      <c r="D11" s="64"/>
      <c r="E11" s="3" t="s">
        <v>9</v>
      </c>
      <c r="F11" s="78" t="s">
        <v>16</v>
      </c>
      <c r="G11" s="64"/>
    </row>
    <row r="12" spans="1:7" ht="28" customHeight="1" x14ac:dyDescent="0.55000000000000004">
      <c r="A12" s="81" t="s">
        <v>17</v>
      </c>
      <c r="B12" s="67"/>
      <c r="C12" s="67"/>
      <c r="D12" s="64"/>
      <c r="E12" s="3" t="s">
        <v>9</v>
      </c>
      <c r="F12" s="82" t="s">
        <v>18</v>
      </c>
      <c r="G12" s="64"/>
    </row>
    <row r="13" spans="1:7" ht="28" customHeight="1" x14ac:dyDescent="0.55000000000000004">
      <c r="A13" s="65" t="s">
        <v>19</v>
      </c>
      <c r="B13" s="67"/>
      <c r="C13" s="67"/>
      <c r="D13" s="64"/>
      <c r="E13" s="3" t="s">
        <v>9</v>
      </c>
      <c r="F13" s="78" t="s">
        <v>20</v>
      </c>
      <c r="G13" s="64"/>
    </row>
    <row r="14" spans="1:7" ht="28" customHeight="1" x14ac:dyDescent="0.55000000000000004">
      <c r="A14" s="81" t="s">
        <v>21</v>
      </c>
      <c r="B14" s="67"/>
      <c r="C14" s="67"/>
      <c r="D14" s="64"/>
      <c r="E14" s="3" t="s">
        <v>9</v>
      </c>
      <c r="F14" s="82" t="s">
        <v>22</v>
      </c>
      <c r="G14" s="64"/>
    </row>
    <row r="15" spans="1:7" ht="24" customHeight="1" x14ac:dyDescent="0.55000000000000004">
      <c r="A15" s="74" t="s">
        <v>23</v>
      </c>
      <c r="B15" s="67"/>
      <c r="C15" s="67"/>
      <c r="D15" s="64"/>
      <c r="E15" s="4" t="str">
        <f>IF(AND(E8="EVET",E9="EVET",E10="EVET",E11="EVET"),"OK - Hesaplanabilir","HATA - Ön koşul eksik")</f>
        <v>OK - Hesaplanabilir</v>
      </c>
      <c r="F15" s="72" t="s">
        <v>24</v>
      </c>
      <c r="G15" s="64"/>
    </row>
    <row r="16" spans="1:7" ht="5.05" customHeight="1" x14ac:dyDescent="0.55000000000000004">
      <c r="A16" s="1"/>
      <c r="B16" s="1"/>
      <c r="C16" s="1"/>
      <c r="D16" s="1"/>
      <c r="E16" s="1"/>
      <c r="F16" s="1"/>
      <c r="G16" s="1"/>
    </row>
    <row r="17" spans="1:7" ht="22" customHeight="1" x14ac:dyDescent="0.55000000000000004">
      <c r="A17" s="60" t="s">
        <v>25</v>
      </c>
      <c r="B17" s="61"/>
      <c r="C17" s="61"/>
      <c r="D17" s="61"/>
      <c r="E17" s="61"/>
      <c r="F17" s="61"/>
      <c r="G17" s="62"/>
    </row>
    <row r="18" spans="1:7" ht="22" customHeight="1" x14ac:dyDescent="0.55000000000000004">
      <c r="A18" s="81" t="s">
        <v>26</v>
      </c>
      <c r="B18" s="64"/>
      <c r="C18" s="66"/>
      <c r="D18" s="67"/>
      <c r="E18" s="64"/>
      <c r="F18" s="69" t="s">
        <v>27</v>
      </c>
      <c r="G18" s="64"/>
    </row>
    <row r="19" spans="1:7" ht="22" customHeight="1" x14ac:dyDescent="0.55000000000000004">
      <c r="A19" s="65" t="s">
        <v>28</v>
      </c>
      <c r="B19" s="64"/>
      <c r="C19" s="66"/>
      <c r="D19" s="67"/>
      <c r="E19" s="64"/>
      <c r="F19" s="68" t="s">
        <v>29</v>
      </c>
      <c r="G19" s="64"/>
    </row>
    <row r="20" spans="1:7" ht="22" customHeight="1" x14ac:dyDescent="0.55000000000000004">
      <c r="A20" s="81" t="s">
        <v>30</v>
      </c>
      <c r="B20" s="64"/>
      <c r="C20" s="66"/>
      <c r="D20" s="67"/>
      <c r="E20" s="64"/>
      <c r="F20" s="69" t="s">
        <v>31</v>
      </c>
      <c r="G20" s="64"/>
    </row>
    <row r="21" spans="1:7" ht="22" customHeight="1" x14ac:dyDescent="0.55000000000000004">
      <c r="A21" s="65" t="s">
        <v>32</v>
      </c>
      <c r="B21" s="64"/>
      <c r="C21" s="66"/>
      <c r="D21" s="67"/>
      <c r="E21" s="64"/>
      <c r="F21" s="68" t="s">
        <v>33</v>
      </c>
      <c r="G21" s="64"/>
    </row>
    <row r="22" spans="1:7" ht="22" customHeight="1" x14ac:dyDescent="0.55000000000000004">
      <c r="A22" s="81" t="s">
        <v>34</v>
      </c>
      <c r="B22" s="64"/>
      <c r="C22" s="66"/>
      <c r="D22" s="67"/>
      <c r="E22" s="64"/>
      <c r="F22" s="69" t="s">
        <v>35</v>
      </c>
      <c r="G22" s="64"/>
    </row>
    <row r="23" spans="1:7" ht="22" customHeight="1" x14ac:dyDescent="0.55000000000000004">
      <c r="A23" s="65" t="s">
        <v>36</v>
      </c>
      <c r="B23" s="64"/>
      <c r="C23" s="66"/>
      <c r="D23" s="67"/>
      <c r="E23" s="64"/>
      <c r="F23" s="68" t="s">
        <v>37</v>
      </c>
      <c r="G23" s="64"/>
    </row>
    <row r="24" spans="1:7" ht="22" customHeight="1" x14ac:dyDescent="0.55000000000000004">
      <c r="A24" s="81" t="s">
        <v>38</v>
      </c>
      <c r="B24" s="64"/>
      <c r="C24" s="66"/>
      <c r="D24" s="67"/>
      <c r="E24" s="64"/>
      <c r="F24" s="69" t="s">
        <v>39</v>
      </c>
      <c r="G24" s="64"/>
    </row>
    <row r="26" spans="1:7" ht="5.05" customHeight="1" x14ac:dyDescent="0.55000000000000004">
      <c r="A26" s="1"/>
      <c r="B26" s="1"/>
      <c r="C26" s="1"/>
      <c r="D26" s="1"/>
      <c r="E26" s="1"/>
      <c r="F26" s="1"/>
      <c r="G26" s="1"/>
    </row>
    <row r="27" spans="1:7" ht="24" customHeight="1" x14ac:dyDescent="0.55000000000000004">
      <c r="A27" s="60" t="s">
        <v>40</v>
      </c>
      <c r="B27" s="61"/>
      <c r="C27" s="61"/>
      <c r="D27" s="61"/>
      <c r="E27" s="61"/>
      <c r="F27" s="61"/>
      <c r="G27" s="62"/>
    </row>
    <row r="28" spans="1:7" ht="18" customHeight="1" x14ac:dyDescent="0.55000000000000004">
      <c r="A28" s="2"/>
      <c r="B28" s="2" t="s">
        <v>41</v>
      </c>
      <c r="C28" s="2"/>
      <c r="D28" s="2" t="s">
        <v>42</v>
      </c>
      <c r="E28" s="2"/>
      <c r="F28" s="2" t="s">
        <v>43</v>
      </c>
      <c r="G28" s="2" t="s">
        <v>44</v>
      </c>
    </row>
    <row r="29" spans="1:7" ht="26.05" customHeight="1" x14ac:dyDescent="0.55000000000000004">
      <c r="A29" s="65" t="s">
        <v>45</v>
      </c>
      <c r="B29" s="64"/>
      <c r="C29" s="3" t="s">
        <v>46</v>
      </c>
      <c r="D29" s="68" t="s">
        <v>47</v>
      </c>
      <c r="E29" s="64"/>
      <c r="F29" s="63" t="s">
        <v>48</v>
      </c>
      <c r="G29" s="64"/>
    </row>
    <row r="30" spans="1:7" ht="26.05" customHeight="1" x14ac:dyDescent="0.55000000000000004">
      <c r="A30" s="81" t="s">
        <v>49</v>
      </c>
      <c r="B30" s="64"/>
      <c r="C30" s="3" t="s">
        <v>35</v>
      </c>
      <c r="D30" s="69" t="s">
        <v>50</v>
      </c>
      <c r="E30" s="64"/>
      <c r="F30" s="84" t="s">
        <v>51</v>
      </c>
      <c r="G30" s="64"/>
    </row>
    <row r="31" spans="1:7" ht="26.05" customHeight="1" x14ac:dyDescent="0.55000000000000004">
      <c r="A31" s="65" t="s">
        <v>52</v>
      </c>
      <c r="B31" s="64"/>
      <c r="C31" s="3" t="s">
        <v>53</v>
      </c>
      <c r="D31" s="68" t="s">
        <v>54</v>
      </c>
      <c r="E31" s="64"/>
      <c r="F31" s="63" t="s">
        <v>55</v>
      </c>
      <c r="G31" s="64"/>
    </row>
    <row r="32" spans="1:7" ht="26.05" customHeight="1" x14ac:dyDescent="0.55000000000000004">
      <c r="A32" s="81" t="s">
        <v>56</v>
      </c>
      <c r="B32" s="64"/>
      <c r="C32" s="5"/>
      <c r="D32" s="69" t="s">
        <v>57</v>
      </c>
      <c r="E32" s="64"/>
      <c r="F32" s="84" t="s">
        <v>58</v>
      </c>
      <c r="G32" s="64"/>
    </row>
    <row r="33" spans="1:7" ht="26.05" customHeight="1" x14ac:dyDescent="0.55000000000000004">
      <c r="A33" s="77" t="s">
        <v>59</v>
      </c>
      <c r="B33" s="64"/>
      <c r="C33" s="5"/>
      <c r="D33" s="68" t="s">
        <v>60</v>
      </c>
      <c r="E33" s="64"/>
      <c r="F33" s="63" t="s">
        <v>61</v>
      </c>
      <c r="G33" s="64"/>
    </row>
    <row r="34" spans="1:7" ht="26.05" customHeight="1" x14ac:dyDescent="0.55000000000000004">
      <c r="A34" s="81" t="s">
        <v>62</v>
      </c>
      <c r="B34" s="64"/>
      <c r="C34" s="5"/>
      <c r="D34" s="69" t="s">
        <v>63</v>
      </c>
      <c r="E34" s="64"/>
      <c r="F34" s="84" t="s">
        <v>64</v>
      </c>
      <c r="G34" s="64"/>
    </row>
    <row r="35" spans="1:7" ht="26.05" customHeight="1" x14ac:dyDescent="0.55000000000000004">
      <c r="A35" s="77" t="s">
        <v>65</v>
      </c>
      <c r="B35" s="64"/>
      <c r="C35" s="6">
        <f>C33+C34</f>
        <v>0</v>
      </c>
      <c r="D35" s="68" t="s">
        <v>66</v>
      </c>
      <c r="E35" s="64"/>
      <c r="F35" s="63" t="s">
        <v>67</v>
      </c>
      <c r="G35" s="64"/>
    </row>
    <row r="36" spans="1:7" ht="26.05" customHeight="1" x14ac:dyDescent="0.55000000000000004">
      <c r="A36" s="90" t="s">
        <v>68</v>
      </c>
      <c r="B36" s="64"/>
      <c r="C36" s="5"/>
      <c r="D36" s="69" t="s">
        <v>69</v>
      </c>
      <c r="E36" s="64"/>
      <c r="F36" s="84" t="s">
        <v>70</v>
      </c>
      <c r="G36" s="64"/>
    </row>
    <row r="37" spans="1:7" ht="5.05" customHeight="1" x14ac:dyDescent="0.55000000000000004">
      <c r="A37" s="1"/>
      <c r="B37" s="1"/>
      <c r="C37" s="1"/>
      <c r="D37" s="1"/>
      <c r="E37" s="1"/>
      <c r="F37" s="1"/>
      <c r="G37" s="1"/>
    </row>
    <row r="38" spans="1:7" ht="24" customHeight="1" x14ac:dyDescent="0.55000000000000004">
      <c r="A38" s="60" t="s">
        <v>71</v>
      </c>
      <c r="B38" s="61"/>
      <c r="C38" s="61"/>
      <c r="D38" s="61"/>
      <c r="E38" s="61"/>
      <c r="F38" s="61"/>
      <c r="G38" s="62"/>
    </row>
    <row r="39" spans="1:7" ht="22" customHeight="1" x14ac:dyDescent="0.55000000000000004">
      <c r="A39" s="73" t="s">
        <v>72</v>
      </c>
      <c r="B39" s="67"/>
      <c r="C39" s="67"/>
      <c r="D39" s="67"/>
      <c r="E39" s="67"/>
      <c r="F39" s="67"/>
      <c r="G39" s="64"/>
    </row>
    <row r="40" spans="1:7" ht="18" customHeight="1" x14ac:dyDescent="0.55000000000000004">
      <c r="A40" s="7" t="s">
        <v>73</v>
      </c>
      <c r="B40" s="7" t="s">
        <v>74</v>
      </c>
      <c r="C40" s="7" t="s">
        <v>75</v>
      </c>
      <c r="D40" s="7" t="s">
        <v>76</v>
      </c>
      <c r="E40" s="7" t="s">
        <v>77</v>
      </c>
      <c r="F40" s="7" t="s">
        <v>78</v>
      </c>
      <c r="G40" s="7" t="s">
        <v>79</v>
      </c>
    </row>
    <row r="41" spans="1:7" ht="26.05" customHeight="1" x14ac:dyDescent="0.55000000000000004">
      <c r="A41" s="8"/>
      <c r="B41" s="9"/>
      <c r="C41" s="10"/>
      <c r="D41" s="10"/>
      <c r="E41" s="11">
        <f t="shared" ref="E41:E46" si="0">IF(OR(C41&gt;0,D41&gt;0),C41+D41,0)</f>
        <v>0</v>
      </c>
      <c r="F41" s="12">
        <f t="shared" ref="F41:F46" si="1">E41</f>
        <v>0</v>
      </c>
      <c r="G41" s="13"/>
    </row>
    <row r="42" spans="1:7" ht="26.05" customHeight="1" x14ac:dyDescent="0.55000000000000004">
      <c r="A42" s="8"/>
      <c r="B42" s="9"/>
      <c r="C42" s="10"/>
      <c r="D42" s="10"/>
      <c r="E42" s="14">
        <f t="shared" si="0"/>
        <v>0</v>
      </c>
      <c r="F42" s="12">
        <f t="shared" si="1"/>
        <v>0</v>
      </c>
      <c r="G42" s="13"/>
    </row>
    <row r="43" spans="1:7" ht="26.05" customHeight="1" x14ac:dyDescent="0.55000000000000004">
      <c r="A43" s="8"/>
      <c r="B43" s="9"/>
      <c r="C43" s="10"/>
      <c r="D43" s="10"/>
      <c r="E43" s="11">
        <f t="shared" si="0"/>
        <v>0</v>
      </c>
      <c r="F43" s="12">
        <f t="shared" si="1"/>
        <v>0</v>
      </c>
      <c r="G43" s="13"/>
    </row>
    <row r="44" spans="1:7" ht="26.05" customHeight="1" x14ac:dyDescent="0.55000000000000004">
      <c r="A44" s="8"/>
      <c r="B44" s="9"/>
      <c r="C44" s="10"/>
      <c r="D44" s="10"/>
      <c r="E44" s="14">
        <f t="shared" si="0"/>
        <v>0</v>
      </c>
      <c r="F44" s="12">
        <f t="shared" si="1"/>
        <v>0</v>
      </c>
      <c r="G44" s="13"/>
    </row>
    <row r="45" spans="1:7" ht="26.05" customHeight="1" x14ac:dyDescent="0.55000000000000004">
      <c r="A45" s="8"/>
      <c r="B45" s="9"/>
      <c r="C45" s="10"/>
      <c r="D45" s="10"/>
      <c r="E45" s="11">
        <f t="shared" si="0"/>
        <v>0</v>
      </c>
      <c r="F45" s="12">
        <f t="shared" si="1"/>
        <v>0</v>
      </c>
      <c r="G45" s="13"/>
    </row>
    <row r="46" spans="1:7" ht="26.05" customHeight="1" x14ac:dyDescent="0.55000000000000004">
      <c r="A46" s="8"/>
      <c r="B46" s="9"/>
      <c r="C46" s="10"/>
      <c r="D46" s="10"/>
      <c r="E46" s="14">
        <f t="shared" si="0"/>
        <v>0</v>
      </c>
      <c r="F46" s="12">
        <f t="shared" si="1"/>
        <v>0</v>
      </c>
      <c r="G46" s="13"/>
    </row>
    <row r="47" spans="1:7" ht="30" customHeight="1" x14ac:dyDescent="0.55000000000000004">
      <c r="A47" s="98" t="s">
        <v>80</v>
      </c>
      <c r="B47" s="64"/>
      <c r="C47" s="15">
        <f>SUM(C41:C46)</f>
        <v>0</v>
      </c>
      <c r="D47" s="15">
        <f>SUM(D41:D46)</f>
        <v>0</v>
      </c>
      <c r="E47" s="16">
        <f>SUM(E41:E46)</f>
        <v>0</v>
      </c>
      <c r="F47" s="17">
        <f>SUM(F41:F46)</f>
        <v>0</v>
      </c>
      <c r="G47" s="91" t="s">
        <v>81</v>
      </c>
    </row>
    <row r="48" spans="1:7" ht="5.05" customHeight="1" x14ac:dyDescent="0.55000000000000004">
      <c r="A48" s="1"/>
      <c r="B48" s="1"/>
      <c r="C48" s="1"/>
      <c r="D48" s="1"/>
      <c r="E48" s="1"/>
      <c r="F48" s="1"/>
      <c r="G48" s="1"/>
    </row>
    <row r="49" spans="1:7" ht="24" customHeight="1" x14ac:dyDescent="0.55000000000000004">
      <c r="A49" s="60" t="s">
        <v>82</v>
      </c>
      <c r="B49" s="61"/>
      <c r="C49" s="61"/>
      <c r="D49" s="61"/>
      <c r="E49" s="61"/>
      <c r="F49" s="61"/>
      <c r="G49" s="62"/>
    </row>
    <row r="50" spans="1:7" ht="18" customHeight="1" x14ac:dyDescent="0.55000000000000004">
      <c r="A50" s="2"/>
      <c r="B50" s="2" t="s">
        <v>83</v>
      </c>
      <c r="C50" s="2"/>
      <c r="D50" s="2" t="s">
        <v>84</v>
      </c>
      <c r="E50" s="2"/>
      <c r="F50" s="2" t="s">
        <v>43</v>
      </c>
      <c r="G50" s="2" t="s">
        <v>85</v>
      </c>
    </row>
    <row r="51" spans="1:7" ht="28" customHeight="1" x14ac:dyDescent="0.55000000000000004">
      <c r="A51" s="65" t="s">
        <v>86</v>
      </c>
      <c r="B51" s="64"/>
      <c r="C51" s="18">
        <f>C47</f>
        <v>0</v>
      </c>
      <c r="D51" s="68" t="s">
        <v>87</v>
      </c>
      <c r="E51" s="64"/>
      <c r="F51" s="78"/>
      <c r="G51" s="64"/>
    </row>
    <row r="52" spans="1:7" ht="28" customHeight="1" x14ac:dyDescent="0.55000000000000004">
      <c r="A52" s="81" t="s">
        <v>88</v>
      </c>
      <c r="B52" s="64"/>
      <c r="C52" s="18">
        <f>D47</f>
        <v>0</v>
      </c>
      <c r="D52" s="69" t="s">
        <v>89</v>
      </c>
      <c r="E52" s="64"/>
      <c r="F52" s="82"/>
      <c r="G52" s="64"/>
    </row>
    <row r="53" spans="1:7" ht="28" customHeight="1" x14ac:dyDescent="0.55000000000000004">
      <c r="A53" s="65" t="s">
        <v>90</v>
      </c>
      <c r="B53" s="64"/>
      <c r="C53" s="18">
        <f>E47</f>
        <v>0</v>
      </c>
      <c r="D53" s="68" t="s">
        <v>91</v>
      </c>
      <c r="E53" s="64"/>
      <c r="F53" s="78"/>
      <c r="G53" s="64"/>
    </row>
    <row r="54" spans="1:7" ht="28" customHeight="1" x14ac:dyDescent="0.55000000000000004">
      <c r="A54" s="70" t="s">
        <v>92</v>
      </c>
      <c r="B54" s="64"/>
      <c r="C54" s="19" t="s">
        <v>93</v>
      </c>
      <c r="D54" s="96" t="s">
        <v>94</v>
      </c>
      <c r="E54" s="64"/>
      <c r="F54" s="83" t="s">
        <v>95</v>
      </c>
      <c r="G54" s="64"/>
    </row>
    <row r="55" spans="1:7" ht="28" customHeight="1" x14ac:dyDescent="0.55000000000000004">
      <c r="A55" s="92" t="s">
        <v>96</v>
      </c>
      <c r="B55" s="64"/>
      <c r="C55" s="20">
        <f>F47</f>
        <v>0</v>
      </c>
      <c r="D55" s="94" t="s">
        <v>97</v>
      </c>
      <c r="E55" s="64"/>
      <c r="F55" s="97" t="s">
        <v>95</v>
      </c>
      <c r="G55" s="64"/>
    </row>
    <row r="56" spans="1:7" ht="28" customHeight="1" x14ac:dyDescent="0.55000000000000004">
      <c r="A56" s="76" t="s">
        <v>98</v>
      </c>
      <c r="B56" s="64"/>
      <c r="C56" s="21" t="s">
        <v>99</v>
      </c>
      <c r="D56" s="79" t="s">
        <v>100</v>
      </c>
      <c r="E56" s="64"/>
      <c r="F56" s="80" t="s">
        <v>101</v>
      </c>
      <c r="G56" s="64"/>
    </row>
    <row r="57" spans="1:7" ht="5.05" customHeight="1" x14ac:dyDescent="0.55000000000000004">
      <c r="A57" s="1"/>
      <c r="B57" s="1"/>
      <c r="C57" s="1"/>
      <c r="D57" s="1"/>
      <c r="E57" s="1"/>
      <c r="F57" s="1"/>
      <c r="G57" s="1"/>
    </row>
    <row r="58" spans="1:7" ht="32.049999999999997" customHeight="1" x14ac:dyDescent="0.55000000000000004">
      <c r="A58" s="71" t="s">
        <v>102</v>
      </c>
      <c r="B58" s="67"/>
      <c r="C58" s="67"/>
      <c r="D58" s="64"/>
      <c r="E58" s="22" t="str">
        <f>D55</f>
        <v>→ Beyanname 478 | Kazancın Bulunması Halinde</v>
      </c>
      <c r="F58" s="99" t="s">
        <v>103</v>
      </c>
      <c r="G58" s="64"/>
    </row>
    <row r="59" spans="1:7" ht="30" customHeight="1" x14ac:dyDescent="0.55000000000000004">
      <c r="A59" s="75" t="s">
        <v>104</v>
      </c>
      <c r="B59" s="67"/>
      <c r="C59" s="67"/>
      <c r="D59" s="67"/>
      <c r="E59" s="67"/>
      <c r="F59" s="67"/>
      <c r="G59" s="64"/>
    </row>
  </sheetData>
  <mergeCells count="94">
    <mergeCell ref="A2:G2"/>
    <mergeCell ref="F14:G14"/>
    <mergeCell ref="D54:E54"/>
    <mergeCell ref="A14:D14"/>
    <mergeCell ref="F11:G11"/>
    <mergeCell ref="A24:B24"/>
    <mergeCell ref="F12:G12"/>
    <mergeCell ref="F24:G24"/>
    <mergeCell ref="F51:G51"/>
    <mergeCell ref="D32:E32"/>
    <mergeCell ref="F32:G32"/>
    <mergeCell ref="A18:B18"/>
    <mergeCell ref="F35:G35"/>
    <mergeCell ref="C19:E19"/>
    <mergeCell ref="A47:B47"/>
    <mergeCell ref="F52:G52"/>
    <mergeCell ref="F8:G8"/>
    <mergeCell ref="A21:B21"/>
    <mergeCell ref="A6:G6"/>
    <mergeCell ref="A32:B32"/>
    <mergeCell ref="F22:G22"/>
    <mergeCell ref="A23:B23"/>
    <mergeCell ref="D30:E30"/>
    <mergeCell ref="A12:D12"/>
    <mergeCell ref="A20:B20"/>
    <mergeCell ref="A29:B29"/>
    <mergeCell ref="A27:G27"/>
    <mergeCell ref="A31:B31"/>
    <mergeCell ref="A1:G1"/>
    <mergeCell ref="F31:G31"/>
    <mergeCell ref="F9:G9"/>
    <mergeCell ref="C24:E24"/>
    <mergeCell ref="A52:B52"/>
    <mergeCell ref="A3:G3"/>
    <mergeCell ref="D29:E29"/>
    <mergeCell ref="A34:B34"/>
    <mergeCell ref="A8:D8"/>
    <mergeCell ref="A4:G4"/>
    <mergeCell ref="A36:B36"/>
    <mergeCell ref="A38:G38"/>
    <mergeCell ref="G47"/>
    <mergeCell ref="A10:D10"/>
    <mergeCell ref="F21:G21"/>
    <mergeCell ref="D52:E52"/>
    <mergeCell ref="A9:D9"/>
    <mergeCell ref="F30:G30"/>
    <mergeCell ref="F20:G20"/>
    <mergeCell ref="F18:G18"/>
    <mergeCell ref="F33:G33"/>
    <mergeCell ref="A11:D11"/>
    <mergeCell ref="F10:G10"/>
    <mergeCell ref="F54:G54"/>
    <mergeCell ref="D34:E34"/>
    <mergeCell ref="F19:G19"/>
    <mergeCell ref="C22:E22"/>
    <mergeCell ref="F34:G34"/>
    <mergeCell ref="A49:G49"/>
    <mergeCell ref="D53:E53"/>
    <mergeCell ref="F36:G36"/>
    <mergeCell ref="F53:G53"/>
    <mergeCell ref="A59:G59"/>
    <mergeCell ref="A56:B56"/>
    <mergeCell ref="A33:B33"/>
    <mergeCell ref="F23:G23"/>
    <mergeCell ref="C18:E18"/>
    <mergeCell ref="D56:E56"/>
    <mergeCell ref="F56:G56"/>
    <mergeCell ref="A22:B22"/>
    <mergeCell ref="A53:B53"/>
    <mergeCell ref="A35:B35"/>
    <mergeCell ref="D33:E33"/>
    <mergeCell ref="A19:B19"/>
    <mergeCell ref="D51:E51"/>
    <mergeCell ref="C20:E20"/>
    <mergeCell ref="D35:E35"/>
    <mergeCell ref="A30:B30"/>
    <mergeCell ref="A13:D13"/>
    <mergeCell ref="A54:B54"/>
    <mergeCell ref="A58:D58"/>
    <mergeCell ref="F15:G15"/>
    <mergeCell ref="C23:E23"/>
    <mergeCell ref="A39:G39"/>
    <mergeCell ref="A15:D15"/>
    <mergeCell ref="F13:G13"/>
    <mergeCell ref="A55:B55"/>
    <mergeCell ref="D55:E55"/>
    <mergeCell ref="F55:G55"/>
    <mergeCell ref="F58:G58"/>
    <mergeCell ref="A17:G17"/>
    <mergeCell ref="F29:G29"/>
    <mergeCell ref="A51:B51"/>
    <mergeCell ref="C21:E21"/>
    <mergeCell ref="D31:E31"/>
    <mergeCell ref="D36:E36"/>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10">
    <dataValidation type="list" sqref="E8" xr:uid="{00000000-0002-0000-0000-000000000000}">
      <formula1>"EVET,HAYIR-Kapsam Dışı Kurum"</formula1>
    </dataValidation>
    <dataValidation type="list" sqref="E9" xr:uid="{00000000-0002-0000-0000-000001000000}">
      <formula1>"EVET,HAYIR-Taahhüt Aşamasında"</formula1>
    </dataValidation>
    <dataValidation type="list" sqref="E10" xr:uid="{00000000-0002-0000-0000-000002000000}">
      <formula1>"EVET,HAYIR-Belge Eksik"</formula1>
    </dataValidation>
    <dataValidation type="list" sqref="E11" xr:uid="{00000000-0002-0000-0000-000003000000}">
      <formula1>"EVET,HAYIR-Amaç Dışı"</formula1>
    </dataValidation>
    <dataValidation type="list" sqref="E12" xr:uid="{00000000-0002-0000-0000-000004000000}">
      <formula1>"EVET,HAYIR-Değerleme Eksik,Uygulanmaz-Yalnızca Nakdi"</formula1>
    </dataValidation>
    <dataValidation type="list" sqref="E13" xr:uid="{00000000-0002-0000-0000-000005000000}">
      <formula1>"EVET,HAYIR-Eksik"</formula1>
    </dataValidation>
    <dataValidation type="list" sqref="E14" xr:uid="{00000000-0002-0000-0000-000006000000}">
      <formula1>"EVET,Tam Tasdik"</formula1>
    </dataValidation>
    <dataValidation type="list" sqref="C29" xr:uid="{00000000-0002-0000-0000-000007000000}">
      <formula1>"Nakdi (Banka Transferi/EFT/Havale),Ayni (Cihaz/Ekipman/Sarf Malzeme/Bilimsel Materyal),Karma (Nakdi + Ayni)"</formula1>
    </dataValidation>
    <dataValidation type="list" sqref="C30" xr:uid="{00000000-0002-0000-0000-000008000000}">
      <formula1>"Türkiye Sağlık Enstitüleri Başkanlığı (TÜSEB),TÜSEB Bünyesindeki Enstitü/Merkez,TÜSEB Bünyesindeki Ar-Ge Fonu/Programı,Diğer 6569 s.K. Kapsamı"</formula1>
    </dataValidation>
    <dataValidation type="list" sqref="C31" xr:uid="{00000000-0002-0000-0000-000009000000}">
      <formula1>"Sağlık Ar-Ge Projelerine Destek,Tıbbi Cihaz ve Ekipman Bağışı,Biyoteknoloji ve İlaç Araştırması,Sağlık Bilimleri Eğitimi ve Burs Desteği,TÜSEB Genel Faaliyet Desteği,Diğer 6569 s.K. Kapsamı Sağlık Ar-Ge Faaliyeti"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sheetViews>
  <sheetFormatPr defaultRowHeight="14.4" x14ac:dyDescent="0.55000000000000004"/>
  <cols>
    <col min="1" max="1" width="4" customWidth="1"/>
    <col min="2" max="2" width="42" customWidth="1"/>
    <col min="3" max="4" width="15" customWidth="1"/>
    <col min="5" max="5" width="14" customWidth="1"/>
    <col min="6" max="6" width="12" customWidth="1"/>
    <col min="7" max="7" width="18" customWidth="1"/>
  </cols>
  <sheetData>
    <row r="1" spans="1:7" ht="36" customHeight="1" x14ac:dyDescent="0.55000000000000004">
      <c r="A1" s="107" t="s">
        <v>105</v>
      </c>
      <c r="B1" s="61"/>
      <c r="C1" s="61"/>
      <c r="D1" s="61"/>
      <c r="E1" s="61"/>
      <c r="F1" s="61"/>
      <c r="G1" s="62"/>
    </row>
    <row r="2" spans="1:7" ht="20.05" customHeight="1" x14ac:dyDescent="0.55000000000000004">
      <c r="A2" s="112" t="s">
        <v>106</v>
      </c>
      <c r="B2" s="67"/>
      <c r="C2" s="67"/>
      <c r="D2" s="67"/>
      <c r="E2" s="67"/>
      <c r="F2" s="67"/>
      <c r="G2" s="64"/>
    </row>
    <row r="3" spans="1:7" ht="5.05" customHeight="1" x14ac:dyDescent="0.55000000000000004">
      <c r="A3" s="1"/>
      <c r="B3" s="1"/>
      <c r="C3" s="1"/>
      <c r="D3" s="1"/>
      <c r="E3" s="1"/>
      <c r="F3" s="1"/>
      <c r="G3" s="1"/>
    </row>
    <row r="4" spans="1:7" ht="22" customHeight="1" x14ac:dyDescent="0.55000000000000004">
      <c r="A4" s="104" t="s">
        <v>107</v>
      </c>
      <c r="B4" s="61"/>
      <c r="C4" s="61"/>
      <c r="D4" s="61"/>
      <c r="E4" s="61"/>
      <c r="F4" s="61"/>
      <c r="G4" s="62"/>
    </row>
    <row r="5" spans="1:7" ht="22" customHeight="1" x14ac:dyDescent="0.55000000000000004">
      <c r="A5" s="106" t="s">
        <v>108</v>
      </c>
      <c r="B5" s="67"/>
      <c r="C5" s="64"/>
      <c r="D5" s="23" t="str">
        <f>'VERİ GİRİŞİ'!E15</f>
        <v>OK - Hesaplanabilir</v>
      </c>
      <c r="E5" s="78" t="s">
        <v>109</v>
      </c>
      <c r="F5" s="67"/>
      <c r="G5" s="64"/>
    </row>
    <row r="6" spans="1:7" ht="22" customHeight="1" x14ac:dyDescent="0.55000000000000004">
      <c r="A6" s="110" t="s">
        <v>110</v>
      </c>
      <c r="B6" s="67"/>
      <c r="C6" s="64"/>
      <c r="D6" s="23" t="str">
        <f>'VERİ GİRİŞİ'!C30</f>
        <v>Türkiye Sağlık Enstitüleri Başkanlığı (TÜSEB)</v>
      </c>
      <c r="E6" s="82" t="s">
        <v>111</v>
      </c>
      <c r="F6" s="67"/>
      <c r="G6" s="64"/>
    </row>
    <row r="7" spans="1:7" ht="22" customHeight="1" x14ac:dyDescent="0.55000000000000004">
      <c r="A7" s="106" t="s">
        <v>112</v>
      </c>
      <c r="B7" s="67"/>
      <c r="C7" s="64"/>
      <c r="D7" s="23">
        <f>'VERİ GİRİŞİ'!C53</f>
        <v>0</v>
      </c>
      <c r="E7" s="78" t="s">
        <v>113</v>
      </c>
      <c r="F7" s="67"/>
      <c r="G7" s="64"/>
    </row>
    <row r="8" spans="1:7" ht="22" customHeight="1" x14ac:dyDescent="0.55000000000000004">
      <c r="A8" s="74" t="s">
        <v>114</v>
      </c>
      <c r="B8" s="67"/>
      <c r="C8" s="64"/>
      <c r="D8" s="24">
        <f>'VERİ GİRİŞİ'!C55</f>
        <v>0</v>
      </c>
      <c r="E8" s="97"/>
      <c r="F8" s="67"/>
      <c r="G8" s="64"/>
    </row>
    <row r="9" spans="1:7" ht="22" customHeight="1" x14ac:dyDescent="0.55000000000000004">
      <c r="A9" s="108" t="s">
        <v>115</v>
      </c>
      <c r="B9" s="67"/>
      <c r="C9" s="64"/>
      <c r="D9" s="21" t="s">
        <v>116</v>
      </c>
      <c r="E9" s="80" t="s">
        <v>117</v>
      </c>
      <c r="F9" s="67"/>
      <c r="G9" s="64"/>
    </row>
    <row r="10" spans="1:7" ht="5.05" customHeight="1" x14ac:dyDescent="0.55000000000000004">
      <c r="A10" s="1"/>
      <c r="B10" s="1"/>
      <c r="C10" s="1"/>
      <c r="D10" s="1"/>
      <c r="E10" s="1"/>
      <c r="F10" s="1"/>
      <c r="G10" s="1"/>
    </row>
    <row r="11" spans="1:7" ht="22" customHeight="1" x14ac:dyDescent="0.55000000000000004">
      <c r="A11" s="60" t="s">
        <v>118</v>
      </c>
      <c r="B11" s="61"/>
      <c r="C11" s="61"/>
      <c r="D11" s="61"/>
      <c r="E11" s="61"/>
      <c r="F11" s="61"/>
      <c r="G11" s="62"/>
    </row>
    <row r="12" spans="1:7" ht="84" customHeight="1" x14ac:dyDescent="0.55000000000000004">
      <c r="A12" s="111" t="s">
        <v>119</v>
      </c>
      <c r="B12" s="67"/>
      <c r="C12" s="67"/>
      <c r="D12" s="67"/>
      <c r="E12" s="67"/>
      <c r="F12" s="67"/>
      <c r="G12" s="64"/>
    </row>
    <row r="13" spans="1:7" ht="5.05" customHeight="1" x14ac:dyDescent="0.55000000000000004">
      <c r="A13" s="1"/>
      <c r="B13" s="1"/>
      <c r="C13" s="1"/>
      <c r="D13" s="1"/>
      <c r="E13" s="1"/>
      <c r="F13" s="1"/>
      <c r="G13" s="1"/>
    </row>
    <row r="14" spans="1:7" ht="22" customHeight="1" x14ac:dyDescent="0.55000000000000004">
      <c r="A14" s="60" t="s">
        <v>120</v>
      </c>
      <c r="B14" s="61"/>
      <c r="C14" s="61"/>
      <c r="D14" s="61"/>
      <c r="E14" s="61"/>
      <c r="F14" s="61"/>
      <c r="G14" s="62"/>
    </row>
    <row r="15" spans="1:7" ht="18" customHeight="1" x14ac:dyDescent="0.55000000000000004">
      <c r="A15" s="2"/>
      <c r="B15" s="2" t="s">
        <v>121</v>
      </c>
      <c r="C15" s="2"/>
      <c r="D15" s="2" t="s">
        <v>43</v>
      </c>
      <c r="E15" s="2"/>
      <c r="F15" s="2" t="s">
        <v>122</v>
      </c>
      <c r="G15" s="2"/>
    </row>
    <row r="16" spans="1:7" ht="20.05" customHeight="1" x14ac:dyDescent="0.55000000000000004">
      <c r="A16" s="25" t="s">
        <v>123</v>
      </c>
      <c r="B16" s="101" t="s">
        <v>124</v>
      </c>
      <c r="C16" s="64"/>
      <c r="D16" s="103" t="s">
        <v>125</v>
      </c>
      <c r="E16" s="64"/>
      <c r="F16" s="13" t="s">
        <v>126</v>
      </c>
      <c r="G16" s="28"/>
    </row>
    <row r="17" spans="1:7" ht="20.05" customHeight="1" x14ac:dyDescent="0.55000000000000004">
      <c r="A17" s="25" t="s">
        <v>127</v>
      </c>
      <c r="B17" s="101" t="s">
        <v>128</v>
      </c>
      <c r="C17" s="64"/>
      <c r="D17" s="103" t="s">
        <v>129</v>
      </c>
      <c r="E17" s="64"/>
      <c r="F17" s="13" t="s">
        <v>126</v>
      </c>
      <c r="G17" s="29"/>
    </row>
    <row r="18" spans="1:7" ht="20.05" customHeight="1" x14ac:dyDescent="0.55000000000000004">
      <c r="A18" s="25" t="s">
        <v>130</v>
      </c>
      <c r="B18" s="101" t="s">
        <v>131</v>
      </c>
      <c r="C18" s="64"/>
      <c r="D18" s="103" t="s">
        <v>132</v>
      </c>
      <c r="E18" s="64"/>
      <c r="F18" s="13" t="s">
        <v>126</v>
      </c>
      <c r="G18" s="28"/>
    </row>
    <row r="19" spans="1:7" ht="20.05" customHeight="1" x14ac:dyDescent="0.55000000000000004">
      <c r="A19" s="25" t="s">
        <v>133</v>
      </c>
      <c r="B19" s="101" t="s">
        <v>134</v>
      </c>
      <c r="C19" s="64"/>
      <c r="D19" s="103" t="s">
        <v>135</v>
      </c>
      <c r="E19" s="64"/>
      <c r="F19" s="13" t="s">
        <v>126</v>
      </c>
      <c r="G19" s="29"/>
    </row>
    <row r="20" spans="1:7" ht="20.05" customHeight="1" x14ac:dyDescent="0.55000000000000004">
      <c r="A20" s="25" t="s">
        <v>136</v>
      </c>
      <c r="B20" s="109" t="s">
        <v>137</v>
      </c>
      <c r="C20" s="64"/>
      <c r="D20" s="100" t="s">
        <v>138</v>
      </c>
      <c r="E20" s="64"/>
      <c r="F20" s="13" t="s">
        <v>126</v>
      </c>
      <c r="G20" s="28"/>
    </row>
    <row r="21" spans="1:7" ht="20.05" customHeight="1" x14ac:dyDescent="0.55000000000000004">
      <c r="A21" s="25" t="s">
        <v>139</v>
      </c>
      <c r="B21" s="102" t="s">
        <v>140</v>
      </c>
      <c r="C21" s="64"/>
      <c r="D21" s="105" t="s">
        <v>141</v>
      </c>
      <c r="E21" s="64"/>
      <c r="F21" s="13" t="s">
        <v>126</v>
      </c>
      <c r="G21" s="29"/>
    </row>
    <row r="22" spans="1:7" ht="20.05" customHeight="1" x14ac:dyDescent="0.55000000000000004">
      <c r="A22" s="25" t="s">
        <v>142</v>
      </c>
      <c r="B22" s="101" t="s">
        <v>143</v>
      </c>
      <c r="C22" s="64"/>
      <c r="D22" s="103" t="s">
        <v>144</v>
      </c>
      <c r="E22" s="64"/>
      <c r="F22" s="13" t="s">
        <v>126</v>
      </c>
      <c r="G22" s="28"/>
    </row>
    <row r="23" spans="1:7" ht="20.05" customHeight="1" x14ac:dyDescent="0.55000000000000004">
      <c r="A23" s="25" t="s">
        <v>145</v>
      </c>
      <c r="B23" s="102" t="s">
        <v>146</v>
      </c>
      <c r="C23" s="64"/>
      <c r="D23" s="105" t="s">
        <v>147</v>
      </c>
      <c r="E23" s="64"/>
      <c r="F23" s="13" t="s">
        <v>126</v>
      </c>
      <c r="G23" s="29"/>
    </row>
    <row r="24" spans="1:7" ht="20.05" customHeight="1" x14ac:dyDescent="0.55000000000000004">
      <c r="A24" s="25" t="s">
        <v>148</v>
      </c>
      <c r="B24" s="109" t="s">
        <v>149</v>
      </c>
      <c r="C24" s="64"/>
      <c r="D24" s="100" t="s">
        <v>150</v>
      </c>
      <c r="E24" s="64"/>
      <c r="F24" s="13" t="s">
        <v>126</v>
      </c>
      <c r="G24" s="28"/>
    </row>
    <row r="25" spans="1:7" ht="20.05" customHeight="1" x14ac:dyDescent="0.55000000000000004">
      <c r="A25" s="25" t="s">
        <v>151</v>
      </c>
      <c r="B25" s="102" t="s">
        <v>152</v>
      </c>
      <c r="C25" s="64"/>
      <c r="D25" s="105" t="s">
        <v>153</v>
      </c>
      <c r="E25" s="64"/>
      <c r="F25" s="13" t="s">
        <v>126</v>
      </c>
      <c r="G25" s="29"/>
    </row>
    <row r="26" spans="1:7" ht="20.05" customHeight="1" x14ac:dyDescent="0.55000000000000004">
      <c r="A26" s="25" t="s">
        <v>154</v>
      </c>
      <c r="B26" s="109" t="s">
        <v>155</v>
      </c>
      <c r="C26" s="64"/>
      <c r="D26" s="100" t="s">
        <v>22</v>
      </c>
      <c r="E26" s="64"/>
      <c r="F26" s="13" t="s">
        <v>126</v>
      </c>
      <c r="G26" s="28"/>
    </row>
  </sheetData>
  <mergeCells count="38">
    <mergeCell ref="B26:C26"/>
    <mergeCell ref="A7:C7"/>
    <mergeCell ref="D26:E26"/>
    <mergeCell ref="A1:G1"/>
    <mergeCell ref="B19:C19"/>
    <mergeCell ref="A9:C9"/>
    <mergeCell ref="D18:E18"/>
    <mergeCell ref="D25:E25"/>
    <mergeCell ref="B24:C24"/>
    <mergeCell ref="D24:E24"/>
    <mergeCell ref="E5:G5"/>
    <mergeCell ref="B20:C20"/>
    <mergeCell ref="A6:C6"/>
    <mergeCell ref="E8:G8"/>
    <mergeCell ref="A12:G12"/>
    <mergeCell ref="D23:E23"/>
    <mergeCell ref="A2:G2"/>
    <mergeCell ref="A4:G4"/>
    <mergeCell ref="B22:C22"/>
    <mergeCell ref="E9:G9"/>
    <mergeCell ref="D22:E22"/>
    <mergeCell ref="B18:C18"/>
    <mergeCell ref="E6:G6"/>
    <mergeCell ref="D21:E21"/>
    <mergeCell ref="B21:C21"/>
    <mergeCell ref="A5:C5"/>
    <mergeCell ref="A8:C8"/>
    <mergeCell ref="B17:C17"/>
    <mergeCell ref="D17:E17"/>
    <mergeCell ref="A11:G11"/>
    <mergeCell ref="E7:G7"/>
    <mergeCell ref="D16:E16"/>
    <mergeCell ref="D20:E20"/>
    <mergeCell ref="A14:G14"/>
    <mergeCell ref="B16:C16"/>
    <mergeCell ref="B25:C25"/>
    <mergeCell ref="D19:E19"/>
    <mergeCell ref="B23:C23"/>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32.049999999999997" customHeight="1" x14ac:dyDescent="0.55000000000000004">
      <c r="A1" s="60" t="s">
        <v>156</v>
      </c>
      <c r="B1" s="61"/>
      <c r="C1" s="61"/>
      <c r="D1" s="61"/>
      <c r="E1" s="61"/>
      <c r="F1" s="61"/>
      <c r="G1" s="62"/>
    </row>
    <row r="2" spans="1:7" ht="22" customHeight="1" x14ac:dyDescent="0.55000000000000004">
      <c r="A2" s="114" t="s">
        <v>157</v>
      </c>
      <c r="B2" s="67"/>
      <c r="C2" s="67"/>
      <c r="D2" s="67"/>
      <c r="E2" s="67"/>
      <c r="F2" s="67"/>
      <c r="G2" s="64"/>
    </row>
    <row r="3" spans="1:7" ht="18" customHeight="1" x14ac:dyDescent="0.55000000000000004">
      <c r="A3" s="32"/>
      <c r="B3" s="32" t="s">
        <v>158</v>
      </c>
      <c r="C3" s="32" t="s">
        <v>159</v>
      </c>
      <c r="D3" s="32" t="s">
        <v>85</v>
      </c>
      <c r="E3" s="32" t="s">
        <v>160</v>
      </c>
      <c r="F3" s="32" t="s">
        <v>161</v>
      </c>
      <c r="G3" s="32" t="s">
        <v>162</v>
      </c>
    </row>
    <row r="4" spans="1:7" ht="22" customHeight="1" x14ac:dyDescent="0.55000000000000004">
      <c r="A4" s="33" t="s">
        <v>160</v>
      </c>
      <c r="B4" s="33" t="s">
        <v>163</v>
      </c>
      <c r="C4" s="33" t="s">
        <v>164</v>
      </c>
      <c r="D4" s="33" t="s">
        <v>165</v>
      </c>
      <c r="E4" s="33" t="s">
        <v>166</v>
      </c>
      <c r="F4" s="33" t="s">
        <v>167</v>
      </c>
      <c r="G4" s="33" t="s">
        <v>168</v>
      </c>
    </row>
    <row r="5" spans="1:7" ht="22" customHeight="1" x14ac:dyDescent="0.55000000000000004">
      <c r="A5" s="116" t="s">
        <v>169</v>
      </c>
      <c r="B5" s="67"/>
      <c r="C5" s="67"/>
      <c r="D5" s="67"/>
      <c r="E5" s="67"/>
      <c r="F5" s="67"/>
      <c r="G5" s="64"/>
    </row>
    <row r="6" spans="1:7" ht="18" customHeight="1" x14ac:dyDescent="0.55000000000000004">
      <c r="A6" s="32"/>
      <c r="B6" s="32" t="s">
        <v>158</v>
      </c>
      <c r="C6" s="32" t="s">
        <v>159</v>
      </c>
      <c r="D6" s="32" t="s">
        <v>85</v>
      </c>
      <c r="E6" s="32" t="s">
        <v>160</v>
      </c>
      <c r="F6" s="32" t="s">
        <v>161</v>
      </c>
      <c r="G6" s="32" t="s">
        <v>162</v>
      </c>
    </row>
    <row r="7" spans="1:7" ht="22" customHeight="1" x14ac:dyDescent="0.55000000000000004">
      <c r="A7" s="33" t="s">
        <v>160</v>
      </c>
      <c r="B7" s="33" t="s">
        <v>170</v>
      </c>
      <c r="C7" s="33" t="s">
        <v>171</v>
      </c>
      <c r="D7" s="33" t="s">
        <v>172</v>
      </c>
      <c r="E7" s="33" t="s">
        <v>173</v>
      </c>
      <c r="F7" s="33" t="s">
        <v>167</v>
      </c>
      <c r="G7" s="33" t="s">
        <v>174</v>
      </c>
    </row>
    <row r="8" spans="1:7" ht="22" customHeight="1" x14ac:dyDescent="0.55000000000000004">
      <c r="A8" s="113" t="s">
        <v>175</v>
      </c>
      <c r="B8" s="67"/>
      <c r="C8" s="67"/>
      <c r="D8" s="67"/>
      <c r="E8" s="67"/>
      <c r="F8" s="67"/>
      <c r="G8" s="64"/>
    </row>
    <row r="9" spans="1:7" ht="18" customHeight="1" x14ac:dyDescent="0.55000000000000004">
      <c r="A9" s="32"/>
      <c r="B9" s="32" t="s">
        <v>158</v>
      </c>
      <c r="C9" s="32" t="s">
        <v>159</v>
      </c>
      <c r="D9" s="32" t="s">
        <v>85</v>
      </c>
      <c r="E9" s="32" t="s">
        <v>160</v>
      </c>
      <c r="F9" s="32" t="s">
        <v>161</v>
      </c>
      <c r="G9" s="32" t="s">
        <v>162</v>
      </c>
    </row>
    <row r="10" spans="1:7" ht="22" customHeight="1" x14ac:dyDescent="0.55000000000000004">
      <c r="A10" s="33" t="s">
        <v>160</v>
      </c>
      <c r="B10" s="33" t="s">
        <v>176</v>
      </c>
      <c r="C10" s="33" t="s">
        <v>177</v>
      </c>
      <c r="D10" s="33" t="s">
        <v>178</v>
      </c>
      <c r="E10" s="33" t="s">
        <v>166</v>
      </c>
      <c r="F10" s="33" t="s">
        <v>167</v>
      </c>
      <c r="G10" s="33" t="s">
        <v>179</v>
      </c>
    </row>
    <row r="11" spans="1:7" ht="32.049999999999997" customHeight="1" x14ac:dyDescent="0.55000000000000004">
      <c r="A11" s="115" t="s">
        <v>180</v>
      </c>
      <c r="B11" s="67"/>
      <c r="C11" s="67"/>
      <c r="D11" s="67"/>
      <c r="E11" s="67"/>
      <c r="F11" s="67"/>
      <c r="G11" s="64"/>
    </row>
  </sheetData>
  <mergeCells count="5">
    <mergeCell ref="A1:G1"/>
    <mergeCell ref="A8:G8"/>
    <mergeCell ref="A2:G2"/>
    <mergeCell ref="A11:G11"/>
    <mergeCell ref="A5:G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
  <sheetViews>
    <sheetView workbookViewId="0"/>
  </sheetViews>
  <sheetFormatPr defaultRowHeight="14.4" x14ac:dyDescent="0.55000000000000004"/>
  <cols>
    <col min="1" max="1" width="4" customWidth="1"/>
    <col min="2" max="2" width="24" customWidth="1"/>
    <col min="3" max="3" width="50" customWidth="1"/>
    <col min="4" max="4" width="22" customWidth="1"/>
  </cols>
  <sheetData>
    <row r="1" spans="1:7" ht="32.049999999999997" customHeight="1" x14ac:dyDescent="0.55000000000000004">
      <c r="A1" s="60" t="s">
        <v>181</v>
      </c>
      <c r="B1" s="61"/>
      <c r="C1" s="61"/>
      <c r="D1" s="61"/>
      <c r="E1" s="61"/>
      <c r="F1" s="61"/>
      <c r="G1" s="62"/>
    </row>
    <row r="2" spans="1:7" ht="20.05" customHeight="1" x14ac:dyDescent="0.55000000000000004">
      <c r="A2" s="95" t="s">
        <v>182</v>
      </c>
      <c r="B2" s="61"/>
      <c r="C2" s="61"/>
      <c r="D2" s="61"/>
      <c r="E2" s="61"/>
      <c r="F2" s="61"/>
      <c r="G2" s="62"/>
    </row>
    <row r="3" spans="1:7" ht="18" customHeight="1" x14ac:dyDescent="0.55000000000000004">
      <c r="A3" s="32" t="s">
        <v>183</v>
      </c>
      <c r="B3" s="32" t="s">
        <v>184</v>
      </c>
      <c r="C3" s="32" t="s">
        <v>185</v>
      </c>
      <c r="D3" s="32" t="s">
        <v>186</v>
      </c>
    </row>
    <row r="4" spans="1:7" ht="68.05" customHeight="1" x14ac:dyDescent="0.55000000000000004">
      <c r="A4" s="25" t="s">
        <v>187</v>
      </c>
      <c r="B4" s="30" t="s">
        <v>188</v>
      </c>
      <c r="C4" s="34" t="s">
        <v>189</v>
      </c>
      <c r="D4" s="35" t="s">
        <v>190</v>
      </c>
    </row>
    <row r="5" spans="1:7" ht="52" customHeight="1" x14ac:dyDescent="0.55000000000000004">
      <c r="A5" s="36" t="s">
        <v>191</v>
      </c>
      <c r="B5" s="26" t="s">
        <v>192</v>
      </c>
      <c r="C5" s="27" t="s">
        <v>193</v>
      </c>
      <c r="D5" s="37" t="s">
        <v>194</v>
      </c>
    </row>
    <row r="6" spans="1:7" ht="52" customHeight="1" x14ac:dyDescent="0.55000000000000004">
      <c r="A6" s="25" t="s">
        <v>195</v>
      </c>
      <c r="B6" s="30" t="s">
        <v>196</v>
      </c>
      <c r="C6" s="34" t="s">
        <v>197</v>
      </c>
      <c r="D6" s="35" t="s">
        <v>198</v>
      </c>
    </row>
    <row r="7" spans="1:7" ht="52" customHeight="1" x14ac:dyDescent="0.55000000000000004">
      <c r="A7" s="25" t="s">
        <v>199</v>
      </c>
      <c r="B7" s="30" t="s">
        <v>200</v>
      </c>
      <c r="C7" s="34" t="s">
        <v>201</v>
      </c>
      <c r="D7" s="35" t="s">
        <v>202</v>
      </c>
    </row>
    <row r="8" spans="1:7" ht="68.05" customHeight="1" x14ac:dyDescent="0.55000000000000004">
      <c r="A8" s="25" t="s">
        <v>203</v>
      </c>
      <c r="B8" s="31" t="s">
        <v>204</v>
      </c>
      <c r="C8" s="34" t="s">
        <v>205</v>
      </c>
      <c r="D8" s="38" t="s">
        <v>206</v>
      </c>
    </row>
    <row r="9" spans="1:7" ht="36" customHeight="1" x14ac:dyDescent="0.55000000000000004">
      <c r="A9" s="117" t="s">
        <v>207</v>
      </c>
      <c r="B9" s="67"/>
      <c r="C9" s="67"/>
      <c r="D9" s="64"/>
      <c r="E9" s="39"/>
      <c r="F9" s="39"/>
      <c r="G9" s="39"/>
    </row>
  </sheetData>
  <mergeCells count="3">
    <mergeCell ref="A9:D9"/>
    <mergeCell ref="A2:G2"/>
    <mergeCell ref="A1:G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workbookViewId="0"/>
  </sheetViews>
  <sheetFormatPr defaultRowHeight="14.4" x14ac:dyDescent="0.55000000000000004"/>
  <cols>
    <col min="1" max="1" width="3" customWidth="1"/>
    <col min="2" max="2" width="8" customWidth="1"/>
    <col min="3" max="3" width="40" customWidth="1"/>
    <col min="4" max="4" width="34" customWidth="1"/>
    <col min="5" max="5" width="22" customWidth="1"/>
    <col min="6" max="6" width="3" customWidth="1"/>
  </cols>
  <sheetData>
    <row r="1" spans="1:7" ht="34" customHeight="1" x14ac:dyDescent="0.55000000000000004">
      <c r="A1" s="60" t="s">
        <v>208</v>
      </c>
      <c r="B1" s="61"/>
      <c r="C1" s="61"/>
      <c r="D1" s="61"/>
      <c r="E1" s="61"/>
      <c r="F1" s="61"/>
      <c r="G1" s="62"/>
    </row>
    <row r="2" spans="1:7" ht="20.05" customHeight="1" x14ac:dyDescent="0.55000000000000004">
      <c r="A2" s="95" t="s">
        <v>209</v>
      </c>
      <c r="B2" s="61"/>
      <c r="C2" s="61"/>
      <c r="D2" s="61"/>
      <c r="E2" s="61"/>
      <c r="F2" s="61"/>
      <c r="G2" s="62"/>
    </row>
    <row r="3" spans="1:7" ht="5.05" customHeight="1" x14ac:dyDescent="0.55000000000000004">
      <c r="A3" s="1"/>
      <c r="B3" s="1"/>
      <c r="C3" s="1"/>
      <c r="D3" s="1"/>
      <c r="E3" s="1"/>
      <c r="F3" s="1"/>
      <c r="G3" s="1"/>
    </row>
    <row r="4" spans="1:7" ht="22" customHeight="1" x14ac:dyDescent="0.55000000000000004">
      <c r="A4" s="119" t="s">
        <v>210</v>
      </c>
      <c r="B4" s="61"/>
      <c r="C4" s="61"/>
      <c r="D4" s="61"/>
      <c r="E4" s="61"/>
      <c r="F4" s="61"/>
      <c r="G4" s="62"/>
    </row>
    <row r="5" spans="1:7" ht="18" customHeight="1" x14ac:dyDescent="0.55000000000000004">
      <c r="A5" s="32"/>
      <c r="B5" s="32" t="s">
        <v>211</v>
      </c>
      <c r="C5" s="32" t="s">
        <v>48</v>
      </c>
      <c r="D5" s="32" t="s">
        <v>43</v>
      </c>
      <c r="E5" s="32" t="s">
        <v>212</v>
      </c>
      <c r="F5" s="32"/>
    </row>
    <row r="6" spans="1:7" ht="36" customHeight="1" x14ac:dyDescent="0.55000000000000004">
      <c r="A6" s="40"/>
      <c r="B6" s="41" t="s">
        <v>213</v>
      </c>
      <c r="C6" s="42" t="s">
        <v>214</v>
      </c>
      <c r="D6" s="43" t="s">
        <v>215</v>
      </c>
      <c r="E6" s="44" t="s">
        <v>35</v>
      </c>
      <c r="F6" s="40"/>
    </row>
    <row r="7" spans="1:7" ht="36" customHeight="1" x14ac:dyDescent="0.55000000000000004">
      <c r="A7" s="29"/>
      <c r="B7" s="45" t="s">
        <v>216</v>
      </c>
      <c r="C7" s="46" t="s">
        <v>217</v>
      </c>
      <c r="D7" s="43" t="s">
        <v>218</v>
      </c>
      <c r="E7" s="47" t="s">
        <v>219</v>
      </c>
      <c r="F7" s="29"/>
    </row>
    <row r="8" spans="1:7" ht="36" customHeight="1" x14ac:dyDescent="0.55000000000000004">
      <c r="A8" s="40"/>
      <c r="B8" s="41" t="s">
        <v>220</v>
      </c>
      <c r="C8" s="48" t="s">
        <v>221</v>
      </c>
      <c r="D8" s="43" t="s">
        <v>222</v>
      </c>
      <c r="E8" s="44" t="s">
        <v>223</v>
      </c>
      <c r="F8" s="40"/>
    </row>
    <row r="9" spans="1:7" ht="36" customHeight="1" x14ac:dyDescent="0.55000000000000004">
      <c r="A9" s="29"/>
      <c r="B9" s="45" t="s">
        <v>224</v>
      </c>
      <c r="C9" s="31" t="s">
        <v>225</v>
      </c>
      <c r="D9" s="43" t="s">
        <v>226</v>
      </c>
      <c r="E9" s="47" t="s">
        <v>227</v>
      </c>
      <c r="F9" s="29"/>
    </row>
    <row r="10" spans="1:7" ht="36" customHeight="1" x14ac:dyDescent="0.55000000000000004">
      <c r="A10" s="40"/>
      <c r="B10" s="41" t="s">
        <v>228</v>
      </c>
      <c r="C10" s="48" t="s">
        <v>229</v>
      </c>
      <c r="D10" s="43" t="s">
        <v>230</v>
      </c>
      <c r="E10" s="44" t="s">
        <v>70</v>
      </c>
      <c r="F10" s="40"/>
    </row>
    <row r="11" spans="1:7" ht="5.05" customHeight="1" x14ac:dyDescent="0.55000000000000004">
      <c r="A11" s="1"/>
      <c r="B11" s="1"/>
      <c r="C11" s="1"/>
      <c r="D11" s="1"/>
      <c r="E11" s="1"/>
      <c r="F11" s="1"/>
      <c r="G11" s="1"/>
    </row>
    <row r="12" spans="1:7" ht="22" customHeight="1" x14ac:dyDescent="0.55000000000000004">
      <c r="A12" s="118" t="s">
        <v>231</v>
      </c>
      <c r="B12" s="61"/>
      <c r="C12" s="61"/>
      <c r="D12" s="61"/>
      <c r="E12" s="61"/>
      <c r="F12" s="61"/>
      <c r="G12" s="62"/>
    </row>
    <row r="13" spans="1:7" ht="18" customHeight="1" x14ac:dyDescent="0.55000000000000004">
      <c r="A13" s="49"/>
      <c r="B13" s="49" t="s">
        <v>211</v>
      </c>
      <c r="C13" s="49" t="s">
        <v>5</v>
      </c>
      <c r="D13" s="49" t="s">
        <v>232</v>
      </c>
      <c r="E13" s="49" t="s">
        <v>233</v>
      </c>
      <c r="F13" s="49"/>
    </row>
    <row r="14" spans="1:7" ht="28" customHeight="1" x14ac:dyDescent="0.55000000000000004">
      <c r="A14" s="50"/>
      <c r="B14" s="51" t="s">
        <v>234</v>
      </c>
      <c r="C14" s="52" t="s">
        <v>124</v>
      </c>
      <c r="D14" s="53" t="s">
        <v>235</v>
      </c>
      <c r="E14" s="54" t="s">
        <v>236</v>
      </c>
      <c r="F14" s="50"/>
    </row>
    <row r="15" spans="1:7" ht="28" customHeight="1" x14ac:dyDescent="0.55000000000000004">
      <c r="A15" s="50"/>
      <c r="B15" s="51" t="s">
        <v>237</v>
      </c>
      <c r="C15" s="52" t="s">
        <v>238</v>
      </c>
      <c r="D15" s="53" t="s">
        <v>239</v>
      </c>
      <c r="E15" s="54" t="s">
        <v>236</v>
      </c>
      <c r="F15" s="50"/>
    </row>
    <row r="16" spans="1:7" ht="28" customHeight="1" x14ac:dyDescent="0.55000000000000004">
      <c r="A16" s="50"/>
      <c r="B16" s="51" t="s">
        <v>240</v>
      </c>
      <c r="C16" s="52" t="s">
        <v>131</v>
      </c>
      <c r="D16" s="53" t="s">
        <v>241</v>
      </c>
      <c r="E16" s="54" t="s">
        <v>236</v>
      </c>
      <c r="F16" s="50"/>
    </row>
    <row r="17" spans="1:7" ht="28" customHeight="1" x14ac:dyDescent="0.55000000000000004">
      <c r="A17" s="50"/>
      <c r="B17" s="51" t="s">
        <v>242</v>
      </c>
      <c r="C17" s="52" t="s">
        <v>134</v>
      </c>
      <c r="D17" s="53" t="s">
        <v>135</v>
      </c>
      <c r="E17" s="54" t="s">
        <v>236</v>
      </c>
      <c r="F17" s="50"/>
    </row>
    <row r="18" spans="1:7" ht="28" customHeight="1" x14ac:dyDescent="0.55000000000000004">
      <c r="A18" s="55"/>
      <c r="B18" s="56" t="s">
        <v>243</v>
      </c>
      <c r="C18" s="57" t="s">
        <v>149</v>
      </c>
      <c r="D18" s="58" t="s">
        <v>244</v>
      </c>
      <c r="E18" s="59" t="s">
        <v>236</v>
      </c>
      <c r="F18" s="55"/>
    </row>
    <row r="19" spans="1:7" ht="28" customHeight="1" x14ac:dyDescent="0.55000000000000004">
      <c r="A19" s="55"/>
      <c r="B19" s="56" t="s">
        <v>245</v>
      </c>
      <c r="C19" s="57" t="s">
        <v>246</v>
      </c>
      <c r="D19" s="58" t="s">
        <v>247</v>
      </c>
      <c r="E19" s="59" t="s">
        <v>236</v>
      </c>
      <c r="F19" s="55"/>
    </row>
    <row r="20" spans="1:7" ht="28" customHeight="1" x14ac:dyDescent="0.55000000000000004">
      <c r="A20" s="50"/>
      <c r="B20" s="51" t="s">
        <v>248</v>
      </c>
      <c r="C20" s="52" t="s">
        <v>249</v>
      </c>
      <c r="D20" s="53" t="s">
        <v>144</v>
      </c>
      <c r="E20" s="54" t="s">
        <v>236</v>
      </c>
      <c r="F20" s="50"/>
    </row>
    <row r="21" spans="1:7" ht="28" customHeight="1" x14ac:dyDescent="0.55000000000000004">
      <c r="A21" s="55"/>
      <c r="B21" s="56" t="s">
        <v>250</v>
      </c>
      <c r="C21" s="57" t="s">
        <v>251</v>
      </c>
      <c r="D21" s="58" t="s">
        <v>252</v>
      </c>
      <c r="E21" s="59" t="s">
        <v>236</v>
      </c>
      <c r="F21" s="55"/>
    </row>
    <row r="22" spans="1:7" ht="28" customHeight="1" x14ac:dyDescent="0.55000000000000004">
      <c r="A22" s="55"/>
      <c r="B22" s="56" t="s">
        <v>253</v>
      </c>
      <c r="C22" s="57" t="s">
        <v>254</v>
      </c>
      <c r="D22" s="58" t="s">
        <v>153</v>
      </c>
      <c r="E22" s="59" t="s">
        <v>236</v>
      </c>
      <c r="F22" s="55"/>
    </row>
    <row r="23" spans="1:7" ht="28" customHeight="1" x14ac:dyDescent="0.55000000000000004">
      <c r="A23" s="55"/>
      <c r="B23" s="56" t="s">
        <v>255</v>
      </c>
      <c r="C23" s="57" t="s">
        <v>256</v>
      </c>
      <c r="D23" s="58" t="s">
        <v>257</v>
      </c>
      <c r="E23" s="59" t="s">
        <v>236</v>
      </c>
      <c r="F23" s="55"/>
    </row>
    <row r="24" spans="1:7" ht="5.05" customHeight="1" x14ac:dyDescent="0.55000000000000004">
      <c r="A24" s="1"/>
      <c r="B24" s="1"/>
      <c r="C24" s="1"/>
      <c r="D24" s="1"/>
      <c r="E24" s="1"/>
      <c r="F24" s="1"/>
      <c r="G24" s="1"/>
    </row>
    <row r="25" spans="1:7" ht="52" customHeight="1" x14ac:dyDescent="0.55000000000000004">
      <c r="A25" s="117" t="s">
        <v>258</v>
      </c>
      <c r="B25" s="67"/>
      <c r="C25" s="67"/>
      <c r="D25" s="67"/>
      <c r="E25" s="67"/>
      <c r="F25" s="64"/>
      <c r="G25" s="39"/>
    </row>
  </sheetData>
  <mergeCells count="5">
    <mergeCell ref="A1:G1"/>
    <mergeCell ref="A12:G12"/>
    <mergeCell ref="A4:G4"/>
    <mergeCell ref="A2:G2"/>
    <mergeCell ref="A25:F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2026-04-06T12:11:58Z</dcterms:created>
  <dcterms:modified xsi:type="dcterms:W3CDTF">2026-04-06T12:20:53Z</dcterms:modified>
</cp:coreProperties>
</file>