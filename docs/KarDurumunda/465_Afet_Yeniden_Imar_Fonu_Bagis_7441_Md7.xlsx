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KARIN BULUNMASI HALİNDE/"/>
    </mc:Choice>
  </mc:AlternateContent>
  <xr:revisionPtr revIDLastSave="0" documentId="8_{70E7B293-BBD6-4AC5-A2B2-8290D4A96FFF}"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2" l="1"/>
  <c r="D7" i="2"/>
  <c r="D6" i="2"/>
  <c r="E55" i="1"/>
  <c r="D44" i="1"/>
  <c r="C49" i="1" s="1"/>
  <c r="C44" i="1"/>
  <c r="C48" i="1" s="1"/>
  <c r="E43" i="1"/>
  <c r="F43" i="1" s="1"/>
  <c r="F42" i="1"/>
  <c r="E42" i="1"/>
  <c r="E41" i="1"/>
  <c r="F41" i="1" s="1"/>
  <c r="E40" i="1"/>
  <c r="E44" i="1" s="1"/>
  <c r="C50" i="1" s="1"/>
  <c r="E39" i="1"/>
  <c r="F39" i="1" s="1"/>
  <c r="F38" i="1"/>
  <c r="E38" i="1"/>
  <c r="C31" i="1"/>
  <c r="E14" i="1"/>
  <c r="D5" i="2" s="1"/>
  <c r="F40" i="1" l="1"/>
  <c r="F44" i="1" s="1"/>
  <c r="C52" i="1" s="1"/>
</calcChain>
</file>

<file path=xl/sharedStrings.xml><?xml version="1.0" encoding="utf-8"?>
<sst xmlns="http://schemas.openxmlformats.org/spreadsheetml/2006/main" count="368" uniqueCount="287">
  <si>
    <t>465 – AFET YENİDEN İMAR FONUNA BAĞIŞ VE YARDIMLAR | 7441 s.K. MADDE 7 | TAMAMININ İNDİRİMİ | YMM TASDİK</t>
  </si>
  <si>
    <t>Beyanname 465 | GİB KV Beyan Rehberi Mart 2026 (No:606) | ✗ YİAKV MATRAHINDA DÜŞÜLEMEZ</t>
  </si>
  <si>
    <t xml:space="preserve">  7441 s.K. MADDE 7 KAPSAMI: Afet Yeniden İmar Fonu'na yapılan bağış ve yardımların tamamı kurumlar vergisi matrahından indirilir.
  ALICI: Yalnızca Afet Yeniden İmar Fonu (7441 sayılı Kanunla kurulan).
  ARKA PLAN: 7441 sayılı Kanun, 2023 Kahramanmaraş depremlerinin ardından çıkarılan Afet ve Yeniden İmar Kanunu kapsamında oluşturulmuştur. Fon, afet bölgelerinde yeniden yapılanmayı desteklemeye yönelik bağışları toplar.
  İNDİRİM: TAMAMININ İNDİRİMİ — matrahı aşan kısım devredilemez.
  ★ YİAKV: DÜŞÜLEMEZ — Diğer bağış/yardım kodları gibi YİAKV E.11 bilgi satırı.</t>
  </si>
  <si>
    <t xml:space="preserve">  ✗ YİAKV (KVK Md.32/C): 465 Afet Yeniden İmar Fonu Bağışı YİAKV MATRAHINDA DÜŞÜLEMEZ. YİAKV E.11 bilgi satırı — 402/460/461/464 ile aynı kategori.</t>
  </si>
  <si>
    <t>A0. KAPSAM VE NİTELİK UYGUNLUK ÖN KONTROLÜ — 7441 s.K. Md.7</t>
  </si>
  <si>
    <t>Kontrol Sorusu</t>
  </si>
  <si>
    <t>Yanıt</t>
  </si>
  <si>
    <t>YMM Tasdik Notu</t>
  </si>
  <si>
    <t>A0.1  ★ Bağış/yardım Afet Yeniden İmar Fonu'na mı yapıldı?</t>
  </si>
  <si>
    <t>EVET</t>
  </si>
  <si>
    <t>7441 s.K. Md.7 yalnızca Afet Yeniden İmar Fonu'na yapılan bağışları kapsar. Farklı bir fon veya kuruluşa yapılan afet bağışları bu kod kapsamında değildir.</t>
  </si>
  <si>
    <t>A0.2  ★ Bağış/yardım FİİLEN yapıldı mı? (Nakdi: Banka — Ayni: Teslim belgesi)</t>
  </si>
  <si>
    <t>Taahhüt edilmiş ama henüz gerçekleşmemiş bağış indirime konu olamaz. Nakdi bağışlarda banka EFT/havale dekontu zorunludur.</t>
  </si>
  <si>
    <t>A0.3  Bağış kabul belgesi / makbuz Afet Yeniden İmar Fonu'ndan alındı mı?</t>
  </si>
  <si>
    <t>Fon tarafından düzenlenen resmi makbuz veya bağış kabul yazısı. Bu belge olmadan 465 indirimi belgelenemez.</t>
  </si>
  <si>
    <t>A0.4  Ayni bağış varsa maliyet/net defter değeri ile değerleme yapıldı mı?</t>
  </si>
  <si>
    <t>Ayni bağışlarda piyasa değeri değil maliyet/net defter değeri esas. KDV hesaplanmaz — KDVK Md.17/2-b istisna kapsamında.</t>
  </si>
  <si>
    <t>A0.5  ✗ YİAKV E.11'de bilgi satırı olarak gösterildi mi?</t>
  </si>
  <si>
    <t>465 YİAKV matrahından düşülemez — E.11 yalnızca bilgi.</t>
  </si>
  <si>
    <t>A0.6  YMM Tasdik Raporu gereksinimi değerlendirildi mi?</t>
  </si>
  <si>
    <t>&gt;=500.000 TL → YMM raporu.</t>
  </si>
  <si>
    <t>A0.7  Tasdik Uygunluk Sonucu</t>
  </si>
  <si>
    <t>★ A0.1 alıcı (AYİF) | A0.2 fiili yapım | A0.3 makbuz — üçü kritik.</t>
  </si>
  <si>
    <t>A. GENEL BİLGİLER</t>
  </si>
  <si>
    <t>Kurumun Unvanı</t>
  </si>
  <si>
    <t>Tam ticaret unvanı</t>
  </si>
  <si>
    <t>VKN</t>
  </si>
  <si>
    <t>10 haneli VKN</t>
  </si>
  <si>
    <t>Hesap Dönemi</t>
  </si>
  <si>
    <t>01.01.2025 – 31.12.2025</t>
  </si>
  <si>
    <t>KV Oranı (%)</t>
  </si>
  <si>
    <t>2025: %25</t>
  </si>
  <si>
    <t>Bağış Alıcısı</t>
  </si>
  <si>
    <t>Afet Yeniden İmar Fonu (7441 s.K. ile kurulan)</t>
  </si>
  <si>
    <t>Dosya Referansı</t>
  </si>
  <si>
    <t>YMM-2025/465-01</t>
  </si>
  <si>
    <t>B. BAĞIŞ VE YARDIM DETAYLARI — 7441 s.K. Md.7 / AFET YENİDEN İMAR FONU</t>
  </si>
  <si>
    <t>Parametre</t>
  </si>
  <si>
    <t>Değer</t>
  </si>
  <si>
    <t>Açıklama</t>
  </si>
  <si>
    <t>Kaynak</t>
  </si>
  <si>
    <t>B.1  Bağış Şekli</t>
  </si>
  <si>
    <t>Nakdi (Banka Transferi/EFT/Havale)</t>
  </si>
  <si>
    <t>Nakdi → Banka EFT/havale dekontu. Ayni → Teslim tutanağı + değerleme.</t>
  </si>
  <si>
    <t>Belge</t>
  </si>
  <si>
    <t>B.2  Bağış Tarihi</t>
  </si>
  <si>
    <t>Bağışın fiilen yapıldığı tarih (nakdi: ödeme, ayni: teslim).</t>
  </si>
  <si>
    <t>Banka/Tutanak</t>
  </si>
  <si>
    <t>B.3  ★ Nakdi Bağış Tutarı (TL)</t>
  </si>
  <si>
    <t>Banka yoluyla Afet Yeniden İmar Fonu'na ödenen tutar.</t>
  </si>
  <si>
    <t>Banka dekontu</t>
  </si>
  <si>
    <t>B.4  Ayni Bağış Değeri (TL — Maliyet/Net Defter Değeri)</t>
  </si>
  <si>
    <t>Ayni bağış varsa maliyet veya net defter değeri (piyasa değeri değil).</t>
  </si>
  <si>
    <t>Stok/sabit kıymet</t>
  </si>
  <si>
    <t>B.5  ★ TOPLAM BAĞIŞ (B.3 + B.4)</t>
  </si>
  <si>
    <t>Nakdi + Ayni toplam — beyanname 465 tutarının dayanağı.</t>
  </si>
  <si>
    <t>Formül</t>
  </si>
  <si>
    <t>B.6  ★ Afet Yeniden İmar Fonu Bağış Makbuzu / Kabul Belgesi</t>
  </si>
  <si>
    <t>AYİF'ten alınan resmi makbuz veya bağış kabul yazısı — zorunlu belge.</t>
  </si>
  <si>
    <t>AYİF</t>
  </si>
  <si>
    <t>B.7  Bağışın Kullanım Amacı (Afet Bölgesi/Proje — Varsa)</t>
  </si>
  <si>
    <t>Fon tarafından belirlenen kullanım alanı (örn. Hatay konut yapımı, altyapı vb.).</t>
  </si>
  <si>
    <t>Fon protokolü</t>
  </si>
  <si>
    <t>C. BAĞIŞ VE YARDIM TABLOSU — AFET YENİDEN İMAR FONU (BEYANNAME 465)</t>
  </si>
  <si>
    <t xml:space="preserve">  Her bağış kalemi için ayrı satır. SÜTUN 3 (kırmızı çerçeve): Nakdi bağış. SÜTUN 4: Ayni bağış maliyet değeri. SÜTUN 5: Toplam (otomatik). SÜTUN 6: İndirim = Toplam tamamı (otomatik).</t>
  </si>
  <si>
    <t>Bağış Tarihi</t>
  </si>
  <si>
    <t>Açıklama / Makbuz No</t>
  </si>
  <si>
    <t>Nakdi (TL)</t>
  </si>
  <si>
    <t>Ayni Değer (TL)</t>
  </si>
  <si>
    <t>Toplam (TL)</t>
  </si>
  <si>
    <t>İndirim (TL)</t>
  </si>
  <si>
    <t>Ödeme Belgesi</t>
  </si>
  <si>
    <t>TOPLAM</t>
  </si>
  <si>
    <t>← Beyanname 465 (Tamamının İndirimi)</t>
  </si>
  <si>
    <t>D. BAĞIŞ VE YARDIM İNDİRİMİ ÖZET — BEYANNAME 465 (7441 s.K. Md.7)</t>
  </si>
  <si>
    <t>Hesap Kalemi</t>
  </si>
  <si>
    <t>Tutar (TL)</t>
  </si>
  <si>
    <t>Not</t>
  </si>
  <si>
    <t>D.1  Toplam Nakdi Bağış (C Sütun 3 Toplamı)</t>
  </si>
  <si>
    <t>Banka yoluyla yapılan nakdi toplam</t>
  </si>
  <si>
    <t>D.2  Toplam Ayni Bağış Değeri (C Sütun 4 Toplamı)</t>
  </si>
  <si>
    <t>Maliyet/net defter değeri toplam</t>
  </si>
  <si>
    <t>D.3  TOPLAM BAĞIŞ (D.1 + D.2)</t>
  </si>
  <si>
    <t>C tablosu toplam</t>
  </si>
  <si>
    <t>D.4  İndirim Oranı</t>
  </si>
  <si>
    <t>TAMAMININ İNDİRİMİ — Matrahı aşan devredilmez</t>
  </si>
  <si>
    <t>7441 s.K. Md.7: Tamamının indirimi — 402/464 ile aynı mekanizma</t>
  </si>
  <si>
    <t>7441 s.K. Md.7</t>
  </si>
  <si>
    <t>D.5  ★ BEYANNAME 465 = TOPLAM BAĞIŞ (D.3)</t>
  </si>
  <si>
    <t>→ Beyanname 465 | Kazancın Bulunması Halinde</t>
  </si>
  <si>
    <t>D.6  YİAKV DURUMU — DÜŞÜLEMEZ</t>
  </si>
  <si>
    <t>YİAKV E.11 Bilgi ✗</t>
  </si>
  <si>
    <t>Tüm bağış/yardım kodları YİAKV matrahından düşülemez</t>
  </si>
  <si>
    <t>KVK Md.32/C</t>
  </si>
  <si>
    <t>E.1  AFET YENİDEN İMAR FONU BAĞIŞI → Beyanname Satır 465 (Kazancın Bulunması Halinde)</t>
  </si>
  <si>
    <t>D.5 = Toplam Bağış Tamamı | 7441 s.K. Md.7 — Matrahı aşan devredilmez</t>
  </si>
  <si>
    <t xml:space="preserve">  ★ KRİTİK: (1) ALICI: Yalnızca Afet Yeniden İmar Fonu — afet bağışlarında bile başka fona yapılanlar bu kod değil.
  (2) FİİLİ YAPIM + MAKBUZ: Banka dekontu + AYİF resmi makbuzu ikisi birlikte zorunlu.
  (3) AYNİ BAĞIŞ: İnşaat malzemesi, prefabrik yapı, araç-gereç → Maliyet değeri esas.
  (4) DEVREDEN YOK: Matrahı aşan kısım sonraki dönemlere devredilmez.
  (5) YİAKV ✗: DÜŞÜLEMEZ — E.11 (402/460/461/464 ile aynı kategori).</t>
  </si>
  <si>
    <t>465 – AFET YENİDEN İMAR FONU BAĞIŞI 7441 s.K. Md.7 | HESAPLAMALAR VE DENETİM</t>
  </si>
  <si>
    <t>Tamamının İndirimi | Yalnızca AYİF | Banka + Makbuz | Beyanname 465 | ✗ YİAKV E.11</t>
  </si>
  <si>
    <t>A. TASDİK ÖZETİ</t>
  </si>
  <si>
    <t>A0 Uygunluğu</t>
  </si>
  <si>
    <t>OK ise devam</t>
  </si>
  <si>
    <t>Toplam Nakdi Bağış (D.1)</t>
  </si>
  <si>
    <t>Banka yoluyla</t>
  </si>
  <si>
    <t>Toplam Ayni Bağış (D.2)</t>
  </si>
  <si>
    <t>Maliyet değeri</t>
  </si>
  <si>
    <t>465 İNDİRİM (D.5)</t>
  </si>
  <si>
    <t>YİAKV</t>
  </si>
  <si>
    <t>✗ DÜŞÜLEMEZ (E.11 Bilgi)</t>
  </si>
  <si>
    <t>402/460/461/464 ile aynı kategori</t>
  </si>
  <si>
    <t>B. 7441 SAYILI KANUN MADDE 7 — AFET YENİDEN İMAR FONU KAPSAMI</t>
  </si>
  <si>
    <t xml:space="preserve">  7441 SAYILI AFET VE YENİDEN İMAR KANUNU — MADDE 7:
  2023 Kahramanmaraş depremleri sonrasında çıkarılan 7441 sayılı Kanunla kurulan Afet Yeniden İmar Fonu'na yapılan bağış ve yardımların tamamı kurumlar vergisi matrahından indirilir.
  FON'UN AMACI: Deprem ve afet bölgelerinde konut, altyapı ve kamu yapılarının yeniden inşasının finansmanı. Hazine ve Maliye Bakanlığı koordinasyonunda yönetilir.
  ÖNEMLİ AYRIMI: Afet bağışlarının tamamı bu kapsama girmez:
  • AYİF'e (7441 Md.7) yapılan bağış → Beyanname 465 ✓
  • AFAD'a veya kamu idarelerine doğrudan yapılan afet bağışları → KVK Md.10/1-c → Beyanname 402
  • Kızılay'a yapılan nakdi bağışlar → KVK Md.10/1-f (ayrı kod)
  YMM, bağış yapılan kuruluşun hangisi olduğunu net belgeler.</t>
  </si>
  <si>
    <t>C. AFET BAĞIŞI KOD KARŞILAŞTIRMASI — DOĞRU KOD SEÇİMİ</t>
  </si>
  <si>
    <t>Kod</t>
  </si>
  <si>
    <t>Konu/Kanun</t>
  </si>
  <si>
    <t>Alıcı</t>
  </si>
  <si>
    <t>İndirim</t>
  </si>
  <si>
    <t>Devreden</t>
  </si>
  <si>
    <t>402</t>
  </si>
  <si>
    <t>KVK Md.10/1-c</t>
  </si>
  <si>
    <t>Kamu İdaresi/KYD/Vakıf</t>
  </si>
  <si>
    <t>Tamamı</t>
  </si>
  <si>
    <t>Devredilmez</t>
  </si>
  <si>
    <t>E.11 ✗</t>
  </si>
  <si>
    <t>Genel bağış</t>
  </si>
  <si>
    <t>465</t>
  </si>
  <si>
    <t>7441 Md.7</t>
  </si>
  <si>
    <t>Afet Yeniden İmar Fonu</t>
  </si>
  <si>
    <t>Özel afet fonu</t>
  </si>
  <si>
    <t>464</t>
  </si>
  <si>
    <t>7474 Md.6</t>
  </si>
  <si>
    <t>Aile ve Gençlik Fonu</t>
  </si>
  <si>
    <t>Özel AGF</t>
  </si>
  <si>
    <t>461</t>
  </si>
  <si>
    <t>KVK Md.10/1-b</t>
  </si>
  <si>
    <t>Amatör Spor</t>
  </si>
  <si>
    <t>Sponsorluk</t>
  </si>
  <si>
    <t>D. DENETİM KONTROL LİSTESİ (K1–K11)</t>
  </si>
  <si>
    <t>Kontrol</t>
  </si>
  <si>
    <t>Sonuç</t>
  </si>
  <si>
    <t>K1</t>
  </si>
  <si>
    <t>★ Bağış yalnızca Afet Yeniden İmar Fonu'na mı yapıldı?</t>
  </si>
  <si>
    <t>AFAD/diğer kamu → 402. AYİF → 465.</t>
  </si>
  <si>
    <t>Uygun/Eksik/Risk</t>
  </si>
  <si>
    <t>K2</t>
  </si>
  <si>
    <t>★ Bağış fiilen yapıldı mı? (Nakdi: Banka — Ayni: Tutanak)</t>
  </si>
  <si>
    <t>Banka dekontu veya teslim tutanağı.</t>
  </si>
  <si>
    <t>K3</t>
  </si>
  <si>
    <t>★ AYİF'ten resmi makbuz/bağış kabul belgesi alındı mı?</t>
  </si>
  <si>
    <t>Makbuz olmadan 465 belgelenemez.</t>
  </si>
  <si>
    <t>K4</t>
  </si>
  <si>
    <t>Ayni bağış varsa maliyet/net defter değeri esas alındı mı?</t>
  </si>
  <si>
    <t>Piyasa değeri değil — maliyet.</t>
  </si>
  <si>
    <t>K5</t>
  </si>
  <si>
    <t>C tablosu toplamı D.3 ile mutabık mı?</t>
  </si>
  <si>
    <t>E44 = D.3 eşitliği.</t>
  </si>
  <si>
    <t>K6</t>
  </si>
  <si>
    <t>★ İndirim matrahı aşıyor mu? (Devredilemez — dikkat!)</t>
  </si>
  <si>
    <t>Aşan kısım beyanname notu.</t>
  </si>
  <si>
    <t>K7</t>
  </si>
  <si>
    <t>✗ YİAKV E.11'de bilgi satırı olarak gösterildi mi?</t>
  </si>
  <si>
    <t>465 DÜŞÜLEMEZ — E.11 bilgi.</t>
  </si>
  <si>
    <t>K8</t>
  </si>
  <si>
    <t>Bağış muhasebe zinciri doğru mu? (Gider → KKEG → 465)</t>
  </si>
  <si>
    <t>İki adım: Gider + KKEG + Beyanname.</t>
  </si>
  <si>
    <t>K9</t>
  </si>
  <si>
    <t>Birden fazla ödeme ayrı satırlarda mı? (C tablosu)</t>
  </si>
  <si>
    <t>Her ödeme ayrı banka dekontu.</t>
  </si>
  <si>
    <t>K10</t>
  </si>
  <si>
    <t>Beyanname 465 'Kazancın Bulunması Halinde' bölümünde mi?</t>
  </si>
  <si>
    <t>Zarar döneminde uygulanamaz.</t>
  </si>
  <si>
    <t>K11</t>
  </si>
  <si>
    <t>YMM Tasdik Raporu (49 No.lu Tebliğ) değerlendirildi mi?</t>
  </si>
  <si>
    <t>465 – AFET YENİDEN İMAR FONU 7441 s.K. Md.7 | MUHASEBE KAYITLARI</t>
  </si>
  <si>
    <t>KAYIT 1 — NAKDİ BAĞIŞ (EFT/HAVALE — AFET YENİDEN İMAR FONU)</t>
  </si>
  <si>
    <t>Tarih</t>
  </si>
  <si>
    <t>Hesap</t>
  </si>
  <si>
    <t>Dr</t>
  </si>
  <si>
    <t>Kr</t>
  </si>
  <si>
    <t>Ref</t>
  </si>
  <si>
    <t>[Bağış Tarihi]</t>
  </si>
  <si>
    <t>689 Diğer Olağan Dışı Gid. / 770 Genel Yön.</t>
  </si>
  <si>
    <t>AYİF bağışı — gider kaydı</t>
  </si>
  <si>
    <t>[Tutar]</t>
  </si>
  <si>
    <t>—</t>
  </si>
  <si>
    <t>AYİF Makbuzu</t>
  </si>
  <si>
    <t>102 Bankalar</t>
  </si>
  <si>
    <t>EFT/Havale ile AYİF hesabına aktarım</t>
  </si>
  <si>
    <t>KAYIT 2 — AYNİ BAĞIŞ (İNŞAAT MALZEMESİ / EKİPMAN / HİZMET)</t>
  </si>
  <si>
    <t>[Teslim]</t>
  </si>
  <si>
    <t>689 Diğer Olağan Dışı Gid.</t>
  </si>
  <si>
    <t>Ayni bağış — maliyet/net defter değeri</t>
  </si>
  <si>
    <t>[Maliyet]</t>
  </si>
  <si>
    <t>Teslim tutanağı</t>
  </si>
  <si>
    <t>150 İlk Mad./151 Yarı Mamul/255 Demirbaş vb.</t>
  </si>
  <si>
    <t>Bağışlanan varlık hesabından çıkış</t>
  </si>
  <si>
    <t>KAYIT 3 — DÖNEM SONU: KKEG + BEYANNAME 465 İNDİRİMİ</t>
  </si>
  <si>
    <t>[Dönem Sonu]</t>
  </si>
  <si>
    <t>951 KKEG</t>
  </si>
  <si>
    <t>Bağış gideri KKEG'e alınır (matrahı artırır)</t>
  </si>
  <si>
    <t>Beyanname eki</t>
  </si>
  <si>
    <t>952 KKEG Karşılığı</t>
  </si>
  <si>
    <t>KKEG karşılığı kaydı</t>
  </si>
  <si>
    <t xml:space="preserve">  DÖNEM SONU NET ETKİ — BEYANNAME 465:
  ① AYİF bağışı yapıldığında → GİDER (689/770) kaydedildi.
  ② Bağış KKEG'e alındı → KV matrahı artar.
  ③ Beyanname 465 → Bağış tutarının TAMAMININ İNDİRİMİ → Matrahtan düşülür.
  ④ NET ETKİ: AYİF bağışının tamamı matrahtan düşülmüş olur.
  ⑤ SINIR: Matrahı aşan kısım devredilemez — beyanname notu.
  ⑥ YİAKV: ✗ DÜŞÜLEMEZ — E.11 bilgi satırı (402/464 gibi).</t>
  </si>
  <si>
    <t>465 – AFET YENİDEN İMAR FONU 7441 s.K. Md.7 | DENETÇİ NOTLARI</t>
  </si>
  <si>
    <t>GİB KV Beyan Rehberi Mart 2026 (No:606) | AYİF | Tamamının İndirimi | Afet Bağışı Kod Seçimi | YİAKV E.11</t>
  </si>
  <si>
    <t>Konu</t>
  </si>
  <si>
    <t>Mesleki Değerlendirme / Tasdik Standardı</t>
  </si>
  <si>
    <t>Mevzuat / Kaynak</t>
  </si>
  <si>
    <t>N1</t>
  </si>
  <si>
    <t>7441 s.K. Md.7 — Afet Yeniden İmar Fonu Bağışı Tanım ve Kapsam</t>
  </si>
  <si>
    <t>AFET YENİDEN İMAR FONU BAĞIŞI — 7441 s.K. MADDE 7:
2023 Kahramanmaraş depremleri sonrasında çıkarılan 7441 sayılı Afet ve Yeniden
İmar Kanunu'nun 7. Maddesi kapsamında kurulan Afet Yeniden İmar Fonu'na
(AYİF) yapılan bağış ve yardımların tamamı kurumlar vergisi matrahından indirilir.
ALICI: Yalnızca AYİF. AFAD'a, belediyelere veya başka kurumlara yapılan afet
yardımları bu kod kapsamında değildir.
İNDİRİM KURALI:
• Tamamının indirimi (nakdi + ayni)
• Matrahı aşan kısım sonraki dönemlere devredilmez
YİAKV: ✗ DÜŞÜLEMEZ (E.11 bilgi) | BEYANNAME: 465</t>
  </si>
  <si>
    <t>7441 s.K. Md.7 | GİB KV Beyan Reh. 2026 (No:606)</t>
  </si>
  <si>
    <t>N2</t>
  </si>
  <si>
    <t>★ Afet Bağışlarında Doğru Kod Seçimi — En Kritik YMM Görevi</t>
  </si>
  <si>
    <t>AFET YARDIMLARI İÇİN DOĞRU KOD SEÇİMİ:
Afet bağışları tek bir kod kapsamında değildir. Alıcıya göre:
① AYİF'e (7441 Md.7) → Beyanname 465
② AFAD'a veya Devlet kurumuna → KVK Md.10/1-c → Beyanname 402
③ Kızılay'a nakdi → KVK Md.10/1-f → Ayrı beyanname satırı
④ Belediyeye afet amaçlı → KVK Md.10/1-c → Beyanname 402
⑤ Muafiyet vakfına afet amaçlı → KVK Md.10/1-c → Beyanname 402
YANLIŞ UYGULAMA RİSKİ:
AYİF dışı bir kuruma yapılan afet yardımını 465 ile beyan etmek
→ Yanlış kod → Tarhiyat riski. YMM bağış belgesi üzerindeki
alıcı kurumu titizlikle doğrulamalıdır.</t>
  </si>
  <si>
    <t>7441 s.K. Md.7 | KVK Md.10/1-c | KVK Md.10/1-f | GİB Özelge</t>
  </si>
  <si>
    <t>N3</t>
  </si>
  <si>
    <t>Ayni Bağış — İnşaat Malzemesi, Prefabrik, Araç-Gereç Değerlemesi</t>
  </si>
  <si>
    <t>AYNİ BAĞIŞ DEĞERLEMESİ:
Afet bağışlarında sıklıkla ayni bağış yapılır:
İnşaat malzemesi, çimento, demir, prefabrik konut, araç, ekipman, gıda vb.
DEĞERLEME ESASI:
• Maliyet bedeli: Satın alındığı fiyat
• Net defter değeri: Amortismanlar düşüldükten sonra (sabit kıymetler için)
• Piyasa değeri KULLANILMAZ
KDV UYGULAMASI:
Afet bağışı niteliğindeki teslimlerde KDVK Md.17/2-b kapsamında KDV
istisnası uygulanır — KDV hesaplanmaz.
BELGE: İmzalı teslim-tesellüm tutanağı + maliyet notu + değerleme belgesi.</t>
  </si>
  <si>
    <t>7441 s.K. Md.7 | KDV Kanunu Md.17/2-b | GİB Özelge</t>
  </si>
  <si>
    <t>N4</t>
  </si>
  <si>
    <t>YİAKV ile İlişki — E.11 Birleşik Kategori</t>
  </si>
  <si>
    <t>YİAKV (KVK Md.32/C) VE AFET YENİDEN İMAR FONU BAĞIŞI:
✗ 465 (7441 Md.7 AYİF Bağışı): DÜŞÜLEMEZ → YİAKV E.11
YİAKV E.11 KATEGORİSİ — TÜMÜ DÜŞÜLEMEZ:
✗ 402 KVK Md.10/1-c → E.11
✗ 460 Profesyonel Spor → E.11
✗ 461 Amatör Spor → E.11
✗ 464 AGF Bağışı → E.11
✗ 465 AYİF Bağışı → E.11
YMM UYGULAMASI:
YİAKV E.11 = 402 + 460 + 461 + 464 + 465 (varsa tümü toplanır)
DÜŞÜLEBILIR OLANLAR (Karıştırılmasın):
✓ 283 Ar-Ge → D.10 | ✓ 455 Tasarım → D.10 | ✓ 413 GSF → D.11</t>
  </si>
  <si>
    <t>KVK Md.32/C | GİB Rehberi No:607 | No:606</t>
  </si>
  <si>
    <t>N5</t>
  </si>
  <si>
    <t>49 No.lu Tebliğ + YMM Tasdik Dil Standardı</t>
  </si>
  <si>
    <t>KULLANIN:
'...7441 sayılı Afet ve Yeniden İmar Kanunu'nun 7. Maddesi kapsamında
kurulan Afet Yeniden İmar Fonu'na [Bağış Tarihi] tarihinde banka yoluyla
ödenen [Nakdi TL] TL nakdi bağış ile [Ayni TL] TL maliyet bedelindeki ayni
bağışın tamamı olan [Toplam TL] TL, kurumlar vergisi matrahından
indirilmiştir. Söz konusu tutar YİAKV matrahından indirilmemiştir.'
(Matrahı aşıyorsa ekleyin:)
'[Aşan TL] TL'lik kısım matrahı aşması nedeniyle indirilememiş olup
sonraki dönemlere devredilmemiştir.'
KULLANMAYIN:
'...AYİF dışı afet kurumuna yapılan bağış 465 kapsamında indirilmiştir.' (Yanlış)
'...465 YİAKV matrahından düşülmüştür.' (YANLIŞ)
'...Matrahı aşan kısım devredilmiştir.' (Devredilmez!)
KRİTİK RİSKLER:
(1) AYİF dışı kuruma yapılan afet bağışını 465'e dahil etmek.
(2) AYİF makbuzu olmadan 465 uygulamak.
(3) Matrahı aşan kısmı devretmeye çalışmak.
(4) Ayni bağışı piyasa değeri üzerinden değerlemek.</t>
  </si>
  <si>
    <t>49 No.lu Tebliğ | 7441 s.K. Md.7 | SM-SMMM-YMM K. Md.12</t>
  </si>
  <si>
    <t xml:space="preserve">  GİB KV BEYAN REHBERİ MART 2026 (No:606) KAPANIŞ (465 — AYİF): 7441 s.K. Md.7 — Yalnızca Afet Yeniden İmar Fonu. Tamamının indirimi, matrahı aşan devredilmez. AYİF ≠ AFAD/Kızılay/Belediye — alıcı kesinlikle teyit edilmeli. Ayni bağışta KDV istisnası. ✗ YİAKV E.11. YMM: SM-SMMM-YMM K. Md.12.</t>
  </si>
  <si>
    <t>465 – AFET YENİDEN İMAR FONU 7441 s.K. Md.7 | BELGE LİSTESİ | YMM TASDİK</t>
  </si>
  <si>
    <t>AYİF Makbuzu | Banka Dekontu | Teslim Tutanağı | Değerleme | YİAKV E.11</t>
  </si>
  <si>
    <t>KATEGORİ 1 — ZORUNLU BELGELER</t>
  </si>
  <si>
    <t>No</t>
  </si>
  <si>
    <t>Temin</t>
  </si>
  <si>
    <t>1</t>
  </si>
  <si>
    <t>★ Afet Yeniden İmar Fonu Resmi Makbuzu / Bağış Kabul Belgesi</t>
  </si>
  <si>
    <t>AYİF tarafından düzenlenen resmi bağış makbuzu veya kabul yazısı. Bağış tutarı, tarihi ve türü (nakdi/ayni) belirtilmeli. Bu belge olmadan 465 indirimi belgelenemez.</t>
  </si>
  <si>
    <t>Afet Yeniden İmar Fonu (AYİF)</t>
  </si>
  <si>
    <t>2</t>
  </si>
  <si>
    <t>★ Nakdi Bağış — Banka EFT/Havale Dekontu</t>
  </si>
  <si>
    <t>AYİF'in banka hesabına yapılan nakdi ödemenin dekont belgesi. Her ödeme için ayrı dekont. Nakit ödeme riskli.</t>
  </si>
  <si>
    <t>Banka / Şirket hesabı</t>
  </si>
  <si>
    <t>3</t>
  </si>
  <si>
    <t>Ayni Bağış — Teslim-Tesellüm Tutanağı + Değerleme Notu</t>
  </si>
  <si>
    <t>Malzeme/ekipman/prefabrik bağışı için imzalı teslim tutanağı. Teslim edilen varlıkların listesi ve maliyet/net defter değeri. KDV hesaplanmaz (KDVK Md.17/2-b).</t>
  </si>
  <si>
    <t>Teslim sırasında düzenlenir</t>
  </si>
  <si>
    <t>4</t>
  </si>
  <si>
    <t>KV Beyannamesi 465 Satırı + YİAKV E.11 Bilgi</t>
  </si>
  <si>
    <t>Beyanname 465 = D.5 tutarı. YİAKV E.11'de diğer bağış/yardım kodlarıyla birlikte bilgi satırı.</t>
  </si>
  <si>
    <t>GİB e-Beyanname + YİAKV ÇK</t>
  </si>
  <si>
    <t>5</t>
  </si>
  <si>
    <t>Matrahı Aşan Kısım Var İse Beyanname Notu</t>
  </si>
  <si>
    <t>Bağış &gt; KV matrahı durumunda: 'Matrahı aşan [X] TL kısım sonraki dönemlere devredilmemiştir.' notu.</t>
  </si>
  <si>
    <t>YMM tarafından hazırlanır</t>
  </si>
  <si>
    <t>KATEGORİ 2 — YMM TASDİK KONTROL SORULARI</t>
  </si>
  <si>
    <t>Beklenen Sonuç</t>
  </si>
  <si>
    <t>YMM Aksiyonu</t>
  </si>
  <si>
    <t>S1</t>
  </si>
  <si>
    <t>★ Bağış yalnızca AYİF'e mi? (7441 s.K. Md.7)</t>
  </si>
  <si>
    <t>AYİF dışı → Bu kod değil.</t>
  </si>
  <si>
    <t>YMM kontrolü</t>
  </si>
  <si>
    <t>S2</t>
  </si>
  <si>
    <t>★ Bağış fiilen yapıldı mı? (Banka dekontu / teslim tutanağı)</t>
  </si>
  <si>
    <t>Taahhüt değil — fiili ödeme.</t>
  </si>
  <si>
    <t>S3</t>
  </si>
  <si>
    <t>★ AYİF'ten resmi makbuz alındı mı?</t>
  </si>
  <si>
    <t>Makbuz zorunlu.</t>
  </si>
  <si>
    <t>S4</t>
  </si>
  <si>
    <t>Ayni bağış varsa maliyet değeri ve KDV istisnası doğru uygulandı mı?</t>
  </si>
  <si>
    <t>Maliyet esas, KDV yok.</t>
  </si>
  <si>
    <t>S5</t>
  </si>
  <si>
    <t>★ İndirim matrahı aşıyor mu? (Devredilmez!)</t>
  </si>
  <si>
    <t>S6</t>
  </si>
  <si>
    <t>C tablosu toplamı D.5 ile mutabık mı?</t>
  </si>
  <si>
    <t>F44 = D.5 eşitliği.</t>
  </si>
  <si>
    <t>S7</t>
  </si>
  <si>
    <t>✗ YİAKV E.11'de bilgi satırı var mı?</t>
  </si>
  <si>
    <t>S8</t>
  </si>
  <si>
    <t>AFAD/Kızılay/Belediye bağışı ile karıştırılmadı mı?</t>
  </si>
  <si>
    <t>Alıcı AYİF olmalı — kod seçimi kritik.</t>
  </si>
  <si>
    <t>S9</t>
  </si>
  <si>
    <t>Beyanname 465 'Kazancın Bulunması Halinde'?</t>
  </si>
  <si>
    <t>S10</t>
  </si>
  <si>
    <t>YMM Tasdik Raporu değerlendirildi mi?</t>
  </si>
  <si>
    <t>&gt;=500.000 TL → Rapor.</t>
  </si>
  <si>
    <t xml:space="preserve">  GİB KV BEYAN REHBERİ MART 2026 (No:606) | 465 AYİF BAĞIŞI SON NOT:
  7441 s.K. Md.7 — Yalnızca Afet Yeniden İmar Fonu alıcısı.
  Tamamının indirimi — nakdi (banka) + ayni (maliyet değeri, KDV istisnası).
  AYİF ≠ AFAD / Kızılay / Belediye — alıcı kurumu titizlikle doğrula.
  AYİF resmi makbuzu zorunludur. Matrahı aşan kısım devredilemez.
  ✗ YİAKV E.11 (402/460/461/464/465 toplamı). YMM: SM-SMMM-YMM Kanunu Md.12.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</si>
</sst>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9"/>
      <color rgb="FFFFFFFF"/>
      <name val="Arial"/>
    </font>
    <font>
      <b/>
      <sz val="8"/>
      <color rgb="FF7B5E00"/>
      <name val="Arial"/>
    </font>
    <font>
      <b/>
      <sz val="10"/>
      <color rgb="FFFFFFFF"/>
      <name val="Arial"/>
    </font>
    <font>
      <b/>
      <sz val="9"/>
      <color rgb="FFC0392B"/>
      <name val="Arial"/>
    </font>
    <font>
      <b/>
      <sz val="10"/>
      <color rgb="FF0000FF"/>
      <name val="Arial"/>
    </font>
    <font>
      <i/>
      <sz val="8"/>
      <color rgb="FFC0392B"/>
      <name val="Arial"/>
    </font>
    <font>
      <b/>
      <sz val="9"/>
      <color rgb="FF1F3864"/>
      <name val="Arial"/>
    </font>
    <font>
      <i/>
      <sz val="8"/>
      <color rgb="FF555555"/>
      <name val="Arial"/>
    </font>
    <font>
      <b/>
      <sz val="10"/>
      <color rgb="FF1B5E20"/>
      <name val="Arial"/>
    </font>
    <font>
      <i/>
      <sz val="8"/>
      <color rgb="FF888888"/>
      <name val="Arial"/>
    </font>
    <font>
      <i/>
      <sz val="8"/>
      <color rgb="FFB03A2E"/>
      <name val="Arial"/>
    </font>
    <font>
      <b/>
      <sz val="10"/>
      <color rgb="FFB03A2E"/>
      <name val="Arial"/>
    </font>
    <font>
      <sz val="9"/>
      <color rgb="FF1F3864"/>
      <name val="Arial"/>
    </font>
    <font>
      <b/>
      <sz val="9"/>
      <color rgb="FFB03A2E"/>
      <name val="Arial"/>
    </font>
    <font>
      <b/>
      <sz val="9"/>
      <color rgb="FF1B5E20"/>
      <name val="Arial"/>
    </font>
    <font>
      <sz val="8"/>
      <color rgb="FF1F3864"/>
      <name val="Arial"/>
    </font>
    <font>
      <b/>
      <sz val="11"/>
      <color rgb="FFFFFFFF"/>
      <name val="Arial"/>
    </font>
    <font>
      <b/>
      <sz val="13"/>
      <color rgb="FFFFFFFF"/>
      <name val="Arial"/>
    </font>
    <font>
      <b/>
      <sz val="13"/>
      <color rgb="FF1B5E20"/>
      <name val="Arial"/>
    </font>
    <font>
      <b/>
      <sz val="9"/>
      <color rgb="FFE65100"/>
      <name val="Arial"/>
    </font>
    <font>
      <b/>
      <sz val="10"/>
      <color rgb="FFE65100"/>
      <name val="Arial"/>
    </font>
    <font>
      <b/>
      <sz val="14"/>
      <color rgb="FF1B5E20"/>
      <name val="Arial"/>
    </font>
    <font>
      <i/>
      <sz val="8"/>
      <color rgb="FF1B5E20"/>
      <name val="Arial"/>
    </font>
    <font>
      <b/>
      <sz val="12"/>
      <color rgb="FF1B5E20"/>
      <name val="Arial"/>
    </font>
    <font>
      <sz val="9"/>
      <color rgb="FFC0392B"/>
      <name val="Arial"/>
    </font>
    <font>
      <sz val="8"/>
      <color rgb="FF333333"/>
      <name val="Arial"/>
    </font>
    <font>
      <i/>
      <sz val="8"/>
      <color rgb="FF444444"/>
      <name val="Arial"/>
    </font>
    <font>
      <b/>
      <sz val="9"/>
      <color rgb="FF7B5E00"/>
      <name val="Arial"/>
    </font>
    <font>
      <sz val="8"/>
      <color rgb="FF444444"/>
      <name val="Arial"/>
    </font>
    <font>
      <b/>
      <sz val="9"/>
      <color rgb="FF1565C0"/>
      <name val="Arial"/>
    </font>
    <font>
      <b/>
      <sz val="8"/>
      <color rgb="FF1565C0"/>
      <name val="Arial"/>
    </font>
  </fonts>
  <fills count="25">
    <fill>
      <patternFill patternType="none"/>
    </fill>
    <fill>
      <patternFill patternType="gray125"/>
    </fill>
    <fill>
      <patternFill patternType="solid">
        <fgColor rgb="FFB03A2E"/>
      </patternFill>
    </fill>
    <fill>
      <patternFill patternType="solid">
        <fgColor rgb="FF2C3E50"/>
      </patternFill>
    </fill>
    <fill>
      <patternFill patternType="solid">
        <fgColor rgb="FFFFF9C4"/>
      </patternFill>
    </fill>
    <fill>
      <patternFill patternType="solid">
        <fgColor rgb="FFE65100"/>
      </patternFill>
    </fill>
    <fill>
      <patternFill patternType="solid">
        <fgColor rgb="FFDEDEDE"/>
      </patternFill>
    </fill>
    <fill>
      <patternFill patternType="solid">
        <fgColor rgb="FFC0392B"/>
      </patternFill>
    </fill>
    <fill>
      <patternFill patternType="solid">
        <fgColor rgb="FF1565C0"/>
      </patternFill>
    </fill>
    <fill>
      <patternFill patternType="solid">
        <fgColor rgb="FFFCE4D6"/>
      </patternFill>
    </fill>
    <fill>
      <patternFill patternType="solid">
        <fgColor rgb="FFFFFF00"/>
      </patternFill>
    </fill>
    <fill>
      <patternFill patternType="solid">
        <fgColor rgb="FFFDEDEC"/>
      </patternFill>
    </fill>
    <fill>
      <patternFill patternType="solid">
        <fgColor rgb="FFFFFFFF"/>
      </patternFill>
    </fill>
    <fill>
      <patternFill patternType="solid">
        <fgColor rgb="FFC6EFCE"/>
      </patternFill>
    </fill>
    <fill>
      <patternFill patternType="solid">
        <fgColor rgb="FFFADBD8"/>
      </patternFill>
    </fill>
    <fill>
      <patternFill patternType="solid">
        <fgColor rgb="FFFFF3E0"/>
      </patternFill>
    </fill>
    <fill>
      <patternFill patternType="solid">
        <fgColor rgb="FF1B5E20"/>
      </patternFill>
    </fill>
    <fill>
      <patternFill patternType="solid">
        <fgColor rgb="FFFFF5F5"/>
      </patternFill>
    </fill>
    <fill>
      <patternFill patternType="solid">
        <fgColor rgb="FFF7F7F7"/>
      </patternFill>
    </fill>
    <fill>
      <patternFill patternType="solid">
        <fgColor rgb="FFEBF5EB"/>
      </patternFill>
    </fill>
    <fill>
      <patternFill patternType="solid">
        <fgColor rgb="FFB71C1C"/>
      </patternFill>
    </fill>
    <fill>
      <patternFill patternType="solid">
        <fgColor rgb="FFFFEBEE"/>
      </patternFill>
    </fill>
    <fill>
      <patternFill patternType="solid">
        <fgColor rgb="FFFFD0D0"/>
      </patternFill>
    </fill>
    <fill>
      <patternFill patternType="solid">
        <fgColor rgb="FFE3F2FD"/>
      </patternFill>
    </fill>
    <fill>
      <patternFill patternType="solid">
        <fgColor rgb="FFEEF4FF"/>
      </patternFill>
    </fill>
  </fills>
  <borders count="9">
    <border>
      <left/>
      <right/>
      <top/>
      <bottom/>
      <diagonal/>
    </border>
    <border>
      <left style="thin">
        <color rgb="FF999999"/>
      </left>
      <right style="thin">
        <color rgb="FF999999"/>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B03A2E"/>
      </left>
      <right style="thin">
        <color rgb="FFB03A2E"/>
      </right>
      <top style="thin">
        <color rgb="FFB03A2E"/>
      </top>
      <bottom style="thin">
        <color rgb="FFB03A2E"/>
      </bottom>
      <diagonal/>
    </border>
    <border>
      <left style="thin">
        <color rgb="FF009900"/>
      </left>
      <right style="thin">
        <color rgb="FF009900"/>
      </right>
      <top style="thin">
        <color rgb="FF009900"/>
      </top>
      <bottom style="thin">
        <color rgb="FF009900"/>
      </bottom>
      <diagonal/>
    </border>
  </borders>
  <cellStyleXfs count="1">
    <xf numFmtId="0" fontId="0" fillId="0" borderId="0"/>
  </cellStyleXfs>
  <cellXfs count="125">
    <xf numFmtId="0" fontId="0" fillId="0" borderId="0" xfId="0"/>
    <xf numFmtId="0" fontId="0" fillId="6" borderId="4" xfId="0" applyFill="1" applyBorder="1"/>
    <xf numFmtId="0" fontId="1" fillId="8" borderId="1" xfId="0" applyFont="1" applyFill="1" applyBorder="1" applyAlignment="1">
      <alignment horizontal="center" vertical="center" wrapText="1"/>
    </xf>
    <xf numFmtId="0" fontId="5" fillId="10" borderId="4" xfId="0" applyFont="1" applyFill="1" applyBorder="1" applyAlignment="1">
      <alignment horizontal="center" vertical="center"/>
    </xf>
    <xf numFmtId="0" fontId="9" fillId="13" borderId="4" xfId="0" applyFont="1" applyFill="1" applyBorder="1" applyAlignment="1">
      <alignment horizontal="center" vertical="center"/>
    </xf>
    <xf numFmtId="0" fontId="0" fillId="10" borderId="4" xfId="0" applyFill="1" applyBorder="1"/>
    <xf numFmtId="3" fontId="12" fillId="14" borderId="7" xfId="0" applyNumberFormat="1" applyFont="1" applyFill="1" applyBorder="1" applyAlignment="1">
      <alignment horizontal="right" vertical="center"/>
    </xf>
    <xf numFmtId="0" fontId="1" fillId="2" borderId="1" xfId="0" applyFont="1" applyFill="1" applyBorder="1" applyAlignment="1">
      <alignment horizontal="center" vertical="center" wrapText="1"/>
    </xf>
    <xf numFmtId="0" fontId="13" fillId="10" borderId="4" xfId="0" applyFont="1" applyFill="1" applyBorder="1" applyAlignment="1">
      <alignment horizontal="center" vertical="center" wrapText="1"/>
    </xf>
    <xf numFmtId="0" fontId="13" fillId="10" borderId="4" xfId="0" applyFont="1" applyFill="1" applyBorder="1" applyAlignment="1">
      <alignment horizontal="left" vertical="center" wrapText="1"/>
    </xf>
    <xf numFmtId="3" fontId="14" fillId="14" borderId="7" xfId="0" applyNumberFormat="1" applyFont="1" applyFill="1" applyBorder="1" applyAlignment="1">
      <alignment horizontal="right" vertical="center" wrapText="1"/>
    </xf>
    <xf numFmtId="3" fontId="14" fillId="11" borderId="4" xfId="0" applyNumberFormat="1" applyFont="1" applyFill="1" applyBorder="1" applyAlignment="1">
      <alignment horizontal="right" vertical="center" wrapText="1"/>
    </xf>
    <xf numFmtId="3" fontId="15" fillId="13" borderId="8" xfId="0" applyNumberFormat="1" applyFont="1" applyFill="1" applyBorder="1" applyAlignment="1">
      <alignment horizontal="right" vertical="center" wrapText="1"/>
    </xf>
    <xf numFmtId="0" fontId="16" fillId="10" borderId="4" xfId="0" applyFont="1" applyFill="1" applyBorder="1" applyAlignment="1">
      <alignment horizontal="center" vertical="center" wrapText="1"/>
    </xf>
    <xf numFmtId="3" fontId="14" fillId="12" borderId="4" xfId="0" applyNumberFormat="1" applyFont="1" applyFill="1" applyBorder="1" applyAlignment="1">
      <alignment horizontal="right" vertical="center" wrapText="1"/>
    </xf>
    <xf numFmtId="3" fontId="3" fillId="2" borderId="4" xfId="0" applyNumberFormat="1" applyFont="1" applyFill="1" applyBorder="1" applyAlignment="1">
      <alignment horizontal="right" vertical="center" wrapText="1"/>
    </xf>
    <xf numFmtId="3" fontId="17" fillId="2" borderId="4" xfId="0" applyNumberFormat="1" applyFont="1" applyFill="1" applyBorder="1" applyAlignment="1">
      <alignment horizontal="right" vertical="center" wrapText="1"/>
    </xf>
    <xf numFmtId="3" fontId="18" fillId="2" borderId="8" xfId="0" applyNumberFormat="1" applyFont="1" applyFill="1" applyBorder="1" applyAlignment="1">
      <alignment horizontal="right" vertical="center" wrapText="1"/>
    </xf>
    <xf numFmtId="3" fontId="12" fillId="11" borderId="4" xfId="0" applyNumberFormat="1" applyFont="1" applyFill="1" applyBorder="1" applyAlignment="1">
      <alignment horizontal="right" vertical="center"/>
    </xf>
    <xf numFmtId="0" fontId="12" fillId="14" borderId="4" xfId="0" applyFont="1" applyFill="1" applyBorder="1" applyAlignment="1">
      <alignment horizontal="center" vertical="center"/>
    </xf>
    <xf numFmtId="3" fontId="19" fillId="13" borderId="8" xfId="0" applyNumberFormat="1" applyFont="1" applyFill="1" applyBorder="1" applyAlignment="1">
      <alignment horizontal="right" vertical="center"/>
    </xf>
    <xf numFmtId="0" fontId="21" fillId="15" borderId="4" xfId="0" applyFont="1" applyFill="1" applyBorder="1" applyAlignment="1">
      <alignment horizontal="center" vertical="center"/>
    </xf>
    <xf numFmtId="3" fontId="22" fillId="13" borderId="8" xfId="0" applyNumberFormat="1" applyFont="1" applyFill="1" applyBorder="1" applyAlignment="1">
      <alignment horizontal="right" vertical="center" wrapText="1"/>
    </xf>
    <xf numFmtId="3" fontId="9" fillId="11" borderId="4" xfId="0" applyNumberFormat="1" applyFont="1" applyFill="1" applyBorder="1" applyAlignment="1">
      <alignment horizontal="center" vertical="center"/>
    </xf>
    <xf numFmtId="3" fontId="24" fillId="13" borderId="4" xfId="0" applyNumberFormat="1" applyFont="1" applyFill="1" applyBorder="1" applyAlignment="1">
      <alignment horizontal="right" vertical="center"/>
    </xf>
    <xf numFmtId="0" fontId="13" fillId="11" borderId="4" xfId="0" applyFont="1" applyFill="1" applyBorder="1" applyAlignment="1">
      <alignment horizontal="center" vertical="center"/>
    </xf>
    <xf numFmtId="0" fontId="25" fillId="11" borderId="4" xfId="0" applyFont="1" applyFill="1" applyBorder="1" applyAlignment="1">
      <alignment horizontal="center" vertical="center"/>
    </xf>
    <xf numFmtId="0" fontId="1" fillId="2" borderId="1" xfId="0" applyFont="1" applyFill="1" applyBorder="1" applyAlignment="1">
      <alignment horizontal="center" vertical="center"/>
    </xf>
    <xf numFmtId="0" fontId="13" fillId="12" borderId="4" xfId="0" applyFont="1" applyFill="1" applyBorder="1" applyAlignment="1">
      <alignment horizontal="center" vertical="center"/>
    </xf>
    <xf numFmtId="0" fontId="25" fillId="12" borderId="4" xfId="0" applyFont="1" applyFill="1" applyBorder="1" applyAlignment="1">
      <alignment horizontal="center" vertical="center"/>
    </xf>
    <xf numFmtId="0" fontId="1" fillId="2" borderId="4" xfId="0" applyFont="1" applyFill="1" applyBorder="1" applyAlignment="1">
      <alignment horizontal="center" vertical="center" wrapText="1"/>
    </xf>
    <xf numFmtId="0" fontId="4" fillId="9" borderId="4" xfId="0" applyFont="1" applyFill="1" applyBorder="1" applyAlignment="1">
      <alignment horizontal="left" vertical="top" wrapText="1"/>
    </xf>
    <xf numFmtId="0" fontId="26" fillId="17" borderId="4" xfId="0" applyFont="1" applyFill="1" applyBorder="1" applyAlignment="1">
      <alignment horizontal="left" vertical="top" wrapText="1"/>
    </xf>
    <xf numFmtId="0" fontId="0" fillId="12" borderId="4" xfId="0" applyFill="1" applyBorder="1"/>
    <xf numFmtId="0" fontId="0" fillId="11" borderId="4" xfId="0" applyFill="1" applyBorder="1"/>
    <xf numFmtId="0" fontId="7" fillId="11" borderId="4" xfId="0" applyFont="1" applyFill="1" applyBorder="1" applyAlignment="1">
      <alignment horizontal="left" vertical="top" wrapText="1"/>
    </xf>
    <xf numFmtId="0" fontId="7" fillId="12" borderId="4" xfId="0" applyFont="1" applyFill="1" applyBorder="1" applyAlignment="1">
      <alignment horizontal="left" vertical="top" wrapText="1"/>
    </xf>
    <xf numFmtId="0" fontId="1" fillId="8" borderId="1" xfId="0" applyFont="1" applyFill="1" applyBorder="1" applyAlignment="1">
      <alignment horizontal="center" vertical="center"/>
    </xf>
    <xf numFmtId="0" fontId="13" fillId="11" borderId="4" xfId="0" applyFont="1" applyFill="1" applyBorder="1" applyAlignment="1">
      <alignment horizontal="center" vertical="center" wrapText="1"/>
    </xf>
    <xf numFmtId="0" fontId="13" fillId="12" borderId="4" xfId="0" applyFont="1" applyFill="1" applyBorder="1" applyAlignment="1">
      <alignment horizontal="center" vertical="center" wrapText="1"/>
    </xf>
    <xf numFmtId="0" fontId="26" fillId="18" borderId="4" xfId="0" applyFont="1" applyFill="1" applyBorder="1" applyAlignment="1">
      <alignment horizontal="left" vertical="top" wrapText="1"/>
    </xf>
    <xf numFmtId="0" fontId="27" fillId="11" borderId="4" xfId="0" applyFont="1" applyFill="1" applyBorder="1" applyAlignment="1">
      <alignment horizontal="left" vertical="top" wrapText="1"/>
    </xf>
    <xf numFmtId="0" fontId="1" fillId="7" borderId="4" xfId="0" applyFont="1" applyFill="1" applyBorder="1" applyAlignment="1">
      <alignment horizontal="center" vertical="center" wrapText="1"/>
    </xf>
    <xf numFmtId="0" fontId="27" fillId="9" borderId="4" xfId="0" applyFont="1" applyFill="1" applyBorder="1" applyAlignment="1">
      <alignment horizontal="left" vertical="top" wrapText="1"/>
    </xf>
    <xf numFmtId="0" fontId="27" fillId="12" borderId="4" xfId="0" applyFont="1" applyFill="1" applyBorder="1" applyAlignment="1">
      <alignment horizontal="left" vertical="top" wrapText="1"/>
    </xf>
    <xf numFmtId="0" fontId="0" fillId="4" borderId="4" xfId="0" applyFill="1" applyBorder="1"/>
    <xf numFmtId="0" fontId="0" fillId="13" borderId="4" xfId="0" applyFill="1" applyBorder="1"/>
    <xf numFmtId="0" fontId="7" fillId="13" borderId="4" xfId="0" applyFont="1" applyFill="1" applyBorder="1" applyAlignment="1">
      <alignment horizontal="center" vertical="center" wrapText="1"/>
    </xf>
    <xf numFmtId="0" fontId="4" fillId="13" borderId="4" xfId="0" applyFont="1" applyFill="1" applyBorder="1" applyAlignment="1">
      <alignment horizontal="left" vertical="top" wrapText="1"/>
    </xf>
    <xf numFmtId="0" fontId="26" fillId="19" borderId="4" xfId="0" applyFont="1" applyFill="1" applyBorder="1" applyAlignment="1">
      <alignment horizontal="left" vertical="top" wrapText="1"/>
    </xf>
    <xf numFmtId="0" fontId="29" fillId="13" borderId="4" xfId="0" applyFont="1" applyFill="1" applyBorder="1" applyAlignment="1">
      <alignment horizontal="left" vertical="center" wrapText="1"/>
    </xf>
    <xf numFmtId="0" fontId="7" fillId="12" borderId="4" xfId="0" applyFont="1" applyFill="1" applyBorder="1" applyAlignment="1">
      <alignment horizontal="center" vertical="center" wrapText="1"/>
    </xf>
    <xf numFmtId="0" fontId="4" fillId="12" borderId="4" xfId="0" applyFont="1" applyFill="1" applyBorder="1" applyAlignment="1">
      <alignment horizontal="left" vertical="top" wrapText="1"/>
    </xf>
    <xf numFmtId="0" fontId="29" fillId="12" borderId="4" xfId="0" applyFont="1" applyFill="1" applyBorder="1" applyAlignment="1">
      <alignment horizontal="left" vertical="center" wrapText="1"/>
    </xf>
    <xf numFmtId="0" fontId="7" fillId="13" borderId="4" xfId="0" applyFont="1" applyFill="1" applyBorder="1" applyAlignment="1">
      <alignment horizontal="left" vertical="top" wrapText="1"/>
    </xf>
    <xf numFmtId="0" fontId="1" fillId="20" borderId="1" xfId="0" applyFont="1" applyFill="1" applyBorder="1" applyAlignment="1">
      <alignment horizontal="center" vertical="center"/>
    </xf>
    <xf numFmtId="0" fontId="0" fillId="21" borderId="4" xfId="0" applyFill="1" applyBorder="1"/>
    <xf numFmtId="0" fontId="30" fillId="21" borderId="4" xfId="0" applyFont="1" applyFill="1" applyBorder="1" applyAlignment="1">
      <alignment horizontal="center" vertical="center" wrapText="1"/>
    </xf>
    <xf numFmtId="0" fontId="4" fillId="21" borderId="4" xfId="0" applyFont="1" applyFill="1" applyBorder="1" applyAlignment="1">
      <alignment horizontal="left" vertical="top" wrapText="1"/>
    </xf>
    <xf numFmtId="0" fontId="26" fillId="22" borderId="4" xfId="0" applyFont="1" applyFill="1" applyBorder="1" applyAlignment="1">
      <alignment horizontal="left" vertical="top" wrapText="1"/>
    </xf>
    <xf numFmtId="0" fontId="31" fillId="21" borderId="4" xfId="0" applyFont="1" applyFill="1" applyBorder="1" applyAlignment="1">
      <alignment horizontal="center" vertical="center" wrapText="1"/>
    </xf>
    <xf numFmtId="0" fontId="0" fillId="23" borderId="4" xfId="0" applyFill="1" applyBorder="1"/>
    <xf numFmtId="0" fontId="30" fillId="23" borderId="4" xfId="0" applyFont="1" applyFill="1" applyBorder="1" applyAlignment="1">
      <alignment horizontal="center" vertical="center" wrapText="1"/>
    </xf>
    <xf numFmtId="0" fontId="30" fillId="23" borderId="4" xfId="0" applyFont="1" applyFill="1" applyBorder="1" applyAlignment="1">
      <alignment horizontal="left" vertical="top" wrapText="1"/>
    </xf>
    <xf numFmtId="0" fontId="26" fillId="24" borderId="4" xfId="0" applyFont="1" applyFill="1" applyBorder="1" applyAlignment="1">
      <alignment horizontal="left" vertical="top" wrapText="1"/>
    </xf>
    <xf numFmtId="0" fontId="31" fillId="23" borderId="4" xfId="0" applyFont="1" applyFill="1" applyBorder="1" applyAlignment="1">
      <alignment horizontal="center" vertical="center" wrapText="1"/>
    </xf>
    <xf numFmtId="0" fontId="11" fillId="12" borderId="4" xfId="0" applyFont="1" applyFill="1" applyBorder="1" applyAlignment="1">
      <alignment horizontal="left" vertical="center" wrapText="1"/>
    </xf>
    <xf numFmtId="0" fontId="0" fillId="0" borderId="6" xfId="0" applyBorder="1"/>
    <xf numFmtId="0" fontId="14" fillId="14" borderId="4" xfId="0" applyFont="1" applyFill="1" applyBorder="1" applyAlignment="1">
      <alignment horizontal="left" vertical="center" wrapText="1"/>
    </xf>
    <xf numFmtId="0" fontId="3" fillId="2" borderId="1" xfId="0" applyFont="1" applyFill="1" applyBorder="1" applyAlignment="1">
      <alignment horizontal="left" vertical="center"/>
    </xf>
    <xf numFmtId="0" fontId="0" fillId="0" borderId="2" xfId="0" applyBorder="1"/>
    <xf numFmtId="0" fontId="0" fillId="0" borderId="3" xfId="0" applyBorder="1"/>
    <xf numFmtId="0" fontId="0" fillId="10" borderId="4" xfId="0" applyFill="1" applyBorder="1"/>
    <xf numFmtId="0" fontId="0" fillId="0" borderId="5" xfId="0" applyBorder="1"/>
    <xf numFmtId="0" fontId="10" fillId="12" borderId="4" xfId="0" applyFont="1" applyFill="1" applyBorder="1" applyAlignment="1">
      <alignment horizontal="left" vertical="center" wrapText="1"/>
    </xf>
    <xf numFmtId="0" fontId="7" fillId="12" borderId="4" xfId="0" applyFont="1" applyFill="1" applyBorder="1" applyAlignment="1">
      <alignment horizontal="left" vertical="center" wrapText="1"/>
    </xf>
    <xf numFmtId="0" fontId="10" fillId="11" borderId="4" xfId="0" applyFont="1" applyFill="1" applyBorder="1" applyAlignment="1">
      <alignment horizontal="left" vertical="center" wrapText="1"/>
    </xf>
    <xf numFmtId="0" fontId="8" fillId="12" borderId="4" xfId="0" applyFont="1" applyFill="1" applyBorder="1" applyAlignment="1">
      <alignment horizontal="left" vertical="center" wrapText="1"/>
    </xf>
    <xf numFmtId="0" fontId="7" fillId="11" borderId="4" xfId="0" applyFont="1" applyFill="1" applyBorder="1" applyAlignment="1">
      <alignment horizontal="left" vertical="center" wrapText="1"/>
    </xf>
    <xf numFmtId="0" fontId="20" fillId="15" borderId="4" xfId="0" applyFont="1" applyFill="1" applyBorder="1" applyAlignment="1">
      <alignment horizontal="left" vertical="center" wrapText="1"/>
    </xf>
    <xf numFmtId="0" fontId="10" fillId="14" borderId="4" xfId="0" applyFont="1" applyFill="1" applyBorder="1" applyAlignment="1">
      <alignment horizontal="left" vertical="center" wrapText="1"/>
    </xf>
    <xf numFmtId="0" fontId="8" fillId="11" borderId="4" xfId="0" applyFont="1" applyFill="1" applyBorder="1" applyAlignment="1">
      <alignment horizontal="left" vertical="center" wrapText="1"/>
    </xf>
    <xf numFmtId="0" fontId="4" fillId="9" borderId="4" xfId="0" applyFont="1" applyFill="1" applyBorder="1" applyAlignment="1">
      <alignment horizontal="left" vertical="center" wrapText="1"/>
    </xf>
    <xf numFmtId="0" fontId="11" fillId="11" borderId="4" xfId="0" applyFont="1" applyFill="1" applyBorder="1" applyAlignment="1">
      <alignment horizontal="left" vertical="center" wrapText="1"/>
    </xf>
    <xf numFmtId="0" fontId="10" fillId="15" borderId="4" xfId="0" applyFont="1" applyFill="1" applyBorder="1" applyAlignment="1">
      <alignment horizontal="left" vertical="center" wrapText="1"/>
    </xf>
    <xf numFmtId="0" fontId="13" fillId="11" borderId="4" xfId="0" applyFont="1" applyFill="1" applyBorder="1" applyAlignment="1">
      <alignment horizontal="left" vertical="center" wrapText="1"/>
    </xf>
    <xf numFmtId="0" fontId="1" fillId="2" borderId="1" xfId="0" applyFont="1" applyFill="1" applyBorder="1" applyAlignment="1">
      <alignment horizontal="left" vertical="center"/>
    </xf>
    <xf numFmtId="0" fontId="6" fillId="9" borderId="4" xfId="0" applyFont="1" applyFill="1" applyBorder="1" applyAlignment="1">
      <alignment horizontal="left" vertical="center" wrapText="1"/>
    </xf>
    <xf numFmtId="0" fontId="15" fillId="13" borderId="4" xfId="0" applyFont="1" applyFill="1" applyBorder="1" applyAlignment="1">
      <alignment horizontal="left" vertical="center" wrapText="1"/>
    </xf>
    <xf numFmtId="0" fontId="2" fillId="4" borderId="4" xfId="0" applyFont="1" applyFill="1" applyBorder="1" applyAlignment="1">
      <alignment horizontal="left" vertical="center" wrapText="1"/>
    </xf>
    <xf numFmtId="0" fontId="1" fillId="5" borderId="4" xfId="0" applyFont="1" applyFill="1" applyBorder="1" applyAlignment="1">
      <alignment horizontal="left" vertical="center" wrapText="1"/>
    </xf>
    <xf numFmtId="0" fontId="1" fillId="2" borderId="4" xfId="0" applyFont="1" applyFill="1" applyBorder="1" applyAlignment="1">
      <alignment horizontal="left" vertical="center"/>
    </xf>
    <xf numFmtId="0" fontId="10" fillId="13" borderId="4" xfId="0" applyFont="1" applyFill="1" applyBorder="1" applyAlignment="1">
      <alignment horizontal="left" vertical="center" wrapText="1"/>
    </xf>
    <xf numFmtId="0" fontId="3" fillId="7" borderId="1" xfId="0" applyFont="1" applyFill="1" applyBorder="1" applyAlignment="1">
      <alignment horizontal="left" vertical="center"/>
    </xf>
    <xf numFmtId="0" fontId="4" fillId="11" borderId="4" xfId="0" applyFont="1" applyFill="1" applyBorder="1" applyAlignment="1">
      <alignment horizontal="left" vertical="center" wrapText="1"/>
    </xf>
    <xf numFmtId="0" fontId="1" fillId="3" borderId="1" xfId="0" applyFont="1" applyFill="1" applyBorder="1" applyAlignment="1">
      <alignment horizontal="left" vertical="center"/>
    </xf>
    <xf numFmtId="0" fontId="6" fillId="13" borderId="4" xfId="0" applyFont="1" applyFill="1" applyBorder="1" applyAlignment="1">
      <alignment horizontal="left" vertical="center" wrapText="1"/>
    </xf>
    <xf numFmtId="0" fontId="7" fillId="13" borderId="4" xfId="0" applyFont="1" applyFill="1" applyBorder="1" applyAlignment="1">
      <alignment horizontal="left" vertical="center"/>
    </xf>
    <xf numFmtId="0" fontId="23" fillId="13" borderId="4" xfId="0" applyFont="1" applyFill="1" applyBorder="1" applyAlignment="1">
      <alignment horizontal="left" vertical="center" wrapText="1"/>
    </xf>
    <xf numFmtId="0" fontId="8" fillId="14" borderId="4" xfId="0" applyFont="1" applyFill="1" applyBorder="1" applyAlignment="1">
      <alignment horizontal="left" vertical="center" wrapText="1"/>
    </xf>
    <xf numFmtId="0" fontId="8" fillId="13" borderId="4" xfId="0" applyFont="1" applyFill="1" applyBorder="1" applyAlignment="1">
      <alignment horizontal="left" vertical="center" wrapText="1"/>
    </xf>
    <xf numFmtId="0" fontId="4" fillId="12" borderId="4" xfId="0" applyFont="1" applyFill="1" applyBorder="1" applyAlignment="1">
      <alignment horizontal="left" vertical="center" wrapText="1"/>
    </xf>
    <xf numFmtId="0" fontId="9" fillId="13" borderId="4" xfId="0" applyFont="1" applyFill="1" applyBorder="1" applyAlignment="1">
      <alignment horizontal="left" vertical="center"/>
    </xf>
    <xf numFmtId="0" fontId="3" fillId="2" borderId="4" xfId="0" applyFont="1" applyFill="1" applyBorder="1" applyAlignment="1">
      <alignment horizontal="center" vertical="center"/>
    </xf>
    <xf numFmtId="0" fontId="8" fillId="15" borderId="4" xfId="0" applyFont="1" applyFill="1" applyBorder="1" applyAlignment="1">
      <alignment horizontal="left" vertical="center" wrapText="1"/>
    </xf>
    <xf numFmtId="0" fontId="4" fillId="9" borderId="4" xfId="0" applyFont="1" applyFill="1" applyBorder="1" applyAlignment="1">
      <alignment horizontal="left" vertical="top" wrapText="1"/>
    </xf>
    <xf numFmtId="0" fontId="3" fillId="16" borderId="1" xfId="0" applyFont="1" applyFill="1" applyBorder="1" applyAlignment="1">
      <alignment horizontal="left" vertical="center"/>
    </xf>
    <xf numFmtId="0" fontId="7" fillId="12" borderId="4" xfId="0" applyFont="1" applyFill="1" applyBorder="1" applyAlignment="1">
      <alignment horizontal="left" vertical="top" wrapText="1"/>
    </xf>
    <xf numFmtId="0" fontId="26" fillId="12" borderId="4" xfId="0" applyFont="1" applyFill="1" applyBorder="1" applyAlignment="1">
      <alignment horizontal="left" vertical="top" wrapText="1"/>
    </xf>
    <xf numFmtId="0" fontId="7" fillId="12" borderId="4" xfId="0" applyFont="1" applyFill="1" applyBorder="1" applyAlignment="1">
      <alignment horizontal="left" vertical="center"/>
    </xf>
    <xf numFmtId="0" fontId="26" fillId="11" borderId="4" xfId="0" applyFont="1" applyFill="1" applyBorder="1" applyAlignment="1">
      <alignment horizontal="left" vertical="top" wrapText="1"/>
    </xf>
    <xf numFmtId="0" fontId="17" fillId="2" borderId="1" xfId="0" applyFont="1" applyFill="1" applyBorder="1" applyAlignment="1">
      <alignment horizontal="left" vertical="center"/>
    </xf>
    <xf numFmtId="0" fontId="7" fillId="15" borderId="4" xfId="0" applyFont="1" applyFill="1" applyBorder="1" applyAlignment="1">
      <alignment horizontal="left" vertical="center"/>
    </xf>
    <xf numFmtId="0" fontId="26" fillId="17" borderId="4" xfId="0" applyFont="1" applyFill="1" applyBorder="1" applyAlignment="1">
      <alignment horizontal="left" vertical="top" wrapText="1"/>
    </xf>
    <xf numFmtId="0" fontId="7" fillId="11" borderId="4" xfId="0" applyFont="1" applyFill="1" applyBorder="1" applyAlignment="1">
      <alignment horizontal="left" vertical="top" wrapText="1"/>
    </xf>
    <xf numFmtId="0" fontId="7" fillId="11" borderId="4" xfId="0" applyFont="1" applyFill="1" applyBorder="1" applyAlignment="1">
      <alignment horizontal="left" vertical="center"/>
    </xf>
    <xf numFmtId="0" fontId="16" fillId="14" borderId="4" xfId="0" applyFont="1" applyFill="1" applyBorder="1" applyAlignment="1">
      <alignment horizontal="left" vertical="center" wrapText="1"/>
    </xf>
    <xf numFmtId="0" fontId="1" fillId="3" borderId="4" xfId="0" applyFont="1" applyFill="1" applyBorder="1" applyAlignment="1">
      <alignment horizontal="left" vertical="center" wrapText="1"/>
    </xf>
    <xf numFmtId="0" fontId="26" fillId="15" borderId="4" xfId="0" applyFont="1" applyFill="1" applyBorder="1" applyAlignment="1">
      <alignment horizontal="left" vertical="center" wrapText="1"/>
    </xf>
    <xf numFmtId="0" fontId="3" fillId="7" borderId="4" xfId="0" applyFont="1" applyFill="1" applyBorder="1" applyAlignment="1">
      <alignment horizontal="left" vertical="center"/>
    </xf>
    <xf numFmtId="0" fontId="3" fillId="2" borderId="4" xfId="0" applyFont="1" applyFill="1" applyBorder="1" applyAlignment="1">
      <alignment horizontal="left" vertical="center"/>
    </xf>
    <xf numFmtId="0" fontId="3" fillId="16" borderId="4" xfId="0" applyFont="1" applyFill="1" applyBorder="1" applyAlignment="1">
      <alignment horizontal="left" vertical="center"/>
    </xf>
    <xf numFmtId="0" fontId="28" fillId="4" borderId="4" xfId="0" applyFont="1" applyFill="1" applyBorder="1" applyAlignment="1">
      <alignment horizontal="left" vertical="center" wrapText="1"/>
    </xf>
    <xf numFmtId="0" fontId="1" fillId="20" borderId="1" xfId="0" applyFont="1" applyFill="1" applyBorder="1" applyAlignment="1">
      <alignment horizontal="left" vertical="center"/>
    </xf>
    <xf numFmtId="0" fontId="1" fillId="16" borderId="1" xfId="0" applyFont="1" applyFill="1" applyBorder="1" applyAlignment="1">
      <alignment horizontal="left" vertical="center"/>
    </xf>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EF46226-4F49-45FB-88A5-878BBE67FBEC}">
  <we:reference id="WA200009404" version="1.0.0.8" store="Omex" storeType="OMEX"/>
  <we:alternateReferences>
    <we:reference id="WA200009404" version="1.0.0.8" store="WA200009404" storeType="OMEX"/>
  </we:alternateReferences>
  <we:properties>
    <we:property name="claude.fileId" value="&quot;5545f4c2-82f7-413b-87a4-01d547d4418c&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6"/>
  <sheetViews>
    <sheetView tabSelected="1" topLeftCell="A3" workbookViewId="0">
      <selection sqref="A1:G1"/>
    </sheetView>
  </sheetViews>
  <sheetFormatPr defaultRowHeight="14.4" x14ac:dyDescent="0.55000000000000004"/>
  <cols>
    <col min="1" max="1" width="3" customWidth="1"/>
    <col min="2" max="2" width="30" customWidth="1"/>
    <col min="3" max="4" width="18" customWidth="1"/>
    <col min="5" max="6" width="14" customWidth="1"/>
    <col min="7" max="7" width="22" customWidth="1"/>
  </cols>
  <sheetData>
    <row r="1" spans="1:7" ht="44.05" customHeight="1" x14ac:dyDescent="0.55000000000000004">
      <c r="A1" s="86" t="s">
        <v>0</v>
      </c>
      <c r="B1" s="70"/>
      <c r="C1" s="70"/>
      <c r="D1" s="70"/>
      <c r="E1" s="70"/>
      <c r="F1" s="70"/>
      <c r="G1" s="71"/>
    </row>
    <row r="2" spans="1:7" ht="22" customHeight="1" x14ac:dyDescent="0.55000000000000004">
      <c r="A2" s="95" t="s">
        <v>1</v>
      </c>
      <c r="B2" s="70"/>
      <c r="C2" s="70"/>
      <c r="D2" s="70"/>
      <c r="E2" s="70"/>
      <c r="F2" s="70"/>
      <c r="G2" s="71"/>
    </row>
    <row r="3" spans="1:7" ht="44.05" customHeight="1" x14ac:dyDescent="0.55000000000000004">
      <c r="A3" s="89" t="s">
        <v>2</v>
      </c>
      <c r="B3" s="73"/>
      <c r="C3" s="73"/>
      <c r="D3" s="73"/>
      <c r="E3" s="73"/>
      <c r="F3" s="73"/>
      <c r="G3" s="67"/>
    </row>
    <row r="4" spans="1:7" ht="22" customHeight="1" x14ac:dyDescent="0.55000000000000004">
      <c r="A4" s="90" t="s">
        <v>3</v>
      </c>
      <c r="B4" s="73"/>
      <c r="C4" s="73"/>
      <c r="D4" s="73"/>
      <c r="E4" s="73"/>
      <c r="F4" s="73"/>
      <c r="G4" s="67"/>
    </row>
    <row r="5" spans="1:7" ht="5.05" customHeight="1" x14ac:dyDescent="0.55000000000000004">
      <c r="A5" s="1"/>
      <c r="B5" s="1"/>
      <c r="C5" s="1"/>
      <c r="D5" s="1"/>
      <c r="E5" s="1"/>
      <c r="F5" s="1"/>
      <c r="G5" s="1"/>
    </row>
    <row r="6" spans="1:7" ht="24" customHeight="1" x14ac:dyDescent="0.55000000000000004">
      <c r="A6" s="93" t="s">
        <v>4</v>
      </c>
      <c r="B6" s="70"/>
      <c r="C6" s="70"/>
      <c r="D6" s="70"/>
      <c r="E6" s="70"/>
      <c r="F6" s="70"/>
      <c r="G6" s="71"/>
    </row>
    <row r="7" spans="1:7" ht="18" customHeight="1" x14ac:dyDescent="0.55000000000000004">
      <c r="A7" s="2"/>
      <c r="B7" s="2" t="s">
        <v>5</v>
      </c>
      <c r="C7" s="2"/>
      <c r="D7" s="2"/>
      <c r="E7" s="2" t="s">
        <v>6</v>
      </c>
      <c r="F7" s="2"/>
      <c r="G7" s="2" t="s">
        <v>7</v>
      </c>
    </row>
    <row r="8" spans="1:7" ht="28" customHeight="1" x14ac:dyDescent="0.55000000000000004">
      <c r="A8" s="82" t="s">
        <v>8</v>
      </c>
      <c r="B8" s="73"/>
      <c r="C8" s="73"/>
      <c r="D8" s="67"/>
      <c r="E8" s="3" t="s">
        <v>9</v>
      </c>
      <c r="F8" s="87" t="s">
        <v>10</v>
      </c>
      <c r="G8" s="67"/>
    </row>
    <row r="9" spans="1:7" ht="28" customHeight="1" x14ac:dyDescent="0.55000000000000004">
      <c r="A9" s="82" t="s">
        <v>11</v>
      </c>
      <c r="B9" s="73"/>
      <c r="C9" s="73"/>
      <c r="D9" s="67"/>
      <c r="E9" s="3" t="s">
        <v>9</v>
      </c>
      <c r="F9" s="87" t="s">
        <v>12</v>
      </c>
      <c r="G9" s="67"/>
    </row>
    <row r="10" spans="1:7" ht="28" customHeight="1" x14ac:dyDescent="0.55000000000000004">
      <c r="A10" s="78" t="s">
        <v>13</v>
      </c>
      <c r="B10" s="73"/>
      <c r="C10" s="73"/>
      <c r="D10" s="67"/>
      <c r="E10" s="3" t="s">
        <v>9</v>
      </c>
      <c r="F10" s="81" t="s">
        <v>14</v>
      </c>
      <c r="G10" s="67"/>
    </row>
    <row r="11" spans="1:7" ht="28" customHeight="1" x14ac:dyDescent="0.55000000000000004">
      <c r="A11" s="75" t="s">
        <v>15</v>
      </c>
      <c r="B11" s="73"/>
      <c r="C11" s="73"/>
      <c r="D11" s="67"/>
      <c r="E11" s="3" t="s">
        <v>9</v>
      </c>
      <c r="F11" s="77" t="s">
        <v>16</v>
      </c>
      <c r="G11" s="67"/>
    </row>
    <row r="12" spans="1:7" ht="28" customHeight="1" x14ac:dyDescent="0.55000000000000004">
      <c r="A12" s="78" t="s">
        <v>17</v>
      </c>
      <c r="B12" s="73"/>
      <c r="C12" s="73"/>
      <c r="D12" s="67"/>
      <c r="E12" s="3" t="s">
        <v>9</v>
      </c>
      <c r="F12" s="81" t="s">
        <v>18</v>
      </c>
      <c r="G12" s="67"/>
    </row>
    <row r="13" spans="1:7" ht="28" customHeight="1" x14ac:dyDescent="0.55000000000000004">
      <c r="A13" s="75" t="s">
        <v>19</v>
      </c>
      <c r="B13" s="73"/>
      <c r="C13" s="73"/>
      <c r="D13" s="67"/>
      <c r="E13" s="3" t="s">
        <v>9</v>
      </c>
      <c r="F13" s="77" t="s">
        <v>20</v>
      </c>
      <c r="G13" s="67"/>
    </row>
    <row r="14" spans="1:7" ht="24" customHeight="1" x14ac:dyDescent="0.55000000000000004">
      <c r="A14" s="97" t="s">
        <v>21</v>
      </c>
      <c r="B14" s="73"/>
      <c r="C14" s="73"/>
      <c r="D14" s="67"/>
      <c r="E14" s="4" t="str">
        <f>IF(AND(E8="EVET",E9="EVET",E10="EVET"),"OK - Hesaplanabilir","HATA - Ön koşul eksik")</f>
        <v>OK - Hesaplanabilir</v>
      </c>
      <c r="F14" s="96" t="s">
        <v>22</v>
      </c>
      <c r="G14" s="67"/>
    </row>
    <row r="15" spans="1:7" ht="5.05" customHeight="1" x14ac:dyDescent="0.55000000000000004">
      <c r="A15" s="1"/>
      <c r="B15" s="1"/>
      <c r="C15" s="1"/>
      <c r="D15" s="1"/>
      <c r="E15" s="1"/>
      <c r="F15" s="1"/>
      <c r="G15" s="1"/>
    </row>
    <row r="16" spans="1:7" ht="22" customHeight="1" x14ac:dyDescent="0.55000000000000004">
      <c r="A16" s="69" t="s">
        <v>23</v>
      </c>
      <c r="B16" s="70"/>
      <c r="C16" s="70"/>
      <c r="D16" s="70"/>
      <c r="E16" s="70"/>
      <c r="F16" s="70"/>
      <c r="G16" s="71"/>
    </row>
    <row r="17" spans="1:7" ht="22" customHeight="1" x14ac:dyDescent="0.55000000000000004">
      <c r="A17" s="75" t="s">
        <v>24</v>
      </c>
      <c r="B17" s="67"/>
      <c r="C17" s="72"/>
      <c r="D17" s="73"/>
      <c r="E17" s="67"/>
      <c r="F17" s="74" t="s">
        <v>25</v>
      </c>
      <c r="G17" s="67"/>
    </row>
    <row r="18" spans="1:7" ht="22" customHeight="1" x14ac:dyDescent="0.55000000000000004">
      <c r="A18" s="78" t="s">
        <v>26</v>
      </c>
      <c r="B18" s="67"/>
      <c r="C18" s="72"/>
      <c r="D18" s="73"/>
      <c r="E18" s="67"/>
      <c r="F18" s="76" t="s">
        <v>27</v>
      </c>
      <c r="G18" s="67"/>
    </row>
    <row r="19" spans="1:7" ht="22" customHeight="1" x14ac:dyDescent="0.55000000000000004">
      <c r="A19" s="75" t="s">
        <v>28</v>
      </c>
      <c r="B19" s="67"/>
      <c r="C19" s="72"/>
      <c r="D19" s="73"/>
      <c r="E19" s="67"/>
      <c r="F19" s="74" t="s">
        <v>29</v>
      </c>
      <c r="G19" s="67"/>
    </row>
    <row r="20" spans="1:7" ht="22" customHeight="1" x14ac:dyDescent="0.55000000000000004">
      <c r="A20" s="78" t="s">
        <v>30</v>
      </c>
      <c r="B20" s="67"/>
      <c r="C20" s="72"/>
      <c r="D20" s="73"/>
      <c r="E20" s="67"/>
      <c r="F20" s="76" t="s">
        <v>31</v>
      </c>
      <c r="G20" s="67"/>
    </row>
    <row r="21" spans="1:7" ht="22" customHeight="1" x14ac:dyDescent="0.55000000000000004">
      <c r="A21" s="75" t="s">
        <v>32</v>
      </c>
      <c r="B21" s="67"/>
      <c r="C21" s="72"/>
      <c r="D21" s="73"/>
      <c r="E21" s="67"/>
      <c r="F21" s="74" t="s">
        <v>33</v>
      </c>
      <c r="G21" s="67"/>
    </row>
    <row r="22" spans="1:7" ht="22" customHeight="1" x14ac:dyDescent="0.55000000000000004">
      <c r="A22" s="78" t="s">
        <v>34</v>
      </c>
      <c r="B22" s="67"/>
      <c r="C22" s="72"/>
      <c r="D22" s="73"/>
      <c r="E22" s="67"/>
      <c r="F22" s="76" t="s">
        <v>35</v>
      </c>
      <c r="G22" s="67"/>
    </row>
    <row r="24" spans="1:7" ht="5.05" customHeight="1" x14ac:dyDescent="0.55000000000000004">
      <c r="A24" s="1"/>
      <c r="B24" s="1"/>
      <c r="C24" s="1"/>
      <c r="D24" s="1"/>
      <c r="E24" s="1"/>
      <c r="F24" s="1"/>
      <c r="G24" s="1"/>
    </row>
    <row r="25" spans="1:7" ht="24" customHeight="1" x14ac:dyDescent="0.55000000000000004">
      <c r="A25" s="69" t="s">
        <v>36</v>
      </c>
      <c r="B25" s="70"/>
      <c r="C25" s="70"/>
      <c r="D25" s="70"/>
      <c r="E25" s="70"/>
      <c r="F25" s="70"/>
      <c r="G25" s="71"/>
    </row>
    <row r="26" spans="1:7" ht="18" customHeight="1" x14ac:dyDescent="0.55000000000000004">
      <c r="A26" s="2"/>
      <c r="B26" s="2" t="s">
        <v>37</v>
      </c>
      <c r="C26" s="2"/>
      <c r="D26" s="2" t="s">
        <v>38</v>
      </c>
      <c r="E26" s="2"/>
      <c r="F26" s="2" t="s">
        <v>39</v>
      </c>
      <c r="G26" s="2" t="s">
        <v>40</v>
      </c>
    </row>
    <row r="27" spans="1:7" ht="26.05" customHeight="1" x14ac:dyDescent="0.55000000000000004">
      <c r="A27" s="75" t="s">
        <v>41</v>
      </c>
      <c r="B27" s="67"/>
      <c r="C27" s="3" t="s">
        <v>42</v>
      </c>
      <c r="D27" s="74" t="s">
        <v>43</v>
      </c>
      <c r="E27" s="67"/>
      <c r="F27" s="66" t="s">
        <v>44</v>
      </c>
      <c r="G27" s="67"/>
    </row>
    <row r="28" spans="1:7" ht="26.05" customHeight="1" x14ac:dyDescent="0.55000000000000004">
      <c r="A28" s="78" t="s">
        <v>45</v>
      </c>
      <c r="B28" s="67"/>
      <c r="C28" s="5"/>
      <c r="D28" s="76" t="s">
        <v>46</v>
      </c>
      <c r="E28" s="67"/>
      <c r="F28" s="83" t="s">
        <v>47</v>
      </c>
      <c r="G28" s="67"/>
    </row>
    <row r="29" spans="1:7" ht="26.05" customHeight="1" x14ac:dyDescent="0.55000000000000004">
      <c r="A29" s="101" t="s">
        <v>48</v>
      </c>
      <c r="B29" s="67"/>
      <c r="C29" s="5"/>
      <c r="D29" s="74" t="s">
        <v>49</v>
      </c>
      <c r="E29" s="67"/>
      <c r="F29" s="66" t="s">
        <v>50</v>
      </c>
      <c r="G29" s="67"/>
    </row>
    <row r="30" spans="1:7" ht="26.05" customHeight="1" x14ac:dyDescent="0.55000000000000004">
      <c r="A30" s="78" t="s">
        <v>51</v>
      </c>
      <c r="B30" s="67"/>
      <c r="C30" s="5"/>
      <c r="D30" s="76" t="s">
        <v>52</v>
      </c>
      <c r="E30" s="67"/>
      <c r="F30" s="83" t="s">
        <v>53</v>
      </c>
      <c r="G30" s="67"/>
    </row>
    <row r="31" spans="1:7" ht="26.05" customHeight="1" x14ac:dyDescent="0.55000000000000004">
      <c r="A31" s="101" t="s">
        <v>54</v>
      </c>
      <c r="B31" s="67"/>
      <c r="C31" s="6">
        <f>C29+C30</f>
        <v>0</v>
      </c>
      <c r="D31" s="74" t="s">
        <v>55</v>
      </c>
      <c r="E31" s="67"/>
      <c r="F31" s="66" t="s">
        <v>56</v>
      </c>
      <c r="G31" s="67"/>
    </row>
    <row r="32" spans="1:7" ht="26.05" customHeight="1" x14ac:dyDescent="0.55000000000000004">
      <c r="A32" s="94" t="s">
        <v>57</v>
      </c>
      <c r="B32" s="67"/>
      <c r="C32" s="5"/>
      <c r="D32" s="76" t="s">
        <v>58</v>
      </c>
      <c r="E32" s="67"/>
      <c r="F32" s="83" t="s">
        <v>59</v>
      </c>
      <c r="G32" s="67"/>
    </row>
    <row r="33" spans="1:7" ht="26.05" customHeight="1" x14ac:dyDescent="0.55000000000000004">
      <c r="A33" s="75" t="s">
        <v>60</v>
      </c>
      <c r="B33" s="67"/>
      <c r="C33" s="5"/>
      <c r="D33" s="74" t="s">
        <v>61</v>
      </c>
      <c r="E33" s="67"/>
      <c r="F33" s="66" t="s">
        <v>62</v>
      </c>
      <c r="G33" s="67"/>
    </row>
    <row r="34" spans="1:7" ht="5.05" customHeight="1" x14ac:dyDescent="0.55000000000000004">
      <c r="A34" s="1"/>
      <c r="B34" s="1"/>
      <c r="C34" s="1"/>
      <c r="D34" s="1"/>
      <c r="E34" s="1"/>
      <c r="F34" s="1"/>
      <c r="G34" s="1"/>
    </row>
    <row r="35" spans="1:7" ht="24" customHeight="1" x14ac:dyDescent="0.55000000000000004">
      <c r="A35" s="69" t="s">
        <v>63</v>
      </c>
      <c r="B35" s="70"/>
      <c r="C35" s="70"/>
      <c r="D35" s="70"/>
      <c r="E35" s="70"/>
      <c r="F35" s="70"/>
      <c r="G35" s="71"/>
    </row>
    <row r="36" spans="1:7" ht="22" customHeight="1" x14ac:dyDescent="0.55000000000000004">
      <c r="A36" s="85" t="s">
        <v>64</v>
      </c>
      <c r="B36" s="73"/>
      <c r="C36" s="73"/>
      <c r="D36" s="73"/>
      <c r="E36" s="73"/>
      <c r="F36" s="73"/>
      <c r="G36" s="67"/>
    </row>
    <row r="37" spans="1:7" ht="18" customHeight="1" x14ac:dyDescent="0.55000000000000004">
      <c r="A37" s="7" t="s">
        <v>65</v>
      </c>
      <c r="B37" s="7" t="s">
        <v>66</v>
      </c>
      <c r="C37" s="7" t="s">
        <v>67</v>
      </c>
      <c r="D37" s="7" t="s">
        <v>68</v>
      </c>
      <c r="E37" s="7" t="s">
        <v>69</v>
      </c>
      <c r="F37" s="7" t="s">
        <v>70</v>
      </c>
      <c r="G37" s="7" t="s">
        <v>71</v>
      </c>
    </row>
    <row r="38" spans="1:7" ht="26.05" customHeight="1" x14ac:dyDescent="0.55000000000000004">
      <c r="A38" s="8"/>
      <c r="B38" s="9"/>
      <c r="C38" s="10"/>
      <c r="D38" s="10"/>
      <c r="E38" s="11">
        <f t="shared" ref="E38:E43" si="0">IF(OR(C38&gt;0,D38&gt;0),C38+D38,0)</f>
        <v>0</v>
      </c>
      <c r="F38" s="12">
        <f t="shared" ref="F38:F43" si="1">E38</f>
        <v>0</v>
      </c>
      <c r="G38" s="13"/>
    </row>
    <row r="39" spans="1:7" ht="26.05" customHeight="1" x14ac:dyDescent="0.55000000000000004">
      <c r="A39" s="8"/>
      <c r="B39" s="9"/>
      <c r="C39" s="10"/>
      <c r="D39" s="10"/>
      <c r="E39" s="14">
        <f t="shared" si="0"/>
        <v>0</v>
      </c>
      <c r="F39" s="12">
        <f t="shared" si="1"/>
        <v>0</v>
      </c>
      <c r="G39" s="13"/>
    </row>
    <row r="40" spans="1:7" ht="26.05" customHeight="1" x14ac:dyDescent="0.55000000000000004">
      <c r="A40" s="8"/>
      <c r="B40" s="9"/>
      <c r="C40" s="10"/>
      <c r="D40" s="10"/>
      <c r="E40" s="11">
        <f t="shared" si="0"/>
        <v>0</v>
      </c>
      <c r="F40" s="12">
        <f t="shared" si="1"/>
        <v>0</v>
      </c>
      <c r="G40" s="13"/>
    </row>
    <row r="41" spans="1:7" ht="26.05" customHeight="1" x14ac:dyDescent="0.55000000000000004">
      <c r="A41" s="8"/>
      <c r="B41" s="9"/>
      <c r="C41" s="10"/>
      <c r="D41" s="10"/>
      <c r="E41" s="14">
        <f t="shared" si="0"/>
        <v>0</v>
      </c>
      <c r="F41" s="12">
        <f t="shared" si="1"/>
        <v>0</v>
      </c>
      <c r="G41" s="13"/>
    </row>
    <row r="42" spans="1:7" ht="26.05" customHeight="1" x14ac:dyDescent="0.55000000000000004">
      <c r="A42" s="8"/>
      <c r="B42" s="9"/>
      <c r="C42" s="10"/>
      <c r="D42" s="10"/>
      <c r="E42" s="11">
        <f t="shared" si="0"/>
        <v>0</v>
      </c>
      <c r="F42" s="12">
        <f t="shared" si="1"/>
        <v>0</v>
      </c>
      <c r="G42" s="13"/>
    </row>
    <row r="43" spans="1:7" ht="26.05" customHeight="1" x14ac:dyDescent="0.55000000000000004">
      <c r="A43" s="8"/>
      <c r="B43" s="9"/>
      <c r="C43" s="10"/>
      <c r="D43" s="10"/>
      <c r="E43" s="14">
        <f t="shared" si="0"/>
        <v>0</v>
      </c>
      <c r="F43" s="12">
        <f t="shared" si="1"/>
        <v>0</v>
      </c>
      <c r="G43" s="13"/>
    </row>
    <row r="44" spans="1:7" ht="30" customHeight="1" x14ac:dyDescent="0.55000000000000004">
      <c r="A44" s="103" t="s">
        <v>72</v>
      </c>
      <c r="B44" s="67"/>
      <c r="C44" s="15">
        <f>SUM(C38:C43)</f>
        <v>0</v>
      </c>
      <c r="D44" s="15">
        <f>SUM(D38:D43)</f>
        <v>0</v>
      </c>
      <c r="E44" s="16">
        <f>SUM(E38:E43)</f>
        <v>0</v>
      </c>
      <c r="F44" s="17">
        <f>SUM(F38:F43)</f>
        <v>0</v>
      </c>
      <c r="G44" s="91" t="s">
        <v>73</v>
      </c>
    </row>
    <row r="45" spans="1:7" ht="5.05" customHeight="1" x14ac:dyDescent="0.55000000000000004">
      <c r="A45" s="1"/>
      <c r="B45" s="1"/>
      <c r="C45" s="1"/>
      <c r="D45" s="1"/>
      <c r="E45" s="1"/>
      <c r="F45" s="1"/>
      <c r="G45" s="1"/>
    </row>
    <row r="46" spans="1:7" ht="24" customHeight="1" x14ac:dyDescent="0.55000000000000004">
      <c r="A46" s="69" t="s">
        <v>74</v>
      </c>
      <c r="B46" s="70"/>
      <c r="C46" s="70"/>
      <c r="D46" s="70"/>
      <c r="E46" s="70"/>
      <c r="F46" s="70"/>
      <c r="G46" s="71"/>
    </row>
    <row r="47" spans="1:7" ht="18" customHeight="1" x14ac:dyDescent="0.55000000000000004">
      <c r="A47" s="2"/>
      <c r="B47" s="2" t="s">
        <v>75</v>
      </c>
      <c r="C47" s="2"/>
      <c r="D47" s="2" t="s">
        <v>76</v>
      </c>
      <c r="E47" s="2"/>
      <c r="F47" s="2" t="s">
        <v>39</v>
      </c>
      <c r="G47" s="2" t="s">
        <v>77</v>
      </c>
    </row>
    <row r="48" spans="1:7" ht="28" customHeight="1" x14ac:dyDescent="0.55000000000000004">
      <c r="A48" s="78" t="s">
        <v>78</v>
      </c>
      <c r="B48" s="67"/>
      <c r="C48" s="18">
        <f>C44</f>
        <v>0</v>
      </c>
      <c r="D48" s="76" t="s">
        <v>79</v>
      </c>
      <c r="E48" s="67"/>
      <c r="F48" s="81"/>
      <c r="G48" s="67"/>
    </row>
    <row r="49" spans="1:7" ht="28" customHeight="1" x14ac:dyDescent="0.55000000000000004">
      <c r="A49" s="75" t="s">
        <v>80</v>
      </c>
      <c r="B49" s="67"/>
      <c r="C49" s="18">
        <f>D44</f>
        <v>0</v>
      </c>
      <c r="D49" s="74" t="s">
        <v>81</v>
      </c>
      <c r="E49" s="67"/>
      <c r="F49" s="77"/>
      <c r="G49" s="67"/>
    </row>
    <row r="50" spans="1:7" ht="28" customHeight="1" x14ac:dyDescent="0.55000000000000004">
      <c r="A50" s="78" t="s">
        <v>82</v>
      </c>
      <c r="B50" s="67"/>
      <c r="C50" s="18">
        <f>E44</f>
        <v>0</v>
      </c>
      <c r="D50" s="76" t="s">
        <v>83</v>
      </c>
      <c r="E50" s="67"/>
      <c r="F50" s="81"/>
      <c r="G50" s="67"/>
    </row>
    <row r="51" spans="1:7" ht="28" customHeight="1" x14ac:dyDescent="0.55000000000000004">
      <c r="A51" s="68" t="s">
        <v>84</v>
      </c>
      <c r="B51" s="67"/>
      <c r="C51" s="19" t="s">
        <v>85</v>
      </c>
      <c r="D51" s="80" t="s">
        <v>86</v>
      </c>
      <c r="E51" s="67"/>
      <c r="F51" s="99" t="s">
        <v>87</v>
      </c>
      <c r="G51" s="67"/>
    </row>
    <row r="52" spans="1:7" ht="28" customHeight="1" x14ac:dyDescent="0.55000000000000004">
      <c r="A52" s="88" t="s">
        <v>88</v>
      </c>
      <c r="B52" s="67"/>
      <c r="C52" s="20">
        <f>F44</f>
        <v>0</v>
      </c>
      <c r="D52" s="92" t="s">
        <v>89</v>
      </c>
      <c r="E52" s="67"/>
      <c r="F52" s="100" t="s">
        <v>87</v>
      </c>
      <c r="G52" s="67"/>
    </row>
    <row r="53" spans="1:7" ht="28" customHeight="1" x14ac:dyDescent="0.55000000000000004">
      <c r="A53" s="79" t="s">
        <v>90</v>
      </c>
      <c r="B53" s="67"/>
      <c r="C53" s="21" t="s">
        <v>91</v>
      </c>
      <c r="D53" s="84" t="s">
        <v>92</v>
      </c>
      <c r="E53" s="67"/>
      <c r="F53" s="104" t="s">
        <v>93</v>
      </c>
      <c r="G53" s="67"/>
    </row>
    <row r="54" spans="1:7" ht="5.05" customHeight="1" x14ac:dyDescent="0.55000000000000004">
      <c r="A54" s="1"/>
      <c r="B54" s="1"/>
      <c r="C54" s="1"/>
      <c r="D54" s="1"/>
      <c r="E54" s="1"/>
      <c r="F54" s="1"/>
      <c r="G54" s="1"/>
    </row>
    <row r="55" spans="1:7" ht="32.049999999999997" customHeight="1" x14ac:dyDescent="0.55000000000000004">
      <c r="A55" s="102" t="s">
        <v>94</v>
      </c>
      <c r="B55" s="73"/>
      <c r="C55" s="73"/>
      <c r="D55" s="67"/>
      <c r="E55" s="22" t="str">
        <f>D52</f>
        <v>→ Beyanname 465 | Kazancın Bulunması Halinde</v>
      </c>
      <c r="F55" s="98" t="s">
        <v>95</v>
      </c>
      <c r="G55" s="67"/>
    </row>
    <row r="56" spans="1:7" ht="44.05" customHeight="1" x14ac:dyDescent="0.55000000000000004">
      <c r="A56" s="82" t="s">
        <v>96</v>
      </c>
      <c r="B56" s="73"/>
      <c r="C56" s="73"/>
      <c r="D56" s="73"/>
      <c r="E56" s="73"/>
      <c r="F56" s="73"/>
      <c r="G56" s="67"/>
    </row>
  </sheetData>
  <mergeCells count="86">
    <mergeCell ref="A56:G56"/>
    <mergeCell ref="A55:D55"/>
    <mergeCell ref="A44:B44"/>
    <mergeCell ref="D50:E50"/>
    <mergeCell ref="A31:B31"/>
    <mergeCell ref="F53:G53"/>
    <mergeCell ref="F55:G55"/>
    <mergeCell ref="F12:G12"/>
    <mergeCell ref="F51:G51"/>
    <mergeCell ref="C17:E17"/>
    <mergeCell ref="D32:E32"/>
    <mergeCell ref="F32:G32"/>
    <mergeCell ref="C19:E19"/>
    <mergeCell ref="F27:G27"/>
    <mergeCell ref="F52:G52"/>
    <mergeCell ref="D52:E52"/>
    <mergeCell ref="D49:E49"/>
    <mergeCell ref="D27:E27"/>
    <mergeCell ref="F50:G50"/>
    <mergeCell ref="F8:G8"/>
    <mergeCell ref="D28:E28"/>
    <mergeCell ref="A16:G16"/>
    <mergeCell ref="F22:G22"/>
    <mergeCell ref="A25:G25"/>
    <mergeCell ref="D30:E30"/>
    <mergeCell ref="A12:D12"/>
    <mergeCell ref="F49:G49"/>
    <mergeCell ref="F14:G14"/>
    <mergeCell ref="A14:D14"/>
    <mergeCell ref="F11:G11"/>
    <mergeCell ref="A18:B18"/>
    <mergeCell ref="A1:G1"/>
    <mergeCell ref="F31:G31"/>
    <mergeCell ref="F28:G28"/>
    <mergeCell ref="F9:G9"/>
    <mergeCell ref="F48:G48"/>
    <mergeCell ref="A3:G3"/>
    <mergeCell ref="D29:E29"/>
    <mergeCell ref="A8:D8"/>
    <mergeCell ref="A4:G4"/>
    <mergeCell ref="A10:D10"/>
    <mergeCell ref="G44"/>
    <mergeCell ref="F21:G21"/>
    <mergeCell ref="A21:B21"/>
    <mergeCell ref="A6:G6"/>
    <mergeCell ref="A32:B32"/>
    <mergeCell ref="A2:G2"/>
    <mergeCell ref="F10:G10"/>
    <mergeCell ref="F19:G19"/>
    <mergeCell ref="C22:E22"/>
    <mergeCell ref="A9:D9"/>
    <mergeCell ref="F30:G30"/>
    <mergeCell ref="F20:G20"/>
    <mergeCell ref="F18:G18"/>
    <mergeCell ref="A11:D11"/>
    <mergeCell ref="F17:G17"/>
    <mergeCell ref="A20:B20"/>
    <mergeCell ref="A29:B29"/>
    <mergeCell ref="F13:G13"/>
    <mergeCell ref="A17:B17"/>
    <mergeCell ref="A22:B22"/>
    <mergeCell ref="A53:B53"/>
    <mergeCell ref="A46:G46"/>
    <mergeCell ref="D33:E33"/>
    <mergeCell ref="A19:B19"/>
    <mergeCell ref="D51:E51"/>
    <mergeCell ref="A28:B28"/>
    <mergeCell ref="C20:E20"/>
    <mergeCell ref="A48:B48"/>
    <mergeCell ref="A30:B30"/>
    <mergeCell ref="F33:G33"/>
    <mergeCell ref="D53:E53"/>
    <mergeCell ref="A36:G36"/>
    <mergeCell ref="A52:B52"/>
    <mergeCell ref="A13:D13"/>
    <mergeCell ref="A27:B27"/>
    <mergeCell ref="D48:E48"/>
    <mergeCell ref="A33:B33"/>
    <mergeCell ref="C18:E18"/>
    <mergeCell ref="F29:G29"/>
    <mergeCell ref="A51:B51"/>
    <mergeCell ref="A35:G35"/>
    <mergeCell ref="C21:E21"/>
    <mergeCell ref="D31:E31"/>
    <mergeCell ref="A49:B49"/>
    <mergeCell ref="A50:B50"/>
  </mergeCells>
  <conditionalFormatting sqref="E14">
    <cfRule type="containsText" dxfId="3" priority="1" operator="containsText" text="OK">
      <formula>NOT(ISERROR(SEARCH("OK",E14)))</formula>
    </cfRule>
    <cfRule type="containsText" dxfId="2" priority="2" operator="containsText" text="HATA">
      <formula>NOT(ISERROR(SEARCH("HATA",E14)))</formula>
    </cfRule>
  </conditionalFormatting>
  <dataValidations count="7">
    <dataValidation type="list" sqref="E8" xr:uid="{00000000-0002-0000-0000-000000000000}">
      <formula1>"EVET,HAYIR-Farklı Alıcı"</formula1>
    </dataValidation>
    <dataValidation type="list" sqref="E9" xr:uid="{00000000-0002-0000-0000-000001000000}">
      <formula1>"EVET,HAYIR-Henüz Yapılmadı"</formula1>
    </dataValidation>
    <dataValidation type="list" sqref="E10" xr:uid="{00000000-0002-0000-0000-000002000000}">
      <formula1>"EVET,HAYIR-Belge Eksik"</formula1>
    </dataValidation>
    <dataValidation type="list" sqref="E11" xr:uid="{00000000-0002-0000-0000-000003000000}">
      <formula1>"EVET,HAYIR-Değerleme Eksik,Uygulanmaz-Yalnızca Nakdi"</formula1>
    </dataValidation>
    <dataValidation type="list" sqref="E12" xr:uid="{00000000-0002-0000-0000-000004000000}">
      <formula1>"EVET,HAYIR-Eksik"</formula1>
    </dataValidation>
    <dataValidation type="list" sqref="E13" xr:uid="{00000000-0002-0000-0000-000005000000}">
      <formula1>"EVET,Tam Tasdik"</formula1>
    </dataValidation>
    <dataValidation type="list" sqref="C27" xr:uid="{00000000-0002-0000-0000-000006000000}">
      <formula1>"Nakdi (Banka Transferi/EFT/Havale),Ayni (Malzeme/Ekipman/İnşaat Hizmeti),Karma (Nakdi + Ayni)"</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3"/>
  <sheetViews>
    <sheetView workbookViewId="0"/>
  </sheetViews>
  <sheetFormatPr defaultRowHeight="14.4" x14ac:dyDescent="0.55000000000000004"/>
  <cols>
    <col min="1" max="1" width="4" customWidth="1"/>
    <col min="2" max="2" width="42" customWidth="1"/>
    <col min="3" max="4" width="15" customWidth="1"/>
    <col min="5" max="5" width="14" customWidth="1"/>
    <col min="6" max="6" width="12" customWidth="1"/>
    <col min="7" max="7" width="18" customWidth="1"/>
  </cols>
  <sheetData>
    <row r="1" spans="1:7" ht="36" customHeight="1" x14ac:dyDescent="0.55000000000000004">
      <c r="A1" s="111" t="s">
        <v>97</v>
      </c>
      <c r="B1" s="70"/>
      <c r="C1" s="70"/>
      <c r="D1" s="70"/>
      <c r="E1" s="70"/>
      <c r="F1" s="70"/>
      <c r="G1" s="71"/>
    </row>
    <row r="2" spans="1:7" ht="20.05" customHeight="1" x14ac:dyDescent="0.55000000000000004">
      <c r="A2" s="117" t="s">
        <v>98</v>
      </c>
      <c r="B2" s="73"/>
      <c r="C2" s="73"/>
      <c r="D2" s="73"/>
      <c r="E2" s="73"/>
      <c r="F2" s="73"/>
      <c r="G2" s="67"/>
    </row>
    <row r="3" spans="1:7" ht="5.05" customHeight="1" x14ac:dyDescent="0.55000000000000004">
      <c r="A3" s="1"/>
      <c r="B3" s="1"/>
      <c r="C3" s="1"/>
      <c r="D3" s="1"/>
      <c r="E3" s="1"/>
      <c r="F3" s="1"/>
      <c r="G3" s="1"/>
    </row>
    <row r="4" spans="1:7" ht="22" customHeight="1" x14ac:dyDescent="0.55000000000000004">
      <c r="A4" s="106" t="s">
        <v>99</v>
      </c>
      <c r="B4" s="70"/>
      <c r="C4" s="70"/>
      <c r="D4" s="70"/>
      <c r="E4" s="70"/>
      <c r="F4" s="70"/>
      <c r="G4" s="71"/>
    </row>
    <row r="5" spans="1:7" ht="22" customHeight="1" x14ac:dyDescent="0.55000000000000004">
      <c r="A5" s="109" t="s">
        <v>100</v>
      </c>
      <c r="B5" s="73"/>
      <c r="C5" s="67"/>
      <c r="D5" s="23" t="str">
        <f>'VERİ GİRİŞİ'!E14</f>
        <v>OK - Hesaplanabilir</v>
      </c>
      <c r="E5" s="77" t="s">
        <v>101</v>
      </c>
      <c r="F5" s="73"/>
      <c r="G5" s="67"/>
    </row>
    <row r="6" spans="1:7" ht="22" customHeight="1" x14ac:dyDescent="0.55000000000000004">
      <c r="A6" s="115" t="s">
        <v>102</v>
      </c>
      <c r="B6" s="73"/>
      <c r="C6" s="67"/>
      <c r="D6" s="23">
        <f>'VERİ GİRİŞİ'!C48</f>
        <v>0</v>
      </c>
      <c r="E6" s="81" t="s">
        <v>103</v>
      </c>
      <c r="F6" s="73"/>
      <c r="G6" s="67"/>
    </row>
    <row r="7" spans="1:7" ht="22" customHeight="1" x14ac:dyDescent="0.55000000000000004">
      <c r="A7" s="109" t="s">
        <v>104</v>
      </c>
      <c r="B7" s="73"/>
      <c r="C7" s="67"/>
      <c r="D7" s="23">
        <f>'VERİ GİRİŞİ'!C49</f>
        <v>0</v>
      </c>
      <c r="E7" s="77" t="s">
        <v>105</v>
      </c>
      <c r="F7" s="73"/>
      <c r="G7" s="67"/>
    </row>
    <row r="8" spans="1:7" ht="22" customHeight="1" x14ac:dyDescent="0.55000000000000004">
      <c r="A8" s="97" t="s">
        <v>106</v>
      </c>
      <c r="B8" s="73"/>
      <c r="C8" s="67"/>
      <c r="D8" s="24">
        <f>'VERİ GİRİŞİ'!C52</f>
        <v>0</v>
      </c>
      <c r="E8" s="100"/>
      <c r="F8" s="73"/>
      <c r="G8" s="67"/>
    </row>
    <row r="9" spans="1:7" ht="22" customHeight="1" x14ac:dyDescent="0.55000000000000004">
      <c r="A9" s="112" t="s">
        <v>107</v>
      </c>
      <c r="B9" s="73"/>
      <c r="C9" s="67"/>
      <c r="D9" s="21" t="s">
        <v>108</v>
      </c>
      <c r="E9" s="104" t="s">
        <v>109</v>
      </c>
      <c r="F9" s="73"/>
      <c r="G9" s="67"/>
    </row>
    <row r="10" spans="1:7" ht="5.05" customHeight="1" x14ac:dyDescent="0.55000000000000004">
      <c r="A10" s="1"/>
      <c r="B10" s="1"/>
      <c r="C10" s="1"/>
      <c r="D10" s="1"/>
      <c r="E10" s="1"/>
      <c r="F10" s="1"/>
      <c r="G10" s="1"/>
    </row>
    <row r="11" spans="1:7" ht="22" customHeight="1" x14ac:dyDescent="0.55000000000000004">
      <c r="A11" s="69" t="s">
        <v>110</v>
      </c>
      <c r="B11" s="70"/>
      <c r="C11" s="70"/>
      <c r="D11" s="70"/>
      <c r="E11" s="70"/>
      <c r="F11" s="70"/>
      <c r="G11" s="71"/>
    </row>
    <row r="12" spans="1:7" ht="72" customHeight="1" x14ac:dyDescent="0.55000000000000004">
      <c r="A12" s="116" t="s">
        <v>111</v>
      </c>
      <c r="B12" s="73"/>
      <c r="C12" s="73"/>
      <c r="D12" s="73"/>
      <c r="E12" s="73"/>
      <c r="F12" s="73"/>
      <c r="G12" s="67"/>
    </row>
    <row r="13" spans="1:7" ht="5.05" customHeight="1" x14ac:dyDescent="0.55000000000000004">
      <c r="A13" s="1"/>
      <c r="B13" s="1"/>
      <c r="C13" s="1"/>
      <c r="D13" s="1"/>
      <c r="E13" s="1"/>
      <c r="F13" s="1"/>
      <c r="G13" s="1"/>
    </row>
    <row r="14" spans="1:7" ht="22" customHeight="1" x14ac:dyDescent="0.55000000000000004">
      <c r="A14" s="69" t="s">
        <v>112</v>
      </c>
      <c r="B14" s="70"/>
      <c r="C14" s="70"/>
      <c r="D14" s="70"/>
      <c r="E14" s="70"/>
      <c r="F14" s="70"/>
      <c r="G14" s="71"/>
    </row>
    <row r="15" spans="1:7" ht="18" customHeight="1" x14ac:dyDescent="0.55000000000000004">
      <c r="A15" s="2" t="s">
        <v>113</v>
      </c>
      <c r="B15" s="2" t="s">
        <v>114</v>
      </c>
      <c r="C15" s="2" t="s">
        <v>115</v>
      </c>
      <c r="D15" s="2" t="s">
        <v>116</v>
      </c>
      <c r="E15" s="2" t="s">
        <v>117</v>
      </c>
      <c r="F15" s="2" t="s">
        <v>107</v>
      </c>
      <c r="G15" s="2" t="s">
        <v>77</v>
      </c>
    </row>
    <row r="16" spans="1:7" ht="22" customHeight="1" x14ac:dyDescent="0.55000000000000004">
      <c r="A16" s="25" t="s">
        <v>118</v>
      </c>
      <c r="B16" s="25" t="s">
        <v>119</v>
      </c>
      <c r="C16" s="25" t="s">
        <v>120</v>
      </c>
      <c r="D16" s="25" t="s">
        <v>121</v>
      </c>
      <c r="E16" s="25" t="s">
        <v>122</v>
      </c>
      <c r="F16" s="26" t="s">
        <v>123</v>
      </c>
      <c r="G16" s="25" t="s">
        <v>124</v>
      </c>
    </row>
    <row r="17" spans="1:7" ht="22" customHeight="1" x14ac:dyDescent="0.55000000000000004">
      <c r="A17" s="27" t="s">
        <v>125</v>
      </c>
      <c r="B17" s="27" t="s">
        <v>126</v>
      </c>
      <c r="C17" s="27" t="s">
        <v>127</v>
      </c>
      <c r="D17" s="27" t="s">
        <v>121</v>
      </c>
      <c r="E17" s="27" t="s">
        <v>122</v>
      </c>
      <c r="F17" s="27" t="s">
        <v>123</v>
      </c>
      <c r="G17" s="27" t="s">
        <v>128</v>
      </c>
    </row>
    <row r="18" spans="1:7" ht="22" customHeight="1" x14ac:dyDescent="0.55000000000000004">
      <c r="A18" s="25" t="s">
        <v>129</v>
      </c>
      <c r="B18" s="25" t="s">
        <v>130</v>
      </c>
      <c r="C18" s="25" t="s">
        <v>131</v>
      </c>
      <c r="D18" s="25" t="s">
        <v>121</v>
      </c>
      <c r="E18" s="25" t="s">
        <v>122</v>
      </c>
      <c r="F18" s="26" t="s">
        <v>123</v>
      </c>
      <c r="G18" s="25" t="s">
        <v>132</v>
      </c>
    </row>
    <row r="19" spans="1:7" ht="22" customHeight="1" x14ac:dyDescent="0.55000000000000004">
      <c r="A19" s="28" t="s">
        <v>133</v>
      </c>
      <c r="B19" s="28" t="s">
        <v>134</v>
      </c>
      <c r="C19" s="28" t="s">
        <v>135</v>
      </c>
      <c r="D19" s="28" t="s">
        <v>121</v>
      </c>
      <c r="E19" s="28" t="s">
        <v>122</v>
      </c>
      <c r="F19" s="29" t="s">
        <v>123</v>
      </c>
      <c r="G19" s="28" t="s">
        <v>136</v>
      </c>
    </row>
    <row r="20" spans="1:7" ht="5.05" customHeight="1" x14ac:dyDescent="0.55000000000000004">
      <c r="A20" s="1"/>
      <c r="B20" s="1"/>
      <c r="C20" s="1"/>
      <c r="D20" s="1"/>
      <c r="E20" s="1"/>
      <c r="F20" s="1"/>
      <c r="G20" s="1"/>
    </row>
    <row r="21" spans="1:7" ht="22" customHeight="1" x14ac:dyDescent="0.55000000000000004">
      <c r="A21" s="69" t="s">
        <v>137</v>
      </c>
      <c r="B21" s="70"/>
      <c r="C21" s="70"/>
      <c r="D21" s="70"/>
      <c r="E21" s="70"/>
      <c r="F21" s="70"/>
      <c r="G21" s="71"/>
    </row>
    <row r="22" spans="1:7" ht="18" customHeight="1" x14ac:dyDescent="0.55000000000000004">
      <c r="A22" s="2"/>
      <c r="B22" s="2" t="s">
        <v>138</v>
      </c>
      <c r="C22" s="2"/>
      <c r="D22" s="2" t="s">
        <v>39</v>
      </c>
      <c r="E22" s="2"/>
      <c r="F22" s="2" t="s">
        <v>139</v>
      </c>
      <c r="G22" s="2"/>
    </row>
    <row r="23" spans="1:7" ht="20.05" customHeight="1" x14ac:dyDescent="0.55000000000000004">
      <c r="A23" s="30" t="s">
        <v>140</v>
      </c>
      <c r="B23" s="105" t="s">
        <v>141</v>
      </c>
      <c r="C23" s="67"/>
      <c r="D23" s="113" t="s">
        <v>142</v>
      </c>
      <c r="E23" s="67"/>
      <c r="F23" s="13" t="s">
        <v>143</v>
      </c>
      <c r="G23" s="33"/>
    </row>
    <row r="24" spans="1:7" ht="20.05" customHeight="1" x14ac:dyDescent="0.55000000000000004">
      <c r="A24" s="30" t="s">
        <v>144</v>
      </c>
      <c r="B24" s="105" t="s">
        <v>145</v>
      </c>
      <c r="C24" s="67"/>
      <c r="D24" s="113" t="s">
        <v>146</v>
      </c>
      <c r="E24" s="67"/>
      <c r="F24" s="13" t="s">
        <v>143</v>
      </c>
      <c r="G24" s="34"/>
    </row>
    <row r="25" spans="1:7" ht="20.05" customHeight="1" x14ac:dyDescent="0.55000000000000004">
      <c r="A25" s="30" t="s">
        <v>147</v>
      </c>
      <c r="B25" s="105" t="s">
        <v>148</v>
      </c>
      <c r="C25" s="67"/>
      <c r="D25" s="113" t="s">
        <v>149</v>
      </c>
      <c r="E25" s="67"/>
      <c r="F25" s="13" t="s">
        <v>143</v>
      </c>
      <c r="G25" s="33"/>
    </row>
    <row r="26" spans="1:7" ht="20.05" customHeight="1" x14ac:dyDescent="0.55000000000000004">
      <c r="A26" s="30" t="s">
        <v>150</v>
      </c>
      <c r="B26" s="114" t="s">
        <v>151</v>
      </c>
      <c r="C26" s="67"/>
      <c r="D26" s="110" t="s">
        <v>152</v>
      </c>
      <c r="E26" s="67"/>
      <c r="F26" s="13" t="s">
        <v>143</v>
      </c>
      <c r="G26" s="34"/>
    </row>
    <row r="27" spans="1:7" ht="20.05" customHeight="1" x14ac:dyDescent="0.55000000000000004">
      <c r="A27" s="30" t="s">
        <v>153</v>
      </c>
      <c r="B27" s="107" t="s">
        <v>154</v>
      </c>
      <c r="C27" s="67"/>
      <c r="D27" s="108" t="s">
        <v>155</v>
      </c>
      <c r="E27" s="67"/>
      <c r="F27" s="13" t="s">
        <v>143</v>
      </c>
      <c r="G27" s="33"/>
    </row>
    <row r="28" spans="1:7" ht="20.05" customHeight="1" x14ac:dyDescent="0.55000000000000004">
      <c r="A28" s="30" t="s">
        <v>156</v>
      </c>
      <c r="B28" s="105" t="s">
        <v>157</v>
      </c>
      <c r="C28" s="67"/>
      <c r="D28" s="113" t="s">
        <v>158</v>
      </c>
      <c r="E28" s="67"/>
      <c r="F28" s="13" t="s">
        <v>143</v>
      </c>
      <c r="G28" s="34"/>
    </row>
    <row r="29" spans="1:7" ht="20.05" customHeight="1" x14ac:dyDescent="0.55000000000000004">
      <c r="A29" s="30" t="s">
        <v>159</v>
      </c>
      <c r="B29" s="107" t="s">
        <v>160</v>
      </c>
      <c r="C29" s="67"/>
      <c r="D29" s="108" t="s">
        <v>161</v>
      </c>
      <c r="E29" s="67"/>
      <c r="F29" s="13" t="s">
        <v>143</v>
      </c>
      <c r="G29" s="33"/>
    </row>
    <row r="30" spans="1:7" ht="20.05" customHeight="1" x14ac:dyDescent="0.55000000000000004">
      <c r="A30" s="30" t="s">
        <v>162</v>
      </c>
      <c r="B30" s="114" t="s">
        <v>163</v>
      </c>
      <c r="C30" s="67"/>
      <c r="D30" s="110" t="s">
        <v>164</v>
      </c>
      <c r="E30" s="67"/>
      <c r="F30" s="13" t="s">
        <v>143</v>
      </c>
      <c r="G30" s="34"/>
    </row>
    <row r="31" spans="1:7" ht="20.05" customHeight="1" x14ac:dyDescent="0.55000000000000004">
      <c r="A31" s="30" t="s">
        <v>165</v>
      </c>
      <c r="B31" s="107" t="s">
        <v>166</v>
      </c>
      <c r="C31" s="67"/>
      <c r="D31" s="108" t="s">
        <v>167</v>
      </c>
      <c r="E31" s="67"/>
      <c r="F31" s="13" t="s">
        <v>143</v>
      </c>
      <c r="G31" s="33"/>
    </row>
    <row r="32" spans="1:7" ht="20.05" customHeight="1" x14ac:dyDescent="0.55000000000000004">
      <c r="A32" s="30" t="s">
        <v>168</v>
      </c>
      <c r="B32" s="114" t="s">
        <v>169</v>
      </c>
      <c r="C32" s="67"/>
      <c r="D32" s="110" t="s">
        <v>170</v>
      </c>
      <c r="E32" s="67"/>
      <c r="F32" s="13" t="s">
        <v>143</v>
      </c>
      <c r="G32" s="34"/>
    </row>
    <row r="33" spans="1:7" ht="20.05" customHeight="1" x14ac:dyDescent="0.55000000000000004">
      <c r="A33" s="30" t="s">
        <v>171</v>
      </c>
      <c r="B33" s="107" t="s">
        <v>172</v>
      </c>
      <c r="C33" s="67"/>
      <c r="D33" s="108" t="s">
        <v>20</v>
      </c>
      <c r="E33" s="67"/>
      <c r="F33" s="13" t="s">
        <v>143</v>
      </c>
      <c r="G33" s="33"/>
    </row>
  </sheetData>
  <mergeCells count="39">
    <mergeCell ref="B33:C33"/>
    <mergeCell ref="E5:G5"/>
    <mergeCell ref="A21:G21"/>
    <mergeCell ref="D29:E29"/>
    <mergeCell ref="D33:E33"/>
    <mergeCell ref="A6:C6"/>
    <mergeCell ref="E8:G8"/>
    <mergeCell ref="A12:G12"/>
    <mergeCell ref="D23:E23"/>
    <mergeCell ref="B32:C32"/>
    <mergeCell ref="B26:C26"/>
    <mergeCell ref="A7:C7"/>
    <mergeCell ref="D26:E26"/>
    <mergeCell ref="D32:E32"/>
    <mergeCell ref="A11:G11"/>
    <mergeCell ref="E7:G7"/>
    <mergeCell ref="A1:G1"/>
    <mergeCell ref="B29:C29"/>
    <mergeCell ref="B28:C28"/>
    <mergeCell ref="A9:C9"/>
    <mergeCell ref="D28:E28"/>
    <mergeCell ref="D25:E25"/>
    <mergeCell ref="B24:C24"/>
    <mergeCell ref="B30:C30"/>
    <mergeCell ref="D24:E24"/>
    <mergeCell ref="D30:E30"/>
    <mergeCell ref="A2:G2"/>
    <mergeCell ref="A14:G14"/>
    <mergeCell ref="B25:C25"/>
    <mergeCell ref="A4:G4"/>
    <mergeCell ref="E9:G9"/>
    <mergeCell ref="B31:C31"/>
    <mergeCell ref="B27:C27"/>
    <mergeCell ref="D31:E31"/>
    <mergeCell ref="E6:G6"/>
    <mergeCell ref="A5:C5"/>
    <mergeCell ref="A8:C8"/>
    <mergeCell ref="D27:E27"/>
    <mergeCell ref="B23:C23"/>
  </mergeCells>
  <conditionalFormatting sqref="D5">
    <cfRule type="containsText" dxfId="1" priority="1" operator="containsText" text="OK">
      <formula>NOT(ISERROR(SEARCH("OK",D5)))</formula>
    </cfRule>
    <cfRule type="containsText" dxfId="0" priority="2" operator="containsText" text="HATA">
      <formula>NOT(ISERROR(SEARCH("HATA",D5)))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4"/>
  <sheetViews>
    <sheetView workbookViewId="0"/>
  </sheetViews>
  <sheetFormatPr defaultRowHeight="14.4" x14ac:dyDescent="0.55000000000000004"/>
  <cols>
    <col min="1" max="1" width="4" customWidth="1"/>
    <col min="2" max="2" width="10" customWidth="1"/>
    <col min="3" max="3" width="28" customWidth="1"/>
    <col min="4" max="4" width="22" customWidth="1"/>
    <col min="5" max="6" width="14" customWidth="1"/>
    <col min="7" max="7" width="20" customWidth="1"/>
  </cols>
  <sheetData>
    <row r="1" spans="1:7" ht="32.049999999999997" customHeight="1" x14ac:dyDescent="0.55000000000000004">
      <c r="A1" s="69" t="s">
        <v>173</v>
      </c>
      <c r="B1" s="70"/>
      <c r="C1" s="70"/>
      <c r="D1" s="70"/>
      <c r="E1" s="70"/>
      <c r="F1" s="70"/>
      <c r="G1" s="71"/>
    </row>
    <row r="2" spans="1:7" ht="22" customHeight="1" x14ac:dyDescent="0.55000000000000004">
      <c r="A2" s="120" t="s">
        <v>174</v>
      </c>
      <c r="B2" s="73"/>
      <c r="C2" s="73"/>
      <c r="D2" s="73"/>
      <c r="E2" s="73"/>
      <c r="F2" s="73"/>
      <c r="G2" s="67"/>
    </row>
    <row r="3" spans="1:7" ht="18" customHeight="1" x14ac:dyDescent="0.55000000000000004">
      <c r="A3" s="37"/>
      <c r="B3" s="37" t="s">
        <v>175</v>
      </c>
      <c r="C3" s="37" t="s">
        <v>176</v>
      </c>
      <c r="D3" s="37" t="s">
        <v>77</v>
      </c>
      <c r="E3" s="37" t="s">
        <v>177</v>
      </c>
      <c r="F3" s="37" t="s">
        <v>178</v>
      </c>
      <c r="G3" s="37" t="s">
        <v>179</v>
      </c>
    </row>
    <row r="4" spans="1:7" ht="24" customHeight="1" x14ac:dyDescent="0.55000000000000004">
      <c r="A4" s="38" t="s">
        <v>177</v>
      </c>
      <c r="B4" s="38" t="s">
        <v>180</v>
      </c>
      <c r="C4" s="38" t="s">
        <v>181</v>
      </c>
      <c r="D4" s="38" t="s">
        <v>182</v>
      </c>
      <c r="E4" s="38" t="s">
        <v>183</v>
      </c>
      <c r="F4" s="38" t="s">
        <v>184</v>
      </c>
      <c r="G4" s="38" t="s">
        <v>185</v>
      </c>
    </row>
    <row r="5" spans="1:7" ht="24" customHeight="1" x14ac:dyDescent="0.55000000000000004">
      <c r="A5" s="39" t="s">
        <v>178</v>
      </c>
      <c r="B5" s="39" t="s">
        <v>180</v>
      </c>
      <c r="C5" s="39" t="s">
        <v>186</v>
      </c>
      <c r="D5" s="39" t="s">
        <v>187</v>
      </c>
      <c r="E5" s="39" t="s">
        <v>184</v>
      </c>
      <c r="F5" s="39" t="s">
        <v>183</v>
      </c>
      <c r="G5" s="39" t="s">
        <v>50</v>
      </c>
    </row>
    <row r="6" spans="1:7" ht="22" customHeight="1" x14ac:dyDescent="0.55000000000000004">
      <c r="A6" s="119" t="s">
        <v>188</v>
      </c>
      <c r="B6" s="73"/>
      <c r="C6" s="73"/>
      <c r="D6" s="73"/>
      <c r="E6" s="73"/>
      <c r="F6" s="73"/>
      <c r="G6" s="67"/>
    </row>
    <row r="7" spans="1:7" ht="18" customHeight="1" x14ac:dyDescent="0.55000000000000004">
      <c r="A7" s="37"/>
      <c r="B7" s="37" t="s">
        <v>175</v>
      </c>
      <c r="C7" s="37" t="s">
        <v>176</v>
      </c>
      <c r="D7" s="37" t="s">
        <v>77</v>
      </c>
      <c r="E7" s="37" t="s">
        <v>177</v>
      </c>
      <c r="F7" s="37" t="s">
        <v>178</v>
      </c>
      <c r="G7" s="37" t="s">
        <v>179</v>
      </c>
    </row>
    <row r="8" spans="1:7" ht="22" customHeight="1" x14ac:dyDescent="0.55000000000000004">
      <c r="A8" s="38" t="s">
        <v>177</v>
      </c>
      <c r="B8" s="38" t="s">
        <v>189</v>
      </c>
      <c r="C8" s="38" t="s">
        <v>190</v>
      </c>
      <c r="D8" s="38" t="s">
        <v>191</v>
      </c>
      <c r="E8" s="38" t="s">
        <v>192</v>
      </c>
      <c r="F8" s="38" t="s">
        <v>184</v>
      </c>
      <c r="G8" s="38" t="s">
        <v>193</v>
      </c>
    </row>
    <row r="9" spans="1:7" ht="22" customHeight="1" x14ac:dyDescent="0.55000000000000004">
      <c r="A9" s="39" t="s">
        <v>178</v>
      </c>
      <c r="B9" s="39" t="s">
        <v>189</v>
      </c>
      <c r="C9" s="39" t="s">
        <v>194</v>
      </c>
      <c r="D9" s="39" t="s">
        <v>195</v>
      </c>
      <c r="E9" s="39" t="s">
        <v>184</v>
      </c>
      <c r="F9" s="39" t="s">
        <v>192</v>
      </c>
      <c r="G9" s="39" t="s">
        <v>53</v>
      </c>
    </row>
    <row r="10" spans="1:7" ht="22" customHeight="1" x14ac:dyDescent="0.55000000000000004">
      <c r="A10" s="121" t="s">
        <v>196</v>
      </c>
      <c r="B10" s="73"/>
      <c r="C10" s="73"/>
      <c r="D10" s="73"/>
      <c r="E10" s="73"/>
      <c r="F10" s="73"/>
      <c r="G10" s="67"/>
    </row>
    <row r="11" spans="1:7" ht="18" customHeight="1" x14ac:dyDescent="0.55000000000000004">
      <c r="A11" s="37"/>
      <c r="B11" s="37" t="s">
        <v>175</v>
      </c>
      <c r="C11" s="37" t="s">
        <v>176</v>
      </c>
      <c r="D11" s="37" t="s">
        <v>77</v>
      </c>
      <c r="E11" s="37" t="s">
        <v>177</v>
      </c>
      <c r="F11" s="37" t="s">
        <v>178</v>
      </c>
      <c r="G11" s="37" t="s">
        <v>179</v>
      </c>
    </row>
    <row r="12" spans="1:7" ht="22" customHeight="1" x14ac:dyDescent="0.55000000000000004">
      <c r="A12" s="38" t="s">
        <v>177</v>
      </c>
      <c r="B12" s="38" t="s">
        <v>197</v>
      </c>
      <c r="C12" s="38" t="s">
        <v>198</v>
      </c>
      <c r="D12" s="38" t="s">
        <v>199</v>
      </c>
      <c r="E12" s="38" t="s">
        <v>183</v>
      </c>
      <c r="F12" s="38" t="s">
        <v>184</v>
      </c>
      <c r="G12" s="38" t="s">
        <v>200</v>
      </c>
    </row>
    <row r="13" spans="1:7" ht="22" customHeight="1" x14ac:dyDescent="0.55000000000000004">
      <c r="A13" s="39" t="s">
        <v>178</v>
      </c>
      <c r="B13" s="39" t="s">
        <v>197</v>
      </c>
      <c r="C13" s="39" t="s">
        <v>201</v>
      </c>
      <c r="D13" s="39" t="s">
        <v>202</v>
      </c>
      <c r="E13" s="39" t="s">
        <v>184</v>
      </c>
      <c r="F13" s="39" t="s">
        <v>183</v>
      </c>
      <c r="G13" s="39" t="s">
        <v>200</v>
      </c>
    </row>
    <row r="14" spans="1:7" ht="44.05" customHeight="1" x14ac:dyDescent="0.55000000000000004">
      <c r="A14" s="118" t="s">
        <v>203</v>
      </c>
      <c r="B14" s="73"/>
      <c r="C14" s="73"/>
      <c r="D14" s="73"/>
      <c r="E14" s="73"/>
      <c r="F14" s="73"/>
      <c r="G14" s="67"/>
    </row>
  </sheetData>
  <mergeCells count="5">
    <mergeCell ref="A14:G14"/>
    <mergeCell ref="A1:G1"/>
    <mergeCell ref="A6:G6"/>
    <mergeCell ref="A2:G2"/>
    <mergeCell ref="A10:G1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workbookViewId="0"/>
  </sheetViews>
  <sheetFormatPr defaultRowHeight="14.4" x14ac:dyDescent="0.55000000000000004"/>
  <cols>
    <col min="1" max="1" width="4" customWidth="1"/>
    <col min="2" max="2" width="24" customWidth="1"/>
    <col min="3" max="3" width="50" customWidth="1"/>
    <col min="4" max="4" width="22" customWidth="1"/>
  </cols>
  <sheetData>
    <row r="1" spans="1:7" ht="32.049999999999997" customHeight="1" x14ac:dyDescent="0.55000000000000004">
      <c r="A1" s="69" t="s">
        <v>204</v>
      </c>
      <c r="B1" s="70"/>
      <c r="C1" s="70"/>
      <c r="D1" s="70"/>
      <c r="E1" s="70"/>
      <c r="F1" s="70"/>
      <c r="G1" s="71"/>
    </row>
    <row r="2" spans="1:7" ht="20.05" customHeight="1" x14ac:dyDescent="0.55000000000000004">
      <c r="A2" s="95" t="s">
        <v>205</v>
      </c>
      <c r="B2" s="70"/>
      <c r="C2" s="70"/>
      <c r="D2" s="70"/>
      <c r="E2" s="70"/>
      <c r="F2" s="70"/>
      <c r="G2" s="71"/>
    </row>
    <row r="3" spans="1:7" ht="18" customHeight="1" x14ac:dyDescent="0.55000000000000004">
      <c r="A3" s="37" t="s">
        <v>113</v>
      </c>
      <c r="B3" s="37" t="s">
        <v>206</v>
      </c>
      <c r="C3" s="37" t="s">
        <v>207</v>
      </c>
      <c r="D3" s="37" t="s">
        <v>208</v>
      </c>
    </row>
    <row r="4" spans="1:7" ht="68.05" customHeight="1" x14ac:dyDescent="0.55000000000000004">
      <c r="A4" s="30" t="s">
        <v>209</v>
      </c>
      <c r="B4" s="35" t="s">
        <v>210</v>
      </c>
      <c r="C4" s="40" t="s">
        <v>211</v>
      </c>
      <c r="D4" s="41" t="s">
        <v>212</v>
      </c>
    </row>
    <row r="5" spans="1:7" ht="56.05" customHeight="1" x14ac:dyDescent="0.55000000000000004">
      <c r="A5" s="42" t="s">
        <v>213</v>
      </c>
      <c r="B5" s="31" t="s">
        <v>214</v>
      </c>
      <c r="C5" s="32" t="s">
        <v>215</v>
      </c>
      <c r="D5" s="43" t="s">
        <v>216</v>
      </c>
    </row>
    <row r="6" spans="1:7" ht="52" customHeight="1" x14ac:dyDescent="0.55000000000000004">
      <c r="A6" s="30" t="s">
        <v>217</v>
      </c>
      <c r="B6" s="35" t="s">
        <v>218</v>
      </c>
      <c r="C6" s="40" t="s">
        <v>219</v>
      </c>
      <c r="D6" s="41" t="s">
        <v>220</v>
      </c>
    </row>
    <row r="7" spans="1:7" ht="52" customHeight="1" x14ac:dyDescent="0.55000000000000004">
      <c r="A7" s="30" t="s">
        <v>221</v>
      </c>
      <c r="B7" s="35" t="s">
        <v>222</v>
      </c>
      <c r="C7" s="40" t="s">
        <v>223</v>
      </c>
      <c r="D7" s="41" t="s">
        <v>224</v>
      </c>
    </row>
    <row r="8" spans="1:7" ht="72" customHeight="1" x14ac:dyDescent="0.55000000000000004">
      <c r="A8" s="30" t="s">
        <v>225</v>
      </c>
      <c r="B8" s="36" t="s">
        <v>226</v>
      </c>
      <c r="C8" s="40" t="s">
        <v>227</v>
      </c>
      <c r="D8" s="44" t="s">
        <v>228</v>
      </c>
    </row>
    <row r="9" spans="1:7" ht="36" customHeight="1" x14ac:dyDescent="0.55000000000000004">
      <c r="A9" s="122" t="s">
        <v>229</v>
      </c>
      <c r="B9" s="73"/>
      <c r="C9" s="73"/>
      <c r="D9" s="67"/>
      <c r="E9" s="45"/>
      <c r="F9" s="45"/>
      <c r="G9" s="45"/>
    </row>
  </sheetData>
  <mergeCells count="3">
    <mergeCell ref="A9:D9"/>
    <mergeCell ref="A2:G2"/>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5"/>
  <sheetViews>
    <sheetView workbookViewId="0"/>
  </sheetViews>
  <sheetFormatPr defaultRowHeight="14.4" x14ac:dyDescent="0.55000000000000004"/>
  <cols>
    <col min="1" max="1" width="3" customWidth="1"/>
    <col min="2" max="2" width="8" customWidth="1"/>
    <col min="3" max="3" width="40" customWidth="1"/>
    <col min="4" max="4" width="34" customWidth="1"/>
    <col min="5" max="5" width="22" customWidth="1"/>
    <col min="6" max="6" width="3" customWidth="1"/>
  </cols>
  <sheetData>
    <row r="1" spans="1:7" ht="34" customHeight="1" x14ac:dyDescent="0.55000000000000004">
      <c r="A1" s="69" t="s">
        <v>230</v>
      </c>
      <c r="B1" s="70"/>
      <c r="C1" s="70"/>
      <c r="D1" s="70"/>
      <c r="E1" s="70"/>
      <c r="F1" s="70"/>
      <c r="G1" s="71"/>
    </row>
    <row r="2" spans="1:7" ht="20.05" customHeight="1" x14ac:dyDescent="0.55000000000000004">
      <c r="A2" s="95" t="s">
        <v>231</v>
      </c>
      <c r="B2" s="70"/>
      <c r="C2" s="70"/>
      <c r="D2" s="70"/>
      <c r="E2" s="70"/>
      <c r="F2" s="70"/>
      <c r="G2" s="71"/>
    </row>
    <row r="3" spans="1:7" ht="5.05" customHeight="1" x14ac:dyDescent="0.55000000000000004">
      <c r="A3" s="1"/>
      <c r="B3" s="1"/>
      <c r="C3" s="1"/>
      <c r="D3" s="1"/>
      <c r="E3" s="1"/>
      <c r="F3" s="1"/>
      <c r="G3" s="1"/>
    </row>
    <row r="4" spans="1:7" ht="22" customHeight="1" x14ac:dyDescent="0.55000000000000004">
      <c r="A4" s="124" t="s">
        <v>232</v>
      </c>
      <c r="B4" s="70"/>
      <c r="C4" s="70"/>
      <c r="D4" s="70"/>
      <c r="E4" s="70"/>
      <c r="F4" s="70"/>
      <c r="G4" s="71"/>
    </row>
    <row r="5" spans="1:7" ht="18" customHeight="1" x14ac:dyDescent="0.55000000000000004">
      <c r="A5" s="37"/>
      <c r="B5" s="37" t="s">
        <v>233</v>
      </c>
      <c r="C5" s="37" t="s">
        <v>44</v>
      </c>
      <c r="D5" s="37" t="s">
        <v>39</v>
      </c>
      <c r="E5" s="37" t="s">
        <v>234</v>
      </c>
      <c r="F5" s="37"/>
    </row>
    <row r="6" spans="1:7" ht="38.049999999999997" customHeight="1" x14ac:dyDescent="0.55000000000000004">
      <c r="A6" s="46"/>
      <c r="B6" s="47" t="s">
        <v>235</v>
      </c>
      <c r="C6" s="48" t="s">
        <v>236</v>
      </c>
      <c r="D6" s="49" t="s">
        <v>237</v>
      </c>
      <c r="E6" s="50" t="s">
        <v>238</v>
      </c>
      <c r="F6" s="46"/>
    </row>
    <row r="7" spans="1:7" ht="38.049999999999997" customHeight="1" x14ac:dyDescent="0.55000000000000004">
      <c r="A7" s="33"/>
      <c r="B7" s="51" t="s">
        <v>239</v>
      </c>
      <c r="C7" s="52" t="s">
        <v>240</v>
      </c>
      <c r="D7" s="49" t="s">
        <v>241</v>
      </c>
      <c r="E7" s="53" t="s">
        <v>242</v>
      </c>
      <c r="F7" s="33"/>
    </row>
    <row r="8" spans="1:7" ht="38.049999999999997" customHeight="1" x14ac:dyDescent="0.55000000000000004">
      <c r="A8" s="46"/>
      <c r="B8" s="47" t="s">
        <v>243</v>
      </c>
      <c r="C8" s="54" t="s">
        <v>244</v>
      </c>
      <c r="D8" s="49" t="s">
        <v>245</v>
      </c>
      <c r="E8" s="50" t="s">
        <v>246</v>
      </c>
      <c r="F8" s="46"/>
    </row>
    <row r="9" spans="1:7" ht="38.049999999999997" customHeight="1" x14ac:dyDescent="0.55000000000000004">
      <c r="A9" s="33"/>
      <c r="B9" s="51" t="s">
        <v>247</v>
      </c>
      <c r="C9" s="36" t="s">
        <v>248</v>
      </c>
      <c r="D9" s="49" t="s">
        <v>249</v>
      </c>
      <c r="E9" s="53" t="s">
        <v>250</v>
      </c>
      <c r="F9" s="33"/>
    </row>
    <row r="10" spans="1:7" ht="38.049999999999997" customHeight="1" x14ac:dyDescent="0.55000000000000004">
      <c r="A10" s="46"/>
      <c r="B10" s="47" t="s">
        <v>251</v>
      </c>
      <c r="C10" s="54" t="s">
        <v>252</v>
      </c>
      <c r="D10" s="49" t="s">
        <v>253</v>
      </c>
      <c r="E10" s="50" t="s">
        <v>254</v>
      </c>
      <c r="F10" s="46"/>
    </row>
    <row r="11" spans="1:7" ht="5.05" customHeight="1" x14ac:dyDescent="0.55000000000000004">
      <c r="A11" s="1"/>
      <c r="B11" s="1"/>
      <c r="C11" s="1"/>
      <c r="D11" s="1"/>
      <c r="E11" s="1"/>
      <c r="F11" s="1"/>
      <c r="G11" s="1"/>
    </row>
    <row r="12" spans="1:7" ht="22" customHeight="1" x14ac:dyDescent="0.55000000000000004">
      <c r="A12" s="123" t="s">
        <v>255</v>
      </c>
      <c r="B12" s="70"/>
      <c r="C12" s="70"/>
      <c r="D12" s="70"/>
      <c r="E12" s="70"/>
      <c r="F12" s="70"/>
      <c r="G12" s="71"/>
    </row>
    <row r="13" spans="1:7" ht="18" customHeight="1" x14ac:dyDescent="0.55000000000000004">
      <c r="A13" s="55"/>
      <c r="B13" s="55" t="s">
        <v>233</v>
      </c>
      <c r="C13" s="55" t="s">
        <v>5</v>
      </c>
      <c r="D13" s="55" t="s">
        <v>256</v>
      </c>
      <c r="E13" s="55" t="s">
        <v>257</v>
      </c>
      <c r="F13" s="55"/>
    </row>
    <row r="14" spans="1:7" ht="28" customHeight="1" x14ac:dyDescent="0.55000000000000004">
      <c r="A14" s="56"/>
      <c r="B14" s="57" t="s">
        <v>258</v>
      </c>
      <c r="C14" s="58" t="s">
        <v>259</v>
      </c>
      <c r="D14" s="59" t="s">
        <v>260</v>
      </c>
      <c r="E14" s="60" t="s">
        <v>261</v>
      </c>
      <c r="F14" s="56"/>
    </row>
    <row r="15" spans="1:7" ht="28" customHeight="1" x14ac:dyDescent="0.55000000000000004">
      <c r="A15" s="56"/>
      <c r="B15" s="57" t="s">
        <v>262</v>
      </c>
      <c r="C15" s="58" t="s">
        <v>263</v>
      </c>
      <c r="D15" s="59" t="s">
        <v>264</v>
      </c>
      <c r="E15" s="60" t="s">
        <v>261</v>
      </c>
      <c r="F15" s="56"/>
    </row>
    <row r="16" spans="1:7" ht="28" customHeight="1" x14ac:dyDescent="0.55000000000000004">
      <c r="A16" s="56"/>
      <c r="B16" s="57" t="s">
        <v>265</v>
      </c>
      <c r="C16" s="58" t="s">
        <v>266</v>
      </c>
      <c r="D16" s="59" t="s">
        <v>267</v>
      </c>
      <c r="E16" s="60" t="s">
        <v>261</v>
      </c>
      <c r="F16" s="56"/>
    </row>
    <row r="17" spans="1:7" ht="28" customHeight="1" x14ac:dyDescent="0.55000000000000004">
      <c r="A17" s="61"/>
      <c r="B17" s="62" t="s">
        <v>268</v>
      </c>
      <c r="C17" s="63" t="s">
        <v>269</v>
      </c>
      <c r="D17" s="64" t="s">
        <v>270</v>
      </c>
      <c r="E17" s="65" t="s">
        <v>261</v>
      </c>
      <c r="F17" s="61"/>
    </row>
    <row r="18" spans="1:7" ht="28" customHeight="1" x14ac:dyDescent="0.55000000000000004">
      <c r="A18" s="56"/>
      <c r="B18" s="57" t="s">
        <v>271</v>
      </c>
      <c r="C18" s="58" t="s">
        <v>272</v>
      </c>
      <c r="D18" s="59" t="s">
        <v>158</v>
      </c>
      <c r="E18" s="60" t="s">
        <v>261</v>
      </c>
      <c r="F18" s="56"/>
    </row>
    <row r="19" spans="1:7" ht="28" customHeight="1" x14ac:dyDescent="0.55000000000000004">
      <c r="A19" s="61"/>
      <c r="B19" s="62" t="s">
        <v>273</v>
      </c>
      <c r="C19" s="63" t="s">
        <v>274</v>
      </c>
      <c r="D19" s="64" t="s">
        <v>275</v>
      </c>
      <c r="E19" s="65" t="s">
        <v>261</v>
      </c>
      <c r="F19" s="61"/>
    </row>
    <row r="20" spans="1:7" ht="28" customHeight="1" x14ac:dyDescent="0.55000000000000004">
      <c r="A20" s="61"/>
      <c r="B20" s="62" t="s">
        <v>276</v>
      </c>
      <c r="C20" s="63" t="s">
        <v>277</v>
      </c>
      <c r="D20" s="64" t="s">
        <v>161</v>
      </c>
      <c r="E20" s="65" t="s">
        <v>261</v>
      </c>
      <c r="F20" s="61"/>
    </row>
    <row r="21" spans="1:7" ht="28" customHeight="1" x14ac:dyDescent="0.55000000000000004">
      <c r="A21" s="61"/>
      <c r="B21" s="62" t="s">
        <v>278</v>
      </c>
      <c r="C21" s="63" t="s">
        <v>279</v>
      </c>
      <c r="D21" s="64" t="s">
        <v>280</v>
      </c>
      <c r="E21" s="65" t="s">
        <v>261</v>
      </c>
      <c r="F21" s="61"/>
    </row>
    <row r="22" spans="1:7" ht="28" customHeight="1" x14ac:dyDescent="0.55000000000000004">
      <c r="A22" s="61"/>
      <c r="B22" s="62" t="s">
        <v>281</v>
      </c>
      <c r="C22" s="63" t="s">
        <v>282</v>
      </c>
      <c r="D22" s="64" t="s">
        <v>170</v>
      </c>
      <c r="E22" s="65" t="s">
        <v>261</v>
      </c>
      <c r="F22" s="61"/>
    </row>
    <row r="23" spans="1:7" ht="28" customHeight="1" x14ac:dyDescent="0.55000000000000004">
      <c r="A23" s="61"/>
      <c r="B23" s="62" t="s">
        <v>283</v>
      </c>
      <c r="C23" s="63" t="s">
        <v>284</v>
      </c>
      <c r="D23" s="64" t="s">
        <v>285</v>
      </c>
      <c r="E23" s="65" t="s">
        <v>261</v>
      </c>
      <c r="F23" s="61"/>
    </row>
    <row r="24" spans="1:7" ht="5.05" customHeight="1" x14ac:dyDescent="0.55000000000000004">
      <c r="A24" s="1"/>
      <c r="B24" s="1"/>
      <c r="C24" s="1"/>
      <c r="D24" s="1"/>
      <c r="E24" s="1"/>
      <c r="F24" s="1"/>
      <c r="G24" s="1"/>
    </row>
    <row r="25" spans="1:7" ht="52" customHeight="1" x14ac:dyDescent="0.55000000000000004">
      <c r="A25" s="122" t="s">
        <v>286</v>
      </c>
      <c r="B25" s="73"/>
      <c r="C25" s="73"/>
      <c r="D25" s="73"/>
      <c r="E25" s="73"/>
      <c r="F25" s="67"/>
      <c r="G25" s="45"/>
    </row>
  </sheetData>
  <mergeCells count="5">
    <mergeCell ref="A1:G1"/>
    <mergeCell ref="A12:G12"/>
    <mergeCell ref="A4:G4"/>
    <mergeCell ref="A2:G2"/>
    <mergeCell ref="A25:F2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2026-04-06T07:09:58Z</dcterms:created>
  <dcterms:modified xsi:type="dcterms:W3CDTF">2026-04-06T07:14:43Z</dcterms:modified>
</cp:coreProperties>
</file>