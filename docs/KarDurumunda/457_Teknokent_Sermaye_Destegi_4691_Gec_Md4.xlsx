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KARIN BULUNMASI HALİNDE/"/>
    </mc:Choice>
  </mc:AlternateContent>
  <xr:revisionPtr revIDLastSave="0" documentId="8_{8087F08E-FE63-4D76-A85E-347CB9F52DE4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  <c r="D7" i="2"/>
  <c r="D6" i="2"/>
  <c r="E58" i="1"/>
  <c r="C53" i="1"/>
  <c r="E48" i="1"/>
  <c r="C55" i="1" s="1"/>
  <c r="C48" i="1"/>
  <c r="E47" i="1"/>
  <c r="E46" i="1"/>
  <c r="E45" i="1"/>
  <c r="E44" i="1"/>
  <c r="E43" i="1"/>
  <c r="E16" i="1"/>
  <c r="D5" i="2" s="1"/>
  <c r="C54" i="1" l="1"/>
</calcChain>
</file>

<file path=xl/sharedStrings.xml><?xml version="1.0" encoding="utf-8"?>
<sst xmlns="http://schemas.openxmlformats.org/spreadsheetml/2006/main" count="336" uniqueCount="273">
  <si>
    <t>Beyanname 457 | GİB KV Beyan Rehberi Mart 2026 (No:606) | ✗ YİAKV MATRAHINDA DÜŞÜLEMEZ (E.13)</t>
  </si>
  <si>
    <t xml:space="preserve">  TEKNOKENT SERMAYE DESTEĞİ (4691 s.K. Geçici Md.4): 4691 sayılı Teknoloji Geliştirme Bölgeleri Kanunu kapsamında STB veya TGB Yönetici Şirketi aracılığıyla teknokent bünyesindeki firmalara sağlanan destektir.
  MEKANİZMA: ① Destek alındığında → GELİR kaydedilir (679/649) → KV matrahına girer. ② Beyanname 457 → Alınan destek tutarı matrahtan DÜŞÜLÜR → Net vergi yükü = 0.
  TGB FARKI: 4691 s.K. kapsamında tescilli TGB'de faaliyet zorunludur. TGB dışı girişimciler → 456 (5746 Md.3/5).
  ★ YİAKV: DÜŞÜLEMEZ (E.13 — 456 Teknogirişim ile birlikte toplanır).</t>
  </si>
  <si>
    <t xml:space="preserve">  ✗ YİAKV (KVK Md.32/C): 457 Teknokent Sermaye Desteği YİAKV MATRAHINDA DÜŞÜLEMEZ. E.13 bilgi satırında gösterilir. Hem 456 hem 457 varsa E.13'e toplam yazılır.</t>
  </si>
  <si>
    <t xml:space="preserve">  456 (5746 Md.3/5 Teknogirişim) vs 457 (4691 Geç.Md.4 Teknokent): Mekanizma aynı — yasal dayanak ve kapsam farklı. TGB tescili 457'nin ön koşulu.</t>
  </si>
  <si>
    <t>A0. KAPSAM VE NİTELİK UYGUNLUK ÖN KONTROLÜ — 4691 s.K. Geçici Md.4</t>
  </si>
  <si>
    <t>Kontrol Sorusu</t>
  </si>
  <si>
    <t>Yanıt</t>
  </si>
  <si>
    <t>YMM Tasdik Notu</t>
  </si>
  <si>
    <t>A0.1  ★ Kurum 4691 s.K. kapsamında bir TGB/Teknokent'te tescilli mi?</t>
  </si>
  <si>
    <t>EVET</t>
  </si>
  <si>
    <t>4691 Geçici Md.4 yalnızca STB lisanslı TGB bünyesindeki firmalara yöneliktir. TGB dışı faaliyet → Bu kod değil.</t>
  </si>
  <si>
    <t>A0.2  ★ Destek 4691 s.K. Geçici Md.4 kapsamında mı? (Protokolde referans var mı?)</t>
  </si>
  <si>
    <t>Destek kararı/protokolü 4691 Geçici Md.4'e dayanmalı. 5746 Md.3/5 kapsamında ise → 456 uygulanır.</t>
  </si>
  <si>
    <t>A0.3  ★ Destek fiilen tahsil edildi mi? (Banka yoluyla)</t>
  </si>
  <si>
    <t>Protokol tutarı değil — banka havalesiyle alınan kısım esas.</t>
  </si>
  <si>
    <t>A0.4  ★ Tahsil edilen destek gelir olarak kaydedildi mi? (679/649)</t>
  </si>
  <si>
    <t>ZORUNLU ADIM: Önce 679/649 gelir kaydı → Sonra beyanname 457. Gelir kaydı olmadan 457 uygulanamaz.</t>
  </si>
  <si>
    <t>A0.5  STB destek kararı veya TGB Yönetici Şirketi protokolü temin edildi mi?</t>
  </si>
  <si>
    <t>4691 Geçici Md.4 referansı içeren imzalı belge zorunludur.</t>
  </si>
  <si>
    <t>A0.6  ✗ YİAKV E.13'te bilgi satırı olarak gösterildi mi?</t>
  </si>
  <si>
    <t>457 YİAKV matrahından düşülemez — E.13 bilgi.</t>
  </si>
  <si>
    <t>A0.7  YMM Tasdik Raporu gereksinimi değerlendirildi mi?</t>
  </si>
  <si>
    <t>&gt;=500.000 TL → YMM raporu.</t>
  </si>
  <si>
    <t>A0.8  Tasdik Uygunluk Sonucu</t>
  </si>
  <si>
    <t>★ A0.1 TGB tescili | A0.2 4691 kapsamı | A0.3 tahsilat | A0.4 gelir kaydı — dördü kritik.</t>
  </si>
  <si>
    <t>A. GENEL BİLGİLER</t>
  </si>
  <si>
    <t>Kurumun Unvanı</t>
  </si>
  <si>
    <t>Tam ticaret unvanı</t>
  </si>
  <si>
    <t>VKN</t>
  </si>
  <si>
    <t>10 haneli VKN</t>
  </si>
  <si>
    <t>Hesap Dönemi</t>
  </si>
  <si>
    <t>01.01.2025 – 31.12.2025</t>
  </si>
  <si>
    <t>KV Oranı (%)</t>
  </si>
  <si>
    <t>2025: %25</t>
  </si>
  <si>
    <t>Teknokent/TGB Adı</t>
  </si>
  <si>
    <t>Faaliyet gösterilen TGB adı (örn. ODTÜ Teknokent)</t>
  </si>
  <si>
    <t>TGB Yönetici Şirketi</t>
  </si>
  <si>
    <t>TGB yönetici şirket adı</t>
  </si>
  <si>
    <t>Destek Kararı Tarihi/No</t>
  </si>
  <si>
    <t>STB veya TGB Yönetici Şirketi karar referansı</t>
  </si>
  <si>
    <t>Dosya Referansı</t>
  </si>
  <si>
    <t>YMM-2025/457-01</t>
  </si>
  <si>
    <t>B. TEKNOKENT DESTEĞI DETAYLARI VE TAHSİLAT BİLGİLERİ</t>
  </si>
  <si>
    <t>Parametre</t>
  </si>
  <si>
    <t>Değer</t>
  </si>
  <si>
    <t>Açıklama</t>
  </si>
  <si>
    <t>Kaynak</t>
  </si>
  <si>
    <t>B.1  Destek Türü</t>
  </si>
  <si>
    <t>Teknokent Girişimci Sermaye Desteği (4691 Geç.Md.4)</t>
  </si>
  <si>
    <t>4691 Geçici Md.4 kapsamı.</t>
  </si>
  <si>
    <t>STB/TGB kararı</t>
  </si>
  <si>
    <t>B.2  TGB Adı ve Bölgesi</t>
  </si>
  <si>
    <t>Faaliyetin yürütüldüğü TGB adı ve şehri.</t>
  </si>
  <si>
    <t>TGB tescil belgesi</t>
  </si>
  <si>
    <t>B.3  Proje/Girişim Konusu</t>
  </si>
  <si>
    <t>Desteklenen Ar-Ge veya teknoloji projesinin adı.</t>
  </si>
  <si>
    <t>STB/TGB protokolü</t>
  </si>
  <si>
    <t>B.4  ★ Toplam Destek Protokol Tutarı (TL)</t>
  </si>
  <si>
    <t>STB/TGB protokolündeki toplam destek tutarı.</t>
  </si>
  <si>
    <t>Protokol</t>
  </si>
  <si>
    <t>B.5  ★ Dönem İçinde FİİLEN Tahsil Edilen Tutar (TL)</t>
  </si>
  <si>
    <t>Bu yıl banka yoluyla alınan kısım — 457 hesabının dayanağı.</t>
  </si>
  <si>
    <t>Banka ekstresi</t>
  </si>
  <si>
    <t>B.6  Aracı Destek Kanalı</t>
  </si>
  <si>
    <t>STB Direkt</t>
  </si>
  <si>
    <t>STB direkt mi, TGB yöneticisi kanalıyla mı?</t>
  </si>
  <si>
    <t>Ödeme belgesi</t>
  </si>
  <si>
    <t>B.7  ★ Gelir Kaydı Yapıldı mı? (679/649 — ZORUNLU ÖN ADIM)</t>
  </si>
  <si>
    <t>Gelir kayıt olmadan 457 uygulanamaz.</t>
  </si>
  <si>
    <t>Yevmiye</t>
  </si>
  <si>
    <t>B.8  TGB Üyelik/Tescil Belgesi Mevcut mu?</t>
  </si>
  <si>
    <t>Firmayı TGB bünyesinde tescil eden STB/TGB belgesi.</t>
  </si>
  <si>
    <t>STB/TGB</t>
  </si>
  <si>
    <t>C. TEKNOKENT DESTEĞI İNDİRİM TABLOSU — BEYANNAME 457</t>
  </si>
  <si>
    <t xml:space="preserve">  SÜTUN 3 (mavi çerçeve): Fiilen tahsil edilen tutar. SÜTUN 4: Gelir kaydı? 'EVET ✓' ise İndirim = Tahsil Edilen. 'HAYIR ✗' ise İndirim = 0 — gelir kayıt zorunlu.</t>
  </si>
  <si>
    <t>Destek Türü</t>
  </si>
  <si>
    <t>TGB/Proje</t>
  </si>
  <si>
    <t>Tahsil Edilen (TL)</t>
  </si>
  <si>
    <t>Gelir Kaydı?</t>
  </si>
  <si>
    <t>İndirim (TL)</t>
  </si>
  <si>
    <t>Tahsilat Tarihi</t>
  </si>
  <si>
    <t>Destek Karar No</t>
  </si>
  <si>
    <t>EVET ✓</t>
  </si>
  <si>
    <t>TOPLAM</t>
  </si>
  <si>
    <t>—</t>
  </si>
  <si>
    <t>← Beyanname 457 | Gelir Kaydedilen = İndirim</t>
  </si>
  <si>
    <t xml:space="preserve">  ★ ANAHTAR KURAL: İndirim = Tahsil Edilen YALNIZCA Gelir Kaydı 'EVET ✓' ise. Gelir kayıtsız 457 uygulanırsa hatalı beyan → Tarhiyat riski. 456+457 aynı dönemde varsa YİAKV E.13'e toplam yazılır.</t>
  </si>
  <si>
    <t>D. TEKNOKENT DESTEĞI İNDİRİM ÖZET — BEYANNAME 457</t>
  </si>
  <si>
    <t>Hesap Kalemi</t>
  </si>
  <si>
    <t>Tutar (TL)</t>
  </si>
  <si>
    <t>Not</t>
  </si>
  <si>
    <t>D.1  Tahsil Edilen Toplam Destek (C Sütun 3 Toplamı)</t>
  </si>
  <si>
    <t>Fiili tahsilat toplamı</t>
  </si>
  <si>
    <t>D.2  Gelir Kaydı Yapılmayan — İndirilemez Kısım</t>
  </si>
  <si>
    <t>Kayıt eksik — 457 uygulanamaz</t>
  </si>
  <si>
    <t>D.3  ★ BEYANNAME 457 = Gelir Kaydedilen Destek</t>
  </si>
  <si>
    <t>→ Beyanname 457 | Kazancın Bulunması Halinde</t>
  </si>
  <si>
    <t>4691 Geç.Md.4</t>
  </si>
  <si>
    <t>D.4  YİAKV DURUMU — DÜŞÜLEMEZ</t>
  </si>
  <si>
    <t>YİAKV E.13 Bilgi ✗</t>
  </si>
  <si>
    <t>456 Teknogirişim ile birlikte E.13'te</t>
  </si>
  <si>
    <t>KVK Md.32/C</t>
  </si>
  <si>
    <t>E.1  TEKNOKENT DESTEĞI → Beyanname Satır 457 (Kazancın Bulunması Halinde)</t>
  </si>
  <si>
    <t>D.3 = Gelir Kaydedilen Tahsilat | 4691 Geçici Md.4</t>
  </si>
  <si>
    <t xml:space="preserve">  ★ KRİTİK: (1) TGB TESCİLİ zorunlu — 4691 s.K. kapsamı. (2) 4691 KAPSAMI — protokolde referans açık olmalı. (3) GELİR KAYDI ZORUNLU — 679/649 olmadan 457 uygulanamaz. (4) YİAKV ✗ E.13 bilgi — 456 ile toplamı.</t>
  </si>
  <si>
    <t>457 – TEKNOKENT SERMAYE DESTEĞİ 4691 Geç.Md.4 | HESAPLAMALAR VE DENETİM</t>
  </si>
  <si>
    <t>TGB Tescili + 4691 Kapsamı + Gelir Kaydı → Beyanname 457 | ✗ YİAKV E.13 (456 ile)</t>
  </si>
  <si>
    <t>A. TASDİK ÖZETİ</t>
  </si>
  <si>
    <t>A0 Uygunluğu</t>
  </si>
  <si>
    <t>OK ise devam</t>
  </si>
  <si>
    <t>TGB Tescili (A0.1)</t>
  </si>
  <si>
    <t>4691 kapsam</t>
  </si>
  <si>
    <t>Tahsil Edilen Destek (D.1)</t>
  </si>
  <si>
    <t>Fiili tahsilat</t>
  </si>
  <si>
    <t>457 İNDİRİM (D.3)</t>
  </si>
  <si>
    <t>YİAKV</t>
  </si>
  <si>
    <t>✗ DÜŞÜLEMEZ (E.13 Bilgi)</t>
  </si>
  <si>
    <t>456 Teknogirişim ile birlikte E.13</t>
  </si>
  <si>
    <t>B. 456 (5746 Md.3/5 TEKNOGİRİŞİM) vs 457 (4691 Geç.Md.4 TEKNOKENT) KARŞILAŞTIRMA</t>
  </si>
  <si>
    <t xml:space="preserve">  456 — 5746 s.K. Madde 3/5 (TEKNOGİRİŞİM): Bireysel girişimciler, teknoloji şirketleri — TGB'de bulunmak zorunlu değil. Destek Veren: STB doğrudan.
  457 — 4691 s.K. Geçici Md.4 (TEKNOKENT): TGB'de tescilli firmalar. Destek: STB direkt veya TGB Yönetici Şirketi aracılığıyla.
  ORTAK: Mekanizma aynı (Gelir Kaydı → Beyanname → Net KV = 0). YİAKV: İkisi de E.13 — 456+457 toplamı.
  ÇAKIŞMA: Aynı proje için hem 456 hem 457 uygulanamaz. Aynı dönemde farklı projeler için ikisi birlikte olabilir.</t>
  </si>
  <si>
    <t>C. 4691 s.K. GEÇİCİ MADDE 4 KAPSAMINDA AVANTAJLAR</t>
  </si>
  <si>
    <t xml:space="preserve">  4691 KANUNU TGB AVANTAJLARI — EŞ ZAMANLI UYGULANABİLİR:
  (1) Geçici Md.2 — Yazılım/Ar-Ge Kazanç İstisnası: TGB'de geliştirilen yazılım/Ar-Ge kazancı KV ve gelir vergisinden istisna. Beyanname ayrı satır. YİAKV DÜŞÜLEBİLİR.
  (2) Geçici Md.4 — Teknokent Sermaye Desteği (457): Alınan destek üzerinden KV = 0. YİAKV DÜŞÜLEMEZ (E.13).
  YMM NOTU: Geçici Md.2 + Geçici Md.4 aynı anda uygulanabilir — çakışma yok. Ancak aynı harcama/gelir için ikisini birden kullanmak mükerrerlik oluşturur.</t>
  </si>
  <si>
    <t>D. DENETİM KONTROL LİSTESİ (K1–K13)</t>
  </si>
  <si>
    <t>Kontrol</t>
  </si>
  <si>
    <t>Sonuç</t>
  </si>
  <si>
    <t>K1</t>
  </si>
  <si>
    <t>★ Firma 4691 s.K. kapsamında TGB'de tescilli mi?</t>
  </si>
  <si>
    <t>Teknokent üyelik belgesi — STB/TGB onaylı.</t>
  </si>
  <si>
    <t>Uygun/Eksik/Risk</t>
  </si>
  <si>
    <t>K2</t>
  </si>
  <si>
    <t>★ Destek 4691 Geçici Md.4 kapsamında mı? Protokolde referans var mı?</t>
  </si>
  <si>
    <t>4691 kanun referansı açık olmalı.</t>
  </si>
  <si>
    <t>K3</t>
  </si>
  <si>
    <t>★ Tahsilat fiilen banka yoluyla gerçekleşti mi?</t>
  </si>
  <si>
    <t>Banka dekontu — protokol tutarı değil.</t>
  </si>
  <si>
    <t>K4</t>
  </si>
  <si>
    <t>★ Tahsil edilen tutar gelir hesabına (679/649) alındı mı?</t>
  </si>
  <si>
    <t>Gelir kaydı olmadan 457 uygulanamaz — zorunlu ön adım.</t>
  </si>
  <si>
    <t>K5</t>
  </si>
  <si>
    <t>TGB Yönetici Şirketi aracılığıyla geldiyse akış belgesi mevcut mu?</t>
  </si>
  <si>
    <t>STB → TGB → Firma zinciri belgelenmiş.</t>
  </si>
  <si>
    <t>K6</t>
  </si>
  <si>
    <t>Gelir kaydı tutarı ile C tablosu mutabık mı?</t>
  </si>
  <si>
    <t>D.1 = D.3 — gelir kaydedilen = indirim.</t>
  </si>
  <si>
    <t>K7</t>
  </si>
  <si>
    <t>456 (Teknogirişim) ile aynı dönemde uygulanıyorsa ayrı projeler mi?</t>
  </si>
  <si>
    <t>İki kanun, iki kod, iki proje — aynı proje için ikisi değil.</t>
  </si>
  <si>
    <t>K8</t>
  </si>
  <si>
    <t>4691 Geçici Md.2 TGB istisnası ile çakışma analizi yapıldı mı?</t>
  </si>
  <si>
    <t>Md.2 + Md.4 eş zamanlı uygulanabilir — çakışma yok.</t>
  </si>
  <si>
    <t>K9</t>
  </si>
  <si>
    <t>✗ YİAKV E.13'te 456+457 toplamı bilgi satırı olarak var mı?</t>
  </si>
  <si>
    <t>DÜŞÜLEMEZ — E.13 birleşik bilgi.</t>
  </si>
  <si>
    <t>K10</t>
  </si>
  <si>
    <t>Beyanname 457 'Kazancın Bulunması Halinde' bölümünde mi?</t>
  </si>
  <si>
    <t>Zarar döneminde uygulanamaz.</t>
  </si>
  <si>
    <t>K11</t>
  </si>
  <si>
    <t>TGB kullanım raporu/faaliyet belgesi STB/TGB'ye sunuldu mu?</t>
  </si>
  <si>
    <t>Protokol yükümlülüğü.</t>
  </si>
  <si>
    <t>K12</t>
  </si>
  <si>
    <t>Birden fazla tahsilat ayrı satırlarda mı? (C tablosu)</t>
  </si>
  <si>
    <t>Her tahsilat ayrı banka dekontu.</t>
  </si>
  <si>
    <t>K13</t>
  </si>
  <si>
    <t>YMM Tasdik Raporu (49 No.lu Tebliğ) değerlendirildi mi?</t>
  </si>
  <si>
    <t>457 – TEKNOKENT DESTEĞI 4691 Geç.Md.4 | MUHASEBE KAYITLARI</t>
  </si>
  <si>
    <t>KAYIT 1 — TEKNOKENT DESTEĞI TAHSİLATI (STB/TGB GELİRİ)</t>
  </si>
  <si>
    <t>Tarih</t>
  </si>
  <si>
    <t>Hesap</t>
  </si>
  <si>
    <t>Dr</t>
  </si>
  <si>
    <t>Kr</t>
  </si>
  <si>
    <t>Ref</t>
  </si>
  <si>
    <t>[Tahsilat Tarihi]</t>
  </si>
  <si>
    <t>102 Bankalar</t>
  </si>
  <si>
    <t>4691 Geç.Md.4 teknokent desteği tahsilatı</t>
  </si>
  <si>
    <t>[Tutar]</t>
  </si>
  <si>
    <t>Banka dekontu</t>
  </si>
  <si>
    <t>679 Diğer Olağan Dışı Gelir / 649 Diğer Gelirler</t>
  </si>
  <si>
    <t>Teknokent desteği gelir kaydı — KV matrahına girer</t>
  </si>
  <si>
    <t>TGB protokolü</t>
  </si>
  <si>
    <t>KAYIT 2 — DÖNEM SONU: KKEG + BEYANNAME 457 İNDİRİMİ</t>
  </si>
  <si>
    <t>[Dönem Sonu]</t>
  </si>
  <si>
    <t>951 KKEG</t>
  </si>
  <si>
    <t>Teknokent destek geliri KKEG'e alınır (matrahı artırır)</t>
  </si>
  <si>
    <t>Beyanname</t>
  </si>
  <si>
    <t>952 KKEG Karşılığı</t>
  </si>
  <si>
    <t>KKEG karşılığı kaydı</t>
  </si>
  <si>
    <t xml:space="preserve">  457 BEYANNAME ve YİAKV AKIŞI:
  ① TGB bünyesinde STB/TGB aracılığıyla destek banka yoluyla alınır → Dr 102 / Kr 679.
  ② Ticari kâra girer → Dönem sonu KKEG → KV matrahını artırır.
  ③ Beyanname 457 → Aynı tutarı matrahtan çıkarır → Bu destekten net KV = 0.
  ④ YİAKV E.13 bilgi → DÜŞÜLEMEZ. 456 Teknogirişim varsa E.13'te 456+457 toplamı.
  ⑤ 4691 Geç.Md.2 TGB kazanç istisnası → Ayrı mekanizma — bu kayıtları etkilemez.</t>
  </si>
  <si>
    <t>457 – TEKNOKENT DESTEĞI 4691 Geç.Md.4 | DENETÇİ NOTLARI</t>
  </si>
  <si>
    <t>GİB KV Beyan Rehberi 2026 (No:606) | TGB Tescili | 4691 Kapsamı | Gelir Kaydı | YİAKV E.13</t>
  </si>
  <si>
    <t>Kod</t>
  </si>
  <si>
    <t>Konu</t>
  </si>
  <si>
    <t>Mesleki Değerlendirme / Tasdik Standardı</t>
  </si>
  <si>
    <t>Mevzuat / Kaynak</t>
  </si>
  <si>
    <t>N1</t>
  </si>
  <si>
    <t>4691 Geçici Md.4 — Teknokent Desteği Mekanizması</t>
  </si>
  <si>
    <t>TEKNOKENT SERMAYE DESTEĞİ — 4691 GEÇİCİ MADDE 4:
4691 sayılı Teknoloji Geliştirme Bölgeleri Kanunu'nun Geçici 4. Maddesi kapsamında
STB veya TGB Yönetici Şirketi aracılığıyla teknokent bünyesindeki firmalara
sağlanan sermaye/hibe desteğidir.
VERGİSEL ETKİ:
① Destek banka yoluyla tahsil → 679/649 gelir kaydı (ZORUNLU)
② Gelir KV matrahını artırır
③ Beyanname 457 → Aynı tutarı matrahtan düşer
④ Net etki: Teknokent desteği üzerinden KV = 0
KAPSAM: 4691 s.K. kapsamında STB onaylı TGB'de tescilli firmalar.
TGB dışı → 456 (5746 Md.3/5) veya farklı kod.
YİAKV: ✗ DÜŞÜLEMEZ (E.13 — 456 ile birlikte) | BEYANNAME: 457</t>
  </si>
  <si>
    <t>4691 s.K. Geçici Md.4 | GİB KV Beyan Reh. 2026 (No:606)</t>
  </si>
  <si>
    <t>N2</t>
  </si>
  <si>
    <t>★ 456 vs 457 Ayrımı ve TGB Tescili Zorunluluğu</t>
  </si>
  <si>
    <t>NEDEN İKİ AYRI KOD?
456 (5746 Md.3/5 — TEKNOGİRİŞİM):
STB'nin 5746 sayılı Kanun çerçevesindeki desteği.
TGB tescili zorunlu değil — bireysel girişimci veya teknoloji şirketi yeterli.
457 (4691 Geç.Md.4 — TEKNOKENT):
STB'nin 4691 sayılı Kanun çerçevesindeki TGB desteği.
TGB (Teknoloji Geliştirme Bölgesi) tescili ZORUNLU.
KONTROL ADIMI:
Protokol/kararın dayandığı kanun hangisi?
4691 Geçici Md.4 → 457. | 5746 Md.3/5 → 456.
EŞ ZAMANLI: Aynı firma farklı projeler için hem 456 hem 457 alabilir.
ANCAK: Aynı proje için ikisi birlikte uygulanamaz — mükerrerlik.</t>
  </si>
  <si>
    <t>4691 s.K. | 5746 s.K. | GİB Özelge</t>
  </si>
  <si>
    <t>N3</t>
  </si>
  <si>
    <t>4691 Geçici Md.2 TGB Kazanç İstisnası ile İlişki</t>
  </si>
  <si>
    <t>4691 KANUNU — İKİ FARKLI AVANTAJ:
GEÇİCİ MADDE 2 — YAZILIM/AR-GE KAZANÇ İSTİSNASI:
TGB'de geliştirilen yazılım ve Ar-Ge kazançları KV ve GV istisnası.
YİAKV: Bazı yorumlarda DÜŞÜLEBİLİR (ilgili satır).
GEÇİCİ MADDE 4 — TEKNOKENT SERMAYE DESTEĞİ:
Alınan hibe/destek üzerinden KV = 0 (Beyanname 457).
YİAKV: ✗ DÜŞÜLEMEZ (E.13).
EŞ ZAMANLI UYGULAMA:
Yazılım/Ar-Ge kazancı → Geçici Md.2 istisnası (beyanname ayrı satır)
Alınan sermaye desteği → Beyanname 457 (Geçici Md.4)
Çakışma yok — iki ayrı avantaj, iki ayrı mekanizma.</t>
  </si>
  <si>
    <t>4691 s.K. Geçici Md.2 ve Md.4 | GİB KV Beyan Reh. No:606</t>
  </si>
  <si>
    <t>N4</t>
  </si>
  <si>
    <t>YİAKV ile İlişki — E.13 Birleşimi (456+457)</t>
  </si>
  <si>
    <t>YİAKV (KVK Md.32/C) VE TEKNOKENT DESTEĞİ:
✗ 457 (4691 Geç.Md.4): DÜŞÜLEMEZ → YİAKV E.13
YİAKV E.13 SATIRI:
'Yatırım İndirimi + Teknogirişim/Teknokent Sermaye Desteği'
Bu satırda: Yatırım İndirimi + 456 Teknogirişim + 457 Teknokent toplanır.
UYGULAMA:
Aynı dönemde 456 + 457 varsa:
Beyanname: 456 ayrı satır + 457 ayrı satır
YİAKV E.13: 456 + 457 toplamı → Tek satır
KARŞILAŞTIRMA:
✓ 4691 Geç.Md.2 TGB Kazanç İstisnası → DÜŞÜLEBİLİR
✓ Ar-Ge İndirimi (283 — 5746 Md.3) → D.10 DÜŞÜLEBİLİR
✗ 4691 Geç.Md.4 Teknokent Desteği → E.13 DÜŞÜLEMEZ
✗ 5746 Md.3/5 Teknogirişim Desteği → E.13 DÜŞÜLEMEZ</t>
  </si>
  <si>
    <t>KVK Md.32/C | GİB Rehberi No:607 | No:606</t>
  </si>
  <si>
    <t>N5</t>
  </si>
  <si>
    <t>49 No.lu Tebliğ + YMM Tasdik Dil Standardı</t>
  </si>
  <si>
    <t>KULLANIN:
'...4691 sayılı Teknoloji Geliştirme Bölgeleri Kanunu'nun Geçici 4. Maddesi
kapsamında, [TGB Adı] Teknoloji Geliştirme Bölgesi'nde faaliyet gösteren
kurumumuza [STB / TGB Yönetici Şirketi] tarafından sağlanan ve [Tarih]
tarihinde banka yoluyla tahsil edilen, [679/649] hesabında gelir kaydedilen
[Tutar] TL teknokent sermaye desteği, KVK Madde 10 kapsamında kurumlar
vergisi matrahından indirilmiştir. Söz konusu tutar YİAKV matrahından
indirilmemiştir. Teknoloji Geliştirme Bölgesi üyeliği STB/TGB tescil
belgesiyle tevsik edilmektedir.'
KULLANMAYIN:
'...TGB tescili olmadan 457 uygulanmıştır.' (Kapsam dışı)
'...Gelir kaydedilmeksizin 457 uygulanmıştır.' (Hatalı sıra)
'...4691 Geçici Md.2 istisnası ile 457 aynı tutara uygulanmıştır.' (Mükerrerlik)
'...457 YİAKV matrahından düşülmüştür.' (YANLIŞ)
KRİTİK RİSKLER:
(1) TGB tescili olmadan 457 uygulamak.
(2) Gelir kaydı yapmadan 457 uygulamak.
(3) Aynı proje için hem 456 hem 457 uygulamak.</t>
  </si>
  <si>
    <t>49 No.lu Tebliğ | 4691 s.K. Geçici Md.4 | SM-SMMM-YMM K. Md.12</t>
  </si>
  <si>
    <t xml:space="preserve">  GİB KV BEYAN REHBERİ MART 2026 (No:606) KAPANIŞ (457): 4691 Geçici Md.4 — TGB tescili zorunlu. Gelir kaydı ön adım. 4691 Geç.Md.2 kazanç istisnası ile eş zamanlı uygulanabilir — çakışma yok. Aynı proje için 456+457 birlikte uygulanamaz. ✗ YİAKV E.13 (456 ile toplamı). YMM: SM-SMMM-YMM K. Md.12.</t>
  </si>
  <si>
    <t>457 – TEKNOKENT DESTEĞI 4691 Geç.Md.4 | BELGE LİSTESİ | YMM TASDİK</t>
  </si>
  <si>
    <t>TGB Tescil Belgesi | STB/TGB Protokolü | Banka Dekontu | Gelir Yevmiyesi | YİAKV E.13</t>
  </si>
  <si>
    <t>KATEGORİ 1 — ZORUNLU BELGELER</t>
  </si>
  <si>
    <t>No</t>
  </si>
  <si>
    <t>Belge</t>
  </si>
  <si>
    <t>Temin</t>
  </si>
  <si>
    <t>1</t>
  </si>
  <si>
    <t>★ TGB/Teknokent Tescil Belgesi (STB Onaylı)</t>
  </si>
  <si>
    <t>Firmanın 4691 s.K. kapsamında ilgili TGB'de tescillendiğini gösteren STB veya TGB Yönetici Şirketi onaylı üyelik/tescil belgesi. 457'nin kapsam ön koşuludur.</t>
  </si>
  <si>
    <t>STB / TGB Yönetici Şirketi</t>
  </si>
  <si>
    <t>2</t>
  </si>
  <si>
    <t>★ 4691 Geçici Md.4 Destek Kararı / TGB Protokolü</t>
  </si>
  <si>
    <t>STB veya TGB Yönetici Şirketi tarafından imzalanmış destek kararı/protokolü. 4691 sayılı Kanun Geçici Madde 4 referansı açık olmalı.</t>
  </si>
  <si>
    <t>3</t>
  </si>
  <si>
    <t>★ Tahsilat Banka Dekontu (Her Ödeme İçin Ayrı)</t>
  </si>
  <si>
    <t>Her tahsilat için banka EFT/havale dekontu. TGB aracılığıyla geldiyse ödeme zinciri belgelenmiş olmalı.</t>
  </si>
  <si>
    <t>Banka / Şirket hesabı</t>
  </si>
  <si>
    <t>4</t>
  </si>
  <si>
    <t>★ Gelir Yevmiyesi (679/649 Hesabı — Zorunlu Ön Adım)</t>
  </si>
  <si>
    <t>Tahsilat anında yapılan muhasebe yevmiyesi (Dr 102 / Kr 679 veya 649). Gelir kaydı olmadan 457 uygulanamaz.</t>
  </si>
  <si>
    <t>Muhasebe sistemi</t>
  </si>
  <si>
    <t>5</t>
  </si>
  <si>
    <t>KV Beyannamesi 457 Satırı + YİAKV E.13 Bilgi</t>
  </si>
  <si>
    <t>Beyanname 457 = D.3 tutarı. YİAKV E.13'te 456+457 birleşik bilgi.</t>
  </si>
  <si>
    <t>GİB e-Beyanname + YİAKV ÇK</t>
  </si>
  <si>
    <t>6</t>
  </si>
  <si>
    <t>TGB Faaliyet/Kullanım Raporu (STB/TGB Talebi Varsa)</t>
  </si>
  <si>
    <t>Protokol gereği dönemsel faaliyet raporu ve harcama belgeleri.</t>
  </si>
  <si>
    <t>Şirket muhasebesi / TGB</t>
  </si>
  <si>
    <t>KATEGORİ 2 — YMM TASDİK KONTROL SORULARI</t>
  </si>
  <si>
    <t>Beklenen Sonuç</t>
  </si>
  <si>
    <t>YMM Aksiyonu</t>
  </si>
  <si>
    <t>S1</t>
  </si>
  <si>
    <t>★ TGB'de tescilli faaliyet var mı? Üyelik belgesi temin edildi mi?</t>
  </si>
  <si>
    <t>4691 kapsam ön koşulu.</t>
  </si>
  <si>
    <t>YMM kontrolü</t>
  </si>
  <si>
    <t>S2</t>
  </si>
  <si>
    <t>★ Destek 4691 Geçici Md.4 kapsamında mı?</t>
  </si>
  <si>
    <t>5746 → 456. 4691 → 457.</t>
  </si>
  <si>
    <t>S3</t>
  </si>
  <si>
    <t>★ Tahsilat banka yoluyla fiilen gerçekleşti mi?</t>
  </si>
  <si>
    <t>Banka dekontu her tahsilat için.</t>
  </si>
  <si>
    <t>S4</t>
  </si>
  <si>
    <t>★ Tahsilat tutarı gelir hesabına alındı mı? (679/649)</t>
  </si>
  <si>
    <t>Yevmiye kaydı — zorunlu ön adım.</t>
  </si>
  <si>
    <t>S5</t>
  </si>
  <si>
    <t>456 (Teknogirişim) ile aynı proje için mükerrerlik yok mu?</t>
  </si>
  <si>
    <t>Farklı projeler → İkisi birlikte olabilir.</t>
  </si>
  <si>
    <t>S6</t>
  </si>
  <si>
    <t>4691 Geç.Md.2 ile çakışma analizi yapıldı mı?</t>
  </si>
  <si>
    <t>Md.2 + Md.4 eş zamanlı uygulanabilir.</t>
  </si>
  <si>
    <t>S7</t>
  </si>
  <si>
    <t>S8</t>
  </si>
  <si>
    <t>Beyanname 457 'Kazancın Bulunması Halinde'?</t>
  </si>
  <si>
    <t>S9</t>
  </si>
  <si>
    <t>YMM Tasdik Raporu değerlendirildi mi?</t>
  </si>
  <si>
    <t>&gt;=500.000 TL → Rapor.</t>
  </si>
  <si>
    <t xml:space="preserve">  GİB KV BEYAN REHBERİ MART 2026 (No:606) | 457 TEKNOKENT SON NOT:
  4691 s.K. Geçici Md.4 — TGB tescili zorunlu ön koşul.
  Gelir kaydı (679/649) → Sonra Beyanname 457 → Net KV = 0.
  4691 Geç.Md.2 TGB kazanç istisnası ile eş zamanlı uygulanabilir — çakışma yok.
  Aynı proje için hem 456 hem 457 uygulanamaz — ayrı projeler için her ikisi olabilir.
  ✗ YİAKV E.13 bilgi — 456+457 toplamı. YMM: SM-SMMM-YMM K. Md.12.</t>
  </si>
  <si>
    <t xml:space="preserve"> Excel Tablosunda formül hatası, satır kaydırma veya bağlantı hatası varsa düzelt.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</si>
</sst>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9"/>
      <color rgb="FF7B5E00"/>
      <name val="Arial"/>
    </font>
    <font>
      <b/>
      <sz val="10"/>
      <color rgb="FFFFFFFF"/>
      <name val="Arial"/>
    </font>
    <font>
      <b/>
      <sz val="9"/>
      <color rgb="FFC0392B"/>
      <name val="Arial"/>
    </font>
    <font>
      <b/>
      <sz val="10"/>
      <color rgb="FF0000FF"/>
      <name val="Arial"/>
    </font>
    <font>
      <i/>
      <sz val="8"/>
      <color rgb="FFC0392B"/>
      <name val="Arial"/>
    </font>
    <font>
      <b/>
      <sz val="9"/>
      <color rgb="FF1F3864"/>
      <name val="Arial"/>
    </font>
    <font>
      <i/>
      <sz val="8"/>
      <color rgb="FF555555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i/>
      <sz val="8"/>
      <color rgb="FF2E86C1"/>
      <name val="Arial"/>
    </font>
    <font>
      <sz val="9"/>
      <color rgb="FF1F3864"/>
      <name val="Arial"/>
    </font>
    <font>
      <b/>
      <sz val="9"/>
      <color rgb="FF2E86C1"/>
      <name val="Arial"/>
    </font>
    <font>
      <b/>
      <sz val="9"/>
      <color rgb="FF1B5E20"/>
      <name val="Arial"/>
    </font>
    <font>
      <b/>
      <sz val="11"/>
      <color rgb="FFFFFFFF"/>
      <name val="Arial"/>
    </font>
    <font>
      <b/>
      <sz val="13"/>
      <color rgb="FFFFFFFF"/>
      <name val="Arial"/>
    </font>
    <font>
      <b/>
      <sz val="8"/>
      <color rgb="FFC0392B"/>
      <name val="Arial"/>
    </font>
    <font>
      <b/>
      <sz val="10"/>
      <color rgb="FF2E86C1"/>
      <name val="Arial"/>
    </font>
    <font>
      <b/>
      <sz val="13"/>
      <color rgb="FF1B5E20"/>
      <name val="Arial"/>
    </font>
    <font>
      <b/>
      <sz val="9"/>
      <color rgb="FFE65100"/>
      <name val="Arial"/>
    </font>
    <font>
      <b/>
      <sz val="10"/>
      <color rgb="FFE65100"/>
      <name val="Arial"/>
    </font>
    <font>
      <b/>
      <sz val="14"/>
      <color rgb="FF1B5E20"/>
      <name val="Arial"/>
    </font>
    <font>
      <i/>
      <sz val="8"/>
      <color rgb="FF1B5E20"/>
      <name val="Arial"/>
    </font>
    <font>
      <b/>
      <sz val="12"/>
      <color rgb="FF1B5E20"/>
      <name val="Arial"/>
    </font>
    <font>
      <sz val="8"/>
      <color rgb="FF1F3864"/>
      <name val="Arial"/>
    </font>
    <font>
      <sz val="8"/>
      <color rgb="FF333333"/>
      <name val="Arial"/>
    </font>
    <font>
      <i/>
      <sz val="8"/>
      <color rgb="FF444444"/>
      <name val="Arial"/>
    </font>
    <font>
      <sz val="8"/>
      <color rgb="FF444444"/>
      <name val="Arial"/>
    </font>
    <font>
      <b/>
      <sz val="9"/>
      <color rgb="FF1565C0"/>
      <name val="Arial"/>
    </font>
    <font>
      <b/>
      <sz val="8"/>
      <color rgb="FF1565C0"/>
      <name val="Arial"/>
    </font>
  </fonts>
  <fills count="26">
    <fill>
      <patternFill patternType="none"/>
    </fill>
    <fill>
      <patternFill patternType="gray125"/>
    </fill>
    <fill>
      <patternFill patternType="solid">
        <fgColor rgb="FF2E86C1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1E8449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EBF5FB"/>
      </patternFill>
    </fill>
    <fill>
      <patternFill patternType="solid">
        <fgColor rgb="FFC6EFCE"/>
      </patternFill>
    </fill>
    <fill>
      <patternFill patternType="solid">
        <fgColor rgb="FFD6EAF8"/>
      </patternFill>
    </fill>
    <fill>
      <patternFill patternType="solid">
        <fgColor rgb="FFFFF3E0"/>
      </patternFill>
    </fill>
    <fill>
      <patternFill patternType="solid">
        <fgColor rgb="FF1B5E20"/>
      </patternFill>
    </fill>
    <fill>
      <patternFill patternType="solid">
        <fgColor rgb="FFFFF5F5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B71C1C"/>
      </patternFill>
    </fill>
    <fill>
      <patternFill patternType="solid">
        <fgColor rgb="FFFFEBEE"/>
      </patternFill>
    </fill>
    <fill>
      <patternFill patternType="solid">
        <fgColor rgb="FFFFD0D0"/>
      </patternFill>
    </fill>
    <fill>
      <patternFill patternType="solid">
        <fgColor rgb="FFE3F2FD"/>
      </patternFill>
    </fill>
    <fill>
      <patternFill patternType="solid">
        <fgColor rgb="FFEEF4FF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2E86C1"/>
      </left>
      <right style="thin">
        <color rgb="FF2E86C1"/>
      </right>
      <top style="thin">
        <color rgb="FF2E86C1"/>
      </top>
      <bottom style="thin">
        <color rgb="FF2E86C1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7" borderId="4" xfId="0" applyFill="1" applyBorder="1"/>
    <xf numFmtId="0" fontId="1" fillId="9" borderId="1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/>
    </xf>
    <xf numFmtId="0" fontId="9" fillId="14" borderId="4" xfId="0" applyFont="1" applyFill="1" applyBorder="1" applyAlignment="1">
      <alignment horizontal="center" vertical="center"/>
    </xf>
    <xf numFmtId="0" fontId="0" fillId="11" borderId="4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12" fillId="11" borderId="4" xfId="0" applyFont="1" applyFill="1" applyBorder="1" applyAlignment="1">
      <alignment horizontal="left" vertical="center" wrapText="1"/>
    </xf>
    <xf numFmtId="3" fontId="13" fillId="15" borderId="7" xfId="0" applyNumberFormat="1" applyFont="1" applyFill="1" applyBorder="1" applyAlignment="1">
      <alignment horizontal="right" vertical="center" wrapText="1"/>
    </xf>
    <xf numFmtId="0" fontId="0" fillId="11" borderId="4" xfId="0" applyFill="1" applyBorder="1" applyAlignment="1">
      <alignment horizontal="center" vertical="center"/>
    </xf>
    <xf numFmtId="3" fontId="14" fillId="14" borderId="8" xfId="0" applyNumberFormat="1" applyFont="1" applyFill="1" applyBorder="1" applyAlignment="1">
      <alignment horizontal="right" vertical="center" wrapText="1"/>
    </xf>
    <xf numFmtId="0" fontId="12" fillId="11" borderId="4" xfId="0" applyFont="1" applyFill="1" applyBorder="1" applyAlignment="1">
      <alignment horizontal="center" vertical="center" wrapText="1"/>
    </xf>
    <xf numFmtId="3" fontId="15" fillId="2" borderId="4" xfId="0" applyNumberFormat="1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 wrapText="1"/>
    </xf>
    <xf numFmtId="3" fontId="16" fillId="2" borderId="8" xfId="0" applyNumberFormat="1" applyFont="1" applyFill="1" applyBorder="1" applyAlignment="1">
      <alignment horizontal="right" vertical="center" wrapText="1"/>
    </xf>
    <xf numFmtId="3" fontId="18" fillId="13" borderId="4" xfId="0" applyNumberFormat="1" applyFont="1" applyFill="1" applyBorder="1" applyAlignment="1">
      <alignment horizontal="right" vertical="center"/>
    </xf>
    <xf numFmtId="3" fontId="19" fillId="14" borderId="8" xfId="0" applyNumberFormat="1" applyFont="1" applyFill="1" applyBorder="1" applyAlignment="1">
      <alignment horizontal="right" vertical="center"/>
    </xf>
    <xf numFmtId="0" fontId="21" fillId="16" borderId="4" xfId="0" applyFont="1" applyFill="1" applyBorder="1" applyAlignment="1">
      <alignment horizontal="center" vertical="center"/>
    </xf>
    <xf numFmtId="3" fontId="22" fillId="14" borderId="8" xfId="0" applyNumberFormat="1" applyFont="1" applyFill="1" applyBorder="1" applyAlignment="1">
      <alignment horizontal="right" vertical="center" wrapText="1"/>
    </xf>
    <xf numFmtId="3" fontId="9" fillId="13" borderId="4" xfId="0" applyNumberFormat="1" applyFont="1" applyFill="1" applyBorder="1" applyAlignment="1">
      <alignment horizontal="center" vertical="center"/>
    </xf>
    <xf numFmtId="3" fontId="24" fillId="14" borderId="4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left" vertical="top" wrapText="1"/>
    </xf>
    <xf numFmtId="0" fontId="26" fillId="18" borderId="4" xfId="0" applyFont="1" applyFill="1" applyBorder="1" applyAlignment="1">
      <alignment horizontal="left" vertical="top" wrapText="1"/>
    </xf>
    <xf numFmtId="0" fontId="25" fillId="11" borderId="4" xfId="0" applyFont="1" applyFill="1" applyBorder="1" applyAlignment="1">
      <alignment horizontal="center" vertical="center" wrapText="1"/>
    </xf>
    <xf numFmtId="0" fontId="0" fillId="12" borderId="4" xfId="0" applyFill="1" applyBorder="1"/>
    <xf numFmtId="0" fontId="0" fillId="13" borderId="4" xfId="0" applyFill="1" applyBorder="1"/>
    <xf numFmtId="0" fontId="7" fillId="12" borderId="4" xfId="0" applyFont="1" applyFill="1" applyBorder="1" applyAlignment="1">
      <alignment horizontal="left" vertical="top" wrapText="1"/>
    </xf>
    <xf numFmtId="0" fontId="7" fillId="13" borderId="4" xfId="0" applyFont="1" applyFill="1" applyBorder="1" applyAlignment="1">
      <alignment horizontal="left" vertical="top" wrapText="1"/>
    </xf>
    <xf numFmtId="0" fontId="1" fillId="9" borderId="1" xfId="0" applyFont="1" applyFill="1" applyBorder="1" applyAlignment="1">
      <alignment horizontal="center" vertical="center"/>
    </xf>
    <xf numFmtId="0" fontId="12" fillId="13" borderId="4" xfId="0" applyFont="1" applyFill="1" applyBorder="1" applyAlignment="1">
      <alignment horizontal="center" vertical="center" wrapText="1"/>
    </xf>
    <xf numFmtId="0" fontId="12" fillId="12" borderId="4" xfId="0" applyFont="1" applyFill="1" applyBorder="1" applyAlignment="1">
      <alignment horizontal="center" vertical="center" wrapText="1"/>
    </xf>
    <xf numFmtId="0" fontId="26" fillId="19" borderId="4" xfId="0" applyFont="1" applyFill="1" applyBorder="1" applyAlignment="1">
      <alignment horizontal="left" vertical="top" wrapText="1"/>
    </xf>
    <xf numFmtId="0" fontId="27" fillId="13" borderId="4" xfId="0" applyFont="1" applyFill="1" applyBorder="1" applyAlignment="1">
      <alignment horizontal="left" vertical="top" wrapText="1"/>
    </xf>
    <xf numFmtId="0" fontId="1" fillId="8" borderId="4" xfId="0" applyFont="1" applyFill="1" applyBorder="1" applyAlignment="1">
      <alignment horizontal="center" vertical="center" wrapText="1"/>
    </xf>
    <xf numFmtId="0" fontId="27" fillId="10" borderId="4" xfId="0" applyFont="1" applyFill="1" applyBorder="1" applyAlignment="1">
      <alignment horizontal="left" vertical="top" wrapText="1"/>
    </xf>
    <xf numFmtId="0" fontId="27" fillId="12" borderId="4" xfId="0" applyFont="1" applyFill="1" applyBorder="1" applyAlignment="1">
      <alignment horizontal="left" vertical="top" wrapText="1"/>
    </xf>
    <xf numFmtId="0" fontId="0" fillId="4" borderId="4" xfId="0" applyFill="1" applyBorder="1"/>
    <xf numFmtId="0" fontId="0" fillId="14" borderId="4" xfId="0" applyFill="1" applyBorder="1"/>
    <xf numFmtId="0" fontId="7" fillId="14" borderId="4" xfId="0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left" vertical="top" wrapText="1"/>
    </xf>
    <xf numFmtId="0" fontId="26" fillId="20" borderId="4" xfId="0" applyFont="1" applyFill="1" applyBorder="1" applyAlignment="1">
      <alignment horizontal="left" vertical="top" wrapText="1"/>
    </xf>
    <xf numFmtId="0" fontId="28" fillId="14" borderId="4" xfId="0" applyFont="1" applyFill="1" applyBorder="1" applyAlignment="1">
      <alignment horizontal="left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left" vertical="top" wrapText="1"/>
    </xf>
    <xf numFmtId="0" fontId="28" fillId="12" borderId="4" xfId="0" applyFont="1" applyFill="1" applyBorder="1" applyAlignment="1">
      <alignment horizontal="left" vertical="center" wrapText="1"/>
    </xf>
    <xf numFmtId="0" fontId="7" fillId="14" borderId="4" xfId="0" applyFont="1" applyFill="1" applyBorder="1" applyAlignment="1">
      <alignment horizontal="left" vertical="top" wrapText="1"/>
    </xf>
    <xf numFmtId="0" fontId="1" fillId="21" borderId="1" xfId="0" applyFont="1" applyFill="1" applyBorder="1" applyAlignment="1">
      <alignment horizontal="center" vertical="center"/>
    </xf>
    <xf numFmtId="0" fontId="0" fillId="22" borderId="4" xfId="0" applyFill="1" applyBorder="1"/>
    <xf numFmtId="0" fontId="29" fillId="22" borderId="4" xfId="0" applyFont="1" applyFill="1" applyBorder="1" applyAlignment="1">
      <alignment horizontal="center" vertical="center" wrapText="1"/>
    </xf>
    <xf numFmtId="0" fontId="4" fillId="22" borderId="4" xfId="0" applyFont="1" applyFill="1" applyBorder="1" applyAlignment="1">
      <alignment horizontal="left" vertical="top" wrapText="1"/>
    </xf>
    <xf numFmtId="0" fontId="26" fillId="23" borderId="4" xfId="0" applyFont="1" applyFill="1" applyBorder="1" applyAlignment="1">
      <alignment horizontal="left" vertical="top" wrapText="1"/>
    </xf>
    <xf numFmtId="0" fontId="30" fillId="22" borderId="4" xfId="0" applyFont="1" applyFill="1" applyBorder="1" applyAlignment="1">
      <alignment horizontal="center" vertical="center" wrapText="1"/>
    </xf>
    <xf numFmtId="0" fontId="0" fillId="24" borderId="4" xfId="0" applyFill="1" applyBorder="1"/>
    <xf numFmtId="0" fontId="29" fillId="24" borderId="4" xfId="0" applyFont="1" applyFill="1" applyBorder="1" applyAlignment="1">
      <alignment horizontal="center" vertical="center" wrapText="1"/>
    </xf>
    <xf numFmtId="0" fontId="29" fillId="24" borderId="4" xfId="0" applyFont="1" applyFill="1" applyBorder="1" applyAlignment="1">
      <alignment horizontal="left" vertical="top" wrapText="1"/>
    </xf>
    <xf numFmtId="0" fontId="26" fillId="25" borderId="4" xfId="0" applyFont="1" applyFill="1" applyBorder="1" applyAlignment="1">
      <alignment horizontal="left" vertical="top" wrapText="1"/>
    </xf>
    <xf numFmtId="0" fontId="30" fillId="24" borderId="4" xfId="0" applyFont="1" applyFill="1" applyBorder="1" applyAlignment="1">
      <alignment horizontal="center" vertical="center" wrapText="1"/>
    </xf>
    <xf numFmtId="0" fontId="6" fillId="14" borderId="4" xfId="0" applyFont="1" applyFill="1" applyBorder="1" applyAlignment="1">
      <alignment horizontal="left" vertical="center" wrapText="1"/>
    </xf>
    <xf numFmtId="0" fontId="0" fillId="0" borderId="6" xfId="0" applyBorder="1"/>
    <xf numFmtId="0" fontId="10" fillId="12" borderId="4" xfId="0" applyFont="1" applyFill="1" applyBorder="1" applyAlignment="1">
      <alignment horizontal="left" vertical="center" wrapText="1"/>
    </xf>
    <xf numFmtId="0" fontId="0" fillId="11" borderId="4" xfId="0" applyFill="1" applyBorder="1"/>
    <xf numFmtId="0" fontId="0" fillId="0" borderId="5" xfId="0" applyBorder="1"/>
    <xf numFmtId="0" fontId="10" fillId="13" borderId="4" xfId="0" applyFont="1" applyFill="1" applyBorder="1" applyAlignment="1">
      <alignment horizontal="left" vertical="center" wrapText="1"/>
    </xf>
    <xf numFmtId="0" fontId="7" fillId="12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center" wrapText="1"/>
    </xf>
    <xf numFmtId="0" fontId="9" fillId="14" borderId="4" xfId="0" applyFont="1" applyFill="1" applyBorder="1" applyAlignment="1">
      <alignment horizontal="left" vertical="center"/>
    </xf>
    <xf numFmtId="0" fontId="8" fillId="12" borderId="4" xfId="0" applyFont="1" applyFill="1" applyBorder="1" applyAlignment="1">
      <alignment horizontal="left" vertical="center" wrapText="1"/>
    </xf>
    <xf numFmtId="0" fontId="4" fillId="10" borderId="4" xfId="0" applyFont="1" applyFill="1" applyBorder="1" applyAlignment="1">
      <alignment horizontal="left" vertical="center" wrapText="1"/>
    </xf>
    <xf numFmtId="0" fontId="20" fillId="16" borderId="4" xfId="0" applyFont="1" applyFill="1" applyBorder="1" applyAlignment="1">
      <alignment horizontal="left" vertical="center" wrapText="1"/>
    </xf>
    <xf numFmtId="0" fontId="7" fillId="14" borderId="4" xfId="0" applyFont="1" applyFill="1" applyBorder="1" applyAlignment="1">
      <alignment horizontal="left" vertical="center"/>
    </xf>
    <xf numFmtId="0" fontId="10" fillId="16" borderId="4" xfId="0" applyFont="1" applyFill="1" applyBorder="1" applyAlignment="1">
      <alignment horizontal="left" vertical="center" wrapText="1"/>
    </xf>
    <xf numFmtId="0" fontId="8" fillId="16" borderId="4" xfId="0" applyFont="1" applyFill="1" applyBorder="1" applyAlignment="1">
      <alignment horizontal="left" vertical="center" wrapText="1"/>
    </xf>
    <xf numFmtId="0" fontId="4" fillId="12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left" vertical="center" wrapText="1"/>
    </xf>
    <xf numFmtId="0" fontId="8" fillId="13" borderId="4" xfId="0" applyFont="1" applyFill="1" applyBorder="1" applyAlignment="1">
      <alignment horizontal="left" vertical="center" wrapText="1"/>
    </xf>
    <xf numFmtId="0" fontId="11" fillId="13" borderId="4" xfId="0" applyFont="1" applyFill="1" applyBorder="1" applyAlignment="1">
      <alignment horizontal="left" vertical="center" wrapText="1"/>
    </xf>
    <xf numFmtId="0" fontId="11" fillId="12" borderId="4" xfId="0" applyFont="1" applyFill="1" applyBorder="1" applyAlignment="1">
      <alignment horizontal="left" vertical="center" wrapText="1"/>
    </xf>
    <xf numFmtId="0" fontId="17" fillId="10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2" borderId="4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 wrapText="1"/>
    </xf>
    <xf numFmtId="0" fontId="1" fillId="6" borderId="4" xfId="0" applyFont="1" applyFill="1" applyBorder="1" applyAlignment="1">
      <alignment horizontal="left" vertical="center" wrapText="1"/>
    </xf>
    <xf numFmtId="0" fontId="4" fillId="13" borderId="4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14" fillId="14" borderId="4" xfId="0" applyFont="1" applyFill="1" applyBorder="1" applyAlignment="1">
      <alignment horizontal="left" vertical="center" wrapText="1"/>
    </xf>
    <xf numFmtId="0" fontId="10" fillId="14" borderId="4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8" fillId="14" borderId="4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/>
    </xf>
    <xf numFmtId="0" fontId="12" fillId="13" borderId="4" xfId="0" applyFont="1" applyFill="1" applyBorder="1" applyAlignment="1">
      <alignment horizontal="left" vertical="center" wrapText="1"/>
    </xf>
    <xf numFmtId="0" fontId="23" fillId="14" borderId="4" xfId="0" applyFont="1" applyFill="1" applyBorder="1" applyAlignment="1">
      <alignment horizontal="left" vertical="center" wrapText="1"/>
    </xf>
    <xf numFmtId="0" fontId="26" fillId="18" borderId="4" xfId="0" applyFont="1" applyFill="1" applyBorder="1" applyAlignment="1">
      <alignment horizontal="left" vertical="top" wrapText="1"/>
    </xf>
    <xf numFmtId="0" fontId="7" fillId="12" borderId="4" xfId="0" applyFont="1" applyFill="1" applyBorder="1" applyAlignment="1">
      <alignment horizontal="left" vertical="top" wrapText="1"/>
    </xf>
    <xf numFmtId="0" fontId="3" fillId="17" borderId="1" xfId="0" applyFont="1" applyFill="1" applyBorder="1" applyAlignment="1">
      <alignment horizontal="left" vertical="center"/>
    </xf>
    <xf numFmtId="0" fontId="4" fillId="10" borderId="4" xfId="0" applyFont="1" applyFill="1" applyBorder="1" applyAlignment="1">
      <alignment horizontal="left" vertical="top" wrapText="1"/>
    </xf>
    <xf numFmtId="0" fontId="26" fillId="12" borderId="4" xfId="0" applyFont="1" applyFill="1" applyBorder="1" applyAlignment="1">
      <alignment horizontal="left" vertical="top" wrapText="1"/>
    </xf>
    <xf numFmtId="0" fontId="7" fillId="12" borderId="4" xfId="0" applyFont="1" applyFill="1" applyBorder="1" applyAlignment="1">
      <alignment horizontal="left" vertical="center"/>
    </xf>
    <xf numFmtId="0" fontId="25" fillId="13" borderId="4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/>
    </xf>
    <xf numFmtId="0" fontId="7" fillId="13" borderId="4" xfId="0" applyFont="1" applyFill="1" applyBorder="1" applyAlignment="1">
      <alignment horizontal="left" vertical="top" wrapText="1"/>
    </xf>
    <xf numFmtId="0" fontId="7" fillId="16" borderId="4" xfId="0" applyFont="1" applyFill="1" applyBorder="1" applyAlignment="1">
      <alignment horizontal="left" vertical="center"/>
    </xf>
    <xf numFmtId="0" fontId="26" fillId="13" borderId="4" xfId="0" applyFont="1" applyFill="1" applyBorder="1" applyAlignment="1">
      <alignment horizontal="left" vertical="top" wrapText="1"/>
    </xf>
    <xf numFmtId="0" fontId="7" fillId="13" borderId="4" xfId="0" applyFont="1" applyFill="1" applyBorder="1" applyAlignment="1">
      <alignment horizontal="left" vertical="center"/>
    </xf>
    <xf numFmtId="0" fontId="25" fillId="15" borderId="4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3" fillId="17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26" fillId="16" borderId="4" xfId="0" applyFont="1" applyFill="1" applyBorder="1" applyAlignment="1">
      <alignment horizontal="left" vertical="center" wrapText="1"/>
    </xf>
    <xf numFmtId="0" fontId="1" fillId="21" borderId="1" xfId="0" applyFont="1" applyFill="1" applyBorder="1" applyAlignment="1">
      <alignment horizontal="left" vertical="center"/>
    </xf>
    <xf numFmtId="0" fontId="1" fillId="17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FA34BAD-82E1-4B51-AF1B-972A46271DE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40d6742-7754-4c3a-8ea0-06d77c8ba84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workbookViewId="0">
      <selection sqref="A1:G1"/>
    </sheetView>
  </sheetViews>
  <sheetFormatPr defaultRowHeight="14.4" x14ac:dyDescent="0.55000000000000004"/>
  <cols>
    <col min="1" max="1" width="3" customWidth="1"/>
    <col min="2" max="2" width="30" customWidth="1"/>
    <col min="3" max="4" width="18" customWidth="1"/>
    <col min="5" max="6" width="14" customWidth="1"/>
    <col min="7" max="7" width="22" customWidth="1"/>
  </cols>
  <sheetData>
    <row r="1" spans="1:7" ht="44.05" customHeight="1" x14ac:dyDescent="0.55000000000000004">
      <c r="A1" s="80" t="s">
        <v>272</v>
      </c>
      <c r="B1" s="81"/>
      <c r="C1" s="81"/>
      <c r="D1" s="81"/>
      <c r="E1" s="81"/>
      <c r="F1" s="81"/>
      <c r="G1" s="82"/>
    </row>
    <row r="2" spans="1:7" ht="22" customHeight="1" x14ac:dyDescent="0.55000000000000004">
      <c r="A2" s="91" t="s">
        <v>0</v>
      </c>
      <c r="B2" s="81"/>
      <c r="C2" s="81"/>
      <c r="D2" s="81"/>
      <c r="E2" s="81"/>
      <c r="F2" s="81"/>
      <c r="G2" s="82"/>
    </row>
    <row r="3" spans="1:7" ht="48" customHeight="1" x14ac:dyDescent="0.55000000000000004">
      <c r="A3" s="84" t="s">
        <v>1</v>
      </c>
      <c r="B3" s="62"/>
      <c r="C3" s="62"/>
      <c r="D3" s="62"/>
      <c r="E3" s="62"/>
      <c r="F3" s="62"/>
      <c r="G3" s="59"/>
    </row>
    <row r="4" spans="1:7" ht="22" customHeight="1" x14ac:dyDescent="0.55000000000000004">
      <c r="A4" s="87" t="s">
        <v>2</v>
      </c>
      <c r="B4" s="62"/>
      <c r="C4" s="62"/>
      <c r="D4" s="62"/>
      <c r="E4" s="62"/>
      <c r="F4" s="62"/>
      <c r="G4" s="59"/>
    </row>
    <row r="5" spans="1:7" ht="22" customHeight="1" x14ac:dyDescent="0.55000000000000004">
      <c r="A5" s="85" t="s">
        <v>3</v>
      </c>
      <c r="B5" s="62"/>
      <c r="C5" s="62"/>
      <c r="D5" s="62"/>
      <c r="E5" s="62"/>
      <c r="F5" s="62"/>
      <c r="G5" s="59"/>
    </row>
    <row r="6" spans="1:7" ht="5.05" customHeight="1" x14ac:dyDescent="0.55000000000000004">
      <c r="A6" s="1"/>
      <c r="B6" s="1"/>
      <c r="C6" s="1"/>
      <c r="D6" s="1"/>
      <c r="E6" s="1"/>
      <c r="F6" s="1"/>
      <c r="G6" s="1"/>
    </row>
    <row r="7" spans="1:7" ht="24" customHeight="1" x14ac:dyDescent="0.55000000000000004">
      <c r="A7" s="93" t="s">
        <v>4</v>
      </c>
      <c r="B7" s="81"/>
      <c r="C7" s="81"/>
      <c r="D7" s="81"/>
      <c r="E7" s="81"/>
      <c r="F7" s="81"/>
      <c r="G7" s="82"/>
    </row>
    <row r="8" spans="1:7" ht="18" customHeight="1" x14ac:dyDescent="0.55000000000000004">
      <c r="A8" s="2"/>
      <c r="B8" s="2" t="s">
        <v>5</v>
      </c>
      <c r="C8" s="2"/>
      <c r="D8" s="2"/>
      <c r="E8" s="2" t="s">
        <v>6</v>
      </c>
      <c r="F8" s="2"/>
      <c r="G8" s="2" t="s">
        <v>7</v>
      </c>
    </row>
    <row r="9" spans="1:7" ht="28" customHeight="1" x14ac:dyDescent="0.55000000000000004">
      <c r="A9" s="68" t="s">
        <v>8</v>
      </c>
      <c r="B9" s="62"/>
      <c r="C9" s="62"/>
      <c r="D9" s="59"/>
      <c r="E9" s="3" t="s">
        <v>9</v>
      </c>
      <c r="F9" s="75" t="s">
        <v>10</v>
      </c>
      <c r="G9" s="59"/>
    </row>
    <row r="10" spans="1:7" ht="28" customHeight="1" x14ac:dyDescent="0.55000000000000004">
      <c r="A10" s="68" t="s">
        <v>11</v>
      </c>
      <c r="B10" s="62"/>
      <c r="C10" s="62"/>
      <c r="D10" s="59"/>
      <c r="E10" s="3" t="s">
        <v>9</v>
      </c>
      <c r="F10" s="75" t="s">
        <v>12</v>
      </c>
      <c r="G10" s="59"/>
    </row>
    <row r="11" spans="1:7" ht="28" customHeight="1" x14ac:dyDescent="0.55000000000000004">
      <c r="A11" s="68" t="s">
        <v>13</v>
      </c>
      <c r="B11" s="62"/>
      <c r="C11" s="62"/>
      <c r="D11" s="59"/>
      <c r="E11" s="3" t="s">
        <v>9</v>
      </c>
      <c r="F11" s="75" t="s">
        <v>14</v>
      </c>
      <c r="G11" s="59"/>
    </row>
    <row r="12" spans="1:7" ht="28" customHeight="1" x14ac:dyDescent="0.55000000000000004">
      <c r="A12" s="68" t="s">
        <v>15</v>
      </c>
      <c r="B12" s="62"/>
      <c r="C12" s="62"/>
      <c r="D12" s="59"/>
      <c r="E12" s="3" t="s">
        <v>9</v>
      </c>
      <c r="F12" s="75" t="s">
        <v>16</v>
      </c>
      <c r="G12" s="59"/>
    </row>
    <row r="13" spans="1:7" ht="28" customHeight="1" x14ac:dyDescent="0.55000000000000004">
      <c r="A13" s="64" t="s">
        <v>17</v>
      </c>
      <c r="B13" s="62"/>
      <c r="C13" s="62"/>
      <c r="D13" s="59"/>
      <c r="E13" s="3" t="s">
        <v>9</v>
      </c>
      <c r="F13" s="67" t="s">
        <v>18</v>
      </c>
      <c r="G13" s="59"/>
    </row>
    <row r="14" spans="1:7" ht="28" customHeight="1" x14ac:dyDescent="0.55000000000000004">
      <c r="A14" s="65" t="s">
        <v>19</v>
      </c>
      <c r="B14" s="62"/>
      <c r="C14" s="62"/>
      <c r="D14" s="59"/>
      <c r="E14" s="3" t="s">
        <v>9</v>
      </c>
      <c r="F14" s="76" t="s">
        <v>20</v>
      </c>
      <c r="G14" s="59"/>
    </row>
    <row r="15" spans="1:7" ht="28" customHeight="1" x14ac:dyDescent="0.55000000000000004">
      <c r="A15" s="64" t="s">
        <v>21</v>
      </c>
      <c r="B15" s="62"/>
      <c r="C15" s="62"/>
      <c r="D15" s="59"/>
      <c r="E15" s="3" t="s">
        <v>9</v>
      </c>
      <c r="F15" s="67" t="s">
        <v>22</v>
      </c>
      <c r="G15" s="59"/>
    </row>
    <row r="16" spans="1:7" ht="24" customHeight="1" x14ac:dyDescent="0.55000000000000004">
      <c r="A16" s="70" t="s">
        <v>23</v>
      </c>
      <c r="B16" s="62"/>
      <c r="C16" s="62"/>
      <c r="D16" s="59"/>
      <c r="E16" s="4" t="str">
        <f>IF(AND(E9="EVET",E10="EVET",E11="EVET",E12="EVET"),"OK - Hesaplanabilir","HATA - Ön koşul eksik")</f>
        <v>OK - Hesaplanabilir</v>
      </c>
      <c r="F16" s="58" t="s">
        <v>24</v>
      </c>
      <c r="G16" s="59"/>
    </row>
    <row r="17" spans="1:7" ht="5.05" customHeight="1" x14ac:dyDescent="0.55000000000000004">
      <c r="A17" s="1"/>
      <c r="B17" s="1"/>
      <c r="C17" s="1"/>
      <c r="D17" s="1"/>
      <c r="E17" s="1"/>
      <c r="F17" s="1"/>
      <c r="G17" s="1"/>
    </row>
    <row r="18" spans="1:7" ht="22" customHeight="1" x14ac:dyDescent="0.55000000000000004">
      <c r="A18" s="88" t="s">
        <v>25</v>
      </c>
      <c r="B18" s="81"/>
      <c r="C18" s="81"/>
      <c r="D18" s="81"/>
      <c r="E18" s="81"/>
      <c r="F18" s="81"/>
      <c r="G18" s="82"/>
    </row>
    <row r="19" spans="1:7" ht="22" customHeight="1" x14ac:dyDescent="0.55000000000000004">
      <c r="A19" s="64" t="s">
        <v>26</v>
      </c>
      <c r="B19" s="59"/>
      <c r="C19" s="61"/>
      <c r="D19" s="62"/>
      <c r="E19" s="59"/>
      <c r="F19" s="60" t="s">
        <v>27</v>
      </c>
      <c r="G19" s="59"/>
    </row>
    <row r="20" spans="1:7" ht="22" customHeight="1" x14ac:dyDescent="0.55000000000000004">
      <c r="A20" s="65" t="s">
        <v>28</v>
      </c>
      <c r="B20" s="59"/>
      <c r="C20" s="61"/>
      <c r="D20" s="62"/>
      <c r="E20" s="59"/>
      <c r="F20" s="63" t="s">
        <v>29</v>
      </c>
      <c r="G20" s="59"/>
    </row>
    <row r="21" spans="1:7" ht="22" customHeight="1" x14ac:dyDescent="0.55000000000000004">
      <c r="A21" s="64" t="s">
        <v>30</v>
      </c>
      <c r="B21" s="59"/>
      <c r="C21" s="61"/>
      <c r="D21" s="62"/>
      <c r="E21" s="59"/>
      <c r="F21" s="60" t="s">
        <v>31</v>
      </c>
      <c r="G21" s="59"/>
    </row>
    <row r="22" spans="1:7" ht="22" customHeight="1" x14ac:dyDescent="0.55000000000000004">
      <c r="A22" s="65" t="s">
        <v>32</v>
      </c>
      <c r="B22" s="59"/>
      <c r="C22" s="61"/>
      <c r="D22" s="62"/>
      <c r="E22" s="59"/>
      <c r="F22" s="63" t="s">
        <v>33</v>
      </c>
      <c r="G22" s="59"/>
    </row>
    <row r="23" spans="1:7" ht="22" customHeight="1" x14ac:dyDescent="0.55000000000000004">
      <c r="A23" s="64" t="s">
        <v>34</v>
      </c>
      <c r="B23" s="59"/>
      <c r="C23" s="61"/>
      <c r="D23" s="62"/>
      <c r="E23" s="59"/>
      <c r="F23" s="60" t="s">
        <v>35</v>
      </c>
      <c r="G23" s="59"/>
    </row>
    <row r="24" spans="1:7" ht="22" customHeight="1" x14ac:dyDescent="0.55000000000000004">
      <c r="A24" s="65" t="s">
        <v>36</v>
      </c>
      <c r="B24" s="59"/>
      <c r="C24" s="61"/>
      <c r="D24" s="62"/>
      <c r="E24" s="59"/>
      <c r="F24" s="63" t="s">
        <v>37</v>
      </c>
      <c r="G24" s="59"/>
    </row>
    <row r="25" spans="1:7" ht="22" customHeight="1" x14ac:dyDescent="0.55000000000000004">
      <c r="A25" s="64" t="s">
        <v>38</v>
      </c>
      <c r="B25" s="59"/>
      <c r="C25" s="61"/>
      <c r="D25" s="62"/>
      <c r="E25" s="59"/>
      <c r="F25" s="60" t="s">
        <v>39</v>
      </c>
      <c r="G25" s="59"/>
    </row>
    <row r="26" spans="1:7" ht="22" customHeight="1" x14ac:dyDescent="0.55000000000000004">
      <c r="A26" s="65" t="s">
        <v>40</v>
      </c>
      <c r="B26" s="59"/>
      <c r="C26" s="61"/>
      <c r="D26" s="62"/>
      <c r="E26" s="59"/>
      <c r="F26" s="63" t="s">
        <v>41</v>
      </c>
      <c r="G26" s="59"/>
    </row>
    <row r="28" spans="1:7" ht="5.05" customHeight="1" x14ac:dyDescent="0.55000000000000004">
      <c r="A28" s="1"/>
      <c r="B28" s="1"/>
      <c r="C28" s="1"/>
      <c r="D28" s="1"/>
      <c r="E28" s="1"/>
      <c r="F28" s="1"/>
      <c r="G28" s="1"/>
    </row>
    <row r="29" spans="1:7" ht="24" customHeight="1" x14ac:dyDescent="0.55000000000000004">
      <c r="A29" s="88" t="s">
        <v>42</v>
      </c>
      <c r="B29" s="81"/>
      <c r="C29" s="81"/>
      <c r="D29" s="81"/>
      <c r="E29" s="81"/>
      <c r="F29" s="81"/>
      <c r="G29" s="82"/>
    </row>
    <row r="30" spans="1:7" ht="18" customHeight="1" x14ac:dyDescent="0.55000000000000004">
      <c r="A30" s="2"/>
      <c r="B30" s="2" t="s">
        <v>43</v>
      </c>
      <c r="C30" s="2"/>
      <c r="D30" s="2" t="s">
        <v>44</v>
      </c>
      <c r="E30" s="2"/>
      <c r="F30" s="2" t="s">
        <v>45</v>
      </c>
      <c r="G30" s="2" t="s">
        <v>46</v>
      </c>
    </row>
    <row r="31" spans="1:7" ht="26.05" customHeight="1" x14ac:dyDescent="0.55000000000000004">
      <c r="A31" s="64" t="s">
        <v>47</v>
      </c>
      <c r="B31" s="59"/>
      <c r="C31" s="3" t="s">
        <v>48</v>
      </c>
      <c r="D31" s="60" t="s">
        <v>49</v>
      </c>
      <c r="E31" s="59"/>
      <c r="F31" s="78" t="s">
        <v>50</v>
      </c>
      <c r="G31" s="59"/>
    </row>
    <row r="32" spans="1:7" ht="26.05" customHeight="1" x14ac:dyDescent="0.55000000000000004">
      <c r="A32" s="65" t="s">
        <v>51</v>
      </c>
      <c r="B32" s="59"/>
      <c r="C32" s="5"/>
      <c r="D32" s="63" t="s">
        <v>52</v>
      </c>
      <c r="E32" s="59"/>
      <c r="F32" s="77" t="s">
        <v>53</v>
      </c>
      <c r="G32" s="59"/>
    </row>
    <row r="33" spans="1:7" ht="26.05" customHeight="1" x14ac:dyDescent="0.55000000000000004">
      <c r="A33" s="64" t="s">
        <v>54</v>
      </c>
      <c r="B33" s="59"/>
      <c r="C33" s="5"/>
      <c r="D33" s="60" t="s">
        <v>55</v>
      </c>
      <c r="E33" s="59"/>
      <c r="F33" s="78" t="s">
        <v>56</v>
      </c>
      <c r="G33" s="59"/>
    </row>
    <row r="34" spans="1:7" ht="26.05" customHeight="1" x14ac:dyDescent="0.55000000000000004">
      <c r="A34" s="86" t="s">
        <v>57</v>
      </c>
      <c r="B34" s="59"/>
      <c r="C34" s="5"/>
      <c r="D34" s="63" t="s">
        <v>58</v>
      </c>
      <c r="E34" s="59"/>
      <c r="F34" s="77" t="s">
        <v>59</v>
      </c>
      <c r="G34" s="59"/>
    </row>
    <row r="35" spans="1:7" ht="26.05" customHeight="1" x14ac:dyDescent="0.55000000000000004">
      <c r="A35" s="73" t="s">
        <v>60</v>
      </c>
      <c r="B35" s="59"/>
      <c r="C35" s="5"/>
      <c r="D35" s="60" t="s">
        <v>61</v>
      </c>
      <c r="E35" s="59"/>
      <c r="F35" s="78" t="s">
        <v>62</v>
      </c>
      <c r="G35" s="59"/>
    </row>
    <row r="36" spans="1:7" ht="26.05" customHeight="1" x14ac:dyDescent="0.55000000000000004">
      <c r="A36" s="65" t="s">
        <v>63</v>
      </c>
      <c r="B36" s="59"/>
      <c r="C36" s="3" t="s">
        <v>64</v>
      </c>
      <c r="D36" s="63" t="s">
        <v>65</v>
      </c>
      <c r="E36" s="59"/>
      <c r="F36" s="77" t="s">
        <v>66</v>
      </c>
      <c r="G36" s="59"/>
    </row>
    <row r="37" spans="1:7" ht="26.05" customHeight="1" x14ac:dyDescent="0.55000000000000004">
      <c r="A37" s="73" t="s">
        <v>67</v>
      </c>
      <c r="B37" s="59"/>
      <c r="C37" s="3" t="s">
        <v>9</v>
      </c>
      <c r="D37" s="60" t="s">
        <v>68</v>
      </c>
      <c r="E37" s="59"/>
      <c r="F37" s="78" t="s">
        <v>69</v>
      </c>
      <c r="G37" s="59"/>
    </row>
    <row r="38" spans="1:7" ht="26.05" customHeight="1" x14ac:dyDescent="0.55000000000000004">
      <c r="A38" s="65" t="s">
        <v>70</v>
      </c>
      <c r="B38" s="59"/>
      <c r="C38" s="3" t="s">
        <v>9</v>
      </c>
      <c r="D38" s="63" t="s">
        <v>71</v>
      </c>
      <c r="E38" s="59"/>
      <c r="F38" s="77" t="s">
        <v>72</v>
      </c>
      <c r="G38" s="59"/>
    </row>
    <row r="39" spans="1:7" ht="5.05" customHeight="1" x14ac:dyDescent="0.55000000000000004">
      <c r="A39" s="1"/>
      <c r="B39" s="1"/>
      <c r="C39" s="1"/>
      <c r="D39" s="1"/>
      <c r="E39" s="1"/>
      <c r="F39" s="1"/>
      <c r="G39" s="1"/>
    </row>
    <row r="40" spans="1:7" ht="24" customHeight="1" x14ac:dyDescent="0.55000000000000004">
      <c r="A40" s="88" t="s">
        <v>73</v>
      </c>
      <c r="B40" s="81"/>
      <c r="C40" s="81"/>
      <c r="D40" s="81"/>
      <c r="E40" s="81"/>
      <c r="F40" s="81"/>
      <c r="G40" s="82"/>
    </row>
    <row r="41" spans="1:7" ht="22" customHeight="1" x14ac:dyDescent="0.55000000000000004">
      <c r="A41" s="94" t="s">
        <v>74</v>
      </c>
      <c r="B41" s="62"/>
      <c r="C41" s="62"/>
      <c r="D41" s="62"/>
      <c r="E41" s="62"/>
      <c r="F41" s="62"/>
      <c r="G41" s="59"/>
    </row>
    <row r="42" spans="1:7" ht="18" customHeight="1" x14ac:dyDescent="0.55000000000000004">
      <c r="A42" s="6" t="s">
        <v>75</v>
      </c>
      <c r="B42" s="6" t="s">
        <v>76</v>
      </c>
      <c r="C42" s="6" t="s">
        <v>77</v>
      </c>
      <c r="D42" s="6" t="s">
        <v>78</v>
      </c>
      <c r="E42" s="6" t="s">
        <v>79</v>
      </c>
      <c r="F42" s="6" t="s">
        <v>80</v>
      </c>
      <c r="G42" s="6" t="s">
        <v>81</v>
      </c>
    </row>
    <row r="43" spans="1:7" ht="26.05" customHeight="1" x14ac:dyDescent="0.55000000000000004">
      <c r="A43" s="5"/>
      <c r="B43" s="7"/>
      <c r="C43" s="8"/>
      <c r="D43" s="9" t="s">
        <v>82</v>
      </c>
      <c r="E43" s="10">
        <f>IF(AND(C43&gt;0,D43="EVET ✓"),C43,0)</f>
        <v>0</v>
      </c>
      <c r="F43" s="11"/>
      <c r="G43" s="11"/>
    </row>
    <row r="44" spans="1:7" ht="26.05" customHeight="1" x14ac:dyDescent="0.55000000000000004">
      <c r="A44" s="5"/>
      <c r="B44" s="7"/>
      <c r="C44" s="8"/>
      <c r="D44" s="9" t="s">
        <v>82</v>
      </c>
      <c r="E44" s="10">
        <f>IF(AND(C44&gt;0,D44="EVET ✓"),C44,0)</f>
        <v>0</v>
      </c>
      <c r="F44" s="11"/>
      <c r="G44" s="11"/>
    </row>
    <row r="45" spans="1:7" ht="26.05" customHeight="1" x14ac:dyDescent="0.55000000000000004">
      <c r="A45" s="5"/>
      <c r="B45" s="7"/>
      <c r="C45" s="8"/>
      <c r="D45" s="9" t="s">
        <v>82</v>
      </c>
      <c r="E45" s="10">
        <f>IF(AND(C45&gt;0,D45="EVET ✓"),C45,0)</f>
        <v>0</v>
      </c>
      <c r="F45" s="11"/>
      <c r="G45" s="11"/>
    </row>
    <row r="46" spans="1:7" ht="26.05" customHeight="1" x14ac:dyDescent="0.55000000000000004">
      <c r="A46" s="5"/>
      <c r="B46" s="7"/>
      <c r="C46" s="8"/>
      <c r="D46" s="9" t="s">
        <v>82</v>
      </c>
      <c r="E46" s="10">
        <f>IF(AND(C46&gt;0,D46="EVET ✓"),C46,0)</f>
        <v>0</v>
      </c>
      <c r="F46" s="11"/>
      <c r="G46" s="11"/>
    </row>
    <row r="47" spans="1:7" ht="26.05" customHeight="1" x14ac:dyDescent="0.55000000000000004">
      <c r="A47" s="5"/>
      <c r="B47" s="7"/>
      <c r="C47" s="8"/>
      <c r="D47" s="9" t="s">
        <v>82</v>
      </c>
      <c r="E47" s="10">
        <f>IF(AND(C47&gt;0,D47="EVET ✓"),C47,0)</f>
        <v>0</v>
      </c>
      <c r="F47" s="11"/>
      <c r="G47" s="11"/>
    </row>
    <row r="48" spans="1:7" ht="30" customHeight="1" x14ac:dyDescent="0.55000000000000004">
      <c r="A48" s="74" t="s">
        <v>83</v>
      </c>
      <c r="B48" s="59"/>
      <c r="C48" s="12">
        <f>SUM(C43:C47)</f>
        <v>0</v>
      </c>
      <c r="D48" s="13" t="s">
        <v>84</v>
      </c>
      <c r="E48" s="14">
        <f>SUM(E43:E47)</f>
        <v>0</v>
      </c>
      <c r="F48" s="83" t="s">
        <v>85</v>
      </c>
      <c r="G48" s="59"/>
    </row>
    <row r="49" spans="1:7" ht="24" customHeight="1" x14ac:dyDescent="0.55000000000000004">
      <c r="A49" s="79" t="s">
        <v>86</v>
      </c>
      <c r="B49" s="62"/>
      <c r="C49" s="62"/>
      <c r="D49" s="62"/>
      <c r="E49" s="62"/>
      <c r="F49" s="62"/>
      <c r="G49" s="59"/>
    </row>
    <row r="50" spans="1:7" ht="5.05" customHeight="1" x14ac:dyDescent="0.55000000000000004">
      <c r="A50" s="1"/>
      <c r="B50" s="1"/>
      <c r="C50" s="1"/>
      <c r="D50" s="1"/>
      <c r="E50" s="1"/>
      <c r="F50" s="1"/>
      <c r="G50" s="1"/>
    </row>
    <row r="51" spans="1:7" ht="24" customHeight="1" x14ac:dyDescent="0.55000000000000004">
      <c r="A51" s="88" t="s">
        <v>87</v>
      </c>
      <c r="B51" s="81"/>
      <c r="C51" s="81"/>
      <c r="D51" s="81"/>
      <c r="E51" s="81"/>
      <c r="F51" s="81"/>
      <c r="G51" s="82"/>
    </row>
    <row r="52" spans="1:7" ht="18" customHeight="1" x14ac:dyDescent="0.55000000000000004">
      <c r="A52" s="2"/>
      <c r="B52" s="2" t="s">
        <v>88</v>
      </c>
      <c r="C52" s="2"/>
      <c r="D52" s="2" t="s">
        <v>89</v>
      </c>
      <c r="E52" s="2"/>
      <c r="F52" s="2" t="s">
        <v>45</v>
      </c>
      <c r="G52" s="2" t="s">
        <v>90</v>
      </c>
    </row>
    <row r="53" spans="1:7" ht="28" customHeight="1" x14ac:dyDescent="0.55000000000000004">
      <c r="A53" s="64" t="s">
        <v>91</v>
      </c>
      <c r="B53" s="59"/>
      <c r="C53" s="15">
        <f>C48</f>
        <v>0</v>
      </c>
      <c r="D53" s="60" t="s">
        <v>92</v>
      </c>
      <c r="E53" s="59"/>
      <c r="F53" s="67"/>
      <c r="G53" s="59"/>
    </row>
    <row r="54" spans="1:7" ht="28" customHeight="1" x14ac:dyDescent="0.55000000000000004">
      <c r="A54" s="65" t="s">
        <v>93</v>
      </c>
      <c r="B54" s="59"/>
      <c r="C54" s="15">
        <f>C48-E48</f>
        <v>0</v>
      </c>
      <c r="D54" s="63" t="s">
        <v>94</v>
      </c>
      <c r="E54" s="59"/>
      <c r="F54" s="76"/>
      <c r="G54" s="59"/>
    </row>
    <row r="55" spans="1:7" ht="28" customHeight="1" x14ac:dyDescent="0.55000000000000004">
      <c r="A55" s="89" t="s">
        <v>95</v>
      </c>
      <c r="B55" s="59"/>
      <c r="C55" s="16">
        <f>E48</f>
        <v>0</v>
      </c>
      <c r="D55" s="90" t="s">
        <v>96</v>
      </c>
      <c r="E55" s="59"/>
      <c r="F55" s="92" t="s">
        <v>97</v>
      </c>
      <c r="G55" s="59"/>
    </row>
    <row r="56" spans="1:7" ht="28" customHeight="1" x14ac:dyDescent="0.55000000000000004">
      <c r="A56" s="69" t="s">
        <v>98</v>
      </c>
      <c r="B56" s="59"/>
      <c r="C56" s="17" t="s">
        <v>99</v>
      </c>
      <c r="D56" s="71" t="s">
        <v>100</v>
      </c>
      <c r="E56" s="59"/>
      <c r="F56" s="72" t="s">
        <v>101</v>
      </c>
      <c r="G56" s="59"/>
    </row>
    <row r="57" spans="1:7" ht="5.05" customHeight="1" x14ac:dyDescent="0.55000000000000004">
      <c r="A57" s="1"/>
      <c r="B57" s="1"/>
      <c r="C57" s="1"/>
      <c r="D57" s="1"/>
      <c r="E57" s="1"/>
      <c r="F57" s="1"/>
      <c r="G57" s="1"/>
    </row>
    <row r="58" spans="1:7" ht="32.049999999999997" customHeight="1" x14ac:dyDescent="0.55000000000000004">
      <c r="A58" s="66" t="s">
        <v>102</v>
      </c>
      <c r="B58" s="62"/>
      <c r="C58" s="62"/>
      <c r="D58" s="59"/>
      <c r="E58" s="18" t="str">
        <f>D55</f>
        <v>→ Beyanname 457 | Kazancın Bulunması Halinde</v>
      </c>
      <c r="F58" s="95" t="s">
        <v>103</v>
      </c>
      <c r="G58" s="59"/>
    </row>
    <row r="59" spans="1:7" ht="36" customHeight="1" x14ac:dyDescent="0.55000000000000004">
      <c r="A59" s="68" t="s">
        <v>104</v>
      </c>
      <c r="B59" s="62"/>
      <c r="C59" s="62"/>
      <c r="D59" s="62"/>
      <c r="E59" s="62"/>
      <c r="F59" s="62"/>
      <c r="G59" s="59"/>
    </row>
  </sheetData>
  <mergeCells count="93">
    <mergeCell ref="A7:G7"/>
    <mergeCell ref="A41:G41"/>
    <mergeCell ref="F58:G58"/>
    <mergeCell ref="A20:B20"/>
    <mergeCell ref="F37:G37"/>
    <mergeCell ref="A31:B31"/>
    <mergeCell ref="F53:G53"/>
    <mergeCell ref="A2:G2"/>
    <mergeCell ref="F14:G14"/>
    <mergeCell ref="D54:E54"/>
    <mergeCell ref="A14:D14"/>
    <mergeCell ref="F11:G11"/>
    <mergeCell ref="A24:B24"/>
    <mergeCell ref="A29:G29"/>
    <mergeCell ref="F12:G12"/>
    <mergeCell ref="F24:G24"/>
    <mergeCell ref="A25:B25"/>
    <mergeCell ref="D32:E32"/>
    <mergeCell ref="F32:G32"/>
    <mergeCell ref="F26:G26"/>
    <mergeCell ref="A51:G51"/>
    <mergeCell ref="F35:G35"/>
    <mergeCell ref="C19:E19"/>
    <mergeCell ref="A1:G1"/>
    <mergeCell ref="D37:E37"/>
    <mergeCell ref="F31:G31"/>
    <mergeCell ref="F9:G9"/>
    <mergeCell ref="C24:E24"/>
    <mergeCell ref="A3:G3"/>
    <mergeCell ref="C26:E26"/>
    <mergeCell ref="A5:G5"/>
    <mergeCell ref="A34:B34"/>
    <mergeCell ref="A4:G4"/>
    <mergeCell ref="A36:B36"/>
    <mergeCell ref="A10:D10"/>
    <mergeCell ref="F21:G21"/>
    <mergeCell ref="F36:G36"/>
    <mergeCell ref="A21:B21"/>
    <mergeCell ref="A32:B32"/>
    <mergeCell ref="A9:D9"/>
    <mergeCell ref="F20:G20"/>
    <mergeCell ref="F33:G33"/>
    <mergeCell ref="A37:B37"/>
    <mergeCell ref="A11:D11"/>
    <mergeCell ref="A26:B26"/>
    <mergeCell ref="F22:G22"/>
    <mergeCell ref="A23:B23"/>
    <mergeCell ref="A18:G18"/>
    <mergeCell ref="A12:D12"/>
    <mergeCell ref="F10:G10"/>
    <mergeCell ref="F54:G54"/>
    <mergeCell ref="D34:E34"/>
    <mergeCell ref="F19:G19"/>
    <mergeCell ref="C22:E22"/>
    <mergeCell ref="F34:G34"/>
    <mergeCell ref="A49:G49"/>
    <mergeCell ref="D53:E53"/>
    <mergeCell ref="F48:G48"/>
    <mergeCell ref="D38:E38"/>
    <mergeCell ref="A40:G40"/>
    <mergeCell ref="A38:B38"/>
    <mergeCell ref="F38:G38"/>
    <mergeCell ref="A59:G59"/>
    <mergeCell ref="A56:B56"/>
    <mergeCell ref="A33:B33"/>
    <mergeCell ref="F23:G23"/>
    <mergeCell ref="A16:D16"/>
    <mergeCell ref="D56:E56"/>
    <mergeCell ref="F56:G56"/>
    <mergeCell ref="A22:B22"/>
    <mergeCell ref="A53:B53"/>
    <mergeCell ref="A35:B35"/>
    <mergeCell ref="D33:E33"/>
    <mergeCell ref="A19:B19"/>
    <mergeCell ref="C20:E20"/>
    <mergeCell ref="C25:E25"/>
    <mergeCell ref="D35:E35"/>
    <mergeCell ref="A48:B48"/>
    <mergeCell ref="A13:D13"/>
    <mergeCell ref="A54:B54"/>
    <mergeCell ref="A58:D58"/>
    <mergeCell ref="F15:G15"/>
    <mergeCell ref="C23:E23"/>
    <mergeCell ref="A15:D15"/>
    <mergeCell ref="F13:G13"/>
    <mergeCell ref="A55:B55"/>
    <mergeCell ref="D55:E55"/>
    <mergeCell ref="F55:G55"/>
    <mergeCell ref="F16:G16"/>
    <mergeCell ref="F25:G25"/>
    <mergeCell ref="C21:E21"/>
    <mergeCell ref="D31:E31"/>
    <mergeCell ref="D36:E36"/>
  </mergeCells>
  <conditionalFormatting sqref="E16">
    <cfRule type="containsText" dxfId="3" priority="1" operator="containsText" text="OK">
      <formula>NOT(ISERROR(SEARCH("OK",E16)))</formula>
    </cfRule>
    <cfRule type="containsText" dxfId="2" priority="2" operator="containsText" text="HATA">
      <formula>NOT(ISERROR(SEARCH("HATA",E16)))</formula>
    </cfRule>
  </conditionalFormatting>
  <dataValidations count="11">
    <dataValidation type="list" sqref="E9" xr:uid="{00000000-0002-0000-0000-000000000000}">
      <formula1>"EVET,HAYIR-Teknokent Dışı Faaliyet"</formula1>
    </dataValidation>
    <dataValidation type="list" sqref="E10" xr:uid="{00000000-0002-0000-0000-000001000000}">
      <formula1>"EVET,HAYIR-Farklı Kanun/Kaynak"</formula1>
    </dataValidation>
    <dataValidation type="list" sqref="E11" xr:uid="{00000000-0002-0000-0000-000002000000}">
      <formula1>"EVET,HAYIR-Taahhüt Aşamasında,KISMEN"</formula1>
    </dataValidation>
    <dataValidation type="list" sqref="E12" xr:uid="{00000000-0002-0000-0000-000003000000}">
      <formula1>"EVET,HAYIR-Gelir Kaydedilmedi"</formula1>
    </dataValidation>
    <dataValidation type="list" sqref="E13 C38" xr:uid="{00000000-0002-0000-0000-000004000000}">
      <formula1>"EVET,HAYIR-Belge Eksik"</formula1>
    </dataValidation>
    <dataValidation type="list" sqref="E14" xr:uid="{00000000-0002-0000-0000-000005000000}">
      <formula1>"EVET,HAYIR-Eksik"</formula1>
    </dataValidation>
    <dataValidation type="list" sqref="E15" xr:uid="{00000000-0002-0000-0000-000006000000}">
      <formula1>"EVET,Tam Tasdik"</formula1>
    </dataValidation>
    <dataValidation type="list" sqref="C31 A43:A47" xr:uid="{00000000-0002-0000-0000-000007000000}">
      <formula1>"Teknokent Girişimci Sermaye Desteği (4691 Geç.Md.4),Teknokent Kuluçka Desteği,Teknokent Ar-Ge Proje Desteği,TGB Yönetici Şirketi Aracılığıyla Destek,Diğer 4691 Geç.Md.4 Desteği"</formula1>
    </dataValidation>
    <dataValidation type="list" sqref="C36" xr:uid="{00000000-0002-0000-0000-000008000000}">
      <formula1>"STB Direkt,TGB Yönetici Şirketi Aracılığıyla,Karma"</formula1>
    </dataValidation>
    <dataValidation type="list" sqref="C37" xr:uid="{00000000-0002-0000-0000-000009000000}">
      <formula1>"EVET,HAYIR-Eksik Kayıt"</formula1>
    </dataValidation>
    <dataValidation type="list" sqref="D43:D47" xr:uid="{00000000-0002-0000-0000-00000C000000}">
      <formula1>"EVET ✓,HAYIR ✗ — Kayıt Eksik"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workbookViewId="0"/>
  </sheetViews>
  <sheetFormatPr defaultRowHeight="14.4" x14ac:dyDescent="0.55000000000000004"/>
  <cols>
    <col min="1" max="1" width="4" customWidth="1"/>
    <col min="2" max="2" width="42" customWidth="1"/>
    <col min="3" max="4" width="15" customWidth="1"/>
    <col min="5" max="5" width="14" customWidth="1"/>
    <col min="6" max="6" width="12" customWidth="1"/>
    <col min="7" max="7" width="18" customWidth="1"/>
  </cols>
  <sheetData>
    <row r="1" spans="1:7" ht="36" customHeight="1" x14ac:dyDescent="0.55000000000000004">
      <c r="A1" s="103" t="s">
        <v>105</v>
      </c>
      <c r="B1" s="81"/>
      <c r="C1" s="81"/>
      <c r="D1" s="81"/>
      <c r="E1" s="81"/>
      <c r="F1" s="81"/>
      <c r="G1" s="82"/>
    </row>
    <row r="2" spans="1:7" ht="20.05" customHeight="1" x14ac:dyDescent="0.55000000000000004">
      <c r="A2" s="109" t="s">
        <v>106</v>
      </c>
      <c r="B2" s="62"/>
      <c r="C2" s="62"/>
      <c r="D2" s="62"/>
      <c r="E2" s="62"/>
      <c r="F2" s="62"/>
      <c r="G2" s="59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98" t="s">
        <v>107</v>
      </c>
      <c r="B4" s="81"/>
      <c r="C4" s="81"/>
      <c r="D4" s="81"/>
      <c r="E4" s="81"/>
      <c r="F4" s="81"/>
      <c r="G4" s="82"/>
    </row>
    <row r="5" spans="1:7" ht="22" customHeight="1" x14ac:dyDescent="0.55000000000000004">
      <c r="A5" s="101" t="s">
        <v>108</v>
      </c>
      <c r="B5" s="62"/>
      <c r="C5" s="59"/>
      <c r="D5" s="19" t="str">
        <f>'VERİ GİRİŞİ'!E16</f>
        <v>OK - Hesaplanabilir</v>
      </c>
      <c r="E5" s="67" t="s">
        <v>109</v>
      </c>
      <c r="F5" s="62"/>
      <c r="G5" s="59"/>
    </row>
    <row r="6" spans="1:7" ht="22" customHeight="1" x14ac:dyDescent="0.55000000000000004">
      <c r="A6" s="107" t="s">
        <v>110</v>
      </c>
      <c r="B6" s="62"/>
      <c r="C6" s="59"/>
      <c r="D6" s="19" t="str">
        <f>'VERİ GİRİŞİ'!E9</f>
        <v>EVET</v>
      </c>
      <c r="E6" s="76" t="s">
        <v>111</v>
      </c>
      <c r="F6" s="62"/>
      <c r="G6" s="59"/>
    </row>
    <row r="7" spans="1:7" ht="22" customHeight="1" x14ac:dyDescent="0.55000000000000004">
      <c r="A7" s="101" t="s">
        <v>112</v>
      </c>
      <c r="B7" s="62"/>
      <c r="C7" s="59"/>
      <c r="D7" s="19">
        <f>'VERİ GİRİŞİ'!C53</f>
        <v>0</v>
      </c>
      <c r="E7" s="67" t="s">
        <v>113</v>
      </c>
      <c r="F7" s="62"/>
      <c r="G7" s="59"/>
    </row>
    <row r="8" spans="1:7" ht="22" customHeight="1" x14ac:dyDescent="0.55000000000000004">
      <c r="A8" s="70" t="s">
        <v>114</v>
      </c>
      <c r="B8" s="62"/>
      <c r="C8" s="59"/>
      <c r="D8" s="20">
        <f>'VERİ GİRİŞİ'!C55</f>
        <v>0</v>
      </c>
      <c r="E8" s="92"/>
      <c r="F8" s="62"/>
      <c r="G8" s="59"/>
    </row>
    <row r="9" spans="1:7" ht="22" customHeight="1" x14ac:dyDescent="0.55000000000000004">
      <c r="A9" s="105" t="s">
        <v>115</v>
      </c>
      <c r="B9" s="62"/>
      <c r="C9" s="59"/>
      <c r="D9" s="17" t="s">
        <v>116</v>
      </c>
      <c r="E9" s="72" t="s">
        <v>117</v>
      </c>
      <c r="F9" s="62"/>
      <c r="G9" s="59"/>
    </row>
    <row r="10" spans="1:7" ht="5.05" customHeight="1" x14ac:dyDescent="0.55000000000000004">
      <c r="A10" s="1"/>
      <c r="B10" s="1"/>
      <c r="C10" s="1"/>
      <c r="D10" s="1"/>
      <c r="E10" s="1"/>
      <c r="F10" s="1"/>
      <c r="G10" s="1"/>
    </row>
    <row r="11" spans="1:7" ht="22" customHeight="1" x14ac:dyDescent="0.55000000000000004">
      <c r="A11" s="88" t="s">
        <v>118</v>
      </c>
      <c r="B11" s="81"/>
      <c r="C11" s="81"/>
      <c r="D11" s="81"/>
      <c r="E11" s="81"/>
      <c r="F11" s="81"/>
      <c r="G11" s="82"/>
    </row>
    <row r="12" spans="1:7" ht="68.05" customHeight="1" x14ac:dyDescent="0.55000000000000004">
      <c r="A12" s="108" t="s">
        <v>119</v>
      </c>
      <c r="B12" s="62"/>
      <c r="C12" s="62"/>
      <c r="D12" s="62"/>
      <c r="E12" s="62"/>
      <c r="F12" s="62"/>
      <c r="G12" s="59"/>
    </row>
    <row r="13" spans="1:7" ht="5.05" customHeight="1" x14ac:dyDescent="0.55000000000000004">
      <c r="A13" s="1"/>
      <c r="B13" s="1"/>
      <c r="C13" s="1"/>
      <c r="D13" s="1"/>
      <c r="E13" s="1"/>
      <c r="F13" s="1"/>
      <c r="G13" s="1"/>
    </row>
    <row r="14" spans="1:7" ht="22" customHeight="1" x14ac:dyDescent="0.55000000000000004">
      <c r="A14" s="88" t="s">
        <v>120</v>
      </c>
      <c r="B14" s="81"/>
      <c r="C14" s="81"/>
      <c r="D14" s="81"/>
      <c r="E14" s="81"/>
      <c r="F14" s="81"/>
      <c r="G14" s="82"/>
    </row>
    <row r="15" spans="1:7" ht="64" customHeight="1" x14ac:dyDescent="0.55000000000000004">
      <c r="A15" s="102" t="s">
        <v>121</v>
      </c>
      <c r="B15" s="62"/>
      <c r="C15" s="62"/>
      <c r="D15" s="62"/>
      <c r="E15" s="62"/>
      <c r="F15" s="62"/>
      <c r="G15" s="59"/>
    </row>
    <row r="16" spans="1:7" ht="5.05" customHeight="1" x14ac:dyDescent="0.55000000000000004">
      <c r="A16" s="1"/>
      <c r="B16" s="1"/>
      <c r="C16" s="1"/>
      <c r="D16" s="1"/>
      <c r="E16" s="1"/>
      <c r="F16" s="1"/>
      <c r="G16" s="1"/>
    </row>
    <row r="17" spans="1:7" ht="22" customHeight="1" x14ac:dyDescent="0.55000000000000004">
      <c r="A17" s="88" t="s">
        <v>122</v>
      </c>
      <c r="B17" s="81"/>
      <c r="C17" s="81"/>
      <c r="D17" s="81"/>
      <c r="E17" s="81"/>
      <c r="F17" s="81"/>
      <c r="G17" s="82"/>
    </row>
    <row r="18" spans="1:7" ht="18" customHeight="1" x14ac:dyDescent="0.55000000000000004">
      <c r="A18" s="2"/>
      <c r="B18" s="2" t="s">
        <v>123</v>
      </c>
      <c r="C18" s="2"/>
      <c r="D18" s="2" t="s">
        <v>45</v>
      </c>
      <c r="E18" s="2"/>
      <c r="F18" s="2" t="s">
        <v>124</v>
      </c>
      <c r="G18" s="2"/>
    </row>
    <row r="19" spans="1:7" ht="20.05" customHeight="1" x14ac:dyDescent="0.55000000000000004">
      <c r="A19" s="21" t="s">
        <v>125</v>
      </c>
      <c r="B19" s="99" t="s">
        <v>126</v>
      </c>
      <c r="C19" s="59"/>
      <c r="D19" s="96" t="s">
        <v>127</v>
      </c>
      <c r="E19" s="59"/>
      <c r="F19" s="24" t="s">
        <v>128</v>
      </c>
      <c r="G19" s="25"/>
    </row>
    <row r="20" spans="1:7" ht="20.05" customHeight="1" x14ac:dyDescent="0.55000000000000004">
      <c r="A20" s="21" t="s">
        <v>129</v>
      </c>
      <c r="B20" s="99" t="s">
        <v>130</v>
      </c>
      <c r="C20" s="59"/>
      <c r="D20" s="96" t="s">
        <v>131</v>
      </c>
      <c r="E20" s="59"/>
      <c r="F20" s="24" t="s">
        <v>128</v>
      </c>
      <c r="G20" s="26"/>
    </row>
    <row r="21" spans="1:7" ht="20.05" customHeight="1" x14ac:dyDescent="0.55000000000000004">
      <c r="A21" s="21" t="s">
        <v>132</v>
      </c>
      <c r="B21" s="99" t="s">
        <v>133</v>
      </c>
      <c r="C21" s="59"/>
      <c r="D21" s="96" t="s">
        <v>134</v>
      </c>
      <c r="E21" s="59"/>
      <c r="F21" s="24" t="s">
        <v>128</v>
      </c>
      <c r="G21" s="25"/>
    </row>
    <row r="22" spans="1:7" ht="20.05" customHeight="1" x14ac:dyDescent="0.55000000000000004">
      <c r="A22" s="21" t="s">
        <v>135</v>
      </c>
      <c r="B22" s="99" t="s">
        <v>136</v>
      </c>
      <c r="C22" s="59"/>
      <c r="D22" s="96" t="s">
        <v>137</v>
      </c>
      <c r="E22" s="59"/>
      <c r="F22" s="24" t="s">
        <v>128</v>
      </c>
      <c r="G22" s="26"/>
    </row>
    <row r="23" spans="1:7" ht="20.05" customHeight="1" x14ac:dyDescent="0.55000000000000004">
      <c r="A23" s="21" t="s">
        <v>138</v>
      </c>
      <c r="B23" s="97" t="s">
        <v>139</v>
      </c>
      <c r="C23" s="59"/>
      <c r="D23" s="100" t="s">
        <v>140</v>
      </c>
      <c r="E23" s="59"/>
      <c r="F23" s="24" t="s">
        <v>128</v>
      </c>
      <c r="G23" s="25"/>
    </row>
    <row r="24" spans="1:7" ht="20.05" customHeight="1" x14ac:dyDescent="0.55000000000000004">
      <c r="A24" s="21" t="s">
        <v>141</v>
      </c>
      <c r="B24" s="104" t="s">
        <v>142</v>
      </c>
      <c r="C24" s="59"/>
      <c r="D24" s="106" t="s">
        <v>143</v>
      </c>
      <c r="E24" s="59"/>
      <c r="F24" s="24" t="s">
        <v>128</v>
      </c>
      <c r="G24" s="26"/>
    </row>
    <row r="25" spans="1:7" ht="20.05" customHeight="1" x14ac:dyDescent="0.55000000000000004">
      <c r="A25" s="21" t="s">
        <v>144</v>
      </c>
      <c r="B25" s="97" t="s">
        <v>145</v>
      </c>
      <c r="C25" s="59"/>
      <c r="D25" s="100" t="s">
        <v>146</v>
      </c>
      <c r="E25" s="59"/>
      <c r="F25" s="24" t="s">
        <v>128</v>
      </c>
      <c r="G25" s="25"/>
    </row>
    <row r="26" spans="1:7" ht="20.05" customHeight="1" x14ac:dyDescent="0.55000000000000004">
      <c r="A26" s="21" t="s">
        <v>147</v>
      </c>
      <c r="B26" s="104" t="s">
        <v>148</v>
      </c>
      <c r="C26" s="59"/>
      <c r="D26" s="106" t="s">
        <v>149</v>
      </c>
      <c r="E26" s="59"/>
      <c r="F26" s="24" t="s">
        <v>128</v>
      </c>
      <c r="G26" s="26"/>
    </row>
    <row r="27" spans="1:7" ht="20.05" customHeight="1" x14ac:dyDescent="0.55000000000000004">
      <c r="A27" s="21" t="s">
        <v>150</v>
      </c>
      <c r="B27" s="97" t="s">
        <v>151</v>
      </c>
      <c r="C27" s="59"/>
      <c r="D27" s="100" t="s">
        <v>152</v>
      </c>
      <c r="E27" s="59"/>
      <c r="F27" s="24" t="s">
        <v>128</v>
      </c>
      <c r="G27" s="25"/>
    </row>
    <row r="28" spans="1:7" ht="20.05" customHeight="1" x14ac:dyDescent="0.55000000000000004">
      <c r="A28" s="21" t="s">
        <v>153</v>
      </c>
      <c r="B28" s="104" t="s">
        <v>154</v>
      </c>
      <c r="C28" s="59"/>
      <c r="D28" s="106" t="s">
        <v>155</v>
      </c>
      <c r="E28" s="59"/>
      <c r="F28" s="24" t="s">
        <v>128</v>
      </c>
      <c r="G28" s="26"/>
    </row>
    <row r="29" spans="1:7" ht="20.05" customHeight="1" x14ac:dyDescent="0.55000000000000004">
      <c r="A29" s="21" t="s">
        <v>156</v>
      </c>
      <c r="B29" s="97" t="s">
        <v>157</v>
      </c>
      <c r="C29" s="59"/>
      <c r="D29" s="100" t="s">
        <v>158</v>
      </c>
      <c r="E29" s="59"/>
      <c r="F29" s="24" t="s">
        <v>128</v>
      </c>
      <c r="G29" s="25"/>
    </row>
    <row r="30" spans="1:7" ht="20.05" customHeight="1" x14ac:dyDescent="0.55000000000000004">
      <c r="A30" s="21" t="s">
        <v>159</v>
      </c>
      <c r="B30" s="104" t="s">
        <v>160</v>
      </c>
      <c r="C30" s="59"/>
      <c r="D30" s="106" t="s">
        <v>161</v>
      </c>
      <c r="E30" s="59"/>
      <c r="F30" s="24" t="s">
        <v>128</v>
      </c>
      <c r="G30" s="26"/>
    </row>
    <row r="31" spans="1:7" ht="20.05" customHeight="1" x14ac:dyDescent="0.55000000000000004">
      <c r="A31" s="21" t="s">
        <v>162</v>
      </c>
      <c r="B31" s="97" t="s">
        <v>163</v>
      </c>
      <c r="C31" s="59"/>
      <c r="D31" s="100" t="s">
        <v>22</v>
      </c>
      <c r="E31" s="59"/>
      <c r="F31" s="24" t="s">
        <v>128</v>
      </c>
      <c r="G31" s="25"/>
    </row>
  </sheetData>
  <mergeCells count="44">
    <mergeCell ref="B30:C30"/>
    <mergeCell ref="D24:E24"/>
    <mergeCell ref="D30:E30"/>
    <mergeCell ref="E5:G5"/>
    <mergeCell ref="B20:C20"/>
    <mergeCell ref="D29:E29"/>
    <mergeCell ref="A6:C6"/>
    <mergeCell ref="E8:G8"/>
    <mergeCell ref="A12:G12"/>
    <mergeCell ref="D23:E23"/>
    <mergeCell ref="B26:C26"/>
    <mergeCell ref="A7:C7"/>
    <mergeCell ref="D26:E26"/>
    <mergeCell ref="E7:G7"/>
    <mergeCell ref="A1:G1"/>
    <mergeCell ref="B29:C29"/>
    <mergeCell ref="B19:C19"/>
    <mergeCell ref="B28:C28"/>
    <mergeCell ref="A9:C9"/>
    <mergeCell ref="D28:E28"/>
    <mergeCell ref="D25:E25"/>
    <mergeCell ref="B24:C24"/>
    <mergeCell ref="A2:G2"/>
    <mergeCell ref="A4:G4"/>
    <mergeCell ref="B22:C22"/>
    <mergeCell ref="E9:G9"/>
    <mergeCell ref="D22:E22"/>
    <mergeCell ref="B31:C31"/>
    <mergeCell ref="B27:C27"/>
    <mergeCell ref="D31:E31"/>
    <mergeCell ref="E6:G6"/>
    <mergeCell ref="D21:E21"/>
    <mergeCell ref="B21:C21"/>
    <mergeCell ref="A5:C5"/>
    <mergeCell ref="A8:C8"/>
    <mergeCell ref="D27:E27"/>
    <mergeCell ref="B23:C23"/>
    <mergeCell ref="A15:G15"/>
    <mergeCell ref="A11:G11"/>
    <mergeCell ref="D20:E20"/>
    <mergeCell ref="A14:G14"/>
    <mergeCell ref="A17:G17"/>
    <mergeCell ref="B25:C25"/>
    <mergeCell ref="D19:E19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32.049999999999997" customHeight="1" x14ac:dyDescent="0.55000000000000004">
      <c r="A1" s="88" t="s">
        <v>164</v>
      </c>
      <c r="B1" s="81"/>
      <c r="C1" s="81"/>
      <c r="D1" s="81"/>
      <c r="E1" s="81"/>
      <c r="F1" s="81"/>
      <c r="G1" s="82"/>
    </row>
    <row r="2" spans="1:7" ht="22" customHeight="1" x14ac:dyDescent="0.55000000000000004">
      <c r="A2" s="111" t="s">
        <v>165</v>
      </c>
      <c r="B2" s="62"/>
      <c r="C2" s="62"/>
      <c r="D2" s="62"/>
      <c r="E2" s="62"/>
      <c r="F2" s="62"/>
      <c r="G2" s="59"/>
    </row>
    <row r="3" spans="1:7" ht="18" customHeight="1" x14ac:dyDescent="0.55000000000000004">
      <c r="A3" s="29"/>
      <c r="B3" s="29" t="s">
        <v>166</v>
      </c>
      <c r="C3" s="29" t="s">
        <v>167</v>
      </c>
      <c r="D3" s="29" t="s">
        <v>90</v>
      </c>
      <c r="E3" s="29" t="s">
        <v>168</v>
      </c>
      <c r="F3" s="29" t="s">
        <v>169</v>
      </c>
      <c r="G3" s="29" t="s">
        <v>170</v>
      </c>
    </row>
    <row r="4" spans="1:7" ht="24" customHeight="1" x14ac:dyDescent="0.55000000000000004">
      <c r="A4" s="30" t="s">
        <v>168</v>
      </c>
      <c r="B4" s="30" t="s">
        <v>171</v>
      </c>
      <c r="C4" s="30" t="s">
        <v>172</v>
      </c>
      <c r="D4" s="30" t="s">
        <v>173</v>
      </c>
      <c r="E4" s="30" t="s">
        <v>174</v>
      </c>
      <c r="F4" s="30" t="s">
        <v>84</v>
      </c>
      <c r="G4" s="30" t="s">
        <v>175</v>
      </c>
    </row>
    <row r="5" spans="1:7" ht="24" customHeight="1" x14ac:dyDescent="0.55000000000000004">
      <c r="A5" s="31" t="s">
        <v>169</v>
      </c>
      <c r="B5" s="31" t="s">
        <v>171</v>
      </c>
      <c r="C5" s="31" t="s">
        <v>176</v>
      </c>
      <c r="D5" s="31" t="s">
        <v>177</v>
      </c>
      <c r="E5" s="31" t="s">
        <v>84</v>
      </c>
      <c r="F5" s="31" t="s">
        <v>174</v>
      </c>
      <c r="G5" s="31" t="s">
        <v>178</v>
      </c>
    </row>
    <row r="6" spans="1:7" ht="22" customHeight="1" x14ac:dyDescent="0.55000000000000004">
      <c r="A6" s="110" t="s">
        <v>179</v>
      </c>
      <c r="B6" s="62"/>
      <c r="C6" s="62"/>
      <c r="D6" s="62"/>
      <c r="E6" s="62"/>
      <c r="F6" s="62"/>
      <c r="G6" s="59"/>
    </row>
    <row r="7" spans="1:7" ht="18" customHeight="1" x14ac:dyDescent="0.55000000000000004">
      <c r="A7" s="29"/>
      <c r="B7" s="29" t="s">
        <v>166</v>
      </c>
      <c r="C7" s="29" t="s">
        <v>167</v>
      </c>
      <c r="D7" s="29" t="s">
        <v>90</v>
      </c>
      <c r="E7" s="29" t="s">
        <v>168</v>
      </c>
      <c r="F7" s="29" t="s">
        <v>169</v>
      </c>
      <c r="G7" s="29" t="s">
        <v>170</v>
      </c>
    </row>
    <row r="8" spans="1:7" ht="22" customHeight="1" x14ac:dyDescent="0.55000000000000004">
      <c r="A8" s="30" t="s">
        <v>168</v>
      </c>
      <c r="B8" s="30" t="s">
        <v>180</v>
      </c>
      <c r="C8" s="30" t="s">
        <v>181</v>
      </c>
      <c r="D8" s="30" t="s">
        <v>182</v>
      </c>
      <c r="E8" s="30" t="s">
        <v>174</v>
      </c>
      <c r="F8" s="30" t="s">
        <v>84</v>
      </c>
      <c r="G8" s="30" t="s">
        <v>183</v>
      </c>
    </row>
    <row r="9" spans="1:7" ht="22" customHeight="1" x14ac:dyDescent="0.55000000000000004">
      <c r="A9" s="31" t="s">
        <v>169</v>
      </c>
      <c r="B9" s="31" t="s">
        <v>180</v>
      </c>
      <c r="C9" s="31" t="s">
        <v>184</v>
      </c>
      <c r="D9" s="31" t="s">
        <v>185</v>
      </c>
      <c r="E9" s="31" t="s">
        <v>84</v>
      </c>
      <c r="F9" s="31" t="s">
        <v>174</v>
      </c>
      <c r="G9" s="31" t="s">
        <v>183</v>
      </c>
    </row>
    <row r="10" spans="1:7" ht="52" customHeight="1" x14ac:dyDescent="0.55000000000000004">
      <c r="A10" s="112" t="s">
        <v>186</v>
      </c>
      <c r="B10" s="62"/>
      <c r="C10" s="62"/>
      <c r="D10" s="62"/>
      <c r="E10" s="62"/>
      <c r="F10" s="62"/>
      <c r="G10" s="59"/>
    </row>
  </sheetData>
  <mergeCells count="4">
    <mergeCell ref="A6:G6"/>
    <mergeCell ref="A2:G2"/>
    <mergeCell ref="A1:G1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7" ht="32.049999999999997" customHeight="1" x14ac:dyDescent="0.55000000000000004">
      <c r="A1" s="88" t="s">
        <v>187</v>
      </c>
      <c r="B1" s="81"/>
      <c r="C1" s="81"/>
      <c r="D1" s="81"/>
      <c r="E1" s="81"/>
      <c r="F1" s="81"/>
      <c r="G1" s="82"/>
    </row>
    <row r="2" spans="1:7" ht="20.05" customHeight="1" x14ac:dyDescent="0.55000000000000004">
      <c r="A2" s="91" t="s">
        <v>188</v>
      </c>
      <c r="B2" s="81"/>
      <c r="C2" s="81"/>
      <c r="D2" s="81"/>
      <c r="E2" s="81"/>
      <c r="F2" s="81"/>
      <c r="G2" s="82"/>
    </row>
    <row r="3" spans="1:7" ht="18" customHeight="1" x14ac:dyDescent="0.55000000000000004">
      <c r="A3" s="29" t="s">
        <v>189</v>
      </c>
      <c r="B3" s="29" t="s">
        <v>190</v>
      </c>
      <c r="C3" s="29" t="s">
        <v>191</v>
      </c>
      <c r="D3" s="29" t="s">
        <v>192</v>
      </c>
    </row>
    <row r="4" spans="1:7" ht="72" customHeight="1" x14ac:dyDescent="0.55000000000000004">
      <c r="A4" s="21" t="s">
        <v>193</v>
      </c>
      <c r="B4" s="28" t="s">
        <v>194</v>
      </c>
      <c r="C4" s="32" t="s">
        <v>195</v>
      </c>
      <c r="D4" s="33" t="s">
        <v>196</v>
      </c>
    </row>
    <row r="5" spans="1:7" ht="56.05" customHeight="1" x14ac:dyDescent="0.55000000000000004">
      <c r="A5" s="34" t="s">
        <v>197</v>
      </c>
      <c r="B5" s="22" t="s">
        <v>198</v>
      </c>
      <c r="C5" s="23" t="s">
        <v>199</v>
      </c>
      <c r="D5" s="35" t="s">
        <v>200</v>
      </c>
    </row>
    <row r="6" spans="1:7" ht="52" customHeight="1" x14ac:dyDescent="0.55000000000000004">
      <c r="A6" s="21" t="s">
        <v>201</v>
      </c>
      <c r="B6" s="28" t="s">
        <v>202</v>
      </c>
      <c r="C6" s="32" t="s">
        <v>203</v>
      </c>
      <c r="D6" s="33" t="s">
        <v>204</v>
      </c>
    </row>
    <row r="7" spans="1:7" ht="52" customHeight="1" x14ac:dyDescent="0.55000000000000004">
      <c r="A7" s="21" t="s">
        <v>205</v>
      </c>
      <c r="B7" s="28" t="s">
        <v>206</v>
      </c>
      <c r="C7" s="32" t="s">
        <v>207</v>
      </c>
      <c r="D7" s="33" t="s">
        <v>208</v>
      </c>
    </row>
    <row r="8" spans="1:7" ht="72" customHeight="1" x14ac:dyDescent="0.55000000000000004">
      <c r="A8" s="21" t="s">
        <v>209</v>
      </c>
      <c r="B8" s="27" t="s">
        <v>210</v>
      </c>
      <c r="C8" s="32" t="s">
        <v>211</v>
      </c>
      <c r="D8" s="36" t="s">
        <v>212</v>
      </c>
    </row>
    <row r="9" spans="1:7" ht="36" customHeight="1" x14ac:dyDescent="0.55000000000000004">
      <c r="A9" s="84" t="s">
        <v>213</v>
      </c>
      <c r="B9" s="62"/>
      <c r="C9" s="62"/>
      <c r="D9" s="59"/>
      <c r="E9" s="37"/>
      <c r="F9" s="37"/>
      <c r="G9" s="37"/>
    </row>
  </sheetData>
  <mergeCells count="3">
    <mergeCell ref="A9:D9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7" ht="34" customHeight="1" x14ac:dyDescent="0.55000000000000004">
      <c r="A1" s="88" t="s">
        <v>214</v>
      </c>
      <c r="B1" s="81"/>
      <c r="C1" s="81"/>
      <c r="D1" s="81"/>
      <c r="E1" s="81"/>
      <c r="F1" s="81"/>
      <c r="G1" s="82"/>
    </row>
    <row r="2" spans="1:7" ht="20.05" customHeight="1" x14ac:dyDescent="0.55000000000000004">
      <c r="A2" s="91" t="s">
        <v>215</v>
      </c>
      <c r="B2" s="81"/>
      <c r="C2" s="81"/>
      <c r="D2" s="81"/>
      <c r="E2" s="81"/>
      <c r="F2" s="81"/>
      <c r="G2" s="82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14" t="s">
        <v>216</v>
      </c>
      <c r="B4" s="81"/>
      <c r="C4" s="81"/>
      <c r="D4" s="81"/>
      <c r="E4" s="81"/>
      <c r="F4" s="81"/>
      <c r="G4" s="82"/>
    </row>
    <row r="5" spans="1:7" ht="18" customHeight="1" x14ac:dyDescent="0.55000000000000004">
      <c r="A5" s="29"/>
      <c r="B5" s="29" t="s">
        <v>217</v>
      </c>
      <c r="C5" s="29" t="s">
        <v>218</v>
      </c>
      <c r="D5" s="29" t="s">
        <v>45</v>
      </c>
      <c r="E5" s="29" t="s">
        <v>219</v>
      </c>
      <c r="F5" s="29"/>
    </row>
    <row r="6" spans="1:7" ht="38.049999999999997" customHeight="1" x14ac:dyDescent="0.55000000000000004">
      <c r="A6" s="38"/>
      <c r="B6" s="39" t="s">
        <v>220</v>
      </c>
      <c r="C6" s="40" t="s">
        <v>221</v>
      </c>
      <c r="D6" s="41" t="s">
        <v>222</v>
      </c>
      <c r="E6" s="42" t="s">
        <v>223</v>
      </c>
      <c r="F6" s="38"/>
    </row>
    <row r="7" spans="1:7" ht="38.049999999999997" customHeight="1" x14ac:dyDescent="0.55000000000000004">
      <c r="A7" s="25"/>
      <c r="B7" s="43" t="s">
        <v>224</v>
      </c>
      <c r="C7" s="44" t="s">
        <v>225</v>
      </c>
      <c r="D7" s="41" t="s">
        <v>226</v>
      </c>
      <c r="E7" s="45" t="s">
        <v>223</v>
      </c>
      <c r="F7" s="25"/>
    </row>
    <row r="8" spans="1:7" ht="38.049999999999997" customHeight="1" x14ac:dyDescent="0.55000000000000004">
      <c r="A8" s="38"/>
      <c r="B8" s="39" t="s">
        <v>227</v>
      </c>
      <c r="C8" s="40" t="s">
        <v>228</v>
      </c>
      <c r="D8" s="41" t="s">
        <v>229</v>
      </c>
      <c r="E8" s="42" t="s">
        <v>230</v>
      </c>
      <c r="F8" s="38"/>
    </row>
    <row r="9" spans="1:7" ht="38.049999999999997" customHeight="1" x14ac:dyDescent="0.55000000000000004">
      <c r="A9" s="25"/>
      <c r="B9" s="43" t="s">
        <v>231</v>
      </c>
      <c r="C9" s="44" t="s">
        <v>232</v>
      </c>
      <c r="D9" s="41" t="s">
        <v>233</v>
      </c>
      <c r="E9" s="45" t="s">
        <v>234</v>
      </c>
      <c r="F9" s="25"/>
    </row>
    <row r="10" spans="1:7" ht="38.049999999999997" customHeight="1" x14ac:dyDescent="0.55000000000000004">
      <c r="A10" s="38"/>
      <c r="B10" s="39" t="s">
        <v>235</v>
      </c>
      <c r="C10" s="46" t="s">
        <v>236</v>
      </c>
      <c r="D10" s="41" t="s">
        <v>237</v>
      </c>
      <c r="E10" s="42" t="s">
        <v>238</v>
      </c>
      <c r="F10" s="38"/>
    </row>
    <row r="11" spans="1:7" ht="38.049999999999997" customHeight="1" x14ac:dyDescent="0.55000000000000004">
      <c r="A11" s="25"/>
      <c r="B11" s="43" t="s">
        <v>239</v>
      </c>
      <c r="C11" s="27" t="s">
        <v>240</v>
      </c>
      <c r="D11" s="41" t="s">
        <v>241</v>
      </c>
      <c r="E11" s="45" t="s">
        <v>242</v>
      </c>
      <c r="F11" s="25"/>
    </row>
    <row r="12" spans="1:7" ht="5.05" customHeight="1" x14ac:dyDescent="0.55000000000000004">
      <c r="A12" s="1"/>
      <c r="B12" s="1"/>
      <c r="C12" s="1"/>
      <c r="D12" s="1"/>
      <c r="E12" s="1"/>
      <c r="F12" s="1"/>
      <c r="G12" s="1"/>
    </row>
    <row r="13" spans="1:7" ht="22" customHeight="1" x14ac:dyDescent="0.55000000000000004">
      <c r="A13" s="113" t="s">
        <v>243</v>
      </c>
      <c r="B13" s="81"/>
      <c r="C13" s="81"/>
      <c r="D13" s="81"/>
      <c r="E13" s="81"/>
      <c r="F13" s="81"/>
      <c r="G13" s="82"/>
    </row>
    <row r="14" spans="1:7" ht="18" customHeight="1" x14ac:dyDescent="0.55000000000000004">
      <c r="A14" s="47"/>
      <c r="B14" s="47" t="s">
        <v>217</v>
      </c>
      <c r="C14" s="47" t="s">
        <v>5</v>
      </c>
      <c r="D14" s="47" t="s">
        <v>244</v>
      </c>
      <c r="E14" s="47" t="s">
        <v>245</v>
      </c>
      <c r="F14" s="47"/>
    </row>
    <row r="15" spans="1:7" ht="28" customHeight="1" x14ac:dyDescent="0.55000000000000004">
      <c r="A15" s="48"/>
      <c r="B15" s="49" t="s">
        <v>246</v>
      </c>
      <c r="C15" s="50" t="s">
        <v>247</v>
      </c>
      <c r="D15" s="51" t="s">
        <v>248</v>
      </c>
      <c r="E15" s="52" t="s">
        <v>249</v>
      </c>
      <c r="F15" s="48"/>
    </row>
    <row r="16" spans="1:7" ht="28" customHeight="1" x14ac:dyDescent="0.55000000000000004">
      <c r="A16" s="48"/>
      <c r="B16" s="49" t="s">
        <v>250</v>
      </c>
      <c r="C16" s="50" t="s">
        <v>251</v>
      </c>
      <c r="D16" s="51" t="s">
        <v>252</v>
      </c>
      <c r="E16" s="52" t="s">
        <v>249</v>
      </c>
      <c r="F16" s="48"/>
    </row>
    <row r="17" spans="1:7" ht="28" customHeight="1" x14ac:dyDescent="0.55000000000000004">
      <c r="A17" s="48"/>
      <c r="B17" s="49" t="s">
        <v>253</v>
      </c>
      <c r="C17" s="50" t="s">
        <v>254</v>
      </c>
      <c r="D17" s="51" t="s">
        <v>255</v>
      </c>
      <c r="E17" s="52" t="s">
        <v>249</v>
      </c>
      <c r="F17" s="48"/>
    </row>
    <row r="18" spans="1:7" ht="28" customHeight="1" x14ac:dyDescent="0.55000000000000004">
      <c r="A18" s="48"/>
      <c r="B18" s="49" t="s">
        <v>256</v>
      </c>
      <c r="C18" s="50" t="s">
        <v>257</v>
      </c>
      <c r="D18" s="51" t="s">
        <v>258</v>
      </c>
      <c r="E18" s="52" t="s">
        <v>249</v>
      </c>
      <c r="F18" s="48"/>
    </row>
    <row r="19" spans="1:7" ht="28" customHeight="1" x14ac:dyDescent="0.55000000000000004">
      <c r="A19" s="53"/>
      <c r="B19" s="54" t="s">
        <v>259</v>
      </c>
      <c r="C19" s="55" t="s">
        <v>260</v>
      </c>
      <c r="D19" s="56" t="s">
        <v>261</v>
      </c>
      <c r="E19" s="57" t="s">
        <v>249</v>
      </c>
      <c r="F19" s="53"/>
    </row>
    <row r="20" spans="1:7" ht="28" customHeight="1" x14ac:dyDescent="0.55000000000000004">
      <c r="A20" s="53"/>
      <c r="B20" s="54" t="s">
        <v>262</v>
      </c>
      <c r="C20" s="55" t="s">
        <v>263</v>
      </c>
      <c r="D20" s="56" t="s">
        <v>264</v>
      </c>
      <c r="E20" s="57" t="s">
        <v>249</v>
      </c>
      <c r="F20" s="53"/>
    </row>
    <row r="21" spans="1:7" ht="28" customHeight="1" x14ac:dyDescent="0.55000000000000004">
      <c r="A21" s="53"/>
      <c r="B21" s="54" t="s">
        <v>265</v>
      </c>
      <c r="C21" s="55" t="s">
        <v>151</v>
      </c>
      <c r="D21" s="56" t="s">
        <v>152</v>
      </c>
      <c r="E21" s="57" t="s">
        <v>249</v>
      </c>
      <c r="F21" s="53"/>
    </row>
    <row r="22" spans="1:7" ht="28" customHeight="1" x14ac:dyDescent="0.55000000000000004">
      <c r="A22" s="53"/>
      <c r="B22" s="54" t="s">
        <v>266</v>
      </c>
      <c r="C22" s="55" t="s">
        <v>267</v>
      </c>
      <c r="D22" s="56" t="s">
        <v>155</v>
      </c>
      <c r="E22" s="57" t="s">
        <v>249</v>
      </c>
      <c r="F22" s="53"/>
    </row>
    <row r="23" spans="1:7" ht="28" customHeight="1" x14ac:dyDescent="0.55000000000000004">
      <c r="A23" s="53"/>
      <c r="B23" s="54" t="s">
        <v>268</v>
      </c>
      <c r="C23" s="55" t="s">
        <v>269</v>
      </c>
      <c r="D23" s="56" t="s">
        <v>270</v>
      </c>
      <c r="E23" s="57" t="s">
        <v>249</v>
      </c>
      <c r="F23" s="53"/>
    </row>
    <row r="24" spans="1:7" ht="5.05" customHeight="1" x14ac:dyDescent="0.55000000000000004">
      <c r="A24" s="1"/>
      <c r="B24" s="1"/>
      <c r="C24" s="1"/>
      <c r="D24" s="1"/>
      <c r="E24" s="1"/>
      <c r="F24" s="1"/>
      <c r="G24" s="1"/>
    </row>
    <row r="25" spans="1:7" ht="56.05" customHeight="1" x14ac:dyDescent="0.55000000000000004">
      <c r="A25" s="84" t="s">
        <v>271</v>
      </c>
      <c r="B25" s="62"/>
      <c r="C25" s="62"/>
      <c r="D25" s="62"/>
      <c r="E25" s="62"/>
      <c r="F25" s="59"/>
      <c r="G25" s="37"/>
    </row>
  </sheetData>
  <mergeCells count="5">
    <mergeCell ref="A13:G13"/>
    <mergeCell ref="A1:G1"/>
    <mergeCell ref="A4:G4"/>
    <mergeCell ref="A2:G2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2026-04-05T20:38:43Z</dcterms:created>
  <dcterms:modified xsi:type="dcterms:W3CDTF">2026-04-05T20:42:31Z</dcterms:modified>
</cp:coreProperties>
</file>