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7A7457C1-5C63-4497-9CE2-DE7342DAC27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D6" i="2"/>
  <c r="E58" i="1"/>
  <c r="D47" i="1"/>
  <c r="C52" i="1" s="1"/>
  <c r="C47" i="1"/>
  <c r="C51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F47" i="1" s="1"/>
  <c r="C55" i="1" s="1"/>
  <c r="C35" i="1"/>
  <c r="E15" i="1"/>
  <c r="D5" i="2" s="1"/>
  <c r="E47" i="1" l="1"/>
  <c r="C53" i="1" s="1"/>
</calcChain>
</file>

<file path=xl/sharedStrings.xml><?xml version="1.0" encoding="utf-8"?>
<sst xmlns="http://schemas.openxmlformats.org/spreadsheetml/2006/main" count="323" uniqueCount="265">
  <si>
    <t>472 – ATATÜRK KÜLTÜR DİL VE TARİH YÜKSEK KURUMU BAĞIŞLARI | 2876 SAYILI KANUN | YMM TASDİK</t>
  </si>
  <si>
    <t>Beyanname 472 | GİB KV Beyan Rehberi Mart 2026 (No:606) | ✗ YİAKV MATRAHINDA DÜŞÜLEMEZ</t>
  </si>
  <si>
    <t xml:space="preserve">  2876 SAYILI ATATÜRK KÜLTÜR DİL VE TARİH YÜKSEK KURUMU KANUNU KAPSAMINDA BAĞIŞ VE YARDIMLAR:
  2876 sayılı Kanun kapsamında AKDTYK ve bünyesindeki kurumlara (TDK, TTK, ATAM, AKM) yapılan bağış ve yardımların tamamı kurumlar vergisi matrahından indirilir.
  AKDTYK BÜNYESİNDEKİ KURUMLAR: Türk Dil Kurumu (TDK), Türk Tarih Kurumu (TTK), Atatürk Araştırma Merkezi (ATAM), Atatürk Kültür Merkezi (AKM).
  İNDİRİM: TAMAMININ İNDİRİMİ — matrahı aşan kısım devredilemez.
  ★ YİAKV: DÜŞÜLEMEZ — E.11 bilgi satırı.</t>
  </si>
  <si>
    <t xml:space="preserve">  ✗ YİAKV (KVK Md.32/C): 472 AKDTYK Bağışı YİAKV MATRAHINDA DÜŞÜLEMEZ. YİAKV E.11 bilgi satırı — 402/460–471 kodlarıyla aynı E.11 kategorisi.</t>
  </si>
  <si>
    <t>A0. KAPSAM VE NİTELİK UYGUNLUK ÖN KONTROLÜ — 2876 s.K. AKDTYK BAĞIŞI</t>
  </si>
  <si>
    <t>Kontrol Sorusu</t>
  </si>
  <si>
    <t>Yanıt</t>
  </si>
  <si>
    <t>YMM Tasdik Notu</t>
  </si>
  <si>
    <t>A0.1  ★ Bağış 2876 s.K. kapsamında AKDTYK veya bünyesindeki kuruma mı yapıldı?</t>
  </si>
  <si>
    <t>EVET</t>
  </si>
  <si>
    <t>AKDTYK (doğrudan) veya bünyesindeki TDK, TTK, ATAM, AKM. Bu kurumların isim benzerliğindeki başka kurum/vakıf/dernek → Kapsam dışı.</t>
  </si>
  <si>
    <t>A0.2  ★ Bağış FİİLEN yapıldı mı? (Nakdi: Banka — Ayni: Teslim belgesi)</t>
  </si>
  <si>
    <t>Nakdi: Banka EFT/havale dekontu. Ayni: İmzalı teslim tutanağı.</t>
  </si>
  <si>
    <t>A0.3  AKDTYK / TDK / TTK / ATAM / AKM'den resmi bağış makbuzu alındı mı?</t>
  </si>
  <si>
    <t>İlgili kurumdan düzenlenen resmi makbuz veya bağış kabul yazısı zorunludur.</t>
  </si>
  <si>
    <t>A0.4  Bağışın amacı 2876 s.K. kapsamında Türk dili, tarihi, Atatürk ilkeleri araştırması mı?</t>
  </si>
  <si>
    <t>TDK için dil/sözlük çalışmaları, TTK için tarih araştırmaları, ATAM için Atatürk ilkeleri, AKM için kültür/sanat faaliyetleri kapsamında.</t>
  </si>
  <si>
    <t>A0.5  Ayni bağış varsa maliyet/net defter değeri ile değerleme yapıldı mı?</t>
  </si>
  <si>
    <t>Kitap, arşiv materyali, ekipman bağışı varsa maliyet/net defter değeri esas. KDV hesaplanmaz — KDVK Md.17/2-b.</t>
  </si>
  <si>
    <t>A0.6  ✗ YİAKV E.11'de bilgi satırı olarak gösterildi mi?</t>
  </si>
  <si>
    <t>472 YİAKV matrahından düşülemez — E.11 bilgi.</t>
  </si>
  <si>
    <t>A0.7  YMM Tasdik Raporu gereksinimi değerlendirildi mi?</t>
  </si>
  <si>
    <t>&gt;=500.000 TL → YMM raporu.</t>
  </si>
  <si>
    <t>A0.8  Tasdik Uygunluk Sonucu</t>
  </si>
  <si>
    <t>★ A0.1 AKDTYK/bünyesi | A0.2 fiili yapım | A0.3 makbuz | A0.4 amaç — dördü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</si>
  <si>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</si>
  <si>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</si>
  <si>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</si>
  <si>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</si>
  <si>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</si>
  <si>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</si>
  <si>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</si>
  <si>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</si>
  <si>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</si>
  <si>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Bağış Alıcısı</t>
  </si>
  <si>
    <t>AKDTYK / TDK / TTK / ATAM / AKM</t>
  </si>
  <si>
    <t>Bağışın Genel Amacı</t>
  </si>
  <si>
    <t>Türk dili, tarihi, Atatürk ilkeleri araştırması</t>
  </si>
  <si>
    <t>Dosya Referansı</t>
  </si>
  <si>
    <t>YMM-2025/472-01</t>
  </si>
  <si>
    <t>B. BAĞIŞ VE YARDIM DETAYLARI — 2876 s.K. AKDTYK / TDK / TTK / ATAM / AKM</t>
  </si>
  <si>
    <t>Parametre</t>
  </si>
  <si>
    <t>Değer</t>
  </si>
  <si>
    <t>Açıklama</t>
  </si>
  <si>
    <t>Kaynak</t>
  </si>
  <si>
    <t>B.1  Bağış Şekli</t>
  </si>
  <si>
    <t>Nakdi (Banka Transferi/EFT/Havale)</t>
  </si>
  <si>
    <t>Nakdi: Banka dekontu. Ayni: Kitap/arşiv/ekipman → teslim tutanağı.</t>
  </si>
  <si>
    <t>Belge</t>
  </si>
  <si>
    <t>B.2  Alıcı Kurum</t>
  </si>
  <si>
    <t>Atatürk Kültür Dil ve Tarih Yüksek Kurumu (AKDTYK)</t>
  </si>
  <si>
    <t>AKDTYK doğrudan veya bünyesindeki TDK, TTK, ATAM, AKM.</t>
  </si>
  <si>
    <t>Kurum belgesi</t>
  </si>
  <si>
    <t>B.3  Bağışın Amacı</t>
  </si>
  <si>
    <t>Türk Dili Araştırma ve Geliştirme Faaliyetleri</t>
  </si>
  <si>
    <t>2876 s.K. kapsamı kültürel/akademik faaliyet alanı.</t>
  </si>
  <si>
    <t>Protokol/Makbuz</t>
  </si>
  <si>
    <t>B.4  Bağış Tarihi</t>
  </si>
  <si>
    <t>Fiilen yapılan bağışın tarihi (nakdi: ödeme, ayni: teslim).</t>
  </si>
  <si>
    <t>Banka/Tutanak</t>
  </si>
  <si>
    <t>B.5  ★ Nakdi Bağış Tutarı (TL)</t>
  </si>
  <si>
    <t>Banka yoluyla yapılan nakdi bağış tutarı.</t>
  </si>
  <si>
    <t>Banka dekontu</t>
  </si>
  <si>
    <t>B.6  Ayni Bağış Değeri (TL — Maliyet/Net Defter Değeri)</t>
  </si>
  <si>
    <t>Kitap, arşiv materyali, dijital içerik, ekipman bağışı varsa maliyet değeri.</t>
  </si>
  <si>
    <t>Stok/sabit kıymet</t>
  </si>
  <si>
    <t>B.7  ★ TOPLAM BAĞIŞ (B.5 + B.6)</t>
  </si>
  <si>
    <t>Nakdi + Ayni toplam — beyanname 472 tutarının dayanağı.</t>
  </si>
  <si>
    <t>Formül</t>
  </si>
  <si>
    <t>B.8  ★ AKDTYK / TDK / TTK / ATAM / AKM Resmi Makbuzu</t>
  </si>
  <si>
    <t>İlgili kurumdan alınan resmi bağış makbuzu veya kabul yazısı — zorunlu belge.</t>
  </si>
  <si>
    <t>İlgili Kurum</t>
  </si>
  <si>
    <t>C. BAĞIŞ VE YARDIM TABLOSU — AKDTYK / TDK / TTK / ATAM / AKM (BEYANNAME 472)</t>
  </si>
  <si>
    <t xml:space="preserve">  Her bağış kalemi veya alıcı kurum için ayrı satır. SÜTUN 3 (kırmızı-bordo çerçeve): Nakdi bağış. SÜTUN 4: Ayni bağış maliyet değeri. SÜTUN 5: Toplam (otomatik). SÜTUN 6: İndirim = Tamamı (otomatik).</t>
  </si>
  <si>
    <t>Bağış Tarihi</t>
  </si>
  <si>
    <t>Alıcı Kurum / Faaliyet</t>
  </si>
  <si>
    <t>Nakdi (TL)</t>
  </si>
  <si>
    <t>Ayni Değer (TL)</t>
  </si>
  <si>
    <t>Toplam (TL)</t>
  </si>
  <si>
    <t>İndirim (TL)</t>
  </si>
  <si>
    <t>Makbuz/Belge No</t>
  </si>
  <si>
    <t>TOPLAM</t>
  </si>
  <si>
    <t>← Beyanname 472 (Tamamının İndirimi)</t>
  </si>
  <si>
    <t>D. BAĞIŞ VE YARDIM İNDİRİMİ ÖZET — BEYANNAME 472 (2876 s.K.)</t>
  </si>
  <si>
    <t>Hesap Kalemi</t>
  </si>
  <si>
    <t>Tutar (TL)</t>
  </si>
  <si>
    <t>Not</t>
  </si>
  <si>
    <t>D.1  Toplam Nakdi Bağış (C Sütun 3)</t>
  </si>
  <si>
    <t>Banka yoluyla yapılan nakdi toplam</t>
  </si>
  <si>
    <t>D.2  Toplam Ayni Bağış Değeri (C Sütun 4)</t>
  </si>
  <si>
    <t>Maliyet/net defter değeri toplam</t>
  </si>
  <si>
    <t>D.3  TOPLAM BAĞIŞ (D.1 + D.2)</t>
  </si>
  <si>
    <t>C tablosu toplam</t>
  </si>
  <si>
    <t>D.4  İndirim Oranı / Sınır</t>
  </si>
  <si>
    <t>TAMAMININ İNDİRİMİ — Devredilmez</t>
  </si>
  <si>
    <t>2876 s.K. kapsamı: Tamamının indirimi — matrahı aşan devredilmez</t>
  </si>
  <si>
    <t>2876 s.K.</t>
  </si>
  <si>
    <t>D.5  ★ BEYANNAME 472 = TOPLAM BAĞIŞ (D.3)</t>
  </si>
  <si>
    <t>→ Beyanname 472 | Kazancın Bulunması Halinde</t>
  </si>
  <si>
    <t>D.6  YİAKV DURUMU — DÜŞÜLEMEZ</t>
  </si>
  <si>
    <t>YİAKV E.11 Bilgi ✗</t>
  </si>
  <si>
    <t>Tüm bağış/yardım kodları YİAKV matrahından düşülemez</t>
  </si>
  <si>
    <t>KVK Md.32/C</t>
  </si>
  <si>
    <t>E.1  AKDTYK / TDK / TTK BAĞIŞI → Beyanname Satır 472 (Kazancın Bulunması Halinde)</t>
  </si>
  <si>
    <t>D.5 = Toplam Bağış Tamamı | 2876 s.K. — Matrahı aşan devredilmez</t>
  </si>
  <si>
    <t xml:space="preserve">  ★ KRİTİK: (1) ALICI: AKDTYK veya bünyesindeki TDK/TTK/ATAM/AKM — isim benzerliği olan başka kurum değil. (2) AMAÇ: Türk dili, Türk tarihi, Atatürk ilkeleri, kültürel araştırma faaliyetleri. (3) AYNİ BAĞIŞ: Kitap/arşiv materyali/ekipman → Maliyet değeri + KDV istisnası. (4) DEVREDEN YOK. (5) YİAKV ✗: E.11.</t>
  </si>
  <si>
    <t>472 – AKDTYK BAĞIŞLARI 2876 SAYILI KANUN | HESAPLAMALAR VE DENETİM</t>
  </si>
  <si>
    <t>Tamamının İndirimi | 2876 s.K. | AKDTYK/TDK/TTK/ATAM/AKM | Beyanname 472 | ✗ YİAKV E.11</t>
  </si>
  <si>
    <t>A. TASDİK ÖZETİ</t>
  </si>
  <si>
    <t>A0 Uygunluğu</t>
  </si>
  <si>
    <t>OK ise devam</t>
  </si>
  <si>
    <t>Alıcı Kurum (B.2)</t>
  </si>
  <si>
    <t>AKDTYK/TDK/TTK/ATAM/AKM</t>
  </si>
  <si>
    <t>Bağış Amacı (B.3)</t>
  </si>
  <si>
    <t>2876 s.K. faaliyet alanı</t>
  </si>
  <si>
    <t>Toplam Bağış (D.3)</t>
  </si>
  <si>
    <t>C tablosu toplamı</t>
  </si>
  <si>
    <t>472 İNDİRİM (D.5)</t>
  </si>
  <si>
    <t>YİAKV</t>
  </si>
  <si>
    <t>✗ DÜŞÜLEMEZ (E.11 Bilgi)</t>
  </si>
  <si>
    <t>Bağış/yardım tümü YİAKV dışı</t>
  </si>
  <si>
    <t>B. 2876 SAYILI KANUN KAPSAMI — AKDTYK VE BÜNYESİNDEKİ KURUMLAR</t>
  </si>
  <si>
    <t xml:space="preserve">  ATATÜRK KÜLTÜR DİL VE TARİH YÜKSEK KURUMU (AKDTYK):
  2876 sayılı Kanunla kurulan, Türk dili, Türk tarihi ve Atatürk ilkeleri alanlarında araştırma, yayın ve eğitim faaliyetleri yürüten kamu kurumudur.
  BÜNYESİNDEKİ KURUMLAR:
  ① TDK — Türk Dil Kurumu: Türkçenin araştırılması, sözlük ve gramer çalışmaları
  ② TTK — Türk Tarih Kurumu: Türk ve dünya tarihi araştırmaları, yayınlar
  ③ ATAM — Atatürk Araştırma Merkezi: Atatürk ilke ve inkılapları araştırması
  ④ AKM — Atatürk Kültür Merkezi: Türk kültür ve sanat araştırmaları
  KAPSAM DIŞI:
  ✗ AKM adlı özel kültür merkezleri (resmi olmayan)
  ✗ TDK veya TTK ismiyle benzer adlı başka kuruluşlar
  ✗ Atatürk adını taşıyan belediye/vakıf/dernek kuruluşları
  YMM: Kurumun Cumhurbaşkanlığı'na bağlı resmi kamu kurumu olduğunu resmi website veya Resmî Gazete ilanıyla teyit et.</t>
  </si>
  <si>
    <t>C. DENETİM KONTROL LİSTESİ (K1–K11)</t>
  </si>
  <si>
    <t>Kontrol</t>
  </si>
  <si>
    <t>Sonuç</t>
  </si>
  <si>
    <t>K1</t>
  </si>
  <si>
    <t>★ Alıcı gerçekten AKDTYK veya bünyesindeki TDK/TTK/ATAM/AKM mi?</t>
  </si>
  <si>
    <t>İsim benzerliği olan başka kurum → Kapsam dışı.</t>
  </si>
  <si>
    <t>Uygun/Eksik/Risk</t>
  </si>
  <si>
    <t>K2</t>
  </si>
  <si>
    <t>★ Bağış fiilen yapıldı mı? (Nakdi: Banka — Ayni: Tutanak)</t>
  </si>
  <si>
    <t>Banka dekontu veya teslim tutanağı.</t>
  </si>
  <si>
    <t>K3</t>
  </si>
  <si>
    <t>★ İlgili kurumdan resmi makbuz alındı mı?</t>
  </si>
  <si>
    <t>Makbuz olmadan 472 belgelenemez.</t>
  </si>
  <si>
    <t>K4</t>
  </si>
  <si>
    <t>★ Bağışın amacı 2876 s.K. kapsamında mı?</t>
  </si>
  <si>
    <t>TDK/TTK/ATAM/AKM faaliyet alanı.</t>
  </si>
  <si>
    <t>K5</t>
  </si>
  <si>
    <t>Ayni bağış varsa maliyet/net defter değeri esas alındı mı?</t>
  </si>
  <si>
    <t>Piyasa değeri değil. KDV istisnası.</t>
  </si>
  <si>
    <t>K6</t>
  </si>
  <si>
    <t>C tablosu toplamı D.3 ile mutabık mı?</t>
  </si>
  <si>
    <t>E47 = D.3 eşitliği.</t>
  </si>
  <si>
    <t>K7</t>
  </si>
  <si>
    <t>★ İndirim matrahı aşıyor mu? (Devredilemez!)</t>
  </si>
  <si>
    <t>Aşan kısım beyanname notu.</t>
  </si>
  <si>
    <t>K8</t>
  </si>
  <si>
    <t>✗ YİAKV E.11'de bilgi satırı olarak gösterildi mi?</t>
  </si>
  <si>
    <t>472 DÜŞÜLEMEZ — E.11 bilgi.</t>
  </si>
  <si>
    <t>K9</t>
  </si>
  <si>
    <t>Birden fazla kurum bağışı C tablosunda ayrı satırlarda mı?</t>
  </si>
  <si>
    <t>TDK, TTK, ATAM, AKM ayrı satır.</t>
  </si>
  <si>
    <t>K10</t>
  </si>
  <si>
    <t>Beyanname 472 'Kazancın Bulunması Halinde' bölümünde mi?</t>
  </si>
  <si>
    <t>Zarar döneminde uygulanamaz.</t>
  </si>
  <si>
    <t>K11</t>
  </si>
  <si>
    <t>YMM Tasdik Raporu (49 No.lu Tebliğ) değerlendirildi mi?</t>
  </si>
  <si>
    <t>472 – AKDTYK BAĞIŞLARI 2876 s.K. | MUHASEBE KAYITLARI</t>
  </si>
  <si>
    <t>KAYIT 1 — NAKDİ BAĞIŞ (EFT/HAVALE — TDK / TTK / ATAM / AKM)</t>
  </si>
  <si>
    <t>Tarih</t>
  </si>
  <si>
    <t>Hesap</t>
  </si>
  <si>
    <t>Dr</t>
  </si>
  <si>
    <t>Kr</t>
  </si>
  <si>
    <t>Ref</t>
  </si>
  <si>
    <t>[Bağış Tarihi]</t>
  </si>
  <si>
    <t>689 Diğer Olağan Dışı Gid. / 770 Genel Yön.</t>
  </si>
  <si>
    <t>AKDTYK/TDK/TTK bağışı — gider kaydı</t>
  </si>
  <si>
    <t>[Tutar]</t>
  </si>
  <si>
    <t>—</t>
  </si>
  <si>
    <t>Kurum Makbuzu</t>
  </si>
  <si>
    <t>KAYIT 2 — AYNİ BAĞIŞ (KİTAP / ARŞİV MATERYALİ / EKİPMAN)</t>
  </si>
  <si>
    <t>[Teslim]</t>
  </si>
  <si>
    <t>689 Diğer Olağan Dışı Gid.</t>
  </si>
  <si>
    <t>Ayni bağış — maliyet/net defter değeri</t>
  </si>
  <si>
    <t>[Maliyet]</t>
  </si>
  <si>
    <t>Teslim tutanağı</t>
  </si>
  <si>
    <t>KAYIT 3 — DÖNEM SONU: KKEG + BEYANNAME 472 İNDİRİMİ</t>
  </si>
  <si>
    <t>[Dönem Sonu]</t>
  </si>
  <si>
    <t>951 KKEG</t>
  </si>
  <si>
    <t>Bağış gideri KKEG'e alınır (matrahı artırır)</t>
  </si>
  <si>
    <t>Beyanname eki</t>
  </si>
  <si>
    <t xml:space="preserve">  DÖNEM SONU NET ETKİ — BEYANNAME 472:
  AKDTYK/TDK/TTK/ATAM/AKM bağışı (689/770) → KKEG → Matrahı artırır → Beyanname 472 tamamının indirimi → Matrahtan düşülür.
  YİAKV: ✗ DÜŞÜLEMEZ — E.11 bilgi satırı. Kitap/arşiv ayni bağışında KDV istisnası.</t>
  </si>
  <si>
    <t>472 – AKDTYK BAĞIŞLARI 2876 SAYILI KANUN | DENETÇİ NOTLARI</t>
  </si>
  <si>
    <t>GİB KV Beyan Rehberi 2026 (No:606) | 2876 s.K. | AKDTYK/TDK/TTK/ATAM/AKM | YİAKV E.11</t>
  </si>
  <si>
    <t>Kod</t>
  </si>
  <si>
    <t>Konu</t>
  </si>
  <si>
    <t>Mesleki Değerlendirme / Tasdik Standardı</t>
  </si>
  <si>
    <t>Mevzuat / Kaynak</t>
  </si>
  <si>
    <t>N1</t>
  </si>
  <si>
    <t>2876 s.K. — AKDTYK Kapsam ve Bünyesindeki Kurumlar</t>
  </si>
  <si>
    <t>ATATÜRK KÜLTÜR DİL VE TARİH YÜKSEK KURUMU BAĞIŞI — 2876 s.K.:
2876 sayılı Kanunla kurulan AKDTYK ve bünyesindeki kurumlara yapılan
bağış ve yardımların tamamı kurumlar vergisi matrahından indirilir.
BÜNYESİNDEKİ KURUMLAR:
① TDK (Türk Dil Kurumu): Türkçe araştırma, sözlük, dil politikası
② TTK (Türk Tarih Kurumu): Türk ve dünya tarihi araştırması, yayınlar
③ ATAM (Atatürk Araştırma Merkezi): Atatürk ilke ve inkılapları
④ AKM (Atatürk Kültür Merkezi): Türk kültür ve sanat araştırmaları
AYNİ BAĞIŞ: Kitap, arşiv materyali, dijital içerik, ekipman.
YİAKV: ✗ DÜŞÜLEMEZ (E.11 bilgi) | BEYANNAME: 472</t>
  </si>
  <si>
    <t>2876 s.K. | GİB KV Beyan Reh. 2026 (No:606)</t>
  </si>
  <si>
    <t>N2</t>
  </si>
  <si>
    <t>★ Kapsam Sınırı — İsim Benzerliği Riski</t>
  </si>
  <si>
    <t>EN KRİTİK RİSK — İSİM BENZERLİĞİ:
AKDTYK bünyesindeki kurumların isimleriyle benzer adlı başka
kuruluşlar var olabilir. YMM aşağıdaki kriterlere dikkat etmeli:
KABUL EDİLEBİLİR ALICILAR:
✓ AKDTYK (Atatürk Kültür Dil ve Tarih Yüksek Kurumu) — doğrudan
✓ TDK — Türk Dil Kurumu (resmi, Cumhurbaşkanlığı'na bağlı)
✓ TTK — Türk Tarih Kurumu (resmi, Cumhurbaşkanlığı'na bağlı)
✓ ATAM — Atatürk Araştırma Merkezi (resmi)
✓ AKM — Atatürk Kültür Merkezi (resmi)
KAPSAM DIŞI:
✗ 'Türk Dili Araştırma Derneği' gibi isim benzerliği olan başka kuruluşlar
✗ Atatürk isimli belediye kültür merkezleri
✗ Özel TDK/TTK adlı yayınevleri veya vakıflar
DOĞRULAMA: Resmî Gazete veya Cumhurbaşkanlığı web sitesinden teyit.</t>
  </si>
  <si>
    <t>2876 s.K. | Cumhurbaşkanlığı Mevzuatı | GİB Özelge</t>
  </si>
  <si>
    <t>N3</t>
  </si>
  <si>
    <t>Ayni Bağış — Kitap, Arşiv, Dijital Materyal</t>
  </si>
  <si>
    <t>AKDTYK/TDK/TTK'YA AYNİ BAĞIŞ:
Bu kurumlara özgü sık yapılan ayni bağış türleri:
• Nadir/Antika kitaplar, el yazmaları
• Arşiv materyalleri, fotoğraf koleksiyonları
• Dijital içerik (veri tabanı lisansı, dijital arşiv)
• Araştırma ekipmanı, bilgisayar sistemi
DEĞERLEME:
• Maliyet bedeli (satın alındığı fiyat)
• Net defter değeri (amortisman sonrası — sabit kıymetler için)
• Nadir kitap/el yazması → Antika kıymetleme raporu aranabilir (tartışmalı)
  YMM: Değerleme belirsizse maliyet tabanını benimse ve belgelendir.
KDV: KDVK Md.17/2-b kapsamında istisna — KDV hesaplanmaz.
BELGE: İmzalı teslim-tesellüm tutanağı + Değerleme notu.</t>
  </si>
  <si>
    <t>2876 s.K. | KDVK Md.17/2-b | GİB Özelge</t>
  </si>
  <si>
    <t>N4</t>
  </si>
  <si>
    <t>YİAKV ile İlişki — E.11 Kapsamlı Son Tablo</t>
  </si>
  <si>
    <t>YİAKV (KVK Md.32/C) VE AKDTYK BAĞIŞI:
✗ 472 (2876 s.K.): DÜŞÜLEMEZ → YİAKV E.11
BU OTURUMDA TAMAMLANAN TÜM BAĞIŞ/YARDIM/SPONSORLUK KODLARI:
✗ 402 KVK Md.10/1-c | ✗ 460/461 Sponsorluk
✗ 464 AGF (7474 Md.6) | ✗ 465 AYİF (7441 Md.7)
✗ 466 UAB (7432 Md.8) | ✗ 469 TÜBİTAK (278 s.K.)
✗ 470 Yükseköğretim (2547 s.K.) | ✗ 471 Sosyal Hizmetler (2828 s.K.)
✗ 472 AKDTYK (2876 s.K.)
→ YİAKV E.11 = Tüm kodların toplamı
DÜŞÜLEBILIR (Son Hatırlatma):
✓ 283 Ar-Ge → D.10 | ✓ 455 Tasarım → D.10
✓ 401 Risturn → D.4 | ✓ 413 GSF → D.11</t>
  </si>
  <si>
    <t>KVK Md.32/C | GİB Rehberi No:607 | No:606</t>
  </si>
  <si>
    <t>N5</t>
  </si>
  <si>
    <t>49 No.lu Tebliğ + YMM Tasdik Dil Standardı</t>
  </si>
  <si>
    <t>KULLANIN:
'...2876 sayılı Atatürk Kültür Dil ve Tarih Yüksek Kurumu Kanunu kapsamında
[Alıcı Kurum Adı — TDK/TTK/ATAM/AKM]'a [Bağış Tarihi] tarihinde banka
yoluyla ödenen [Nakdi TL] TL nakdi bağış ile [Ayni TL] TL maliyet bedelindeki
ayni bağışın tamamı olan [Toplam TL] TL, kurumlar vergisi matrahından
indirilmiştir. Söz konusu tutar YİAKV matrahından indirilmemiştir.'
(Matrahı aşıyorsa ekleyin:)
'[Aşan TL] TL'lik kısım matrahı aşması nedeniyle sonraki dönemlere
devredilmemiştir.'
KULLANMAYIN:
'...İsim benzerliği olan başka kuruluşa yapılan bağış 472 kapsamında.'
'...472 YİAKV matrahından düşülmüştür.' (YANLIŞ)
'...Matrahı aşan kısım devredilmiştir.' (Devredilmez!)
KRİTİK RİSKLER:
(1) İsim benzerliği olan başka kuruluşu AKDTYK bünyesi zannetmek.
(2) Makbuz olmadan 472 uygulamak.
(3) Matrahı aşan kısmı devretmeye çalışmak.</t>
  </si>
  <si>
    <t>49 No.lu Tebliğ | 2876 s.K. | SM-SMMM-YMM K. Md.12</t>
  </si>
  <si>
    <t xml:space="preserve">  GİB KV BEYAN REHBERİ MART 2026 (No:606) KAPANIŞ (472): 2876 s.K. — AKDTYK ve bünyesindeki TDK, TTK, ATAM, AKM. İsim benzerliği olan başka kuruluşlar kapsam dışı — resmi kurum belgesiyle teyit. Tamamının indirimi — matrahı aşan devredilmez. Ayni bağışta KDV istisnası. ✗ YİAKV E.11. YMM: SM-SMMM-YMM K. Md.12.</t>
  </si>
  <si>
    <t>472 – AKDTYK BAĞIŞLARI 2876 SAYILI KANUN | BELGE LİSTESİ | YMM TASDİK</t>
  </si>
  <si>
    <t>AKDTYK/TDK/TTK Makbuzu | Resmiyet Belgesi | Banka Dekontu | Teslim Tutanağı | YİAKV E.11</t>
  </si>
  <si>
    <t>KATEGORİ 1 — ZORUNLU BELGELER</t>
  </si>
  <si>
    <t>No</t>
  </si>
  <si>
    <t>Temin</t>
  </si>
  <si>
    <t>1</t>
  </si>
  <si>
    <t>★ AKDTYK / TDK / TTK / ATAM / AKM Resmi Bağış Makbuzu</t>
  </si>
  <si>
    <t>İlgili kurumdan alınan resmi bağış makbuzu veya bağış kabul yazısı. Tutar, tarih ve bağışın amacı belirtilmeli. Zorunlu belge.</t>
  </si>
  <si>
    <t>2</t>
  </si>
  <si>
    <t>Alıcı Kurumun 2876 s.K. Kapsamında Resmi Kamu Kurumu Olduğunu Gösteren Belge</t>
  </si>
  <si>
    <t>Cumhurbaşkanlığı'na bağlı resmi kamu kurumu statüsü teyidi. İsim benzerliği riski nedeniyle gerekebilir. Resmî Gazete ilanı veya Cumhurbaşkanlığı web sitesi çıktısı.</t>
  </si>
  <si>
    <t>Cumhurbaşkanlığı / Resmî Gazete</t>
  </si>
  <si>
    <t>3</t>
  </si>
  <si>
    <t>★ Nakdi Bağış — Banka EFT/Havale Dekontu</t>
  </si>
  <si>
    <t>İlgili kurumun banka hesabına yapılan nakdi ödemenin dekont belgesi. Her ödeme için ayrı dekont.</t>
  </si>
  <si>
    <t>Banka / Şirket hesabı</t>
  </si>
  <si>
    <t>4</t>
  </si>
  <si>
    <t>Ayni Bağış — Teslim-Tesellüm Tutanağı + Maliyet/Değerleme Notu</t>
  </si>
  <si>
    <t>Kitap/arşiv/ekipman bağışı için imzalı teslim tutanağı ve maliyet notu. KDV hesaplanmaz (KDVK Md.17/2-b).</t>
  </si>
  <si>
    <t>Teslim sırasında düzenlenir</t>
  </si>
  <si>
    <t>5</t>
  </si>
  <si>
    <t>KV Beyannamesi 472 Satırı + YİAKV E.11 Bilgi</t>
  </si>
  <si>
    <t>Beyanname 472 = D.5 tutarı. YİAKV E.11 bilgi satırında diğer bağış kodlarıyla toplam.</t>
  </si>
  <si>
    <t>GİB e-Beyanname + YİAKV ÇK</t>
  </si>
  <si>
    <t>KATEGORİ 2 — YMM TASDİK KONTROL SORULARI</t>
  </si>
  <si>
    <t>Beklenen Sonuç</t>
  </si>
  <si>
    <t>YMM Aksiyonu</t>
  </si>
  <si>
    <t>S1</t>
  </si>
  <si>
    <t>★ Alıcı gerçekten AKDTYK/TDK/TTK/ATAM/AKM mi? Resmiyet belgesi?</t>
  </si>
  <si>
    <t>İsim benzerliği riski — resmiyet teyidi zorunlu.</t>
  </si>
  <si>
    <t>YMM kontrolü</t>
  </si>
  <si>
    <t>S2</t>
  </si>
  <si>
    <t>★ Bağış fiilen yapıldı mı? (Banka / teslim)</t>
  </si>
  <si>
    <t>Taahhüt değil — fiili ödeme.</t>
  </si>
  <si>
    <t>S3</t>
  </si>
  <si>
    <t>Makbuz zorunlu.</t>
  </si>
  <si>
    <t>S4</t>
  </si>
  <si>
    <t>S5</t>
  </si>
  <si>
    <t>Ayni bağış varsa maliyet değeri ve KDV istisnası doğru mu?</t>
  </si>
  <si>
    <t>Maliyet esas, KDV yok.</t>
  </si>
  <si>
    <t>S6</t>
  </si>
  <si>
    <t>★ İndirim matrahı aşıyor mu? (Devredilmez!)</t>
  </si>
  <si>
    <t>S7</t>
  </si>
  <si>
    <t>C tablosu toplamı D.5 ile mutabık mı?</t>
  </si>
  <si>
    <t>E47 = D.5 eşitliği.</t>
  </si>
  <si>
    <t>S8</t>
  </si>
  <si>
    <t>✗ YİAKV E.11'de bilgi satırı var mı?</t>
  </si>
  <si>
    <t>S9</t>
  </si>
  <si>
    <t>Birden fazla kurum ayrı satırlarda mı? (C tablosu)</t>
  </si>
  <si>
    <t>TDK, TTK, ATAM ayrı satır.</t>
  </si>
  <si>
    <t>S10</t>
  </si>
  <si>
    <t>YMM Tasdik Raporu değerlendirildi mi?</t>
  </si>
  <si>
    <t>&gt;=500.000 TL → Rapor.</t>
  </si>
  <si>
    <t xml:space="preserve">  GİB KV BEYAN REHBERİ MART 2026 (No:606) | 472 AKDTYK BAĞIŞI SON NOT:
  2876 s.K. — AKDTYK ve bünyesindeki TDK, TTK, ATAM, AKM.
  Tamamının indirimi — matrahı aşan kısım devredilemez.
  İsim benzerliği riski: Alıcı kurumun Cumhurbaşkanlığı'na bağlı resmi kurum olduğu teyit edilmeli.
  Ayni bağışta (kitap/arşiv/ekipman) KDV istisnası uygulanır (KDVK Md.17/2-b).
  ✗ YİAKV E.11 bilgi satırı (402–472 tüm bağış kodları toplamı). YMM: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</si>
</sst>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7B241C"/>
      <name val="Arial"/>
    </font>
    <font>
      <b/>
      <sz val="10"/>
      <color rgb="FF7B241C"/>
      <name val="Arial"/>
    </font>
    <font>
      <sz val="9"/>
      <color rgb="FF1F3864"/>
      <name val="Arial"/>
    </font>
    <font>
      <b/>
      <sz val="9"/>
      <color rgb="FF7B241C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7B241C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DEDEC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AD7D7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B241C"/>
      </left>
      <right style="thin">
        <color rgb="FF7B241C"/>
      </right>
      <top style="thin">
        <color rgb="FF7B241C"/>
      </top>
      <bottom style="thin">
        <color rgb="FF7B241C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2" fillId="14" borderId="7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3" fontId="14" fillId="14" borderId="7" xfId="0" applyNumberFormat="1" applyFont="1" applyFill="1" applyBorder="1" applyAlignment="1">
      <alignment horizontal="right" vertical="center" wrapText="1"/>
    </xf>
    <xf numFmtId="3" fontId="14" fillId="12" borderId="4" xfId="0" applyNumberFormat="1" applyFont="1" applyFill="1" applyBorder="1" applyAlignment="1">
      <alignment horizontal="right" vertical="center" wrapText="1"/>
    </xf>
    <xf numFmtId="3" fontId="15" fillId="13" borderId="8" xfId="0" applyNumberFormat="1" applyFont="1" applyFill="1" applyBorder="1" applyAlignment="1">
      <alignment horizontal="right" vertical="center" wrapText="1"/>
    </xf>
    <xf numFmtId="0" fontId="16" fillId="10" borderId="4" xfId="0" applyFont="1" applyFill="1" applyBorder="1" applyAlignment="1">
      <alignment horizontal="center" vertical="center" wrapText="1"/>
    </xf>
    <xf numFmtId="3" fontId="14" fillId="11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7" fillId="2" borderId="4" xfId="0" applyNumberFormat="1" applyFont="1" applyFill="1" applyBorder="1" applyAlignment="1">
      <alignment horizontal="right" vertical="center" wrapText="1"/>
    </xf>
    <xf numFmtId="3" fontId="18" fillId="2" borderId="8" xfId="0" applyNumberFormat="1" applyFont="1" applyFill="1" applyBorder="1" applyAlignment="1">
      <alignment horizontal="right" vertical="center" wrapText="1"/>
    </xf>
    <xf numFmtId="3" fontId="12" fillId="11" borderId="4" xfId="0" applyNumberFormat="1" applyFont="1" applyFill="1" applyBorder="1" applyAlignment="1">
      <alignment horizontal="right" vertical="center"/>
    </xf>
    <xf numFmtId="0" fontId="12" fillId="14" borderId="4" xfId="0" applyFont="1" applyFill="1" applyBorder="1" applyAlignment="1">
      <alignment horizontal="center" vertical="center"/>
    </xf>
    <xf numFmtId="3" fontId="19" fillId="13" borderId="8" xfId="0" applyNumberFormat="1" applyFont="1" applyFill="1" applyBorder="1" applyAlignment="1">
      <alignment horizontal="right" vertical="center"/>
    </xf>
    <xf numFmtId="0" fontId="21" fillId="15" borderId="4" xfId="0" applyFont="1" applyFill="1" applyBorder="1" applyAlignment="1">
      <alignment horizontal="center" vertical="center"/>
    </xf>
    <xf numFmtId="3" fontId="22" fillId="13" borderId="8" xfId="0" applyNumberFormat="1" applyFont="1" applyFill="1" applyBorder="1" applyAlignment="1">
      <alignment horizontal="right" vertical="center" wrapText="1"/>
    </xf>
    <xf numFmtId="3" fontId="9" fillId="11" borderId="4" xfId="0" applyNumberFormat="1" applyFont="1" applyFill="1" applyBorder="1" applyAlignment="1">
      <alignment horizontal="center" vertical="center"/>
    </xf>
    <xf numFmtId="3" fontId="25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0" fillId="12" borderId="4" xfId="0" applyFill="1" applyBorder="1"/>
    <xf numFmtId="0" fontId="0" fillId="11" borderId="4" xfId="0" applyFill="1" applyBorder="1"/>
    <xf numFmtId="0" fontId="7" fillId="12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6" fillId="19" borderId="4" xfId="0" applyFont="1" applyFill="1" applyBorder="1" applyAlignment="1">
      <alignment horizontal="left" vertical="top" wrapText="1"/>
    </xf>
    <xf numFmtId="0" fontId="29" fillId="13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29" fillId="12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0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6" fillId="22" borderId="4" xfId="0" applyFont="1" applyFill="1" applyBorder="1" applyAlignment="1">
      <alignment horizontal="left" vertical="top" wrapText="1"/>
    </xf>
    <xf numFmtId="0" fontId="31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0" fillId="23" borderId="4" xfId="0" applyFont="1" applyFill="1" applyBorder="1" applyAlignment="1">
      <alignment horizontal="center" vertical="center" wrapText="1"/>
    </xf>
    <xf numFmtId="0" fontId="30" fillId="23" borderId="4" xfId="0" applyFont="1" applyFill="1" applyBorder="1" applyAlignment="1">
      <alignment horizontal="left" vertical="top" wrapText="1"/>
    </xf>
    <xf numFmtId="0" fontId="26" fillId="24" borderId="4" xfId="0" applyFont="1" applyFill="1" applyBorder="1" applyAlignment="1">
      <alignment horizontal="left" vertical="top" wrapText="1"/>
    </xf>
    <xf numFmtId="0" fontId="31" fillId="2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1" fillId="12" borderId="4" xfId="0" applyFont="1" applyFill="1" applyBorder="1" applyAlignment="1">
      <alignment horizontal="left" vertical="center" wrapText="1"/>
    </xf>
    <xf numFmtId="0" fontId="0" fillId="0" borderId="6" xfId="0" applyBorder="1"/>
    <xf numFmtId="0" fontId="7" fillId="12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0" fillId="0" borderId="5" xfId="0" applyBorder="1"/>
    <xf numFmtId="0" fontId="10" fillId="12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14" fillId="14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24" fillId="9" borderId="4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8" fillId="14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5" fillId="13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0" fillId="1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0" fillId="14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23" fillId="13" borderId="4" xfId="0" applyFont="1" applyFill="1" applyBorder="1" applyAlignment="1">
      <alignment horizontal="left" vertical="center" wrapText="1"/>
    </xf>
    <xf numFmtId="0" fontId="26" fillId="17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top" wrapText="1"/>
    </xf>
    <xf numFmtId="0" fontId="26" fillId="11" borderId="4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26" fillId="12" borderId="4" xfId="0" applyFont="1" applyFill="1" applyBorder="1" applyAlignment="1">
      <alignment horizontal="left" vertical="top" wrapText="1"/>
    </xf>
    <xf numFmtId="0" fontId="16" fillId="14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3" fillId="16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6" fillId="15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/>
    </xf>
    <xf numFmtId="0" fontId="28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D0954A-0727-4397-BBC5-4CBE6E44855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8eca016-186b-4004-bf85-e196a476d6c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5" t="s">
        <v>0</v>
      </c>
      <c r="B1" s="60"/>
      <c r="C1" s="60"/>
      <c r="D1" s="60"/>
      <c r="E1" s="60"/>
      <c r="F1" s="60"/>
      <c r="G1" s="61"/>
    </row>
    <row r="2" spans="1:7" ht="22" customHeight="1" x14ac:dyDescent="0.55000000000000004">
      <c r="A2" s="94" t="s">
        <v>1</v>
      </c>
      <c r="B2" s="60"/>
      <c r="C2" s="60"/>
      <c r="D2" s="60"/>
      <c r="E2" s="60"/>
      <c r="F2" s="60"/>
      <c r="G2" s="61"/>
    </row>
    <row r="3" spans="1:7" ht="42" customHeight="1" x14ac:dyDescent="0.55000000000000004">
      <c r="A3" s="87" t="s">
        <v>2</v>
      </c>
      <c r="B3" s="66"/>
      <c r="C3" s="66"/>
      <c r="D3" s="66"/>
      <c r="E3" s="66"/>
      <c r="F3" s="66"/>
      <c r="G3" s="63"/>
    </row>
    <row r="4" spans="1:7" ht="22" customHeight="1" x14ac:dyDescent="0.55000000000000004">
      <c r="A4" s="88" t="s">
        <v>3</v>
      </c>
      <c r="B4" s="66"/>
      <c r="C4" s="66"/>
      <c r="D4" s="66"/>
      <c r="E4" s="66"/>
      <c r="F4" s="66"/>
      <c r="G4" s="63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2" t="s">
        <v>4</v>
      </c>
      <c r="B6" s="60"/>
      <c r="C6" s="60"/>
      <c r="D6" s="60"/>
      <c r="E6" s="60"/>
      <c r="F6" s="60"/>
      <c r="G6" s="61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4" t="s">
        <v>8</v>
      </c>
      <c r="B8" s="66"/>
      <c r="C8" s="66"/>
      <c r="D8" s="63"/>
      <c r="E8" s="3" t="s">
        <v>9</v>
      </c>
      <c r="F8" s="86" t="s">
        <v>10</v>
      </c>
      <c r="G8" s="63"/>
    </row>
    <row r="9" spans="1:7" ht="28" customHeight="1" x14ac:dyDescent="0.55000000000000004">
      <c r="A9" s="84" t="s">
        <v>11</v>
      </c>
      <c r="B9" s="66"/>
      <c r="C9" s="66"/>
      <c r="D9" s="63"/>
      <c r="E9" s="3" t="s">
        <v>9</v>
      </c>
      <c r="F9" s="86" t="s">
        <v>12</v>
      </c>
      <c r="G9" s="63"/>
    </row>
    <row r="10" spans="1:7" ht="28" customHeight="1" x14ac:dyDescent="0.55000000000000004">
      <c r="A10" s="80" t="s">
        <v>13</v>
      </c>
      <c r="B10" s="66"/>
      <c r="C10" s="66"/>
      <c r="D10" s="63"/>
      <c r="E10" s="3" t="s">
        <v>9</v>
      </c>
      <c r="F10" s="81" t="s">
        <v>14</v>
      </c>
      <c r="G10" s="63"/>
    </row>
    <row r="11" spans="1:7" ht="28" customHeight="1" x14ac:dyDescent="0.55000000000000004">
      <c r="A11" s="64" t="s">
        <v>15</v>
      </c>
      <c r="B11" s="66"/>
      <c r="C11" s="66"/>
      <c r="D11" s="63"/>
      <c r="E11" s="3" t="s">
        <v>9</v>
      </c>
      <c r="F11" s="77" t="s">
        <v>16</v>
      </c>
      <c r="G11" s="63"/>
    </row>
    <row r="12" spans="1:7" ht="28" customHeight="1" x14ac:dyDescent="0.55000000000000004">
      <c r="A12" s="80" t="s">
        <v>17</v>
      </c>
      <c r="B12" s="66"/>
      <c r="C12" s="66"/>
      <c r="D12" s="63"/>
      <c r="E12" s="3" t="s">
        <v>9</v>
      </c>
      <c r="F12" s="81" t="s">
        <v>18</v>
      </c>
      <c r="G12" s="63"/>
    </row>
    <row r="13" spans="1:7" ht="28" customHeight="1" x14ac:dyDescent="0.55000000000000004">
      <c r="A13" s="64" t="s">
        <v>19</v>
      </c>
      <c r="B13" s="66"/>
      <c r="C13" s="66"/>
      <c r="D13" s="63"/>
      <c r="E13" s="3" t="s">
        <v>9</v>
      </c>
      <c r="F13" s="77" t="s">
        <v>20</v>
      </c>
      <c r="G13" s="63"/>
    </row>
    <row r="14" spans="1:7" ht="28" customHeight="1" x14ac:dyDescent="0.55000000000000004">
      <c r="A14" s="80" t="s">
        <v>21</v>
      </c>
      <c r="B14" s="66"/>
      <c r="C14" s="66"/>
      <c r="D14" s="63"/>
      <c r="E14" s="3" t="s">
        <v>9</v>
      </c>
      <c r="F14" s="81" t="s">
        <v>22</v>
      </c>
      <c r="G14" s="63"/>
    </row>
    <row r="15" spans="1:7" ht="24" customHeight="1" x14ac:dyDescent="0.55000000000000004">
      <c r="A15" s="73" t="s">
        <v>23</v>
      </c>
      <c r="B15" s="66"/>
      <c r="C15" s="66"/>
      <c r="D15" s="63"/>
      <c r="E15" s="4" t="str">
        <f>IF(AND(E8="EVET",E9="EVET",E10="EVET",E11="EVET"),"OK - Hesaplanabilir","HATA - Ön koşul eksik")</f>
        <v>OK - Hesaplanabilir</v>
      </c>
      <c r="F15" s="71" t="s">
        <v>24</v>
      </c>
      <c r="G15" s="63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59" t="s">
        <v>25</v>
      </c>
      <c r="B17" s="60"/>
      <c r="C17" s="60"/>
      <c r="D17" s="60"/>
      <c r="E17" s="60"/>
      <c r="F17" s="60"/>
      <c r="G17" s="61"/>
    </row>
    <row r="18" spans="1:7" ht="22" customHeight="1" x14ac:dyDescent="0.55000000000000004">
      <c r="A18" s="80" t="s">
        <v>26</v>
      </c>
      <c r="B18" s="63"/>
      <c r="C18" s="65"/>
      <c r="D18" s="66"/>
      <c r="E18" s="63"/>
      <c r="F18" s="68" t="s">
        <v>27</v>
      </c>
      <c r="G18" s="63"/>
    </row>
    <row r="19" spans="1:7" ht="22" customHeight="1" x14ac:dyDescent="0.55000000000000004">
      <c r="A19" s="64" t="s">
        <v>28</v>
      </c>
      <c r="B19" s="63"/>
      <c r="C19" s="65"/>
      <c r="D19" s="66"/>
      <c r="E19" s="63"/>
      <c r="F19" s="67" t="s">
        <v>29</v>
      </c>
      <c r="G19" s="63"/>
    </row>
    <row r="20" spans="1:7" ht="22" customHeight="1" x14ac:dyDescent="0.55000000000000004">
      <c r="A20" s="80" t="s">
        <v>30</v>
      </c>
      <c r="B20" s="63"/>
      <c r="C20" s="65"/>
      <c r="D20" s="66"/>
      <c r="E20" s="63"/>
      <c r="F20" s="68" t="s">
        <v>31</v>
      </c>
      <c r="G20" s="63"/>
    </row>
    <row r="21" spans="1:7" ht="22" customHeight="1" x14ac:dyDescent="0.55000000000000004">
      <c r="A21" s="64" t="s">
        <v>32</v>
      </c>
      <c r="B21" s="63"/>
      <c r="C21" s="65"/>
      <c r="D21" s="66"/>
      <c r="E21" s="63"/>
      <c r="F21" s="67" t="s">
        <v>33</v>
      </c>
      <c r="G21" s="63"/>
    </row>
    <row r="22" spans="1:7" ht="22" customHeight="1" x14ac:dyDescent="0.55000000000000004">
      <c r="A22" s="80" t="s">
        <v>34</v>
      </c>
      <c r="B22" s="63"/>
      <c r="C22" s="65"/>
      <c r="D22" s="66"/>
      <c r="E22" s="63"/>
      <c r="F22" s="68" t="s">
        <v>35</v>
      </c>
      <c r="G22" s="63"/>
    </row>
    <row r="23" spans="1:7" ht="22" customHeight="1" x14ac:dyDescent="0.55000000000000004">
      <c r="A23" s="64" t="s">
        <v>36</v>
      </c>
      <c r="B23" s="63"/>
      <c r="C23" s="65"/>
      <c r="D23" s="66"/>
      <c r="E23" s="63"/>
      <c r="F23" s="67" t="s">
        <v>37</v>
      </c>
      <c r="G23" s="63"/>
    </row>
    <row r="24" spans="1:7" ht="22" customHeight="1" x14ac:dyDescent="0.55000000000000004">
      <c r="A24" s="80" t="s">
        <v>38</v>
      </c>
      <c r="B24" s="63"/>
      <c r="C24" s="65"/>
      <c r="D24" s="66"/>
      <c r="E24" s="63"/>
      <c r="F24" s="68" t="s">
        <v>39</v>
      </c>
      <c r="G24" s="63"/>
    </row>
    <row r="26" spans="1:7" ht="5.05" customHeight="1" x14ac:dyDescent="0.55000000000000004">
      <c r="A26" s="1"/>
      <c r="B26" s="1"/>
      <c r="C26" s="1"/>
      <c r="D26" s="1"/>
      <c r="E26" s="1"/>
      <c r="F26" s="1"/>
      <c r="G26" s="1"/>
    </row>
    <row r="27" spans="1:7" ht="24" customHeight="1" x14ac:dyDescent="0.55000000000000004">
      <c r="A27" s="59" t="s">
        <v>40</v>
      </c>
      <c r="B27" s="60"/>
      <c r="C27" s="60"/>
      <c r="D27" s="60"/>
      <c r="E27" s="60"/>
      <c r="F27" s="60"/>
      <c r="G27" s="61"/>
    </row>
    <row r="28" spans="1:7" ht="18" customHeight="1" x14ac:dyDescent="0.55000000000000004">
      <c r="A28" s="2"/>
      <c r="B28" s="2" t="s">
        <v>41</v>
      </c>
      <c r="C28" s="2"/>
      <c r="D28" s="2" t="s">
        <v>42</v>
      </c>
      <c r="E28" s="2"/>
      <c r="F28" s="2" t="s">
        <v>43</v>
      </c>
      <c r="G28" s="2" t="s">
        <v>44</v>
      </c>
    </row>
    <row r="29" spans="1:7" ht="26.05" customHeight="1" x14ac:dyDescent="0.55000000000000004">
      <c r="A29" s="64" t="s">
        <v>45</v>
      </c>
      <c r="B29" s="63"/>
      <c r="C29" s="3" t="s">
        <v>46</v>
      </c>
      <c r="D29" s="67" t="s">
        <v>47</v>
      </c>
      <c r="E29" s="63"/>
      <c r="F29" s="62" t="s">
        <v>48</v>
      </c>
      <c r="G29" s="63"/>
    </row>
    <row r="30" spans="1:7" ht="26.05" customHeight="1" x14ac:dyDescent="0.55000000000000004">
      <c r="A30" s="80" t="s">
        <v>49</v>
      </c>
      <c r="B30" s="63"/>
      <c r="C30" s="3" t="s">
        <v>50</v>
      </c>
      <c r="D30" s="68" t="s">
        <v>51</v>
      </c>
      <c r="E30" s="63"/>
      <c r="F30" s="83" t="s">
        <v>52</v>
      </c>
      <c r="G30" s="63"/>
    </row>
    <row r="31" spans="1:7" ht="26.05" customHeight="1" x14ac:dyDescent="0.55000000000000004">
      <c r="A31" s="64" t="s">
        <v>53</v>
      </c>
      <c r="B31" s="63"/>
      <c r="C31" s="3" t="s">
        <v>54</v>
      </c>
      <c r="D31" s="67" t="s">
        <v>55</v>
      </c>
      <c r="E31" s="63"/>
      <c r="F31" s="62" t="s">
        <v>56</v>
      </c>
      <c r="G31" s="63"/>
    </row>
    <row r="32" spans="1:7" ht="26.05" customHeight="1" x14ac:dyDescent="0.55000000000000004">
      <c r="A32" s="80" t="s">
        <v>57</v>
      </c>
      <c r="B32" s="63"/>
      <c r="C32" s="5"/>
      <c r="D32" s="68" t="s">
        <v>58</v>
      </c>
      <c r="E32" s="63"/>
      <c r="F32" s="83" t="s">
        <v>59</v>
      </c>
      <c r="G32" s="63"/>
    </row>
    <row r="33" spans="1:7" ht="26.05" customHeight="1" x14ac:dyDescent="0.55000000000000004">
      <c r="A33" s="76" t="s">
        <v>60</v>
      </c>
      <c r="B33" s="63"/>
      <c r="C33" s="5"/>
      <c r="D33" s="67" t="s">
        <v>61</v>
      </c>
      <c r="E33" s="63"/>
      <c r="F33" s="62" t="s">
        <v>62</v>
      </c>
      <c r="G33" s="63"/>
    </row>
    <row r="34" spans="1:7" ht="26.05" customHeight="1" x14ac:dyDescent="0.55000000000000004">
      <c r="A34" s="80" t="s">
        <v>63</v>
      </c>
      <c r="B34" s="63"/>
      <c r="C34" s="5"/>
      <c r="D34" s="68" t="s">
        <v>64</v>
      </c>
      <c r="E34" s="63"/>
      <c r="F34" s="83" t="s">
        <v>65</v>
      </c>
      <c r="G34" s="63"/>
    </row>
    <row r="35" spans="1:7" ht="26.05" customHeight="1" x14ac:dyDescent="0.55000000000000004">
      <c r="A35" s="76" t="s">
        <v>66</v>
      </c>
      <c r="B35" s="63"/>
      <c r="C35" s="6">
        <f>C33+C34</f>
        <v>0</v>
      </c>
      <c r="D35" s="67" t="s">
        <v>67</v>
      </c>
      <c r="E35" s="63"/>
      <c r="F35" s="62" t="s">
        <v>68</v>
      </c>
      <c r="G35" s="63"/>
    </row>
    <row r="36" spans="1:7" ht="26.05" customHeight="1" x14ac:dyDescent="0.55000000000000004">
      <c r="A36" s="89" t="s">
        <v>69</v>
      </c>
      <c r="B36" s="63"/>
      <c r="C36" s="5"/>
      <c r="D36" s="68" t="s">
        <v>70</v>
      </c>
      <c r="E36" s="63"/>
      <c r="F36" s="83" t="s">
        <v>71</v>
      </c>
      <c r="G36" s="63"/>
    </row>
    <row r="37" spans="1:7" ht="5.05" customHeight="1" x14ac:dyDescent="0.55000000000000004">
      <c r="A37" s="1"/>
      <c r="B37" s="1"/>
      <c r="C37" s="1"/>
      <c r="D37" s="1"/>
      <c r="E37" s="1"/>
      <c r="F37" s="1"/>
      <c r="G37" s="1"/>
    </row>
    <row r="38" spans="1:7" ht="24" customHeight="1" x14ac:dyDescent="0.55000000000000004">
      <c r="A38" s="59" t="s">
        <v>72</v>
      </c>
      <c r="B38" s="60"/>
      <c r="C38" s="60"/>
      <c r="D38" s="60"/>
      <c r="E38" s="60"/>
      <c r="F38" s="60"/>
      <c r="G38" s="61"/>
    </row>
    <row r="39" spans="1:7" ht="22" customHeight="1" x14ac:dyDescent="0.55000000000000004">
      <c r="A39" s="72" t="s">
        <v>73</v>
      </c>
      <c r="B39" s="66"/>
      <c r="C39" s="66"/>
      <c r="D39" s="66"/>
      <c r="E39" s="66"/>
      <c r="F39" s="66"/>
      <c r="G39" s="63"/>
    </row>
    <row r="40" spans="1:7" ht="18" customHeight="1" x14ac:dyDescent="0.55000000000000004">
      <c r="A40" s="7" t="s">
        <v>74</v>
      </c>
      <c r="B40" s="7" t="s">
        <v>75</v>
      </c>
      <c r="C40" s="7" t="s">
        <v>76</v>
      </c>
      <c r="D40" s="7" t="s">
        <v>77</v>
      </c>
      <c r="E40" s="7" t="s">
        <v>78</v>
      </c>
      <c r="F40" s="7" t="s">
        <v>79</v>
      </c>
      <c r="G40" s="7" t="s">
        <v>80</v>
      </c>
    </row>
    <row r="41" spans="1:7" ht="26.05" customHeight="1" x14ac:dyDescent="0.55000000000000004">
      <c r="A41" s="8"/>
      <c r="B41" s="9"/>
      <c r="C41" s="10"/>
      <c r="D41" s="10"/>
      <c r="E41" s="11">
        <f t="shared" ref="E41:E46" si="0">IF(OR(C41&gt;0,D41&gt;0),C41+D41,0)</f>
        <v>0</v>
      </c>
      <c r="F41" s="12">
        <f t="shared" ref="F41:F46" si="1">E41</f>
        <v>0</v>
      </c>
      <c r="G41" s="13"/>
    </row>
    <row r="42" spans="1:7" ht="26.05" customHeight="1" x14ac:dyDescent="0.55000000000000004">
      <c r="A42" s="8"/>
      <c r="B42" s="9"/>
      <c r="C42" s="10"/>
      <c r="D42" s="10"/>
      <c r="E42" s="14">
        <f t="shared" si="0"/>
        <v>0</v>
      </c>
      <c r="F42" s="12">
        <f t="shared" si="1"/>
        <v>0</v>
      </c>
      <c r="G42" s="13"/>
    </row>
    <row r="43" spans="1:7" ht="26.05" customHeight="1" x14ac:dyDescent="0.55000000000000004">
      <c r="A43" s="8"/>
      <c r="B43" s="9"/>
      <c r="C43" s="10"/>
      <c r="D43" s="10"/>
      <c r="E43" s="11">
        <f t="shared" si="0"/>
        <v>0</v>
      </c>
      <c r="F43" s="12">
        <f t="shared" si="1"/>
        <v>0</v>
      </c>
      <c r="G43" s="13"/>
    </row>
    <row r="44" spans="1:7" ht="26.05" customHeight="1" x14ac:dyDescent="0.55000000000000004">
      <c r="A44" s="8"/>
      <c r="B44" s="9"/>
      <c r="C44" s="10"/>
      <c r="D44" s="10"/>
      <c r="E44" s="14">
        <f t="shared" si="0"/>
        <v>0</v>
      </c>
      <c r="F44" s="12">
        <f t="shared" si="1"/>
        <v>0</v>
      </c>
      <c r="G44" s="13"/>
    </row>
    <row r="45" spans="1:7" ht="26.05" customHeight="1" x14ac:dyDescent="0.55000000000000004">
      <c r="A45" s="8"/>
      <c r="B45" s="9"/>
      <c r="C45" s="10"/>
      <c r="D45" s="10"/>
      <c r="E45" s="11">
        <f t="shared" si="0"/>
        <v>0</v>
      </c>
      <c r="F45" s="12">
        <f t="shared" si="1"/>
        <v>0</v>
      </c>
      <c r="G45" s="13"/>
    </row>
    <row r="46" spans="1:7" ht="26.05" customHeight="1" x14ac:dyDescent="0.55000000000000004">
      <c r="A46" s="8"/>
      <c r="B46" s="9"/>
      <c r="C46" s="10"/>
      <c r="D46" s="10"/>
      <c r="E46" s="14">
        <f t="shared" si="0"/>
        <v>0</v>
      </c>
      <c r="F46" s="12">
        <f t="shared" si="1"/>
        <v>0</v>
      </c>
      <c r="G46" s="13"/>
    </row>
    <row r="47" spans="1:7" ht="30" customHeight="1" x14ac:dyDescent="0.55000000000000004">
      <c r="A47" s="97" t="s">
        <v>81</v>
      </c>
      <c r="B47" s="63"/>
      <c r="C47" s="15">
        <f>SUM(C41:C46)</f>
        <v>0</v>
      </c>
      <c r="D47" s="15">
        <f>SUM(D41:D46)</f>
        <v>0</v>
      </c>
      <c r="E47" s="16">
        <f>SUM(E41:E46)</f>
        <v>0</v>
      </c>
      <c r="F47" s="17">
        <f>SUM(F41:F46)</f>
        <v>0</v>
      </c>
      <c r="G47" s="90" t="s">
        <v>82</v>
      </c>
    </row>
    <row r="48" spans="1:7" ht="5.05" customHeight="1" x14ac:dyDescent="0.55000000000000004">
      <c r="A48" s="1"/>
      <c r="B48" s="1"/>
      <c r="C48" s="1"/>
      <c r="D48" s="1"/>
      <c r="E48" s="1"/>
      <c r="F48" s="1"/>
      <c r="G48" s="1"/>
    </row>
    <row r="49" spans="1:7" ht="24" customHeight="1" x14ac:dyDescent="0.55000000000000004">
      <c r="A49" s="59" t="s">
        <v>83</v>
      </c>
      <c r="B49" s="60"/>
      <c r="C49" s="60"/>
      <c r="D49" s="60"/>
      <c r="E49" s="60"/>
      <c r="F49" s="60"/>
      <c r="G49" s="61"/>
    </row>
    <row r="50" spans="1:7" ht="18" customHeight="1" x14ac:dyDescent="0.55000000000000004">
      <c r="A50" s="2"/>
      <c r="B50" s="2" t="s">
        <v>84</v>
      </c>
      <c r="C50" s="2"/>
      <c r="D50" s="2" t="s">
        <v>85</v>
      </c>
      <c r="E50" s="2"/>
      <c r="F50" s="2" t="s">
        <v>43</v>
      </c>
      <c r="G50" s="2" t="s">
        <v>86</v>
      </c>
    </row>
    <row r="51" spans="1:7" ht="28" customHeight="1" x14ac:dyDescent="0.55000000000000004">
      <c r="A51" s="64" t="s">
        <v>87</v>
      </c>
      <c r="B51" s="63"/>
      <c r="C51" s="18">
        <f>C47</f>
        <v>0</v>
      </c>
      <c r="D51" s="67" t="s">
        <v>88</v>
      </c>
      <c r="E51" s="63"/>
      <c r="F51" s="77"/>
      <c r="G51" s="63"/>
    </row>
    <row r="52" spans="1:7" ht="28" customHeight="1" x14ac:dyDescent="0.55000000000000004">
      <c r="A52" s="80" t="s">
        <v>89</v>
      </c>
      <c r="B52" s="63"/>
      <c r="C52" s="18">
        <f>D47</f>
        <v>0</v>
      </c>
      <c r="D52" s="68" t="s">
        <v>90</v>
      </c>
      <c r="E52" s="63"/>
      <c r="F52" s="81"/>
      <c r="G52" s="63"/>
    </row>
    <row r="53" spans="1:7" ht="28" customHeight="1" x14ac:dyDescent="0.55000000000000004">
      <c r="A53" s="64" t="s">
        <v>91</v>
      </c>
      <c r="B53" s="63"/>
      <c r="C53" s="18">
        <f>E47</f>
        <v>0</v>
      </c>
      <c r="D53" s="67" t="s">
        <v>92</v>
      </c>
      <c r="E53" s="63"/>
      <c r="F53" s="77"/>
      <c r="G53" s="63"/>
    </row>
    <row r="54" spans="1:7" ht="28" customHeight="1" x14ac:dyDescent="0.55000000000000004">
      <c r="A54" s="69" t="s">
        <v>93</v>
      </c>
      <c r="B54" s="63"/>
      <c r="C54" s="19" t="s">
        <v>94</v>
      </c>
      <c r="D54" s="95" t="s">
        <v>95</v>
      </c>
      <c r="E54" s="63"/>
      <c r="F54" s="82" t="s">
        <v>96</v>
      </c>
      <c r="G54" s="63"/>
    </row>
    <row r="55" spans="1:7" ht="28" customHeight="1" x14ac:dyDescent="0.55000000000000004">
      <c r="A55" s="91" t="s">
        <v>97</v>
      </c>
      <c r="B55" s="63"/>
      <c r="C55" s="20">
        <f>F47</f>
        <v>0</v>
      </c>
      <c r="D55" s="93" t="s">
        <v>98</v>
      </c>
      <c r="E55" s="63"/>
      <c r="F55" s="96" t="s">
        <v>96</v>
      </c>
      <c r="G55" s="63"/>
    </row>
    <row r="56" spans="1:7" ht="28" customHeight="1" x14ac:dyDescent="0.55000000000000004">
      <c r="A56" s="75" t="s">
        <v>99</v>
      </c>
      <c r="B56" s="63"/>
      <c r="C56" s="21" t="s">
        <v>100</v>
      </c>
      <c r="D56" s="78" t="s">
        <v>101</v>
      </c>
      <c r="E56" s="63"/>
      <c r="F56" s="79" t="s">
        <v>102</v>
      </c>
      <c r="G56" s="63"/>
    </row>
    <row r="57" spans="1:7" ht="5.05" customHeight="1" x14ac:dyDescent="0.55000000000000004">
      <c r="A57" s="1"/>
      <c r="B57" s="1"/>
      <c r="C57" s="1"/>
      <c r="D57" s="1"/>
      <c r="E57" s="1"/>
      <c r="F57" s="1"/>
      <c r="G57" s="1"/>
    </row>
    <row r="58" spans="1:7" ht="32.049999999999997" customHeight="1" x14ac:dyDescent="0.55000000000000004">
      <c r="A58" s="70" t="s">
        <v>103</v>
      </c>
      <c r="B58" s="66"/>
      <c r="C58" s="66"/>
      <c r="D58" s="63"/>
      <c r="E58" s="22" t="str">
        <f>D55</f>
        <v>→ Beyanname 472 | Kazancın Bulunması Halinde</v>
      </c>
      <c r="F58" s="98" t="s">
        <v>104</v>
      </c>
      <c r="G58" s="63"/>
    </row>
    <row r="59" spans="1:7" ht="30" customHeight="1" x14ac:dyDescent="0.55000000000000004">
      <c r="A59" s="74" t="s">
        <v>105</v>
      </c>
      <c r="B59" s="66"/>
      <c r="C59" s="66"/>
      <c r="D59" s="66"/>
      <c r="E59" s="66"/>
      <c r="F59" s="66"/>
      <c r="G59" s="63"/>
    </row>
  </sheetData>
  <mergeCells count="94">
    <mergeCell ref="A2:G2"/>
    <mergeCell ref="F14:G14"/>
    <mergeCell ref="D54:E54"/>
    <mergeCell ref="A14:D14"/>
    <mergeCell ref="F11:G11"/>
    <mergeCell ref="A24:B24"/>
    <mergeCell ref="F12:G12"/>
    <mergeCell ref="F24:G24"/>
    <mergeCell ref="F51:G51"/>
    <mergeCell ref="D32:E32"/>
    <mergeCell ref="F32:G32"/>
    <mergeCell ref="A18:B18"/>
    <mergeCell ref="F35:G35"/>
    <mergeCell ref="C19:E19"/>
    <mergeCell ref="A47:B47"/>
    <mergeCell ref="F52:G52"/>
    <mergeCell ref="F8:G8"/>
    <mergeCell ref="A21:B21"/>
    <mergeCell ref="A6:G6"/>
    <mergeCell ref="A32:B32"/>
    <mergeCell ref="F22:G22"/>
    <mergeCell ref="A23:B23"/>
    <mergeCell ref="D30:E30"/>
    <mergeCell ref="A12:D12"/>
    <mergeCell ref="A20:B20"/>
    <mergeCell ref="A29:B29"/>
    <mergeCell ref="A27:G27"/>
    <mergeCell ref="A31:B31"/>
    <mergeCell ref="A1:G1"/>
    <mergeCell ref="F31:G31"/>
    <mergeCell ref="F9:G9"/>
    <mergeCell ref="C24:E24"/>
    <mergeCell ref="A52:B52"/>
    <mergeCell ref="A3:G3"/>
    <mergeCell ref="D29:E29"/>
    <mergeCell ref="A34:B34"/>
    <mergeCell ref="A8:D8"/>
    <mergeCell ref="A4:G4"/>
    <mergeCell ref="A36:B36"/>
    <mergeCell ref="A38:G38"/>
    <mergeCell ref="G47"/>
    <mergeCell ref="A10:D10"/>
    <mergeCell ref="F21:G21"/>
    <mergeCell ref="D52:E52"/>
    <mergeCell ref="A9:D9"/>
    <mergeCell ref="F30:G30"/>
    <mergeCell ref="F20:G20"/>
    <mergeCell ref="F18:G18"/>
    <mergeCell ref="F33:G33"/>
    <mergeCell ref="A11:D11"/>
    <mergeCell ref="F10:G10"/>
    <mergeCell ref="F54:G54"/>
    <mergeCell ref="D34:E34"/>
    <mergeCell ref="F19:G19"/>
    <mergeCell ref="C22:E22"/>
    <mergeCell ref="F34:G34"/>
    <mergeCell ref="A49:G49"/>
    <mergeCell ref="D53:E53"/>
    <mergeCell ref="F36:G36"/>
    <mergeCell ref="F53:G53"/>
    <mergeCell ref="A59:G59"/>
    <mergeCell ref="A56:B56"/>
    <mergeCell ref="A33:B33"/>
    <mergeCell ref="F23:G23"/>
    <mergeCell ref="C18:E18"/>
    <mergeCell ref="D56:E56"/>
    <mergeCell ref="F56:G56"/>
    <mergeCell ref="A22:B22"/>
    <mergeCell ref="A53:B53"/>
    <mergeCell ref="A35:B35"/>
    <mergeCell ref="D33:E33"/>
    <mergeCell ref="A19:B19"/>
    <mergeCell ref="D51:E51"/>
    <mergeCell ref="C20:E20"/>
    <mergeCell ref="D35:E35"/>
    <mergeCell ref="A30:B30"/>
    <mergeCell ref="A13:D13"/>
    <mergeCell ref="A54:B54"/>
    <mergeCell ref="A58:D58"/>
    <mergeCell ref="F15:G15"/>
    <mergeCell ref="C23:E23"/>
    <mergeCell ref="A39:G39"/>
    <mergeCell ref="A15:D15"/>
    <mergeCell ref="F13:G13"/>
    <mergeCell ref="A55:B55"/>
    <mergeCell ref="D55:E55"/>
    <mergeCell ref="F55:G55"/>
    <mergeCell ref="F58:G58"/>
    <mergeCell ref="A17:G17"/>
    <mergeCell ref="F29:G29"/>
    <mergeCell ref="A51:B51"/>
    <mergeCell ref="C21:E21"/>
    <mergeCell ref="D31:E31"/>
    <mergeCell ref="D36:E36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10">
    <dataValidation type="list" sqref="E8" xr:uid="{00000000-0002-0000-0000-000000000000}">
      <formula1>"EVET,HAYIR-Kapsam Dışı Kurum"</formula1>
    </dataValidation>
    <dataValidation type="list" sqref="E9" xr:uid="{00000000-0002-0000-0000-000001000000}">
      <formula1>"EVET,HAYIR-Taahhüt Aşamasında"</formula1>
    </dataValidation>
    <dataValidation type="list" sqref="E10" xr:uid="{00000000-0002-0000-0000-000002000000}">
      <formula1>"EVET,HAYIR-Belge Eksik"</formula1>
    </dataValidation>
    <dataValidation type="list" sqref="E11" xr:uid="{00000000-0002-0000-0000-000003000000}">
      <formula1>"EVET,HAYIR-Amaç Dışı"</formula1>
    </dataValidation>
    <dataValidation type="list" sqref="E12" xr:uid="{00000000-0002-0000-0000-000004000000}">
      <formula1>"EVET,HAYIR-Değerleme Eksik,Uygulanmaz-Yalnızca Nakdi"</formula1>
    </dataValidation>
    <dataValidation type="list" sqref="E13" xr:uid="{00000000-0002-0000-0000-000005000000}">
      <formula1>"EVET,HAYIR-Eksik"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"Nakdi (Banka Transferi/EFT/Havale),Ayni (Kitap/Arşiv/Kültürel Materyal/Ekipman),Karma (Nakdi + Ayni)"</formula1>
    </dataValidation>
    <dataValidation type="list" sqref="C30" xr:uid="{00000000-0002-0000-0000-000008000000}">
      <formula1>_xlfn._LONGTEXT("Atatürk Kültür Dil ve Tarih Yüksek Kurumu (AKDTYK),Türk Dil Kurumu (TDK — AKDTYK bünyesi),Türk Tarih Kurumu (TTK — AKDTYK bünyesi),Atatürk Araştırma Merkezi (ATAM — AKDTYK bünyesi),Atatürk Kültür Merkezi (AKM — AKDTYK bünyesi),Diğer 2876 s.K. Kapsamı Kuru","m")</formula1>
    </dataValidation>
    <dataValidation type="list" sqref="C31" xr:uid="{00000000-0002-0000-0000-000009000000}">
      <formula1>_xlfn._LONGTEXT("Türk Dili Araştırma ve Geliştirme Faaliyetleri,Türk Tarihi Araştırma ve Yayın Faaliyetleri,Atatürk İlke ve İnkılapları Araştırması,Kültürel Miras ve Arşiv Çalışmaları,Yayın ve Eser Basımı Desteği,Kongre ve Sempozyum Desteği,Diğer 2876 s.K. Kapsamı Akademi","k/Kültürel Faaliyet")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10" t="s">
        <v>106</v>
      </c>
      <c r="B1" s="60"/>
      <c r="C1" s="60"/>
      <c r="D1" s="60"/>
      <c r="E1" s="60"/>
      <c r="F1" s="60"/>
      <c r="G1" s="61"/>
    </row>
    <row r="2" spans="1:7" ht="20.05" customHeight="1" x14ac:dyDescent="0.55000000000000004">
      <c r="A2" s="111" t="s">
        <v>107</v>
      </c>
      <c r="B2" s="66"/>
      <c r="C2" s="66"/>
      <c r="D2" s="66"/>
      <c r="E2" s="66"/>
      <c r="F2" s="66"/>
      <c r="G2" s="63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1" t="s">
        <v>108</v>
      </c>
      <c r="B4" s="60"/>
      <c r="C4" s="60"/>
      <c r="D4" s="60"/>
      <c r="E4" s="60"/>
      <c r="F4" s="60"/>
      <c r="G4" s="61"/>
    </row>
    <row r="5" spans="1:7" ht="22" customHeight="1" x14ac:dyDescent="0.55000000000000004">
      <c r="A5" s="107" t="s">
        <v>109</v>
      </c>
      <c r="B5" s="66"/>
      <c r="C5" s="63"/>
      <c r="D5" s="23" t="str">
        <f>'VERİ GİRİŞİ'!E15</f>
        <v>OK - Hesaplanabilir</v>
      </c>
      <c r="E5" s="77" t="s">
        <v>110</v>
      </c>
      <c r="F5" s="66"/>
      <c r="G5" s="63"/>
    </row>
    <row r="6" spans="1:7" ht="22" customHeight="1" x14ac:dyDescent="0.55000000000000004">
      <c r="A6" s="108" t="s">
        <v>111</v>
      </c>
      <c r="B6" s="66"/>
      <c r="C6" s="63"/>
      <c r="D6" s="23" t="str">
        <f>'VERİ GİRİŞİ'!C30</f>
        <v>Atatürk Kültür Dil ve Tarih Yüksek Kurumu (AKDTYK)</v>
      </c>
      <c r="E6" s="81" t="s">
        <v>112</v>
      </c>
      <c r="F6" s="66"/>
      <c r="G6" s="63"/>
    </row>
    <row r="7" spans="1:7" ht="22" customHeight="1" x14ac:dyDescent="0.55000000000000004">
      <c r="A7" s="107" t="s">
        <v>113</v>
      </c>
      <c r="B7" s="66"/>
      <c r="C7" s="63"/>
      <c r="D7" s="23" t="str">
        <f>'VERİ GİRİŞİ'!C31</f>
        <v>Türk Dili Araştırma ve Geliştirme Faaliyetleri</v>
      </c>
      <c r="E7" s="77" t="s">
        <v>114</v>
      </c>
      <c r="F7" s="66"/>
      <c r="G7" s="63"/>
    </row>
    <row r="8" spans="1:7" ht="22" customHeight="1" x14ac:dyDescent="0.55000000000000004">
      <c r="A8" s="108" t="s">
        <v>115</v>
      </c>
      <c r="B8" s="66"/>
      <c r="C8" s="63"/>
      <c r="D8" s="23">
        <f>'VERİ GİRİŞİ'!C53</f>
        <v>0</v>
      </c>
      <c r="E8" s="81" t="s">
        <v>116</v>
      </c>
      <c r="F8" s="66"/>
      <c r="G8" s="63"/>
    </row>
    <row r="9" spans="1:7" ht="22" customHeight="1" x14ac:dyDescent="0.55000000000000004">
      <c r="A9" s="73" t="s">
        <v>117</v>
      </c>
      <c r="B9" s="66"/>
      <c r="C9" s="63"/>
      <c r="D9" s="24">
        <f>'VERİ GİRİŞİ'!C55</f>
        <v>0</v>
      </c>
      <c r="E9" s="96"/>
      <c r="F9" s="66"/>
      <c r="G9" s="63"/>
    </row>
    <row r="10" spans="1:7" ht="22" customHeight="1" x14ac:dyDescent="0.55000000000000004">
      <c r="A10" s="109" t="s">
        <v>118</v>
      </c>
      <c r="B10" s="66"/>
      <c r="C10" s="63"/>
      <c r="D10" s="21" t="s">
        <v>119</v>
      </c>
      <c r="E10" s="79" t="s">
        <v>120</v>
      </c>
      <c r="F10" s="66"/>
      <c r="G10" s="63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59" t="s">
        <v>121</v>
      </c>
      <c r="B12" s="60"/>
      <c r="C12" s="60"/>
      <c r="D12" s="60"/>
      <c r="E12" s="60"/>
      <c r="F12" s="60"/>
      <c r="G12" s="61"/>
    </row>
    <row r="13" spans="1:7" ht="76" customHeight="1" x14ac:dyDescent="0.55000000000000004">
      <c r="A13" s="106" t="s">
        <v>122</v>
      </c>
      <c r="B13" s="66"/>
      <c r="C13" s="66"/>
      <c r="D13" s="66"/>
      <c r="E13" s="66"/>
      <c r="F13" s="66"/>
      <c r="G13" s="63"/>
    </row>
    <row r="14" spans="1:7" ht="5.05" customHeight="1" x14ac:dyDescent="0.55000000000000004">
      <c r="A14" s="1"/>
      <c r="B14" s="1"/>
      <c r="C14" s="1"/>
      <c r="D14" s="1"/>
      <c r="E14" s="1"/>
      <c r="F14" s="1"/>
      <c r="G14" s="1"/>
    </row>
    <row r="15" spans="1:7" ht="22" customHeight="1" x14ac:dyDescent="0.55000000000000004">
      <c r="A15" s="59" t="s">
        <v>123</v>
      </c>
      <c r="B15" s="60"/>
      <c r="C15" s="60"/>
      <c r="D15" s="60"/>
      <c r="E15" s="60"/>
      <c r="F15" s="60"/>
      <c r="G15" s="61"/>
    </row>
    <row r="16" spans="1:7" ht="18" customHeight="1" x14ac:dyDescent="0.55000000000000004">
      <c r="A16" s="2"/>
      <c r="B16" s="2" t="s">
        <v>124</v>
      </c>
      <c r="C16" s="2"/>
      <c r="D16" s="2" t="s">
        <v>43</v>
      </c>
      <c r="E16" s="2"/>
      <c r="F16" s="2" t="s">
        <v>125</v>
      </c>
      <c r="G16" s="2"/>
    </row>
    <row r="17" spans="1:7" ht="20.05" customHeight="1" x14ac:dyDescent="0.55000000000000004">
      <c r="A17" s="25" t="s">
        <v>126</v>
      </c>
      <c r="B17" s="104" t="s">
        <v>127</v>
      </c>
      <c r="C17" s="63"/>
      <c r="D17" s="99" t="s">
        <v>128</v>
      </c>
      <c r="E17" s="63"/>
      <c r="F17" s="13" t="s">
        <v>129</v>
      </c>
      <c r="G17" s="28"/>
    </row>
    <row r="18" spans="1:7" ht="20.05" customHeight="1" x14ac:dyDescent="0.55000000000000004">
      <c r="A18" s="25" t="s">
        <v>130</v>
      </c>
      <c r="B18" s="104" t="s">
        <v>131</v>
      </c>
      <c r="C18" s="63"/>
      <c r="D18" s="99" t="s">
        <v>132</v>
      </c>
      <c r="E18" s="63"/>
      <c r="F18" s="13" t="s">
        <v>129</v>
      </c>
      <c r="G18" s="29"/>
    </row>
    <row r="19" spans="1:7" ht="20.05" customHeight="1" x14ac:dyDescent="0.55000000000000004">
      <c r="A19" s="25" t="s">
        <v>133</v>
      </c>
      <c r="B19" s="104" t="s">
        <v>134</v>
      </c>
      <c r="C19" s="63"/>
      <c r="D19" s="99" t="s">
        <v>135</v>
      </c>
      <c r="E19" s="63"/>
      <c r="F19" s="13" t="s">
        <v>129</v>
      </c>
      <c r="G19" s="28"/>
    </row>
    <row r="20" spans="1:7" ht="20.05" customHeight="1" x14ac:dyDescent="0.55000000000000004">
      <c r="A20" s="25" t="s">
        <v>136</v>
      </c>
      <c r="B20" s="104" t="s">
        <v>137</v>
      </c>
      <c r="C20" s="63"/>
      <c r="D20" s="99" t="s">
        <v>138</v>
      </c>
      <c r="E20" s="63"/>
      <c r="F20" s="13" t="s">
        <v>129</v>
      </c>
      <c r="G20" s="29"/>
    </row>
    <row r="21" spans="1:7" ht="20.05" customHeight="1" x14ac:dyDescent="0.55000000000000004">
      <c r="A21" s="25" t="s">
        <v>139</v>
      </c>
      <c r="B21" s="100" t="s">
        <v>140</v>
      </c>
      <c r="C21" s="63"/>
      <c r="D21" s="105" t="s">
        <v>141</v>
      </c>
      <c r="E21" s="63"/>
      <c r="F21" s="13" t="s">
        <v>129</v>
      </c>
      <c r="G21" s="28"/>
    </row>
    <row r="22" spans="1:7" ht="20.05" customHeight="1" x14ac:dyDescent="0.55000000000000004">
      <c r="A22" s="25" t="s">
        <v>142</v>
      </c>
      <c r="B22" s="102" t="s">
        <v>143</v>
      </c>
      <c r="C22" s="63"/>
      <c r="D22" s="103" t="s">
        <v>144</v>
      </c>
      <c r="E22" s="63"/>
      <c r="F22" s="13" t="s">
        <v>129</v>
      </c>
      <c r="G22" s="29"/>
    </row>
    <row r="23" spans="1:7" ht="20.05" customHeight="1" x14ac:dyDescent="0.55000000000000004">
      <c r="A23" s="25" t="s">
        <v>145</v>
      </c>
      <c r="B23" s="104" t="s">
        <v>146</v>
      </c>
      <c r="C23" s="63"/>
      <c r="D23" s="99" t="s">
        <v>147</v>
      </c>
      <c r="E23" s="63"/>
      <c r="F23" s="13" t="s">
        <v>129</v>
      </c>
      <c r="G23" s="28"/>
    </row>
    <row r="24" spans="1:7" ht="20.05" customHeight="1" x14ac:dyDescent="0.55000000000000004">
      <c r="A24" s="25" t="s">
        <v>148</v>
      </c>
      <c r="B24" s="102" t="s">
        <v>149</v>
      </c>
      <c r="C24" s="63"/>
      <c r="D24" s="103" t="s">
        <v>150</v>
      </c>
      <c r="E24" s="63"/>
      <c r="F24" s="13" t="s">
        <v>129</v>
      </c>
      <c r="G24" s="29"/>
    </row>
    <row r="25" spans="1:7" ht="20.05" customHeight="1" x14ac:dyDescent="0.55000000000000004">
      <c r="A25" s="25" t="s">
        <v>151</v>
      </c>
      <c r="B25" s="100" t="s">
        <v>152</v>
      </c>
      <c r="C25" s="63"/>
      <c r="D25" s="105" t="s">
        <v>153</v>
      </c>
      <c r="E25" s="63"/>
      <c r="F25" s="13" t="s">
        <v>129</v>
      </c>
      <c r="G25" s="28"/>
    </row>
    <row r="26" spans="1:7" ht="20.05" customHeight="1" x14ac:dyDescent="0.55000000000000004">
      <c r="A26" s="25" t="s">
        <v>154</v>
      </c>
      <c r="B26" s="102" t="s">
        <v>155</v>
      </c>
      <c r="C26" s="63"/>
      <c r="D26" s="103" t="s">
        <v>156</v>
      </c>
      <c r="E26" s="63"/>
      <c r="F26" s="13" t="s">
        <v>129</v>
      </c>
      <c r="G26" s="29"/>
    </row>
    <row r="27" spans="1:7" ht="20.05" customHeight="1" x14ac:dyDescent="0.55000000000000004">
      <c r="A27" s="25" t="s">
        <v>157</v>
      </c>
      <c r="B27" s="100" t="s">
        <v>158</v>
      </c>
      <c r="C27" s="63"/>
      <c r="D27" s="105" t="s">
        <v>22</v>
      </c>
      <c r="E27" s="63"/>
      <c r="F27" s="13" t="s">
        <v>129</v>
      </c>
      <c r="G27" s="28"/>
    </row>
  </sheetData>
  <mergeCells count="40">
    <mergeCell ref="A1:G1"/>
    <mergeCell ref="B19:C19"/>
    <mergeCell ref="A9:C9"/>
    <mergeCell ref="D18:E18"/>
    <mergeCell ref="D25:E25"/>
    <mergeCell ref="B24:C24"/>
    <mergeCell ref="D24:E24"/>
    <mergeCell ref="E5:G5"/>
    <mergeCell ref="B20:C20"/>
    <mergeCell ref="A6:C6"/>
    <mergeCell ref="E8:G8"/>
    <mergeCell ref="A12:G12"/>
    <mergeCell ref="D23:E23"/>
    <mergeCell ref="A2:G2"/>
    <mergeCell ref="A7:C7"/>
    <mergeCell ref="B27:C27"/>
    <mergeCell ref="E6:G6"/>
    <mergeCell ref="D21:E21"/>
    <mergeCell ref="A13:G13"/>
    <mergeCell ref="B21:C21"/>
    <mergeCell ref="A8:C8"/>
    <mergeCell ref="D27:E27"/>
    <mergeCell ref="B23:C23"/>
    <mergeCell ref="A15:G15"/>
    <mergeCell ref="B17:C17"/>
    <mergeCell ref="D17:E17"/>
    <mergeCell ref="E7:G7"/>
    <mergeCell ref="A10:C10"/>
    <mergeCell ref="B26:C26"/>
    <mergeCell ref="D26:E26"/>
    <mergeCell ref="D20:E20"/>
    <mergeCell ref="E10:G10"/>
    <mergeCell ref="B25:C25"/>
    <mergeCell ref="D19:E19"/>
    <mergeCell ref="A4:G4"/>
    <mergeCell ref="B22:C22"/>
    <mergeCell ref="E9:G9"/>
    <mergeCell ref="D22:E22"/>
    <mergeCell ref="B18:C18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59" t="s">
        <v>159</v>
      </c>
      <c r="B1" s="60"/>
      <c r="C1" s="60"/>
      <c r="D1" s="60"/>
      <c r="E1" s="60"/>
      <c r="F1" s="60"/>
      <c r="G1" s="61"/>
    </row>
    <row r="2" spans="1:7" ht="22" customHeight="1" x14ac:dyDescent="0.55000000000000004">
      <c r="A2" s="113" t="s">
        <v>160</v>
      </c>
      <c r="B2" s="66"/>
      <c r="C2" s="66"/>
      <c r="D2" s="66"/>
      <c r="E2" s="66"/>
      <c r="F2" s="66"/>
      <c r="G2" s="63"/>
    </row>
    <row r="3" spans="1:7" ht="18" customHeight="1" x14ac:dyDescent="0.55000000000000004">
      <c r="A3" s="32"/>
      <c r="B3" s="32" t="s">
        <v>161</v>
      </c>
      <c r="C3" s="32" t="s">
        <v>162</v>
      </c>
      <c r="D3" s="32" t="s">
        <v>86</v>
      </c>
      <c r="E3" s="32" t="s">
        <v>163</v>
      </c>
      <c r="F3" s="32" t="s">
        <v>164</v>
      </c>
      <c r="G3" s="32" t="s">
        <v>165</v>
      </c>
    </row>
    <row r="4" spans="1:7" ht="22" customHeight="1" x14ac:dyDescent="0.55000000000000004">
      <c r="A4" s="33" t="s">
        <v>163</v>
      </c>
      <c r="B4" s="33" t="s">
        <v>166</v>
      </c>
      <c r="C4" s="33" t="s">
        <v>167</v>
      </c>
      <c r="D4" s="33" t="s">
        <v>168</v>
      </c>
      <c r="E4" s="33" t="s">
        <v>169</v>
      </c>
      <c r="F4" s="33" t="s">
        <v>170</v>
      </c>
      <c r="G4" s="33" t="s">
        <v>171</v>
      </c>
    </row>
    <row r="5" spans="1:7" ht="22" customHeight="1" x14ac:dyDescent="0.55000000000000004">
      <c r="A5" s="115" t="s">
        <v>172</v>
      </c>
      <c r="B5" s="66"/>
      <c r="C5" s="66"/>
      <c r="D5" s="66"/>
      <c r="E5" s="66"/>
      <c r="F5" s="66"/>
      <c r="G5" s="63"/>
    </row>
    <row r="6" spans="1:7" ht="18" customHeight="1" x14ac:dyDescent="0.55000000000000004">
      <c r="A6" s="32"/>
      <c r="B6" s="32" t="s">
        <v>161</v>
      </c>
      <c r="C6" s="32" t="s">
        <v>162</v>
      </c>
      <c r="D6" s="32" t="s">
        <v>86</v>
      </c>
      <c r="E6" s="32" t="s">
        <v>163</v>
      </c>
      <c r="F6" s="32" t="s">
        <v>164</v>
      </c>
      <c r="G6" s="32" t="s">
        <v>165</v>
      </c>
    </row>
    <row r="7" spans="1:7" ht="22" customHeight="1" x14ac:dyDescent="0.55000000000000004">
      <c r="A7" s="33" t="s">
        <v>163</v>
      </c>
      <c r="B7" s="33" t="s">
        <v>173</v>
      </c>
      <c r="C7" s="33" t="s">
        <v>174</v>
      </c>
      <c r="D7" s="33" t="s">
        <v>175</v>
      </c>
      <c r="E7" s="33" t="s">
        <v>176</v>
      </c>
      <c r="F7" s="33" t="s">
        <v>170</v>
      </c>
      <c r="G7" s="33" t="s">
        <v>177</v>
      </c>
    </row>
    <row r="8" spans="1:7" ht="22" customHeight="1" x14ac:dyDescent="0.55000000000000004">
      <c r="A8" s="112" t="s">
        <v>178</v>
      </c>
      <c r="B8" s="66"/>
      <c r="C8" s="66"/>
      <c r="D8" s="66"/>
      <c r="E8" s="66"/>
      <c r="F8" s="66"/>
      <c r="G8" s="63"/>
    </row>
    <row r="9" spans="1:7" ht="18" customHeight="1" x14ac:dyDescent="0.55000000000000004">
      <c r="A9" s="32"/>
      <c r="B9" s="32" t="s">
        <v>161</v>
      </c>
      <c r="C9" s="32" t="s">
        <v>162</v>
      </c>
      <c r="D9" s="32" t="s">
        <v>86</v>
      </c>
      <c r="E9" s="32" t="s">
        <v>163</v>
      </c>
      <c r="F9" s="32" t="s">
        <v>164</v>
      </c>
      <c r="G9" s="32" t="s">
        <v>165</v>
      </c>
    </row>
    <row r="10" spans="1:7" ht="22" customHeight="1" x14ac:dyDescent="0.55000000000000004">
      <c r="A10" s="33" t="s">
        <v>163</v>
      </c>
      <c r="B10" s="33" t="s">
        <v>179</v>
      </c>
      <c r="C10" s="33" t="s">
        <v>180</v>
      </c>
      <c r="D10" s="33" t="s">
        <v>181</v>
      </c>
      <c r="E10" s="33" t="s">
        <v>169</v>
      </c>
      <c r="F10" s="33" t="s">
        <v>170</v>
      </c>
      <c r="G10" s="33" t="s">
        <v>182</v>
      </c>
    </row>
    <row r="11" spans="1:7" ht="32.049999999999997" customHeight="1" x14ac:dyDescent="0.55000000000000004">
      <c r="A11" s="114" t="s">
        <v>183</v>
      </c>
      <c r="B11" s="66"/>
      <c r="C11" s="66"/>
      <c r="D11" s="66"/>
      <c r="E11" s="66"/>
      <c r="F11" s="66"/>
      <c r="G11" s="63"/>
    </row>
  </sheetData>
  <mergeCells count="5"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59" t="s">
        <v>184</v>
      </c>
      <c r="B1" s="60"/>
      <c r="C1" s="60"/>
      <c r="D1" s="60"/>
      <c r="E1" s="60"/>
      <c r="F1" s="60"/>
      <c r="G1" s="61"/>
    </row>
    <row r="2" spans="1:7" ht="20.05" customHeight="1" x14ac:dyDescent="0.55000000000000004">
      <c r="A2" s="94" t="s">
        <v>185</v>
      </c>
      <c r="B2" s="60"/>
      <c r="C2" s="60"/>
      <c r="D2" s="60"/>
      <c r="E2" s="60"/>
      <c r="F2" s="60"/>
      <c r="G2" s="61"/>
    </row>
    <row r="3" spans="1:7" ht="18" customHeight="1" x14ac:dyDescent="0.55000000000000004">
      <c r="A3" s="32" t="s">
        <v>186</v>
      </c>
      <c r="B3" s="32" t="s">
        <v>187</v>
      </c>
      <c r="C3" s="32" t="s">
        <v>188</v>
      </c>
      <c r="D3" s="32" t="s">
        <v>189</v>
      </c>
    </row>
    <row r="4" spans="1:7" ht="68.05" customHeight="1" x14ac:dyDescent="0.55000000000000004">
      <c r="A4" s="25" t="s">
        <v>190</v>
      </c>
      <c r="B4" s="31" t="s">
        <v>191</v>
      </c>
      <c r="C4" s="34" t="s">
        <v>192</v>
      </c>
      <c r="D4" s="35" t="s">
        <v>193</v>
      </c>
    </row>
    <row r="5" spans="1:7" ht="60" customHeight="1" x14ac:dyDescent="0.55000000000000004">
      <c r="A5" s="36" t="s">
        <v>194</v>
      </c>
      <c r="B5" s="26" t="s">
        <v>195</v>
      </c>
      <c r="C5" s="27" t="s">
        <v>196</v>
      </c>
      <c r="D5" s="37" t="s">
        <v>197</v>
      </c>
    </row>
    <row r="6" spans="1:7" ht="52" customHeight="1" x14ac:dyDescent="0.55000000000000004">
      <c r="A6" s="25" t="s">
        <v>198</v>
      </c>
      <c r="B6" s="31" t="s">
        <v>199</v>
      </c>
      <c r="C6" s="34" t="s">
        <v>200</v>
      </c>
      <c r="D6" s="35" t="s">
        <v>201</v>
      </c>
    </row>
    <row r="7" spans="1:7" ht="52" customHeight="1" x14ac:dyDescent="0.55000000000000004">
      <c r="A7" s="25" t="s">
        <v>202</v>
      </c>
      <c r="B7" s="31" t="s">
        <v>203</v>
      </c>
      <c r="C7" s="34" t="s">
        <v>204</v>
      </c>
      <c r="D7" s="35" t="s">
        <v>205</v>
      </c>
    </row>
    <row r="8" spans="1:7" ht="68.05" customHeight="1" x14ac:dyDescent="0.55000000000000004">
      <c r="A8" s="25" t="s">
        <v>206</v>
      </c>
      <c r="B8" s="30" t="s">
        <v>207</v>
      </c>
      <c r="C8" s="34" t="s">
        <v>208</v>
      </c>
      <c r="D8" s="38" t="s">
        <v>209</v>
      </c>
    </row>
    <row r="9" spans="1:7" ht="36" customHeight="1" x14ac:dyDescent="0.55000000000000004">
      <c r="A9" s="116" t="s">
        <v>210</v>
      </c>
      <c r="B9" s="66"/>
      <c r="C9" s="66"/>
      <c r="D9" s="63"/>
      <c r="E9" s="39"/>
      <c r="F9" s="39"/>
      <c r="G9" s="39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59" t="s">
        <v>211</v>
      </c>
      <c r="B1" s="60"/>
      <c r="C1" s="60"/>
      <c r="D1" s="60"/>
      <c r="E1" s="60"/>
      <c r="F1" s="60"/>
      <c r="G1" s="61"/>
    </row>
    <row r="2" spans="1:7" ht="20.05" customHeight="1" x14ac:dyDescent="0.55000000000000004">
      <c r="A2" s="94" t="s">
        <v>212</v>
      </c>
      <c r="B2" s="60"/>
      <c r="C2" s="60"/>
      <c r="D2" s="60"/>
      <c r="E2" s="60"/>
      <c r="F2" s="60"/>
      <c r="G2" s="61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8" t="s">
        <v>213</v>
      </c>
      <c r="B4" s="60"/>
      <c r="C4" s="60"/>
      <c r="D4" s="60"/>
      <c r="E4" s="60"/>
      <c r="F4" s="60"/>
      <c r="G4" s="61"/>
    </row>
    <row r="5" spans="1:7" ht="18" customHeight="1" x14ac:dyDescent="0.55000000000000004">
      <c r="A5" s="32"/>
      <c r="B5" s="32" t="s">
        <v>214</v>
      </c>
      <c r="C5" s="32" t="s">
        <v>48</v>
      </c>
      <c r="D5" s="32" t="s">
        <v>43</v>
      </c>
      <c r="E5" s="32" t="s">
        <v>215</v>
      </c>
      <c r="F5" s="32"/>
    </row>
    <row r="6" spans="1:7" ht="36" customHeight="1" x14ac:dyDescent="0.55000000000000004">
      <c r="A6" s="40"/>
      <c r="B6" s="41" t="s">
        <v>216</v>
      </c>
      <c r="C6" s="42" t="s">
        <v>217</v>
      </c>
      <c r="D6" s="43" t="s">
        <v>218</v>
      </c>
      <c r="E6" s="44" t="s">
        <v>35</v>
      </c>
      <c r="F6" s="40"/>
    </row>
    <row r="7" spans="1:7" ht="36" customHeight="1" x14ac:dyDescent="0.55000000000000004">
      <c r="A7" s="28"/>
      <c r="B7" s="45" t="s">
        <v>219</v>
      </c>
      <c r="C7" s="30" t="s">
        <v>220</v>
      </c>
      <c r="D7" s="43" t="s">
        <v>221</v>
      </c>
      <c r="E7" s="46" t="s">
        <v>222</v>
      </c>
      <c r="F7" s="28"/>
    </row>
    <row r="8" spans="1:7" ht="36" customHeight="1" x14ac:dyDescent="0.55000000000000004">
      <c r="A8" s="40"/>
      <c r="B8" s="41" t="s">
        <v>223</v>
      </c>
      <c r="C8" s="42" t="s">
        <v>224</v>
      </c>
      <c r="D8" s="43" t="s">
        <v>225</v>
      </c>
      <c r="E8" s="44" t="s">
        <v>226</v>
      </c>
      <c r="F8" s="40"/>
    </row>
    <row r="9" spans="1:7" ht="36" customHeight="1" x14ac:dyDescent="0.55000000000000004">
      <c r="A9" s="28"/>
      <c r="B9" s="45" t="s">
        <v>227</v>
      </c>
      <c r="C9" s="30" t="s">
        <v>228</v>
      </c>
      <c r="D9" s="43" t="s">
        <v>229</v>
      </c>
      <c r="E9" s="46" t="s">
        <v>230</v>
      </c>
      <c r="F9" s="28"/>
    </row>
    <row r="10" spans="1:7" ht="36" customHeight="1" x14ac:dyDescent="0.55000000000000004">
      <c r="A10" s="40"/>
      <c r="B10" s="41" t="s">
        <v>231</v>
      </c>
      <c r="C10" s="47" t="s">
        <v>232</v>
      </c>
      <c r="D10" s="43" t="s">
        <v>233</v>
      </c>
      <c r="E10" s="44" t="s">
        <v>234</v>
      </c>
      <c r="F10" s="40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17" t="s">
        <v>235</v>
      </c>
      <c r="B12" s="60"/>
      <c r="C12" s="60"/>
      <c r="D12" s="60"/>
      <c r="E12" s="60"/>
      <c r="F12" s="60"/>
      <c r="G12" s="61"/>
    </row>
    <row r="13" spans="1:7" ht="18" customHeight="1" x14ac:dyDescent="0.55000000000000004">
      <c r="A13" s="48"/>
      <c r="B13" s="48" t="s">
        <v>214</v>
      </c>
      <c r="C13" s="48" t="s">
        <v>5</v>
      </c>
      <c r="D13" s="48" t="s">
        <v>236</v>
      </c>
      <c r="E13" s="48" t="s">
        <v>237</v>
      </c>
      <c r="F13" s="48"/>
    </row>
    <row r="14" spans="1:7" ht="28" customHeight="1" x14ac:dyDescent="0.55000000000000004">
      <c r="A14" s="49"/>
      <c r="B14" s="50" t="s">
        <v>238</v>
      </c>
      <c r="C14" s="51" t="s">
        <v>239</v>
      </c>
      <c r="D14" s="52" t="s">
        <v>240</v>
      </c>
      <c r="E14" s="53" t="s">
        <v>241</v>
      </c>
      <c r="F14" s="49"/>
    </row>
    <row r="15" spans="1:7" ht="28" customHeight="1" x14ac:dyDescent="0.55000000000000004">
      <c r="A15" s="49"/>
      <c r="B15" s="50" t="s">
        <v>242</v>
      </c>
      <c r="C15" s="51" t="s">
        <v>243</v>
      </c>
      <c r="D15" s="52" t="s">
        <v>244</v>
      </c>
      <c r="E15" s="53" t="s">
        <v>241</v>
      </c>
      <c r="F15" s="49"/>
    </row>
    <row r="16" spans="1:7" ht="28" customHeight="1" x14ac:dyDescent="0.55000000000000004">
      <c r="A16" s="49"/>
      <c r="B16" s="50" t="s">
        <v>245</v>
      </c>
      <c r="C16" s="51" t="s">
        <v>134</v>
      </c>
      <c r="D16" s="52" t="s">
        <v>246</v>
      </c>
      <c r="E16" s="53" t="s">
        <v>241</v>
      </c>
      <c r="F16" s="49"/>
    </row>
    <row r="17" spans="1:7" ht="28" customHeight="1" x14ac:dyDescent="0.55000000000000004">
      <c r="A17" s="49"/>
      <c r="B17" s="50" t="s">
        <v>247</v>
      </c>
      <c r="C17" s="51" t="s">
        <v>137</v>
      </c>
      <c r="D17" s="52" t="s">
        <v>138</v>
      </c>
      <c r="E17" s="53" t="s">
        <v>241</v>
      </c>
      <c r="F17" s="49"/>
    </row>
    <row r="18" spans="1:7" ht="28" customHeight="1" x14ac:dyDescent="0.55000000000000004">
      <c r="A18" s="54"/>
      <c r="B18" s="55" t="s">
        <v>248</v>
      </c>
      <c r="C18" s="56" t="s">
        <v>249</v>
      </c>
      <c r="D18" s="57" t="s">
        <v>250</v>
      </c>
      <c r="E18" s="58" t="s">
        <v>241</v>
      </c>
      <c r="F18" s="54"/>
    </row>
    <row r="19" spans="1:7" ht="28" customHeight="1" x14ac:dyDescent="0.55000000000000004">
      <c r="A19" s="49"/>
      <c r="B19" s="50" t="s">
        <v>251</v>
      </c>
      <c r="C19" s="51" t="s">
        <v>252</v>
      </c>
      <c r="D19" s="52" t="s">
        <v>147</v>
      </c>
      <c r="E19" s="53" t="s">
        <v>241</v>
      </c>
      <c r="F19" s="49"/>
    </row>
    <row r="20" spans="1:7" ht="28" customHeight="1" x14ac:dyDescent="0.55000000000000004">
      <c r="A20" s="54"/>
      <c r="B20" s="55" t="s">
        <v>253</v>
      </c>
      <c r="C20" s="56" t="s">
        <v>254</v>
      </c>
      <c r="D20" s="57" t="s">
        <v>255</v>
      </c>
      <c r="E20" s="58" t="s">
        <v>241</v>
      </c>
      <c r="F20" s="54"/>
    </row>
    <row r="21" spans="1:7" ht="28" customHeight="1" x14ac:dyDescent="0.55000000000000004">
      <c r="A21" s="54"/>
      <c r="B21" s="55" t="s">
        <v>256</v>
      </c>
      <c r="C21" s="56" t="s">
        <v>257</v>
      </c>
      <c r="D21" s="57" t="s">
        <v>150</v>
      </c>
      <c r="E21" s="58" t="s">
        <v>241</v>
      </c>
      <c r="F21" s="54"/>
    </row>
    <row r="22" spans="1:7" ht="28" customHeight="1" x14ac:dyDescent="0.55000000000000004">
      <c r="A22" s="54"/>
      <c r="B22" s="55" t="s">
        <v>258</v>
      </c>
      <c r="C22" s="56" t="s">
        <v>259</v>
      </c>
      <c r="D22" s="57" t="s">
        <v>260</v>
      </c>
      <c r="E22" s="58" t="s">
        <v>241</v>
      </c>
      <c r="F22" s="54"/>
    </row>
    <row r="23" spans="1:7" ht="28" customHeight="1" x14ac:dyDescent="0.55000000000000004">
      <c r="A23" s="54"/>
      <c r="B23" s="55" t="s">
        <v>261</v>
      </c>
      <c r="C23" s="56" t="s">
        <v>262</v>
      </c>
      <c r="D23" s="57" t="s">
        <v>263</v>
      </c>
      <c r="E23" s="58" t="s">
        <v>241</v>
      </c>
      <c r="F23" s="54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52" customHeight="1" x14ac:dyDescent="0.55000000000000004">
      <c r="A25" s="116" t="s">
        <v>264</v>
      </c>
      <c r="B25" s="66"/>
      <c r="C25" s="66"/>
      <c r="D25" s="66"/>
      <c r="E25" s="66"/>
      <c r="F25" s="63"/>
      <c r="G25" s="39"/>
    </row>
  </sheetData>
  <mergeCells count="5">
    <mergeCell ref="A1:G1"/>
    <mergeCell ref="A12:G12"/>
    <mergeCell ref="A4:G4"/>
    <mergeCell ref="A2:G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2026-04-06T10:59:01Z</dcterms:created>
  <dcterms:modified xsi:type="dcterms:W3CDTF">2026-04-06T11:04:30Z</dcterms:modified>
</cp:coreProperties>
</file>