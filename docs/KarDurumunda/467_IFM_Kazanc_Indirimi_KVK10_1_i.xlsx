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KARIN BULUNMASI HALİNDE/"/>
    </mc:Choice>
  </mc:AlternateContent>
  <xr:revisionPtr revIDLastSave="0" documentId="8_{8291AB5D-BE8A-4C05-A88E-3FE3EDEC4A74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D8" i="2"/>
  <c r="D7" i="2"/>
  <c r="D6" i="2"/>
  <c r="D5" i="2"/>
  <c r="D54" i="1"/>
  <c r="C59" i="1" s="1"/>
  <c r="C54" i="1"/>
  <c r="C58" i="1" s="1"/>
  <c r="F53" i="1"/>
  <c r="E53" i="1"/>
  <c r="E52" i="1"/>
  <c r="F52" i="1" s="1"/>
  <c r="E51" i="1"/>
  <c r="F51" i="1" s="1"/>
  <c r="E50" i="1"/>
  <c r="E54" i="1" s="1"/>
  <c r="C60" i="1" s="1"/>
  <c r="F49" i="1"/>
  <c r="E49" i="1"/>
  <c r="E48" i="1"/>
  <c r="F48" i="1" s="1"/>
  <c r="C43" i="1"/>
  <c r="C41" i="1"/>
  <c r="C35" i="1"/>
  <c r="C33" i="1"/>
  <c r="E15" i="1"/>
  <c r="F50" i="1" l="1"/>
  <c r="F54" i="1" s="1"/>
  <c r="E65" i="1" l="1"/>
  <c r="C62" i="1"/>
</calcChain>
</file>

<file path=xl/sharedStrings.xml><?xml version="1.0" encoding="utf-8"?>
<sst xmlns="http://schemas.openxmlformats.org/spreadsheetml/2006/main" count="336" uniqueCount="270">
  <si>
    <t>467 – İSTANBUL FİNANS MERKEZİ (İFM) KAZANÇ İNDİRİMİ | KVK Mad. 10/1-i | 7412 S.K. | YMM TASDİK</t>
  </si>
  <si>
    <t>Beyanname 467 | GİB KV Beyan Rehberi Mart 2026 (No:606) | Kazancın Bulunması Halinde | YİAKV Teyidi</t>
  </si>
  <si>
    <t xml:space="preserve">  KVK Md.10/1-i — İSTANBUL FİNANS MERKEZİ (İFM) KAZANÇ İNDİRİMİ:
  7412 sayılı İstanbul Finans Merkezi Kanunu kapsamında İFM'de faaliyette bulunan
  kurumların (katılımcıların) yurt dışı kaynaklı finansal hizmet kazançlarına kademeli indirim.
  ★ KADEMELİ İNDİRİM ORANI (GİB Rehberi No:606):
  2022–2031 Arası: Net Kazancın %100'ü — Bu dönemde kazanç üzerinden hiç KV ödenmez.
  2032 ve Sonrası: Net Kazancın %75'i — Teşvik süresiz, oran azalır.
  ★ KAPSAM KOŞULLARI (DÖRDÜ BİRDEN ZORUNLU):
  ① KATILIMCI BELGESİ: İFM Başkanlığı'ndan alınmış geçerli katılımcı belgesi
  ② BÖLGEDE FAALİYET: İFM bölgesinde fiilen faaliyette bulunmak
  ③ PERSONEL: Bölgede fiilen personel istihdam etmek
  ④ HİZMET TÜRÜ: Finansal hizmet — yurt dışı kaynaklı kazanç
  ★ YİAKV: GİB Rehberi No:607 kapsamında durumu YMM tarafından teyit edilmeli.</t>
  </si>
  <si>
    <t xml:space="preserve">  ★ ORAN DİKKATİ: 2025 dönemi için %100 (2022-2031 bandı). 2032'de %75'e iner. ★ 416 ile KARIŞTIRILMASIN: 416 Diğer Hizmetler %50 — 467 İFM %100/%75 ve katılımcı belgesi zorunlu.
  ✓ YİAKV (KVK Md.32/C f.2 bent g): 467 YİAKV MATRAHINDA DÜŞÜLEBİLİR — KVK Md.32/C 2. fıkrasının (g) bendi kapsamında KORUMAL KALEMDİR. Asgari vergi yükü DOĞURMAZ.</t>
  </si>
  <si>
    <t>A0. KAPSAM VE NİTELİK UYGUNLUK ÖN KONTROLÜ — KVK Md.10/1-i İFM KAZANÇ İNDİRİMİ</t>
  </si>
  <si>
    <t>Kontrol Sorusu</t>
  </si>
  <si>
    <t>Yanıt</t>
  </si>
  <si>
    <t>YMM Tasdik Notu</t>
  </si>
  <si>
    <t>A0.1  ★ Kurum İFM Başkanlığı'ndan geçerli KATİLIMCI BELGESİ aldı mı?</t>
  </si>
  <si>
    <t>EVET</t>
  </si>
  <si>
    <t>7412 s.K. kapsamında İFM Başkanlığı'nın verdiği katılımcı belgesi zorunludur. Belge olmadan 467 uygulanamaz.</t>
  </si>
  <si>
    <t>A0.2  ★ Kurum İFM bölgesinde FİİLEN faaliyette bulunuyor mu?</t>
  </si>
  <si>
    <t>İFM bölgesinde fiziksel ofis ve fiili faaliyet zorunludur. Sadece tescil yeterli değil.</t>
  </si>
  <si>
    <t>A0.3  ★ İFM bölgesinde FİİLEN PERSONEL istihdam ediliyor mu?</t>
  </si>
  <si>
    <t>Bölgede çalışan personel varlığı zorunludur. SGK kayıtları ile teyit edilmeli.</t>
  </si>
  <si>
    <t>A0.4  ★ Kazanç YURT DIŞI KAYNAKLI finansal hizmetlerden mi elde ediliyor?</t>
  </si>
  <si>
    <t>İndirim yalnızca yurt dışı kaynaklı finansal hizmet kazançlarına uygulanır. Yurt içi müşteriye verilen hizmet → Kapsam dışı.</t>
  </si>
  <si>
    <t>A0.5  ★ Dönem oran tespiti yapıldı mı? (2022-2031: %100 | 2032+: %75)</t>
  </si>
  <si>
    <t>2022-2031 (İndirim Oranı: %100)</t>
  </si>
  <si>
    <t>GİB Rehberi No:606: 2022-2031 arası %100, 2032 ve sonrası %75. 2025 dönemi için %100 uygulanır.</t>
  </si>
  <si>
    <t>A0.6  ✓ YİAKV: KVK Md.32/C f.2 (g) bendi — 467 DÜŞÜLEBILIR (Korumalı Kalem)</t>
  </si>
  <si>
    <t>EVET — Korumalı</t>
  </si>
  <si>
    <t>KVK Md.32/C f.2 (g): 467 YİAKV matrahından düşülebilir. Asgari vergi yükü doğurmaz.</t>
  </si>
  <si>
    <t>A0.7  YMM Tasdik Raporu gereksinimi değerlendirildi mi?</t>
  </si>
  <si>
    <t>&gt;=500.000 TL → YMM raporu.</t>
  </si>
  <si>
    <t>A0.8  Tasdik Uygunluk Sonucu</t>
  </si>
  <si>
    <t>★ A0.1 katılımcı belgesi | A0.2 fiili faaliyet | A0.3 personel | A0.4 yurt dışı kaynak | A0.5 oran.</t>
  </si>
  <si>
    <t>A. GENEL BİLGİLER</t>
  </si>
  <si>
    <t>Kurumun Unvanı</t>
  </si>
  <si>
    <t>Tam ticaret unvanı</t>
  </si>
  <si>
    <t>VKN</t>
  </si>
  <si>
    <t>10 haneli VKN</t>
  </si>
  <si>
    <t>Hesap Dönemi</t>
  </si>
  <si>
    <t>01.01.2025 – 31.12.2025</t>
  </si>
  <si>
    <t>KV Oranı (%)</t>
  </si>
  <si>
    <t>2025: %25</t>
  </si>
  <si>
    <t>Katılımcı Belgesi No</t>
  </si>
  <si>
    <t>İFM Başkanlığı'ndan alınan katılımcı belgesi numarası</t>
  </si>
  <si>
    <t>Katılımcı Belgesi Tarihi</t>
  </si>
  <si>
    <t>Katılımcı belgesinin düzenleme tarihi</t>
  </si>
  <si>
    <t>Uygulanan İndirim Oranı</t>
  </si>
  <si>
    <t>2025 için: %100 (2022-2031 bandı)</t>
  </si>
  <si>
    <t>Dosya Referansı</t>
  </si>
  <si>
    <t>YMM-2025/467-01</t>
  </si>
  <si>
    <t>B. İFM KAZANÇ İNDİRİM HESABI — KVK Md.10/1-i | KADEMELİ ORAN</t>
  </si>
  <si>
    <t>B.1  2022–2031 DÖNEMİ — İNDİRİM ORANI: %100 (2025 DÖNEMİ BU BANTTA)</t>
  </si>
  <si>
    <t>Parametre</t>
  </si>
  <si>
    <t>Değer (TL)</t>
  </si>
  <si>
    <t>Açıklama</t>
  </si>
  <si>
    <t>Kaynak</t>
  </si>
  <si>
    <t>B.1.1  ★ Yurt Dışı Kaynaklı Finansal Hizmet Brüt Geliri</t>
  </si>
  <si>
    <t>İFM'den yurt dışı kaynaklı finansal hizmet brüt geliri.</t>
  </si>
  <si>
    <t>Fatura/Hesap</t>
  </si>
  <si>
    <t>B.1.2  ★ İlişkili Maliyet/Giderler</t>
  </si>
  <si>
    <t>Yurt dışı hizmetle doğrudan ilişkili giderler.</t>
  </si>
  <si>
    <t>Gider kaydı</t>
  </si>
  <si>
    <t>B.1.3  ★ İNDİRİME ESAS NET KAZANÇ (B.1.1 - B.1.2)</t>
  </si>
  <si>
    <t>Net kazanç. %100 bu tutara uygulanır — brüt değil!</t>
  </si>
  <si>
    <t>Formül</t>
  </si>
  <si>
    <t>B.1.4  İndirim Oranı (2022-2031)</t>
  </si>
  <si>
    <t>%100</t>
  </si>
  <si>
    <t>GİB Rehberi No:606 — 2022-2031 arası.</t>
  </si>
  <si>
    <t>Rehber No:606</t>
  </si>
  <si>
    <t>B.1.5  ★ BEYANNAME 467 (2022-2031 Dönemi)</t>
  </si>
  <si>
    <t>Net Kazanç × %100 = Beyanname 467 (2025 için).</t>
  </si>
  <si>
    <t>B.2  2032 VE SONRASI DÖNEMİ — İNDİRİM ORANI: %75 (BİLGİ AMAÇLI — 2025 DÖNEMI UYGULANMAZ)</t>
  </si>
  <si>
    <t>B.2.1  Yurt Dışı Kaynaklı Finansal Hizmet Brüt Geliri (2032+)</t>
  </si>
  <si>
    <t>2032 ve sonrası için ayrı satır — 2025 dönemi kullanılmaz.</t>
  </si>
  <si>
    <t>B.2.2  İlişkili Maliyet/Giderler (2032+)</t>
  </si>
  <si>
    <t>2032 sonrası gider payı.</t>
  </si>
  <si>
    <t>B.2.3  Net Kazanç (2032+)</t>
  </si>
  <si>
    <t>Net kazanç. %75 uygulanır.</t>
  </si>
  <si>
    <t>B.2.4  İndirim Oranı (2032+)</t>
  </si>
  <si>
    <t>%75</t>
  </si>
  <si>
    <t>GİB Rehberi No:606 — 2032 ve sonrası.</t>
  </si>
  <si>
    <t>B.2.5  BEYANNAME 467 (2032+ Dönemi)</t>
  </si>
  <si>
    <t>Net Kazanç × %75. (2025 için bu bölüm 0)</t>
  </si>
  <si>
    <t>C. İFM FİNANSAL HİZMET KAZANÇ TABLOSU (BEYANNAME 467)</t>
  </si>
  <si>
    <t xml:space="preserve">  Her finansal hizmet kalemi veya müşteri grubu için ayrı satır. 2025 dönemi için Sütun 5 = Net Kazanç × %100. Yurt dışı kaynaklı hizmetler — yurt içi müşteri satırları dahil edilmemeli.</t>
  </si>
  <si>
    <t>Dönem</t>
  </si>
  <si>
    <t>Hizmet Türü / Müşteri</t>
  </si>
  <si>
    <t>Brüt Gelir (TL)</t>
  </si>
  <si>
    <t>İlgili Gider (TL)</t>
  </si>
  <si>
    <t>Net Kazanç (TL)</t>
  </si>
  <si>
    <t>İndirim (TL)</t>
  </si>
  <si>
    <t>Katılımcı Belge/Ref</t>
  </si>
  <si>
    <t>2022-2031 (%100)</t>
  </si>
  <si>
    <t>TOPLAM</t>
  </si>
  <si>
    <t>← Beyanname 467 (%100 veya %75 otomatik)</t>
  </si>
  <si>
    <t>D. İFM KAZANÇ İNDİRİMİ ÖZET — BEYANNAME 467 (KVK Md.10/1-i)</t>
  </si>
  <si>
    <t>Hesap Kalemi</t>
  </si>
  <si>
    <t>Tutar (TL)</t>
  </si>
  <si>
    <t>Not</t>
  </si>
  <si>
    <t>D.1  Toplam Brüt Gelir (C Sütun 3)</t>
  </si>
  <si>
    <t>Yurt dışı kaynaklı finansal hizmet brüt geliri</t>
  </si>
  <si>
    <t>D.2  Toplam İlişkili Gider (C Sütun 4)</t>
  </si>
  <si>
    <t>İlişkili giderler toplamı</t>
  </si>
  <si>
    <t>D.3  ★ İNDİRİME ESAS NET KAZANÇ</t>
  </si>
  <si>
    <t>MAX(0, Brüt−Gider)</t>
  </si>
  <si>
    <t>D.4  Cari Dönem İndirim Oranı (2025)</t>
  </si>
  <si>
    <t>GİB Reh. No:606 — %100 (2022-2031 Bandı)</t>
  </si>
  <si>
    <t>2025 için %100. 2032'den itibaren %75.</t>
  </si>
  <si>
    <t>D.5  ★ BEYANNAME 467 = C Tablosu F Toplamı</t>
  </si>
  <si>
    <t>→ Beyanname 467 | Kazancın Bulunması Halinde | Devredilmez</t>
  </si>
  <si>
    <t>KVK Md.10/1-i</t>
  </si>
  <si>
    <t>D.6  YİAKV DURUMU — ✓ DÜŞÜLEBILIR (KVK Md.32/C f.2 bent g)</t>
  </si>
  <si>
    <t>✓ YİAKV MATRAHINDA DÜŞÜLEBİLİR</t>
  </si>
  <si>
    <t>KVK Md.32/C f.2 (g): Korumalı kalem — İFM teşvikinin ruhu korunmuş.</t>
  </si>
  <si>
    <t>KVK Md.32/C f.2 bent (g)</t>
  </si>
  <si>
    <t>E.1  İFM KAZANÇ İNDİRİMİ → Beyanname Satır 467 (Kazancın Bulunması Halinde)</t>
  </si>
  <si>
    <t>2025: Net Kazanç × %100 | 2032+: × %75 | Devredilmez</t>
  </si>
  <si>
    <t xml:space="preserve">  ✓ YİAKV — KVK Md.32/C f.2 (g) KORUMAL KALEMİ: 467 YİAKV matrahından düşülebilir — asgari vergi yükü doğurmaz. 406 yatırım indirimiyle karşılaştır: 406 ✗ E.11 (düşülemez) | 467 ✓ (g) bendi (düşülebilir). İFM teşvikinin tam etkinliği korunmuş.</t>
  </si>
  <si>
    <t>467 – İFM KAZANÇ İNDİRİMİ KVK Md.10/1-i | HESAPLAMALAR VE DENETİM</t>
  </si>
  <si>
    <t>7412 s.K. İFM | Katılımcı Belgesi | 2025:%100 / 2032+:%75 | Net Kazanç | Beyanname 467</t>
  </si>
  <si>
    <t>A. TASDİK ÖZETİ</t>
  </si>
  <si>
    <t>A0 Uygunluğu</t>
  </si>
  <si>
    <t>OK ise devam</t>
  </si>
  <si>
    <t>Katılımcı Belgesi (A0.1)</t>
  </si>
  <si>
    <t>İFM Başkanlığı belgesi</t>
  </si>
  <si>
    <t>Cari Dönem Oranı (A0.5)</t>
  </si>
  <si>
    <t>2025: %100</t>
  </si>
  <si>
    <t>Net Kazanç (D.3)</t>
  </si>
  <si>
    <t>Max(0,Brüt-Gider)</t>
  </si>
  <si>
    <t>467 İNDİRİM (D.5)</t>
  </si>
  <si>
    <t>YİAKV Durumu</t>
  </si>
  <si>
    <t>✓ DÜŞÜLEBILIR — (g) bendi</t>
  </si>
  <si>
    <t>KVK Md.32/C f.2 (g): Korumalı kalem — İFM kazancı üzerinden asgari vergi yükü yok</t>
  </si>
  <si>
    <t>B. KVK Md.10/1-i İFM KAPSAMI — KADEMELİ ORAN VE 416 İLE KARŞILAŞTIRMA</t>
  </si>
  <si>
    <t xml:space="preserve">  KVK MADDE 10/1-i — İFM KAZANÇ İNDİRİMİ (7412 S.K.):
  KAPSAM: İFM'de katılımcı belgesiyle faaliyette bulunan kurumların yurt dışı
  kaynaklı finansal hizmetlerden elde ettikleri kazançlara indirim.
  KADEMELİ İNDİRİM TABLOSU (GİB Rehberi No:606):
  ┌─────────────────┬────────────────────────────────────────────────┐
  │ Dönem           │ İndirim Oranı                                  │
  ├─────────────────┼────────────────────────────────────────────────┤
  │ 2022–2031       │ %100 — Net kazanç üzerinden sıfır KV           │
  │ 2032 ve sonrası │ %75  — Net kazancın %75'i matrahtan düşülür    │
  └─────────────────┴────────────────────────────────────────────────┘
  467 (İFM) ile 416 (Diğer Hizmetler/KVK Md.10/1-ğ) KARŞILAŞTIRMASI:
  416: Mimarlık/Mühendislik/Yazılım vb. yurt dışı hizmet → %50 sabit oran
       Bakanlık izni yok | Geniş hizmet kapsamı | Kişi + Kuruluş alıcı
  467: Finansal hizmetlere özgü → %100/%75 kademeli oran (daha avantajlı!)
       Katılımcı belgesi + fiili faaliyet + personel şartı
       İFM bölgesinde olmak zorunlu
  HESAPLAMA ESASI: Net Kazanç (Brüt − Gider) × Oran</t>
  </si>
  <si>
    <t>C. DENETİM KONTROL LİSTESİ (K1–K12)</t>
  </si>
  <si>
    <t>Kontrol</t>
  </si>
  <si>
    <t>Sonuç</t>
  </si>
  <si>
    <t>K1</t>
  </si>
  <si>
    <t>★ Katılımcı belgesi İFM Başkanlığı'ndan alındı mı?</t>
  </si>
  <si>
    <t>Belge olmadan 467 uygulanamaz.</t>
  </si>
  <si>
    <t>Uygun/Eksik/Risk</t>
  </si>
  <si>
    <t>K2</t>
  </si>
  <si>
    <t>★ İFM bölgesinde fiili faaliyet var mı?</t>
  </si>
  <si>
    <t>Kayıt değil, fiili faaliyet şart.</t>
  </si>
  <si>
    <t>K3</t>
  </si>
  <si>
    <t>★ Bölgede personel istihdam ediliyor mu?</t>
  </si>
  <si>
    <t>SGK teyidi.</t>
  </si>
  <si>
    <t>K4</t>
  </si>
  <si>
    <t>★ Hizmet yurt dışı kaynaklı mı?</t>
  </si>
  <si>
    <t>Yurt içi müşteri → Kapsam dışı.</t>
  </si>
  <si>
    <t>K5</t>
  </si>
  <si>
    <t>★ Net kazanç hesabı doğru mu? (Brüt − Gider)</t>
  </si>
  <si>
    <t>Brüt gelire oran uygulanamaz.</t>
  </si>
  <si>
    <t>K6</t>
  </si>
  <si>
    <t>★ Cari dönem oranı doğru seçildi mi? (2025: %100)</t>
  </si>
  <si>
    <t>2032+ öncesi → %100.</t>
  </si>
  <si>
    <t>K7</t>
  </si>
  <si>
    <t>C tablosu her satırda dönem oranı seçildi mi?</t>
  </si>
  <si>
    <t>A sütunu dropdown dolu olmalı.</t>
  </si>
  <si>
    <t>K8</t>
  </si>
  <si>
    <t>C tablosu F toplamı D.5 ile mutabık mı?</t>
  </si>
  <si>
    <t>F54 = D.5 eşitliği.</t>
  </si>
  <si>
    <t>K9</t>
  </si>
  <si>
    <t>★ İndirim matrahı aşıyor mu? (Devredilemez!)</t>
  </si>
  <si>
    <t>Aşan kısım beyanname notu.</t>
  </si>
  <si>
    <t>K10</t>
  </si>
  <si>
    <t>YİAKV ilişkisi YMM tarafından değerlendirildi mi?</t>
  </si>
  <si>
    <t>GİB Rehberi No:607 incelendi.</t>
  </si>
  <si>
    <t>K11</t>
  </si>
  <si>
    <t>Beyanname 467 'Kazancın Bulunması Halinde'?</t>
  </si>
  <si>
    <t>Zarar → uygulanamaz.</t>
  </si>
  <si>
    <t>K12</t>
  </si>
  <si>
    <t>YMM Tasdik Raporu değerlendirildi mi?</t>
  </si>
  <si>
    <t>&gt;=500.000 TL → Rapor.</t>
  </si>
  <si>
    <t>467 – İFM KAZANÇ İNDİRİMİ KVK Md.10/1-i | MUHASEBE KAYITLARI</t>
  </si>
  <si>
    <t>KAYIT 1 — İFM FİNANSAL HİZMET GELİRİ VE MALİYET KAYDI</t>
  </si>
  <si>
    <t>Tarih</t>
  </si>
  <si>
    <t>Hesap</t>
  </si>
  <si>
    <t>Dr</t>
  </si>
  <si>
    <t>Kr</t>
  </si>
  <si>
    <t>Ref</t>
  </si>
  <si>
    <t>[Dönem]</t>
  </si>
  <si>
    <t>600/601 Satışlar</t>
  </si>
  <si>
    <t>Yurt dışı kaynaklı İFM finansal hizmet geliri</t>
  </si>
  <si>
    <t>—</t>
  </si>
  <si>
    <t>[Brüt]</t>
  </si>
  <si>
    <t>KAYIT 2 — DÖNEM SONU: BEYANNAME 467 İNDİRİMİ</t>
  </si>
  <si>
    <t>[Dönem Sonu]</t>
  </si>
  <si>
    <t>— Beyanname Üzerinde İndirim —</t>
  </si>
  <si>
    <t>KVK Md.10/1-i indirimi gelir tablosunu etkilemez — muhasebe kaydı gerekmez</t>
  </si>
  <si>
    <t>[Net×Oran]</t>
  </si>
  <si>
    <t>Beyanname 467</t>
  </si>
  <si>
    <t xml:space="preserve">  DÖNEM SONU — BEYANNAME 467 (2025 DÖNEMİ: %100):
  467 indirimi GELİR TABLOSUNU ETKİLEMEZ — muhasebe kaydı gerekmez.
  Net Kazanç × %100 (2025 için) → KV beyannamesi 467 satırı.
  YİAKV: GİB Rehberi No:607 kapsamında durum YMM tarafından teyit edilmeli.
  Matrahı aşan kısım devredilmez. 2032'den itibaren oran %75'e iner.</t>
  </si>
  <si>
    <t>467 – İFM KAZANÇ İNDİRİMİ KVK Md.10/1-i | DENETÇİ NOTLARI</t>
  </si>
  <si>
    <t>7412 s.K. | 2022-2031:%100 / 2032+:%75 | Katılımcı Belgesi | 416 Farkı | YİAKV Teyidi</t>
  </si>
  <si>
    <t>Kod</t>
  </si>
  <si>
    <t>Konu</t>
  </si>
  <si>
    <t>Mesleki Değerlendirme / Tasdik Standardı</t>
  </si>
  <si>
    <t>Mevzuat / Kaynak</t>
  </si>
  <si>
    <t>N1</t>
  </si>
  <si>
    <t>KVK Md.10/1-i — İFM Kapsam ve Kademeli Oran</t>
  </si>
  <si>
    <t>KVK MADDE 10/1-i — İSTANBUL FİNANS MERKEZİ KAZANÇ İNDİRİMİ:
7412 sayılı İFM Kanunu kapsamında İFM bölgesinde katılımcı belgesiyle
faaliyette bulunan kurumların yurt dışı kaynaklı finansal hizmet
kazançlarına kademeli indirim uygulanır.
KADEMELİ ORAN (GİB Rehberi No:606):
2022–2031: Net kazancın %100'ü — KV yükü yok
2032+:     Net kazancın %75'i — Teşvik süresiz, oran azalır
ZORUNLU KOŞULLAR:
① İFM Başkanlığı katılımcı belgesi
② İFM bölgesinde fiili faaliyet
③ Bölgede personel istihdamı
④ Yurt dışı kaynaklı finansal hizmet kazancı
YİAKV: GİB Rehberi No:607 kapsamında YMM teyidi gerekli.</t>
  </si>
  <si>
    <t>KVK Md.10/1-i | 7412 s.K. | GİB KV Beyan Reh. 2026 (No:606)</t>
  </si>
  <si>
    <t>N2</t>
  </si>
  <si>
    <t>★ 467 (İFM) ile 416 (Diğer Hizmetler) Karşılaştırması</t>
  </si>
  <si>
    <t>467 (İFM) vs 416 (KVK Md.10/1-ğ) — TEMEL FARKLAR:
416 — DİĞER HİZMETLER (KVK Md.10/1-ğ):
• Hizmet: Mimarlık, Mühendislik, Yazılım, Tasarım, Çağrı Merkezi vb.
• Oran: Net kazancın %50'si — sabit
• Bakanlık izni: Yok
• Alıcı: Yurt dışı gerçek kişi veya kuruluş
• İFM bölgesi şartı: Yok
467 — İFM (KVK Md.10/1-i):
• Hizmet: Finansal hizmetler (bankacılık, sigorta, sermaye piyasası vb.)
• Oran: %100 (2022-2031) / %75 (2032+) — çok daha avantajlı!
• Katılımcı belgesi: ZORUNLU
• İFM bölgesinde fiili faaliyet + personel: ZORUNLU
• Alıcı: Yurt dışı kaynaklı
AYNILIKLARI:
Her ikisinde de Net Kazanç esası (brüt gelir değil).
Her ikisinde de devredilmez, kazancın bulunması halinde.</t>
  </si>
  <si>
    <t>KVK Md.10/1-ğ | KVK Md.10/1-i | GİB Reh. No:606</t>
  </si>
  <si>
    <t>N3</t>
  </si>
  <si>
    <t>Katılımcı Belgesi ve Fiili Faaliyet Koşulları</t>
  </si>
  <si>
    <t>KATİLIMCI BELGESİ VE FAALİYET KOŞULLARI:
KATİLIMCI BELGESİ:
• İFM Yönetim Başkanlığı tarafından verilir
• 7412 sayılı Kanun kapsamında
• Belge alınmadan 467 uygulanamaz
• Belge tarihinden önceki dönem gelirleri kapsam dışı
FİİLİ FAALİYET KOŞULU:
• İFM bölgesinde fiili ofis ve operasyon zorunlu
• Sadece tescil veya adres kaydı yeterli değil
• Fiili faaliyet belgesi/kanıtı gerekebilir
PERSONEL İSTİHDAMI:
• İFM bölgesinde çalışan personel şart
• SGK işyeri kaydı + prim ödeme belgesi ile teyit
YMM: Her üç koşulun da dönem boyunca sağlandığı belgelenmeli.</t>
  </si>
  <si>
    <t>7412 s.K. | GİB Özelge | İFM Yönetim Başkanlığı</t>
  </si>
  <si>
    <t>N4</t>
  </si>
  <si>
    <t>✓ YİAKV DÜŞÜLEBILIR — KVK Md.32/C f.2 (g) Bendi — Korumalı Kalem</t>
  </si>
  <si>
    <t>KVK Md.32/C f.2 BENT (g) — İFM KAZANÇ İNDİRİMİ KORUMAL KALEMDİR:
KVK'nın 32/C maddesinin 2. fıkrasının (g) bendi:
'İstanbul Finans Merkezi Bölgesinde faaliyette bulunan kurumların elde ettikleri
kazançlarda indirim' YİAKV matrahından DÜŞÜLEBİLECEK istisnalar arasında
AÇIKÇA SAYILMIŞTIR.
YİAKV HESAPLAMA SİSTEMATİĞİ (GİB Rehberi No:607):
Ticari Bilanço Kârı
+ KKEG
= Ara Toplam
- 467 Kodu (İFM Kazanç İndirimi) ← BURADA DÜŞÜLEBİLİR
= YİAKV Matrahı
× %10 = Asgari Vergi
SAYISAL ÖRNEK:
Ticari Bilanço Kârı:      10.000.000 TL
+ KKEG:                    1.000.000 TL
= Ara Toplam:             11.000.000 TL
- 467 İFM İndirimi:       -8.000.000 TL  ← Düşülebilir!
= YİAKV Matrahı:           3.000.000 TL
× %10 YİAKV:                 300.000 TL
406 (Yatırım İndirimi) ile KARŞILAŞTIRMA:
406: ✗ YİAKV E.11 — DÜŞÜLEMEZ → Asgari vergi yükü doğurur
467: ✓ KVK Md.32/C (g) — DÜŞÜLEBİLİR → Asgari vergi yükü DOĞURMAZ
İFM TEŞVİKİNİN RUHU:
Kanun koyucu İFM'deki finansal hizmet ihracatını stratejik alan olarak
gördüğünden bu kazancı YİAKV dışında tutarak teşvikin etkisini korumuştur.</t>
  </si>
  <si>
    <t>KVK Md.32/C f.2 (g) | GİB Rehberi No:607 | KVK Md.10/1-i</t>
  </si>
  <si>
    <t>N5</t>
  </si>
  <si>
    <t>49 No.lu Tebliğ + YMM Tasdik Dil Standardı</t>
  </si>
  <si>
    <t>KULLANIN (2025 Dönemi — %100):
'...Kurumlar Vergisi Kanunu'nun 10. maddesinin (i) bendi kapsamında,
7412 sayılı İstanbul Finans Merkezi Kanunu'na göre İFM'de faaliyette
bulunan ve [Katılımcı Belgesi No] numaralı katılımcı belgesine sahip
şirketimizin yurt dışı kaynaklı finansal hizmetlerden elde ettiği
[Net Kazanç] TL net kazancın %100'ü olan [Tutar] TL kurumlar vergisi
matrahından indirilmiştir.'
KULLANMAYIN:
'...Katılımcı belgesi olmadan İFM indirimi uygulandı.' (Geçersiz)
'...Yurt içi müşteri geliri 467 kapsamında.' (Kapsam dışı)
'...Brüt gelirin %100'ü 467 kapsamında.' (Net kazanç olmalı)
KRİTİK RİSKLER:
(1) Katılımcı belgesi olmadan 467 uygulamak.
(2) Yurt içi müşteri gelirini 467'ye dahil etmek.
(3) Brüt gelire oran uygulamak (net kazanç olmalı).
(4) Dönem oranını yanlış seçmek (2025: %100, 2032: %75).</t>
  </si>
  <si>
    <t>49 No.lu Tebliğ | KVK Md.10/1-i | SM-SMMM-YMM K. Md.12</t>
  </si>
  <si>
    <t xml:space="preserve">  GİB KV BEYAN REHBERİ MART 2026 (No:606/607) KAPANIŞ (467): KVK Md.10/1-i — İFM'de katılımcı belgesiyle yurt dışı finansal hizmet. Oran: 2022-2031 %100 | 2032+ %75. Net kazanç × oran. ✓ YİAKV: KVK Md.32/C f.2 (g) bendi — KORUMAL KALEMDİR, asgari vergi yükü doğurmaz. 406 ile farklı: 406 ✗ E.11 | 467 ✓ (g) bendi.</t>
  </si>
  <si>
    <t>467 – İFM KAZANÇ İNDİRİMİ KVK Md.10/1-i | BELGE LİSTESİ | YMM TASDİK</t>
  </si>
  <si>
    <t>Katılımcı Belgesi | Yurt Dışı Müşteri Faturası | Personel SGK | Gelir Ayrımı | YİAKV Teyidi</t>
  </si>
  <si>
    <t>KATEGORİ 1 — ZORUNLU BELGELER</t>
  </si>
  <si>
    <t>No</t>
  </si>
  <si>
    <t>Belge</t>
  </si>
  <si>
    <t>Temin</t>
  </si>
  <si>
    <t>1</t>
  </si>
  <si>
    <t>★ İFM Katılımcı Belgesi</t>
  </si>
  <si>
    <t>İFM Yönetim Başkanlığı tarafından düzenlenen katılımcı belgesi. 467'nin temel koşulu. Belgenin dönem boyunca geçerli olduğu teyit edilmeli. Zorunlu.</t>
  </si>
  <si>
    <t>İFM Yönetim Başkanlığı</t>
  </si>
  <si>
    <t>2</t>
  </si>
  <si>
    <t>★ Yurt Dışı Müşteri Faturası ve Sözleşme</t>
  </si>
  <si>
    <t>Her yurt dışı kaynaklı finansal hizmet için fatura ve sözleşme. Müşterinin yurt dışı kaynaklı olduğu anlaşılmalı. Zorunlu.</t>
  </si>
  <si>
    <t>Muhasebe / Sözleşme Arşivi</t>
  </si>
  <si>
    <t>3</t>
  </si>
  <si>
    <t>★ İFM Personeli SGK Hizmet Dökümü</t>
  </si>
  <si>
    <t>İFM bölgesinde çalışan personelin SGK işyeri kaydı ve prim ödeme belgesi. Personel istihdamı koşulunun kanıtı. Zorunlu.</t>
  </si>
  <si>
    <t>SGK e-Devlet</t>
  </si>
  <si>
    <t>4</t>
  </si>
  <si>
    <t>★ Yurt İçi / Yurt Dışı Gelir-Gider Ayrışım Notu</t>
  </si>
  <si>
    <t>Karma faaliyette yurt dışı kaynaklı gelir ve ilgili gider payının ayrıştırıldığı YMM hesaplama notu. Net kazanç hesabının dayanağı. Zorunlu.</t>
  </si>
  <si>
    <t>YMM Hesaplama Notu</t>
  </si>
  <si>
    <t>5</t>
  </si>
  <si>
    <t>Fiili Faaliyet Belgesi (Gerektiğinde)</t>
  </si>
  <si>
    <t>İFM bölgesinde fiilen faaliyette bulunulduğunu gösteren kira sözleşmesi, adres teyit belgesi veya GİB/SGK işyeri kaydı.</t>
  </si>
  <si>
    <t>Kiralama / SGK</t>
  </si>
  <si>
    <t>6</t>
  </si>
  <si>
    <t>KV Beyannamesi 467 Satırı + YİAKV Değerlendirme</t>
  </si>
  <si>
    <t>Beyanname 467 = Net Kazanç × %100 (2025). YİAKV durumu için GİB Rehberi No:607 kapsamında YMM değerlendirme notu.</t>
  </si>
  <si>
    <t>GİB e-Beyanname + YMM Notu</t>
  </si>
  <si>
    <t>KATEGORİ 2 — YMM TASDİK KONTROL SORULARI</t>
  </si>
  <si>
    <t>Beklenen Sonuç</t>
  </si>
  <si>
    <t>YMM Aksiyonu</t>
  </si>
  <si>
    <t>S1</t>
  </si>
  <si>
    <t>★ Katılımcı belgesi geçerli ve dönem kapsamında mı?</t>
  </si>
  <si>
    <t>Belge tarihleri kontrol.</t>
  </si>
  <si>
    <t>YMM kontrolü</t>
  </si>
  <si>
    <t>S2</t>
  </si>
  <si>
    <t>Ofis/faaliyet kanıtı.</t>
  </si>
  <si>
    <t>S3</t>
  </si>
  <si>
    <t>S4</t>
  </si>
  <si>
    <t>★ Hizmetler yurt dışı kaynaklı mı?</t>
  </si>
  <si>
    <t>S5</t>
  </si>
  <si>
    <t>Brüt gelire oran → Hatalı.</t>
  </si>
  <si>
    <t>S6</t>
  </si>
  <si>
    <t>★ Cari dönem oranı doğru mu? (2025: %100)</t>
  </si>
  <si>
    <t>C tablosu A sütunu teyidi.</t>
  </si>
  <si>
    <t>S7</t>
  </si>
  <si>
    <t>★ İndirim matrahı aşıyor mu? (Devredilmez!)</t>
  </si>
  <si>
    <t>S8</t>
  </si>
  <si>
    <t>YİAKV ilişkisi değerlendirildi mi?</t>
  </si>
  <si>
    <t>GİB Rehberi No:607 teyidi.</t>
  </si>
  <si>
    <t>S9</t>
  </si>
  <si>
    <t>S10</t>
  </si>
  <si>
    <t xml:space="preserve">  GİB KV BEYAN REHBERİ MART 2026 (No:606/607) | 467 İFM KAZANÇ İNDİRİMİ:
  Katılımcı belgesi + İFM fiili faaliyet + personel + yurt dışı kaynaklı finansal hizmet zorunludur.
  Oran: 2022-2031 %100 | 2032+ %75. NET kazanç × oran (brüt gelir değil).
  ✓ YİAKV: KVK Md.32/C f.2 (g) bendi — KORUMAL KALEMDİR. Asgari vergi yükü DOĞURMAZ.
  406 (Yatırım İnd.) ile karşılaştır: 406 → ✗ E.11 (YİAKV yükü var) | 467 → ✓ (g) bendi (yük yok).
  Matrahı aşan devredilmez. YMM: SM-SMMM-YMM Kanunu Md.12.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</si>
</sst>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8"/>
      <color rgb="FF7B5E00"/>
      <name val="Arial"/>
    </font>
    <font>
      <b/>
      <sz val="10"/>
      <color rgb="FFFFFFFF"/>
      <name val="Arial"/>
    </font>
    <font>
      <b/>
      <sz val="9"/>
      <color rgb="FFC0392B"/>
      <name val="Arial"/>
    </font>
    <font>
      <b/>
      <sz val="10"/>
      <color rgb="FF0000FF"/>
      <name val="Arial"/>
    </font>
    <font>
      <i/>
      <sz val="8"/>
      <color rgb="FFC0392B"/>
      <name val="Arial"/>
    </font>
    <font>
      <b/>
      <sz val="9"/>
      <color rgb="FF1F3864"/>
      <name val="Arial"/>
    </font>
    <font>
      <i/>
      <sz val="8"/>
      <color rgb="FF555555"/>
      <name val="Arial"/>
    </font>
    <font>
      <b/>
      <sz val="10"/>
      <color rgb="FF1B5E20"/>
      <name val="Arial"/>
    </font>
    <font>
      <i/>
      <sz val="8"/>
      <color rgb="FF888888"/>
      <name val="Arial"/>
    </font>
    <font>
      <i/>
      <sz val="8"/>
      <color rgb="FFF57F17"/>
      <name val="Arial"/>
    </font>
    <font>
      <b/>
      <sz val="11"/>
      <color rgb="FF1B5E20"/>
      <name val="Arial"/>
    </font>
    <font>
      <b/>
      <sz val="12"/>
      <color rgb="FF1B5E20"/>
      <name val="Arial"/>
    </font>
    <font>
      <b/>
      <sz val="9"/>
      <color rgb="FFE65100"/>
      <name val="Arial"/>
    </font>
    <font>
      <i/>
      <sz val="8"/>
      <color rgb="FFE65100"/>
      <name val="Arial"/>
    </font>
    <font>
      <b/>
      <sz val="10"/>
      <color rgb="FFE65100"/>
      <name val="Arial"/>
    </font>
    <font>
      <b/>
      <sz val="11"/>
      <color rgb="FFE65100"/>
      <name val="Arial"/>
    </font>
    <font>
      <sz val="9"/>
      <color rgb="FF1F3864"/>
      <name val="Arial"/>
    </font>
    <font>
      <b/>
      <sz val="9"/>
      <color rgb="FF5D4037"/>
      <name val="Arial"/>
    </font>
    <font>
      <b/>
      <sz val="9"/>
      <color rgb="FFF57F17"/>
      <name val="Arial"/>
    </font>
    <font>
      <b/>
      <sz val="9"/>
      <color rgb="FF1B5E20"/>
      <name val="Arial"/>
    </font>
    <font>
      <sz val="8"/>
      <color rgb="FF1F3864"/>
      <name val="Arial"/>
    </font>
    <font>
      <b/>
      <sz val="11"/>
      <color rgb="FFFFFFFF"/>
      <name val="Arial"/>
    </font>
    <font>
      <b/>
      <sz val="13"/>
      <color rgb="FFFFFFFF"/>
      <name val="Arial"/>
    </font>
    <font>
      <b/>
      <sz val="10"/>
      <color rgb="FFF57F17"/>
      <name val="Arial"/>
    </font>
    <font>
      <b/>
      <sz val="13"/>
      <color rgb="FF1B5E20"/>
      <name val="Arial"/>
    </font>
    <font>
      <b/>
      <sz val="14"/>
      <color rgb="FF1B5E20"/>
      <name val="Arial"/>
    </font>
    <font>
      <i/>
      <sz val="8"/>
      <color rgb="FF1B5E20"/>
      <name val="Arial"/>
    </font>
    <font>
      <sz val="8"/>
      <color rgb="FF333333"/>
      <name val="Arial"/>
    </font>
    <font>
      <i/>
      <sz val="8"/>
      <color rgb="FF444444"/>
      <name val="Arial"/>
    </font>
    <font>
      <b/>
      <sz val="9"/>
      <color rgb="FF7B5E00"/>
      <name val="Arial"/>
    </font>
    <font>
      <sz val="8"/>
      <color rgb="FF444444"/>
      <name val="Arial"/>
    </font>
    <font>
      <b/>
      <sz val="9"/>
      <color rgb="FF1565C0"/>
      <name val="Arial"/>
    </font>
    <font>
      <b/>
      <sz val="8"/>
      <color rgb="FF1565C0"/>
      <name val="Arial"/>
    </font>
  </fonts>
  <fills count="28">
    <fill>
      <patternFill patternType="none"/>
    </fill>
    <fill>
      <patternFill patternType="gray125"/>
    </fill>
    <fill>
      <patternFill patternType="solid">
        <fgColor rgb="FFF57F17"/>
      </patternFill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E65100"/>
      </patternFill>
    </fill>
    <fill>
      <patternFill patternType="solid">
        <fgColor rgb="FFDEDEDE"/>
      </patternFill>
    </fill>
    <fill>
      <patternFill patternType="solid">
        <fgColor rgb="FFC0392B"/>
      </patternFill>
    </fill>
    <fill>
      <patternFill patternType="solid">
        <fgColor rgb="FF1565C0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FFFDE7"/>
      </patternFill>
    </fill>
    <fill>
      <patternFill patternType="solid">
        <fgColor rgb="FFC6EFCE"/>
      </patternFill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FFE082"/>
      </patternFill>
    </fill>
    <fill>
      <patternFill patternType="solid">
        <fgColor rgb="FFFFF8E1"/>
      </patternFill>
    </fill>
    <fill>
      <patternFill patternType="solid">
        <fgColor rgb="FFFFF5F5"/>
      </patternFill>
    </fill>
    <fill>
      <patternFill patternType="solid">
        <fgColor rgb="FFF7F7F7"/>
      </patternFill>
    </fill>
    <fill>
      <patternFill patternType="solid">
        <fgColor rgb="FFEBF5EB"/>
      </patternFill>
    </fill>
    <fill>
      <patternFill patternType="solid">
        <fgColor rgb="FFB71C1C"/>
      </patternFill>
    </fill>
    <fill>
      <patternFill patternType="solid">
        <fgColor rgb="FFFFEBEE"/>
      </patternFill>
    </fill>
    <fill>
      <patternFill patternType="solid">
        <fgColor rgb="FFFFD0D0"/>
      </patternFill>
    </fill>
    <fill>
      <patternFill patternType="solid">
        <fgColor rgb="FFE3F2FD"/>
      </patternFill>
    </fill>
    <fill>
      <patternFill patternType="solid">
        <fgColor rgb="FFEEF4FF"/>
      </patternFill>
    </fill>
    <fill>
      <patternFill patternType="solid">
        <fgColor rgb="FFF0FFF0"/>
      </patternFill>
    </fill>
  </fills>
  <borders count="1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1B5E20"/>
      </left>
      <right style="thin">
        <color rgb="FF1B5E20"/>
      </right>
      <top style="thin">
        <color rgb="FF1B5E20"/>
      </top>
      <bottom style="thin">
        <color rgb="FF1B5E20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  <border>
      <left style="thin">
        <color rgb="FFE65100"/>
      </left>
      <right style="thin">
        <color rgb="FFE65100"/>
      </right>
      <top style="thin">
        <color rgb="FFE65100"/>
      </top>
      <bottom style="thin">
        <color rgb="FFE65100"/>
      </bottom>
      <diagonal/>
    </border>
    <border>
      <left style="thin">
        <color rgb="FFF57F17"/>
      </left>
      <right style="thin">
        <color rgb="FFF57F17"/>
      </right>
      <top style="thin">
        <color rgb="FFF57F17"/>
      </top>
      <bottom style="thin">
        <color rgb="FFF57F17"/>
      </bottom>
      <diagonal/>
    </border>
    <border>
      <left style="thin">
        <color rgb="FFC0392B"/>
      </left>
      <right style="thin">
        <color rgb="FFC0392B"/>
      </right>
      <top style="thin">
        <color rgb="FFC0392B"/>
      </top>
      <bottom style="thin">
        <color rgb="FFC0392B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0" fillId="6" borderId="4" xfId="0" applyFill="1" applyBorder="1"/>
    <xf numFmtId="0" fontId="1" fillId="8" borderId="1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/>
    </xf>
    <xf numFmtId="0" fontId="9" fillId="13" borderId="4" xfId="0" applyFont="1" applyFill="1" applyBorder="1" applyAlignment="1">
      <alignment horizontal="center" vertical="center"/>
    </xf>
    <xf numFmtId="0" fontId="0" fillId="10" borderId="4" xfId="0" applyFill="1" applyBorder="1"/>
    <xf numFmtId="0" fontId="1" fillId="14" borderId="1" xfId="0" applyFont="1" applyFill="1" applyBorder="1" applyAlignment="1">
      <alignment horizontal="center" vertical="center" wrapText="1"/>
    </xf>
    <xf numFmtId="3" fontId="9" fillId="15" borderId="7" xfId="0" applyNumberFormat="1" applyFont="1" applyFill="1" applyBorder="1" applyAlignment="1">
      <alignment horizontal="right" vertical="center"/>
    </xf>
    <xf numFmtId="0" fontId="12" fillId="13" borderId="8" xfId="0" applyFont="1" applyFill="1" applyBorder="1" applyAlignment="1">
      <alignment horizontal="center" vertical="center"/>
    </xf>
    <xf numFmtId="3" fontId="13" fillId="13" borderId="8" xfId="0" applyNumberFormat="1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center" vertical="center" wrapText="1"/>
    </xf>
    <xf numFmtId="3" fontId="16" fillId="16" borderId="9" xfId="0" applyNumberFormat="1" applyFont="1" applyFill="1" applyBorder="1" applyAlignment="1">
      <alignment horizontal="right" vertical="center"/>
    </xf>
    <xf numFmtId="0" fontId="17" fillId="16" borderId="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9" fillId="17" borderId="4" xfId="0" applyFont="1" applyFill="1" applyBorder="1" applyAlignment="1">
      <alignment horizontal="center" vertical="center"/>
    </xf>
    <xf numFmtId="0" fontId="18" fillId="10" borderId="4" xfId="0" applyFont="1" applyFill="1" applyBorder="1" applyAlignment="1">
      <alignment horizontal="left" vertical="center" wrapText="1"/>
    </xf>
    <xf numFmtId="3" fontId="20" fillId="18" borderId="10" xfId="0" applyNumberFormat="1" applyFont="1" applyFill="1" applyBorder="1" applyAlignment="1">
      <alignment horizontal="right" vertical="center" wrapText="1"/>
    </xf>
    <xf numFmtId="3" fontId="4" fillId="18" borderId="11" xfId="0" applyNumberFormat="1" applyFont="1" applyFill="1" applyBorder="1" applyAlignment="1">
      <alignment horizontal="right" vertical="center" wrapText="1"/>
    </xf>
    <xf numFmtId="3" fontId="20" fillId="15" borderId="4" xfId="0" applyNumberFormat="1" applyFont="1" applyFill="1" applyBorder="1" applyAlignment="1">
      <alignment horizontal="right" vertical="center" wrapText="1"/>
    </xf>
    <xf numFmtId="3" fontId="21" fillId="13" borderId="8" xfId="0" applyNumberFormat="1" applyFont="1" applyFill="1" applyBorder="1" applyAlignment="1">
      <alignment horizontal="right" vertical="center" wrapText="1"/>
    </xf>
    <xf numFmtId="0" fontId="22" fillId="10" borderId="4" xfId="0" applyFont="1" applyFill="1" applyBorder="1" applyAlignment="1">
      <alignment horizontal="center" vertical="center" wrapText="1"/>
    </xf>
    <xf numFmtId="3" fontId="20" fillId="12" borderId="4" xfId="0" applyNumberFormat="1" applyFont="1" applyFill="1" applyBorder="1" applyAlignment="1">
      <alignment horizontal="right" vertical="center" wrapText="1"/>
    </xf>
    <xf numFmtId="3" fontId="3" fillId="2" borderId="4" xfId="0" applyNumberFormat="1" applyFont="1" applyFill="1" applyBorder="1" applyAlignment="1">
      <alignment horizontal="right" vertical="center" wrapText="1"/>
    </xf>
    <xf numFmtId="3" fontId="23" fillId="2" borderId="4" xfId="0" applyNumberFormat="1" applyFont="1" applyFill="1" applyBorder="1" applyAlignment="1">
      <alignment horizontal="right" vertical="center" wrapText="1"/>
    </xf>
    <xf numFmtId="3" fontId="24" fillId="2" borderId="8" xfId="0" applyNumberFormat="1" applyFont="1" applyFill="1" applyBorder="1" applyAlignment="1">
      <alignment horizontal="right" vertical="center" wrapText="1"/>
    </xf>
    <xf numFmtId="3" fontId="25" fillId="12" borderId="4" xfId="0" applyNumberFormat="1" applyFont="1" applyFill="1" applyBorder="1" applyAlignment="1">
      <alignment horizontal="right" vertical="center"/>
    </xf>
    <xf numFmtId="0" fontId="9" fillId="17" borderId="4" xfId="0" applyFont="1" applyFill="1" applyBorder="1" applyAlignment="1">
      <alignment horizontal="center" vertical="center"/>
    </xf>
    <xf numFmtId="3" fontId="26" fillId="13" borderId="8" xfId="0" applyNumberFormat="1" applyFont="1" applyFill="1" applyBorder="1" applyAlignment="1">
      <alignment horizontal="right" vertical="center"/>
    </xf>
    <xf numFmtId="3" fontId="27" fillId="13" borderId="8" xfId="0" applyNumberFormat="1" applyFont="1" applyFill="1" applyBorder="1" applyAlignment="1">
      <alignment horizontal="right" vertical="center" wrapText="1"/>
    </xf>
    <xf numFmtId="3" fontId="9" fillId="12" borderId="4" xfId="0" applyNumberFormat="1" applyFont="1" applyFill="1" applyBorder="1" applyAlignment="1">
      <alignment horizontal="center" vertical="center"/>
    </xf>
    <xf numFmtId="3" fontId="9" fillId="15" borderId="4" xfId="0" applyNumberFormat="1" applyFont="1" applyFill="1" applyBorder="1" applyAlignment="1">
      <alignment horizontal="right" vertical="center"/>
    </xf>
    <xf numFmtId="3" fontId="13" fillId="13" borderId="4" xfId="0" applyNumberFormat="1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left" vertical="top" wrapText="1"/>
    </xf>
    <xf numFmtId="0" fontId="29" fillId="19" borderId="4" xfId="0" applyFont="1" applyFill="1" applyBorder="1" applyAlignment="1">
      <alignment horizontal="left" vertical="top" wrapText="1"/>
    </xf>
    <xf numFmtId="0" fontId="0" fillId="11" borderId="4" xfId="0" applyFill="1" applyBorder="1"/>
    <xf numFmtId="0" fontId="0" fillId="12" borderId="4" xfId="0" applyFill="1" applyBorder="1"/>
    <xf numFmtId="0" fontId="7" fillId="11" borderId="4" xfId="0" applyFont="1" applyFill="1" applyBorder="1" applyAlignment="1">
      <alignment horizontal="left" vertical="top" wrapText="1"/>
    </xf>
    <xf numFmtId="0" fontId="7" fillId="12" borderId="4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center" vertical="center"/>
    </xf>
    <xf numFmtId="0" fontId="18" fillId="12" borderId="4" xfId="0" applyFont="1" applyFill="1" applyBorder="1" applyAlignment="1">
      <alignment horizontal="center" vertical="center" wrapText="1"/>
    </xf>
    <xf numFmtId="0" fontId="29" fillId="20" borderId="4" xfId="0" applyFont="1" applyFill="1" applyBorder="1" applyAlignment="1">
      <alignment horizontal="left" vertical="top" wrapText="1"/>
    </xf>
    <xf numFmtId="0" fontId="30" fillId="12" borderId="4" xfId="0" applyFont="1" applyFill="1" applyBorder="1" applyAlignment="1">
      <alignment horizontal="left" vertical="top" wrapText="1"/>
    </xf>
    <xf numFmtId="0" fontId="1" fillId="7" borderId="4" xfId="0" applyFont="1" applyFill="1" applyBorder="1" applyAlignment="1">
      <alignment horizontal="center" vertical="center" wrapText="1"/>
    </xf>
    <xf numFmtId="0" fontId="30" fillId="9" borderId="4" xfId="0" applyFont="1" applyFill="1" applyBorder="1" applyAlignment="1">
      <alignment horizontal="left" vertical="top" wrapText="1"/>
    </xf>
    <xf numFmtId="0" fontId="30" fillId="11" borderId="4" xfId="0" applyFont="1" applyFill="1" applyBorder="1" applyAlignment="1">
      <alignment horizontal="left" vertical="top" wrapText="1"/>
    </xf>
    <xf numFmtId="0" fontId="0" fillId="4" borderId="4" xfId="0" applyFill="1" applyBorder="1"/>
    <xf numFmtId="0" fontId="0" fillId="13" borderId="4" xfId="0" applyFill="1" applyBorder="1"/>
    <xf numFmtId="0" fontId="7" fillId="13" borderId="4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left" vertical="top" wrapText="1"/>
    </xf>
    <xf numFmtId="0" fontId="29" fillId="21" borderId="4" xfId="0" applyFont="1" applyFill="1" applyBorder="1" applyAlignment="1">
      <alignment horizontal="left" vertical="top" wrapText="1"/>
    </xf>
    <xf numFmtId="0" fontId="32" fillId="13" borderId="4" xfId="0" applyFont="1" applyFill="1" applyBorder="1" applyAlignment="1">
      <alignment horizontal="left" vertical="center" wrapText="1"/>
    </xf>
    <xf numFmtId="0" fontId="7" fillId="11" borderId="4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left" vertical="top" wrapText="1"/>
    </xf>
    <xf numFmtId="0" fontId="32" fillId="11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top" wrapText="1"/>
    </xf>
    <xf numFmtId="0" fontId="1" fillId="22" borderId="1" xfId="0" applyFont="1" applyFill="1" applyBorder="1" applyAlignment="1">
      <alignment horizontal="center" vertical="center"/>
    </xf>
    <xf numFmtId="0" fontId="0" fillId="23" borderId="4" xfId="0" applyFill="1" applyBorder="1"/>
    <xf numFmtId="0" fontId="33" fillId="23" borderId="4" xfId="0" applyFont="1" applyFill="1" applyBorder="1" applyAlignment="1">
      <alignment horizontal="center" vertical="center" wrapText="1"/>
    </xf>
    <xf numFmtId="0" fontId="4" fillId="23" borderId="4" xfId="0" applyFont="1" applyFill="1" applyBorder="1" applyAlignment="1">
      <alignment horizontal="left" vertical="top" wrapText="1"/>
    </xf>
    <xf numFmtId="0" fontId="29" fillId="24" borderId="4" xfId="0" applyFont="1" applyFill="1" applyBorder="1" applyAlignment="1">
      <alignment horizontal="left" vertical="top" wrapText="1"/>
    </xf>
    <xf numFmtId="0" fontId="34" fillId="23" borderId="4" xfId="0" applyFont="1" applyFill="1" applyBorder="1" applyAlignment="1">
      <alignment horizontal="center" vertical="center" wrapText="1"/>
    </xf>
    <xf numFmtId="0" fontId="0" fillId="25" borderId="4" xfId="0" applyFill="1" applyBorder="1"/>
    <xf numFmtId="0" fontId="33" fillId="25" borderId="4" xfId="0" applyFont="1" applyFill="1" applyBorder="1" applyAlignment="1">
      <alignment horizontal="center" vertical="center" wrapText="1"/>
    </xf>
    <xf numFmtId="0" fontId="33" fillId="25" borderId="4" xfId="0" applyFont="1" applyFill="1" applyBorder="1" applyAlignment="1">
      <alignment horizontal="left" vertical="top" wrapText="1"/>
    </xf>
    <xf numFmtId="0" fontId="29" fillId="26" borderId="4" xfId="0" applyFont="1" applyFill="1" applyBorder="1" applyAlignment="1">
      <alignment horizontal="left" vertical="top" wrapText="1"/>
    </xf>
    <xf numFmtId="0" fontId="34" fillId="25" borderId="4" xfId="0" applyFont="1" applyFill="1" applyBorder="1" applyAlignment="1">
      <alignment horizontal="center" vertical="center" wrapText="1"/>
    </xf>
    <xf numFmtId="0" fontId="9" fillId="13" borderId="8" xfId="0" applyFont="1" applyFill="1" applyBorder="1" applyAlignment="1">
      <alignment horizontal="center" vertical="center"/>
    </xf>
    <xf numFmtId="0" fontId="1" fillId="14" borderId="4" xfId="0" applyFont="1" applyFill="1" applyBorder="1" applyAlignment="1">
      <alignment horizontal="center" vertical="center"/>
    </xf>
    <xf numFmtId="0" fontId="21" fillId="13" borderId="4" xfId="0" applyFont="1" applyFill="1" applyBorder="1" applyAlignment="1">
      <alignment horizontal="left" vertical="top" wrapText="1"/>
    </xf>
    <xf numFmtId="0" fontId="29" fillId="27" borderId="4" xfId="0" applyFont="1" applyFill="1" applyBorder="1" applyAlignment="1">
      <alignment horizontal="left" vertical="top" wrapText="1"/>
    </xf>
    <xf numFmtId="0" fontId="30" fillId="13" borderId="4" xfId="0" applyFont="1" applyFill="1" applyBorder="1" applyAlignment="1">
      <alignment horizontal="left" vertical="top" wrapText="1"/>
    </xf>
    <xf numFmtId="0" fontId="10" fillId="12" borderId="4" xfId="0" applyFont="1" applyFill="1" applyBorder="1" applyAlignment="1">
      <alignment horizontal="left" vertical="center" wrapText="1"/>
    </xf>
    <xf numFmtId="0" fontId="0" fillId="0" borderId="6" xfId="0" applyBorder="1"/>
    <xf numFmtId="0" fontId="3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0" fillId="11" borderId="4" xfId="0" applyFont="1" applyFill="1" applyBorder="1" applyAlignment="1">
      <alignment horizontal="left" vertical="center" wrapText="1"/>
    </xf>
    <xf numFmtId="0" fontId="0" fillId="10" borderId="4" xfId="0" applyFill="1" applyBorder="1"/>
    <xf numFmtId="0" fontId="0" fillId="0" borderId="5" xfId="0" applyBorder="1"/>
    <xf numFmtId="0" fontId="21" fillId="13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/>
    </xf>
    <xf numFmtId="0" fontId="6" fillId="13" borderId="4" xfId="0" applyFont="1" applyFill="1" applyBorder="1" applyAlignment="1">
      <alignment horizontal="left" vertical="center" wrapText="1"/>
    </xf>
    <xf numFmtId="0" fontId="14" fillId="11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center"/>
    </xf>
    <xf numFmtId="0" fontId="4" fillId="11" borderId="4" xfId="0" applyFont="1" applyFill="1" applyBorder="1" applyAlignment="1">
      <alignment horizontal="left" vertical="center" wrapText="1"/>
    </xf>
    <xf numFmtId="0" fontId="14" fillId="16" borderId="4" xfId="0" applyFont="1" applyFill="1" applyBorder="1" applyAlignment="1">
      <alignment horizontal="left" vertical="center" wrapText="1"/>
    </xf>
    <xf numFmtId="0" fontId="10" fillId="13" borderId="4" xfId="0" applyFont="1" applyFill="1" applyBorder="1" applyAlignment="1">
      <alignment horizontal="left" vertical="center" wrapText="1"/>
    </xf>
    <xf numFmtId="0" fontId="28" fillId="13" borderId="4" xfId="0" applyFont="1" applyFill="1" applyBorder="1" applyAlignment="1">
      <alignment horizontal="left" vertical="center" wrapText="1"/>
    </xf>
    <xf numFmtId="0" fontId="7" fillId="12" borderId="4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left" vertical="center"/>
    </xf>
    <xf numFmtId="0" fontId="15" fillId="11" borderId="4" xfId="0" applyFont="1" applyFill="1" applyBorder="1" applyAlignment="1">
      <alignment horizontal="left" vertical="center" wrapText="1"/>
    </xf>
    <xf numFmtId="0" fontId="18" fillId="12" borderId="4" xfId="0" applyFont="1" applyFill="1" applyBorder="1" applyAlignment="1">
      <alignment horizontal="left" vertical="center" wrapText="1"/>
    </xf>
    <xf numFmtId="0" fontId="7" fillId="11" borderId="4" xfId="0" applyFont="1" applyFill="1" applyBorder="1" applyAlignment="1">
      <alignment horizontal="left" vertical="center" wrapText="1"/>
    </xf>
    <xf numFmtId="0" fontId="6" fillId="9" borderId="4" xfId="0" applyFont="1" applyFill="1" applyBorder="1" applyAlignment="1">
      <alignment horizontal="left" vertical="center" wrapText="1"/>
    </xf>
    <xf numFmtId="0" fontId="10" fillId="15" borderId="4" xfId="0" applyFont="1" applyFill="1" applyBorder="1" applyAlignment="1">
      <alignment horizontal="left" vertical="center" wrapText="1"/>
    </xf>
    <xf numFmtId="0" fontId="11" fillId="15" borderId="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/>
    </xf>
    <xf numFmtId="0" fontId="4" fillId="9" borderId="4" xfId="0" applyFont="1" applyFill="1" applyBorder="1" applyAlignment="1">
      <alignment horizontal="left" vertical="center" wrapText="1"/>
    </xf>
    <xf numFmtId="0" fontId="11" fillId="11" borderId="4" xfId="0" applyFont="1" applyFill="1" applyBorder="1" applyAlignment="1">
      <alignment horizontal="left" vertical="center" wrapText="1"/>
    </xf>
    <xf numFmtId="0" fontId="15" fillId="16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8" fillId="13" borderId="4" xfId="0" applyFont="1" applyFill="1" applyBorder="1" applyAlignment="1">
      <alignment horizontal="left" vertical="center" wrapText="1"/>
    </xf>
    <xf numFmtId="0" fontId="8" fillId="11" borderId="4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7" fillId="15" borderId="4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/>
    </xf>
    <xf numFmtId="0" fontId="4" fillId="15" borderId="4" xfId="0" applyFont="1" applyFill="1" applyBorder="1" applyAlignment="1">
      <alignment horizontal="left" vertical="center" wrapText="1"/>
    </xf>
    <xf numFmtId="0" fontId="9" fillId="13" borderId="4" xfId="0" applyFont="1" applyFill="1" applyBorder="1" applyAlignment="1">
      <alignment horizontal="left" vertical="center"/>
    </xf>
    <xf numFmtId="0" fontId="21" fillId="15" borderId="4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8" fillId="12" borderId="4" xfId="0" applyFont="1" applyFill="1" applyBorder="1" applyAlignment="1">
      <alignment horizontal="left" vertical="center" wrapText="1"/>
    </xf>
    <xf numFmtId="0" fontId="4" fillId="12" borderId="4" xfId="0" applyFont="1" applyFill="1" applyBorder="1" applyAlignment="1">
      <alignment horizontal="left" vertical="center" wrapText="1"/>
    </xf>
    <xf numFmtId="0" fontId="3" fillId="14" borderId="4" xfId="0" applyFont="1" applyFill="1" applyBorder="1" applyAlignment="1">
      <alignment horizontal="left" vertical="center"/>
    </xf>
    <xf numFmtId="0" fontId="29" fillId="19" borderId="4" xfId="0" applyFont="1" applyFill="1" applyBorder="1" applyAlignment="1">
      <alignment horizontal="left" vertical="top" wrapText="1"/>
    </xf>
    <xf numFmtId="0" fontId="4" fillId="9" borderId="4" xfId="0" applyFont="1" applyFill="1" applyBorder="1" applyAlignment="1">
      <alignment horizontal="left" vertical="top" wrapText="1"/>
    </xf>
    <xf numFmtId="0" fontId="3" fillId="14" borderId="1" xfId="0" applyFont="1" applyFill="1" applyBorder="1" applyAlignment="1">
      <alignment horizontal="left" vertical="center"/>
    </xf>
    <xf numFmtId="0" fontId="7" fillId="11" borderId="4" xfId="0" applyFont="1" applyFill="1" applyBorder="1" applyAlignment="1">
      <alignment horizontal="left" vertical="top" wrapText="1"/>
    </xf>
    <xf numFmtId="0" fontId="22" fillId="18" borderId="4" xfId="0" applyFont="1" applyFill="1" applyBorder="1" applyAlignment="1">
      <alignment horizontal="left" vertical="center" wrapText="1"/>
    </xf>
    <xf numFmtId="0" fontId="7" fillId="11" borderId="4" xfId="0" applyFont="1" applyFill="1" applyBorder="1" applyAlignment="1">
      <alignment horizontal="left" vertical="center"/>
    </xf>
    <xf numFmtId="0" fontId="7" fillId="15" borderId="4" xfId="0" applyFont="1" applyFill="1" applyBorder="1" applyAlignment="1">
      <alignment horizontal="left" vertical="center"/>
    </xf>
    <xf numFmtId="0" fontId="29" fillId="11" borderId="4" xfId="0" applyFont="1" applyFill="1" applyBorder="1" applyAlignment="1">
      <alignment horizontal="left" vertical="top" wrapText="1"/>
    </xf>
    <xf numFmtId="0" fontId="21" fillId="13" borderId="4" xfId="0" applyFont="1" applyFill="1" applyBorder="1" applyAlignment="1">
      <alignment horizontal="left" vertical="center"/>
    </xf>
    <xf numFmtId="0" fontId="23" fillId="2" borderId="1" xfId="0" applyFont="1" applyFill="1" applyBorder="1" applyAlignment="1">
      <alignment horizontal="left" vertical="center"/>
    </xf>
    <xf numFmtId="0" fontId="7" fillId="12" borderId="4" xfId="0" applyFont="1" applyFill="1" applyBorder="1" applyAlignment="1">
      <alignment horizontal="left" vertical="top" wrapText="1"/>
    </xf>
    <xf numFmtId="0" fontId="29" fillId="12" borderId="4" xfId="0" applyFont="1" applyFill="1" applyBorder="1" applyAlignment="1">
      <alignment horizontal="left" vertical="top" wrapText="1"/>
    </xf>
    <xf numFmtId="0" fontId="7" fillId="12" borderId="4" xfId="0" applyFont="1" applyFill="1" applyBorder="1" applyAlignment="1">
      <alignment horizontal="left" vertical="center"/>
    </xf>
    <xf numFmtId="0" fontId="8" fillId="15" borderId="4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29" fillId="16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/>
    </xf>
    <xf numFmtId="0" fontId="31" fillId="4" borderId="4" xfId="0" applyFont="1" applyFill="1" applyBorder="1" applyAlignment="1">
      <alignment horizontal="left" vertical="center" wrapText="1"/>
    </xf>
    <xf numFmtId="0" fontId="1" fillId="22" borderId="1" xfId="0" applyFont="1" applyFill="1" applyBorder="1" applyAlignment="1">
      <alignment horizontal="left" vertical="center"/>
    </xf>
    <xf numFmtId="0" fontId="1" fillId="14" borderId="1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D0FADFA-5E7F-42D5-AF30-9E116FC41C1E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491c860-27d5-40dd-bb09-34867532716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"/>
  <sheetViews>
    <sheetView tabSelected="1" workbookViewId="0">
      <selection sqref="A1:G1"/>
    </sheetView>
  </sheetViews>
  <sheetFormatPr defaultRowHeight="14.4" x14ac:dyDescent="0.55000000000000004"/>
  <cols>
    <col min="1" max="1" width="3" customWidth="1"/>
    <col min="2" max="2" width="30" customWidth="1"/>
    <col min="3" max="4" width="18" customWidth="1"/>
    <col min="5" max="6" width="14" customWidth="1"/>
    <col min="7" max="7" width="22" customWidth="1"/>
  </cols>
  <sheetData>
    <row r="1" spans="1:7" ht="44.05" customHeight="1" x14ac:dyDescent="0.55000000000000004">
      <c r="A1" s="101" t="s">
        <v>0</v>
      </c>
      <c r="B1" s="75"/>
      <c r="C1" s="75"/>
      <c r="D1" s="75"/>
      <c r="E1" s="75"/>
      <c r="F1" s="75"/>
      <c r="G1" s="76"/>
    </row>
    <row r="2" spans="1:7" ht="22" customHeight="1" x14ac:dyDescent="0.55000000000000004">
      <c r="A2" s="111" t="s">
        <v>1</v>
      </c>
      <c r="B2" s="75"/>
      <c r="C2" s="75"/>
      <c r="D2" s="75"/>
      <c r="E2" s="75"/>
      <c r="F2" s="75"/>
      <c r="G2" s="76"/>
    </row>
    <row r="3" spans="1:7" ht="56.05" customHeight="1" x14ac:dyDescent="0.55000000000000004">
      <c r="A3" s="104" t="s">
        <v>2</v>
      </c>
      <c r="B3" s="79"/>
      <c r="C3" s="79"/>
      <c r="D3" s="79"/>
      <c r="E3" s="79"/>
      <c r="F3" s="79"/>
      <c r="G3" s="73"/>
    </row>
    <row r="4" spans="1:7" ht="26.05" customHeight="1" x14ac:dyDescent="0.55000000000000004">
      <c r="A4" s="106" t="s">
        <v>3</v>
      </c>
      <c r="B4" s="75"/>
      <c r="C4" s="75"/>
      <c r="D4" s="75"/>
      <c r="E4" s="75"/>
      <c r="F4" s="75"/>
      <c r="G4" s="76"/>
    </row>
    <row r="5" spans="1:7" ht="5.05" customHeight="1" x14ac:dyDescent="0.55000000000000004">
      <c r="A5" s="1"/>
      <c r="B5" s="1"/>
      <c r="C5" s="1"/>
      <c r="D5" s="1"/>
      <c r="E5" s="1"/>
      <c r="F5" s="1"/>
      <c r="G5" s="1"/>
    </row>
    <row r="6" spans="1:7" ht="24" customHeight="1" x14ac:dyDescent="0.55000000000000004">
      <c r="A6" s="107" t="s">
        <v>4</v>
      </c>
      <c r="B6" s="75"/>
      <c r="C6" s="75"/>
      <c r="D6" s="75"/>
      <c r="E6" s="75"/>
      <c r="F6" s="75"/>
      <c r="G6" s="76"/>
    </row>
    <row r="7" spans="1:7" ht="18" customHeight="1" x14ac:dyDescent="0.55000000000000004">
      <c r="A7" s="2"/>
      <c r="B7" s="2" t="s">
        <v>5</v>
      </c>
      <c r="C7" s="2"/>
      <c r="D7" s="2"/>
      <c r="E7" s="2" t="s">
        <v>6</v>
      </c>
      <c r="F7" s="2"/>
      <c r="G7" s="2" t="s">
        <v>7</v>
      </c>
    </row>
    <row r="8" spans="1:7" ht="28" customHeight="1" x14ac:dyDescent="0.55000000000000004">
      <c r="A8" s="98" t="s">
        <v>8</v>
      </c>
      <c r="B8" s="79"/>
      <c r="C8" s="79"/>
      <c r="D8" s="73"/>
      <c r="E8" s="3" t="s">
        <v>9</v>
      </c>
      <c r="F8" s="94" t="s">
        <v>10</v>
      </c>
      <c r="G8" s="73"/>
    </row>
    <row r="9" spans="1:7" ht="28" customHeight="1" x14ac:dyDescent="0.55000000000000004">
      <c r="A9" s="98" t="s">
        <v>11</v>
      </c>
      <c r="B9" s="79"/>
      <c r="C9" s="79"/>
      <c r="D9" s="73"/>
      <c r="E9" s="3" t="s">
        <v>9</v>
      </c>
      <c r="F9" s="94" t="s">
        <v>12</v>
      </c>
      <c r="G9" s="73"/>
    </row>
    <row r="10" spans="1:7" ht="28" customHeight="1" x14ac:dyDescent="0.55000000000000004">
      <c r="A10" s="98" t="s">
        <v>13</v>
      </c>
      <c r="B10" s="79"/>
      <c r="C10" s="79"/>
      <c r="D10" s="73"/>
      <c r="E10" s="3" t="s">
        <v>9</v>
      </c>
      <c r="F10" s="94" t="s">
        <v>14</v>
      </c>
      <c r="G10" s="73"/>
    </row>
    <row r="11" spans="1:7" ht="28" customHeight="1" x14ac:dyDescent="0.55000000000000004">
      <c r="A11" s="98" t="s">
        <v>15</v>
      </c>
      <c r="B11" s="79"/>
      <c r="C11" s="79"/>
      <c r="D11" s="73"/>
      <c r="E11" s="3" t="s">
        <v>9</v>
      </c>
      <c r="F11" s="94" t="s">
        <v>16</v>
      </c>
      <c r="G11" s="73"/>
    </row>
    <row r="12" spans="1:7" ht="28" customHeight="1" x14ac:dyDescent="0.55000000000000004">
      <c r="A12" s="98" t="s">
        <v>17</v>
      </c>
      <c r="B12" s="79"/>
      <c r="C12" s="79"/>
      <c r="D12" s="73"/>
      <c r="E12" s="3" t="s">
        <v>18</v>
      </c>
      <c r="F12" s="94" t="s">
        <v>19</v>
      </c>
      <c r="G12" s="73"/>
    </row>
    <row r="13" spans="1:7" ht="26.05" customHeight="1" x14ac:dyDescent="0.55000000000000004">
      <c r="A13" s="80" t="s">
        <v>20</v>
      </c>
      <c r="B13" s="79"/>
      <c r="C13" s="79"/>
      <c r="D13" s="73"/>
      <c r="E13" s="67" t="s">
        <v>21</v>
      </c>
      <c r="F13" s="88" t="s">
        <v>22</v>
      </c>
      <c r="G13" s="73"/>
    </row>
    <row r="14" spans="1:7" ht="28" customHeight="1" x14ac:dyDescent="0.55000000000000004">
      <c r="A14" s="89" t="s">
        <v>23</v>
      </c>
      <c r="B14" s="79"/>
      <c r="C14" s="79"/>
      <c r="D14" s="73"/>
      <c r="E14" s="3" t="s">
        <v>9</v>
      </c>
      <c r="F14" s="112" t="s">
        <v>24</v>
      </c>
      <c r="G14" s="73"/>
    </row>
    <row r="15" spans="1:7" ht="24" customHeight="1" x14ac:dyDescent="0.55000000000000004">
      <c r="A15" s="84" t="s">
        <v>25</v>
      </c>
      <c r="B15" s="79"/>
      <c r="C15" s="79"/>
      <c r="D15" s="73"/>
      <c r="E15" s="4" t="str">
        <f>IF(AND(E8="EVET",E9="EVET",E10="EVET",E11="EVET"),"OK - Hesaplanabilir","HATA - Ön koşul eksik")</f>
        <v>OK - Hesaplanabilir</v>
      </c>
      <c r="F15" s="82" t="s">
        <v>26</v>
      </c>
      <c r="G15" s="73"/>
    </row>
    <row r="16" spans="1:7" ht="5.05" customHeight="1" x14ac:dyDescent="0.55000000000000004">
      <c r="A16" s="1"/>
      <c r="B16" s="1"/>
      <c r="C16" s="1"/>
      <c r="D16" s="1"/>
      <c r="E16" s="1"/>
      <c r="F16" s="1"/>
      <c r="G16" s="1"/>
    </row>
    <row r="17" spans="1:7" ht="22" customHeight="1" x14ac:dyDescent="0.55000000000000004">
      <c r="A17" s="74" t="s">
        <v>27</v>
      </c>
      <c r="B17" s="75"/>
      <c r="C17" s="75"/>
      <c r="D17" s="75"/>
      <c r="E17" s="75"/>
      <c r="F17" s="75"/>
      <c r="G17" s="76"/>
    </row>
    <row r="18" spans="1:7" ht="22" customHeight="1" x14ac:dyDescent="0.55000000000000004">
      <c r="A18" s="89" t="s">
        <v>28</v>
      </c>
      <c r="B18" s="73"/>
      <c r="C18" s="78"/>
      <c r="D18" s="79"/>
      <c r="E18" s="73"/>
      <c r="F18" s="72" t="s">
        <v>29</v>
      </c>
      <c r="G18" s="73"/>
    </row>
    <row r="19" spans="1:7" ht="22" customHeight="1" x14ac:dyDescent="0.55000000000000004">
      <c r="A19" s="93" t="s">
        <v>30</v>
      </c>
      <c r="B19" s="73"/>
      <c r="C19" s="78"/>
      <c r="D19" s="79"/>
      <c r="E19" s="73"/>
      <c r="F19" s="77" t="s">
        <v>31</v>
      </c>
      <c r="G19" s="73"/>
    </row>
    <row r="20" spans="1:7" ht="22" customHeight="1" x14ac:dyDescent="0.55000000000000004">
      <c r="A20" s="89" t="s">
        <v>32</v>
      </c>
      <c r="B20" s="73"/>
      <c r="C20" s="78"/>
      <c r="D20" s="79"/>
      <c r="E20" s="73"/>
      <c r="F20" s="72" t="s">
        <v>33</v>
      </c>
      <c r="G20" s="73"/>
    </row>
    <row r="21" spans="1:7" ht="22" customHeight="1" x14ac:dyDescent="0.55000000000000004">
      <c r="A21" s="93" t="s">
        <v>34</v>
      </c>
      <c r="B21" s="73"/>
      <c r="C21" s="78"/>
      <c r="D21" s="79"/>
      <c r="E21" s="73"/>
      <c r="F21" s="77" t="s">
        <v>35</v>
      </c>
      <c r="G21" s="73"/>
    </row>
    <row r="22" spans="1:7" ht="22" customHeight="1" x14ac:dyDescent="0.55000000000000004">
      <c r="A22" s="89" t="s">
        <v>36</v>
      </c>
      <c r="B22" s="73"/>
      <c r="C22" s="78"/>
      <c r="D22" s="79"/>
      <c r="E22" s="73"/>
      <c r="F22" s="72" t="s">
        <v>37</v>
      </c>
      <c r="G22" s="73"/>
    </row>
    <row r="23" spans="1:7" ht="22" customHeight="1" x14ac:dyDescent="0.55000000000000004">
      <c r="A23" s="93" t="s">
        <v>38</v>
      </c>
      <c r="B23" s="73"/>
      <c r="C23" s="78"/>
      <c r="D23" s="79"/>
      <c r="E23" s="73"/>
      <c r="F23" s="77" t="s">
        <v>39</v>
      </c>
      <c r="G23" s="73"/>
    </row>
    <row r="24" spans="1:7" ht="22" customHeight="1" x14ac:dyDescent="0.55000000000000004">
      <c r="A24" s="89" t="s">
        <v>40</v>
      </c>
      <c r="B24" s="73"/>
      <c r="C24" s="78"/>
      <c r="D24" s="79"/>
      <c r="E24" s="73"/>
      <c r="F24" s="72" t="s">
        <v>41</v>
      </c>
      <c r="G24" s="73"/>
    </row>
    <row r="25" spans="1:7" ht="22" customHeight="1" x14ac:dyDescent="0.55000000000000004">
      <c r="A25" s="93" t="s">
        <v>42</v>
      </c>
      <c r="B25" s="73"/>
      <c r="C25" s="78"/>
      <c r="D25" s="79"/>
      <c r="E25" s="73"/>
      <c r="F25" s="77" t="s">
        <v>43</v>
      </c>
      <c r="G25" s="73"/>
    </row>
    <row r="27" spans="1:7" ht="5.05" customHeight="1" x14ac:dyDescent="0.55000000000000004">
      <c r="A27" s="1"/>
      <c r="B27" s="1"/>
      <c r="C27" s="1"/>
      <c r="D27" s="1"/>
      <c r="E27" s="1"/>
      <c r="F27" s="1"/>
      <c r="G27" s="1"/>
    </row>
    <row r="28" spans="1:7" ht="24" customHeight="1" x14ac:dyDescent="0.55000000000000004">
      <c r="A28" s="74" t="s">
        <v>44</v>
      </c>
      <c r="B28" s="75"/>
      <c r="C28" s="75"/>
      <c r="D28" s="75"/>
      <c r="E28" s="75"/>
      <c r="F28" s="75"/>
      <c r="G28" s="76"/>
    </row>
    <row r="29" spans="1:7" ht="22" customHeight="1" x14ac:dyDescent="0.55000000000000004">
      <c r="A29" s="114" t="s">
        <v>45</v>
      </c>
      <c r="B29" s="79"/>
      <c r="C29" s="79"/>
      <c r="D29" s="79"/>
      <c r="E29" s="79"/>
      <c r="F29" s="79"/>
      <c r="G29" s="73"/>
    </row>
    <row r="30" spans="1:7" ht="18" customHeight="1" x14ac:dyDescent="0.55000000000000004">
      <c r="A30" s="6"/>
      <c r="B30" s="6" t="s">
        <v>46</v>
      </c>
      <c r="C30" s="6"/>
      <c r="D30" s="6" t="s">
        <v>47</v>
      </c>
      <c r="E30" s="6"/>
      <c r="F30" s="6" t="s">
        <v>48</v>
      </c>
      <c r="G30" s="6" t="s">
        <v>49</v>
      </c>
    </row>
    <row r="31" spans="1:7" ht="26.05" customHeight="1" x14ac:dyDescent="0.55000000000000004">
      <c r="A31" s="85" t="s">
        <v>50</v>
      </c>
      <c r="B31" s="73"/>
      <c r="C31" s="5"/>
      <c r="D31" s="77" t="s">
        <v>51</v>
      </c>
      <c r="E31" s="73"/>
      <c r="F31" s="99" t="s">
        <v>52</v>
      </c>
      <c r="G31" s="73"/>
    </row>
    <row r="32" spans="1:7" ht="26.05" customHeight="1" x14ac:dyDescent="0.55000000000000004">
      <c r="A32" s="108" t="s">
        <v>53</v>
      </c>
      <c r="B32" s="73"/>
      <c r="C32" s="5"/>
      <c r="D32" s="95" t="s">
        <v>54</v>
      </c>
      <c r="E32" s="73"/>
      <c r="F32" s="96" t="s">
        <v>55</v>
      </c>
      <c r="G32" s="73"/>
    </row>
    <row r="33" spans="1:7" ht="26.05" customHeight="1" x14ac:dyDescent="0.55000000000000004">
      <c r="A33" s="85" t="s">
        <v>56</v>
      </c>
      <c r="B33" s="73"/>
      <c r="C33" s="7">
        <f>MAX(0,C31-C32)</f>
        <v>0</v>
      </c>
      <c r="D33" s="77" t="s">
        <v>57</v>
      </c>
      <c r="E33" s="73"/>
      <c r="F33" s="99" t="s">
        <v>58</v>
      </c>
      <c r="G33" s="73"/>
    </row>
    <row r="34" spans="1:7" ht="26.05" customHeight="1" x14ac:dyDescent="0.55000000000000004">
      <c r="A34" s="105" t="s">
        <v>59</v>
      </c>
      <c r="B34" s="73"/>
      <c r="C34" s="8" t="s">
        <v>60</v>
      </c>
      <c r="D34" s="95" t="s">
        <v>61</v>
      </c>
      <c r="E34" s="73"/>
      <c r="F34" s="96" t="s">
        <v>62</v>
      </c>
      <c r="G34" s="73"/>
    </row>
    <row r="35" spans="1:7" ht="26.05" customHeight="1" x14ac:dyDescent="0.55000000000000004">
      <c r="A35" s="85" t="s">
        <v>63</v>
      </c>
      <c r="B35" s="73"/>
      <c r="C35" s="9">
        <f>MAX(0,C31-C32)*1</f>
        <v>0</v>
      </c>
      <c r="D35" s="77" t="s">
        <v>64</v>
      </c>
      <c r="E35" s="73"/>
      <c r="F35" s="99" t="s">
        <v>58</v>
      </c>
      <c r="G35" s="73"/>
    </row>
    <row r="36" spans="1:7" ht="5.05" customHeight="1" x14ac:dyDescent="0.55000000000000004">
      <c r="A36" s="1"/>
      <c r="B36" s="1"/>
      <c r="C36" s="1"/>
      <c r="D36" s="1"/>
      <c r="E36" s="1"/>
      <c r="F36" s="1"/>
      <c r="G36" s="1"/>
    </row>
    <row r="37" spans="1:7" ht="22" customHeight="1" x14ac:dyDescent="0.55000000000000004">
      <c r="A37" s="90" t="s">
        <v>65</v>
      </c>
      <c r="B37" s="79"/>
      <c r="C37" s="79"/>
      <c r="D37" s="79"/>
      <c r="E37" s="79"/>
      <c r="F37" s="79"/>
      <c r="G37" s="73"/>
    </row>
    <row r="38" spans="1:7" ht="18" customHeight="1" x14ac:dyDescent="0.55000000000000004">
      <c r="A38" s="10"/>
      <c r="B38" s="10" t="s">
        <v>46</v>
      </c>
      <c r="C38" s="10"/>
      <c r="D38" s="10" t="s">
        <v>47</v>
      </c>
      <c r="E38" s="10"/>
      <c r="F38" s="10" t="s">
        <v>48</v>
      </c>
      <c r="G38" s="10" t="s">
        <v>49</v>
      </c>
    </row>
    <row r="39" spans="1:7" ht="26.05" customHeight="1" x14ac:dyDescent="0.55000000000000004">
      <c r="A39" s="83" t="s">
        <v>66</v>
      </c>
      <c r="B39" s="73"/>
      <c r="C39" s="5"/>
      <c r="D39" s="91" t="s">
        <v>67</v>
      </c>
      <c r="E39" s="73"/>
      <c r="F39" s="91" t="s">
        <v>52</v>
      </c>
      <c r="G39" s="73"/>
    </row>
    <row r="40" spans="1:7" ht="26.05" customHeight="1" x14ac:dyDescent="0.55000000000000004">
      <c r="A40" s="86" t="s">
        <v>68</v>
      </c>
      <c r="B40" s="73"/>
      <c r="C40" s="5"/>
      <c r="D40" s="100" t="s">
        <v>69</v>
      </c>
      <c r="E40" s="73"/>
      <c r="F40" s="100" t="s">
        <v>55</v>
      </c>
      <c r="G40" s="73"/>
    </row>
    <row r="41" spans="1:7" ht="26.05" customHeight="1" x14ac:dyDescent="0.55000000000000004">
      <c r="A41" s="83" t="s">
        <v>70</v>
      </c>
      <c r="B41" s="73"/>
      <c r="C41" s="11">
        <f>MAX(0,C39-C40)</f>
        <v>0</v>
      </c>
      <c r="D41" s="91" t="s">
        <v>71</v>
      </c>
      <c r="E41" s="73"/>
      <c r="F41" s="91" t="s">
        <v>58</v>
      </c>
      <c r="G41" s="73"/>
    </row>
    <row r="42" spans="1:7" ht="26.05" customHeight="1" x14ac:dyDescent="0.55000000000000004">
      <c r="A42" s="86" t="s">
        <v>72</v>
      </c>
      <c r="B42" s="73"/>
      <c r="C42" s="12" t="s">
        <v>73</v>
      </c>
      <c r="D42" s="100" t="s">
        <v>74</v>
      </c>
      <c r="E42" s="73"/>
      <c r="F42" s="100" t="s">
        <v>62</v>
      </c>
      <c r="G42" s="73"/>
    </row>
    <row r="43" spans="1:7" ht="26.05" customHeight="1" x14ac:dyDescent="0.55000000000000004">
      <c r="A43" s="83" t="s">
        <v>75</v>
      </c>
      <c r="B43" s="73"/>
      <c r="C43" s="11">
        <f>MAX(0,C39-C40)*0.75</f>
        <v>0</v>
      </c>
      <c r="D43" s="91" t="s">
        <v>76</v>
      </c>
      <c r="E43" s="73"/>
      <c r="F43" s="91" t="s">
        <v>58</v>
      </c>
      <c r="G43" s="73"/>
    </row>
    <row r="44" spans="1:7" ht="5.05" customHeight="1" x14ac:dyDescent="0.55000000000000004">
      <c r="A44" s="1"/>
      <c r="B44" s="1"/>
      <c r="C44" s="1"/>
      <c r="D44" s="1"/>
      <c r="E44" s="1"/>
      <c r="F44" s="1"/>
      <c r="G44" s="1"/>
    </row>
    <row r="45" spans="1:7" ht="24" customHeight="1" x14ac:dyDescent="0.55000000000000004">
      <c r="A45" s="74" t="s">
        <v>77</v>
      </c>
      <c r="B45" s="75"/>
      <c r="C45" s="75"/>
      <c r="D45" s="75"/>
      <c r="E45" s="75"/>
      <c r="F45" s="75"/>
      <c r="G45" s="76"/>
    </row>
    <row r="46" spans="1:7" ht="22" customHeight="1" x14ac:dyDescent="0.55000000000000004">
      <c r="A46" s="92" t="s">
        <v>78</v>
      </c>
      <c r="B46" s="79"/>
      <c r="C46" s="79"/>
      <c r="D46" s="79"/>
      <c r="E46" s="79"/>
      <c r="F46" s="79"/>
      <c r="G46" s="73"/>
    </row>
    <row r="47" spans="1:7" ht="18" customHeight="1" x14ac:dyDescent="0.55000000000000004">
      <c r="A47" s="13" t="s">
        <v>79</v>
      </c>
      <c r="B47" s="13" t="s">
        <v>80</v>
      </c>
      <c r="C47" s="13" t="s">
        <v>81</v>
      </c>
      <c r="D47" s="13" t="s">
        <v>82</v>
      </c>
      <c r="E47" s="13" t="s">
        <v>83</v>
      </c>
      <c r="F47" s="13" t="s">
        <v>84</v>
      </c>
      <c r="G47" s="13" t="s">
        <v>85</v>
      </c>
    </row>
    <row r="48" spans="1:7" ht="26.05" customHeight="1" x14ac:dyDescent="0.55000000000000004">
      <c r="A48" s="14" t="s">
        <v>86</v>
      </c>
      <c r="B48" s="15"/>
      <c r="C48" s="16"/>
      <c r="D48" s="17"/>
      <c r="E48" s="18">
        <f t="shared" ref="E48:E53" si="0">MAX(0,C48-D48)</f>
        <v>0</v>
      </c>
      <c r="F48" s="19">
        <f t="shared" ref="F48:F53" si="1">IF(A48="2022-2031 (%100)",E48*1,IF(A48="2032+ (%75)",E48*0.75,0))</f>
        <v>0</v>
      </c>
      <c r="G48" s="20"/>
    </row>
    <row r="49" spans="1:7" ht="26.05" customHeight="1" x14ac:dyDescent="0.55000000000000004">
      <c r="A49" s="14" t="s">
        <v>86</v>
      </c>
      <c r="B49" s="15"/>
      <c r="C49" s="16"/>
      <c r="D49" s="17"/>
      <c r="E49" s="21">
        <f t="shared" si="0"/>
        <v>0</v>
      </c>
      <c r="F49" s="19">
        <f t="shared" si="1"/>
        <v>0</v>
      </c>
      <c r="G49" s="20"/>
    </row>
    <row r="50" spans="1:7" ht="26.05" customHeight="1" x14ac:dyDescent="0.55000000000000004">
      <c r="A50" s="14" t="s">
        <v>86</v>
      </c>
      <c r="B50" s="15"/>
      <c r="C50" s="16"/>
      <c r="D50" s="17"/>
      <c r="E50" s="18">
        <f t="shared" si="0"/>
        <v>0</v>
      </c>
      <c r="F50" s="19">
        <f t="shared" si="1"/>
        <v>0</v>
      </c>
      <c r="G50" s="20"/>
    </row>
    <row r="51" spans="1:7" ht="26.05" customHeight="1" x14ac:dyDescent="0.55000000000000004">
      <c r="A51" s="14" t="s">
        <v>86</v>
      </c>
      <c r="B51" s="15"/>
      <c r="C51" s="16"/>
      <c r="D51" s="17"/>
      <c r="E51" s="21">
        <f t="shared" si="0"/>
        <v>0</v>
      </c>
      <c r="F51" s="19">
        <f t="shared" si="1"/>
        <v>0</v>
      </c>
      <c r="G51" s="20"/>
    </row>
    <row r="52" spans="1:7" ht="26.05" customHeight="1" x14ac:dyDescent="0.55000000000000004">
      <c r="A52" s="14" t="s">
        <v>86</v>
      </c>
      <c r="B52" s="15"/>
      <c r="C52" s="16"/>
      <c r="D52" s="17"/>
      <c r="E52" s="18">
        <f t="shared" si="0"/>
        <v>0</v>
      </c>
      <c r="F52" s="19">
        <f t="shared" si="1"/>
        <v>0</v>
      </c>
      <c r="G52" s="20"/>
    </row>
    <row r="53" spans="1:7" ht="26.05" customHeight="1" x14ac:dyDescent="0.55000000000000004">
      <c r="A53" s="14" t="s">
        <v>86</v>
      </c>
      <c r="B53" s="15"/>
      <c r="C53" s="16"/>
      <c r="D53" s="17"/>
      <c r="E53" s="21">
        <f t="shared" si="0"/>
        <v>0</v>
      </c>
      <c r="F53" s="19">
        <f t="shared" si="1"/>
        <v>0</v>
      </c>
      <c r="G53" s="20"/>
    </row>
    <row r="54" spans="1:7" ht="32.049999999999997" customHeight="1" x14ac:dyDescent="0.55000000000000004">
      <c r="A54" s="81" t="s">
        <v>87</v>
      </c>
      <c r="B54" s="73"/>
      <c r="C54" s="22">
        <f>SUM(C48:C53)</f>
        <v>0</v>
      </c>
      <c r="D54" s="22">
        <f>SUM(D48:D53)</f>
        <v>0</v>
      </c>
      <c r="E54" s="23">
        <f>SUM(E48:E53)</f>
        <v>0</v>
      </c>
      <c r="F54" s="24">
        <f>SUM(F48:F53)</f>
        <v>0</v>
      </c>
      <c r="G54" s="97" t="s">
        <v>88</v>
      </c>
    </row>
    <row r="55" spans="1:7" ht="5.05" customHeight="1" x14ac:dyDescent="0.55000000000000004">
      <c r="A55" s="1"/>
      <c r="B55" s="1"/>
      <c r="C55" s="1"/>
      <c r="D55" s="1"/>
      <c r="E55" s="1"/>
      <c r="F55" s="1"/>
      <c r="G55" s="1"/>
    </row>
    <row r="56" spans="1:7" ht="24" customHeight="1" x14ac:dyDescent="0.55000000000000004">
      <c r="A56" s="74" t="s">
        <v>89</v>
      </c>
      <c r="B56" s="75"/>
      <c r="C56" s="75"/>
      <c r="D56" s="75"/>
      <c r="E56" s="75"/>
      <c r="F56" s="75"/>
      <c r="G56" s="76"/>
    </row>
    <row r="57" spans="1:7" ht="18" customHeight="1" x14ac:dyDescent="0.55000000000000004">
      <c r="A57" s="2"/>
      <c r="B57" s="2" t="s">
        <v>90</v>
      </c>
      <c r="C57" s="2"/>
      <c r="D57" s="2" t="s">
        <v>91</v>
      </c>
      <c r="E57" s="2"/>
      <c r="F57" s="2" t="s">
        <v>48</v>
      </c>
      <c r="G57" s="2" t="s">
        <v>92</v>
      </c>
    </row>
    <row r="58" spans="1:7" ht="28" customHeight="1" x14ac:dyDescent="0.55000000000000004">
      <c r="A58" s="89" t="s">
        <v>93</v>
      </c>
      <c r="B58" s="73"/>
      <c r="C58" s="25">
        <f>C54</f>
        <v>0</v>
      </c>
      <c r="D58" s="72" t="s">
        <v>94</v>
      </c>
      <c r="E58" s="73"/>
      <c r="F58" s="112"/>
      <c r="G58" s="73"/>
    </row>
    <row r="59" spans="1:7" ht="28" customHeight="1" x14ac:dyDescent="0.55000000000000004">
      <c r="A59" s="93" t="s">
        <v>95</v>
      </c>
      <c r="B59" s="73"/>
      <c r="C59" s="25">
        <f>D54</f>
        <v>0</v>
      </c>
      <c r="D59" s="77" t="s">
        <v>96</v>
      </c>
      <c r="E59" s="73"/>
      <c r="F59" s="103"/>
      <c r="G59" s="73"/>
    </row>
    <row r="60" spans="1:7" ht="28" customHeight="1" x14ac:dyDescent="0.55000000000000004">
      <c r="A60" s="113" t="s">
        <v>97</v>
      </c>
      <c r="B60" s="73"/>
      <c r="C60" s="25">
        <f>MAX(0,E54)</f>
        <v>0</v>
      </c>
      <c r="D60" s="72" t="s">
        <v>98</v>
      </c>
      <c r="E60" s="73"/>
      <c r="F60" s="112"/>
      <c r="G60" s="73"/>
    </row>
    <row r="61" spans="1:7" ht="28" customHeight="1" x14ac:dyDescent="0.55000000000000004">
      <c r="A61" s="93" t="s">
        <v>99</v>
      </c>
      <c r="B61" s="73"/>
      <c r="C61" s="26" t="s">
        <v>100</v>
      </c>
      <c r="D61" s="77" t="s">
        <v>101</v>
      </c>
      <c r="E61" s="73"/>
      <c r="F61" s="103" t="s">
        <v>62</v>
      </c>
      <c r="G61" s="73"/>
    </row>
    <row r="62" spans="1:7" ht="28" customHeight="1" x14ac:dyDescent="0.55000000000000004">
      <c r="A62" s="80" t="s">
        <v>102</v>
      </c>
      <c r="B62" s="73"/>
      <c r="C62" s="27">
        <f>F54</f>
        <v>0</v>
      </c>
      <c r="D62" s="87" t="s">
        <v>103</v>
      </c>
      <c r="E62" s="73"/>
      <c r="F62" s="102" t="s">
        <v>104</v>
      </c>
      <c r="G62" s="73"/>
    </row>
    <row r="63" spans="1:7" ht="28" customHeight="1" x14ac:dyDescent="0.55000000000000004">
      <c r="A63" s="80" t="s">
        <v>105</v>
      </c>
      <c r="B63" s="73"/>
      <c r="C63" s="67" t="s">
        <v>106</v>
      </c>
      <c r="D63" s="88" t="s">
        <v>107</v>
      </c>
      <c r="E63" s="73"/>
      <c r="F63" s="88" t="s">
        <v>108</v>
      </c>
      <c r="G63" s="73"/>
    </row>
    <row r="64" spans="1:7" ht="5.05" customHeight="1" x14ac:dyDescent="0.55000000000000004">
      <c r="A64" s="1"/>
      <c r="B64" s="1"/>
      <c r="C64" s="1"/>
      <c r="D64" s="1"/>
      <c r="E64" s="1"/>
      <c r="F64" s="1"/>
      <c r="G64" s="1"/>
    </row>
    <row r="65" spans="1:7" ht="32.049999999999997" customHeight="1" x14ac:dyDescent="0.55000000000000004">
      <c r="A65" s="109" t="s">
        <v>109</v>
      </c>
      <c r="B65" s="79"/>
      <c r="C65" s="79"/>
      <c r="D65" s="73"/>
      <c r="E65" s="28">
        <f>F54</f>
        <v>0</v>
      </c>
      <c r="F65" s="88" t="s">
        <v>110</v>
      </c>
      <c r="G65" s="73"/>
    </row>
    <row r="66" spans="1:7" ht="26.05" customHeight="1" x14ac:dyDescent="0.55000000000000004">
      <c r="A66" s="110" t="s">
        <v>111</v>
      </c>
      <c r="B66" s="79"/>
      <c r="C66" s="79"/>
      <c r="D66" s="79"/>
      <c r="E66" s="79"/>
      <c r="F66" s="79"/>
      <c r="G66" s="73"/>
    </row>
  </sheetData>
  <mergeCells count="105">
    <mergeCell ref="A65:D65"/>
    <mergeCell ref="F22:G22"/>
    <mergeCell ref="A23:B23"/>
    <mergeCell ref="A66:G66"/>
    <mergeCell ref="A43:B43"/>
    <mergeCell ref="A12:D12"/>
    <mergeCell ref="A2:G2"/>
    <mergeCell ref="F14:G14"/>
    <mergeCell ref="A40:B40"/>
    <mergeCell ref="A14:D14"/>
    <mergeCell ref="F11:G11"/>
    <mergeCell ref="A24:B24"/>
    <mergeCell ref="A60:B60"/>
    <mergeCell ref="D59:E59"/>
    <mergeCell ref="F65:G65"/>
    <mergeCell ref="A29:G29"/>
    <mergeCell ref="D40:E40"/>
    <mergeCell ref="F40:G40"/>
    <mergeCell ref="F59:G59"/>
    <mergeCell ref="F12:G12"/>
    <mergeCell ref="F24:G24"/>
    <mergeCell ref="A25:B25"/>
    <mergeCell ref="D32:E32"/>
    <mergeCell ref="F32:G32"/>
    <mergeCell ref="A1:G1"/>
    <mergeCell ref="F62:G62"/>
    <mergeCell ref="F31:G31"/>
    <mergeCell ref="F9:G9"/>
    <mergeCell ref="C24:E24"/>
    <mergeCell ref="D39:E39"/>
    <mergeCell ref="F61:G61"/>
    <mergeCell ref="F39:G39"/>
    <mergeCell ref="A3:G3"/>
    <mergeCell ref="A34:B34"/>
    <mergeCell ref="A8:D8"/>
    <mergeCell ref="A4:G4"/>
    <mergeCell ref="A10:D10"/>
    <mergeCell ref="F21:G21"/>
    <mergeCell ref="F8:G8"/>
    <mergeCell ref="A21:B21"/>
    <mergeCell ref="A6:G6"/>
    <mergeCell ref="A32:B32"/>
    <mergeCell ref="D41:E41"/>
    <mergeCell ref="A18:B18"/>
    <mergeCell ref="F41:G41"/>
    <mergeCell ref="F35:G35"/>
    <mergeCell ref="C19:E19"/>
    <mergeCell ref="D43:E43"/>
    <mergeCell ref="F10:G10"/>
    <mergeCell ref="D34:E34"/>
    <mergeCell ref="F19:G19"/>
    <mergeCell ref="C22:E22"/>
    <mergeCell ref="F34:G34"/>
    <mergeCell ref="F63:G63"/>
    <mergeCell ref="G54"/>
    <mergeCell ref="A61:B61"/>
    <mergeCell ref="A9:D9"/>
    <mergeCell ref="F20:G20"/>
    <mergeCell ref="F18:G18"/>
    <mergeCell ref="F33:G33"/>
    <mergeCell ref="F42:G42"/>
    <mergeCell ref="A11:D11"/>
    <mergeCell ref="A63:B63"/>
    <mergeCell ref="D63:E63"/>
    <mergeCell ref="D58:E58"/>
    <mergeCell ref="F58:G58"/>
    <mergeCell ref="A20:B20"/>
    <mergeCell ref="D42:E42"/>
    <mergeCell ref="A56:G56"/>
    <mergeCell ref="F60:G60"/>
    <mergeCell ref="A31:B31"/>
    <mergeCell ref="A58:B58"/>
    <mergeCell ref="D61:E61"/>
    <mergeCell ref="A45:G45"/>
    <mergeCell ref="A33:B33"/>
    <mergeCell ref="F23:G23"/>
    <mergeCell ref="A42:B42"/>
    <mergeCell ref="C18:E18"/>
    <mergeCell ref="D62:E62"/>
    <mergeCell ref="F13:G13"/>
    <mergeCell ref="A22:B22"/>
    <mergeCell ref="A35:B35"/>
    <mergeCell ref="A37:G37"/>
    <mergeCell ref="F43:G43"/>
    <mergeCell ref="A46:G46"/>
    <mergeCell ref="A62:B62"/>
    <mergeCell ref="D33:E33"/>
    <mergeCell ref="A19:B19"/>
    <mergeCell ref="C20:E20"/>
    <mergeCell ref="A39:B39"/>
    <mergeCell ref="C25:E25"/>
    <mergeCell ref="D35:E35"/>
    <mergeCell ref="A59:B59"/>
    <mergeCell ref="D60:E60"/>
    <mergeCell ref="A17:G17"/>
    <mergeCell ref="F25:G25"/>
    <mergeCell ref="C21:E21"/>
    <mergeCell ref="D31:E31"/>
    <mergeCell ref="A13:D13"/>
    <mergeCell ref="A28:G28"/>
    <mergeCell ref="A54:B54"/>
    <mergeCell ref="F15:G15"/>
    <mergeCell ref="A41:B41"/>
    <mergeCell ref="C23:E23"/>
    <mergeCell ref="A15:D15"/>
  </mergeCells>
  <conditionalFormatting sqref="E15">
    <cfRule type="containsText" dxfId="3" priority="1" operator="containsText" text="OK">
      <formula>NOT(ISERROR(SEARCH("OK",E15)))</formula>
    </cfRule>
    <cfRule type="containsText" dxfId="2" priority="2" operator="containsText" text="HATA">
      <formula>NOT(ISERROR(SEARCH("HATA",E15)))</formula>
    </cfRule>
  </conditionalFormatting>
  <dataValidations count="8">
    <dataValidation type="list" sqref="E8" xr:uid="{00000000-0002-0000-0000-000000000000}">
      <formula1>"EVET,HAYIR-Katılımcı Belgesi Yok"</formula1>
    </dataValidation>
    <dataValidation type="list" sqref="E9" xr:uid="{00000000-0002-0000-0000-000001000000}">
      <formula1>"EVET,HAYIR-Fiili Faaliyet Yok"</formula1>
    </dataValidation>
    <dataValidation type="list" sqref="E10" xr:uid="{00000000-0002-0000-0000-000002000000}">
      <formula1>"EVET,HAYIR-Personel İstihdamı Yok"</formula1>
    </dataValidation>
    <dataValidation type="list" sqref="E11" xr:uid="{00000000-0002-0000-0000-000003000000}">
      <formula1>"EVET,HAYIR-Yurt İçi Kaynaklı"</formula1>
    </dataValidation>
    <dataValidation type="list" sqref="E12" xr:uid="{00000000-0002-0000-0000-000004000000}">
      <formula1>"2022-2031 (İndirim Oranı: %100),2032 ve Sonrası (İndirim Oranı: %75)"</formula1>
    </dataValidation>
    <dataValidation type="list" sqref="E13" xr:uid="{00000000-0002-0000-0000-000005000000}">
      <formula1>"EVET,HAYIR-Değerlendirilmedi"</formula1>
    </dataValidation>
    <dataValidation type="list" sqref="E14" xr:uid="{00000000-0002-0000-0000-000006000000}">
      <formula1>"EVET,Tam Tasdik"</formula1>
    </dataValidation>
    <dataValidation type="list" sqref="A48:A53" xr:uid="{00000000-0002-0000-0000-000007000000}">
      <formula1>"2022-2031 (%100),2032+ (%75)"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/>
  </sheetViews>
  <sheetFormatPr defaultRowHeight="14.4" x14ac:dyDescent="0.55000000000000004"/>
  <cols>
    <col min="1" max="1" width="4" customWidth="1"/>
    <col min="2" max="2" width="42" customWidth="1"/>
    <col min="3" max="4" width="15" customWidth="1"/>
    <col min="5" max="5" width="14" customWidth="1"/>
    <col min="6" max="6" width="12" customWidth="1"/>
    <col min="7" max="7" width="18" customWidth="1"/>
  </cols>
  <sheetData>
    <row r="1" spans="1:7" ht="36" customHeight="1" x14ac:dyDescent="0.55000000000000004">
      <c r="A1" s="124" t="s">
        <v>112</v>
      </c>
      <c r="B1" s="75"/>
      <c r="C1" s="75"/>
      <c r="D1" s="75"/>
      <c r="E1" s="75"/>
      <c r="F1" s="75"/>
      <c r="G1" s="76"/>
    </row>
    <row r="2" spans="1:7" ht="20.05" customHeight="1" x14ac:dyDescent="0.55000000000000004">
      <c r="A2" s="129" t="s">
        <v>113</v>
      </c>
      <c r="B2" s="79"/>
      <c r="C2" s="79"/>
      <c r="D2" s="79"/>
      <c r="E2" s="79"/>
      <c r="F2" s="79"/>
      <c r="G2" s="73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17" t="s">
        <v>114</v>
      </c>
      <c r="B4" s="75"/>
      <c r="C4" s="75"/>
      <c r="D4" s="75"/>
      <c r="E4" s="75"/>
      <c r="F4" s="75"/>
      <c r="G4" s="76"/>
    </row>
    <row r="5" spans="1:7" ht="22" customHeight="1" x14ac:dyDescent="0.55000000000000004">
      <c r="A5" s="120" t="s">
        <v>115</v>
      </c>
      <c r="B5" s="79"/>
      <c r="C5" s="73"/>
      <c r="D5" s="29" t="str">
        <f>'VERİ GİRİŞİ'!E15</f>
        <v>OK - Hesaplanabilir</v>
      </c>
      <c r="E5" s="103" t="s">
        <v>116</v>
      </c>
      <c r="F5" s="79"/>
      <c r="G5" s="73"/>
    </row>
    <row r="6" spans="1:7" ht="22" customHeight="1" x14ac:dyDescent="0.55000000000000004">
      <c r="A6" s="127" t="s">
        <v>117</v>
      </c>
      <c r="B6" s="79"/>
      <c r="C6" s="73"/>
      <c r="D6" s="29" t="str">
        <f>'VERİ GİRİŞİ'!E8</f>
        <v>EVET</v>
      </c>
      <c r="E6" s="112" t="s">
        <v>118</v>
      </c>
      <c r="F6" s="79"/>
      <c r="G6" s="73"/>
    </row>
    <row r="7" spans="1:7" ht="22" customHeight="1" x14ac:dyDescent="0.55000000000000004">
      <c r="A7" s="120" t="s">
        <v>119</v>
      </c>
      <c r="B7" s="79"/>
      <c r="C7" s="73"/>
      <c r="D7" s="29" t="str">
        <f>'VERİ GİRİŞİ'!E12</f>
        <v>2022-2031 (İndirim Oranı: %100)</v>
      </c>
      <c r="E7" s="103" t="s">
        <v>120</v>
      </c>
      <c r="F7" s="79"/>
      <c r="G7" s="73"/>
    </row>
    <row r="8" spans="1:7" ht="22" customHeight="1" x14ac:dyDescent="0.55000000000000004">
      <c r="A8" s="121" t="s">
        <v>121</v>
      </c>
      <c r="B8" s="79"/>
      <c r="C8" s="73"/>
      <c r="D8" s="30">
        <f>'VERİ GİRİŞİ'!C60</f>
        <v>0</v>
      </c>
      <c r="E8" s="128" t="s">
        <v>122</v>
      </c>
      <c r="F8" s="79"/>
      <c r="G8" s="73"/>
    </row>
    <row r="9" spans="1:7" ht="22" customHeight="1" x14ac:dyDescent="0.55000000000000004">
      <c r="A9" s="84" t="s">
        <v>123</v>
      </c>
      <c r="B9" s="79"/>
      <c r="C9" s="73"/>
      <c r="D9" s="31">
        <f>'VERİ GİRİŞİ'!C62</f>
        <v>0</v>
      </c>
      <c r="E9" s="102"/>
      <c r="F9" s="79"/>
      <c r="G9" s="73"/>
    </row>
    <row r="10" spans="1:7" ht="22" customHeight="1" x14ac:dyDescent="0.55000000000000004">
      <c r="A10" s="123" t="s">
        <v>124</v>
      </c>
      <c r="B10" s="79"/>
      <c r="C10" s="73"/>
      <c r="D10" s="67" t="s">
        <v>125</v>
      </c>
      <c r="E10" s="88" t="s">
        <v>126</v>
      </c>
      <c r="F10" s="79"/>
      <c r="G10" s="73"/>
    </row>
    <row r="11" spans="1:7" ht="5.05" customHeight="1" x14ac:dyDescent="0.55000000000000004">
      <c r="A11" s="1"/>
      <c r="B11" s="1"/>
      <c r="C11" s="1"/>
      <c r="D11" s="1"/>
      <c r="E11" s="1"/>
      <c r="F11" s="1"/>
      <c r="G11" s="1"/>
    </row>
    <row r="12" spans="1:7" ht="22" customHeight="1" x14ac:dyDescent="0.55000000000000004">
      <c r="A12" s="74" t="s">
        <v>127</v>
      </c>
      <c r="B12" s="75"/>
      <c r="C12" s="75"/>
      <c r="D12" s="75"/>
      <c r="E12" s="75"/>
      <c r="F12" s="75"/>
      <c r="G12" s="76"/>
    </row>
    <row r="13" spans="1:7" ht="76" customHeight="1" x14ac:dyDescent="0.55000000000000004">
      <c r="A13" s="119" t="s">
        <v>128</v>
      </c>
      <c r="B13" s="79"/>
      <c r="C13" s="79"/>
      <c r="D13" s="79"/>
      <c r="E13" s="79"/>
      <c r="F13" s="79"/>
      <c r="G13" s="73"/>
    </row>
    <row r="14" spans="1:7" ht="5.05" customHeight="1" x14ac:dyDescent="0.55000000000000004">
      <c r="A14" s="1"/>
      <c r="B14" s="1"/>
      <c r="C14" s="1"/>
      <c r="D14" s="1"/>
      <c r="E14" s="1"/>
      <c r="F14" s="1"/>
      <c r="G14" s="1"/>
    </row>
    <row r="15" spans="1:7" ht="22" customHeight="1" x14ac:dyDescent="0.55000000000000004">
      <c r="A15" s="74" t="s">
        <v>129</v>
      </c>
      <c r="B15" s="75"/>
      <c r="C15" s="75"/>
      <c r="D15" s="75"/>
      <c r="E15" s="75"/>
      <c r="F15" s="75"/>
      <c r="G15" s="76"/>
    </row>
    <row r="16" spans="1:7" ht="18" customHeight="1" x14ac:dyDescent="0.55000000000000004">
      <c r="A16" s="2"/>
      <c r="B16" s="2" t="s">
        <v>130</v>
      </c>
      <c r="C16" s="2"/>
      <c r="D16" s="2" t="s">
        <v>48</v>
      </c>
      <c r="E16" s="2"/>
      <c r="F16" s="2" t="s">
        <v>131</v>
      </c>
      <c r="G16" s="2"/>
    </row>
    <row r="17" spans="1:7" ht="20.05" customHeight="1" x14ac:dyDescent="0.55000000000000004">
      <c r="A17" s="32" t="s">
        <v>132</v>
      </c>
      <c r="B17" s="116" t="s">
        <v>133</v>
      </c>
      <c r="C17" s="73"/>
      <c r="D17" s="115" t="s">
        <v>134</v>
      </c>
      <c r="E17" s="73"/>
      <c r="F17" s="20" t="s">
        <v>135</v>
      </c>
      <c r="G17" s="35"/>
    </row>
    <row r="18" spans="1:7" ht="20.05" customHeight="1" x14ac:dyDescent="0.55000000000000004">
      <c r="A18" s="32" t="s">
        <v>136</v>
      </c>
      <c r="B18" s="116" t="s">
        <v>137</v>
      </c>
      <c r="C18" s="73"/>
      <c r="D18" s="115" t="s">
        <v>138</v>
      </c>
      <c r="E18" s="73"/>
      <c r="F18" s="20" t="s">
        <v>135</v>
      </c>
      <c r="G18" s="36"/>
    </row>
    <row r="19" spans="1:7" ht="20.05" customHeight="1" x14ac:dyDescent="0.55000000000000004">
      <c r="A19" s="32" t="s">
        <v>139</v>
      </c>
      <c r="B19" s="116" t="s">
        <v>140</v>
      </c>
      <c r="C19" s="73"/>
      <c r="D19" s="115" t="s">
        <v>141</v>
      </c>
      <c r="E19" s="73"/>
      <c r="F19" s="20" t="s">
        <v>135</v>
      </c>
      <c r="G19" s="35"/>
    </row>
    <row r="20" spans="1:7" ht="20.05" customHeight="1" x14ac:dyDescent="0.55000000000000004">
      <c r="A20" s="32" t="s">
        <v>142</v>
      </c>
      <c r="B20" s="116" t="s">
        <v>143</v>
      </c>
      <c r="C20" s="73"/>
      <c r="D20" s="115" t="s">
        <v>144</v>
      </c>
      <c r="E20" s="73"/>
      <c r="F20" s="20" t="s">
        <v>135</v>
      </c>
      <c r="G20" s="36"/>
    </row>
    <row r="21" spans="1:7" ht="20.05" customHeight="1" x14ac:dyDescent="0.55000000000000004">
      <c r="A21" s="32" t="s">
        <v>145</v>
      </c>
      <c r="B21" s="116" t="s">
        <v>146</v>
      </c>
      <c r="C21" s="73"/>
      <c r="D21" s="115" t="s">
        <v>147</v>
      </c>
      <c r="E21" s="73"/>
      <c r="F21" s="20" t="s">
        <v>135</v>
      </c>
      <c r="G21" s="35"/>
    </row>
    <row r="22" spans="1:7" ht="20.05" customHeight="1" x14ac:dyDescent="0.55000000000000004">
      <c r="A22" s="32" t="s">
        <v>148</v>
      </c>
      <c r="B22" s="116" t="s">
        <v>149</v>
      </c>
      <c r="C22" s="73"/>
      <c r="D22" s="115" t="s">
        <v>150</v>
      </c>
      <c r="E22" s="73"/>
      <c r="F22" s="20" t="s">
        <v>135</v>
      </c>
      <c r="G22" s="36"/>
    </row>
    <row r="23" spans="1:7" ht="20.05" customHeight="1" x14ac:dyDescent="0.55000000000000004">
      <c r="A23" s="32" t="s">
        <v>151</v>
      </c>
      <c r="B23" s="118" t="s">
        <v>152</v>
      </c>
      <c r="C23" s="73"/>
      <c r="D23" s="122" t="s">
        <v>153</v>
      </c>
      <c r="E23" s="73"/>
      <c r="F23" s="20" t="s">
        <v>135</v>
      </c>
      <c r="G23" s="35"/>
    </row>
    <row r="24" spans="1:7" ht="20.05" customHeight="1" x14ac:dyDescent="0.55000000000000004">
      <c r="A24" s="32" t="s">
        <v>154</v>
      </c>
      <c r="B24" s="125" t="s">
        <v>155</v>
      </c>
      <c r="C24" s="73"/>
      <c r="D24" s="126" t="s">
        <v>156</v>
      </c>
      <c r="E24" s="73"/>
      <c r="F24" s="20" t="s">
        <v>135</v>
      </c>
      <c r="G24" s="36"/>
    </row>
    <row r="25" spans="1:7" ht="20.05" customHeight="1" x14ac:dyDescent="0.55000000000000004">
      <c r="A25" s="32" t="s">
        <v>157</v>
      </c>
      <c r="B25" s="116" t="s">
        <v>158</v>
      </c>
      <c r="C25" s="73"/>
      <c r="D25" s="115" t="s">
        <v>159</v>
      </c>
      <c r="E25" s="73"/>
      <c r="F25" s="20" t="s">
        <v>135</v>
      </c>
      <c r="G25" s="35"/>
    </row>
    <row r="26" spans="1:7" ht="20.05" customHeight="1" x14ac:dyDescent="0.55000000000000004">
      <c r="A26" s="32" t="s">
        <v>160</v>
      </c>
      <c r="B26" s="125" t="s">
        <v>161</v>
      </c>
      <c r="C26" s="73"/>
      <c r="D26" s="126" t="s">
        <v>162</v>
      </c>
      <c r="E26" s="73"/>
      <c r="F26" s="20" t="s">
        <v>135</v>
      </c>
      <c r="G26" s="36"/>
    </row>
    <row r="27" spans="1:7" ht="20.05" customHeight="1" x14ac:dyDescent="0.55000000000000004">
      <c r="A27" s="32" t="s">
        <v>163</v>
      </c>
      <c r="B27" s="118" t="s">
        <v>164</v>
      </c>
      <c r="C27" s="73"/>
      <c r="D27" s="122" t="s">
        <v>165</v>
      </c>
      <c r="E27" s="73"/>
      <c r="F27" s="20" t="s">
        <v>135</v>
      </c>
      <c r="G27" s="35"/>
    </row>
    <row r="28" spans="1:7" ht="20.05" customHeight="1" x14ac:dyDescent="0.55000000000000004">
      <c r="A28" s="32" t="s">
        <v>166</v>
      </c>
      <c r="B28" s="125" t="s">
        <v>167</v>
      </c>
      <c r="C28" s="73"/>
      <c r="D28" s="126" t="s">
        <v>168</v>
      </c>
      <c r="E28" s="73"/>
      <c r="F28" s="20" t="s">
        <v>135</v>
      </c>
      <c r="G28" s="36"/>
    </row>
  </sheetData>
  <mergeCells count="42">
    <mergeCell ref="D26:E26"/>
    <mergeCell ref="A1:G1"/>
    <mergeCell ref="B19:C19"/>
    <mergeCell ref="B28:C28"/>
    <mergeCell ref="A9:C9"/>
    <mergeCell ref="D28:E28"/>
    <mergeCell ref="D18:E18"/>
    <mergeCell ref="D25:E25"/>
    <mergeCell ref="B24:C24"/>
    <mergeCell ref="D24:E24"/>
    <mergeCell ref="E5:G5"/>
    <mergeCell ref="B20:C20"/>
    <mergeCell ref="A6:C6"/>
    <mergeCell ref="E8:G8"/>
    <mergeCell ref="A12:G12"/>
    <mergeCell ref="D23:E23"/>
    <mergeCell ref="A2:G2"/>
    <mergeCell ref="B27:C27"/>
    <mergeCell ref="B18:C18"/>
    <mergeCell ref="E6:G6"/>
    <mergeCell ref="D21:E21"/>
    <mergeCell ref="A13:G13"/>
    <mergeCell ref="B21:C21"/>
    <mergeCell ref="A8:C8"/>
    <mergeCell ref="D27:E27"/>
    <mergeCell ref="B23:C23"/>
    <mergeCell ref="A15:G15"/>
    <mergeCell ref="B17:C17"/>
    <mergeCell ref="D17:E17"/>
    <mergeCell ref="E7:G7"/>
    <mergeCell ref="A10:C10"/>
    <mergeCell ref="B26:C26"/>
    <mergeCell ref="A7:C7"/>
    <mergeCell ref="D20:E20"/>
    <mergeCell ref="E10:G10"/>
    <mergeCell ref="B25:C25"/>
    <mergeCell ref="D19:E19"/>
    <mergeCell ref="A4:G4"/>
    <mergeCell ref="B22:C22"/>
    <mergeCell ref="E9:G9"/>
    <mergeCell ref="D22:E22"/>
    <mergeCell ref="A5:C5"/>
  </mergeCells>
  <conditionalFormatting sqref="D5">
    <cfRule type="containsText" dxfId="1" priority="1" operator="containsText" text="OK">
      <formula>NOT(ISERROR(SEARCH("OK",D5)))</formula>
    </cfRule>
    <cfRule type="containsText" dxfId="0" priority="2" operator="containsText" text="HATA">
      <formula>NOT(ISERROR(SEARCH("HATA",D5)))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2" customWidth="1"/>
    <col min="5" max="6" width="14" customWidth="1"/>
    <col min="7" max="7" width="20" customWidth="1"/>
  </cols>
  <sheetData>
    <row r="1" spans="1:7" ht="32.049999999999997" customHeight="1" x14ac:dyDescent="0.55000000000000004">
      <c r="A1" s="74" t="s">
        <v>169</v>
      </c>
      <c r="B1" s="75"/>
      <c r="C1" s="75"/>
      <c r="D1" s="75"/>
      <c r="E1" s="75"/>
      <c r="F1" s="75"/>
      <c r="G1" s="76"/>
    </row>
    <row r="2" spans="1:7" ht="22" customHeight="1" x14ac:dyDescent="0.55000000000000004">
      <c r="A2" s="131" t="s">
        <v>170</v>
      </c>
      <c r="B2" s="79"/>
      <c r="C2" s="79"/>
      <c r="D2" s="79"/>
      <c r="E2" s="79"/>
      <c r="F2" s="79"/>
      <c r="G2" s="73"/>
    </row>
    <row r="3" spans="1:7" ht="18" customHeight="1" x14ac:dyDescent="0.55000000000000004">
      <c r="A3" s="39"/>
      <c r="B3" s="39" t="s">
        <v>171</v>
      </c>
      <c r="C3" s="39" t="s">
        <v>172</v>
      </c>
      <c r="D3" s="39" t="s">
        <v>92</v>
      </c>
      <c r="E3" s="39" t="s">
        <v>173</v>
      </c>
      <c r="F3" s="39" t="s">
        <v>174</v>
      </c>
      <c r="G3" s="39" t="s">
        <v>175</v>
      </c>
    </row>
    <row r="4" spans="1:7" ht="22" customHeight="1" x14ac:dyDescent="0.55000000000000004">
      <c r="A4" s="40" t="s">
        <v>174</v>
      </c>
      <c r="B4" s="40" t="s">
        <v>176</v>
      </c>
      <c r="C4" s="40" t="s">
        <v>177</v>
      </c>
      <c r="D4" s="40" t="s">
        <v>178</v>
      </c>
      <c r="E4" s="40" t="s">
        <v>179</v>
      </c>
      <c r="F4" s="40" t="s">
        <v>180</v>
      </c>
      <c r="G4" s="40" t="s">
        <v>52</v>
      </c>
    </row>
    <row r="5" spans="1:7" ht="22" customHeight="1" x14ac:dyDescent="0.55000000000000004">
      <c r="A5" s="114" t="s">
        <v>181</v>
      </c>
      <c r="B5" s="79"/>
      <c r="C5" s="79"/>
      <c r="D5" s="79"/>
      <c r="E5" s="79"/>
      <c r="F5" s="79"/>
      <c r="G5" s="73"/>
    </row>
    <row r="6" spans="1:7" ht="18" customHeight="1" x14ac:dyDescent="0.55000000000000004">
      <c r="A6" s="39"/>
      <c r="B6" s="39" t="s">
        <v>171</v>
      </c>
      <c r="C6" s="39" t="s">
        <v>172</v>
      </c>
      <c r="D6" s="39" t="s">
        <v>92</v>
      </c>
      <c r="E6" s="39" t="s">
        <v>173</v>
      </c>
      <c r="F6" s="39" t="s">
        <v>174</v>
      </c>
      <c r="G6" s="39" t="s">
        <v>175</v>
      </c>
    </row>
    <row r="7" spans="1:7" ht="22" customHeight="1" x14ac:dyDescent="0.55000000000000004">
      <c r="A7" s="40" t="s">
        <v>92</v>
      </c>
      <c r="B7" s="40" t="s">
        <v>182</v>
      </c>
      <c r="C7" s="40" t="s">
        <v>183</v>
      </c>
      <c r="D7" s="40" t="s">
        <v>184</v>
      </c>
      <c r="E7" s="40" t="s">
        <v>185</v>
      </c>
      <c r="F7" s="40" t="s">
        <v>179</v>
      </c>
      <c r="G7" s="40" t="s">
        <v>186</v>
      </c>
    </row>
    <row r="8" spans="1:7" ht="44.05" customHeight="1" x14ac:dyDescent="0.55000000000000004">
      <c r="A8" s="130" t="s">
        <v>187</v>
      </c>
      <c r="B8" s="79"/>
      <c r="C8" s="79"/>
      <c r="D8" s="79"/>
      <c r="E8" s="79"/>
      <c r="F8" s="79"/>
      <c r="G8" s="73"/>
    </row>
  </sheetData>
  <mergeCells count="4">
    <mergeCell ref="A8:G8"/>
    <mergeCell ref="A2:G2"/>
    <mergeCell ref="A1:G1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4.4" x14ac:dyDescent="0.55000000000000004"/>
  <cols>
    <col min="1" max="1" width="4" customWidth="1"/>
    <col min="2" max="2" width="24" customWidth="1"/>
    <col min="3" max="3" width="50" customWidth="1"/>
    <col min="4" max="4" width="22" customWidth="1"/>
  </cols>
  <sheetData>
    <row r="1" spans="1:7" ht="32.049999999999997" customHeight="1" x14ac:dyDescent="0.55000000000000004">
      <c r="A1" s="74" t="s">
        <v>188</v>
      </c>
      <c r="B1" s="75"/>
      <c r="C1" s="75"/>
      <c r="D1" s="75"/>
      <c r="E1" s="75"/>
      <c r="F1" s="75"/>
      <c r="G1" s="76"/>
    </row>
    <row r="2" spans="1:7" ht="20.05" customHeight="1" x14ac:dyDescent="0.55000000000000004">
      <c r="A2" s="111" t="s">
        <v>189</v>
      </c>
      <c r="B2" s="75"/>
      <c r="C2" s="75"/>
      <c r="D2" s="75"/>
      <c r="E2" s="75"/>
      <c r="F2" s="75"/>
      <c r="G2" s="76"/>
    </row>
    <row r="3" spans="1:7" ht="18" customHeight="1" x14ac:dyDescent="0.55000000000000004">
      <c r="A3" s="39" t="s">
        <v>190</v>
      </c>
      <c r="B3" s="39" t="s">
        <v>191</v>
      </c>
      <c r="C3" s="39" t="s">
        <v>192</v>
      </c>
      <c r="D3" s="39" t="s">
        <v>193</v>
      </c>
    </row>
    <row r="4" spans="1:7" ht="68.05" customHeight="1" x14ac:dyDescent="0.55000000000000004">
      <c r="A4" s="32" t="s">
        <v>194</v>
      </c>
      <c r="B4" s="38" t="s">
        <v>195</v>
      </c>
      <c r="C4" s="41" t="s">
        <v>196</v>
      </c>
      <c r="D4" s="42" t="s">
        <v>197</v>
      </c>
    </row>
    <row r="5" spans="1:7" ht="60" customHeight="1" x14ac:dyDescent="0.55000000000000004">
      <c r="A5" s="43" t="s">
        <v>198</v>
      </c>
      <c r="B5" s="33" t="s">
        <v>199</v>
      </c>
      <c r="C5" s="34" t="s">
        <v>200</v>
      </c>
      <c r="D5" s="44" t="s">
        <v>201</v>
      </c>
    </row>
    <row r="6" spans="1:7" ht="52" customHeight="1" x14ac:dyDescent="0.55000000000000004">
      <c r="A6" s="32" t="s">
        <v>202</v>
      </c>
      <c r="B6" s="38" t="s">
        <v>203</v>
      </c>
      <c r="C6" s="41" t="s">
        <v>204</v>
      </c>
      <c r="D6" s="42" t="s">
        <v>205</v>
      </c>
    </row>
    <row r="7" spans="1:7" ht="72" customHeight="1" x14ac:dyDescent="0.55000000000000004">
      <c r="A7" s="68" t="s">
        <v>206</v>
      </c>
      <c r="B7" s="69" t="s">
        <v>207</v>
      </c>
      <c r="C7" s="70" t="s">
        <v>208</v>
      </c>
      <c r="D7" s="71" t="s">
        <v>209</v>
      </c>
    </row>
    <row r="8" spans="1:7" ht="64" customHeight="1" x14ac:dyDescent="0.55000000000000004">
      <c r="A8" s="32" t="s">
        <v>210</v>
      </c>
      <c r="B8" s="37" t="s">
        <v>211</v>
      </c>
      <c r="C8" s="41" t="s">
        <v>212</v>
      </c>
      <c r="D8" s="45" t="s">
        <v>213</v>
      </c>
    </row>
    <row r="9" spans="1:7" ht="36" customHeight="1" x14ac:dyDescent="0.55000000000000004">
      <c r="A9" s="132" t="s">
        <v>214</v>
      </c>
      <c r="B9" s="79"/>
      <c r="C9" s="79"/>
      <c r="D9" s="73"/>
      <c r="E9" s="46"/>
      <c r="F9" s="46"/>
      <c r="G9" s="46"/>
    </row>
  </sheetData>
  <mergeCells count="3">
    <mergeCell ref="A1:G1"/>
    <mergeCell ref="A2:G2"/>
    <mergeCell ref="A9:D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6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40" customWidth="1"/>
    <col min="4" max="4" width="34" customWidth="1"/>
    <col min="5" max="5" width="22" customWidth="1"/>
    <col min="6" max="6" width="3" customWidth="1"/>
  </cols>
  <sheetData>
    <row r="1" spans="1:7" ht="34" customHeight="1" x14ac:dyDescent="0.55000000000000004">
      <c r="A1" s="74" t="s">
        <v>215</v>
      </c>
      <c r="B1" s="75"/>
      <c r="C1" s="75"/>
      <c r="D1" s="75"/>
      <c r="E1" s="75"/>
      <c r="F1" s="75"/>
      <c r="G1" s="76"/>
    </row>
    <row r="2" spans="1:7" ht="20.05" customHeight="1" x14ac:dyDescent="0.55000000000000004">
      <c r="A2" s="111" t="s">
        <v>216</v>
      </c>
      <c r="B2" s="75"/>
      <c r="C2" s="75"/>
      <c r="D2" s="75"/>
      <c r="E2" s="75"/>
      <c r="F2" s="75"/>
      <c r="G2" s="76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34" t="s">
        <v>217</v>
      </c>
      <c r="B4" s="75"/>
      <c r="C4" s="75"/>
      <c r="D4" s="75"/>
      <c r="E4" s="75"/>
      <c r="F4" s="75"/>
      <c r="G4" s="76"/>
    </row>
    <row r="5" spans="1:7" ht="18" customHeight="1" x14ac:dyDescent="0.55000000000000004">
      <c r="A5" s="39"/>
      <c r="B5" s="39" t="s">
        <v>218</v>
      </c>
      <c r="C5" s="39" t="s">
        <v>219</v>
      </c>
      <c r="D5" s="39" t="s">
        <v>48</v>
      </c>
      <c r="E5" s="39" t="s">
        <v>220</v>
      </c>
      <c r="F5" s="39"/>
    </row>
    <row r="6" spans="1:7" ht="36" customHeight="1" x14ac:dyDescent="0.55000000000000004">
      <c r="A6" s="47"/>
      <c r="B6" s="48" t="s">
        <v>221</v>
      </c>
      <c r="C6" s="49" t="s">
        <v>222</v>
      </c>
      <c r="D6" s="50" t="s">
        <v>223</v>
      </c>
      <c r="E6" s="51" t="s">
        <v>224</v>
      </c>
      <c r="F6" s="47"/>
    </row>
    <row r="7" spans="1:7" ht="36" customHeight="1" x14ac:dyDescent="0.55000000000000004">
      <c r="A7" s="35"/>
      <c r="B7" s="52" t="s">
        <v>225</v>
      </c>
      <c r="C7" s="53" t="s">
        <v>226</v>
      </c>
      <c r="D7" s="50" t="s">
        <v>227</v>
      </c>
      <c r="E7" s="54" t="s">
        <v>228</v>
      </c>
      <c r="F7" s="35"/>
    </row>
    <row r="8" spans="1:7" ht="36" customHeight="1" x14ac:dyDescent="0.55000000000000004">
      <c r="A8" s="47"/>
      <c r="B8" s="48" t="s">
        <v>229</v>
      </c>
      <c r="C8" s="49" t="s">
        <v>230</v>
      </c>
      <c r="D8" s="50" t="s">
        <v>231</v>
      </c>
      <c r="E8" s="51" t="s">
        <v>232</v>
      </c>
      <c r="F8" s="47"/>
    </row>
    <row r="9" spans="1:7" ht="36" customHeight="1" x14ac:dyDescent="0.55000000000000004">
      <c r="A9" s="35"/>
      <c r="B9" s="52" t="s">
        <v>233</v>
      </c>
      <c r="C9" s="53" t="s">
        <v>234</v>
      </c>
      <c r="D9" s="50" t="s">
        <v>235</v>
      </c>
      <c r="E9" s="54" t="s">
        <v>236</v>
      </c>
      <c r="F9" s="35"/>
    </row>
    <row r="10" spans="1:7" ht="36" customHeight="1" x14ac:dyDescent="0.55000000000000004">
      <c r="A10" s="47"/>
      <c r="B10" s="48" t="s">
        <v>237</v>
      </c>
      <c r="C10" s="55" t="s">
        <v>238</v>
      </c>
      <c r="D10" s="50" t="s">
        <v>239</v>
      </c>
      <c r="E10" s="51" t="s">
        <v>240</v>
      </c>
      <c r="F10" s="47"/>
    </row>
    <row r="11" spans="1:7" ht="36" customHeight="1" x14ac:dyDescent="0.55000000000000004">
      <c r="A11" s="35"/>
      <c r="B11" s="52" t="s">
        <v>241</v>
      </c>
      <c r="C11" s="37" t="s">
        <v>242</v>
      </c>
      <c r="D11" s="50" t="s">
        <v>243</v>
      </c>
      <c r="E11" s="54" t="s">
        <v>244</v>
      </c>
      <c r="F11" s="35"/>
    </row>
    <row r="12" spans="1:7" ht="5.05" customHeight="1" x14ac:dyDescent="0.55000000000000004">
      <c r="A12" s="1"/>
      <c r="B12" s="1"/>
      <c r="C12" s="1"/>
      <c r="D12" s="1"/>
      <c r="E12" s="1"/>
      <c r="F12" s="1"/>
      <c r="G12" s="1"/>
    </row>
    <row r="13" spans="1:7" ht="22" customHeight="1" x14ac:dyDescent="0.55000000000000004">
      <c r="A13" s="133" t="s">
        <v>245</v>
      </c>
      <c r="B13" s="75"/>
      <c r="C13" s="75"/>
      <c r="D13" s="75"/>
      <c r="E13" s="75"/>
      <c r="F13" s="75"/>
      <c r="G13" s="76"/>
    </row>
    <row r="14" spans="1:7" ht="18" customHeight="1" x14ac:dyDescent="0.55000000000000004">
      <c r="A14" s="56"/>
      <c r="B14" s="56" t="s">
        <v>218</v>
      </c>
      <c r="C14" s="56" t="s">
        <v>5</v>
      </c>
      <c r="D14" s="56" t="s">
        <v>246</v>
      </c>
      <c r="E14" s="56" t="s">
        <v>247</v>
      </c>
      <c r="F14" s="56"/>
    </row>
    <row r="15" spans="1:7" ht="28" customHeight="1" x14ac:dyDescent="0.55000000000000004">
      <c r="A15" s="57"/>
      <c r="B15" s="58" t="s">
        <v>248</v>
      </c>
      <c r="C15" s="59" t="s">
        <v>249</v>
      </c>
      <c r="D15" s="60" t="s">
        <v>250</v>
      </c>
      <c r="E15" s="61" t="s">
        <v>251</v>
      </c>
      <c r="F15" s="57"/>
    </row>
    <row r="16" spans="1:7" ht="28" customHeight="1" x14ac:dyDescent="0.55000000000000004">
      <c r="A16" s="57"/>
      <c r="B16" s="58" t="s">
        <v>252</v>
      </c>
      <c r="C16" s="59" t="s">
        <v>137</v>
      </c>
      <c r="D16" s="60" t="s">
        <v>253</v>
      </c>
      <c r="E16" s="61" t="s">
        <v>251</v>
      </c>
      <c r="F16" s="57"/>
    </row>
    <row r="17" spans="1:7" ht="28" customHeight="1" x14ac:dyDescent="0.55000000000000004">
      <c r="A17" s="57"/>
      <c r="B17" s="58" t="s">
        <v>254</v>
      </c>
      <c r="C17" s="59" t="s">
        <v>140</v>
      </c>
      <c r="D17" s="60" t="s">
        <v>141</v>
      </c>
      <c r="E17" s="61" t="s">
        <v>251</v>
      </c>
      <c r="F17" s="57"/>
    </row>
    <row r="18" spans="1:7" ht="28" customHeight="1" x14ac:dyDescent="0.55000000000000004">
      <c r="A18" s="57"/>
      <c r="B18" s="58" t="s">
        <v>255</v>
      </c>
      <c r="C18" s="59" t="s">
        <v>256</v>
      </c>
      <c r="D18" s="60" t="s">
        <v>144</v>
      </c>
      <c r="E18" s="61" t="s">
        <v>251</v>
      </c>
      <c r="F18" s="57"/>
    </row>
    <row r="19" spans="1:7" ht="28" customHeight="1" x14ac:dyDescent="0.55000000000000004">
      <c r="A19" s="57"/>
      <c r="B19" s="58" t="s">
        <v>257</v>
      </c>
      <c r="C19" s="59" t="s">
        <v>146</v>
      </c>
      <c r="D19" s="60" t="s">
        <v>258</v>
      </c>
      <c r="E19" s="61" t="s">
        <v>251</v>
      </c>
      <c r="F19" s="57"/>
    </row>
    <row r="20" spans="1:7" ht="28" customHeight="1" x14ac:dyDescent="0.55000000000000004">
      <c r="A20" s="57"/>
      <c r="B20" s="58" t="s">
        <v>259</v>
      </c>
      <c r="C20" s="59" t="s">
        <v>260</v>
      </c>
      <c r="D20" s="60" t="s">
        <v>261</v>
      </c>
      <c r="E20" s="61" t="s">
        <v>251</v>
      </c>
      <c r="F20" s="57"/>
    </row>
    <row r="21" spans="1:7" ht="28" customHeight="1" x14ac:dyDescent="0.55000000000000004">
      <c r="A21" s="57"/>
      <c r="B21" s="58" t="s">
        <v>262</v>
      </c>
      <c r="C21" s="59" t="s">
        <v>263</v>
      </c>
      <c r="D21" s="60" t="s">
        <v>159</v>
      </c>
      <c r="E21" s="61" t="s">
        <v>251</v>
      </c>
      <c r="F21" s="57"/>
    </row>
    <row r="22" spans="1:7" ht="28" customHeight="1" x14ac:dyDescent="0.55000000000000004">
      <c r="A22" s="62"/>
      <c r="B22" s="63" t="s">
        <v>264</v>
      </c>
      <c r="C22" s="64" t="s">
        <v>265</v>
      </c>
      <c r="D22" s="65" t="s">
        <v>266</v>
      </c>
      <c r="E22" s="66" t="s">
        <v>251</v>
      </c>
      <c r="F22" s="62"/>
    </row>
    <row r="23" spans="1:7" ht="28" customHeight="1" x14ac:dyDescent="0.55000000000000004">
      <c r="A23" s="62"/>
      <c r="B23" s="63" t="s">
        <v>267</v>
      </c>
      <c r="C23" s="64" t="s">
        <v>164</v>
      </c>
      <c r="D23" s="65" t="s">
        <v>165</v>
      </c>
      <c r="E23" s="66" t="s">
        <v>251</v>
      </c>
      <c r="F23" s="62"/>
    </row>
    <row r="24" spans="1:7" ht="28" customHeight="1" x14ac:dyDescent="0.55000000000000004">
      <c r="A24" s="62"/>
      <c r="B24" s="63" t="s">
        <v>268</v>
      </c>
      <c r="C24" s="64" t="s">
        <v>167</v>
      </c>
      <c r="D24" s="65" t="s">
        <v>168</v>
      </c>
      <c r="E24" s="66" t="s">
        <v>251</v>
      </c>
      <c r="F24" s="62"/>
    </row>
    <row r="25" spans="1:7" ht="5.05" customHeight="1" x14ac:dyDescent="0.55000000000000004">
      <c r="A25" s="1"/>
      <c r="B25" s="1"/>
      <c r="C25" s="1"/>
      <c r="D25" s="1"/>
      <c r="E25" s="1"/>
      <c r="F25" s="1"/>
      <c r="G25" s="1"/>
    </row>
    <row r="26" spans="1:7" ht="52" customHeight="1" x14ac:dyDescent="0.55000000000000004">
      <c r="A26" s="132" t="s">
        <v>269</v>
      </c>
      <c r="B26" s="79"/>
      <c r="C26" s="79"/>
      <c r="D26" s="79"/>
      <c r="E26" s="79"/>
      <c r="F26" s="73"/>
      <c r="G26" s="46"/>
    </row>
  </sheetData>
  <mergeCells count="5">
    <mergeCell ref="A13:G13"/>
    <mergeCell ref="A1:G1"/>
    <mergeCell ref="A4:G4"/>
    <mergeCell ref="A2:G2"/>
    <mergeCell ref="A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2026-04-07T09:52:11Z</dcterms:created>
  <dcterms:modified xsi:type="dcterms:W3CDTF">2026-04-07T10:08:40Z</dcterms:modified>
</cp:coreProperties>
</file>