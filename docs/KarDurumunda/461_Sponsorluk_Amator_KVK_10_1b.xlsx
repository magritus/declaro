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134E679E-C72C-4B86-A7F9-8A9E0F21392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D8" i="2"/>
  <c r="D7" i="2"/>
  <c r="D6" i="2"/>
  <c r="C48" i="1"/>
  <c r="C52" i="1" s="1"/>
  <c r="E47" i="1"/>
  <c r="E46" i="1"/>
  <c r="E45" i="1"/>
  <c r="E44" i="1"/>
  <c r="E43" i="1"/>
  <c r="E42" i="1"/>
  <c r="E41" i="1"/>
  <c r="E40" i="1"/>
  <c r="E48" i="1" s="1"/>
  <c r="C54" i="1" s="1"/>
  <c r="E15" i="1"/>
  <c r="D5" i="2" s="1"/>
</calcChain>
</file>

<file path=xl/sharedStrings.xml><?xml version="1.0" encoding="utf-8"?>
<sst xmlns="http://schemas.openxmlformats.org/spreadsheetml/2006/main" count="397" uniqueCount="324">
  <si>
    <t>461 – SPONSORLUK HARCAMALARI | KVK Md.10/1-b | AMATÖr SPOR DALLARI | %100 İNDİRİM | YMM TASDİK</t>
  </si>
  <si>
    <t>Beyanname 461 | GİB KV Beyan Rehberi Mart 2026 (No:606) | ✗ YİAKV MATRAHINDA DÜŞÜLEMEZ</t>
  </si>
  <si>
    <t xml:space="preserve">  KVK Md.10/1-b SPONSORLUK ORANLARI:
  ★ AMATÖr SPOR DALLARI (Bu Dosya / Beyanname 461): Harcama Tutarının %100'Ü
  ★ PROFESYONel SPOR DALLARI (Beyanname 460 — Ayrı Çalışma Kâğıdı): Harcama Tutarının %50'si
  461 = 460'ın %100'lük amatör karşılığı. Aynı 4 temel koşul geçerli: Sözleşme + Amatör Teyit + Ödeme + Reklam Ayrımı.</t>
  </si>
  <si>
    <t xml:space="preserve">  ✗ YİAKV (KVK Md.32/C): Sponsorluk Harcaması (KVK 10/1-b — Amatör) YİAKV MATRAHINDA DÜŞÜLEMEZ. YİAKV Çalışma Kâğıdı E.11 satırında bilgi amaçlı gösterilir — matrahı etkilemez.</t>
  </si>
  <si>
    <t>A0. KAPSAM UYGUNLUK ÖN KONTROLÜ — KVK Md.10/1-b AMATÖr SPOR KOŞULLARI</t>
  </si>
  <si>
    <t>Kontrol Sorusu</t>
  </si>
  <si>
    <t>Yanıt</t>
  </si>
  <si>
    <t>YMM Tasdik Notu</t>
  </si>
  <si>
    <t>A0.1  ★ Yazılı sponsorluk SÖZLEŞMESİ imzalandı mı?</t>
  </si>
  <si>
    <t>EVET</t>
  </si>
  <si>
    <t>Sözleşme olmadan indirim uygulanamaz. Sözel anlaşma veya yalnızca fatura yeterli değildir.</t>
  </si>
  <si>
    <t>A0.2  ★ Spor dalı AMATÖr nitelikte mi? (Federasyon/İl Spor Müdürlüğü/Okul teyidi)</t>
  </si>
  <si>
    <t>Amatör → 461 → %100. Profesyonel → 460 → %50. Amatör nitelik: Federasyon amatör teyit yazısı, amatör lisans belgesi veya okul yönetim belgesi.</t>
  </si>
  <si>
    <t>A0.3  ★ Alıcı amatör spor kulübü, okul spor takımı, gençlik derneği veya amatör sporcu mu?</t>
  </si>
  <si>
    <t>Alıcı: Amatör tescilli kulüp, okul spor takımı, gençlik spor derneği veya amatör lisanslı sporcu. Ticari şirket veya profesyonel kuruluş → Bu kapsamda değerlendirilemez.</t>
  </si>
  <si>
    <t>A0.4  ★ Ödeme FİİLEN gerçekleşti mi? (Banka kaydı)</t>
  </si>
  <si>
    <t>Taahhüt edilen ama ödenmeyen sponsorluk indirime konu edilemez. Banka EFT/havale tercih edilmeli. Nakdi ödeme kabul görmeyebilir.</t>
  </si>
  <si>
    <t>A0.5  REKLAM kısmı (logo/banner/forma) ayrıştırıldı mı?</t>
  </si>
  <si>
    <t>Net sponsorluk = Toplam ödeme − Reklam kısmı. Reklam bedeli ayrı gider — 461 hesabına dahil edilmez.</t>
  </si>
  <si>
    <t>A0.6  Sponsorluk muhasebede önce GİDER → KKEG → sonra 461 İNDİRİMİ şeklinde işlendi mi?</t>
  </si>
  <si>
    <t>Sponsorluk → gider kaydı → KKEG → Beyanname 461 ile matrahtan %100 indirilir. Net etki: Amatör sponsorluğun tamamı matrahtan düşülmüş olur.</t>
  </si>
  <si>
    <t>A0.7  YMM Tasdik Raporu (49 No.lu Tebliğ) değerlendirildi mi?</t>
  </si>
  <si>
    <t>&gt;=500.000 TL → YMM raporu.</t>
  </si>
  <si>
    <t>A0.8  Tasdik Uygunluk Sonucu</t>
  </si>
  <si>
    <t>★ A0.1 sözleşme | A0.2 amatör teyit | A0.4 ödeme — üçü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</si>
  <si>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</si>
  <si>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</si>
  <si>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</si>
  <si>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</si>
  <si>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</si>
  <si>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</si>
  <si>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</si>
  <si>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</si>
  <si>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</si>
  <si>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Dosya Referansı</t>
  </si>
  <si>
    <t>YMM-2025/461-01</t>
  </si>
  <si>
    <t>İndirim Oranı (%)</t>
  </si>
  <si>
    <t>AMATÖr SPOR: %100 (sabit — profesyonel %50 → Beyanname 460 ayrı)</t>
  </si>
  <si>
    <t>B. SPONSORLUK SÖZLEŞMESİ VE ALICI BİLGİLERİ</t>
  </si>
  <si>
    <t>Parametre</t>
  </si>
  <si>
    <t>Değer</t>
  </si>
  <si>
    <t>Açıklama</t>
  </si>
  <si>
    <t>Kaynak</t>
  </si>
  <si>
    <t>B.1  Alıcı Adı / Ünvanı</t>
  </si>
  <si>
    <t>Tam ad — kulüp, okul, sporcu vb.</t>
  </si>
  <si>
    <t>Sözleşme</t>
  </si>
  <si>
    <t>B.2  Alıcı Türü</t>
  </si>
  <si>
    <t>Amatör Spor Kulübü</t>
  </si>
  <si>
    <t>Amatör kulüp, okul, gençlik, sporcu.</t>
  </si>
  <si>
    <t>B.3  Spor Dalı</t>
  </si>
  <si>
    <t>Atletizm</t>
  </si>
  <si>
    <t>Amatör niteliği olan spor dalı.</t>
  </si>
  <si>
    <t>B.4  ★ Amatör Nitelik Teyit Belgesi Türü</t>
  </si>
  <si>
    <t>Federasyon Amatör Teyit Yazısı</t>
  </si>
  <si>
    <t>Amatör niteliği kanıtlayan belge türü.</t>
  </si>
  <si>
    <t>Federasyon/Okul/Müdürlük</t>
  </si>
  <si>
    <t>B.5  Sözleşme Tarihi / Süresi</t>
  </si>
  <si>
    <t>İmza tarihi ve kapsadığı dönem.</t>
  </si>
  <si>
    <t>B.6  Dönem İçinde Ödenen Tutar (TL)</t>
  </si>
  <si>
    <t>Fiilen ödenen — banka kaydıyla.</t>
  </si>
  <si>
    <t>Banka</t>
  </si>
  <si>
    <t>B.7  ★ Reklam Bedeli Ayrıştırılan Kısım (TL)</t>
  </si>
  <si>
    <t>Logo/banner/forma reklam bedeli → Ayrı gider — 461'e dahil edilmez.</t>
  </si>
  <si>
    <t>Sözleşme analizi</t>
  </si>
  <si>
    <t>B.8  NET SPONSORLUK BEDELİ (B.6 − B.7)</t>
  </si>
  <si>
    <t>C tablosuna aktarılacak tutar. 461 indirimi bu tutar üzerinden (%100).</t>
  </si>
  <si>
    <t>Hesaplama</t>
  </si>
  <si>
    <t>C. SPONSORLUK HARCAMALARI TABLOSU — BİRDEN FAZLA SÖZLEŞME / ALICI</t>
  </si>
  <si>
    <t xml:space="preserve">  SÜTUN 3 (yeşil çerçeve): Net sponsorluk (reklam çıkarılmış B.8). SÜTUN 4: %100 — AMATÖr SPOR SABİT, değiştirmeyin. SÜTUN 5: İndirim = Sütun 3 × %100 (Tam tutar — otomatik).</t>
  </si>
  <si>
    <t>Alıcı Adı</t>
  </si>
  <si>
    <t>Spor Dalı</t>
  </si>
  <si>
    <t>Net Sponsorluk (TL)</t>
  </si>
  <si>
    <t>Oran (%)</t>
  </si>
  <si>
    <t>İndirim (TL)</t>
  </si>
  <si>
    <t>Ödeme Tarihi</t>
  </si>
  <si>
    <t>Sözleşme No</t>
  </si>
  <si>
    <t>TOPLAM — Net Sponsorluk / İndirim (%100)</t>
  </si>
  <si>
    <t>—</t>
  </si>
  <si>
    <t>Net Sponsorluk × %100 = İndirim (tam tutar) → Beyanname 461</t>
  </si>
  <si>
    <t>D. SPONSORLUK İNDİRİMİ ÖZET — BEYANNAME 461 (AMATÖr SPOR %100)</t>
  </si>
  <si>
    <t>Hesap Kalemi</t>
  </si>
  <si>
    <t>Tutar (TL)</t>
  </si>
  <si>
    <t>Not</t>
  </si>
  <si>
    <t>D.1  Toplam Net Sponsorluk (C Tablosu Sütun 3)</t>
  </si>
  <si>
    <t>Tüm sözleşmeler net toplamı</t>
  </si>
  <si>
    <t>D.2  İndirim Oranı</t>
  </si>
  <si>
    <t>100%</t>
  </si>
  <si>
    <t>AMATÖr SPOR — sabit %100</t>
  </si>
  <si>
    <t>D.3  ★ NET 461 İNDİRİMİ → BEYANNAME 461 (Net Tutarın Tamamı)</t>
  </si>
  <si>
    <t>Kazancın Bulunması Halinde | Net sponsorluk tamamı indirilir</t>
  </si>
  <si>
    <t>KVK Md.10/1-b</t>
  </si>
  <si>
    <t>D.4  ★ KARŞILAŞTIRMA — PROFESYONel (460) vs AMATÖr (461)</t>
  </si>
  <si>
    <t>461: %100 | 460: %50</t>
  </si>
  <si>
    <t>Amatör tam indirim | Profesyonel yarım indirim → İki ayrı dosya</t>
  </si>
  <si>
    <t>D.5  YİAKV DURUMU — DÜŞÜLEMEZ</t>
  </si>
  <si>
    <t>YİAKV E.11 Bilgi ✗</t>
  </si>
  <si>
    <t>Tüm sponsorluk ve bağış harcamaları YİAKV dışı</t>
  </si>
  <si>
    <t>KVK Md.32/C</t>
  </si>
  <si>
    <t>E.1  AMATÖr SPONSORLUK İNDİRİMİ → Beyanname Satır 461 (Kazancın Bulunması Halinde — %100)</t>
  </si>
  <si>
    <t>D.3 = C Tablosu Toplam (Net Sponsorluk Tamamı) | KVK Md.10/1-b Amatör Spor</t>
  </si>
  <si>
    <t xml:space="preserve">  460 (PROFESYONel — %50) vs 461 (AMATÖr — %100) KARŞILAŞTIRMA:
  ★ Yanlış kapsam → Yanlış oran → Tarhiyat riski:
  Amatör kulübe %50 oran (460 gibi) uygulamak → Eksik indirim (lehimize ama yanlış).
  Profesyonel kulübe %100 oran (461 gibi) uygulamak → Fazla indirim → TARHIYAT.
  Doğru oran tespiti: Federasyon/Bakanlık belgesi zorunlu. GİB özelgesi → Şüpheli durumlarda tavsiye.</t>
  </si>
  <si>
    <t xml:space="preserve">  ★ KRİTİK: (1) SÖZLEŞME zorunludur. (2) AMATÖr nitelik belgelenmeli — profesyonel kapsamına girerse 460 geçerli. (3) ÖDEME fiilen. (4) REKLAM ayrıştırılmalı. (5) YİAKV ✗ DÜŞÜLEMEZ — E.11 bilgi.</t>
  </si>
  <si>
    <t>461 – SPONSORLUK KVK Md.10/1-b AMATÖr | HESAPLAMALAR VE DENETİM</t>
  </si>
  <si>
    <t>Amatör Spor %100 | Yazılı Sözleşme | Amatör Nitelik Teyidi | Beyanname 461 | ✗ YİAKV</t>
  </si>
  <si>
    <t>A. TASDİK ÖZETİ</t>
  </si>
  <si>
    <t>A0 Uygunluğu</t>
  </si>
  <si>
    <t>OK ise devam</t>
  </si>
  <si>
    <t>Spor Dalı Niteliği (A0.2)</t>
  </si>
  <si>
    <t>Amatör → %100</t>
  </si>
  <si>
    <t>Toplam Net Sponsorluk (D.1)</t>
  </si>
  <si>
    <t>C tablosu toplamı</t>
  </si>
  <si>
    <t>461 İndirim %100 (D.3)</t>
  </si>
  <si>
    <t>YİAKV</t>
  </si>
  <si>
    <t>✗ DÜŞÜLEMEZ (E.11 Bilgi)</t>
  </si>
  <si>
    <t>Sponsorluk/Bağış tümü YİAKV dışı</t>
  </si>
  <si>
    <t>B. AMATÖr SPOR TANIMI VE 460/461 FARK TABLOSU</t>
  </si>
  <si>
    <t xml:space="preserve">  AMATÖr SPOR TANIMI (Beyanname 461 → %100):
  • Herhangi bir ücret almaksızın, amatör lisansla faaliyet gösteren kulüp/sporcu
  • Okul spor takımları (ilk/orta/lise/üniversite)
  • Gençlik ve toplum bazlı amatör spor dernekleri
  • Amatör lig takımları (federasyonun amatör ligleri)
  • İl Spor Müdürlüğü'ne bağlı amatör spor organizasyonları
  PROFESYONel SPOR TANIMI (Beyanname 460 → %50):
  • Profesyonel lig: TFF Süper/1./2. Lig, BSL, TVF Efeler, diğer profesyonel ligler
  • Profesyonel lisanslı, ücret karşılığı spor yapan sporcu
  YANLIŞI ÖNLE: Aynı spor dalı hem profesyonel hem amatör kulübü olabilir (örn. futbol).
  Belirleyici: Kulübün/sporcunun federasyon ligindeki statüsü — belgeyle teyit et.</t>
  </si>
  <si>
    <t>C. 460 (PROFESYONel) vs 461 (AMATÖr) — ÖZELLİK TABLOSU</t>
  </si>
  <si>
    <t>Özellik</t>
  </si>
  <si>
    <t>460 Profesyonel</t>
  </si>
  <si>
    <t>461 Amatör</t>
  </si>
  <si>
    <t>Ortak Koşul</t>
  </si>
  <si>
    <t>Beyanname</t>
  </si>
  <si>
    <t>İndirim Oranı</t>
  </si>
  <si>
    <t>%50</t>
  </si>
  <si>
    <t>%100</t>
  </si>
  <si>
    <t>460 vs 461</t>
  </si>
  <si>
    <t>Her ikisi DÜŞÜLEMEZ</t>
  </si>
  <si>
    <t>Kapsam</t>
  </si>
  <si>
    <t>Profesyonel lig/kulüp</t>
  </si>
  <si>
    <t>Amatör/Okul/Gençlik</t>
  </si>
  <si>
    <t>Aynı 4 koşul</t>
  </si>
  <si>
    <t>Ayrı satırlar</t>
  </si>
  <si>
    <t>E.11 Bilgi</t>
  </si>
  <si>
    <t>Nitelik Belgesi</t>
  </si>
  <si>
    <t>Federasyon Prof. Teyit</t>
  </si>
  <si>
    <t>Federasyon/Okul/Müdür.</t>
  </si>
  <si>
    <t>Zorunlu</t>
  </si>
  <si>
    <t>Belgeye göre</t>
  </si>
  <si>
    <t>YMM kontrol</t>
  </si>
  <si>
    <t>Yazılı Zorunlu</t>
  </si>
  <si>
    <t>Her ikisi için</t>
  </si>
  <si>
    <t>Sözleşmeli</t>
  </si>
  <si>
    <t>Ortak kural</t>
  </si>
  <si>
    <t>Ödeme</t>
  </si>
  <si>
    <t>Banka kaydı</t>
  </si>
  <si>
    <t>Fiili</t>
  </si>
  <si>
    <t>Dönem içi</t>
  </si>
  <si>
    <t>Reklam Ayrımı</t>
  </si>
  <si>
    <t>Net tutara %50</t>
  </si>
  <si>
    <t>Net tutara %100</t>
  </si>
  <si>
    <t>Net tutar baz</t>
  </si>
  <si>
    <t>B.7/B.8</t>
  </si>
  <si>
    <t>D. DENETİM KONTROL LİSTESİ (K1–K13)</t>
  </si>
  <si>
    <t>Kontrol</t>
  </si>
  <si>
    <t>Sonuç</t>
  </si>
  <si>
    <t>K1</t>
  </si>
  <si>
    <t>★ Yazılı sponsorluk sözleşmesi var mı?</t>
  </si>
  <si>
    <t>Sözleşmesiz → İndirim reddedilir. 461 için de zorunlu.</t>
  </si>
  <si>
    <t>Uygun/Eksik/Risk</t>
  </si>
  <si>
    <t>K2</t>
  </si>
  <si>
    <t>★ Spor dalı AMATÖr niteliği federasyon/okul/müdürlük belgesiyle teyit edildi mi?</t>
  </si>
  <si>
    <t>Amatör belge olmadan %100 oran uygulanamaz.</t>
  </si>
  <si>
    <t>K3</t>
  </si>
  <si>
    <t>★ Ödeme fiilen gerçekleşti mi? (Banka kaydı)</t>
  </si>
  <si>
    <t>Taahhüt değil — fiili ödeme zorunlu.</t>
  </si>
  <si>
    <t>K4</t>
  </si>
  <si>
    <t>★ Reklam kısmı (B.7) ayrıştırıldı mı?</t>
  </si>
  <si>
    <t>Net = B.6 − B.7. Reklam → Ayrı gider.</t>
  </si>
  <si>
    <t>K5</t>
  </si>
  <si>
    <t>İndirim %100 olarak uygulandı mı? (C Sütun 4 = 100)</t>
  </si>
  <si>
    <t>Amatör spor için sabit %100.</t>
  </si>
  <si>
    <t>K6</t>
  </si>
  <si>
    <t>C tablosu toplamı (E48) D.3 ile mutabık mı?</t>
  </si>
  <si>
    <t>E48 = D.3 eşitliği.</t>
  </si>
  <si>
    <t>K7</t>
  </si>
  <si>
    <t>Sponsorluk muhasebede gider → KKEG → 461 indirimi zinciri doğru mu?</t>
  </si>
  <si>
    <t>Amatör: %100 → Net tutar tamamı indirim.</t>
  </si>
  <si>
    <t>K8</t>
  </si>
  <si>
    <t>Birden fazla sözleşme ayrı satırlarda mı?</t>
  </si>
  <si>
    <t>Her sözleşme/alıcı C tablosunda ayrı satır.</t>
  </si>
  <si>
    <t>K9</t>
  </si>
  <si>
    <t>✗ YİAKV E.11'de bilgi amaçlı gösterildi mi?</t>
  </si>
  <si>
    <t>461 matrahından düşülmüyor — sadece bilgi satırı.</t>
  </si>
  <si>
    <t>K10</t>
  </si>
  <si>
    <t>460 (Profesyonel %50) ile 461 (Amatör %100) karıştırılmadı mı?</t>
  </si>
  <si>
    <t>Nitelik belgesi oran belirler — en kritik ayrım.</t>
  </si>
  <si>
    <t>K11</t>
  </si>
  <si>
    <t>Alıcı kulüp/sporcu VKN ve tescil bilgisi belgelendi mi?</t>
  </si>
  <si>
    <t>Alıcı bilgileri eksiksiz.</t>
  </si>
  <si>
    <t>K12</t>
  </si>
  <si>
    <t>Beyanname 461 'Kazancın Bulunması Halinde' bölümünde mi?</t>
  </si>
  <si>
    <t>Zarar döneminde uygulanamaz.</t>
  </si>
  <si>
    <t>K13</t>
  </si>
  <si>
    <t>YMM Tasdik Raporu (49 No.lu Tebliğ) değerlendirildi mi?</t>
  </si>
  <si>
    <t>461 – SPONSORLUK KVK Md.10/1-b AMATÖr | MUHASEBE KAYITLARI</t>
  </si>
  <si>
    <t>KAYIT 1 — STANDART: AMATÖr SPONSORLUK ÖDEMESİ (EFT/HAVALE)</t>
  </si>
  <si>
    <t>Tarih</t>
  </si>
  <si>
    <t>Hesap</t>
  </si>
  <si>
    <t>Dr</t>
  </si>
  <si>
    <t>Kr</t>
  </si>
  <si>
    <t>Ref</t>
  </si>
  <si>
    <t>[Tarih]</t>
  </si>
  <si>
    <t>680/770 Sponsorluk Harcaması</t>
  </si>
  <si>
    <t>Amatör sponsorluk ödemesi — gider kaydı</t>
  </si>
  <si>
    <t>[Tutar]</t>
  </si>
  <si>
    <t>Sözleşme/Fatura</t>
  </si>
  <si>
    <t>102 Bankalar</t>
  </si>
  <si>
    <t>EFT/Havale ile ödeme</t>
  </si>
  <si>
    <t>Banka ekstresi</t>
  </si>
  <si>
    <t xml:space="preserve">  DÖNEM SONU BEYANNAME İŞLEMİ — 461 NET ETKİ (%100 — TAMAMINI İNDİR):
  ① Amatör sponsorluk → GİDER (680/770) kaydedildi.
  ② Sponsorluk KKEG'e alındı → KV matrahı artar.
  ③ Beyanname 461 → Net Sponsorluk × %100 → Matrahtan tam indirilir.
  ④ NET ETKİ: Amatör sponsorluğun TAMAMI matrahtan düşülmüş olur (profesyonel 460'tan fark: Yarısı değil tamamı).
  ⑤ YİAKV: Matrah hesabında bu indirim kullanılmaz → ✗ DÜŞÜLEMEZ.</t>
  </si>
  <si>
    <t>KAYIT 2 — KARMA SÖZLEŞME: SPONSORLUK + REKLAM AYRIMI (Aynı Kural 460 ile Ortak)</t>
  </si>
  <si>
    <t>[Ödeme]</t>
  </si>
  <si>
    <t>680/770</t>
  </si>
  <si>
    <t>Karma ödeme — ayrıştırma gerekli</t>
  </si>
  <si>
    <t>[Toplam]</t>
  </si>
  <si>
    <t>Banka çıkışı</t>
  </si>
  <si>
    <t>Dönem Sonu</t>
  </si>
  <si>
    <t>Sponsorluk → KKEG</t>
  </si>
  <si>
    <t>Net amatör sponsorluk → KKEG</t>
  </si>
  <si>
    <t>Net</t>
  </si>
  <si>
    <t>KKEG listesi</t>
  </si>
  <si>
    <t>461 → Net × %100</t>
  </si>
  <si>
    <t>Amatör → NET TUTARIN TAMAMI indirim</t>
  </si>
  <si>
    <t>İndirim</t>
  </si>
  <si>
    <t>Beyanname 461</t>
  </si>
  <si>
    <t>Gider</t>
  </si>
  <si>
    <t>Reklam → Doğrudan Gider</t>
  </si>
  <si>
    <t>Logo/banner → KKEG DEĞİL, gider</t>
  </si>
  <si>
    <t>Reklam</t>
  </si>
  <si>
    <t>KV gider</t>
  </si>
  <si>
    <t xml:space="preserve">  YİAKV ve BEYANNAME KARŞILAŞTIRMA (460 vs 461):
  460 Profesyonel: Gider → KKEG → Beyanname 460 × %50 → Net: %50 indirim.
  461 Amatör: Gider → KKEG → Beyanname 461 × %100 → Net: %100 indirim (TAMAMINI indir).
  YİAKV: Her ikisi de YİAKV matrahından DÜŞÜLEMEZ (E.11 bilgi). Risturn (401) ve Tasarım (455) ile KARIŞTIRMAYIN.</t>
  </si>
  <si>
    <t>461 – SPONSORLUK HARCAMALARI KVK Md.10/1-b AMATÖr | DENETÇİ NOTLARI</t>
  </si>
  <si>
    <t>GİB KV Beyan Rehberi 2026 (No:606) | Amatör %100 | 460 Karşılaştırma | YİAKV E.11</t>
  </si>
  <si>
    <t>Kod</t>
  </si>
  <si>
    <t>Konu</t>
  </si>
  <si>
    <t>Mesleki Değerlendirme / Tasdik Standardı</t>
  </si>
  <si>
    <t>Mevzuat / Kaynak</t>
  </si>
  <si>
    <t>N1</t>
  </si>
  <si>
    <t>KVK Md.10/1-b Amatör Sponsorluk — %100 İndirim Hakkı</t>
  </si>
  <si>
    <t>AMATÖr SPONSORLUK (KVK Md.10/1-b → %100 → Beyanname 461):
Amatör spor kulübü, okul spor takımı, gençlik derneği veya amatör lisanslı sporcu
için yapılan sponsorluk harcamalarının TAMAMININ kurumlar vergisi matrahından indirimi.
NEDEN %100?
Amatör sporculara ve kulüplere yapılan destekler hem sosyal sorumluluk hem spor politikası
açısından teşvik edilmekte, bu nedenle kanun koyucu %100 indirim hakkı tanımıştır.
4 TEMEL KOŞUL (460 ile aynı — yalnızca oran ve nitelik belgesi farklı):
① Yazılı sözleşme ② Amatör nitelik teyidi ③ Fiili ödeme ④ Reklam ayrımı
YİAKV: ✗ DÜŞÜLEMEZ (E.11 bilgi) | BEYANNAME: 461</t>
  </si>
  <si>
    <t>KVK Md.10/1-b | GİB KV Beyan Reh. 2026 (No:606)</t>
  </si>
  <si>
    <t>N2</t>
  </si>
  <si>
    <t>★ 460 (Profesyonel %50) ile 461 (Amatör %100) Ayrımı — En Kritik Nokta</t>
  </si>
  <si>
    <t>ORAN KARISIKLIĞI → EN BÜYÜK RİSK:
HATA 1 — Profesyonel kulübe %100 uygulamak (461 gibi):
Fazla indirim → GİB tarhiyatı → Eksik ödenen KV + ceza + faiz.
HATA 2 — Amatör kulübe %50 uygulamak (460 gibi):
Eksik indirim → Lehimize ama yanlış beyan; düzeltme beyanı gerekebilir.
DOĞRU YÖNTEM:
Sponsorluk öncesi → İlgili federasyondan veya Spor Bakanlığı'ndan teyit al.
Belge al → Oran belirle → Doğru kodu (460 veya 461) kullan → Beyan et.
ÖNEMLİ: Aynı spor dalında hem profesyonel hem amatör kulüp olabilir.
Örn. Futbol: TFF Süper Lig kulübü → 460 (%50) | Köy futbol kulübü → 461 (%100).</t>
  </si>
  <si>
    <t>KVK Md.10/1-b | GİB Özelge | Danıştay Kararları</t>
  </si>
  <si>
    <t>N3</t>
  </si>
  <si>
    <t>★ Amatör Nitelik Belgesi Türleri — Kabul Edilebilir Belgeler</t>
  </si>
  <si>
    <t>AMATÖr NİTELİK İÇİN GEÇERLİ BELGELER:
① Federasyon Amatör Teyit Yazısı:
İlgili spor federasyonunun (TFF, TVF, THF vb.) söz konusu kulübün amatör ligde
faaliyet gösterdiğini doğrulayan resmi yazı.
② Amatör Sporcu Lisansı:
İlgili federasyonun amatör kategorisinde verdiği lisans belgesi.
③ İl/İlçe Spor Müdürlüğü Belgesi:
Gençlik ve Spor Bakanlığı'na bağlı müdürlük tarafından verilen tescil/faaliyet belgesi.
④ Okul Yönetim Belgesi:
Okul spor takımları için okul yönetiminin/MEB'in onaylı belgesi.
⑤ Dernek Tescil Belgesi:
İl Müdürlüğü'nden tescillenmiş gençlik/spor derneğinin faaliyet belgesi.
NOT: Hangi belgenin yeterli olduğu tartışmalıysa GİB özelgesi alınmalıdır.</t>
  </si>
  <si>
    <t>KVK Md.10/1-b | Spor Bakanlığı Mevzuatı | GİB Özelge</t>
  </si>
  <si>
    <t>N4</t>
  </si>
  <si>
    <t>YİAKV ile İlişki — 460/461 Ortak DÜŞÜLEMEZ Kuralı</t>
  </si>
  <si>
    <t>YİAKV (KVK Md.32/C) VE SPONSORLUK (460 VE 461):
✗ Profesyonel Sponsorluk (460): DÜŞÜLEMEZ → YİAKV E.11 Bilgi
✗ Amatör Sponsorluk (461): DÜŞÜLEMEZ → YİAKV E.11 Bilgi
✗ Tüm Bağış/Yardımlar (260-270): DÜŞÜLEMEZ
DÜŞÜLEBILIR OLANLAR (Karıştırılmasın):
✓ Risturn (401) → YİAKV D.4
✓ Ar-Ge İndirimi (283) → YİAKV D.10
✓ Tasarım İndirimi (455) → YİAKV D.10
YİAKV E.11'de 460 + 461 Toplamı:
'Bağış ve Sponsorluk — Tümü (KVK 10/1-b,c,ç,d,e,f)'
Hem 460 hem 461 varsa E.11'e toplam yazılır — matrahı etkilemez.</t>
  </si>
  <si>
    <t>KVK Md.32/C | GİB Rehberi No:607 | No:606</t>
  </si>
  <si>
    <t>N5</t>
  </si>
  <si>
    <t>49 No.lu Tebliğ + YMM Tasdik Dil Standardı</t>
  </si>
  <si>
    <t>KULLANIN (Amatör Spor — %100):
'...[Amatör Kulüp/Sporcu Adı] ile [Sözleşme Tarihi] tarihinde imzalanan
sponsorluk sözleşmesi kapsamında, [Spor Dalı] dalında amatör statüde
faaliyet gösterdiği [Teyit Belgesi Türü] ile teyit edilen söz konusu
[alıcı türü] adına fiilen ödenen [Net Tutar] TL net sponsorluk bedelinin
tamamı, KVK Madde 10/1-b kapsamında kurumlar vergisi matrahından indirilmiştir.
Söz konusu tutar YİAKV matrahından indirilmemiştir.'
KULLANMAYIN:
'...YİAKV matrahından düşülmüştür.' (YANLIŞ)
'...%50 indirim uygulanmıştır.' (Yanlış oran — amatör için %100)
'...Amatör nitelik belgesi olmadan 461 uygulanmıştır.' (Geçersiz)
KRİTİK RİSKLER:
(1) Profesyonel kulübe %100 uygulamak (en büyük risk — tarhiyat).
(2) Amatör nitelik belgesi almadan 461 uygulamak.
(3) Reklam tutarını net sponsorluk bedeline dahil etmek.</t>
  </si>
  <si>
    <t>49 No.lu Tebliğ | KVK Md.10/1-b | SM-SMMM-YMM K. Md.12</t>
  </si>
  <si>
    <t xml:space="preserve">  GİB KV BEYAN REHBERİ MART 2026 (No:606) KAPANIŞ (461 — AMATÖr SPOR): Amatör %100 (461) | Profesyonel %50 (460 — ayrı). Amatör nitelik belgesi zorunlu (federasyon/okul/müdürlük). Yazılı sözleşme + Fiili ödeme + Reklam ayrımı — 460 ile aynı koşullar, yalnızca oran ve nitelik farklı. ✗ YİAKV E.11. YMM: SM-SMMM-YMM K. Md.12.</t>
  </si>
  <si>
    <t>461 – SPONSORLUK KVK Md.10/1-b AMATÖr | BELGE LİSTESİ | YMM TASDİK</t>
  </si>
  <si>
    <t>GİB KV Beyan Rehberi 2026 | Amatör Nitelik | Yazılı Sözleşme | Ödeme | Reklam Ayrımı</t>
  </si>
  <si>
    <t>KATEGORİ 1 — ZORUNLU BELGELER</t>
  </si>
  <si>
    <t>No</t>
  </si>
  <si>
    <t>Belge</t>
  </si>
  <si>
    <t>Temin</t>
  </si>
  <si>
    <t>1</t>
  </si>
  <si>
    <t>★ Yazılı Sponsorluk Sözleşmesi</t>
  </si>
  <si>
    <t>Taraflar, spor dalı, tutar, süre ve yükümlülükler. 461 için de zorunlu — 460 ile aynı kural. YMM imzalı orijinal nüsha talep etmeli.</t>
  </si>
  <si>
    <t>Taraflar arasında düzenlenir</t>
  </si>
  <si>
    <t>2</t>
  </si>
  <si>
    <t>★ Amatör Nitelik Teyit Belgesi (460'tan Farkı: Amatör Belgesi)</t>
  </si>
  <si>
    <t>Federasyon amatör teyit yazısı VEYA amatör lisans VEYA İl/İlçe Spor Müdürlüğü belgesi VEYA okul yönetim belgesi VEYA dernek tescil belgesi. Bu belge %100 oranın dayanağıdır — olmadan 461 uygulanamaz.</t>
  </si>
  <si>
    <t>Federasyon / Spor Müdürlüğü / Okul</t>
  </si>
  <si>
    <t>3</t>
  </si>
  <si>
    <t>★ Ödeme Belgesi (Banka EFT/Havale Dekontu)</t>
  </si>
  <si>
    <t>Fiilen gerçekleşen ödemenin banka belgesi. Her sözleşme için ayrı dekont. Nakit ödeme riskli.</t>
  </si>
  <si>
    <t>Banka ekstresi / EFT dekontu</t>
  </si>
  <si>
    <t>4</t>
  </si>
  <si>
    <t>Sponsorluk Faturası (Kulüp/Dernek/Sporcu'dan)</t>
  </si>
  <si>
    <t>Sponsorluk bedeli için alıcıdan alınan fatura. VKN, tarih ve tutar beyanname ile uyumlu.</t>
  </si>
  <si>
    <t>Alıcı kurum/kişi</t>
  </si>
  <si>
    <t>5</t>
  </si>
  <si>
    <t>Reklam Ayrıştırma Analizi (Karma Sözleşmelerde)</t>
  </si>
  <si>
    <t>Sözleşmede hem sponsorluk hem reklam varsa: Net sponsorluk = Toplam − Reklam. 461 = Net × %100.</t>
  </si>
  <si>
    <t>YMM tarafından hazırlanır</t>
  </si>
  <si>
    <t>6</t>
  </si>
  <si>
    <t>KV Beyannamesi 461 Satırı + YİAKV E.11 Bilgi</t>
  </si>
  <si>
    <t>Beyanname 461 = C tablosu E toplamı. YİAKV E.11'de bilgi amaçlı (matrahı etkilemez). 460 ile aynı anda kullanılıyorsa E.11'e toplam (460+461) yazılır.</t>
  </si>
  <si>
    <t>GİB e-Beyanname + YİAKV ÇK</t>
  </si>
  <si>
    <t>KATEGORİ 2 — YMM TASDİK KONTROL SORULARI</t>
  </si>
  <si>
    <t>Beklenen Sonuç</t>
  </si>
  <si>
    <t>YMM Aksiyonu</t>
  </si>
  <si>
    <t>S1</t>
  </si>
  <si>
    <t>★ Yazılı sözleşme var mı?</t>
  </si>
  <si>
    <t>Sözleşmesiz → İndirim yok.</t>
  </si>
  <si>
    <t>YMM kontrolü</t>
  </si>
  <si>
    <t>S2</t>
  </si>
  <si>
    <t>★ Amatör nitelik teyit belgesi var mı? (Federasyon/Okul/Müdürlük)</t>
  </si>
  <si>
    <t>Belge olmadan %100 oran uygulanamaz.</t>
  </si>
  <si>
    <t>S3</t>
  </si>
  <si>
    <t>★ Ödeme fiilen gerçekleşti mi? (Banka)</t>
  </si>
  <si>
    <t>Taahhüt değil — ödeme.</t>
  </si>
  <si>
    <t>S4</t>
  </si>
  <si>
    <t>★ Reklam kısmı ayrıştırıldı mı?</t>
  </si>
  <si>
    <t>Net = Ödeme − Reklam.</t>
  </si>
  <si>
    <t>S5</t>
  </si>
  <si>
    <t>İndirim %100 olarak uygulandı mı? (Tam tutar)</t>
  </si>
  <si>
    <t>Amatör için sabit %100.</t>
  </si>
  <si>
    <t>S6</t>
  </si>
  <si>
    <t>C tablosu E toplamı = D.3 mutabık mı?</t>
  </si>
  <si>
    <t>Tam mutabakat.</t>
  </si>
  <si>
    <t>S7</t>
  </si>
  <si>
    <t>★ 460 (Profesyonel %50) ile KARIŞTIRMA yok mu?</t>
  </si>
  <si>
    <t>En kritik ayrım — belgeyle doğrulandı.</t>
  </si>
  <si>
    <t>S8</t>
  </si>
  <si>
    <t>✗ YİAKV E.11'de bilgi satırı olarak gösterildi mi?</t>
  </si>
  <si>
    <t>DÜŞÜLEMEZ — sadece bilgi.</t>
  </si>
  <si>
    <t>S9</t>
  </si>
  <si>
    <t>460 da varsa E.11'de 460+461 toplamı mı?</t>
  </si>
  <si>
    <t>Her ikisi birlikte E.11'e girer.</t>
  </si>
  <si>
    <t>S10</t>
  </si>
  <si>
    <t>YMM Tasdik Raporu değerlendirildi mi?</t>
  </si>
  <si>
    <t>&gt;=500.000 TL → Rapor.</t>
  </si>
  <si>
    <t xml:space="preserve">  GİB KV BEYAN REHBERİ MART 2026 (No:606) | 461 AMATÖr SPONSORLUK SON NOT:
  KVK Md.10/1-b — Amatör spor %100 (461) | Profesyonel %50 (460 — ayrı dosya).
  4 Temel Koşul: Yazılı Sözleşme + Amatör Nitelik Belgesi + Fiili Ödeme + Reklam Ayrıştırması.
  ✗ YİAKV E.11 bilgi satırı. 460+461 birlikte varsa E.11'e toplam yazılır.
  YMM'nin en kritik görevi: Kulübün amatör niteliğini belgelemek (% oran buna bağlı).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</si>
</sst>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117A65"/>
      <name val="Arial"/>
    </font>
    <font>
      <sz val="9"/>
      <color rgb="FF1F3864"/>
      <name val="Arial"/>
    </font>
    <font>
      <b/>
      <sz val="9"/>
      <color rgb="FF117A65"/>
      <name val="Arial"/>
    </font>
    <font>
      <b/>
      <sz val="9"/>
      <color rgb="FF1B5E20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10"/>
      <color rgb="FF117A65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sz val="8"/>
      <color rgb="FF154360"/>
      <name val="Arial"/>
    </font>
    <font>
      <b/>
      <sz val="8"/>
      <color rgb="FF117A65"/>
      <name val="Arial"/>
    </font>
    <font>
      <sz val="8"/>
      <color rgb="FF1B5E20"/>
      <name val="Arial"/>
    </font>
    <font>
      <sz val="8"/>
      <color rgb="FF1F3864"/>
      <name val="Arial"/>
    </font>
    <font>
      <b/>
      <sz val="8"/>
      <color rgb="FFE65100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117A65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8F8F5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5F5E3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17A65"/>
      </left>
      <right style="thin">
        <color rgb="FF117A65"/>
      </right>
      <top style="thin">
        <color rgb="FF117A65"/>
      </top>
      <bottom style="thin">
        <color rgb="FF117A65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1" fontId="14" fillId="10" borderId="4" xfId="0" applyNumberFormat="1" applyFont="1" applyFill="1" applyBorder="1" applyAlignment="1">
      <alignment horizontal="center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3" fillId="10" borderId="4" xfId="0" applyFont="1" applyFill="1" applyBorder="1" applyAlignment="1">
      <alignment horizontal="center" vertical="center" wrapText="1"/>
    </xf>
    <xf numFmtId="3" fontId="16" fillId="2" borderId="4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center" wrapText="1"/>
    </xf>
    <xf numFmtId="3" fontId="17" fillId="2" borderId="8" xfId="0" applyNumberFormat="1" applyFont="1" applyFill="1" applyBorder="1" applyAlignment="1">
      <alignment horizontal="right" vertical="center" wrapText="1"/>
    </xf>
    <xf numFmtId="3" fontId="18" fillId="13" borderId="8" xfId="0" applyNumberFormat="1" applyFont="1" applyFill="1" applyBorder="1" applyAlignment="1">
      <alignment horizontal="right" vertical="center"/>
    </xf>
    <xf numFmtId="0" fontId="19" fillId="11" borderId="4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10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11" borderId="4" xfId="0" applyFill="1" applyBorder="1"/>
    <xf numFmtId="0" fontId="27" fillId="15" borderId="4" xfId="0" applyFont="1" applyFill="1" applyBorder="1" applyAlignment="1">
      <alignment horizontal="center" vertical="center" wrapText="1"/>
    </xf>
    <xf numFmtId="0" fontId="28" fillId="14" borderId="4" xfId="0" applyFont="1" applyFill="1" applyBorder="1" applyAlignment="1">
      <alignment horizontal="center" vertical="center" wrapText="1"/>
    </xf>
    <xf numFmtId="0" fontId="29" fillId="13" borderId="4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0" fontId="31" fillId="15" borderId="4" xfId="0" applyFont="1" applyFill="1" applyBorder="1" applyAlignment="1">
      <alignment horizontal="center" vertical="center" wrapText="1"/>
    </xf>
    <xf numFmtId="0" fontId="0" fillId="12" borderId="4" xfId="0" applyFill="1" applyBorder="1"/>
    <xf numFmtId="0" fontId="30" fillId="12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30" fillId="10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left" vertical="top" wrapText="1"/>
    </xf>
    <xf numFmtId="0" fontId="8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32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left" vertical="top" wrapText="1"/>
    </xf>
    <xf numFmtId="0" fontId="5" fillId="11" borderId="4" xfId="0" applyFont="1" applyFill="1" applyBorder="1" applyAlignment="1">
      <alignment horizontal="left" vertical="top" wrapText="1"/>
    </xf>
    <xf numFmtId="0" fontId="32" fillId="12" borderId="4" xfId="0" applyFont="1" applyFill="1" applyBorder="1" applyAlignment="1">
      <alignment horizontal="left" vertical="top" wrapText="1"/>
    </xf>
    <xf numFmtId="0" fontId="0" fillId="13" borderId="4" xfId="0" applyFill="1" applyBorder="1"/>
    <xf numFmtId="0" fontId="8" fillId="13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34" fillId="13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left" vertical="top" wrapText="1"/>
    </xf>
    <xf numFmtId="0" fontId="34" fillId="12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5" fillId="21" borderId="4" xfId="0" applyFont="1" applyFill="1" applyBorder="1" applyAlignment="1">
      <alignment horizontal="center" vertical="center" wrapText="1"/>
    </xf>
    <xf numFmtId="0" fontId="5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6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5" fillId="23" borderId="4" xfId="0" applyFont="1" applyFill="1" applyBorder="1" applyAlignment="1">
      <alignment horizontal="center" vertical="center" wrapText="1"/>
    </xf>
    <xf numFmtId="0" fontId="35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6" fillId="2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2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10" borderId="4" xfId="0" applyFill="1" applyBorder="1"/>
    <xf numFmtId="0" fontId="0" fillId="0" borderId="5" xfId="0" applyBorder="1"/>
    <xf numFmtId="0" fontId="11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11" fillId="15" borderId="4" xfId="0" applyFont="1" applyFill="1" applyBorder="1" applyAlignment="1">
      <alignment horizontal="left" vertical="center" wrapText="1"/>
    </xf>
    <xf numFmtId="0" fontId="9" fillId="15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13" fillId="11" borderId="4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11" fillId="14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left" vertical="center" wrapText="1"/>
    </xf>
    <xf numFmtId="0" fontId="9" fillId="14" borderId="4" xfId="0" applyFont="1" applyFill="1" applyBorder="1" applyAlignment="1">
      <alignment horizontal="left" vertical="center" wrapText="1"/>
    </xf>
    <xf numFmtId="0" fontId="23" fillId="13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top" wrapText="1"/>
    </xf>
    <xf numFmtId="0" fontId="26" fillId="11" borderId="4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8" fillId="12" borderId="4" xfId="0" applyFont="1" applyFill="1" applyBorder="1" applyAlignment="1">
      <alignment horizontal="left" vertical="center"/>
    </xf>
    <xf numFmtId="0" fontId="26" fillId="17" borderId="4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top" wrapText="1"/>
    </xf>
    <xf numFmtId="0" fontId="8" fillId="15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/>
    </xf>
    <xf numFmtId="0" fontId="26" fillId="14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6" fillId="15" borderId="1" xfId="0" applyFont="1" applyFill="1" applyBorder="1" applyAlignment="1">
      <alignment horizontal="left" vertical="center" wrapText="1"/>
    </xf>
    <xf numFmtId="0" fontId="33" fillId="4" borderId="1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B10D4C-9565-4DD8-AFD3-7009F29C822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0f83a62-ad6d-43f1-9cde-c8bbe4e7ce7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5" width="15" customWidth="1"/>
    <col min="6" max="6" width="14" customWidth="1"/>
    <col min="7" max="7" width="22" customWidth="1"/>
  </cols>
  <sheetData>
    <row r="1" spans="1:7" ht="44.05" customHeight="1" x14ac:dyDescent="0.55000000000000004">
      <c r="A1" s="90" t="s">
        <v>0</v>
      </c>
      <c r="B1" s="66"/>
      <c r="C1" s="66"/>
      <c r="D1" s="66"/>
      <c r="E1" s="66"/>
      <c r="F1" s="66"/>
      <c r="G1" s="67"/>
    </row>
    <row r="2" spans="1:7" ht="22" customHeight="1" x14ac:dyDescent="0.55000000000000004">
      <c r="A2" s="100" t="s">
        <v>1</v>
      </c>
      <c r="B2" s="66"/>
      <c r="C2" s="66"/>
      <c r="D2" s="66"/>
      <c r="E2" s="66"/>
      <c r="F2" s="66"/>
      <c r="G2" s="67"/>
    </row>
    <row r="3" spans="1:7" ht="40" customHeight="1" x14ac:dyDescent="0.55000000000000004">
      <c r="A3" s="92" t="s">
        <v>2</v>
      </c>
      <c r="B3" s="66"/>
      <c r="C3" s="66"/>
      <c r="D3" s="66"/>
      <c r="E3" s="66"/>
      <c r="F3" s="66"/>
      <c r="G3" s="67"/>
    </row>
    <row r="4" spans="1:7" ht="22" customHeight="1" x14ac:dyDescent="0.55000000000000004">
      <c r="A4" s="94" t="s">
        <v>3</v>
      </c>
      <c r="B4" s="66"/>
      <c r="C4" s="66"/>
      <c r="D4" s="66"/>
      <c r="E4" s="66"/>
      <c r="F4" s="66"/>
      <c r="G4" s="67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8" t="s">
        <v>4</v>
      </c>
      <c r="B6" s="66"/>
      <c r="C6" s="66"/>
      <c r="D6" s="66"/>
      <c r="E6" s="66"/>
      <c r="F6" s="66"/>
      <c r="G6" s="67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9" t="s">
        <v>8</v>
      </c>
      <c r="B8" s="71"/>
      <c r="C8" s="71"/>
      <c r="D8" s="69"/>
      <c r="E8" s="3" t="s">
        <v>9</v>
      </c>
      <c r="F8" s="85" t="s">
        <v>10</v>
      </c>
      <c r="G8" s="69"/>
    </row>
    <row r="9" spans="1:7" ht="28" customHeight="1" x14ac:dyDescent="0.55000000000000004">
      <c r="A9" s="89" t="s">
        <v>11</v>
      </c>
      <c r="B9" s="71"/>
      <c r="C9" s="71"/>
      <c r="D9" s="69"/>
      <c r="E9" s="3" t="s">
        <v>9</v>
      </c>
      <c r="F9" s="85" t="s">
        <v>12</v>
      </c>
      <c r="G9" s="69"/>
    </row>
    <row r="10" spans="1:7" ht="28" customHeight="1" x14ac:dyDescent="0.55000000000000004">
      <c r="A10" s="89" t="s">
        <v>13</v>
      </c>
      <c r="B10" s="71"/>
      <c r="C10" s="71"/>
      <c r="D10" s="69"/>
      <c r="E10" s="3" t="s">
        <v>9</v>
      </c>
      <c r="F10" s="85" t="s">
        <v>14</v>
      </c>
      <c r="G10" s="69"/>
    </row>
    <row r="11" spans="1:7" ht="28" customHeight="1" x14ac:dyDescent="0.55000000000000004">
      <c r="A11" s="89" t="s">
        <v>15</v>
      </c>
      <c r="B11" s="71"/>
      <c r="C11" s="71"/>
      <c r="D11" s="69"/>
      <c r="E11" s="3" t="s">
        <v>9</v>
      </c>
      <c r="F11" s="85" t="s">
        <v>16</v>
      </c>
      <c r="G11" s="69"/>
    </row>
    <row r="12" spans="1:7" ht="28" customHeight="1" x14ac:dyDescent="0.55000000000000004">
      <c r="A12" s="83" t="s">
        <v>17</v>
      </c>
      <c r="B12" s="71"/>
      <c r="C12" s="71"/>
      <c r="D12" s="69"/>
      <c r="E12" s="3" t="s">
        <v>9</v>
      </c>
      <c r="F12" s="101" t="s">
        <v>18</v>
      </c>
      <c r="G12" s="69"/>
    </row>
    <row r="13" spans="1:7" ht="28" customHeight="1" x14ac:dyDescent="0.55000000000000004">
      <c r="A13" s="73" t="s">
        <v>19</v>
      </c>
      <c r="B13" s="71"/>
      <c r="C13" s="71"/>
      <c r="D13" s="69"/>
      <c r="E13" s="3" t="s">
        <v>9</v>
      </c>
      <c r="F13" s="80" t="s">
        <v>20</v>
      </c>
      <c r="G13" s="69"/>
    </row>
    <row r="14" spans="1:7" ht="28" customHeight="1" x14ac:dyDescent="0.55000000000000004">
      <c r="A14" s="83" t="s">
        <v>21</v>
      </c>
      <c r="B14" s="71"/>
      <c r="C14" s="71"/>
      <c r="D14" s="69"/>
      <c r="E14" s="3" t="s">
        <v>9</v>
      </c>
      <c r="F14" s="101" t="s">
        <v>22</v>
      </c>
      <c r="G14" s="69"/>
    </row>
    <row r="15" spans="1:7" ht="24" customHeight="1" x14ac:dyDescent="0.55000000000000004">
      <c r="A15" s="77" t="s">
        <v>23</v>
      </c>
      <c r="B15" s="71"/>
      <c r="C15" s="71"/>
      <c r="D15" s="69"/>
      <c r="E15" s="4" t="str">
        <f>IF(AND(E8="EVET",E9="EVET",E10="EVET",E11="EVET"),"OK - Hesaplanabilir","HATA - Ön koşul eksik")</f>
        <v>OK - Hesaplanabilir</v>
      </c>
      <c r="F15" s="76" t="s">
        <v>24</v>
      </c>
      <c r="G15" s="69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5" t="s">
        <v>25</v>
      </c>
      <c r="B17" s="66"/>
      <c r="C17" s="66"/>
      <c r="D17" s="66"/>
      <c r="E17" s="66"/>
      <c r="F17" s="66"/>
      <c r="G17" s="67"/>
    </row>
    <row r="18" spans="1:7" ht="22" customHeight="1" x14ac:dyDescent="0.55000000000000004">
      <c r="A18" s="83" t="s">
        <v>26</v>
      </c>
      <c r="B18" s="69"/>
      <c r="C18" s="70"/>
      <c r="D18" s="71"/>
      <c r="E18" s="69"/>
      <c r="F18" s="87" t="s">
        <v>27</v>
      </c>
      <c r="G18" s="69"/>
    </row>
    <row r="19" spans="1:7" ht="22" customHeight="1" x14ac:dyDescent="0.55000000000000004">
      <c r="A19" s="73" t="s">
        <v>28</v>
      </c>
      <c r="B19" s="69"/>
      <c r="C19" s="70"/>
      <c r="D19" s="71"/>
      <c r="E19" s="69"/>
      <c r="F19" s="72" t="s">
        <v>29</v>
      </c>
      <c r="G19" s="69"/>
    </row>
    <row r="20" spans="1:7" ht="22" customHeight="1" x14ac:dyDescent="0.55000000000000004">
      <c r="A20" s="83" t="s">
        <v>30</v>
      </c>
      <c r="B20" s="69"/>
      <c r="C20" s="70"/>
      <c r="D20" s="71"/>
      <c r="E20" s="69"/>
      <c r="F20" s="87" t="s">
        <v>31</v>
      </c>
      <c r="G20" s="69"/>
    </row>
    <row r="21" spans="1:7" ht="22" customHeight="1" x14ac:dyDescent="0.55000000000000004">
      <c r="A21" s="73" t="s">
        <v>32</v>
      </c>
      <c r="B21" s="69"/>
      <c r="C21" s="70"/>
      <c r="D21" s="71"/>
      <c r="E21" s="69"/>
      <c r="F21" s="72" t="s">
        <v>33</v>
      </c>
      <c r="G21" s="69"/>
    </row>
    <row r="22" spans="1:7" ht="22" customHeight="1" x14ac:dyDescent="0.55000000000000004">
      <c r="A22" s="83" t="s">
        <v>34</v>
      </c>
      <c r="B22" s="69"/>
      <c r="C22" s="70"/>
      <c r="D22" s="71"/>
      <c r="E22" s="69"/>
      <c r="F22" s="87" t="s">
        <v>35</v>
      </c>
      <c r="G22" s="69"/>
    </row>
    <row r="23" spans="1:7" ht="22" customHeight="1" x14ac:dyDescent="0.55000000000000004">
      <c r="A23" s="73" t="s">
        <v>36</v>
      </c>
      <c r="B23" s="69"/>
      <c r="C23" s="70"/>
      <c r="D23" s="71"/>
      <c r="E23" s="69"/>
      <c r="F23" s="72" t="s">
        <v>37</v>
      </c>
      <c r="G23" s="69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4" customHeight="1" x14ac:dyDescent="0.55000000000000004">
      <c r="A26" s="65" t="s">
        <v>38</v>
      </c>
      <c r="B26" s="66"/>
      <c r="C26" s="66"/>
      <c r="D26" s="66"/>
      <c r="E26" s="66"/>
      <c r="F26" s="66"/>
      <c r="G26" s="67"/>
    </row>
    <row r="27" spans="1:7" ht="18" customHeight="1" x14ac:dyDescent="0.55000000000000004">
      <c r="A27" s="2"/>
      <c r="B27" s="2" t="s">
        <v>39</v>
      </c>
      <c r="C27" s="2"/>
      <c r="D27" s="2" t="s">
        <v>40</v>
      </c>
      <c r="E27" s="2"/>
      <c r="F27" s="2" t="s">
        <v>41</v>
      </c>
      <c r="G27" s="2" t="s">
        <v>42</v>
      </c>
    </row>
    <row r="28" spans="1:7" ht="26.05" customHeight="1" x14ac:dyDescent="0.55000000000000004">
      <c r="A28" s="83" t="s">
        <v>43</v>
      </c>
      <c r="B28" s="69"/>
      <c r="C28" s="5"/>
      <c r="D28" s="87" t="s">
        <v>44</v>
      </c>
      <c r="E28" s="69"/>
      <c r="F28" s="88" t="s">
        <v>45</v>
      </c>
      <c r="G28" s="69"/>
    </row>
    <row r="29" spans="1:7" ht="26.05" customHeight="1" x14ac:dyDescent="0.55000000000000004">
      <c r="A29" s="73" t="s">
        <v>46</v>
      </c>
      <c r="B29" s="69"/>
      <c r="C29" s="3" t="s">
        <v>47</v>
      </c>
      <c r="D29" s="72" t="s">
        <v>48</v>
      </c>
      <c r="E29" s="69"/>
      <c r="F29" s="68" t="s">
        <v>45</v>
      </c>
      <c r="G29" s="69"/>
    </row>
    <row r="30" spans="1:7" ht="26.05" customHeight="1" x14ac:dyDescent="0.55000000000000004">
      <c r="A30" s="83" t="s">
        <v>49</v>
      </c>
      <c r="B30" s="69"/>
      <c r="C30" s="3" t="s">
        <v>50</v>
      </c>
      <c r="D30" s="87" t="s">
        <v>51</v>
      </c>
      <c r="E30" s="69"/>
      <c r="F30" s="88" t="s">
        <v>45</v>
      </c>
      <c r="G30" s="69"/>
    </row>
    <row r="31" spans="1:7" ht="26.05" customHeight="1" x14ac:dyDescent="0.55000000000000004">
      <c r="A31" s="105" t="s">
        <v>52</v>
      </c>
      <c r="B31" s="69"/>
      <c r="C31" s="3" t="s">
        <v>53</v>
      </c>
      <c r="D31" s="72" t="s">
        <v>54</v>
      </c>
      <c r="E31" s="69"/>
      <c r="F31" s="68" t="s">
        <v>55</v>
      </c>
      <c r="G31" s="69"/>
    </row>
    <row r="32" spans="1:7" ht="26.05" customHeight="1" x14ac:dyDescent="0.55000000000000004">
      <c r="A32" s="83" t="s">
        <v>56</v>
      </c>
      <c r="B32" s="69"/>
      <c r="C32" s="5"/>
      <c r="D32" s="87" t="s">
        <v>57</v>
      </c>
      <c r="E32" s="69"/>
      <c r="F32" s="88" t="s">
        <v>45</v>
      </c>
      <c r="G32" s="69"/>
    </row>
    <row r="33" spans="1:7" ht="26.05" customHeight="1" x14ac:dyDescent="0.55000000000000004">
      <c r="A33" s="73" t="s">
        <v>58</v>
      </c>
      <c r="B33" s="69"/>
      <c r="C33" s="5"/>
      <c r="D33" s="72" t="s">
        <v>59</v>
      </c>
      <c r="E33" s="69"/>
      <c r="F33" s="68" t="s">
        <v>60</v>
      </c>
      <c r="G33" s="69"/>
    </row>
    <row r="34" spans="1:7" ht="26.05" customHeight="1" x14ac:dyDescent="0.55000000000000004">
      <c r="A34" s="93" t="s">
        <v>61</v>
      </c>
      <c r="B34" s="69"/>
      <c r="C34" s="5"/>
      <c r="D34" s="87" t="s">
        <v>62</v>
      </c>
      <c r="E34" s="69"/>
      <c r="F34" s="88" t="s">
        <v>63</v>
      </c>
      <c r="G34" s="69"/>
    </row>
    <row r="35" spans="1:7" ht="26.05" customHeight="1" x14ac:dyDescent="0.55000000000000004">
      <c r="A35" s="73" t="s">
        <v>64</v>
      </c>
      <c r="B35" s="69"/>
      <c r="C35" s="5"/>
      <c r="D35" s="72" t="s">
        <v>65</v>
      </c>
      <c r="E35" s="69"/>
      <c r="F35" s="68" t="s">
        <v>66</v>
      </c>
      <c r="G35" s="69"/>
    </row>
    <row r="36" spans="1:7" ht="5.05" customHeight="1" x14ac:dyDescent="0.55000000000000004">
      <c r="A36" s="1"/>
      <c r="B36" s="1"/>
      <c r="C36" s="1"/>
      <c r="D36" s="1"/>
      <c r="E36" s="1"/>
      <c r="F36" s="1"/>
      <c r="G36" s="1"/>
    </row>
    <row r="37" spans="1:7" ht="24" customHeight="1" x14ac:dyDescent="0.55000000000000004">
      <c r="A37" s="65" t="s">
        <v>67</v>
      </c>
      <c r="B37" s="66"/>
      <c r="C37" s="66"/>
      <c r="D37" s="66"/>
      <c r="E37" s="66"/>
      <c r="F37" s="66"/>
      <c r="G37" s="67"/>
    </row>
    <row r="38" spans="1:7" ht="22" customHeight="1" x14ac:dyDescent="0.55000000000000004">
      <c r="A38" s="95" t="s">
        <v>68</v>
      </c>
      <c r="B38" s="71"/>
      <c r="C38" s="71"/>
      <c r="D38" s="71"/>
      <c r="E38" s="71"/>
      <c r="F38" s="71"/>
      <c r="G38" s="69"/>
    </row>
    <row r="39" spans="1:7" ht="18" customHeight="1" x14ac:dyDescent="0.55000000000000004">
      <c r="A39" s="6" t="s">
        <v>69</v>
      </c>
      <c r="B39" s="6" t="s">
        <v>70</v>
      </c>
      <c r="C39" s="6" t="s">
        <v>71</v>
      </c>
      <c r="D39" s="6" t="s">
        <v>72</v>
      </c>
      <c r="E39" s="6" t="s">
        <v>73</v>
      </c>
      <c r="F39" s="6" t="s">
        <v>74</v>
      </c>
      <c r="G39" s="6" t="s">
        <v>75</v>
      </c>
    </row>
    <row r="40" spans="1:7" ht="24" customHeight="1" x14ac:dyDescent="0.55000000000000004">
      <c r="A40" s="7"/>
      <c r="B40" s="5"/>
      <c r="C40" s="8"/>
      <c r="D40" s="9">
        <v>100</v>
      </c>
      <c r="E40" s="10">
        <f t="shared" ref="E40:E47" si="0">IF(C40&gt;0,C40*D40/100,0)</f>
        <v>0</v>
      </c>
      <c r="F40" s="11"/>
      <c r="G40" s="11"/>
    </row>
    <row r="41" spans="1:7" ht="24" customHeight="1" x14ac:dyDescent="0.55000000000000004">
      <c r="A41" s="7"/>
      <c r="B41" s="5"/>
      <c r="C41" s="8"/>
      <c r="D41" s="9">
        <v>100</v>
      </c>
      <c r="E41" s="10">
        <f t="shared" si="0"/>
        <v>0</v>
      </c>
      <c r="F41" s="11"/>
      <c r="G41" s="11"/>
    </row>
    <row r="42" spans="1:7" ht="24" customHeight="1" x14ac:dyDescent="0.55000000000000004">
      <c r="A42" s="7"/>
      <c r="B42" s="5"/>
      <c r="C42" s="8"/>
      <c r="D42" s="9">
        <v>100</v>
      </c>
      <c r="E42" s="10">
        <f t="shared" si="0"/>
        <v>0</v>
      </c>
      <c r="F42" s="11"/>
      <c r="G42" s="11"/>
    </row>
    <row r="43" spans="1:7" ht="24" customHeight="1" x14ac:dyDescent="0.55000000000000004">
      <c r="A43" s="7"/>
      <c r="B43" s="5"/>
      <c r="C43" s="8"/>
      <c r="D43" s="9">
        <v>100</v>
      </c>
      <c r="E43" s="10">
        <f t="shared" si="0"/>
        <v>0</v>
      </c>
      <c r="F43" s="11"/>
      <c r="G43" s="11"/>
    </row>
    <row r="44" spans="1:7" ht="24" customHeight="1" x14ac:dyDescent="0.55000000000000004">
      <c r="A44" s="7"/>
      <c r="B44" s="5"/>
      <c r="C44" s="8"/>
      <c r="D44" s="9">
        <v>100</v>
      </c>
      <c r="E44" s="10">
        <f t="shared" si="0"/>
        <v>0</v>
      </c>
      <c r="F44" s="11"/>
      <c r="G44" s="11"/>
    </row>
    <row r="45" spans="1:7" ht="24" customHeight="1" x14ac:dyDescent="0.55000000000000004">
      <c r="A45" s="7"/>
      <c r="B45" s="5"/>
      <c r="C45" s="8"/>
      <c r="D45" s="9">
        <v>100</v>
      </c>
      <c r="E45" s="10">
        <f t="shared" si="0"/>
        <v>0</v>
      </c>
      <c r="F45" s="11"/>
      <c r="G45" s="11"/>
    </row>
    <row r="46" spans="1:7" ht="24" customHeight="1" x14ac:dyDescent="0.55000000000000004">
      <c r="A46" s="7"/>
      <c r="B46" s="5"/>
      <c r="C46" s="8"/>
      <c r="D46" s="9">
        <v>100</v>
      </c>
      <c r="E46" s="10">
        <f t="shared" si="0"/>
        <v>0</v>
      </c>
      <c r="F46" s="11"/>
      <c r="G46" s="11"/>
    </row>
    <row r="47" spans="1:7" ht="24" customHeight="1" x14ac:dyDescent="0.55000000000000004">
      <c r="A47" s="7"/>
      <c r="B47" s="5"/>
      <c r="C47" s="8"/>
      <c r="D47" s="9">
        <v>100</v>
      </c>
      <c r="E47" s="10">
        <f t="shared" si="0"/>
        <v>0</v>
      </c>
      <c r="F47" s="11"/>
      <c r="G47" s="11"/>
    </row>
    <row r="48" spans="1:7" ht="30" customHeight="1" x14ac:dyDescent="0.55000000000000004">
      <c r="A48" s="84" t="s">
        <v>76</v>
      </c>
      <c r="B48" s="69"/>
      <c r="C48" s="12">
        <f>SUM(C40:C47)</f>
        <v>0</v>
      </c>
      <c r="D48" s="13" t="s">
        <v>77</v>
      </c>
      <c r="E48" s="14">
        <f>SUM(E40:E47)</f>
        <v>0</v>
      </c>
      <c r="F48" s="91" t="s">
        <v>78</v>
      </c>
      <c r="G48" s="69"/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24" customHeight="1" x14ac:dyDescent="0.55000000000000004">
      <c r="A50" s="65" t="s">
        <v>79</v>
      </c>
      <c r="B50" s="66"/>
      <c r="C50" s="66"/>
      <c r="D50" s="66"/>
      <c r="E50" s="66"/>
      <c r="F50" s="66"/>
      <c r="G50" s="67"/>
    </row>
    <row r="51" spans="1:7" ht="18" customHeight="1" x14ac:dyDescent="0.55000000000000004">
      <c r="A51" s="2"/>
      <c r="B51" s="2" t="s">
        <v>80</v>
      </c>
      <c r="C51" s="2"/>
      <c r="D51" s="2" t="s">
        <v>81</v>
      </c>
      <c r="E51" s="2"/>
      <c r="F51" s="2" t="s">
        <v>41</v>
      </c>
      <c r="G51" s="2" t="s">
        <v>82</v>
      </c>
    </row>
    <row r="52" spans="1:7" ht="28" customHeight="1" x14ac:dyDescent="0.55000000000000004">
      <c r="A52" s="83" t="s">
        <v>83</v>
      </c>
      <c r="B52" s="69"/>
      <c r="C52" s="15">
        <f>C48</f>
        <v>0</v>
      </c>
      <c r="D52" s="87" t="s">
        <v>84</v>
      </c>
      <c r="E52" s="69"/>
      <c r="F52" s="101"/>
      <c r="G52" s="69"/>
    </row>
    <row r="53" spans="1:7" ht="28" customHeight="1" x14ac:dyDescent="0.55000000000000004">
      <c r="A53" s="83" t="s">
        <v>85</v>
      </c>
      <c r="B53" s="69"/>
      <c r="C53" s="16" t="s">
        <v>86</v>
      </c>
      <c r="D53" s="87" t="s">
        <v>87</v>
      </c>
      <c r="E53" s="69"/>
      <c r="F53" s="101"/>
      <c r="G53" s="69"/>
    </row>
    <row r="54" spans="1:7" ht="28" customHeight="1" x14ac:dyDescent="0.55000000000000004">
      <c r="A54" s="74" t="s">
        <v>88</v>
      </c>
      <c r="B54" s="69"/>
      <c r="C54" s="15">
        <f>E48</f>
        <v>0</v>
      </c>
      <c r="D54" s="102" t="s">
        <v>89</v>
      </c>
      <c r="E54" s="69"/>
      <c r="F54" s="86" t="s">
        <v>90</v>
      </c>
      <c r="G54" s="69"/>
    </row>
    <row r="55" spans="1:7" ht="28" customHeight="1" x14ac:dyDescent="0.55000000000000004">
      <c r="A55" s="97" t="s">
        <v>91</v>
      </c>
      <c r="B55" s="69"/>
      <c r="C55" s="17" t="s">
        <v>92</v>
      </c>
      <c r="D55" s="99" t="s">
        <v>93</v>
      </c>
      <c r="E55" s="69"/>
      <c r="F55" s="103" t="s">
        <v>90</v>
      </c>
      <c r="G55" s="69"/>
    </row>
    <row r="56" spans="1:7" ht="28" customHeight="1" x14ac:dyDescent="0.55000000000000004">
      <c r="A56" s="79" t="s">
        <v>94</v>
      </c>
      <c r="B56" s="69"/>
      <c r="C56" s="18" t="s">
        <v>95</v>
      </c>
      <c r="D56" s="81" t="s">
        <v>96</v>
      </c>
      <c r="E56" s="69"/>
      <c r="F56" s="82" t="s">
        <v>97</v>
      </c>
      <c r="G56" s="69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75" t="s">
        <v>98</v>
      </c>
      <c r="B58" s="71"/>
      <c r="C58" s="71"/>
      <c r="D58" s="69"/>
      <c r="E58" s="19">
        <f>C54</f>
        <v>0</v>
      </c>
      <c r="F58" s="104" t="s">
        <v>99</v>
      </c>
      <c r="G58" s="69"/>
    </row>
    <row r="59" spans="1:7" ht="44.05" customHeight="1" x14ac:dyDescent="0.55000000000000004">
      <c r="A59" s="78" t="s">
        <v>100</v>
      </c>
      <c r="B59" s="66"/>
      <c r="C59" s="66"/>
      <c r="D59" s="66"/>
      <c r="E59" s="66"/>
      <c r="F59" s="66"/>
      <c r="G59" s="67"/>
    </row>
    <row r="60" spans="1:7" ht="28" customHeight="1" x14ac:dyDescent="0.55000000000000004">
      <c r="A60" s="96" t="s">
        <v>101</v>
      </c>
      <c r="B60" s="66"/>
      <c r="C60" s="66"/>
      <c r="D60" s="66"/>
      <c r="E60" s="66"/>
      <c r="F60" s="66"/>
      <c r="G60" s="67"/>
    </row>
  </sheetData>
  <mergeCells count="89">
    <mergeCell ref="A60:G60"/>
    <mergeCell ref="A55:B55"/>
    <mergeCell ref="F8:G8"/>
    <mergeCell ref="A21:B21"/>
    <mergeCell ref="A6:G6"/>
    <mergeCell ref="A32:B32"/>
    <mergeCell ref="D28:E28"/>
    <mergeCell ref="F22:G22"/>
    <mergeCell ref="A23:B23"/>
    <mergeCell ref="D55:E55"/>
    <mergeCell ref="D30:E30"/>
    <mergeCell ref="A12:D12"/>
    <mergeCell ref="A50:G50"/>
    <mergeCell ref="F14:G14"/>
    <mergeCell ref="D54:E54"/>
    <mergeCell ref="A14:D14"/>
    <mergeCell ref="A1:G1"/>
    <mergeCell ref="F31:G31"/>
    <mergeCell ref="F28:G28"/>
    <mergeCell ref="F9:G9"/>
    <mergeCell ref="F48:G48"/>
    <mergeCell ref="A3:G3"/>
    <mergeCell ref="D29:E29"/>
    <mergeCell ref="A34:B34"/>
    <mergeCell ref="A8:D8"/>
    <mergeCell ref="A4:G4"/>
    <mergeCell ref="A38:G38"/>
    <mergeCell ref="A10:D10"/>
    <mergeCell ref="F21:G21"/>
    <mergeCell ref="A2:G2"/>
    <mergeCell ref="F11:G11"/>
    <mergeCell ref="F12:G12"/>
    <mergeCell ref="A9:D9"/>
    <mergeCell ref="F30:G30"/>
    <mergeCell ref="F20:G20"/>
    <mergeCell ref="F18:G18"/>
    <mergeCell ref="F33:G33"/>
    <mergeCell ref="A11:D11"/>
    <mergeCell ref="D32:E32"/>
    <mergeCell ref="F32:G32"/>
    <mergeCell ref="A18:B18"/>
    <mergeCell ref="C19:E19"/>
    <mergeCell ref="A20:B20"/>
    <mergeCell ref="A29:B29"/>
    <mergeCell ref="A31:B31"/>
    <mergeCell ref="F10:G10"/>
    <mergeCell ref="F54:G54"/>
    <mergeCell ref="D34:E34"/>
    <mergeCell ref="F19:G19"/>
    <mergeCell ref="C22:E22"/>
    <mergeCell ref="F34:G34"/>
    <mergeCell ref="D53:E53"/>
    <mergeCell ref="D52:E52"/>
    <mergeCell ref="F35:G35"/>
    <mergeCell ref="F52:G52"/>
    <mergeCell ref="F53:G53"/>
    <mergeCell ref="A59:G59"/>
    <mergeCell ref="A56:B56"/>
    <mergeCell ref="A33:B33"/>
    <mergeCell ref="F23:G23"/>
    <mergeCell ref="C18:E18"/>
    <mergeCell ref="D56:E56"/>
    <mergeCell ref="F56:G56"/>
    <mergeCell ref="A22:B22"/>
    <mergeCell ref="A53:B53"/>
    <mergeCell ref="A35:B35"/>
    <mergeCell ref="A37:G37"/>
    <mergeCell ref="D33:E33"/>
    <mergeCell ref="A19:B19"/>
    <mergeCell ref="A28:B28"/>
    <mergeCell ref="A26:G26"/>
    <mergeCell ref="C20:E20"/>
    <mergeCell ref="A54:B54"/>
    <mergeCell ref="A58:D58"/>
    <mergeCell ref="F15:G15"/>
    <mergeCell ref="C23:E23"/>
    <mergeCell ref="A15:D15"/>
    <mergeCell ref="D35:E35"/>
    <mergeCell ref="A48:B48"/>
    <mergeCell ref="A30:B30"/>
    <mergeCell ref="A52:B52"/>
    <mergeCell ref="F55:G55"/>
    <mergeCell ref="F58:G58"/>
    <mergeCell ref="A17:G17"/>
    <mergeCell ref="F29:G29"/>
    <mergeCell ref="C21:E21"/>
    <mergeCell ref="D31:E31"/>
    <mergeCell ref="A13:D13"/>
    <mergeCell ref="F13:G13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0">
    <dataValidation type="list" sqref="E8" xr:uid="{00000000-0002-0000-0000-000000000000}">
      <formula1>"EVET,HAYIR-Sözleşme Yok"</formula1>
    </dataValidation>
    <dataValidation type="list" sqref="E9" xr:uid="{00000000-0002-0000-0000-000001000000}">
      <formula1>"EVET,HAYIR-Profesyonel (%50 → 460 Ayrı Dosya)"</formula1>
    </dataValidation>
    <dataValidation type="list" sqref="E10" xr:uid="{00000000-0002-0000-0000-000002000000}">
      <formula1>"EVET,HAYIR-Kapsam Dışı"</formula1>
    </dataValidation>
    <dataValidation type="list" sqref="E11" xr:uid="{00000000-0002-0000-0000-000003000000}">
      <formula1>"EVET,HAYIR-Ödeme Yapılmadı"</formula1>
    </dataValidation>
    <dataValidation type="list" sqref="E12" xr:uid="{00000000-0002-0000-0000-000004000000}">
      <formula1>"EVET,HAYIR-Ayrıştırma Eksik"</formula1>
    </dataValidation>
    <dataValidation type="list" sqref="E13" xr:uid="{00000000-0002-0000-0000-000005000000}">
      <formula1>"EVET,HAYIR-Yanlış Sınıflandırma"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"Amatör Spor Kulübü,Okul Spor Kulübü,Gençlik Spor Derneği,Amatör Lisanslı Sporcu,Spor Federasyonu (Amatör Dal),Diğer"</formula1>
    </dataValidation>
    <dataValidation type="list" sqref="C30 B40:B47" xr:uid="{00000000-0002-0000-0000-000008000000}">
      <formula1>"Atletizm,Bisiklet,Binicilik,Buz Pateni,Dağcılık,Engelli Spor,Eskrim,Futbol (Amatör),Golf,Halk Oyunları,Halter,Hentbol (Amatör),Jimnastik,Kayak,Kısa Alan Futbolu,Kürek,Masa Tenisi,Okçuluk,Satranç,Su Topu,Taekwondo,Triatlon,Yüzme,Diğer Amatör Spor"</formula1>
    </dataValidation>
    <dataValidation type="list" sqref="C31" xr:uid="{00000000-0002-0000-0000-000009000000}">
      <formula1>"Federasyon Amatör Teyit Yazısı,Amatör Lisans Belgesi,İl/İlçe Spor Müdürlüğü Belgesi,Okul Yönetimi Belgesi,Dernek Tescil Belgesi"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13" t="s">
        <v>102</v>
      </c>
      <c r="B1" s="66"/>
      <c r="C1" s="66"/>
      <c r="D1" s="66"/>
      <c r="E1" s="66"/>
      <c r="F1" s="66"/>
      <c r="G1" s="67"/>
    </row>
    <row r="2" spans="1:7" ht="20.05" customHeight="1" x14ac:dyDescent="0.55000000000000004">
      <c r="A2" s="118" t="s">
        <v>103</v>
      </c>
      <c r="B2" s="71"/>
      <c r="C2" s="71"/>
      <c r="D2" s="71"/>
      <c r="E2" s="71"/>
      <c r="F2" s="71"/>
      <c r="G2" s="69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8" t="s">
        <v>104</v>
      </c>
      <c r="B4" s="66"/>
      <c r="C4" s="66"/>
      <c r="D4" s="66"/>
      <c r="E4" s="66"/>
      <c r="F4" s="66"/>
      <c r="G4" s="67"/>
    </row>
    <row r="5" spans="1:7" ht="22" customHeight="1" x14ac:dyDescent="0.55000000000000004">
      <c r="A5" s="111" t="s">
        <v>105</v>
      </c>
      <c r="B5" s="71"/>
      <c r="C5" s="69"/>
      <c r="D5" s="20" t="str">
        <f>'VERİ GİRİŞİ'!E15</f>
        <v>OK - Hesaplanabilir</v>
      </c>
      <c r="E5" s="80" t="s">
        <v>106</v>
      </c>
      <c r="F5" s="71"/>
      <c r="G5" s="69"/>
    </row>
    <row r="6" spans="1:7" ht="22" customHeight="1" x14ac:dyDescent="0.55000000000000004">
      <c r="A6" s="116" t="s">
        <v>107</v>
      </c>
      <c r="B6" s="71"/>
      <c r="C6" s="69"/>
      <c r="D6" s="20" t="str">
        <f>'VERİ GİRİŞİ'!E9</f>
        <v>EVET</v>
      </c>
      <c r="E6" s="101" t="s">
        <v>108</v>
      </c>
      <c r="F6" s="71"/>
      <c r="G6" s="69"/>
    </row>
    <row r="7" spans="1:7" ht="22" customHeight="1" x14ac:dyDescent="0.55000000000000004">
      <c r="A7" s="111" t="s">
        <v>109</v>
      </c>
      <c r="B7" s="71"/>
      <c r="C7" s="69"/>
      <c r="D7" s="20">
        <f>'VERİ GİRİŞİ'!C52</f>
        <v>0</v>
      </c>
      <c r="E7" s="80" t="s">
        <v>110</v>
      </c>
      <c r="F7" s="71"/>
      <c r="G7" s="69"/>
    </row>
    <row r="8" spans="1:7" ht="22" customHeight="1" x14ac:dyDescent="0.55000000000000004">
      <c r="A8" s="77" t="s">
        <v>111</v>
      </c>
      <c r="B8" s="71"/>
      <c r="C8" s="69"/>
      <c r="D8" s="21">
        <f>'VERİ GİRİŞİ'!C54</f>
        <v>0</v>
      </c>
      <c r="E8" s="86"/>
      <c r="F8" s="71"/>
      <c r="G8" s="69"/>
    </row>
    <row r="9" spans="1:7" ht="22" customHeight="1" x14ac:dyDescent="0.55000000000000004">
      <c r="A9" s="115" t="s">
        <v>112</v>
      </c>
      <c r="B9" s="71"/>
      <c r="C9" s="69"/>
      <c r="D9" s="18" t="s">
        <v>113</v>
      </c>
      <c r="E9" s="82" t="s">
        <v>114</v>
      </c>
      <c r="F9" s="71"/>
      <c r="G9" s="69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65" t="s">
        <v>115</v>
      </c>
      <c r="B11" s="66"/>
      <c r="C11" s="66"/>
      <c r="D11" s="66"/>
      <c r="E11" s="66"/>
      <c r="F11" s="66"/>
      <c r="G11" s="67"/>
    </row>
    <row r="12" spans="1:7" ht="80.05" customHeight="1" x14ac:dyDescent="0.55000000000000004">
      <c r="A12" s="117" t="s">
        <v>116</v>
      </c>
      <c r="B12" s="66"/>
      <c r="C12" s="66"/>
      <c r="D12" s="66"/>
      <c r="E12" s="66"/>
      <c r="F12" s="66"/>
      <c r="G12" s="67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65" t="s">
        <v>117</v>
      </c>
      <c r="B14" s="66"/>
      <c r="C14" s="66"/>
      <c r="D14" s="66"/>
      <c r="E14" s="66"/>
      <c r="F14" s="66"/>
      <c r="G14" s="67"/>
    </row>
    <row r="15" spans="1:7" ht="18" customHeight="1" x14ac:dyDescent="0.55000000000000004">
      <c r="A15" s="6"/>
      <c r="B15" s="6" t="s">
        <v>118</v>
      </c>
      <c r="C15" s="6" t="s">
        <v>119</v>
      </c>
      <c r="D15" s="6" t="s">
        <v>120</v>
      </c>
      <c r="E15" s="6" t="s">
        <v>121</v>
      </c>
      <c r="F15" s="6" t="s">
        <v>122</v>
      </c>
      <c r="G15" s="6" t="s">
        <v>112</v>
      </c>
    </row>
    <row r="16" spans="1:7" ht="22" customHeight="1" x14ac:dyDescent="0.55000000000000004">
      <c r="A16" s="22" t="s">
        <v>123</v>
      </c>
      <c r="B16" s="23"/>
      <c r="C16" s="24" t="s">
        <v>124</v>
      </c>
      <c r="D16" s="25" t="s">
        <v>125</v>
      </c>
      <c r="E16" s="26" t="s">
        <v>77</v>
      </c>
      <c r="F16" s="27" t="s">
        <v>126</v>
      </c>
      <c r="G16" s="28" t="s">
        <v>127</v>
      </c>
    </row>
    <row r="17" spans="1:7" ht="22" customHeight="1" x14ac:dyDescent="0.55000000000000004">
      <c r="A17" s="22" t="s">
        <v>128</v>
      </c>
      <c r="B17" s="29"/>
      <c r="C17" s="24" t="s">
        <v>129</v>
      </c>
      <c r="D17" s="25" t="s">
        <v>130</v>
      </c>
      <c r="E17" s="26" t="s">
        <v>131</v>
      </c>
      <c r="F17" s="30" t="s">
        <v>132</v>
      </c>
      <c r="G17" s="26" t="s">
        <v>133</v>
      </c>
    </row>
    <row r="18" spans="1:7" ht="22" customHeight="1" x14ac:dyDescent="0.55000000000000004">
      <c r="A18" s="22" t="s">
        <v>134</v>
      </c>
      <c r="B18" s="23"/>
      <c r="C18" s="24" t="s">
        <v>135</v>
      </c>
      <c r="D18" s="25" t="s">
        <v>136</v>
      </c>
      <c r="E18" s="26" t="s">
        <v>137</v>
      </c>
      <c r="F18" s="27" t="s">
        <v>138</v>
      </c>
      <c r="G18" s="26" t="s">
        <v>139</v>
      </c>
    </row>
    <row r="19" spans="1:7" ht="22" customHeight="1" x14ac:dyDescent="0.55000000000000004">
      <c r="A19" s="22" t="s">
        <v>45</v>
      </c>
      <c r="B19" s="29"/>
      <c r="C19" s="24" t="s">
        <v>140</v>
      </c>
      <c r="D19" s="25" t="s">
        <v>140</v>
      </c>
      <c r="E19" s="26" t="s">
        <v>141</v>
      </c>
      <c r="F19" s="30" t="s">
        <v>142</v>
      </c>
      <c r="G19" s="26" t="s">
        <v>143</v>
      </c>
    </row>
    <row r="20" spans="1:7" ht="22" customHeight="1" x14ac:dyDescent="0.55000000000000004">
      <c r="A20" s="22" t="s">
        <v>144</v>
      </c>
      <c r="B20" s="23"/>
      <c r="C20" s="24" t="s">
        <v>145</v>
      </c>
      <c r="D20" s="25" t="s">
        <v>145</v>
      </c>
      <c r="E20" s="26" t="s">
        <v>146</v>
      </c>
      <c r="F20" s="27" t="s">
        <v>147</v>
      </c>
      <c r="G20" s="26" t="s">
        <v>143</v>
      </c>
    </row>
    <row r="21" spans="1:7" ht="22" customHeight="1" x14ac:dyDescent="0.55000000000000004">
      <c r="A21" s="22" t="s">
        <v>148</v>
      </c>
      <c r="B21" s="29"/>
      <c r="C21" s="24" t="s">
        <v>149</v>
      </c>
      <c r="D21" s="25" t="s">
        <v>150</v>
      </c>
      <c r="E21" s="26" t="s">
        <v>151</v>
      </c>
      <c r="F21" s="30" t="s">
        <v>152</v>
      </c>
      <c r="G21" s="26" t="s">
        <v>143</v>
      </c>
    </row>
    <row r="22" spans="1:7" ht="5.05" customHeight="1" x14ac:dyDescent="0.55000000000000004">
      <c r="A22" s="1"/>
      <c r="B22" s="1"/>
      <c r="C22" s="1"/>
      <c r="D22" s="1"/>
      <c r="E22" s="1"/>
      <c r="F22" s="1"/>
      <c r="G22" s="1"/>
    </row>
    <row r="23" spans="1:7" ht="22" customHeight="1" x14ac:dyDescent="0.55000000000000004">
      <c r="A23" s="65" t="s">
        <v>153</v>
      </c>
      <c r="B23" s="66"/>
      <c r="C23" s="66"/>
      <c r="D23" s="66"/>
      <c r="E23" s="66"/>
      <c r="F23" s="66"/>
      <c r="G23" s="67"/>
    </row>
    <row r="24" spans="1:7" ht="18" customHeight="1" x14ac:dyDescent="0.55000000000000004">
      <c r="A24" s="2"/>
      <c r="B24" s="2" t="s">
        <v>154</v>
      </c>
      <c r="C24" s="2"/>
      <c r="D24" s="2" t="s">
        <v>41</v>
      </c>
      <c r="E24" s="2"/>
      <c r="F24" s="2" t="s">
        <v>155</v>
      </c>
      <c r="G24" s="2"/>
    </row>
    <row r="25" spans="1:7" ht="20.05" customHeight="1" x14ac:dyDescent="0.55000000000000004">
      <c r="A25" s="22" t="s">
        <v>156</v>
      </c>
      <c r="B25" s="106" t="s">
        <v>157</v>
      </c>
      <c r="C25" s="69"/>
      <c r="D25" s="112" t="s">
        <v>158</v>
      </c>
      <c r="E25" s="69"/>
      <c r="F25" s="33" t="s">
        <v>159</v>
      </c>
      <c r="G25" s="29"/>
    </row>
    <row r="26" spans="1:7" ht="20.05" customHeight="1" x14ac:dyDescent="0.55000000000000004">
      <c r="A26" s="22" t="s">
        <v>160</v>
      </c>
      <c r="B26" s="106" t="s">
        <v>161</v>
      </c>
      <c r="C26" s="69"/>
      <c r="D26" s="112" t="s">
        <v>162</v>
      </c>
      <c r="E26" s="69"/>
      <c r="F26" s="33" t="s">
        <v>159</v>
      </c>
      <c r="G26" s="23"/>
    </row>
    <row r="27" spans="1:7" ht="20.05" customHeight="1" x14ac:dyDescent="0.55000000000000004">
      <c r="A27" s="22" t="s">
        <v>163</v>
      </c>
      <c r="B27" s="106" t="s">
        <v>164</v>
      </c>
      <c r="C27" s="69"/>
      <c r="D27" s="112" t="s">
        <v>165</v>
      </c>
      <c r="E27" s="69"/>
      <c r="F27" s="33" t="s">
        <v>159</v>
      </c>
      <c r="G27" s="29"/>
    </row>
    <row r="28" spans="1:7" ht="20.05" customHeight="1" x14ac:dyDescent="0.55000000000000004">
      <c r="A28" s="22" t="s">
        <v>166</v>
      </c>
      <c r="B28" s="106" t="s">
        <v>167</v>
      </c>
      <c r="C28" s="69"/>
      <c r="D28" s="112" t="s">
        <v>168</v>
      </c>
      <c r="E28" s="69"/>
      <c r="F28" s="33" t="s">
        <v>159</v>
      </c>
      <c r="G28" s="23"/>
    </row>
    <row r="29" spans="1:7" ht="20.05" customHeight="1" x14ac:dyDescent="0.55000000000000004">
      <c r="A29" s="22" t="s">
        <v>169</v>
      </c>
      <c r="B29" s="109" t="s">
        <v>170</v>
      </c>
      <c r="C29" s="69"/>
      <c r="D29" s="110" t="s">
        <v>171</v>
      </c>
      <c r="E29" s="69"/>
      <c r="F29" s="33" t="s">
        <v>159</v>
      </c>
      <c r="G29" s="29"/>
    </row>
    <row r="30" spans="1:7" ht="20.05" customHeight="1" x14ac:dyDescent="0.55000000000000004">
      <c r="A30" s="22" t="s">
        <v>172</v>
      </c>
      <c r="B30" s="114" t="s">
        <v>173</v>
      </c>
      <c r="C30" s="69"/>
      <c r="D30" s="107" t="s">
        <v>174</v>
      </c>
      <c r="E30" s="69"/>
      <c r="F30" s="33" t="s">
        <v>159</v>
      </c>
      <c r="G30" s="23"/>
    </row>
    <row r="31" spans="1:7" ht="20.05" customHeight="1" x14ac:dyDescent="0.55000000000000004">
      <c r="A31" s="22" t="s">
        <v>175</v>
      </c>
      <c r="B31" s="109" t="s">
        <v>176</v>
      </c>
      <c r="C31" s="69"/>
      <c r="D31" s="110" t="s">
        <v>177</v>
      </c>
      <c r="E31" s="69"/>
      <c r="F31" s="33" t="s">
        <v>159</v>
      </c>
      <c r="G31" s="29"/>
    </row>
    <row r="32" spans="1:7" ht="20.05" customHeight="1" x14ac:dyDescent="0.55000000000000004">
      <c r="A32" s="22" t="s">
        <v>178</v>
      </c>
      <c r="B32" s="114" t="s">
        <v>179</v>
      </c>
      <c r="C32" s="69"/>
      <c r="D32" s="107" t="s">
        <v>180</v>
      </c>
      <c r="E32" s="69"/>
      <c r="F32" s="33" t="s">
        <v>159</v>
      </c>
      <c r="G32" s="23"/>
    </row>
    <row r="33" spans="1:7" ht="20.05" customHeight="1" x14ac:dyDescent="0.55000000000000004">
      <c r="A33" s="22" t="s">
        <v>181</v>
      </c>
      <c r="B33" s="109" t="s">
        <v>182</v>
      </c>
      <c r="C33" s="69"/>
      <c r="D33" s="110" t="s">
        <v>183</v>
      </c>
      <c r="E33" s="69"/>
      <c r="F33" s="33" t="s">
        <v>159</v>
      </c>
      <c r="G33" s="29"/>
    </row>
    <row r="34" spans="1:7" ht="20.05" customHeight="1" x14ac:dyDescent="0.55000000000000004">
      <c r="A34" s="22" t="s">
        <v>184</v>
      </c>
      <c r="B34" s="114" t="s">
        <v>185</v>
      </c>
      <c r="C34" s="69"/>
      <c r="D34" s="107" t="s">
        <v>186</v>
      </c>
      <c r="E34" s="69"/>
      <c r="F34" s="33" t="s">
        <v>159</v>
      </c>
      <c r="G34" s="23"/>
    </row>
    <row r="35" spans="1:7" ht="20.05" customHeight="1" x14ac:dyDescent="0.55000000000000004">
      <c r="A35" s="22" t="s">
        <v>187</v>
      </c>
      <c r="B35" s="109" t="s">
        <v>188</v>
      </c>
      <c r="C35" s="69"/>
      <c r="D35" s="110" t="s">
        <v>189</v>
      </c>
      <c r="E35" s="69"/>
      <c r="F35" s="33" t="s">
        <v>159</v>
      </c>
      <c r="G35" s="29"/>
    </row>
    <row r="36" spans="1:7" ht="20.05" customHeight="1" x14ac:dyDescent="0.55000000000000004">
      <c r="A36" s="22" t="s">
        <v>190</v>
      </c>
      <c r="B36" s="114" t="s">
        <v>191</v>
      </c>
      <c r="C36" s="69"/>
      <c r="D36" s="107" t="s">
        <v>192</v>
      </c>
      <c r="E36" s="69"/>
      <c r="F36" s="33" t="s">
        <v>159</v>
      </c>
      <c r="G36" s="23"/>
    </row>
    <row r="37" spans="1:7" ht="20.05" customHeight="1" x14ac:dyDescent="0.55000000000000004">
      <c r="A37" s="22" t="s">
        <v>193</v>
      </c>
      <c r="B37" s="109" t="s">
        <v>194</v>
      </c>
      <c r="C37" s="69"/>
      <c r="D37" s="110" t="s">
        <v>22</v>
      </c>
      <c r="E37" s="69"/>
      <c r="F37" s="33" t="s">
        <v>159</v>
      </c>
      <c r="G37" s="29"/>
    </row>
  </sheetData>
  <mergeCells count="43">
    <mergeCell ref="A2:G2"/>
    <mergeCell ref="B32:C32"/>
    <mergeCell ref="B26:C26"/>
    <mergeCell ref="A7:C7"/>
    <mergeCell ref="D26:E26"/>
    <mergeCell ref="A23:G23"/>
    <mergeCell ref="A1:G1"/>
    <mergeCell ref="B29:C29"/>
    <mergeCell ref="B34:C34"/>
    <mergeCell ref="B37:C37"/>
    <mergeCell ref="B28:C28"/>
    <mergeCell ref="D37:E37"/>
    <mergeCell ref="A9:C9"/>
    <mergeCell ref="D28:E28"/>
    <mergeCell ref="D25:E25"/>
    <mergeCell ref="B30:C30"/>
    <mergeCell ref="D30:E30"/>
    <mergeCell ref="B33:C33"/>
    <mergeCell ref="E5:G5"/>
    <mergeCell ref="D33:E33"/>
    <mergeCell ref="D29:E29"/>
    <mergeCell ref="A6:C6"/>
    <mergeCell ref="D36:E36"/>
    <mergeCell ref="E6:G6"/>
    <mergeCell ref="A5:C5"/>
    <mergeCell ref="A8:C8"/>
    <mergeCell ref="D27:E27"/>
    <mergeCell ref="D32:E32"/>
    <mergeCell ref="A11:G11"/>
    <mergeCell ref="E7:G7"/>
    <mergeCell ref="E8:G8"/>
    <mergeCell ref="A12:G12"/>
    <mergeCell ref="B36:C36"/>
    <mergeCell ref="B35:C35"/>
    <mergeCell ref="D35:E35"/>
    <mergeCell ref="A14:G14"/>
    <mergeCell ref="B25:C25"/>
    <mergeCell ref="D34:E34"/>
    <mergeCell ref="A4:G4"/>
    <mergeCell ref="E9:G9"/>
    <mergeCell ref="B31:C31"/>
    <mergeCell ref="B27:C27"/>
    <mergeCell ref="D31:E31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5" t="s">
        <v>195</v>
      </c>
      <c r="B1" s="66"/>
      <c r="C1" s="66"/>
      <c r="D1" s="66"/>
      <c r="E1" s="66"/>
      <c r="F1" s="66"/>
      <c r="G1" s="67"/>
    </row>
    <row r="2" spans="1:7" ht="24" customHeight="1" x14ac:dyDescent="0.55000000000000004">
      <c r="A2" s="65" t="s">
        <v>196</v>
      </c>
      <c r="B2" s="66"/>
      <c r="C2" s="66"/>
      <c r="D2" s="66"/>
      <c r="E2" s="66"/>
      <c r="F2" s="66"/>
      <c r="G2" s="67"/>
    </row>
    <row r="3" spans="1:7" ht="18" customHeight="1" x14ac:dyDescent="0.55000000000000004">
      <c r="A3" s="36"/>
      <c r="B3" s="36" t="s">
        <v>197</v>
      </c>
      <c r="C3" s="36" t="s">
        <v>198</v>
      </c>
      <c r="D3" s="36" t="s">
        <v>82</v>
      </c>
      <c r="E3" s="36" t="s">
        <v>199</v>
      </c>
      <c r="F3" s="36" t="s">
        <v>200</v>
      </c>
      <c r="G3" s="36" t="s">
        <v>201</v>
      </c>
    </row>
    <row r="4" spans="1:7" ht="24" customHeight="1" x14ac:dyDescent="0.55000000000000004">
      <c r="A4" s="37" t="s">
        <v>199</v>
      </c>
      <c r="B4" s="37" t="s">
        <v>202</v>
      </c>
      <c r="C4" s="37" t="s">
        <v>203</v>
      </c>
      <c r="D4" s="37" t="s">
        <v>204</v>
      </c>
      <c r="E4" s="37" t="s">
        <v>205</v>
      </c>
      <c r="F4" s="37" t="s">
        <v>77</v>
      </c>
      <c r="G4" s="37" t="s">
        <v>206</v>
      </c>
    </row>
    <row r="5" spans="1:7" ht="24" customHeight="1" x14ac:dyDescent="0.55000000000000004">
      <c r="A5" s="38" t="s">
        <v>200</v>
      </c>
      <c r="B5" s="38" t="s">
        <v>202</v>
      </c>
      <c r="C5" s="38" t="s">
        <v>207</v>
      </c>
      <c r="D5" s="38" t="s">
        <v>208</v>
      </c>
      <c r="E5" s="38" t="s">
        <v>77</v>
      </c>
      <c r="F5" s="38" t="s">
        <v>205</v>
      </c>
      <c r="G5" s="38" t="s">
        <v>209</v>
      </c>
    </row>
    <row r="6" spans="1:7" ht="56.05" customHeight="1" x14ac:dyDescent="0.55000000000000004">
      <c r="A6" s="117" t="s">
        <v>210</v>
      </c>
      <c r="B6" s="66"/>
      <c r="C6" s="66"/>
      <c r="D6" s="66"/>
      <c r="E6" s="66"/>
      <c r="F6" s="66"/>
      <c r="G6" s="67"/>
    </row>
    <row r="7" spans="1:7" ht="24" customHeight="1" x14ac:dyDescent="0.55000000000000004">
      <c r="A7" s="98" t="s">
        <v>211</v>
      </c>
      <c r="B7" s="66"/>
      <c r="C7" s="66"/>
      <c r="D7" s="66"/>
      <c r="E7" s="66"/>
      <c r="F7" s="66"/>
      <c r="G7" s="67"/>
    </row>
    <row r="8" spans="1:7" ht="18" customHeight="1" x14ac:dyDescent="0.55000000000000004">
      <c r="A8" s="36"/>
      <c r="B8" s="36" t="s">
        <v>197</v>
      </c>
      <c r="C8" s="36" t="s">
        <v>198</v>
      </c>
      <c r="D8" s="36" t="s">
        <v>82</v>
      </c>
      <c r="E8" s="36" t="s">
        <v>199</v>
      </c>
      <c r="F8" s="36" t="s">
        <v>200</v>
      </c>
      <c r="G8" s="36" t="s">
        <v>201</v>
      </c>
    </row>
    <row r="9" spans="1:7" ht="22" customHeight="1" x14ac:dyDescent="0.55000000000000004">
      <c r="A9" s="37" t="s">
        <v>199</v>
      </c>
      <c r="B9" s="37" t="s">
        <v>212</v>
      </c>
      <c r="C9" s="37" t="s">
        <v>213</v>
      </c>
      <c r="D9" s="37" t="s">
        <v>214</v>
      </c>
      <c r="E9" s="37" t="s">
        <v>215</v>
      </c>
      <c r="F9" s="37" t="s">
        <v>77</v>
      </c>
      <c r="G9" s="37" t="s">
        <v>45</v>
      </c>
    </row>
    <row r="10" spans="1:7" ht="22" customHeight="1" x14ac:dyDescent="0.55000000000000004">
      <c r="A10" s="38" t="s">
        <v>200</v>
      </c>
      <c r="B10" s="38" t="s">
        <v>212</v>
      </c>
      <c r="C10" s="38" t="s">
        <v>207</v>
      </c>
      <c r="D10" s="38" t="s">
        <v>216</v>
      </c>
      <c r="E10" s="38" t="s">
        <v>77</v>
      </c>
      <c r="F10" s="38" t="s">
        <v>215</v>
      </c>
      <c r="G10" s="38" t="s">
        <v>60</v>
      </c>
    </row>
    <row r="11" spans="1:7" ht="22" customHeight="1" x14ac:dyDescent="0.55000000000000004">
      <c r="A11" s="37" t="s">
        <v>77</v>
      </c>
      <c r="B11" s="37" t="s">
        <v>217</v>
      </c>
      <c r="C11" s="37" t="s">
        <v>218</v>
      </c>
      <c r="D11" s="37" t="s">
        <v>219</v>
      </c>
      <c r="E11" s="37" t="s">
        <v>220</v>
      </c>
      <c r="F11" s="37" t="s">
        <v>77</v>
      </c>
      <c r="G11" s="37" t="s">
        <v>221</v>
      </c>
    </row>
    <row r="12" spans="1:7" ht="22" customHeight="1" x14ac:dyDescent="0.55000000000000004">
      <c r="A12" s="38" t="s">
        <v>77</v>
      </c>
      <c r="B12" s="38" t="s">
        <v>122</v>
      </c>
      <c r="C12" s="38" t="s">
        <v>222</v>
      </c>
      <c r="D12" s="38" t="s">
        <v>223</v>
      </c>
      <c r="E12" s="38" t="s">
        <v>224</v>
      </c>
      <c r="F12" s="38" t="s">
        <v>77</v>
      </c>
      <c r="G12" s="38" t="s">
        <v>225</v>
      </c>
    </row>
    <row r="13" spans="1:7" ht="22" customHeight="1" x14ac:dyDescent="0.55000000000000004">
      <c r="A13" s="37" t="s">
        <v>77</v>
      </c>
      <c r="B13" s="37" t="s">
        <v>226</v>
      </c>
      <c r="C13" s="37" t="s">
        <v>227</v>
      </c>
      <c r="D13" s="37" t="s">
        <v>228</v>
      </c>
      <c r="E13" s="37" t="s">
        <v>229</v>
      </c>
      <c r="F13" s="37" t="s">
        <v>77</v>
      </c>
      <c r="G13" s="37" t="s">
        <v>230</v>
      </c>
    </row>
    <row r="14" spans="1:7" ht="48" customHeight="1" x14ac:dyDescent="0.55000000000000004">
      <c r="A14" s="119" t="s">
        <v>231</v>
      </c>
      <c r="B14" s="66"/>
      <c r="C14" s="66"/>
      <c r="D14" s="66"/>
      <c r="E14" s="66"/>
      <c r="F14" s="66"/>
      <c r="G14" s="67"/>
    </row>
  </sheetData>
  <mergeCells count="5">
    <mergeCell ref="A14:G14"/>
    <mergeCell ref="A1:G1"/>
    <mergeCell ref="A6:G6"/>
    <mergeCell ref="A2:G2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5" t="s">
        <v>232</v>
      </c>
      <c r="B1" s="66"/>
      <c r="C1" s="66"/>
      <c r="D1" s="66"/>
      <c r="E1" s="66"/>
      <c r="F1" s="66"/>
      <c r="G1" s="67"/>
    </row>
    <row r="2" spans="1:7" ht="20.05" customHeight="1" x14ac:dyDescent="0.55000000000000004">
      <c r="A2" s="100" t="s">
        <v>233</v>
      </c>
      <c r="B2" s="66"/>
      <c r="C2" s="66"/>
      <c r="D2" s="66"/>
      <c r="E2" s="66"/>
      <c r="F2" s="66"/>
      <c r="G2" s="67"/>
    </row>
    <row r="3" spans="1:7" ht="18" customHeight="1" x14ac:dyDescent="0.55000000000000004">
      <c r="A3" s="36" t="s">
        <v>234</v>
      </c>
      <c r="B3" s="36" t="s">
        <v>235</v>
      </c>
      <c r="C3" s="36" t="s">
        <v>236</v>
      </c>
      <c r="D3" s="36" t="s">
        <v>237</v>
      </c>
    </row>
    <row r="4" spans="1:7" ht="68.05" customHeight="1" x14ac:dyDescent="0.55000000000000004">
      <c r="A4" s="22" t="s">
        <v>238</v>
      </c>
      <c r="B4" s="35" t="s">
        <v>239</v>
      </c>
      <c r="C4" s="39" t="s">
        <v>240</v>
      </c>
      <c r="D4" s="40" t="s">
        <v>241</v>
      </c>
    </row>
    <row r="5" spans="1:7" ht="68.05" customHeight="1" x14ac:dyDescent="0.55000000000000004">
      <c r="A5" s="41" t="s">
        <v>242</v>
      </c>
      <c r="B5" s="31" t="s">
        <v>243</v>
      </c>
      <c r="C5" s="32" t="s">
        <v>244</v>
      </c>
      <c r="D5" s="42" t="s">
        <v>245</v>
      </c>
    </row>
    <row r="6" spans="1:7" ht="68.05" customHeight="1" x14ac:dyDescent="0.55000000000000004">
      <c r="A6" s="22" t="s">
        <v>246</v>
      </c>
      <c r="B6" s="43" t="s">
        <v>247</v>
      </c>
      <c r="C6" s="39" t="s">
        <v>248</v>
      </c>
      <c r="D6" s="40" t="s">
        <v>249</v>
      </c>
    </row>
    <row r="7" spans="1:7" ht="52" customHeight="1" x14ac:dyDescent="0.55000000000000004">
      <c r="A7" s="22" t="s">
        <v>250</v>
      </c>
      <c r="B7" s="35" t="s">
        <v>251</v>
      </c>
      <c r="C7" s="39" t="s">
        <v>252</v>
      </c>
      <c r="D7" s="40" t="s">
        <v>253</v>
      </c>
    </row>
    <row r="8" spans="1:7" ht="68.05" customHeight="1" x14ac:dyDescent="0.55000000000000004">
      <c r="A8" s="22" t="s">
        <v>254</v>
      </c>
      <c r="B8" s="34" t="s">
        <v>255</v>
      </c>
      <c r="C8" s="39" t="s">
        <v>256</v>
      </c>
      <c r="D8" s="44" t="s">
        <v>257</v>
      </c>
    </row>
    <row r="9" spans="1:7" ht="40" customHeight="1" x14ac:dyDescent="0.55000000000000004">
      <c r="A9" s="120" t="s">
        <v>258</v>
      </c>
      <c r="B9" s="66"/>
      <c r="C9" s="66"/>
      <c r="D9" s="67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5" t="s">
        <v>259</v>
      </c>
      <c r="B1" s="66"/>
      <c r="C1" s="66"/>
      <c r="D1" s="66"/>
      <c r="E1" s="66"/>
      <c r="F1" s="66"/>
      <c r="G1" s="67"/>
    </row>
    <row r="2" spans="1:7" ht="20.05" customHeight="1" x14ac:dyDescent="0.55000000000000004">
      <c r="A2" s="100" t="s">
        <v>260</v>
      </c>
      <c r="B2" s="66"/>
      <c r="C2" s="66"/>
      <c r="D2" s="66"/>
      <c r="E2" s="66"/>
      <c r="F2" s="66"/>
      <c r="G2" s="67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2" t="s">
        <v>261</v>
      </c>
      <c r="B4" s="66"/>
      <c r="C4" s="66"/>
      <c r="D4" s="66"/>
      <c r="E4" s="66"/>
      <c r="F4" s="66"/>
      <c r="G4" s="67"/>
    </row>
    <row r="5" spans="1:7" ht="18" customHeight="1" x14ac:dyDescent="0.55000000000000004">
      <c r="A5" s="36"/>
      <c r="B5" s="36" t="s">
        <v>262</v>
      </c>
      <c r="C5" s="36" t="s">
        <v>263</v>
      </c>
      <c r="D5" s="36" t="s">
        <v>41</v>
      </c>
      <c r="E5" s="36" t="s">
        <v>264</v>
      </c>
      <c r="F5" s="36"/>
    </row>
    <row r="6" spans="1:7" ht="38.049999999999997" customHeight="1" x14ac:dyDescent="0.55000000000000004">
      <c r="A6" s="45"/>
      <c r="B6" s="46" t="s">
        <v>265</v>
      </c>
      <c r="C6" s="47" t="s">
        <v>266</v>
      </c>
      <c r="D6" s="48" t="s">
        <v>267</v>
      </c>
      <c r="E6" s="49" t="s">
        <v>268</v>
      </c>
      <c r="F6" s="45"/>
    </row>
    <row r="7" spans="1:7" ht="38.049999999999997" customHeight="1" x14ac:dyDescent="0.55000000000000004">
      <c r="A7" s="29"/>
      <c r="B7" s="50" t="s">
        <v>269</v>
      </c>
      <c r="C7" s="51" t="s">
        <v>270</v>
      </c>
      <c r="D7" s="48" t="s">
        <v>271</v>
      </c>
      <c r="E7" s="52" t="s">
        <v>272</v>
      </c>
      <c r="F7" s="29"/>
    </row>
    <row r="8" spans="1:7" ht="38.049999999999997" customHeight="1" x14ac:dyDescent="0.55000000000000004">
      <c r="A8" s="45"/>
      <c r="B8" s="46" t="s">
        <v>273</v>
      </c>
      <c r="C8" s="47" t="s">
        <v>274</v>
      </c>
      <c r="D8" s="48" t="s">
        <v>275</v>
      </c>
      <c r="E8" s="49" t="s">
        <v>276</v>
      </c>
      <c r="F8" s="45"/>
    </row>
    <row r="9" spans="1:7" ht="38.049999999999997" customHeight="1" x14ac:dyDescent="0.55000000000000004">
      <c r="A9" s="29"/>
      <c r="B9" s="50" t="s">
        <v>277</v>
      </c>
      <c r="C9" s="34" t="s">
        <v>278</v>
      </c>
      <c r="D9" s="48" t="s">
        <v>279</v>
      </c>
      <c r="E9" s="52" t="s">
        <v>280</v>
      </c>
      <c r="F9" s="29"/>
    </row>
    <row r="10" spans="1:7" ht="38.049999999999997" customHeight="1" x14ac:dyDescent="0.55000000000000004">
      <c r="A10" s="45"/>
      <c r="B10" s="46" t="s">
        <v>281</v>
      </c>
      <c r="C10" s="53" t="s">
        <v>282</v>
      </c>
      <c r="D10" s="48" t="s">
        <v>283</v>
      </c>
      <c r="E10" s="49" t="s">
        <v>284</v>
      </c>
      <c r="F10" s="45"/>
    </row>
    <row r="11" spans="1:7" ht="38.049999999999997" customHeight="1" x14ac:dyDescent="0.55000000000000004">
      <c r="A11" s="29"/>
      <c r="B11" s="50" t="s">
        <v>285</v>
      </c>
      <c r="C11" s="34" t="s">
        <v>286</v>
      </c>
      <c r="D11" s="48" t="s">
        <v>287</v>
      </c>
      <c r="E11" s="52" t="s">
        <v>288</v>
      </c>
      <c r="F11" s="29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121" t="s">
        <v>289</v>
      </c>
      <c r="B13" s="66"/>
      <c r="C13" s="66"/>
      <c r="D13" s="66"/>
      <c r="E13" s="66"/>
      <c r="F13" s="66"/>
      <c r="G13" s="67"/>
    </row>
    <row r="14" spans="1:7" ht="18" customHeight="1" x14ac:dyDescent="0.55000000000000004">
      <c r="A14" s="54"/>
      <c r="B14" s="54" t="s">
        <v>262</v>
      </c>
      <c r="C14" s="54" t="s">
        <v>5</v>
      </c>
      <c r="D14" s="54" t="s">
        <v>290</v>
      </c>
      <c r="E14" s="54" t="s">
        <v>291</v>
      </c>
      <c r="F14" s="54"/>
    </row>
    <row r="15" spans="1:7" ht="28" customHeight="1" x14ac:dyDescent="0.55000000000000004">
      <c r="A15" s="55"/>
      <c r="B15" s="56" t="s">
        <v>292</v>
      </c>
      <c r="C15" s="57" t="s">
        <v>293</v>
      </c>
      <c r="D15" s="58" t="s">
        <v>294</v>
      </c>
      <c r="E15" s="59" t="s">
        <v>295</v>
      </c>
      <c r="F15" s="55"/>
    </row>
    <row r="16" spans="1:7" ht="28" customHeight="1" x14ac:dyDescent="0.55000000000000004">
      <c r="A16" s="55"/>
      <c r="B16" s="56" t="s">
        <v>296</v>
      </c>
      <c r="C16" s="57" t="s">
        <v>297</v>
      </c>
      <c r="D16" s="58" t="s">
        <v>298</v>
      </c>
      <c r="E16" s="59" t="s">
        <v>295</v>
      </c>
      <c r="F16" s="55"/>
    </row>
    <row r="17" spans="1:7" ht="28" customHeight="1" x14ac:dyDescent="0.55000000000000004">
      <c r="A17" s="55"/>
      <c r="B17" s="56" t="s">
        <v>299</v>
      </c>
      <c r="C17" s="57" t="s">
        <v>300</v>
      </c>
      <c r="D17" s="58" t="s">
        <v>301</v>
      </c>
      <c r="E17" s="59" t="s">
        <v>295</v>
      </c>
      <c r="F17" s="55"/>
    </row>
    <row r="18" spans="1:7" ht="28" customHeight="1" x14ac:dyDescent="0.55000000000000004">
      <c r="A18" s="55"/>
      <c r="B18" s="56" t="s">
        <v>302</v>
      </c>
      <c r="C18" s="57" t="s">
        <v>303</v>
      </c>
      <c r="D18" s="58" t="s">
        <v>304</v>
      </c>
      <c r="E18" s="59" t="s">
        <v>295</v>
      </c>
      <c r="F18" s="55"/>
    </row>
    <row r="19" spans="1:7" ht="28" customHeight="1" x14ac:dyDescent="0.55000000000000004">
      <c r="A19" s="60"/>
      <c r="B19" s="61" t="s">
        <v>305</v>
      </c>
      <c r="C19" s="62" t="s">
        <v>306</v>
      </c>
      <c r="D19" s="63" t="s">
        <v>307</v>
      </c>
      <c r="E19" s="64" t="s">
        <v>295</v>
      </c>
      <c r="F19" s="60"/>
    </row>
    <row r="20" spans="1:7" ht="28" customHeight="1" x14ac:dyDescent="0.55000000000000004">
      <c r="A20" s="60"/>
      <c r="B20" s="61" t="s">
        <v>308</v>
      </c>
      <c r="C20" s="62" t="s">
        <v>309</v>
      </c>
      <c r="D20" s="63" t="s">
        <v>310</v>
      </c>
      <c r="E20" s="64" t="s">
        <v>295</v>
      </c>
      <c r="F20" s="60"/>
    </row>
    <row r="21" spans="1:7" ht="28" customHeight="1" x14ac:dyDescent="0.55000000000000004">
      <c r="A21" s="55"/>
      <c r="B21" s="56" t="s">
        <v>311</v>
      </c>
      <c r="C21" s="57" t="s">
        <v>312</v>
      </c>
      <c r="D21" s="58" t="s">
        <v>313</v>
      </c>
      <c r="E21" s="59" t="s">
        <v>295</v>
      </c>
      <c r="F21" s="55"/>
    </row>
    <row r="22" spans="1:7" ht="28" customHeight="1" x14ac:dyDescent="0.55000000000000004">
      <c r="A22" s="60"/>
      <c r="B22" s="61" t="s">
        <v>314</v>
      </c>
      <c r="C22" s="62" t="s">
        <v>315</v>
      </c>
      <c r="D22" s="63" t="s">
        <v>316</v>
      </c>
      <c r="E22" s="64" t="s">
        <v>295</v>
      </c>
      <c r="F22" s="60"/>
    </row>
    <row r="23" spans="1:7" ht="28" customHeight="1" x14ac:dyDescent="0.55000000000000004">
      <c r="A23" s="60"/>
      <c r="B23" s="61" t="s">
        <v>317</v>
      </c>
      <c r="C23" s="62" t="s">
        <v>318</v>
      </c>
      <c r="D23" s="63" t="s">
        <v>319</v>
      </c>
      <c r="E23" s="64" t="s">
        <v>295</v>
      </c>
      <c r="F23" s="60"/>
    </row>
    <row r="24" spans="1:7" ht="28" customHeight="1" x14ac:dyDescent="0.55000000000000004">
      <c r="A24" s="60"/>
      <c r="B24" s="61" t="s">
        <v>320</v>
      </c>
      <c r="C24" s="62" t="s">
        <v>321</v>
      </c>
      <c r="D24" s="63" t="s">
        <v>322</v>
      </c>
      <c r="E24" s="64" t="s">
        <v>295</v>
      </c>
      <c r="F24" s="60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60" customHeight="1" x14ac:dyDescent="0.55000000000000004">
      <c r="A26" s="120" t="s">
        <v>323</v>
      </c>
      <c r="B26" s="66"/>
      <c r="C26" s="66"/>
      <c r="D26" s="66"/>
      <c r="E26" s="66"/>
      <c r="F26" s="67"/>
    </row>
  </sheetData>
  <mergeCells count="5">
    <mergeCell ref="A13:G13"/>
    <mergeCell ref="A1:G1"/>
    <mergeCell ref="A4:G4"/>
    <mergeCell ref="A2:G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2026-04-05T18:40:18Z</dcterms:created>
  <dcterms:modified xsi:type="dcterms:W3CDTF">2026-04-05T18:43:57Z</dcterms:modified>
</cp:coreProperties>
</file>