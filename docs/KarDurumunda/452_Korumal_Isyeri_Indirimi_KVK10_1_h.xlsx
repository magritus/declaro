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KARIN BULUNMASI HALİNDE/"/>
    </mc:Choice>
  </mc:AlternateContent>
  <xr:revisionPtr revIDLastSave="0" documentId="8_{A8C65FF2-8B88-4D67-9DD6-4B7B3B286445}"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2" l="1"/>
  <c r="D9" i="2"/>
  <c r="D7" i="2"/>
  <c r="D6" i="2"/>
  <c r="C51" i="1"/>
  <c r="E47" i="1"/>
  <c r="D8" i="2" s="1"/>
  <c r="E45" i="1"/>
  <c r="D45" i="1"/>
  <c r="C52" i="1" s="1"/>
  <c r="F44" i="1"/>
  <c r="E44" i="1"/>
  <c r="F43" i="1"/>
  <c r="E43" i="1"/>
  <c r="F42" i="1"/>
  <c r="E42" i="1"/>
  <c r="F41" i="1"/>
  <c r="E41" i="1"/>
  <c r="F40" i="1"/>
  <c r="E40" i="1"/>
  <c r="F39" i="1"/>
  <c r="E39" i="1"/>
  <c r="F38" i="1"/>
  <c r="E38" i="1"/>
  <c r="F37" i="1"/>
  <c r="F45" i="1" s="1"/>
  <c r="E37" i="1"/>
  <c r="C32" i="1"/>
  <c r="E14" i="1"/>
  <c r="D5" i="2" s="1"/>
  <c r="E58" i="1" l="1"/>
  <c r="C54" i="1"/>
</calcChain>
</file>

<file path=xl/sharedStrings.xml><?xml version="1.0" encoding="utf-8"?>
<sst xmlns="http://schemas.openxmlformats.org/spreadsheetml/2006/main" count="315" uniqueCount="255">
  <si>
    <t>452 – 5378 S.K. KORUMAL İŞYERİ İNDİRİMİ | KVK Mad. 10/1-h | ENGELLİ İSTİHDAM TEŞVİKİ | YMM TASDİK</t>
  </si>
  <si>
    <t>Beyanname 452 | GİB KV Beyan Rehberi Mart 2026 (No:606) | Kazancın Bulunması Halinde | ✗ YİAKV</t>
  </si>
  <si>
    <t xml:space="preserve">  KVK Md.10/1-h — 5378 SAYILI ENGELLİLER KANUNU'NA GÖRE KURULAN KORUMAL İŞYERİ İNDİRİMİ:
  5378 sayılı Engelliler Hakkında Kanun kapsamında kurulan KORUMAL İŞYERLERİNDE
  çalıştırılan ZİHİNSEL veya RUHSAL engelli sigortalılar için, diğer kişi ve kurumlarca
  karşılanan tutarlar dahil, her bir engelli çalışan için yıllık olarak hesaplanan
  PRİME ESAS KAZANÇ TUTARININ %100'Ü nispetinde AYRIYETEN indirim yapılır.
  ★ KAPSAM KOŞULLARI (DÖRÜ BİRDEN ZORUNLU):
  ① İŞYERİ: 5378 s.K. kapsamında KORUMAL İŞYERİ statüsü almış olmalı (kuruluş izni)
  ② ÇALIŞAN: Zihinsel veya ruhsal engelli sigortalı — yalnızca bu iki engel türü
  ③ ASGARİ SAYI: En az 3 engelli çalışan istihdam ediliyor olmalı
  ④ TUTAR: Her engelli çalışan için yıllık prime esas kazanç × %100 (ilave indirim)
  ★ YİAKV: DÜŞÜLEMEZ — E.11 bilgi satırı.</t>
  </si>
  <si>
    <t xml:space="preserve">  ✗ YİAKV: 452 DÜŞÜLEMEZ — E.11. ★ SADECE ZİHİNSEL VEYA RUHSAL ENGELLİ: Fiziksel engelli çalışanlar bu kapsamda değildir. ★ 'AYRIYETEN': Bu indirim normal gider indirimlerine ek olarak uygulanır. İşverenin zaten gider yazdığı prim tutarları için ek %100 indirim hakkı doğar.</t>
  </si>
  <si>
    <t>A0. KAPSAM VE NİTELİK UYGUNLUK ÖN KONTROLÜ — KVK Md.10/1-h KORUMAL İŞYERİ İNDİRİMİ</t>
  </si>
  <si>
    <t>Kontrol Sorusu</t>
  </si>
  <si>
    <t>Yanıt</t>
  </si>
  <si>
    <t>YMM Tasdik Notu</t>
  </si>
  <si>
    <t>A0.1  ★ İşyeri 5378 s.K. kapsamında KORUMAL İŞYERİ statüsü aldı mı?</t>
  </si>
  <si>
    <t>EVET</t>
  </si>
  <si>
    <t>Korumalı işyeri kuruluş izni zorunludur. Aile ve Sosyal Hizmetler Bakanlığı tarafından verilen kuruluş izni aranır. İzin olmadan 452 uygulanamaz.</t>
  </si>
  <si>
    <t>A0.2  ★ Çalışanlar ZİHİNSEL veya RUHSAL ENGELLİ sigortalılar mı?</t>
  </si>
  <si>
    <t>KAPSAM: Yalnızca zihinsel engelli + ruhsal engelli çalışanlar. FİZİKSEL engelli → Bu kapsama girmez. Sağlık kurulu raporu ile engel türü teyit edilmeli.</t>
  </si>
  <si>
    <t>A0.3  ★ Korumalı işyerinde en az 3 engelli çalışan istihdam ediliyor mu?</t>
  </si>
  <si>
    <t>Dönem boyunca kesintisiz en az 3 engelli çalışan şartı. 3 kişinin altına düşülürse indirim hakkı risk altına girer.</t>
  </si>
  <si>
    <t>A0.4  Engelli çalışanların prime esas kazançları SGK'ya bildiriliyor mu?</t>
  </si>
  <si>
    <t>Prime esas kazanç SGK işyeri bildirgeleri ve bordro kayıtlarıyla desteklenmeli. İndirim: Yıllık prime esas kazanç toplamının %100'ü.</t>
  </si>
  <si>
    <t>A0.5  ✗ YİAKV E.11'de bilgi satırı olarak gösterildi mi?</t>
  </si>
  <si>
    <t>452 YİAKV matrahından düşülemez — E.11 bilgi.</t>
  </si>
  <si>
    <t>A0.6  YMM Tasdik Raporu gereksinimi değerlendirildi mi?</t>
  </si>
  <si>
    <t>&gt;=500.000 TL → YMM raporu.</t>
  </si>
  <si>
    <t>A0.7  Tasdik Uygunluk Sonucu</t>
  </si>
  <si>
    <t>★ A0.1 korumalı işyeri izni | A0.2 zihinsel/ruhsal engelli | A0.3 min. 3 kişi | A0.4 SGK bildirimi.</t>
  </si>
  <si>
    <t>A. GENEL BİLGİLER</t>
  </si>
  <si>
    <t>Kurumun Unvanı</t>
  </si>
  <si>
    <t>Tam ticaret unvanı</t>
  </si>
  <si>
    <t>VKN</t>
  </si>
  <si>
    <t>10 haneli VKN</t>
  </si>
  <si>
    <t>Hesap Dönemi</t>
  </si>
  <si>
    <t>01.01.2025 – 31.12.2025</t>
  </si>
  <si>
    <t>KV Oranı (%)</t>
  </si>
  <si>
    <t>2025: %25</t>
  </si>
  <si>
    <t>Korumalı İşyeri Kuruluş İzin No</t>
  </si>
  <si>
    <t>Aile ve Sosyal Hizmetler Bakanlığı kuruluş izin numarası</t>
  </si>
  <si>
    <t>Dönemdeki Engelli Çalışan Sayısı</t>
  </si>
  <si>
    <t>Yıl boyunca korumalı işyerinde çalışan zihinsel/ruhsal engelli sayısı</t>
  </si>
  <si>
    <t>Dosya Referansı</t>
  </si>
  <si>
    <t>YMM-2025/452-01</t>
  </si>
  <si>
    <t>B. KORUMAL İŞYERİ İNDİRİM HESABI — KVK Md.10/1-h</t>
  </si>
  <si>
    <t>Parametre</t>
  </si>
  <si>
    <t>Değer</t>
  </si>
  <si>
    <t>Açıklama</t>
  </si>
  <si>
    <t>Kaynak</t>
  </si>
  <si>
    <t>B.1  Korumalı İşyeri Kuruluş İzni</t>
  </si>
  <si>
    <t>Kuruluş izin numarası ve tarihi — Aile ve Sosyal Hizmetler Bakanlığı'ndan.</t>
  </si>
  <si>
    <t>Bakanlık yazısı</t>
  </si>
  <si>
    <t>B.2  Dönem İçi Engelli Çalışan Sayısı (Zihinsel/Ruhsal)</t>
  </si>
  <si>
    <t>Yıl boyunca korumalı işyerinde çalışan zihinsel + ruhsal engelli çalışan sayısı. En az 3 kişi şartı karşılanmalı.</t>
  </si>
  <si>
    <t>SGK/Bordro</t>
  </si>
  <si>
    <t>B.3  ★ Toplam Yıllık Prime Esas Kazanç (TL)</t>
  </si>
  <si>
    <t>Her engelli çalışanın yıllık prime esas kazanç tutarı toplamı. Diğer kişi/kurumlarca karşılanan tutarlar dahildir.</t>
  </si>
  <si>
    <t>SGK bildirgeleri/Bordro</t>
  </si>
  <si>
    <t>B.4  İndirim Oranı</t>
  </si>
  <si>
    <t>%100</t>
  </si>
  <si>
    <t>KVK Md.10/1-h: Yıllık prime esas kazanç toplamının %100'ü — ayrıca indirim.</t>
  </si>
  <si>
    <t>KVK Md.10/1-h</t>
  </si>
  <si>
    <t>B.5  ★ BEYANNAME 452 İNDİRİM TUTARI (B.3 × %100)</t>
  </si>
  <si>
    <t>Yıllık prime esas kazanç × %100 = Beyanname 452. Bu indirim zaten gider yazılan prim tutarlarına AYRICA uygulanır.</t>
  </si>
  <si>
    <t>Formül</t>
  </si>
  <si>
    <t>C. ENGELLİ ÇALIŞAN BAZINDA PRİME ESAS KAZANÇ TABLOSU (BEYANNAME 452)</t>
  </si>
  <si>
    <t xml:space="preserve">  Her engelli çalışan için ayrı satır. SÜTUN 3: Yıllık prime esas kazanç tutarı. SÜTUN 4: İndirim (%100 = Tamamı). Zihinsel ve ruhsal engelli çalışanlar dahil edilmeli — fiziksel engelli dahil edilmemeli.</t>
  </si>
  <si>
    <t>Çalışan No</t>
  </si>
  <si>
    <t>Çalışan Adı Soyadı (TC Kimlik)</t>
  </si>
  <si>
    <t>Engel Türü</t>
  </si>
  <si>
    <t>Yıllık PEK (TL)</t>
  </si>
  <si>
    <t>Aylık Ortalama</t>
  </si>
  <si>
    <t>İndirim %100 (TL)</t>
  </si>
  <si>
    <t>SGK Dosya No</t>
  </si>
  <si>
    <t>1</t>
  </si>
  <si>
    <t>Zihinsel Engelli</t>
  </si>
  <si>
    <t>2</t>
  </si>
  <si>
    <t>3</t>
  </si>
  <si>
    <t>4</t>
  </si>
  <si>
    <t>5</t>
  </si>
  <si>
    <t>6</t>
  </si>
  <si>
    <t>7</t>
  </si>
  <si>
    <t>8</t>
  </si>
  <si>
    <t>TOPLAM (Korumalı İşyeri Engelli Çalışanları)</t>
  </si>
  <si>
    <t>← Beyanname 452 (%100 Prime Esas Kazanç)</t>
  </si>
  <si>
    <t>★ ASGARİ ÇALIŞAN SAYISI KONTROLÜ (En Az 3 Kişi Şartı)</t>
  </si>
  <si>
    <t>KVK Md.10/1-h: En az 3 engelli çalışan şartı — altına düşülürse indirim riski.</t>
  </si>
  <si>
    <t>D. KORUMAL İŞYERİ İNDİRİM ÖZET — BEYANNAME 452 (KVK Md.10/1-h)</t>
  </si>
  <si>
    <t>Hesap Kalemi</t>
  </si>
  <si>
    <t>Tutar (TL)</t>
  </si>
  <si>
    <t>Not</t>
  </si>
  <si>
    <t>D.1  Engelli Çalışan Sayısı</t>
  </si>
  <si>
    <t>C tablosundaki zihinsel/ruhsal engelli sayısı</t>
  </si>
  <si>
    <t>Kişi</t>
  </si>
  <si>
    <t>D.2  ★ Toplam Yıllık Prime Esas Kazanç</t>
  </si>
  <si>
    <t>Tüm engelli çalışanların yıllık PEK toplamı</t>
  </si>
  <si>
    <t>D.3  İndirim Oranı</t>
  </si>
  <si>
    <t>KVK Md.10/1-h: PEK toplamının %100'ü</t>
  </si>
  <si>
    <t>D.4  ★ BEYANNAME 452 = D.2 × %100 (= D.2)</t>
  </si>
  <si>
    <t>→ Beyanname 452 | Kazancın Bulunması Halinde | Devredilmez</t>
  </si>
  <si>
    <t>D.5  'AYRIYETEN' İndirim Niteliği</t>
  </si>
  <si>
    <t>Normal gider + 452 İndirimi = Çift Yarar</t>
  </si>
  <si>
    <t>İşveren zaten prim giderini 770/740'e yazar. 452 bu tutarı bir de matrahtan düşer — ek vergi avantajı.</t>
  </si>
  <si>
    <t>D.6  YİAKV DURUMU — DÜŞÜLEMEZ</t>
  </si>
  <si>
    <t>YİAKV E.11 Bilgi ✗</t>
  </si>
  <si>
    <t>Korumalı işyeri indirimi YİAKV matrahından düşülemez</t>
  </si>
  <si>
    <t>KVK Md.32/C</t>
  </si>
  <si>
    <t>E.1  KORUMAL İŞYERİ İNDİRİMİ → Beyanname Satır 452 (Kazancın Bulunması Halinde)</t>
  </si>
  <si>
    <t>D.4 = Yıllık PEK × %100 | KVK Md.10/1-h | Devredilmez</t>
  </si>
  <si>
    <t xml:space="preserve">  ★ KRİTİK: (1) KORUMAL İŞYERİ İZNİ — Bakanlık kuruluş izni olmadan 452 uygulanamaz. (2) SADECE ZİHİNSEL/RUHSAL ENGELLİ — Fiziksel engelli bu kapsamda değil. (3) EN AZ 3 KİŞİ ŞARTI — C47 kontrolü zorunlu. (4) 'AYRIYETEN' — Normal gider yanı sıra ek indirim, çift vergi avantajı. (5) YİAKV ✗: E.11. Devredilmez.</t>
  </si>
  <si>
    <t>452 – KORUMAL İŞYERİ İNDİRİMİ KVK Md.10/1-h | HESAPLAMALAR VE DENETİM</t>
  </si>
  <si>
    <t>5378 s.K. | Zihinsel/Ruhsal Engelli | Min. 3 Kişi | PEK × %100 | Beyanname 452 | ✗ YİAKV</t>
  </si>
  <si>
    <t>A. TASDİK ÖZETİ</t>
  </si>
  <si>
    <t>A0 Uygunluğu</t>
  </si>
  <si>
    <t>OK ise devam</t>
  </si>
  <si>
    <t>Korumalı İşyeri İzni</t>
  </si>
  <si>
    <t>Bakanlık kuruluş izni</t>
  </si>
  <si>
    <t>Engelli Çalışan Sayısı</t>
  </si>
  <si>
    <t>Zihinsel/ruhsal engelli çalışan</t>
  </si>
  <si>
    <t>3 Kişi Şartı Kontrolü</t>
  </si>
  <si>
    <t>Min. 3 kişi sağlandı mı?</t>
  </si>
  <si>
    <t>Toplam Yıllık PEK (D.2)</t>
  </si>
  <si>
    <t>Yıllık prime esas kazanç toplamı</t>
  </si>
  <si>
    <t>452 İNDİRİM (D.4)</t>
  </si>
  <si>
    <t>YİAKV</t>
  </si>
  <si>
    <t>✗ DÜŞÜLEMEZ (E.11)</t>
  </si>
  <si>
    <t>Korumalı işyeri ind. YİAKV dışı</t>
  </si>
  <si>
    <t>B. KVK Md.10/1-h KAPSAMI — KORUMAL İŞYERİ VE 'AYRIYETEN' İNDİRİM MEKANİZMASI</t>
  </si>
  <si>
    <t xml:space="preserve">  KVK MADDE 10/1-h — KORUMAL İŞYERİ İNDİRİMİ:
  KAPSAM:
  5378 sayılı Engelliler Hakkında Kanun kapsamında kurulan korumalı işyerlerinde
  çalıştırılan zihinsel veya ruhsal engelli sigortalılar için yıllık prime esas
  kazanç toplamının %100'ü kurumlar vergisi matrahından AYRICA indirilir.
  'AYRIYETEN' İNDİRİMİN ANLAMI:
  İşveren zaten engelli çalışanın ücret ve primlerini gider olarak yazıyor (770/740).
  KVK Md.10/1-h bu tutarı bir de beyanname indirimi olarak tanıyor.
  Sonuç: Aynı tutar üzerinden iki kez vergi avantajı (gider + indirim).
  SAYISAL ÖRNEK (3 engelli çalışan, toplam PEK 600.000 TL):
  Normal gider (770 bordro): -600.000 TL → Vergi tasarrufu: 150.000 TL
  452 İndirimi:              -600.000 TL → Ek tasarruf: 150.000 TL
  Toplam KV Tasarrufu:        300.000 TL (tek çalışan başına yaklaşık 100.000 TL)
  KOŞULLAR:
  ① 5378 s.K. kapsamında korumalı işyeri kuruluş izni
  ② Zihinsel veya ruhsal engelli sigortalı çalışan (fiziksel engelli hariç)
  ③ En az 3 engelli çalışan istihdam
  ④ Diğer kişi/kurumlarca karşılanan tutarlar da dahil</t>
  </si>
  <si>
    <t>C. DENETİM KONTROL LİSTESİ (K1–K11)</t>
  </si>
  <si>
    <t>Kontrol</t>
  </si>
  <si>
    <t>Sonuç</t>
  </si>
  <si>
    <t>K1</t>
  </si>
  <si>
    <t>★ Korumalı işyeri Bakanlık kuruluş izni var mı?</t>
  </si>
  <si>
    <t>İzin belgesi dosyada olmalı.</t>
  </si>
  <si>
    <t>Uygun/Eksik/Risk</t>
  </si>
  <si>
    <t>K2</t>
  </si>
  <si>
    <t>★ Çalışanlar zihinsel veya ruhsal engelli mi?</t>
  </si>
  <si>
    <t>Fiziksel engelli → Kapsam dışı.</t>
  </si>
  <si>
    <t>K3</t>
  </si>
  <si>
    <t>★ En az 3 engelli çalışan şartı sağlanıyor mu?</t>
  </si>
  <si>
    <t>C47 OK → Devam. UYARI → Risk.</t>
  </si>
  <si>
    <t>K4</t>
  </si>
  <si>
    <t>★ Engelli çalışanların sağlık kurulu raporu var mı?</t>
  </si>
  <si>
    <t>Engel türü (zihinsel/ruhsal) teyit.</t>
  </si>
  <si>
    <t>K5</t>
  </si>
  <si>
    <t>★ Prime esas kazançlar SGK'ya bildirildi mi?</t>
  </si>
  <si>
    <t>SGK işyeri bildirgeleri ile mutabakat.</t>
  </si>
  <si>
    <t>K6</t>
  </si>
  <si>
    <t>C tablosu yalnızca zihinsel/ruhsal engellileri kapsıyor mu?</t>
  </si>
  <si>
    <t>Fiziksel engelli dahil edilmemeli.</t>
  </si>
  <si>
    <t>K7</t>
  </si>
  <si>
    <t>Yıllık PEK toplamı SGK kayıtlarıyla mutabık mı?</t>
  </si>
  <si>
    <t>SGK hizmet dökümü ile teyit.</t>
  </si>
  <si>
    <t>K8</t>
  </si>
  <si>
    <t>★ İndirim matrahı aşıyor mu? (Devredilemez!)</t>
  </si>
  <si>
    <t>Aşan kısım beyanname notu.</t>
  </si>
  <si>
    <t>K9</t>
  </si>
  <si>
    <t>✗ YİAKV E.11'de bilgi satırı olarak gösterildi mi?</t>
  </si>
  <si>
    <t>452 DÜŞÜLEMEZ — E.11.</t>
  </si>
  <si>
    <t>K10</t>
  </si>
  <si>
    <t>Beyanname 452 'Kazancın Bulunması Halinde' bölümünde mi?</t>
  </si>
  <si>
    <t>Zarar → uygulanamaz.</t>
  </si>
  <si>
    <t>K11</t>
  </si>
  <si>
    <t>YMM Tasdik Raporu (49 No.lu Tebliğ) değerlendirildi mi?</t>
  </si>
  <si>
    <t>452 – KORUMAL İŞYERİ İNDİRİMİ KVK Md.10/1-h | MUHASEBE KAYITLARI</t>
  </si>
  <si>
    <t>KAYIT 1 — ENGELLİ ÇALIŞAN ÜCRET VE SGK PRİMİ KAYDI (NORMAL GİDER)</t>
  </si>
  <si>
    <t>Tarih</t>
  </si>
  <si>
    <t>Hesap</t>
  </si>
  <si>
    <t>Dr</t>
  </si>
  <si>
    <t>Kr</t>
  </si>
  <si>
    <t>Ref</t>
  </si>
  <si>
    <t>[Dönem]</t>
  </si>
  <si>
    <t>770 Genel Yönetim Giderleri</t>
  </si>
  <si>
    <t>Engelli çalışan ücret ve işveren SGK prim gideri</t>
  </si>
  <si>
    <t>[Tutar]</t>
  </si>
  <si>
    <t>—</t>
  </si>
  <si>
    <t>Bordro</t>
  </si>
  <si>
    <t>KAYIT 2 — DÖNEM SONU: BEYANNAME 452 İNDİRİMİ (AYRICA — MUHASEBE KAYDI GEREKMEZ)</t>
  </si>
  <si>
    <t>[Dönem Sonu]</t>
  </si>
  <si>
    <t>— Beyanname Üzerinde Ek İndirim —</t>
  </si>
  <si>
    <t>452 indirimi zaten gider yazılan tutara AYRIYETEN uygulanır — muhasebe kaydı yok</t>
  </si>
  <si>
    <t>[PEK×%100]</t>
  </si>
  <si>
    <t>Beyanname 452</t>
  </si>
  <si>
    <t xml:space="preserve">  DÖNEM SONU — BEYANNAME 452 'AYRIYETEN' İNDİRİM MEKANİZMASI:
  ADIM 1: Engelli çalışan ücret + prim → 770 Gider (normal gider, zaten matrahı düşürüyor)
  ADIM 2: Aynı tutardaki yıllık prime esas kazanç → Beyanname 452 (AYRICA indirim)
  Sonuç: Aynı tutar iki kez vergi avantajı sağlıyor: GİDER + BEYANNAME İNDİRİMİ
  YİAKV: ✗ DÜŞÜLEMEZ — E.11. Matrahı aşan kısım devredilmez.</t>
  </si>
  <si>
    <t>452 – KORUMAL İŞYERİ İNDİRİMİ KVK Md.10/1-h | DENETÇİ NOTLARI</t>
  </si>
  <si>
    <t>5378 s.K. | KVK Md.10/1-h | Zihinsel/Ruhsal Engelli | PEK×%100 | Ayriyeten | YİAKV E.11</t>
  </si>
  <si>
    <t>Kod</t>
  </si>
  <si>
    <t>Konu</t>
  </si>
  <si>
    <t>Mesleki Değerlendirme / Tasdik Standardı</t>
  </si>
  <si>
    <t>Mevzuat / Kaynak</t>
  </si>
  <si>
    <t>N1</t>
  </si>
  <si>
    <t>KVK Md.10/1-h — Korumalı İşyeri İndirimi Kapsamı</t>
  </si>
  <si>
    <t>KVK MADDE 10/1-h — KORUMAL İŞYERİ İNDİRİMİ:
5378 sayılı Engelliler Hakkında Kanun kapsamında kurulan korumalı işyerlerinde
çalıştırılan zihinsel veya ruhsal engelli sigortalılar için, diğer kişi ve
kurumlarca karşılanan tutarlar dahil, her bir engelli çalışan için yıllık
olarak hesaplanan prime esas kazanç tutarının %100'ü nispetinde AYRICA indirim.
KOŞULLAR:
① Korumalı işyeri kuruluş izni (5378 s.K. / Aile ve Sosyal Hizmetler Bakanlığı)
② Zihinsel veya ruhsal engelli sigortalı (fiziksel engelli hariç)
③ En az 3 engelli çalışan istihdam
④ Diğer kişi/kurumlarca karşılanan tutarlar da dahil
YİAKV: ✗ DÜŞÜLEMEZ (E.11 bilgi) | BEYANNAME: 452</t>
  </si>
  <si>
    <t>KVK Md.10/1-h | 5378 s.K. | GİB KV Beyan Reh. 2026 (No:606)</t>
  </si>
  <si>
    <t>N2</t>
  </si>
  <si>
    <t>★ 'Ayriyeten' İndirim — Çift Vergi Avantajı Mekanizması</t>
  </si>
  <si>
    <t>KVK Md.10/1-h'NİN EN KRİTİK ÖZELLİĞİ — 'AYRIYETEN':
İşveren iki aşamalı vergi avantajı elde eder:
AŞAMA 1 — NORMAL GİDER (Tüm çalışanlar için):
Engelli çalışanın ücret ve primler → 770/740 gider → Matrahı düşürür
KV Tasarrufu: [Ücret+Prim] × %25
AŞAMA 2 — 452 BEYANNAME İNDİRİMİ (AYRICA):
Aynı çalışanın yıllık prime esas kazancı → Beyanname 452 → Matrahtan AYRICA düşülür
Ek KV Tasarrufu: [Prime Esas Kazanç] × %25
SAYISAL ÖRNEK (1 engelli çalışan, yıllık PEK 200.000 TL):
Gider tasarrufu:    200.000 × %25 = 50.000 TL
452 İndirim:        200.000 × %25 = 50.000 TL
TOPLAM TASARRUF: 100.000 TL (her engelli çalışan başına)</t>
  </si>
  <si>
    <t>KVK Md.10/1-h | GİB Özelge</t>
  </si>
  <si>
    <t>N3</t>
  </si>
  <si>
    <t>Engel Türü Sınırlaması ve Belge Gereksinimleri</t>
  </si>
  <si>
    <t>ENGEL TÜRÜ SINIRLAMASI — EN KRİTİK NOKTA:
452 KAPSAMINDA:
✓ Zihinsel engelli (mental retardasyon, down sendromu vb.)
✓ Ruhsal engelli (şizofreni, bipolar bozukluk, ağır depresyon vb.)
452 KAPSAMI DIŞI:
✗ Fiziksel engelli (ortopedik, görme, işitme)
✗ Engel türü belgelenmemiş çalışanlar
ZORUNLU BELGELER:
① Sağlık kurulu raporu (Engel türü: zihinsel veya ruhsal)
② Korumalı işyeri kuruluş izin belgesi
③ SGK hizmet dökümü (prime esas kazanç kaydı)
④ Engelli çalışan bordro kayıtları
DİKKAT: 'Diğer kişi ve kurumlarca karşılanan tutarlar dahil' → İşveren prim ödememiş olsa bile PEK tutarı 452'ye dahil edilir.</t>
  </si>
  <si>
    <t>KVK Md.10/1-h | 5378 s.K. | SGK Mevzuatı</t>
  </si>
  <si>
    <t>N4</t>
  </si>
  <si>
    <t>YİAKV ile İlişki — E.11 Güncel Tablo</t>
  </si>
  <si>
    <t>YİAKV (KVK Md.32/C) VE 452 KORUMAL İŞYERİ İNDİRİMİ:
✗ 452 (KVK Md.10/1-h): DÜŞÜLEMEZ → YİAKV E.11
YİAKV E.11 — GÜNCEL KODLAR:
✗ 402 | ✗ 403 | ✗ 404 | ✗ 414 | ✗ 415 | ✗ 416 | ✗ 417
✗ 451 | ✗ 452 | ✗ 460/461 | ✗ 462 | ✗ 463 | ✗ 464 | ✗ 465
✗ 466 | ✗ 469–483
→ YİAKV E.11 = Tüm bu kodların dönem toplamı
DÜŞÜLEBILIR:
✓ 283/455 → D.10 | ✓ 456/457 → E.13
✓ 401 → D.4 | ✓ 413 → D.11 | ✗ 453 → E.10</t>
  </si>
  <si>
    <t>KVK Md.32/C | GİB Rehberi No:607 | No:606</t>
  </si>
  <si>
    <t>N5</t>
  </si>
  <si>
    <t>49 No.lu Tebliğ + YMM Tasdik Dil Standardı</t>
  </si>
  <si>
    <t>KULLANIN:
'...Kurumlar Vergisi Kanunu'nun 10. maddesinin (h) bendi kapsamında,
5378 sayılı Engelliler Hakkında Kanun'a göre kurulan ve Bakanlıkça
kuruluş izni verilen korumalı işyerimizde çalıştırılan [Sayı] zihinsel/
ruhsal engelli sigortalı için yıllık prime esas kazanç toplamı olan
[Tutar] TL, kurumlar vergisi matrahından ayrıca indirilmiştir.
Söz konucu tutar YİAKV matrahından indirilmemiştir.'
KULLANMAYIN:
'...Fiziksel engelli çalışanlar 452 kapsamında.' (Kapsam dışı)
'...2 engelli çalışanla 452 uygulandı.' (3 kişi şartı ihlali)
'...452 YİAKV matrahından düşülmüştür.' (YANLIŞ)
KRİTİK RİSKLER:
(1) Fiziksel engelli çalışanları 452'ye dahil etmek.
(2) Korumalı işyeri kuruluş izni olmadan 452 uygulamak.
(3) 3 kişi şartı sağlanmadan indirim uygulamak.
(4) Matrahı aşan kısmı devretmeye çalışmak.</t>
  </si>
  <si>
    <t>49 No.lu Tebliğ | KVK Md.10/1-h | SM-SMMM-YMM K. Md.12</t>
  </si>
  <si>
    <t xml:space="preserve">  GİB KV BEYAN REHBERİ MART 2026 (No:606) KAPANIŞ (452): KVK Md.10/1-h — 5378 s.K. korumalı işyeri, zihinsel/ruhsal engelli çalışan, yıllık PEK × %100 AYRICA indirim. Fiziksel engelli kapsam dışı. Min. 3 kişi şartı. Kuruluş izni zorunlu. 'Ayriyeten': Gider + indirim = çift avantaj. ✗ YİAKV E.11.</t>
  </si>
  <si>
    <t>452 – KORUMAL İŞYERİ İNDİRİMİ KVK Md.10/1-h | BELGE LİSTESİ | YMM TASDİK</t>
  </si>
  <si>
    <t>Kuruluş İzni | Sağlık Kurulu Raporu | SGK Dökümü | Bordro | YİAKV E.11</t>
  </si>
  <si>
    <t>KATEGORİ 1 — ZORUNLU BELGELER</t>
  </si>
  <si>
    <t>No</t>
  </si>
  <si>
    <t>Belge</t>
  </si>
  <si>
    <t>Temin</t>
  </si>
  <si>
    <t>★ Korumalı İşyeri Kuruluş İzin Belgesi</t>
  </si>
  <si>
    <t>Aile ve Sosyal Hizmetler Bakanlığı tarafından verilen 5378 s.K. kapsamlı korumalı işyeri kuruluş izin belgesi. 452'nin temel ön koşulu. Zorunlu.</t>
  </si>
  <si>
    <t>Aile ve Sosyal Hizmetler Bakanlığı</t>
  </si>
  <si>
    <t>★ Engelli Çalışanların Sağlık Kurulu Raporları</t>
  </si>
  <si>
    <t>Her engelli çalışan için devlet hastanesi sağlık kurulu raporu. Raporda engel türünün 'zihinsel' veya 'ruhsal' olduğu açıkça belirtilmeli. Fiziksel engelli çalışanlar bu rapor kapsamında değil. Zorunlu.</t>
  </si>
  <si>
    <t>Devlet Hastanesi Sağlık Kurulu</t>
  </si>
  <si>
    <t>★ SGK Hizmet Dökümü / İşyeri Sigortalı Listesi</t>
  </si>
  <si>
    <t>Engelli çalışanların dönem boyunca korumalı işyerinde sigortalı olarak çalıştığını gösteren SGK hizmet dökümü. Prime esas kazanç tutarlarının SGK kaydıyla mutabakatı.</t>
  </si>
  <si>
    <t>SGK e-Devlet / İşyeri Sicil</t>
  </si>
  <si>
    <t>★ Yıllık Prime Esas Kazanç Bordro Özeti</t>
  </si>
  <si>
    <t>Her engelli çalışan için yıllık prime esas kazanç tutarını gösteren bordro özeti veya SGK prim bildirge özeti. Beyanname 452 tutarının dayanağı.</t>
  </si>
  <si>
    <t>İnsan Kaynakları / Muhasebe</t>
  </si>
  <si>
    <t>KV Beyannamesi 452 Satırı + YİAKV E.11 Bilgi</t>
  </si>
  <si>
    <t>Beyanname 452 = Yıllık PEK Toplamı (D.4). YİAKV E.11 = 452 dahil tüm indirim kodları dönem toplamı.</t>
  </si>
  <si>
    <t>GİB e-Beyanname + YİAKV ÇK</t>
  </si>
  <si>
    <t>KATEGORİ 2 — YMM TASDİK KONTROL SORULARI</t>
  </si>
  <si>
    <t>Beklenen Sonuç</t>
  </si>
  <si>
    <t>YMM Aksiyonu</t>
  </si>
  <si>
    <t>S1</t>
  </si>
  <si>
    <t>İzin belgesi dosyada.</t>
  </si>
  <si>
    <t>YMM kontrolü</t>
  </si>
  <si>
    <t>S2</t>
  </si>
  <si>
    <t>Sağlık kurulu raporu engel türü.</t>
  </si>
  <si>
    <t>S3</t>
  </si>
  <si>
    <t>★ En az 3 engelli çalışan şartı sağlandı mı?</t>
  </si>
  <si>
    <t>3 kişi altı → indirim riski.</t>
  </si>
  <si>
    <t>S4</t>
  </si>
  <si>
    <t>★ PEK tutarları SGK kayıtlarıyla mutabık mı?</t>
  </si>
  <si>
    <t>SGK hizmet dökümü teyidi.</t>
  </si>
  <si>
    <t>S5</t>
  </si>
  <si>
    <t>Fiziksel engelli çalışan C tablosuna dahil edilmedi mi?</t>
  </si>
  <si>
    <t>Fiziksel engelli → Çıkar.</t>
  </si>
  <si>
    <t>S6</t>
  </si>
  <si>
    <t>★ İndirim matrahı aşıyor mu? (Devredilmez!)</t>
  </si>
  <si>
    <t>S7</t>
  </si>
  <si>
    <t>✗ YİAKV E.11'de bilgi satırı var mı?</t>
  </si>
  <si>
    <t>S8</t>
  </si>
  <si>
    <t>Beyanname 452 'Kazancın Bulunması Halinde'?</t>
  </si>
  <si>
    <t>S9</t>
  </si>
  <si>
    <t>YMM Tasdik Raporu değerlendirildi mi?</t>
  </si>
  <si>
    <t>&gt;=500.000 TL → Rapor.</t>
  </si>
  <si>
    <t xml:space="preserve">  GİB KV BEYAN REHBERİ MART 2026 (No:606) | 452 KVK Md.10/1-h KORUMAL İŞYERİ İNDİRİMİ:
  5378 s.K. kapsamında korumalı işyeri kuruluş izni + zihinsel/ruhsal engelli sigortalı + min. 3 kişi.
  Yıllık prime esas kazanç × %100 AYRICA indirim — gider + indirim = çift vergi avantajı.
  Fiziksel engelli çalışanlar kapsam dışı. Kuruluş izni olmadan 452 uygulanamaz.
  Matrahı aşan kısım devredilmez. ✗ YİAKV E.11. YMM: SM-SMMM-YMM Kanunu Md.12.</t>
  </si>
  <si>
    <t>PEK Toplamı (tamamı indirim)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</si>
</sst>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b/>
      <sz val="9"/>
      <color rgb="FFFFFFFF"/>
      <name val="Arial"/>
    </font>
    <font>
      <b/>
      <sz val="8"/>
      <color rgb="FF7B5E00"/>
      <name val="Arial"/>
    </font>
    <font>
      <b/>
      <sz val="10"/>
      <color rgb="FFFFFFFF"/>
      <name val="Arial"/>
    </font>
    <font>
      <b/>
      <sz val="9"/>
      <color rgb="FFC0392B"/>
      <name val="Arial"/>
    </font>
    <font>
      <b/>
      <sz val="10"/>
      <color rgb="FF0000FF"/>
      <name val="Arial"/>
    </font>
    <font>
      <i/>
      <sz val="8"/>
      <color rgb="FFC0392B"/>
      <name val="Arial"/>
    </font>
    <font>
      <b/>
      <sz val="9"/>
      <color rgb="FF1F3864"/>
      <name val="Arial"/>
    </font>
    <font>
      <i/>
      <sz val="8"/>
      <color rgb="FF555555"/>
      <name val="Arial"/>
    </font>
    <font>
      <b/>
      <sz val="10"/>
      <color rgb="FF1B5E20"/>
      <name val="Arial"/>
    </font>
    <font>
      <i/>
      <sz val="8"/>
      <color rgb="FF888888"/>
      <name val="Arial"/>
    </font>
    <font>
      <i/>
      <sz val="8"/>
      <color rgb="FF4A148C"/>
      <name val="Arial"/>
    </font>
    <font>
      <b/>
      <sz val="11"/>
      <color rgb="FF1B5E20"/>
      <name val="Arial"/>
    </font>
    <font>
      <b/>
      <sz val="12"/>
      <color rgb="FF1B5E20"/>
      <name val="Arial"/>
    </font>
    <font>
      <sz val="9"/>
      <color rgb="FF1F3864"/>
      <name val="Arial"/>
    </font>
    <font>
      <b/>
      <sz val="9"/>
      <color rgb="FF4A148C"/>
      <name val="Arial"/>
    </font>
    <font>
      <sz val="9"/>
      <color rgb="FF555555"/>
      <name val="Arial"/>
    </font>
    <font>
      <b/>
      <sz val="9"/>
      <color rgb="FF1B5E20"/>
      <name val="Arial"/>
    </font>
    <font>
      <sz val="8"/>
      <color rgb="FF1F3864"/>
      <name val="Arial"/>
    </font>
    <font>
      <b/>
      <sz val="11"/>
      <color rgb="FFFFFFFF"/>
      <name val="Arial"/>
    </font>
    <font>
      <b/>
      <sz val="13"/>
      <color rgb="FFFFFFFF"/>
      <name val="Arial"/>
    </font>
    <font>
      <b/>
      <sz val="9"/>
      <color rgb="FFE65100"/>
      <name val="Arial"/>
    </font>
    <font>
      <b/>
      <sz val="10"/>
      <color rgb="FFE65100"/>
      <name val="Arial"/>
    </font>
    <font>
      <i/>
      <sz val="8"/>
      <color rgb="FFE65100"/>
      <name val="Arial"/>
    </font>
    <font>
      <b/>
      <sz val="10"/>
      <color rgb="FF4A148C"/>
      <name val="Arial"/>
    </font>
    <font>
      <b/>
      <sz val="13"/>
      <color rgb="FF1B5E20"/>
      <name val="Arial"/>
    </font>
    <font>
      <b/>
      <sz val="9"/>
      <color rgb="FF7B5E00"/>
      <name val="Arial"/>
    </font>
    <font>
      <b/>
      <sz val="10"/>
      <color rgb="FF7B5E00"/>
      <name val="Arial"/>
    </font>
    <font>
      <b/>
      <sz val="14"/>
      <color rgb="FF1B5E20"/>
      <name val="Arial"/>
    </font>
    <font>
      <i/>
      <sz val="8"/>
      <color rgb="FF1B5E20"/>
      <name val="Arial"/>
    </font>
    <font>
      <b/>
      <sz val="8"/>
      <color rgb="FFC0392B"/>
      <name val="Arial"/>
    </font>
    <font>
      <sz val="8"/>
      <color rgb="FF333333"/>
      <name val="Arial"/>
    </font>
    <font>
      <i/>
      <sz val="8"/>
      <color rgb="FF444444"/>
      <name val="Arial"/>
    </font>
    <font>
      <sz val="8"/>
      <color rgb="FF444444"/>
      <name val="Arial"/>
    </font>
    <font>
      <b/>
      <sz val="9"/>
      <color rgb="FF1565C0"/>
      <name val="Arial"/>
    </font>
    <font>
      <b/>
      <sz val="8"/>
      <color rgb="FF1565C0"/>
      <name val="Arial"/>
    </font>
  </fonts>
  <fills count="25">
    <fill>
      <patternFill patternType="none"/>
    </fill>
    <fill>
      <patternFill patternType="gray125"/>
    </fill>
    <fill>
      <patternFill patternType="solid">
        <fgColor rgb="FF4A148C"/>
      </patternFill>
    </fill>
    <fill>
      <patternFill patternType="solid">
        <fgColor rgb="FF2C3E50"/>
      </patternFill>
    </fill>
    <fill>
      <patternFill patternType="solid">
        <fgColor rgb="FFFFF9C4"/>
      </patternFill>
    </fill>
    <fill>
      <patternFill patternType="solid">
        <fgColor rgb="FFE65100"/>
      </patternFill>
    </fill>
    <fill>
      <patternFill patternType="solid">
        <fgColor rgb="FFDEDEDE"/>
      </patternFill>
    </fill>
    <fill>
      <patternFill patternType="solid">
        <fgColor rgb="FFC0392B"/>
      </patternFill>
    </fill>
    <fill>
      <patternFill patternType="solid">
        <fgColor rgb="FF1565C0"/>
      </patternFill>
    </fill>
    <fill>
      <patternFill patternType="solid">
        <fgColor rgb="FFFCE4D6"/>
      </patternFill>
    </fill>
    <fill>
      <patternFill patternType="solid">
        <fgColor rgb="FFFFFF00"/>
      </patternFill>
    </fill>
    <fill>
      <patternFill patternType="solid">
        <fgColor rgb="FFFFFFFF"/>
      </patternFill>
    </fill>
    <fill>
      <patternFill patternType="solid">
        <fgColor rgb="FFF3E5F5"/>
      </patternFill>
    </fill>
    <fill>
      <patternFill patternType="solid">
        <fgColor rgb="FFC6EFCE"/>
      </patternFill>
    </fill>
    <fill>
      <patternFill patternType="solid">
        <fgColor rgb="FFE1BEE7"/>
      </patternFill>
    </fill>
    <fill>
      <patternFill patternType="solid">
        <fgColor rgb="FFFFF3E0"/>
      </patternFill>
    </fill>
    <fill>
      <patternFill patternType="solid">
        <fgColor rgb="FF1B5E20"/>
      </patternFill>
    </fill>
    <fill>
      <patternFill patternType="solid">
        <fgColor rgb="FFFFF5F5"/>
      </patternFill>
    </fill>
    <fill>
      <patternFill patternType="solid">
        <fgColor rgb="FFF7F7F7"/>
      </patternFill>
    </fill>
    <fill>
      <patternFill patternType="solid">
        <fgColor rgb="FFEBF5EB"/>
      </patternFill>
    </fill>
    <fill>
      <patternFill patternType="solid">
        <fgColor rgb="FFB71C1C"/>
      </patternFill>
    </fill>
    <fill>
      <patternFill patternType="solid">
        <fgColor rgb="FFFFEBEE"/>
      </patternFill>
    </fill>
    <fill>
      <patternFill patternType="solid">
        <fgColor rgb="FFFFD0D0"/>
      </patternFill>
    </fill>
    <fill>
      <patternFill patternType="solid">
        <fgColor rgb="FFE3F2FD"/>
      </patternFill>
    </fill>
    <fill>
      <patternFill patternType="solid">
        <fgColor rgb="FFEEF4FF"/>
      </patternFill>
    </fill>
  </fills>
  <borders count="9">
    <border>
      <left/>
      <right/>
      <top/>
      <bottom/>
      <diagonal/>
    </border>
    <border>
      <left style="thin">
        <color rgb="FF999999"/>
      </left>
      <right style="thin">
        <color rgb="FF999999"/>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
      <left style="thin">
        <color rgb="FF009900"/>
      </left>
      <right style="thin">
        <color rgb="FF009900"/>
      </right>
      <top style="thin">
        <color rgb="FF009900"/>
      </top>
      <bottom style="thin">
        <color rgb="FF009900"/>
      </bottom>
      <diagonal/>
    </border>
    <border>
      <left style="thin">
        <color rgb="FF4A148C"/>
      </left>
      <right style="thin">
        <color rgb="FF4A148C"/>
      </right>
      <top style="thin">
        <color rgb="FF4A148C"/>
      </top>
      <bottom style="thin">
        <color rgb="FF4A148C"/>
      </bottom>
      <diagonal/>
    </border>
  </borders>
  <cellStyleXfs count="1">
    <xf numFmtId="0" fontId="0" fillId="0" borderId="0"/>
  </cellStyleXfs>
  <cellXfs count="126">
    <xf numFmtId="0" fontId="0" fillId="0" borderId="0" xfId="0"/>
    <xf numFmtId="0" fontId="0" fillId="6" borderId="4" xfId="0" applyFill="1" applyBorder="1"/>
    <xf numFmtId="0" fontId="1" fillId="8" borderId="1" xfId="0" applyFont="1" applyFill="1" applyBorder="1" applyAlignment="1">
      <alignment horizontal="center" vertical="center" wrapText="1"/>
    </xf>
    <xf numFmtId="0" fontId="5" fillId="10" borderId="4" xfId="0" applyFont="1" applyFill="1" applyBorder="1" applyAlignment="1">
      <alignment horizontal="center" vertical="center"/>
    </xf>
    <xf numFmtId="0" fontId="9" fillId="13" borderId="4" xfId="0" applyFont="1" applyFill="1" applyBorder="1" applyAlignment="1">
      <alignment horizontal="center" vertical="center"/>
    </xf>
    <xf numFmtId="0" fontId="0" fillId="10" borderId="4" xfId="0" applyFill="1" applyBorder="1"/>
    <xf numFmtId="0" fontId="12" fillId="13" borderId="7" xfId="0" applyFont="1" applyFill="1" applyBorder="1" applyAlignment="1">
      <alignment horizontal="center" vertical="center"/>
    </xf>
    <xf numFmtId="3" fontId="13" fillId="13" borderId="7" xfId="0" applyNumberFormat="1" applyFont="1" applyFill="1" applyBorder="1" applyAlignment="1">
      <alignment horizontal="right" vertical="center"/>
    </xf>
    <xf numFmtId="0" fontId="1" fillId="2" borderId="1" xfId="0" applyFont="1" applyFill="1" applyBorder="1" applyAlignment="1">
      <alignment horizontal="center" vertical="center" wrapText="1"/>
    </xf>
    <xf numFmtId="0" fontId="15" fillId="11" borderId="4" xfId="0" applyFont="1" applyFill="1" applyBorder="1" applyAlignment="1">
      <alignment horizontal="center" vertical="center" wrapText="1"/>
    </xf>
    <xf numFmtId="0" fontId="14" fillId="10" borderId="4" xfId="0" applyFont="1" applyFill="1" applyBorder="1" applyAlignment="1">
      <alignment horizontal="left" vertical="center" wrapText="1"/>
    </xf>
    <xf numFmtId="0" fontId="15" fillId="14" borderId="4" xfId="0" applyFont="1" applyFill="1" applyBorder="1" applyAlignment="1">
      <alignment horizontal="center" vertical="center"/>
    </xf>
    <xf numFmtId="3" fontId="15" fillId="14" borderId="8" xfId="0" applyNumberFormat="1" applyFont="1" applyFill="1" applyBorder="1" applyAlignment="1">
      <alignment horizontal="right" vertical="center" wrapText="1"/>
    </xf>
    <xf numFmtId="3" fontId="16" fillId="11" borderId="4" xfId="0" applyNumberFormat="1" applyFont="1" applyFill="1" applyBorder="1" applyAlignment="1">
      <alignment horizontal="right" vertical="center" wrapText="1"/>
    </xf>
    <xf numFmtId="3" fontId="17" fillId="13" borderId="7" xfId="0" applyNumberFormat="1" applyFont="1" applyFill="1" applyBorder="1" applyAlignment="1">
      <alignment horizontal="right" vertical="center" wrapText="1"/>
    </xf>
    <xf numFmtId="0" fontId="18" fillId="10" borderId="4" xfId="0" applyFont="1" applyFill="1" applyBorder="1" applyAlignment="1">
      <alignment horizontal="center" vertical="center" wrapText="1"/>
    </xf>
    <xf numFmtId="0" fontId="15" fillId="12" borderId="4" xfId="0" applyFont="1" applyFill="1" applyBorder="1" applyAlignment="1">
      <alignment horizontal="center" vertical="center" wrapText="1"/>
    </xf>
    <xf numFmtId="3" fontId="16" fillId="12" borderId="4" xfId="0" applyNumberFormat="1" applyFont="1" applyFill="1" applyBorder="1" applyAlignment="1">
      <alignment horizontal="right" vertical="center" wrapText="1"/>
    </xf>
    <xf numFmtId="3" fontId="19" fillId="2" borderId="4" xfId="0" applyNumberFormat="1" applyFont="1" applyFill="1" applyBorder="1" applyAlignment="1">
      <alignment horizontal="right" vertical="center" wrapText="1"/>
    </xf>
    <xf numFmtId="3" fontId="1" fillId="2" borderId="4" xfId="0" applyNumberFormat="1" applyFont="1" applyFill="1" applyBorder="1" applyAlignment="1">
      <alignment horizontal="right" vertical="center" wrapText="1"/>
    </xf>
    <xf numFmtId="3" fontId="20" fillId="2" borderId="7" xfId="0" applyNumberFormat="1" applyFont="1" applyFill="1" applyBorder="1" applyAlignment="1">
      <alignment horizontal="right" vertical="center" wrapText="1"/>
    </xf>
    <xf numFmtId="0" fontId="22" fillId="15" borderId="4" xfId="0" applyFont="1" applyFill="1" applyBorder="1" applyAlignment="1">
      <alignment horizontal="center" vertical="center"/>
    </xf>
    <xf numFmtId="1" fontId="24" fillId="12" borderId="4" xfId="0" applyNumberFormat="1" applyFont="1" applyFill="1" applyBorder="1" applyAlignment="1">
      <alignment horizontal="right" vertical="center"/>
    </xf>
    <xf numFmtId="3" fontId="24" fillId="12" borderId="4" xfId="0" applyNumberFormat="1" applyFont="1" applyFill="1" applyBorder="1" applyAlignment="1">
      <alignment horizontal="right" vertical="center"/>
    </xf>
    <xf numFmtId="0" fontId="12" fillId="13" borderId="4" xfId="0" applyFont="1" applyFill="1" applyBorder="1" applyAlignment="1">
      <alignment horizontal="center" vertical="center"/>
    </xf>
    <xf numFmtId="3" fontId="25" fillId="13" borderId="7" xfId="0" applyNumberFormat="1" applyFont="1" applyFill="1" applyBorder="1" applyAlignment="1">
      <alignment horizontal="right" vertical="center"/>
    </xf>
    <xf numFmtId="0" fontId="27" fillId="4" borderId="4" xfId="0" applyFont="1" applyFill="1" applyBorder="1" applyAlignment="1">
      <alignment horizontal="center" vertical="center"/>
    </xf>
    <xf numFmtId="3" fontId="28" fillId="13" borderId="7" xfId="0" applyNumberFormat="1" applyFont="1" applyFill="1" applyBorder="1" applyAlignment="1">
      <alignment horizontal="right" vertical="center" wrapText="1"/>
    </xf>
    <xf numFmtId="3" fontId="9" fillId="12" borderId="4" xfId="0" applyNumberFormat="1" applyFont="1" applyFill="1" applyBorder="1" applyAlignment="1">
      <alignment horizontal="center" vertical="center"/>
    </xf>
    <xf numFmtId="1" fontId="9" fillId="12" borderId="4" xfId="0" applyNumberFormat="1" applyFont="1" applyFill="1" applyBorder="1" applyAlignment="1">
      <alignment horizontal="center" vertical="center"/>
    </xf>
    <xf numFmtId="49" fontId="9" fillId="12" borderId="4" xfId="0" applyNumberFormat="1" applyFont="1" applyFill="1" applyBorder="1" applyAlignment="1">
      <alignment horizontal="center" vertical="center"/>
    </xf>
    <xf numFmtId="3" fontId="13" fillId="13" borderId="4" xfId="0" applyNumberFormat="1" applyFont="1" applyFill="1" applyBorder="1" applyAlignment="1">
      <alignment horizontal="right" vertical="center"/>
    </xf>
    <xf numFmtId="0" fontId="1" fillId="2" borderId="4" xfId="0" applyFont="1" applyFill="1" applyBorder="1" applyAlignment="1">
      <alignment horizontal="center" vertical="center" wrapText="1"/>
    </xf>
    <xf numFmtId="0" fontId="4" fillId="9" borderId="4" xfId="0" applyFont="1" applyFill="1" applyBorder="1" applyAlignment="1">
      <alignment horizontal="left" vertical="top" wrapText="1"/>
    </xf>
    <xf numFmtId="0" fontId="31" fillId="17" borderId="4" xfId="0" applyFont="1" applyFill="1" applyBorder="1" applyAlignment="1">
      <alignment horizontal="left" vertical="top" wrapText="1"/>
    </xf>
    <xf numFmtId="0" fontId="0" fillId="12" borderId="4" xfId="0" applyFill="1" applyBorder="1"/>
    <xf numFmtId="0" fontId="0" fillId="11" borderId="4" xfId="0" applyFill="1" applyBorder="1"/>
    <xf numFmtId="0" fontId="7" fillId="11" borderId="4" xfId="0" applyFont="1" applyFill="1" applyBorder="1" applyAlignment="1">
      <alignment horizontal="left" vertical="top" wrapText="1"/>
    </xf>
    <xf numFmtId="0" fontId="7" fillId="12" borderId="4" xfId="0" applyFont="1" applyFill="1" applyBorder="1" applyAlignment="1">
      <alignment horizontal="left" vertical="top" wrapText="1"/>
    </xf>
    <xf numFmtId="0" fontId="1" fillId="8" borderId="1" xfId="0" applyFont="1" applyFill="1" applyBorder="1" applyAlignment="1">
      <alignment horizontal="center" vertical="center"/>
    </xf>
    <xf numFmtId="0" fontId="14" fillId="12" borderId="4" xfId="0" applyFont="1" applyFill="1" applyBorder="1" applyAlignment="1">
      <alignment horizontal="center" vertical="center" wrapText="1"/>
    </xf>
    <xf numFmtId="0" fontId="31" fillId="18" borderId="4" xfId="0" applyFont="1" applyFill="1" applyBorder="1" applyAlignment="1">
      <alignment horizontal="left" vertical="top" wrapText="1"/>
    </xf>
    <xf numFmtId="0" fontId="32" fillId="12" borderId="4" xfId="0" applyFont="1" applyFill="1" applyBorder="1" applyAlignment="1">
      <alignment horizontal="left" vertical="top" wrapText="1"/>
    </xf>
    <xf numFmtId="0" fontId="1" fillId="7" borderId="4" xfId="0" applyFont="1" applyFill="1" applyBorder="1" applyAlignment="1">
      <alignment horizontal="center" vertical="center" wrapText="1"/>
    </xf>
    <xf numFmtId="0" fontId="32" fillId="9" borderId="4" xfId="0" applyFont="1" applyFill="1" applyBorder="1" applyAlignment="1">
      <alignment horizontal="left" vertical="top" wrapText="1"/>
    </xf>
    <xf numFmtId="0" fontId="32" fillId="11" borderId="4" xfId="0" applyFont="1" applyFill="1" applyBorder="1" applyAlignment="1">
      <alignment horizontal="left" vertical="top" wrapText="1"/>
    </xf>
    <xf numFmtId="0" fontId="0" fillId="4" borderId="4" xfId="0" applyFill="1" applyBorder="1"/>
    <xf numFmtId="0" fontId="0" fillId="13" borderId="4" xfId="0" applyFill="1" applyBorder="1"/>
    <xf numFmtId="0" fontId="7" fillId="13" borderId="4" xfId="0" applyFont="1" applyFill="1" applyBorder="1" applyAlignment="1">
      <alignment horizontal="center" vertical="center" wrapText="1"/>
    </xf>
    <xf numFmtId="0" fontId="4" fillId="13" borderId="4" xfId="0" applyFont="1" applyFill="1" applyBorder="1" applyAlignment="1">
      <alignment horizontal="left" vertical="top" wrapText="1"/>
    </xf>
    <xf numFmtId="0" fontId="31" fillId="19" borderId="4" xfId="0" applyFont="1" applyFill="1" applyBorder="1" applyAlignment="1">
      <alignment horizontal="left" vertical="top" wrapText="1"/>
    </xf>
    <xf numFmtId="0" fontId="33" fillId="13" borderId="4" xfId="0" applyFont="1" applyFill="1" applyBorder="1" applyAlignment="1">
      <alignment horizontal="left" vertical="center" wrapText="1"/>
    </xf>
    <xf numFmtId="0" fontId="7" fillId="11" borderId="4" xfId="0" applyFont="1" applyFill="1" applyBorder="1" applyAlignment="1">
      <alignment horizontal="center" vertical="center" wrapText="1"/>
    </xf>
    <xf numFmtId="0" fontId="4" fillId="11" borderId="4" xfId="0" applyFont="1" applyFill="1" applyBorder="1" applyAlignment="1">
      <alignment horizontal="left" vertical="top" wrapText="1"/>
    </xf>
    <xf numFmtId="0" fontId="33" fillId="11" borderId="4" xfId="0" applyFont="1" applyFill="1" applyBorder="1" applyAlignment="1">
      <alignment horizontal="left" vertical="center" wrapText="1"/>
    </xf>
    <xf numFmtId="0" fontId="7" fillId="13" borderId="4" xfId="0" applyFont="1" applyFill="1" applyBorder="1" applyAlignment="1">
      <alignment horizontal="left" vertical="top" wrapText="1"/>
    </xf>
    <xf numFmtId="0" fontId="1" fillId="20" borderId="1" xfId="0" applyFont="1" applyFill="1" applyBorder="1" applyAlignment="1">
      <alignment horizontal="center" vertical="center"/>
    </xf>
    <xf numFmtId="0" fontId="0" fillId="21" borderId="4" xfId="0" applyFill="1" applyBorder="1"/>
    <xf numFmtId="0" fontId="34" fillId="21" borderId="4" xfId="0" applyFont="1" applyFill="1" applyBorder="1" applyAlignment="1">
      <alignment horizontal="center" vertical="center" wrapText="1"/>
    </xf>
    <xf numFmtId="0" fontId="4" fillId="21" borderId="4" xfId="0" applyFont="1" applyFill="1" applyBorder="1" applyAlignment="1">
      <alignment horizontal="left" vertical="top" wrapText="1"/>
    </xf>
    <xf numFmtId="0" fontId="31" fillId="22" borderId="4" xfId="0" applyFont="1" applyFill="1" applyBorder="1" applyAlignment="1">
      <alignment horizontal="left" vertical="top" wrapText="1"/>
    </xf>
    <xf numFmtId="0" fontId="35" fillId="21" borderId="4" xfId="0" applyFont="1" applyFill="1" applyBorder="1" applyAlignment="1">
      <alignment horizontal="center" vertical="center" wrapText="1"/>
    </xf>
    <xf numFmtId="0" fontId="0" fillId="23" borderId="4" xfId="0" applyFill="1" applyBorder="1"/>
    <xf numFmtId="0" fontId="34" fillId="23" borderId="4" xfId="0" applyFont="1" applyFill="1" applyBorder="1" applyAlignment="1">
      <alignment horizontal="center" vertical="center" wrapText="1"/>
    </xf>
    <xf numFmtId="0" fontId="34" fillId="23" borderId="4" xfId="0" applyFont="1" applyFill="1" applyBorder="1" applyAlignment="1">
      <alignment horizontal="left" vertical="top" wrapText="1"/>
    </xf>
    <xf numFmtId="0" fontId="31" fillId="24" borderId="4" xfId="0" applyFont="1" applyFill="1" applyBorder="1" applyAlignment="1">
      <alignment horizontal="left" vertical="top" wrapText="1"/>
    </xf>
    <xf numFmtId="0" fontId="35" fillId="23" borderId="4" xfId="0" applyFont="1" applyFill="1" applyBorder="1" applyAlignment="1">
      <alignment horizontal="center" vertical="center" wrapText="1"/>
    </xf>
    <xf numFmtId="0" fontId="11" fillId="11" borderId="4" xfId="0" applyFont="1" applyFill="1" applyBorder="1" applyAlignment="1">
      <alignment horizontal="left" vertical="center" wrapText="1"/>
    </xf>
    <xf numFmtId="0" fontId="0" fillId="0" borderId="6" xfId="0" applyBorder="1"/>
    <xf numFmtId="0" fontId="7" fillId="11" borderId="4" xfId="0" applyFont="1" applyFill="1" applyBorder="1" applyAlignment="1">
      <alignment horizontal="left" vertical="center" wrapText="1"/>
    </xf>
    <xf numFmtId="0" fontId="14" fillId="12" borderId="4" xfId="0" applyFont="1" applyFill="1" applyBorder="1" applyAlignment="1">
      <alignment horizontal="left" vertical="center" wrapText="1"/>
    </xf>
    <xf numFmtId="0" fontId="0" fillId="0" borderId="5" xfId="0" applyBorder="1"/>
    <xf numFmtId="0" fontId="0" fillId="10" borderId="4" xfId="0" applyFill="1" applyBorder="1"/>
    <xf numFmtId="0" fontId="10" fillId="11" borderId="4" xfId="0" applyFont="1" applyFill="1" applyBorder="1" applyAlignment="1">
      <alignment horizontal="left" vertical="center" wrapText="1"/>
    </xf>
    <xf numFmtId="0" fontId="17" fillId="13" borderId="4" xfId="0" applyFont="1" applyFill="1" applyBorder="1" applyAlignment="1">
      <alignment horizontal="left" vertical="center" wrapText="1"/>
    </xf>
    <xf numFmtId="0" fontId="9" fillId="13" borderId="4" xfId="0" applyFont="1" applyFill="1" applyBorder="1" applyAlignment="1">
      <alignment horizontal="left" vertical="center"/>
    </xf>
    <xf numFmtId="0" fontId="30" fillId="9" borderId="4" xfId="0" applyFont="1" applyFill="1" applyBorder="1" applyAlignment="1">
      <alignment horizontal="left" vertical="center" wrapText="1"/>
    </xf>
    <xf numFmtId="0" fontId="21" fillId="15" borderId="4" xfId="0" applyFont="1" applyFill="1" applyBorder="1" applyAlignment="1">
      <alignment horizontal="left" vertical="center" wrapText="1"/>
    </xf>
    <xf numFmtId="0" fontId="8" fillId="11" borderId="4" xfId="0" applyFont="1" applyFill="1" applyBorder="1" applyAlignment="1">
      <alignment horizontal="left" vertical="center" wrapText="1"/>
    </xf>
    <xf numFmtId="0" fontId="10" fillId="15" borderId="4" xfId="0" applyFont="1" applyFill="1" applyBorder="1" applyAlignment="1">
      <alignment horizontal="left" vertical="center" wrapText="1"/>
    </xf>
    <xf numFmtId="0" fontId="8" fillId="15" borderId="4" xfId="0" applyFont="1" applyFill="1" applyBorder="1" applyAlignment="1">
      <alignment horizontal="left" vertical="center" wrapText="1"/>
    </xf>
    <xf numFmtId="0" fontId="7" fillId="12" borderId="4" xfId="0" applyFont="1" applyFill="1" applyBorder="1" applyAlignment="1">
      <alignment horizontal="left" vertical="center" wrapText="1"/>
    </xf>
    <xf numFmtId="0" fontId="3" fillId="2" borderId="1" xfId="0" applyFont="1" applyFill="1" applyBorder="1" applyAlignment="1">
      <alignment horizontal="left" vertical="center"/>
    </xf>
    <xf numFmtId="0" fontId="0" fillId="0" borderId="2" xfId="0" applyBorder="1"/>
    <xf numFmtId="0" fontId="0" fillId="0" borderId="3" xfId="0" applyBorder="1"/>
    <xf numFmtId="0" fontId="4" fillId="12" borderId="4" xfId="0" applyFont="1" applyFill="1" applyBorder="1" applyAlignment="1">
      <alignment horizontal="left" vertical="center" wrapText="1"/>
    </xf>
    <xf numFmtId="0" fontId="6" fillId="9" borderId="4" xfId="0" applyFont="1" applyFill="1" applyBorder="1" applyAlignment="1">
      <alignment horizontal="left" vertical="center" wrapText="1"/>
    </xf>
    <xf numFmtId="0" fontId="8" fillId="13" borderId="4" xfId="0" applyFont="1" applyFill="1" applyBorder="1" applyAlignment="1">
      <alignment horizontal="left" vertical="center" wrapText="1"/>
    </xf>
    <xf numFmtId="0" fontId="4" fillId="9" borderId="4" xfId="0" applyFont="1" applyFill="1" applyBorder="1" applyAlignment="1">
      <alignment horizontal="left" vertical="center" wrapText="1"/>
    </xf>
    <xf numFmtId="0" fontId="11" fillId="12" borderId="4" xfId="0" applyFont="1" applyFill="1" applyBorder="1" applyAlignment="1">
      <alignment horizontal="left" vertical="center" wrapText="1"/>
    </xf>
    <xf numFmtId="0" fontId="10" fillId="12" borderId="4" xfId="0" applyFont="1" applyFill="1" applyBorder="1" applyAlignment="1">
      <alignment horizontal="left" vertical="center" wrapText="1"/>
    </xf>
    <xf numFmtId="0" fontId="1" fillId="2" borderId="1" xfId="0" applyFont="1" applyFill="1" applyBorder="1" applyAlignment="1">
      <alignment horizontal="left" vertical="center"/>
    </xf>
    <xf numFmtId="0" fontId="23" fillId="15" borderId="4" xfId="0" applyFont="1" applyFill="1" applyBorder="1" applyAlignment="1">
      <alignment horizontal="left" vertical="center" wrapText="1"/>
    </xf>
    <xf numFmtId="0" fontId="2" fillId="4" borderId="4" xfId="0" applyFont="1" applyFill="1" applyBorder="1" applyAlignment="1">
      <alignment horizontal="left" vertical="center" wrapText="1"/>
    </xf>
    <xf numFmtId="0" fontId="1" fillId="2" borderId="4" xfId="0" applyFont="1" applyFill="1" applyBorder="1" applyAlignment="1">
      <alignment horizontal="left" vertical="center"/>
    </xf>
    <xf numFmtId="0" fontId="1" fillId="5" borderId="4" xfId="0" applyFont="1" applyFill="1" applyBorder="1" applyAlignment="1">
      <alignment horizontal="left" vertical="center" wrapText="1"/>
    </xf>
    <xf numFmtId="0" fontId="26" fillId="4" borderId="4" xfId="0" applyFont="1" applyFill="1" applyBorder="1" applyAlignment="1">
      <alignment horizontal="left" vertical="center" wrapText="1"/>
    </xf>
    <xf numFmtId="0" fontId="3" fillId="7" borderId="1" xfId="0" applyFont="1" applyFill="1" applyBorder="1" applyAlignment="1">
      <alignment horizontal="left" vertical="center"/>
    </xf>
    <xf numFmtId="0" fontId="10" fillId="4" borderId="4" xfId="0" applyFont="1" applyFill="1" applyBorder="1" applyAlignment="1">
      <alignment horizontal="left" vertical="center" wrapText="1"/>
    </xf>
    <xf numFmtId="0" fontId="1" fillId="3" borderId="1" xfId="0" applyFont="1" applyFill="1" applyBorder="1" applyAlignment="1">
      <alignment horizontal="left" vertical="center"/>
    </xf>
    <xf numFmtId="0" fontId="6" fillId="13" borderId="4" xfId="0" applyFont="1" applyFill="1" applyBorder="1" applyAlignment="1">
      <alignment horizontal="left" vertical="center" wrapText="1"/>
    </xf>
    <xf numFmtId="0" fontId="10" fillId="13" borderId="4" xfId="0" applyFont="1" applyFill="1" applyBorder="1" applyAlignment="1">
      <alignment horizontal="left" vertical="center" wrapText="1"/>
    </xf>
    <xf numFmtId="0" fontId="7" fillId="13" borderId="4" xfId="0" applyFont="1" applyFill="1" applyBorder="1" applyAlignment="1">
      <alignment horizontal="left" vertical="center"/>
    </xf>
    <xf numFmtId="0" fontId="8" fillId="4" borderId="4" xfId="0" applyFont="1" applyFill="1" applyBorder="1" applyAlignment="1">
      <alignment horizontal="left" vertical="center" wrapText="1"/>
    </xf>
    <xf numFmtId="0" fontId="8" fillId="12" borderId="4" xfId="0" applyFont="1" applyFill="1" applyBorder="1" applyAlignment="1">
      <alignment horizontal="left" vertical="center" wrapText="1"/>
    </xf>
    <xf numFmtId="0" fontId="29" fillId="13" borderId="4" xfId="0" applyFont="1" applyFill="1" applyBorder="1" applyAlignment="1">
      <alignment horizontal="left" vertical="center" wrapText="1"/>
    </xf>
    <xf numFmtId="0" fontId="1" fillId="2" borderId="4" xfId="0" applyFont="1" applyFill="1" applyBorder="1" applyAlignment="1">
      <alignment horizontal="center" vertical="center"/>
    </xf>
    <xf numFmtId="0" fontId="21" fillId="15" borderId="4" xfId="0" applyFont="1" applyFill="1" applyBorder="1" applyAlignment="1">
      <alignment horizontal="left" vertical="center"/>
    </xf>
    <xf numFmtId="0" fontId="31" fillId="17" borderId="4" xfId="0" applyFont="1" applyFill="1" applyBorder="1" applyAlignment="1">
      <alignment horizontal="left" vertical="top" wrapText="1"/>
    </xf>
    <xf numFmtId="0" fontId="18" fillId="14" borderId="4" xfId="0" applyFont="1" applyFill="1" applyBorder="1" applyAlignment="1">
      <alignment horizontal="left" vertical="center" wrapText="1"/>
    </xf>
    <xf numFmtId="0" fontId="4" fillId="9" borderId="4" xfId="0" applyFont="1" applyFill="1" applyBorder="1" applyAlignment="1">
      <alignment horizontal="left" vertical="top" wrapText="1"/>
    </xf>
    <xf numFmtId="0" fontId="3" fillId="16" borderId="1" xfId="0" applyFont="1" applyFill="1" applyBorder="1" applyAlignment="1">
      <alignment horizontal="left" vertical="center"/>
    </xf>
    <xf numFmtId="0" fontId="7" fillId="11" borderId="4" xfId="0" applyFont="1" applyFill="1" applyBorder="1" applyAlignment="1">
      <alignment horizontal="left" vertical="top" wrapText="1"/>
    </xf>
    <xf numFmtId="0" fontId="7" fillId="11" borderId="4" xfId="0" applyFont="1" applyFill="1" applyBorder="1" applyAlignment="1">
      <alignment horizontal="left" vertical="center"/>
    </xf>
    <xf numFmtId="0" fontId="7" fillId="12" borderId="4" xfId="0" applyFont="1" applyFill="1" applyBorder="1" applyAlignment="1">
      <alignment horizontal="left" vertical="center"/>
    </xf>
    <xf numFmtId="0" fontId="31" fillId="11" borderId="4" xfId="0" applyFont="1" applyFill="1" applyBorder="1" applyAlignment="1">
      <alignment horizontal="left" vertical="top" wrapText="1"/>
    </xf>
    <xf numFmtId="0" fontId="19" fillId="2" borderId="1" xfId="0" applyFont="1" applyFill="1" applyBorder="1" applyAlignment="1">
      <alignment horizontal="left" vertical="center"/>
    </xf>
    <xf numFmtId="0" fontId="7" fillId="12" borderId="4" xfId="0" applyFont="1" applyFill="1" applyBorder="1" applyAlignment="1">
      <alignment horizontal="left" vertical="top" wrapText="1"/>
    </xf>
    <xf numFmtId="0" fontId="31" fillId="12" borderId="4" xfId="0" applyFont="1" applyFill="1" applyBorder="1" applyAlignment="1">
      <alignment horizontal="left" vertical="top" wrapText="1"/>
    </xf>
    <xf numFmtId="0" fontId="7" fillId="15" borderId="4" xfId="0" applyFont="1" applyFill="1" applyBorder="1" applyAlignment="1">
      <alignment horizontal="left" vertical="center"/>
    </xf>
    <xf numFmtId="0" fontId="1" fillId="3" borderId="4" xfId="0" applyFont="1" applyFill="1" applyBorder="1" applyAlignment="1">
      <alignment horizontal="left" vertical="center" wrapText="1"/>
    </xf>
    <xf numFmtId="0" fontId="31" fillId="15" borderId="4" xfId="0" applyFont="1" applyFill="1" applyBorder="1" applyAlignment="1">
      <alignment horizontal="left" vertical="top" wrapText="1"/>
    </xf>
    <xf numFmtId="0" fontId="3" fillId="2" borderId="4" xfId="0" applyFont="1" applyFill="1" applyBorder="1" applyAlignment="1">
      <alignment horizontal="left" vertical="center"/>
    </xf>
    <xf numFmtId="0" fontId="3" fillId="16" borderId="4" xfId="0" applyFont="1" applyFill="1" applyBorder="1" applyAlignment="1">
      <alignment horizontal="left" vertical="center"/>
    </xf>
    <xf numFmtId="0" fontId="1" fillId="20" borderId="1" xfId="0" applyFont="1" applyFill="1" applyBorder="1" applyAlignment="1">
      <alignment horizontal="left" vertical="center"/>
    </xf>
    <xf numFmtId="0" fontId="1" fillId="16" borderId="1" xfId="0" applyFont="1" applyFill="1" applyBorder="1" applyAlignment="1">
      <alignment horizontal="left" vertical="center"/>
    </xf>
  </cellXfs>
  <cellStyles count="1">
    <cellStyle name="Normal" xfId="0" builtinId="0"/>
  </cellStyles>
  <dxfs count="8">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0AAE2D9-539D-46AA-9109-1DD30492817F}">
  <we:reference id="WA200009404" version="1.0.0.8" store="Omex" storeType="OMEX"/>
  <we:alternateReferences>
    <we:reference id="WA200009404" version="1.0.0.8" store="WA200009404" storeType="OMEX"/>
  </we:alternateReferences>
  <we:properties>
    <we:property name="claude.fileId" value="&quot;fc831394-841d-413f-ac0b-125e7c83cb17&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9"/>
  <sheetViews>
    <sheetView tabSelected="1" workbookViewId="0">
      <selection activeCell="A3" sqref="A3:G3"/>
    </sheetView>
  </sheetViews>
  <sheetFormatPr defaultRowHeight="14.4" x14ac:dyDescent="0.55000000000000004"/>
  <cols>
    <col min="1" max="1" width="3" customWidth="1"/>
    <col min="2" max="2" width="30" customWidth="1"/>
    <col min="3" max="4" width="18" customWidth="1"/>
    <col min="5" max="6" width="14" customWidth="1"/>
    <col min="7" max="7" width="22" customWidth="1"/>
  </cols>
  <sheetData>
    <row r="1" spans="1:7" ht="44.05" customHeight="1" x14ac:dyDescent="0.55000000000000004">
      <c r="A1" s="91" t="s">
        <v>0</v>
      </c>
      <c r="B1" s="83"/>
      <c r="C1" s="83"/>
      <c r="D1" s="83"/>
      <c r="E1" s="83"/>
      <c r="F1" s="83"/>
      <c r="G1" s="84"/>
    </row>
    <row r="2" spans="1:7" ht="22" customHeight="1" x14ac:dyDescent="0.55000000000000004">
      <c r="A2" s="99" t="s">
        <v>1</v>
      </c>
      <c r="B2" s="83"/>
      <c r="C2" s="83"/>
      <c r="D2" s="83"/>
      <c r="E2" s="83"/>
      <c r="F2" s="83"/>
      <c r="G2" s="84"/>
    </row>
    <row r="3" spans="1:7" ht="54" customHeight="1" x14ac:dyDescent="0.55000000000000004">
      <c r="A3" s="93" t="s">
        <v>2</v>
      </c>
      <c r="B3" s="71"/>
      <c r="C3" s="71"/>
      <c r="D3" s="71"/>
      <c r="E3" s="71"/>
      <c r="F3" s="71"/>
      <c r="G3" s="68"/>
    </row>
    <row r="4" spans="1:7" ht="26.05" customHeight="1" x14ac:dyDescent="0.55000000000000004">
      <c r="A4" s="95" t="s">
        <v>3</v>
      </c>
      <c r="B4" s="71"/>
      <c r="C4" s="71"/>
      <c r="D4" s="71"/>
      <c r="E4" s="71"/>
      <c r="F4" s="71"/>
      <c r="G4" s="68"/>
    </row>
    <row r="5" spans="1:7" ht="5.05" customHeight="1" x14ac:dyDescent="0.55000000000000004">
      <c r="A5" s="1"/>
      <c r="B5" s="1"/>
      <c r="C5" s="1"/>
      <c r="D5" s="1"/>
      <c r="E5" s="1"/>
      <c r="F5" s="1"/>
      <c r="G5" s="1"/>
    </row>
    <row r="6" spans="1:7" ht="24" customHeight="1" x14ac:dyDescent="0.55000000000000004">
      <c r="A6" s="97" t="s">
        <v>4</v>
      </c>
      <c r="B6" s="83"/>
      <c r="C6" s="83"/>
      <c r="D6" s="83"/>
      <c r="E6" s="83"/>
      <c r="F6" s="83"/>
      <c r="G6" s="84"/>
    </row>
    <row r="7" spans="1:7" ht="18" customHeight="1" x14ac:dyDescent="0.55000000000000004">
      <c r="A7" s="2"/>
      <c r="B7" s="2" t="s">
        <v>5</v>
      </c>
      <c r="C7" s="2"/>
      <c r="D7" s="2"/>
      <c r="E7" s="2" t="s">
        <v>6</v>
      </c>
      <c r="F7" s="2"/>
      <c r="G7" s="2" t="s">
        <v>7</v>
      </c>
    </row>
    <row r="8" spans="1:7" ht="28" customHeight="1" x14ac:dyDescent="0.55000000000000004">
      <c r="A8" s="88" t="s">
        <v>8</v>
      </c>
      <c r="B8" s="71"/>
      <c r="C8" s="71"/>
      <c r="D8" s="68"/>
      <c r="E8" s="3" t="s">
        <v>9</v>
      </c>
      <c r="F8" s="86" t="s">
        <v>10</v>
      </c>
      <c r="G8" s="68"/>
    </row>
    <row r="9" spans="1:7" ht="28" customHeight="1" x14ac:dyDescent="0.55000000000000004">
      <c r="A9" s="88" t="s">
        <v>11</v>
      </c>
      <c r="B9" s="71"/>
      <c r="C9" s="71"/>
      <c r="D9" s="68"/>
      <c r="E9" s="3" t="s">
        <v>9</v>
      </c>
      <c r="F9" s="86" t="s">
        <v>12</v>
      </c>
      <c r="G9" s="68"/>
    </row>
    <row r="10" spans="1:7" ht="28" customHeight="1" x14ac:dyDescent="0.55000000000000004">
      <c r="A10" s="88" t="s">
        <v>13</v>
      </c>
      <c r="B10" s="71"/>
      <c r="C10" s="71"/>
      <c r="D10" s="68"/>
      <c r="E10" s="3" t="s">
        <v>9</v>
      </c>
      <c r="F10" s="86" t="s">
        <v>14</v>
      </c>
      <c r="G10" s="68"/>
    </row>
    <row r="11" spans="1:7" ht="28" customHeight="1" x14ac:dyDescent="0.55000000000000004">
      <c r="A11" s="69" t="s">
        <v>15</v>
      </c>
      <c r="B11" s="71"/>
      <c r="C11" s="71"/>
      <c r="D11" s="68"/>
      <c r="E11" s="3" t="s">
        <v>9</v>
      </c>
      <c r="F11" s="78" t="s">
        <v>16</v>
      </c>
      <c r="G11" s="68"/>
    </row>
    <row r="12" spans="1:7" ht="28" customHeight="1" x14ac:dyDescent="0.55000000000000004">
      <c r="A12" s="81" t="s">
        <v>17</v>
      </c>
      <c r="B12" s="71"/>
      <c r="C12" s="71"/>
      <c r="D12" s="68"/>
      <c r="E12" s="3" t="s">
        <v>9</v>
      </c>
      <c r="F12" s="104" t="s">
        <v>18</v>
      </c>
      <c r="G12" s="68"/>
    </row>
    <row r="13" spans="1:7" ht="28" customHeight="1" x14ac:dyDescent="0.55000000000000004">
      <c r="A13" s="69" t="s">
        <v>19</v>
      </c>
      <c r="B13" s="71"/>
      <c r="C13" s="71"/>
      <c r="D13" s="68"/>
      <c r="E13" s="3" t="s">
        <v>9</v>
      </c>
      <c r="F13" s="78" t="s">
        <v>20</v>
      </c>
      <c r="G13" s="68"/>
    </row>
    <row r="14" spans="1:7" ht="24" customHeight="1" x14ac:dyDescent="0.55000000000000004">
      <c r="A14" s="102" t="s">
        <v>21</v>
      </c>
      <c r="B14" s="71"/>
      <c r="C14" s="71"/>
      <c r="D14" s="68"/>
      <c r="E14" s="4" t="str">
        <f>IF(AND(E8="EVET",E9="EVET",E10="EVET",E11="EVET"),"OK - Hesaplanabilir","HATA - Ön koşul eksik")</f>
        <v>OK - Hesaplanabilir</v>
      </c>
      <c r="F14" s="100" t="s">
        <v>22</v>
      </c>
      <c r="G14" s="68"/>
    </row>
    <row r="15" spans="1:7" ht="5.05" customHeight="1" x14ac:dyDescent="0.55000000000000004">
      <c r="A15" s="1"/>
      <c r="B15" s="1"/>
      <c r="C15" s="1"/>
      <c r="D15" s="1"/>
      <c r="E15" s="1"/>
      <c r="F15" s="1"/>
      <c r="G15" s="1"/>
    </row>
    <row r="16" spans="1:7" ht="22" customHeight="1" x14ac:dyDescent="0.55000000000000004">
      <c r="A16" s="82" t="s">
        <v>23</v>
      </c>
      <c r="B16" s="83"/>
      <c r="C16" s="83"/>
      <c r="D16" s="83"/>
      <c r="E16" s="83"/>
      <c r="F16" s="83"/>
      <c r="G16" s="84"/>
    </row>
    <row r="17" spans="1:7" ht="22" customHeight="1" x14ac:dyDescent="0.55000000000000004">
      <c r="A17" s="69" t="s">
        <v>24</v>
      </c>
      <c r="B17" s="68"/>
      <c r="C17" s="72"/>
      <c r="D17" s="71"/>
      <c r="E17" s="68"/>
      <c r="F17" s="73" t="s">
        <v>25</v>
      </c>
      <c r="G17" s="68"/>
    </row>
    <row r="18" spans="1:7" ht="22" customHeight="1" x14ac:dyDescent="0.55000000000000004">
      <c r="A18" s="81" t="s">
        <v>26</v>
      </c>
      <c r="B18" s="68"/>
      <c r="C18" s="72"/>
      <c r="D18" s="71"/>
      <c r="E18" s="68"/>
      <c r="F18" s="90" t="s">
        <v>27</v>
      </c>
      <c r="G18" s="68"/>
    </row>
    <row r="19" spans="1:7" ht="22" customHeight="1" x14ac:dyDescent="0.55000000000000004">
      <c r="A19" s="69" t="s">
        <v>28</v>
      </c>
      <c r="B19" s="68"/>
      <c r="C19" s="72"/>
      <c r="D19" s="71"/>
      <c r="E19" s="68"/>
      <c r="F19" s="73" t="s">
        <v>29</v>
      </c>
      <c r="G19" s="68"/>
    </row>
    <row r="20" spans="1:7" ht="22" customHeight="1" x14ac:dyDescent="0.55000000000000004">
      <c r="A20" s="81" t="s">
        <v>30</v>
      </c>
      <c r="B20" s="68"/>
      <c r="C20" s="72"/>
      <c r="D20" s="71"/>
      <c r="E20" s="68"/>
      <c r="F20" s="90" t="s">
        <v>31</v>
      </c>
      <c r="G20" s="68"/>
    </row>
    <row r="21" spans="1:7" ht="22" customHeight="1" x14ac:dyDescent="0.55000000000000004">
      <c r="A21" s="69" t="s">
        <v>32</v>
      </c>
      <c r="B21" s="68"/>
      <c r="C21" s="72"/>
      <c r="D21" s="71"/>
      <c r="E21" s="68"/>
      <c r="F21" s="73" t="s">
        <v>33</v>
      </c>
      <c r="G21" s="68"/>
    </row>
    <row r="22" spans="1:7" ht="22" customHeight="1" x14ac:dyDescent="0.55000000000000004">
      <c r="A22" s="81" t="s">
        <v>34</v>
      </c>
      <c r="B22" s="68"/>
      <c r="C22" s="72"/>
      <c r="D22" s="71"/>
      <c r="E22" s="68"/>
      <c r="F22" s="90" t="s">
        <v>35</v>
      </c>
      <c r="G22" s="68"/>
    </row>
    <row r="23" spans="1:7" ht="22" customHeight="1" x14ac:dyDescent="0.55000000000000004">
      <c r="A23" s="69" t="s">
        <v>36</v>
      </c>
      <c r="B23" s="68"/>
      <c r="C23" s="72"/>
      <c r="D23" s="71"/>
      <c r="E23" s="68"/>
      <c r="F23" s="73" t="s">
        <v>37</v>
      </c>
      <c r="G23" s="68"/>
    </row>
    <row r="25" spans="1:7" ht="5.05" customHeight="1" x14ac:dyDescent="0.55000000000000004">
      <c r="A25" s="1"/>
      <c r="B25" s="1"/>
      <c r="C25" s="1"/>
      <c r="D25" s="1"/>
      <c r="E25" s="1"/>
      <c r="F25" s="1"/>
      <c r="G25" s="1"/>
    </row>
    <row r="26" spans="1:7" ht="24" customHeight="1" x14ac:dyDescent="0.55000000000000004">
      <c r="A26" s="82" t="s">
        <v>38</v>
      </c>
      <c r="B26" s="83"/>
      <c r="C26" s="83"/>
      <c r="D26" s="83"/>
      <c r="E26" s="83"/>
      <c r="F26" s="83"/>
      <c r="G26" s="84"/>
    </row>
    <row r="27" spans="1:7" ht="18" customHeight="1" x14ac:dyDescent="0.55000000000000004">
      <c r="A27" s="2"/>
      <c r="B27" s="2" t="s">
        <v>39</v>
      </c>
      <c r="C27" s="2"/>
      <c r="D27" s="2" t="s">
        <v>40</v>
      </c>
      <c r="E27" s="2"/>
      <c r="F27" s="2" t="s">
        <v>41</v>
      </c>
      <c r="G27" s="2" t="s">
        <v>42</v>
      </c>
    </row>
    <row r="28" spans="1:7" ht="26.05" customHeight="1" x14ac:dyDescent="0.55000000000000004">
      <c r="A28" s="81" t="s">
        <v>43</v>
      </c>
      <c r="B28" s="68"/>
      <c r="C28" s="5"/>
      <c r="D28" s="90" t="s">
        <v>44</v>
      </c>
      <c r="E28" s="68"/>
      <c r="F28" s="89" t="s">
        <v>45</v>
      </c>
      <c r="G28" s="68"/>
    </row>
    <row r="29" spans="1:7" ht="26.05" customHeight="1" x14ac:dyDescent="0.55000000000000004">
      <c r="A29" s="69" t="s">
        <v>46</v>
      </c>
      <c r="B29" s="68"/>
      <c r="C29" s="5"/>
      <c r="D29" s="73" t="s">
        <v>47</v>
      </c>
      <c r="E29" s="68"/>
      <c r="F29" s="67" t="s">
        <v>48</v>
      </c>
      <c r="G29" s="68"/>
    </row>
    <row r="30" spans="1:7" ht="26.05" customHeight="1" x14ac:dyDescent="0.55000000000000004">
      <c r="A30" s="85" t="s">
        <v>49</v>
      </c>
      <c r="B30" s="68"/>
      <c r="C30" s="5"/>
      <c r="D30" s="90" t="s">
        <v>50</v>
      </c>
      <c r="E30" s="68"/>
      <c r="F30" s="89" t="s">
        <v>51</v>
      </c>
      <c r="G30" s="68"/>
    </row>
    <row r="31" spans="1:7" ht="26.05" customHeight="1" x14ac:dyDescent="0.55000000000000004">
      <c r="A31" s="69" t="s">
        <v>52</v>
      </c>
      <c r="B31" s="68"/>
      <c r="C31" s="6" t="s">
        <v>53</v>
      </c>
      <c r="D31" s="73" t="s">
        <v>54</v>
      </c>
      <c r="E31" s="68"/>
      <c r="F31" s="67" t="s">
        <v>55</v>
      </c>
      <c r="G31" s="68"/>
    </row>
    <row r="32" spans="1:7" ht="26.05" customHeight="1" x14ac:dyDescent="0.55000000000000004">
      <c r="A32" s="85" t="s">
        <v>56</v>
      </c>
      <c r="B32" s="68"/>
      <c r="C32" s="7">
        <f>C30</f>
        <v>0</v>
      </c>
      <c r="D32" s="90" t="s">
        <v>57</v>
      </c>
      <c r="E32" s="68"/>
      <c r="F32" s="89" t="s">
        <v>58</v>
      </c>
      <c r="G32" s="68"/>
    </row>
    <row r="33" spans="1:7" ht="5.05" customHeight="1" x14ac:dyDescent="0.55000000000000004">
      <c r="A33" s="1"/>
      <c r="B33" s="1"/>
      <c r="C33" s="1"/>
      <c r="D33" s="1"/>
      <c r="E33" s="1"/>
      <c r="F33" s="1"/>
      <c r="G33" s="1"/>
    </row>
    <row r="34" spans="1:7" ht="24" customHeight="1" x14ac:dyDescent="0.55000000000000004">
      <c r="A34" s="82" t="s">
        <v>59</v>
      </c>
      <c r="B34" s="83"/>
      <c r="C34" s="83"/>
      <c r="D34" s="83"/>
      <c r="E34" s="83"/>
      <c r="F34" s="83"/>
      <c r="G34" s="84"/>
    </row>
    <row r="35" spans="1:7" ht="22" customHeight="1" x14ac:dyDescent="0.55000000000000004">
      <c r="A35" s="70" t="s">
        <v>60</v>
      </c>
      <c r="B35" s="71"/>
      <c r="C35" s="71"/>
      <c r="D35" s="71"/>
      <c r="E35" s="71"/>
      <c r="F35" s="71"/>
      <c r="G35" s="68"/>
    </row>
    <row r="36" spans="1:7" ht="18" customHeight="1" x14ac:dyDescent="0.55000000000000004">
      <c r="A36" s="8" t="s">
        <v>61</v>
      </c>
      <c r="B36" s="8" t="s">
        <v>62</v>
      </c>
      <c r="C36" s="8" t="s">
        <v>63</v>
      </c>
      <c r="D36" s="8" t="s">
        <v>64</v>
      </c>
      <c r="E36" s="8" t="s">
        <v>65</v>
      </c>
      <c r="F36" s="8" t="s">
        <v>66</v>
      </c>
      <c r="G36" s="8" t="s">
        <v>67</v>
      </c>
    </row>
    <row r="37" spans="1:7" ht="26.05" customHeight="1" x14ac:dyDescent="0.55000000000000004">
      <c r="A37" s="9" t="s">
        <v>68</v>
      </c>
      <c r="B37" s="10"/>
      <c r="C37" s="11" t="s">
        <v>69</v>
      </c>
      <c r="D37" s="12"/>
      <c r="E37" s="13">
        <f t="shared" ref="E37:E45" si="0">IF(D37&gt;0,D37/12,0)</f>
        <v>0</v>
      </c>
      <c r="F37" s="14">
        <f t="shared" ref="F37:F44" si="1">D37</f>
        <v>0</v>
      </c>
      <c r="G37" s="15"/>
    </row>
    <row r="38" spans="1:7" ht="26.05" customHeight="1" x14ac:dyDescent="0.55000000000000004">
      <c r="A38" s="16" t="s">
        <v>70</v>
      </c>
      <c r="B38" s="10"/>
      <c r="C38" s="11" t="s">
        <v>69</v>
      </c>
      <c r="D38" s="12"/>
      <c r="E38" s="17">
        <f t="shared" si="0"/>
        <v>0</v>
      </c>
      <c r="F38" s="14">
        <f t="shared" si="1"/>
        <v>0</v>
      </c>
      <c r="G38" s="15"/>
    </row>
    <row r="39" spans="1:7" ht="26.05" customHeight="1" x14ac:dyDescent="0.55000000000000004">
      <c r="A39" s="9" t="s">
        <v>71</v>
      </c>
      <c r="B39" s="10"/>
      <c r="C39" s="11" t="s">
        <v>69</v>
      </c>
      <c r="D39" s="12"/>
      <c r="E39" s="13">
        <f t="shared" si="0"/>
        <v>0</v>
      </c>
      <c r="F39" s="14">
        <f t="shared" si="1"/>
        <v>0</v>
      </c>
      <c r="G39" s="15"/>
    </row>
    <row r="40" spans="1:7" ht="26.05" customHeight="1" x14ac:dyDescent="0.55000000000000004">
      <c r="A40" s="16" t="s">
        <v>72</v>
      </c>
      <c r="B40" s="10"/>
      <c r="C40" s="11" t="s">
        <v>69</v>
      </c>
      <c r="D40" s="12"/>
      <c r="E40" s="17">
        <f t="shared" si="0"/>
        <v>0</v>
      </c>
      <c r="F40" s="14">
        <f t="shared" si="1"/>
        <v>0</v>
      </c>
      <c r="G40" s="15"/>
    </row>
    <row r="41" spans="1:7" ht="26.05" customHeight="1" x14ac:dyDescent="0.55000000000000004">
      <c r="A41" s="9" t="s">
        <v>73</v>
      </c>
      <c r="B41" s="10"/>
      <c r="C41" s="11" t="s">
        <v>69</v>
      </c>
      <c r="D41" s="12"/>
      <c r="E41" s="13">
        <f t="shared" si="0"/>
        <v>0</v>
      </c>
      <c r="F41" s="14">
        <f t="shared" si="1"/>
        <v>0</v>
      </c>
      <c r="G41" s="15"/>
    </row>
    <row r="42" spans="1:7" ht="26.05" customHeight="1" x14ac:dyDescent="0.55000000000000004">
      <c r="A42" s="16" t="s">
        <v>74</v>
      </c>
      <c r="B42" s="10"/>
      <c r="C42" s="11" t="s">
        <v>69</v>
      </c>
      <c r="D42" s="12"/>
      <c r="E42" s="17">
        <f t="shared" si="0"/>
        <v>0</v>
      </c>
      <c r="F42" s="14">
        <f t="shared" si="1"/>
        <v>0</v>
      </c>
      <c r="G42" s="15"/>
    </row>
    <row r="43" spans="1:7" ht="26.05" customHeight="1" x14ac:dyDescent="0.55000000000000004">
      <c r="A43" s="9" t="s">
        <v>75</v>
      </c>
      <c r="B43" s="10"/>
      <c r="C43" s="11" t="s">
        <v>69</v>
      </c>
      <c r="D43" s="12"/>
      <c r="E43" s="13">
        <f t="shared" si="0"/>
        <v>0</v>
      </c>
      <c r="F43" s="14">
        <f t="shared" si="1"/>
        <v>0</v>
      </c>
      <c r="G43" s="15"/>
    </row>
    <row r="44" spans="1:7" ht="26.05" customHeight="1" x14ac:dyDescent="0.55000000000000004">
      <c r="A44" s="16" t="s">
        <v>76</v>
      </c>
      <c r="B44" s="10"/>
      <c r="C44" s="11" t="s">
        <v>69</v>
      </c>
      <c r="D44" s="12"/>
      <c r="E44" s="17">
        <f t="shared" si="0"/>
        <v>0</v>
      </c>
      <c r="F44" s="14">
        <f t="shared" si="1"/>
        <v>0</v>
      </c>
      <c r="G44" s="15"/>
    </row>
    <row r="45" spans="1:7" ht="32.049999999999997" customHeight="1" x14ac:dyDescent="0.55000000000000004">
      <c r="A45" s="106" t="s">
        <v>77</v>
      </c>
      <c r="B45" s="71"/>
      <c r="C45" s="68"/>
      <c r="D45" s="18">
        <f>SUM(D37:D44)</f>
        <v>0</v>
      </c>
      <c r="E45" s="19">
        <f t="shared" si="0"/>
        <v>0</v>
      </c>
      <c r="F45" s="20">
        <f>SUM(F37:F44)</f>
        <v>0</v>
      </c>
      <c r="G45" s="94" t="s">
        <v>78</v>
      </c>
    </row>
    <row r="46" spans="1:7" ht="5.05" customHeight="1" x14ac:dyDescent="0.55000000000000004">
      <c r="A46" s="1"/>
      <c r="B46" s="1"/>
      <c r="C46" s="1"/>
      <c r="D46" s="1"/>
      <c r="E46" s="1"/>
      <c r="F46" s="1"/>
      <c r="G46" s="1"/>
    </row>
    <row r="47" spans="1:7" ht="28" customHeight="1" x14ac:dyDescent="0.55000000000000004">
      <c r="A47" s="107" t="s">
        <v>79</v>
      </c>
      <c r="B47" s="71"/>
      <c r="C47" s="71"/>
      <c r="D47" s="68"/>
      <c r="E47" s="21" t="str">
        <f>IF(COUNTA(B37:B44)&gt;=3,"OK - 3 Kişi Şartı Sağlandı","UYARI - 3 Kişi Şartı Sağlanmıyor!")</f>
        <v>UYARI - 3 Kişi Şartı Sağlanmıyor!</v>
      </c>
      <c r="F47" s="92" t="s">
        <v>80</v>
      </c>
      <c r="G47" s="68"/>
    </row>
    <row r="48" spans="1:7" ht="5.05" customHeight="1" x14ac:dyDescent="0.55000000000000004">
      <c r="A48" s="1"/>
      <c r="B48" s="1"/>
      <c r="C48" s="1"/>
      <c r="D48" s="1"/>
      <c r="E48" s="1"/>
      <c r="F48" s="1"/>
      <c r="G48" s="1"/>
    </row>
    <row r="49" spans="1:7" ht="24" customHeight="1" x14ac:dyDescent="0.55000000000000004">
      <c r="A49" s="82" t="s">
        <v>81</v>
      </c>
      <c r="B49" s="83"/>
      <c r="C49" s="83"/>
      <c r="D49" s="83"/>
      <c r="E49" s="83"/>
      <c r="F49" s="83"/>
      <c r="G49" s="84"/>
    </row>
    <row r="50" spans="1:7" ht="18" customHeight="1" x14ac:dyDescent="0.55000000000000004">
      <c r="A50" s="2"/>
      <c r="B50" s="2" t="s">
        <v>82</v>
      </c>
      <c r="C50" s="2"/>
      <c r="D50" s="2" t="s">
        <v>83</v>
      </c>
      <c r="E50" s="2"/>
      <c r="F50" s="2" t="s">
        <v>41</v>
      </c>
      <c r="G50" s="2" t="s">
        <v>84</v>
      </c>
    </row>
    <row r="51" spans="1:7" ht="28" customHeight="1" x14ac:dyDescent="0.55000000000000004">
      <c r="A51" s="69" t="s">
        <v>85</v>
      </c>
      <c r="B51" s="68"/>
      <c r="C51" s="22">
        <f>COUNTA(B37:B44)</f>
        <v>0</v>
      </c>
      <c r="D51" s="73" t="s">
        <v>86</v>
      </c>
      <c r="E51" s="68"/>
      <c r="F51" s="78" t="s">
        <v>87</v>
      </c>
      <c r="G51" s="68"/>
    </row>
    <row r="52" spans="1:7" ht="28" customHeight="1" x14ac:dyDescent="0.55000000000000004">
      <c r="A52" s="85" t="s">
        <v>88</v>
      </c>
      <c r="B52" s="68"/>
      <c r="C52" s="23">
        <f>D45</f>
        <v>0</v>
      </c>
      <c r="D52" s="90" t="s">
        <v>89</v>
      </c>
      <c r="E52" s="68"/>
      <c r="F52" s="104"/>
      <c r="G52" s="68"/>
    </row>
    <row r="53" spans="1:7" ht="28" customHeight="1" x14ac:dyDescent="0.55000000000000004">
      <c r="A53" s="69" t="s">
        <v>90</v>
      </c>
      <c r="B53" s="68"/>
      <c r="C53" s="24" t="s">
        <v>53</v>
      </c>
      <c r="D53" s="73" t="s">
        <v>91</v>
      </c>
      <c r="E53" s="68"/>
      <c r="F53" s="78" t="s">
        <v>55</v>
      </c>
      <c r="G53" s="68"/>
    </row>
    <row r="54" spans="1:7" ht="28" customHeight="1" x14ac:dyDescent="0.55000000000000004">
      <c r="A54" s="74" t="s">
        <v>92</v>
      </c>
      <c r="B54" s="68"/>
      <c r="C54" s="25">
        <f>F45</f>
        <v>0</v>
      </c>
      <c r="D54" s="101" t="s">
        <v>93</v>
      </c>
      <c r="E54" s="68"/>
      <c r="F54" s="87" t="s">
        <v>55</v>
      </c>
      <c r="G54" s="68"/>
    </row>
    <row r="55" spans="1:7" ht="28" customHeight="1" x14ac:dyDescent="0.55000000000000004">
      <c r="A55" s="96" t="s">
        <v>94</v>
      </c>
      <c r="B55" s="68"/>
      <c r="C55" s="26" t="s">
        <v>95</v>
      </c>
      <c r="D55" s="98" t="s">
        <v>96</v>
      </c>
      <c r="E55" s="68"/>
      <c r="F55" s="103" t="s">
        <v>55</v>
      </c>
      <c r="G55" s="68"/>
    </row>
    <row r="56" spans="1:7" ht="28" customHeight="1" x14ac:dyDescent="0.55000000000000004">
      <c r="A56" s="77" t="s">
        <v>97</v>
      </c>
      <c r="B56" s="68"/>
      <c r="C56" s="21" t="s">
        <v>98</v>
      </c>
      <c r="D56" s="79" t="s">
        <v>99</v>
      </c>
      <c r="E56" s="68"/>
      <c r="F56" s="80" t="s">
        <v>100</v>
      </c>
      <c r="G56" s="68"/>
    </row>
    <row r="57" spans="1:7" ht="5.05" customHeight="1" x14ac:dyDescent="0.55000000000000004">
      <c r="A57" s="1"/>
      <c r="B57" s="1"/>
      <c r="C57" s="1"/>
      <c r="D57" s="1"/>
      <c r="E57" s="1"/>
      <c r="F57" s="1"/>
      <c r="G57" s="1"/>
    </row>
    <row r="58" spans="1:7" ht="32.049999999999997" customHeight="1" x14ac:dyDescent="0.55000000000000004">
      <c r="A58" s="75" t="s">
        <v>101</v>
      </c>
      <c r="B58" s="71"/>
      <c r="C58" s="71"/>
      <c r="D58" s="68"/>
      <c r="E58" s="27">
        <f>F45</f>
        <v>0</v>
      </c>
      <c r="F58" s="105" t="s">
        <v>102</v>
      </c>
      <c r="G58" s="68"/>
    </row>
    <row r="59" spans="1:7" ht="30" customHeight="1" x14ac:dyDescent="0.55000000000000004">
      <c r="A59" s="76" t="s">
        <v>103</v>
      </c>
      <c r="B59" s="71"/>
      <c r="C59" s="71"/>
      <c r="D59" s="71"/>
      <c r="E59" s="71"/>
      <c r="F59" s="71"/>
      <c r="G59" s="68"/>
    </row>
  </sheetData>
  <mergeCells count="85">
    <mergeCell ref="F58:G58"/>
    <mergeCell ref="F52:G52"/>
    <mergeCell ref="A20:B20"/>
    <mergeCell ref="A29:B29"/>
    <mergeCell ref="A45:C45"/>
    <mergeCell ref="A47:D47"/>
    <mergeCell ref="A31:B31"/>
    <mergeCell ref="F53:G53"/>
    <mergeCell ref="F55:G55"/>
    <mergeCell ref="F12:G12"/>
    <mergeCell ref="F51:G51"/>
    <mergeCell ref="C17:E17"/>
    <mergeCell ref="D32:E32"/>
    <mergeCell ref="F32:G32"/>
    <mergeCell ref="C19:E19"/>
    <mergeCell ref="A55:B55"/>
    <mergeCell ref="F8:G8"/>
    <mergeCell ref="A21:B21"/>
    <mergeCell ref="A6:G6"/>
    <mergeCell ref="A32:B32"/>
    <mergeCell ref="D28:E28"/>
    <mergeCell ref="A16:G16"/>
    <mergeCell ref="F22:G22"/>
    <mergeCell ref="A23:B23"/>
    <mergeCell ref="D55:E55"/>
    <mergeCell ref="D30:E30"/>
    <mergeCell ref="A12:D12"/>
    <mergeCell ref="F14:G14"/>
    <mergeCell ref="D54:E54"/>
    <mergeCell ref="A14:D14"/>
    <mergeCell ref="F11:G11"/>
    <mergeCell ref="A1:G1"/>
    <mergeCell ref="F47:G47"/>
    <mergeCell ref="F31:G31"/>
    <mergeCell ref="F28:G28"/>
    <mergeCell ref="F9:G9"/>
    <mergeCell ref="A3:G3"/>
    <mergeCell ref="D29:E29"/>
    <mergeCell ref="G45"/>
    <mergeCell ref="A8:D8"/>
    <mergeCell ref="A4:G4"/>
    <mergeCell ref="A10:D10"/>
    <mergeCell ref="F21:G21"/>
    <mergeCell ref="A2:G2"/>
    <mergeCell ref="A18:B18"/>
    <mergeCell ref="A9:D9"/>
    <mergeCell ref="F30:G30"/>
    <mergeCell ref="A34:G34"/>
    <mergeCell ref="F20:G20"/>
    <mergeCell ref="F18:G18"/>
    <mergeCell ref="A11:D11"/>
    <mergeCell ref="F17:G17"/>
    <mergeCell ref="C20:E20"/>
    <mergeCell ref="A30:B30"/>
    <mergeCell ref="F10:G10"/>
    <mergeCell ref="F54:G54"/>
    <mergeCell ref="F19:G19"/>
    <mergeCell ref="C22:E22"/>
    <mergeCell ref="A49:G49"/>
    <mergeCell ref="D53:E53"/>
    <mergeCell ref="A52:B52"/>
    <mergeCell ref="D52:E52"/>
    <mergeCell ref="A13:D13"/>
    <mergeCell ref="A54:B54"/>
    <mergeCell ref="A58:D58"/>
    <mergeCell ref="C23:E23"/>
    <mergeCell ref="A59:G59"/>
    <mergeCell ref="A56:B56"/>
    <mergeCell ref="F23:G23"/>
    <mergeCell ref="C18:E18"/>
    <mergeCell ref="F13:G13"/>
    <mergeCell ref="A17:B17"/>
    <mergeCell ref="D56:E56"/>
    <mergeCell ref="F56:G56"/>
    <mergeCell ref="A22:B22"/>
    <mergeCell ref="A53:B53"/>
    <mergeCell ref="A19:B19"/>
    <mergeCell ref="D51:E51"/>
    <mergeCell ref="F29:G29"/>
    <mergeCell ref="A51:B51"/>
    <mergeCell ref="A35:G35"/>
    <mergeCell ref="C21:E21"/>
    <mergeCell ref="D31:E31"/>
    <mergeCell ref="A28:B28"/>
    <mergeCell ref="A26:G26"/>
  </mergeCells>
  <conditionalFormatting sqref="E14">
    <cfRule type="containsText" dxfId="7" priority="1" operator="containsText" text="OK">
      <formula>NOT(ISERROR(SEARCH("OK",E14)))</formula>
    </cfRule>
    <cfRule type="containsText" dxfId="6" priority="2" operator="containsText" text="HATA">
      <formula>NOT(ISERROR(SEARCH("HATA",E14)))</formula>
    </cfRule>
  </conditionalFormatting>
  <conditionalFormatting sqref="E47">
    <cfRule type="containsText" dxfId="5" priority="3" operator="containsText" text="OK">
      <formula>NOT(ISERROR(SEARCH("OK",E47)))</formula>
    </cfRule>
    <cfRule type="containsText" dxfId="4" priority="4" operator="containsText" text="UYARI">
      <formula>NOT(ISERROR(SEARCH("UYARI",E47)))</formula>
    </cfRule>
  </conditionalFormatting>
  <dataValidations count="7">
    <dataValidation type="list" sqref="E8" xr:uid="{00000000-0002-0000-0000-000000000000}">
      <formula1>"EVET,HAYIR-Korumalı İşyeri Statüsü Yok"</formula1>
    </dataValidation>
    <dataValidation type="list" sqref="E9" xr:uid="{00000000-0002-0000-0000-000001000000}">
      <formula1>"EVET,HAYIR-Farklı Engel Türü"</formula1>
    </dataValidation>
    <dataValidation type="list" sqref="E10" xr:uid="{00000000-0002-0000-0000-000002000000}">
      <formula1>"EVET,HAYIR-3 Kişi Şartı Sağlanmıyor"</formula1>
    </dataValidation>
    <dataValidation type="list" sqref="E11" xr:uid="{00000000-0002-0000-0000-000003000000}">
      <formula1>"EVET,HAYIR-Bildirim Eksik"</formula1>
    </dataValidation>
    <dataValidation type="list" sqref="E12" xr:uid="{00000000-0002-0000-0000-000004000000}">
      <formula1>"EVET,HAYIR-Eksik"</formula1>
    </dataValidation>
    <dataValidation type="list" sqref="E13" xr:uid="{00000000-0002-0000-0000-000005000000}">
      <formula1>"EVET,Tam Tasdik"</formula1>
    </dataValidation>
    <dataValidation type="list" sqref="C37:C44" xr:uid="{00000000-0002-0000-0000-000006000000}">
      <formula1>"Zihinsel Engelli,Ruhsal Engelli"</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8"/>
  <sheetViews>
    <sheetView workbookViewId="0"/>
  </sheetViews>
  <sheetFormatPr defaultRowHeight="14.4" x14ac:dyDescent="0.55000000000000004"/>
  <cols>
    <col min="1" max="1" width="4" customWidth="1"/>
    <col min="2" max="2" width="42" customWidth="1"/>
    <col min="3" max="4" width="15" customWidth="1"/>
    <col min="5" max="5" width="14" customWidth="1"/>
    <col min="6" max="6" width="12" customWidth="1"/>
    <col min="7" max="7" width="18" customWidth="1"/>
  </cols>
  <sheetData>
    <row r="1" spans="1:7" ht="36" customHeight="1" x14ac:dyDescent="0.55000000000000004">
      <c r="A1" s="116" t="s">
        <v>104</v>
      </c>
      <c r="B1" s="83"/>
      <c r="C1" s="83"/>
      <c r="D1" s="83"/>
      <c r="E1" s="83"/>
      <c r="F1" s="83"/>
      <c r="G1" s="84"/>
    </row>
    <row r="2" spans="1:7" ht="20.05" customHeight="1" x14ac:dyDescent="0.55000000000000004">
      <c r="A2" s="120" t="s">
        <v>105</v>
      </c>
      <c r="B2" s="71"/>
      <c r="C2" s="71"/>
      <c r="D2" s="71"/>
      <c r="E2" s="71"/>
      <c r="F2" s="71"/>
      <c r="G2" s="68"/>
    </row>
    <row r="3" spans="1:7" ht="5.05" customHeight="1" x14ac:dyDescent="0.55000000000000004">
      <c r="A3" s="1"/>
      <c r="B3" s="1"/>
      <c r="C3" s="1"/>
      <c r="D3" s="1"/>
      <c r="E3" s="1"/>
      <c r="F3" s="1"/>
      <c r="G3" s="1"/>
    </row>
    <row r="4" spans="1:7" ht="22" customHeight="1" x14ac:dyDescent="0.55000000000000004">
      <c r="A4" s="111" t="s">
        <v>106</v>
      </c>
      <c r="B4" s="83"/>
      <c r="C4" s="83"/>
      <c r="D4" s="83"/>
      <c r="E4" s="83"/>
      <c r="F4" s="83"/>
      <c r="G4" s="84"/>
    </row>
    <row r="5" spans="1:7" ht="22" customHeight="1" x14ac:dyDescent="0.55000000000000004">
      <c r="A5" s="113" t="s">
        <v>107</v>
      </c>
      <c r="B5" s="71"/>
      <c r="C5" s="68"/>
      <c r="D5" s="28" t="str">
        <f>'VERİ GİRİŞİ'!E14</f>
        <v>OK - Hesaplanabilir</v>
      </c>
      <c r="E5" s="78" t="s">
        <v>108</v>
      </c>
      <c r="F5" s="71"/>
      <c r="G5" s="68"/>
    </row>
    <row r="6" spans="1:7" ht="22" customHeight="1" x14ac:dyDescent="0.55000000000000004">
      <c r="A6" s="114" t="s">
        <v>109</v>
      </c>
      <c r="B6" s="71"/>
      <c r="C6" s="68"/>
      <c r="D6" s="28">
        <f>'VERİ GİRİŞİ'!E28</f>
        <v>0</v>
      </c>
      <c r="E6" s="104" t="s">
        <v>110</v>
      </c>
      <c r="F6" s="71"/>
      <c r="G6" s="68"/>
    </row>
    <row r="7" spans="1:7" ht="22" customHeight="1" x14ac:dyDescent="0.55000000000000004">
      <c r="A7" s="113" t="s">
        <v>111</v>
      </c>
      <c r="B7" s="71"/>
      <c r="C7" s="68"/>
      <c r="D7" s="29">
        <f>'VERİ GİRİŞİ'!C51</f>
        <v>0</v>
      </c>
      <c r="E7" s="78" t="s">
        <v>112</v>
      </c>
      <c r="F7" s="71"/>
      <c r="G7" s="68"/>
    </row>
    <row r="8" spans="1:7" ht="22" customHeight="1" x14ac:dyDescent="0.55000000000000004">
      <c r="A8" s="114" t="s">
        <v>113</v>
      </c>
      <c r="B8" s="71"/>
      <c r="C8" s="68"/>
      <c r="D8" s="30" t="str">
        <f>'VERİ GİRİŞİ'!E47</f>
        <v>UYARI - 3 Kişi Şartı Sağlanmıyor!</v>
      </c>
      <c r="E8" s="104" t="s">
        <v>114</v>
      </c>
      <c r="F8" s="71"/>
      <c r="G8" s="68"/>
    </row>
    <row r="9" spans="1:7" ht="22" customHeight="1" x14ac:dyDescent="0.55000000000000004">
      <c r="A9" s="113" t="s">
        <v>115</v>
      </c>
      <c r="B9" s="71"/>
      <c r="C9" s="68"/>
      <c r="D9" s="28">
        <f>'VERİ GİRİŞİ'!C52</f>
        <v>0</v>
      </c>
      <c r="E9" s="78" t="s">
        <v>116</v>
      </c>
      <c r="F9" s="71"/>
      <c r="G9" s="68"/>
    </row>
    <row r="10" spans="1:7" ht="22" customHeight="1" x14ac:dyDescent="0.55000000000000004">
      <c r="A10" s="102" t="s">
        <v>117</v>
      </c>
      <c r="B10" s="71"/>
      <c r="C10" s="68"/>
      <c r="D10" s="31">
        <f>'VERİ GİRİŞİ'!C54</f>
        <v>0</v>
      </c>
      <c r="E10" s="87" t="s">
        <v>254</v>
      </c>
      <c r="F10" s="71"/>
      <c r="G10" s="68"/>
    </row>
    <row r="11" spans="1:7" ht="22" customHeight="1" x14ac:dyDescent="0.55000000000000004">
      <c r="A11" s="119" t="s">
        <v>118</v>
      </c>
      <c r="B11" s="71"/>
      <c r="C11" s="68"/>
      <c r="D11" s="21" t="s">
        <v>119</v>
      </c>
      <c r="E11" s="80" t="s">
        <v>120</v>
      </c>
      <c r="F11" s="71"/>
      <c r="G11" s="68"/>
    </row>
    <row r="12" spans="1:7" ht="5.05" customHeight="1" x14ac:dyDescent="0.55000000000000004">
      <c r="A12" s="1"/>
      <c r="B12" s="1"/>
      <c r="C12" s="1"/>
      <c r="D12" s="1"/>
      <c r="E12" s="1"/>
      <c r="F12" s="1"/>
      <c r="G12" s="1"/>
    </row>
    <row r="13" spans="1:7" ht="22" customHeight="1" x14ac:dyDescent="0.55000000000000004">
      <c r="A13" s="82" t="s">
        <v>121</v>
      </c>
      <c r="B13" s="83"/>
      <c r="C13" s="83"/>
      <c r="D13" s="83"/>
      <c r="E13" s="83"/>
      <c r="F13" s="83"/>
      <c r="G13" s="84"/>
    </row>
    <row r="14" spans="1:7" ht="76" customHeight="1" x14ac:dyDescent="0.55000000000000004">
      <c r="A14" s="109" t="s">
        <v>122</v>
      </c>
      <c r="B14" s="71"/>
      <c r="C14" s="71"/>
      <c r="D14" s="71"/>
      <c r="E14" s="71"/>
      <c r="F14" s="71"/>
      <c r="G14" s="68"/>
    </row>
    <row r="15" spans="1:7" ht="5.05" customHeight="1" x14ac:dyDescent="0.55000000000000004">
      <c r="A15" s="1"/>
      <c r="B15" s="1"/>
      <c r="C15" s="1"/>
      <c r="D15" s="1"/>
      <c r="E15" s="1"/>
      <c r="F15" s="1"/>
      <c r="G15" s="1"/>
    </row>
    <row r="16" spans="1:7" ht="22" customHeight="1" x14ac:dyDescent="0.55000000000000004">
      <c r="A16" s="82" t="s">
        <v>123</v>
      </c>
      <c r="B16" s="83"/>
      <c r="C16" s="83"/>
      <c r="D16" s="83"/>
      <c r="E16" s="83"/>
      <c r="F16" s="83"/>
      <c r="G16" s="84"/>
    </row>
    <row r="17" spans="1:7" ht="18" customHeight="1" x14ac:dyDescent="0.55000000000000004">
      <c r="A17" s="2"/>
      <c r="B17" s="2" t="s">
        <v>124</v>
      </c>
      <c r="C17" s="2"/>
      <c r="D17" s="2" t="s">
        <v>41</v>
      </c>
      <c r="E17" s="2"/>
      <c r="F17" s="2" t="s">
        <v>125</v>
      </c>
      <c r="G17" s="2"/>
    </row>
    <row r="18" spans="1:7" ht="20.05" customHeight="1" x14ac:dyDescent="0.55000000000000004">
      <c r="A18" s="32" t="s">
        <v>126</v>
      </c>
      <c r="B18" s="110" t="s">
        <v>127</v>
      </c>
      <c r="C18" s="68"/>
      <c r="D18" s="108" t="s">
        <v>128</v>
      </c>
      <c r="E18" s="68"/>
      <c r="F18" s="15" t="s">
        <v>129</v>
      </c>
      <c r="G18" s="35"/>
    </row>
    <row r="19" spans="1:7" ht="20.05" customHeight="1" x14ac:dyDescent="0.55000000000000004">
      <c r="A19" s="32" t="s">
        <v>130</v>
      </c>
      <c r="B19" s="110" t="s">
        <v>131</v>
      </c>
      <c r="C19" s="68"/>
      <c r="D19" s="108" t="s">
        <v>132</v>
      </c>
      <c r="E19" s="68"/>
      <c r="F19" s="15" t="s">
        <v>129</v>
      </c>
      <c r="G19" s="36"/>
    </row>
    <row r="20" spans="1:7" ht="20.05" customHeight="1" x14ac:dyDescent="0.55000000000000004">
      <c r="A20" s="32" t="s">
        <v>133</v>
      </c>
      <c r="B20" s="110" t="s">
        <v>134</v>
      </c>
      <c r="C20" s="68"/>
      <c r="D20" s="108" t="s">
        <v>135</v>
      </c>
      <c r="E20" s="68"/>
      <c r="F20" s="15" t="s">
        <v>129</v>
      </c>
      <c r="G20" s="35"/>
    </row>
    <row r="21" spans="1:7" ht="20.05" customHeight="1" x14ac:dyDescent="0.55000000000000004">
      <c r="A21" s="32" t="s">
        <v>136</v>
      </c>
      <c r="B21" s="110" t="s">
        <v>137</v>
      </c>
      <c r="C21" s="68"/>
      <c r="D21" s="108" t="s">
        <v>138</v>
      </c>
      <c r="E21" s="68"/>
      <c r="F21" s="15" t="s">
        <v>129</v>
      </c>
      <c r="G21" s="36"/>
    </row>
    <row r="22" spans="1:7" ht="20.05" customHeight="1" x14ac:dyDescent="0.55000000000000004">
      <c r="A22" s="32" t="s">
        <v>139</v>
      </c>
      <c r="B22" s="110" t="s">
        <v>140</v>
      </c>
      <c r="C22" s="68"/>
      <c r="D22" s="108" t="s">
        <v>141</v>
      </c>
      <c r="E22" s="68"/>
      <c r="F22" s="15" t="s">
        <v>129</v>
      </c>
      <c r="G22" s="35"/>
    </row>
    <row r="23" spans="1:7" ht="20.05" customHeight="1" x14ac:dyDescent="0.55000000000000004">
      <c r="A23" s="32" t="s">
        <v>142</v>
      </c>
      <c r="B23" s="112" t="s">
        <v>143</v>
      </c>
      <c r="C23" s="68"/>
      <c r="D23" s="115" t="s">
        <v>144</v>
      </c>
      <c r="E23" s="68"/>
      <c r="F23" s="15" t="s">
        <v>129</v>
      </c>
      <c r="G23" s="36"/>
    </row>
    <row r="24" spans="1:7" ht="20.05" customHeight="1" x14ac:dyDescent="0.55000000000000004">
      <c r="A24" s="32" t="s">
        <v>145</v>
      </c>
      <c r="B24" s="117" t="s">
        <v>146</v>
      </c>
      <c r="C24" s="68"/>
      <c r="D24" s="118" t="s">
        <v>147</v>
      </c>
      <c r="E24" s="68"/>
      <c r="F24" s="15" t="s">
        <v>129</v>
      </c>
      <c r="G24" s="35"/>
    </row>
    <row r="25" spans="1:7" ht="20.05" customHeight="1" x14ac:dyDescent="0.55000000000000004">
      <c r="A25" s="32" t="s">
        <v>148</v>
      </c>
      <c r="B25" s="110" t="s">
        <v>149</v>
      </c>
      <c r="C25" s="68"/>
      <c r="D25" s="108" t="s">
        <v>150</v>
      </c>
      <c r="E25" s="68"/>
      <c r="F25" s="15" t="s">
        <v>129</v>
      </c>
      <c r="G25" s="36"/>
    </row>
    <row r="26" spans="1:7" ht="20.05" customHeight="1" x14ac:dyDescent="0.55000000000000004">
      <c r="A26" s="32" t="s">
        <v>151</v>
      </c>
      <c r="B26" s="117" t="s">
        <v>152</v>
      </c>
      <c r="C26" s="68"/>
      <c r="D26" s="118" t="s">
        <v>153</v>
      </c>
      <c r="E26" s="68"/>
      <c r="F26" s="15" t="s">
        <v>129</v>
      </c>
      <c r="G26" s="35"/>
    </row>
    <row r="27" spans="1:7" ht="20.05" customHeight="1" x14ac:dyDescent="0.55000000000000004">
      <c r="A27" s="32" t="s">
        <v>154</v>
      </c>
      <c r="B27" s="112" t="s">
        <v>155</v>
      </c>
      <c r="C27" s="68"/>
      <c r="D27" s="115" t="s">
        <v>156</v>
      </c>
      <c r="E27" s="68"/>
      <c r="F27" s="15" t="s">
        <v>129</v>
      </c>
      <c r="G27" s="36"/>
    </row>
    <row r="28" spans="1:7" ht="20.05" customHeight="1" x14ac:dyDescent="0.55000000000000004">
      <c r="A28" s="32" t="s">
        <v>157</v>
      </c>
      <c r="B28" s="117" t="s">
        <v>158</v>
      </c>
      <c r="C28" s="68"/>
      <c r="D28" s="118" t="s">
        <v>20</v>
      </c>
      <c r="E28" s="68"/>
      <c r="F28" s="15" t="s">
        <v>129</v>
      </c>
      <c r="G28" s="35"/>
    </row>
  </sheetData>
  <mergeCells count="42">
    <mergeCell ref="A2:G2"/>
    <mergeCell ref="B26:C26"/>
    <mergeCell ref="A7:C7"/>
    <mergeCell ref="D26:E26"/>
    <mergeCell ref="A1:G1"/>
    <mergeCell ref="B19:C19"/>
    <mergeCell ref="B28:C28"/>
    <mergeCell ref="A9:C9"/>
    <mergeCell ref="D28:E28"/>
    <mergeCell ref="A16:G16"/>
    <mergeCell ref="D18:E18"/>
    <mergeCell ref="D25:E25"/>
    <mergeCell ref="B24:C24"/>
    <mergeCell ref="A11:C11"/>
    <mergeCell ref="D24:E24"/>
    <mergeCell ref="E5:G5"/>
    <mergeCell ref="B20:C20"/>
    <mergeCell ref="A6:C6"/>
    <mergeCell ref="E8:G8"/>
    <mergeCell ref="D23:E23"/>
    <mergeCell ref="B27:C27"/>
    <mergeCell ref="E6:G6"/>
    <mergeCell ref="D21:E21"/>
    <mergeCell ref="A13:G13"/>
    <mergeCell ref="B21:C21"/>
    <mergeCell ref="E11:G11"/>
    <mergeCell ref="A8:C8"/>
    <mergeCell ref="D27:E27"/>
    <mergeCell ref="B23:C23"/>
    <mergeCell ref="E7:G7"/>
    <mergeCell ref="A10:C10"/>
    <mergeCell ref="A4:G4"/>
    <mergeCell ref="B22:C22"/>
    <mergeCell ref="E9:G9"/>
    <mergeCell ref="D22:E22"/>
    <mergeCell ref="B18:C18"/>
    <mergeCell ref="A5:C5"/>
    <mergeCell ref="D20:E20"/>
    <mergeCell ref="E10:G10"/>
    <mergeCell ref="A14:G14"/>
    <mergeCell ref="B25:C25"/>
    <mergeCell ref="D19:E19"/>
  </mergeCells>
  <conditionalFormatting sqref="D5">
    <cfRule type="containsText" dxfId="3" priority="1" operator="containsText" text="OK">
      <formula>NOT(ISERROR(SEARCH("OK",D5)))</formula>
    </cfRule>
    <cfRule type="containsText" dxfId="2" priority="2" operator="containsText" text="HATA">
      <formula>NOT(ISERROR(SEARCH("HATA",D5)))</formula>
    </cfRule>
  </conditionalFormatting>
  <conditionalFormatting sqref="D8">
    <cfRule type="containsText" dxfId="1" priority="3" operator="containsText" text="OK">
      <formula>NOT(ISERROR(SEARCH("OK",D8)))</formula>
    </cfRule>
    <cfRule type="containsText" dxfId="0" priority="4" operator="containsText" text="UYARI">
      <formula>NOT(ISERROR(SEARCH("UYARI",D8)))</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
  <sheetViews>
    <sheetView workbookViewId="0"/>
  </sheetViews>
  <sheetFormatPr defaultRowHeight="14.4" x14ac:dyDescent="0.55000000000000004"/>
  <cols>
    <col min="1" max="1" width="4" customWidth="1"/>
    <col min="2" max="2" width="10" customWidth="1"/>
    <col min="3" max="3" width="28" customWidth="1"/>
    <col min="4" max="4" width="22" customWidth="1"/>
    <col min="5" max="6" width="14" customWidth="1"/>
    <col min="7" max="7" width="20" customWidth="1"/>
  </cols>
  <sheetData>
    <row r="1" spans="1:7" ht="32.049999999999997" customHeight="1" x14ac:dyDescent="0.55000000000000004">
      <c r="A1" s="82" t="s">
        <v>159</v>
      </c>
      <c r="B1" s="83"/>
      <c r="C1" s="83"/>
      <c r="D1" s="83"/>
      <c r="E1" s="83"/>
      <c r="F1" s="83"/>
      <c r="G1" s="84"/>
    </row>
    <row r="2" spans="1:7" ht="22" customHeight="1" x14ac:dyDescent="0.55000000000000004">
      <c r="A2" s="122" t="s">
        <v>160</v>
      </c>
      <c r="B2" s="71"/>
      <c r="C2" s="71"/>
      <c r="D2" s="71"/>
      <c r="E2" s="71"/>
      <c r="F2" s="71"/>
      <c r="G2" s="68"/>
    </row>
    <row r="3" spans="1:7" ht="18" customHeight="1" x14ac:dyDescent="0.55000000000000004">
      <c r="A3" s="39"/>
      <c r="B3" s="39" t="s">
        <v>161</v>
      </c>
      <c r="C3" s="39" t="s">
        <v>162</v>
      </c>
      <c r="D3" s="39" t="s">
        <v>84</v>
      </c>
      <c r="E3" s="39" t="s">
        <v>163</v>
      </c>
      <c r="F3" s="39" t="s">
        <v>164</v>
      </c>
      <c r="G3" s="39" t="s">
        <v>165</v>
      </c>
    </row>
    <row r="4" spans="1:7" ht="22" customHeight="1" x14ac:dyDescent="0.55000000000000004">
      <c r="A4" s="40" t="s">
        <v>163</v>
      </c>
      <c r="B4" s="40" t="s">
        <v>166</v>
      </c>
      <c r="C4" s="40" t="s">
        <v>167</v>
      </c>
      <c r="D4" s="40" t="s">
        <v>168</v>
      </c>
      <c r="E4" s="40" t="s">
        <v>169</v>
      </c>
      <c r="F4" s="40" t="s">
        <v>170</v>
      </c>
      <c r="G4" s="40" t="s">
        <v>171</v>
      </c>
    </row>
    <row r="5" spans="1:7" ht="22" customHeight="1" x14ac:dyDescent="0.55000000000000004">
      <c r="A5" s="123" t="s">
        <v>172</v>
      </c>
      <c r="B5" s="71"/>
      <c r="C5" s="71"/>
      <c r="D5" s="71"/>
      <c r="E5" s="71"/>
      <c r="F5" s="71"/>
      <c r="G5" s="68"/>
    </row>
    <row r="6" spans="1:7" ht="18" customHeight="1" x14ac:dyDescent="0.55000000000000004">
      <c r="A6" s="39"/>
      <c r="B6" s="39" t="s">
        <v>161</v>
      </c>
      <c r="C6" s="39" t="s">
        <v>162</v>
      </c>
      <c r="D6" s="39" t="s">
        <v>84</v>
      </c>
      <c r="E6" s="39" t="s">
        <v>163</v>
      </c>
      <c r="F6" s="39" t="s">
        <v>164</v>
      </c>
      <c r="G6" s="39" t="s">
        <v>165</v>
      </c>
    </row>
    <row r="7" spans="1:7" ht="22" customHeight="1" x14ac:dyDescent="0.55000000000000004">
      <c r="A7" s="40" t="s">
        <v>84</v>
      </c>
      <c r="B7" s="40" t="s">
        <v>173</v>
      </c>
      <c r="C7" s="40" t="s">
        <v>174</v>
      </c>
      <c r="D7" s="40" t="s">
        <v>175</v>
      </c>
      <c r="E7" s="40" t="s">
        <v>176</v>
      </c>
      <c r="F7" s="40" t="s">
        <v>170</v>
      </c>
      <c r="G7" s="40" t="s">
        <v>177</v>
      </c>
    </row>
    <row r="8" spans="1:7" ht="52" customHeight="1" x14ac:dyDescent="0.55000000000000004">
      <c r="A8" s="121" t="s">
        <v>178</v>
      </c>
      <c r="B8" s="71"/>
      <c r="C8" s="71"/>
      <c r="D8" s="71"/>
      <c r="E8" s="71"/>
      <c r="F8" s="71"/>
      <c r="G8" s="68"/>
    </row>
  </sheetData>
  <mergeCells count="4">
    <mergeCell ref="A8:G8"/>
    <mergeCell ref="A2:G2"/>
    <mergeCell ref="A1:G1"/>
    <mergeCell ref="A5:G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workbookViewId="0"/>
  </sheetViews>
  <sheetFormatPr defaultRowHeight="14.4" x14ac:dyDescent="0.55000000000000004"/>
  <cols>
    <col min="1" max="1" width="4" customWidth="1"/>
    <col min="2" max="2" width="24" customWidth="1"/>
    <col min="3" max="3" width="50" customWidth="1"/>
    <col min="4" max="4" width="22" customWidth="1"/>
  </cols>
  <sheetData>
    <row r="1" spans="1:7" ht="32.049999999999997" customHeight="1" x14ac:dyDescent="0.55000000000000004">
      <c r="A1" s="82" t="s">
        <v>179</v>
      </c>
      <c r="B1" s="83"/>
      <c r="C1" s="83"/>
      <c r="D1" s="83"/>
      <c r="E1" s="83"/>
      <c r="F1" s="83"/>
      <c r="G1" s="84"/>
    </row>
    <row r="2" spans="1:7" ht="20.05" customHeight="1" x14ac:dyDescent="0.55000000000000004">
      <c r="A2" s="99" t="s">
        <v>180</v>
      </c>
      <c r="B2" s="83"/>
      <c r="C2" s="83"/>
      <c r="D2" s="83"/>
      <c r="E2" s="83"/>
      <c r="F2" s="83"/>
      <c r="G2" s="84"/>
    </row>
    <row r="3" spans="1:7" ht="18" customHeight="1" x14ac:dyDescent="0.55000000000000004">
      <c r="A3" s="39" t="s">
        <v>181</v>
      </c>
      <c r="B3" s="39" t="s">
        <v>182</v>
      </c>
      <c r="C3" s="39" t="s">
        <v>183</v>
      </c>
      <c r="D3" s="39" t="s">
        <v>184</v>
      </c>
    </row>
    <row r="4" spans="1:7" ht="64" customHeight="1" x14ac:dyDescent="0.55000000000000004">
      <c r="A4" s="32" t="s">
        <v>185</v>
      </c>
      <c r="B4" s="38" t="s">
        <v>186</v>
      </c>
      <c r="C4" s="41" t="s">
        <v>187</v>
      </c>
      <c r="D4" s="42" t="s">
        <v>188</v>
      </c>
    </row>
    <row r="5" spans="1:7" ht="56.05" customHeight="1" x14ac:dyDescent="0.55000000000000004">
      <c r="A5" s="43" t="s">
        <v>189</v>
      </c>
      <c r="B5" s="33" t="s">
        <v>190</v>
      </c>
      <c r="C5" s="34" t="s">
        <v>191</v>
      </c>
      <c r="D5" s="44" t="s">
        <v>192</v>
      </c>
    </row>
    <row r="6" spans="1:7" ht="56.05" customHeight="1" x14ac:dyDescent="0.55000000000000004">
      <c r="A6" s="32" t="s">
        <v>193</v>
      </c>
      <c r="B6" s="38" t="s">
        <v>194</v>
      </c>
      <c r="C6" s="41" t="s">
        <v>195</v>
      </c>
      <c r="D6" s="42" t="s">
        <v>196</v>
      </c>
    </row>
    <row r="7" spans="1:7" ht="48" customHeight="1" x14ac:dyDescent="0.55000000000000004">
      <c r="A7" s="32" t="s">
        <v>197</v>
      </c>
      <c r="B7" s="38" t="s">
        <v>198</v>
      </c>
      <c r="C7" s="41" t="s">
        <v>199</v>
      </c>
      <c r="D7" s="42" t="s">
        <v>200</v>
      </c>
    </row>
    <row r="8" spans="1:7" ht="64" customHeight="1" x14ac:dyDescent="0.55000000000000004">
      <c r="A8" s="32" t="s">
        <v>201</v>
      </c>
      <c r="B8" s="37" t="s">
        <v>202</v>
      </c>
      <c r="C8" s="41" t="s">
        <v>203</v>
      </c>
      <c r="D8" s="45" t="s">
        <v>204</v>
      </c>
    </row>
    <row r="9" spans="1:7" ht="36" customHeight="1" x14ac:dyDescent="0.55000000000000004">
      <c r="A9" s="96" t="s">
        <v>205</v>
      </c>
      <c r="B9" s="71"/>
      <c r="C9" s="71"/>
      <c r="D9" s="68"/>
      <c r="E9" s="46"/>
      <c r="F9" s="46"/>
      <c r="G9" s="46"/>
    </row>
  </sheetData>
  <mergeCells count="3">
    <mergeCell ref="A9:D9"/>
    <mergeCell ref="A2:G2"/>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4"/>
  <sheetViews>
    <sheetView workbookViewId="0"/>
  </sheetViews>
  <sheetFormatPr defaultRowHeight="14.4" x14ac:dyDescent="0.55000000000000004"/>
  <cols>
    <col min="1" max="1" width="3" customWidth="1"/>
    <col min="2" max="2" width="8" customWidth="1"/>
    <col min="3" max="3" width="40" customWidth="1"/>
    <col min="4" max="4" width="34" customWidth="1"/>
    <col min="5" max="5" width="22" customWidth="1"/>
    <col min="6" max="6" width="3" customWidth="1"/>
  </cols>
  <sheetData>
    <row r="1" spans="1:7" ht="34" customHeight="1" x14ac:dyDescent="0.55000000000000004">
      <c r="A1" s="82" t="s">
        <v>206</v>
      </c>
      <c r="B1" s="83"/>
      <c r="C1" s="83"/>
      <c r="D1" s="83"/>
      <c r="E1" s="83"/>
      <c r="F1" s="83"/>
      <c r="G1" s="84"/>
    </row>
    <row r="2" spans="1:7" ht="20.05" customHeight="1" x14ac:dyDescent="0.55000000000000004">
      <c r="A2" s="99" t="s">
        <v>207</v>
      </c>
      <c r="B2" s="83"/>
      <c r="C2" s="83"/>
      <c r="D2" s="83"/>
      <c r="E2" s="83"/>
      <c r="F2" s="83"/>
      <c r="G2" s="84"/>
    </row>
    <row r="3" spans="1:7" ht="5.05" customHeight="1" x14ac:dyDescent="0.55000000000000004">
      <c r="A3" s="1"/>
      <c r="B3" s="1"/>
      <c r="C3" s="1"/>
      <c r="D3" s="1"/>
      <c r="E3" s="1"/>
      <c r="F3" s="1"/>
      <c r="G3" s="1"/>
    </row>
    <row r="4" spans="1:7" ht="22" customHeight="1" x14ac:dyDescent="0.55000000000000004">
      <c r="A4" s="125" t="s">
        <v>208</v>
      </c>
      <c r="B4" s="83"/>
      <c r="C4" s="83"/>
      <c r="D4" s="83"/>
      <c r="E4" s="83"/>
      <c r="F4" s="83"/>
      <c r="G4" s="84"/>
    </row>
    <row r="5" spans="1:7" ht="18" customHeight="1" x14ac:dyDescent="0.55000000000000004">
      <c r="A5" s="39"/>
      <c r="B5" s="39" t="s">
        <v>209</v>
      </c>
      <c r="C5" s="39" t="s">
        <v>210</v>
      </c>
      <c r="D5" s="39" t="s">
        <v>41</v>
      </c>
      <c r="E5" s="39" t="s">
        <v>211</v>
      </c>
      <c r="F5" s="39"/>
    </row>
    <row r="6" spans="1:7" ht="36" customHeight="1" x14ac:dyDescent="0.55000000000000004">
      <c r="A6" s="47"/>
      <c r="B6" s="48" t="s">
        <v>68</v>
      </c>
      <c r="C6" s="49" t="s">
        <v>212</v>
      </c>
      <c r="D6" s="50" t="s">
        <v>213</v>
      </c>
      <c r="E6" s="51" t="s">
        <v>214</v>
      </c>
      <c r="F6" s="47"/>
    </row>
    <row r="7" spans="1:7" ht="36" customHeight="1" x14ac:dyDescent="0.55000000000000004">
      <c r="A7" s="36"/>
      <c r="B7" s="52" t="s">
        <v>70</v>
      </c>
      <c r="C7" s="53" t="s">
        <v>215</v>
      </c>
      <c r="D7" s="50" t="s">
        <v>216</v>
      </c>
      <c r="E7" s="54" t="s">
        <v>217</v>
      </c>
      <c r="F7" s="36"/>
    </row>
    <row r="8" spans="1:7" ht="36" customHeight="1" x14ac:dyDescent="0.55000000000000004">
      <c r="A8" s="47"/>
      <c r="B8" s="48" t="s">
        <v>71</v>
      </c>
      <c r="C8" s="49" t="s">
        <v>218</v>
      </c>
      <c r="D8" s="50" t="s">
        <v>219</v>
      </c>
      <c r="E8" s="51" t="s">
        <v>220</v>
      </c>
      <c r="F8" s="47"/>
    </row>
    <row r="9" spans="1:7" ht="36" customHeight="1" x14ac:dyDescent="0.55000000000000004">
      <c r="A9" s="36"/>
      <c r="B9" s="52" t="s">
        <v>72</v>
      </c>
      <c r="C9" s="53" t="s">
        <v>221</v>
      </c>
      <c r="D9" s="50" t="s">
        <v>222</v>
      </c>
      <c r="E9" s="54" t="s">
        <v>223</v>
      </c>
      <c r="F9" s="36"/>
    </row>
    <row r="10" spans="1:7" ht="36" customHeight="1" x14ac:dyDescent="0.55000000000000004">
      <c r="A10" s="47"/>
      <c r="B10" s="48" t="s">
        <v>73</v>
      </c>
      <c r="C10" s="55" t="s">
        <v>224</v>
      </c>
      <c r="D10" s="50" t="s">
        <v>225</v>
      </c>
      <c r="E10" s="51" t="s">
        <v>226</v>
      </c>
      <c r="F10" s="47"/>
    </row>
    <row r="11" spans="1:7" ht="5.05" customHeight="1" x14ac:dyDescent="0.55000000000000004">
      <c r="A11" s="1"/>
      <c r="B11" s="1"/>
      <c r="C11" s="1"/>
      <c r="D11" s="1"/>
      <c r="E11" s="1"/>
      <c r="F11" s="1"/>
      <c r="G11" s="1"/>
    </row>
    <row r="12" spans="1:7" ht="22" customHeight="1" x14ac:dyDescent="0.55000000000000004">
      <c r="A12" s="124" t="s">
        <v>227</v>
      </c>
      <c r="B12" s="83"/>
      <c r="C12" s="83"/>
      <c r="D12" s="83"/>
      <c r="E12" s="83"/>
      <c r="F12" s="83"/>
      <c r="G12" s="84"/>
    </row>
    <row r="13" spans="1:7" ht="18" customHeight="1" x14ac:dyDescent="0.55000000000000004">
      <c r="A13" s="56"/>
      <c r="B13" s="56" t="s">
        <v>209</v>
      </c>
      <c r="C13" s="56" t="s">
        <v>5</v>
      </c>
      <c r="D13" s="56" t="s">
        <v>228</v>
      </c>
      <c r="E13" s="56" t="s">
        <v>229</v>
      </c>
      <c r="F13" s="56"/>
    </row>
    <row r="14" spans="1:7" ht="28" customHeight="1" x14ac:dyDescent="0.55000000000000004">
      <c r="A14" s="57"/>
      <c r="B14" s="58" t="s">
        <v>230</v>
      </c>
      <c r="C14" s="59" t="s">
        <v>127</v>
      </c>
      <c r="D14" s="60" t="s">
        <v>231</v>
      </c>
      <c r="E14" s="61" t="s">
        <v>232</v>
      </c>
      <c r="F14" s="57"/>
    </row>
    <row r="15" spans="1:7" ht="28" customHeight="1" x14ac:dyDescent="0.55000000000000004">
      <c r="A15" s="57"/>
      <c r="B15" s="58" t="s">
        <v>233</v>
      </c>
      <c r="C15" s="59" t="s">
        <v>131</v>
      </c>
      <c r="D15" s="60" t="s">
        <v>234</v>
      </c>
      <c r="E15" s="61" t="s">
        <v>232</v>
      </c>
      <c r="F15" s="57"/>
    </row>
    <row r="16" spans="1:7" ht="28" customHeight="1" x14ac:dyDescent="0.55000000000000004">
      <c r="A16" s="57"/>
      <c r="B16" s="58" t="s">
        <v>235</v>
      </c>
      <c r="C16" s="59" t="s">
        <v>236</v>
      </c>
      <c r="D16" s="60" t="s">
        <v>237</v>
      </c>
      <c r="E16" s="61" t="s">
        <v>232</v>
      </c>
      <c r="F16" s="57"/>
    </row>
    <row r="17" spans="1:7" ht="28" customHeight="1" x14ac:dyDescent="0.55000000000000004">
      <c r="A17" s="57"/>
      <c r="B17" s="58" t="s">
        <v>238</v>
      </c>
      <c r="C17" s="59" t="s">
        <v>239</v>
      </c>
      <c r="D17" s="60" t="s">
        <v>240</v>
      </c>
      <c r="E17" s="61" t="s">
        <v>232</v>
      </c>
      <c r="F17" s="57"/>
    </row>
    <row r="18" spans="1:7" ht="28" customHeight="1" x14ac:dyDescent="0.55000000000000004">
      <c r="A18" s="62"/>
      <c r="B18" s="63" t="s">
        <v>241</v>
      </c>
      <c r="C18" s="64" t="s">
        <v>242</v>
      </c>
      <c r="D18" s="65" t="s">
        <v>243</v>
      </c>
      <c r="E18" s="66" t="s">
        <v>232</v>
      </c>
      <c r="F18" s="62"/>
    </row>
    <row r="19" spans="1:7" ht="28" customHeight="1" x14ac:dyDescent="0.55000000000000004">
      <c r="A19" s="57"/>
      <c r="B19" s="58" t="s">
        <v>244</v>
      </c>
      <c r="C19" s="59" t="s">
        <v>245</v>
      </c>
      <c r="D19" s="60" t="s">
        <v>150</v>
      </c>
      <c r="E19" s="61" t="s">
        <v>232</v>
      </c>
      <c r="F19" s="57"/>
    </row>
    <row r="20" spans="1:7" ht="28" customHeight="1" x14ac:dyDescent="0.55000000000000004">
      <c r="A20" s="62"/>
      <c r="B20" s="63" t="s">
        <v>246</v>
      </c>
      <c r="C20" s="64" t="s">
        <v>247</v>
      </c>
      <c r="D20" s="65" t="s">
        <v>153</v>
      </c>
      <c r="E20" s="66" t="s">
        <v>232</v>
      </c>
      <c r="F20" s="62"/>
    </row>
    <row r="21" spans="1:7" ht="28" customHeight="1" x14ac:dyDescent="0.55000000000000004">
      <c r="A21" s="62"/>
      <c r="B21" s="63" t="s">
        <v>248</v>
      </c>
      <c r="C21" s="64" t="s">
        <v>249</v>
      </c>
      <c r="D21" s="65" t="s">
        <v>156</v>
      </c>
      <c r="E21" s="66" t="s">
        <v>232</v>
      </c>
      <c r="F21" s="62"/>
    </row>
    <row r="22" spans="1:7" ht="28" customHeight="1" x14ac:dyDescent="0.55000000000000004">
      <c r="A22" s="62"/>
      <c r="B22" s="63" t="s">
        <v>250</v>
      </c>
      <c r="C22" s="64" t="s">
        <v>251</v>
      </c>
      <c r="D22" s="65" t="s">
        <v>252</v>
      </c>
      <c r="E22" s="66" t="s">
        <v>232</v>
      </c>
      <c r="F22" s="62"/>
    </row>
    <row r="23" spans="1:7" ht="5.05" customHeight="1" x14ac:dyDescent="0.55000000000000004">
      <c r="A23" s="1"/>
      <c r="B23" s="1"/>
      <c r="C23" s="1"/>
      <c r="D23" s="1"/>
      <c r="E23" s="1"/>
      <c r="F23" s="1"/>
      <c r="G23" s="1"/>
    </row>
    <row r="24" spans="1:7" ht="52" customHeight="1" x14ac:dyDescent="0.55000000000000004">
      <c r="A24" s="96" t="s">
        <v>253</v>
      </c>
      <c r="B24" s="71"/>
      <c r="C24" s="71"/>
      <c r="D24" s="71"/>
      <c r="E24" s="71"/>
      <c r="F24" s="68"/>
      <c r="G24" s="46"/>
    </row>
  </sheetData>
  <mergeCells count="5">
    <mergeCell ref="A24:F24"/>
    <mergeCell ref="A1:G1"/>
    <mergeCell ref="A12:G12"/>
    <mergeCell ref="A4:G4"/>
    <mergeCell ref="A2:G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2026-04-07T09:09:15Z</dcterms:created>
  <dcterms:modified xsi:type="dcterms:W3CDTF">2026-04-07T09:12:58Z</dcterms:modified>
</cp:coreProperties>
</file>