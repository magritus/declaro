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C0061867-5CA5-4A3A-870A-71D970EC990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E59" i="1"/>
  <c r="D59" i="1"/>
  <c r="C46" i="1"/>
  <c r="D9" i="2" s="1"/>
  <c r="C42" i="1"/>
  <c r="D7" i="2" s="1"/>
  <c r="C41" i="1"/>
  <c r="C43" i="1" s="1"/>
  <c r="E15" i="1"/>
  <c r="D5" i="2" s="1"/>
  <c r="D8" i="2" l="1"/>
  <c r="C45" i="1"/>
  <c r="E62" i="1"/>
</calcChain>
</file>

<file path=xl/sharedStrings.xml><?xml version="1.0" encoding="utf-8"?>
<sst xmlns="http://schemas.openxmlformats.org/spreadsheetml/2006/main" count="377" uniqueCount="301">
  <si>
    <t>401 – RİSTURNLAR | KVK MADDE 5/1-i | KOOPERATİFLERDE ORTAK PAYI KAZANÇ İSTİSNASI | YMM TASDİK ÇALIŞMA KÂĞIDI</t>
  </si>
  <si>
    <t>KVK Md.5/1-i | Kooperatifin Ortaklarına Dağıttığı Risturn | Beyanname 401 | GİB KV Beyan Rehberi Mart 2026 (No:606) | ★ YİAKV MATRAHINDA DÜŞÜLEBİLİR</t>
  </si>
  <si>
    <t xml:space="preserve">  RİSTURN NEDİR? Kooperatiflerin, ortaklarıyla yaptıkları muameleler üzerinden hesapladıkları ve ortaklara işlem hacimleriyle orantılı olarak dağıttıkları kazanç payıdır.
  YASAL DAYANAK: KVK Madde 5/1-i — 'Kooperatiflerin ortakları için hesapladıkları risturnlar'
  KAPSAM: Yalnızca ORTAKLA yapılan muamelelerden doğan kazancın orantılı risturn kısmı. Ortakdışı muameleler kapsamda DEĞİLDİR. Kooperatifin ana sözleşme kapsamında faaliyet göstermesi zorunludur.
  ★ ÖNEMLI FARK (370-385'ten): Risturn istisnası (401) YİAKV MATRAHINDA DÜŞÜLEBİLİR.</t>
  </si>
  <si>
    <t xml:space="preserve">  ✓ YİAKV (KVK Md.32/C): 401 Risturn istisnası YİAKV matrahından DÜŞÜLEBİLİR. (YİAKV çalışma kâğıdı D.4 satırına — 'Risturn (KVK 5/1-i)' — yazılır.)</t>
  </si>
  <si>
    <t>A0. KAPSAM VE NİTELİK UYGUNLUK ÖN KONTROLÜ — KVK Md.5/1-i KOŞULLARI</t>
  </si>
  <si>
    <t>Kontrol Sorusu</t>
  </si>
  <si>
    <t>Yanıt</t>
  </si>
  <si>
    <t>YMM Tasdik Notu</t>
  </si>
  <si>
    <t>A0.1  ★ Kurum KVK kapsamında kooperatif midir? (Kooperatifler Kanunu veya özel kanun)</t>
  </si>
  <si>
    <t>EVET</t>
  </si>
  <si>
    <t>5/1-i yalnızca kooperatiflere uygulanır. Anonim, limited vb. için risturn istisnası yoktur. Kooperatifin kuruluş ve faaliyet belgesi incelenmeli.</t>
  </si>
  <si>
    <t>A0.2  ★ Kooperatif, ana sözleşmesinde belirtilen amaçlar doğrultusunda mı faaliyet gösteriyor?</t>
  </si>
  <si>
    <t>Ana sözleşme kapsamı dışındaki faaliyetlerden doğan kazanç risturn istisnasından yararlanamaz.</t>
  </si>
  <si>
    <t>A0.3  ★ Risturn, ORTAK muameleleri üzerinden mi hesaplanıyor?</t>
  </si>
  <si>
    <t>KVK 5/1-i şartı: Yalnızca ortaklarla yapılan muamelelerden doğan kazanç. Ortak dışı muamelelerden doğan kazanç ORTAK için hesaplanamaz — ayrıştırma zorunludur.</t>
  </si>
  <si>
    <t>A0.4  ★ Risturn ortaklara, işlem hacimleriyle ORANTILI olarak mı dağıtılıyor?</t>
  </si>
  <si>
    <t>Orantısız dağıtım (sermaye payı veya sabit tutarda) risturn niteliği taşımaz → İstisna uygulanamaz.</t>
  </si>
  <si>
    <t>A0.5  Risturn dağıtımı kooperatif genel kurulunca karara bağlandı mı?</t>
  </si>
  <si>
    <t>Risturn dağıtım kararı kooperatif genel kurulunca alınmış ve belgelenmiş olmalıdır.</t>
  </si>
  <si>
    <t>A0.6  Ortak-dışı muameleler ayrıştırıldı mı ve orantılama yapıldı mı?</t>
  </si>
  <si>
    <t>Ortak+Ortak dışı karma faaliyet varsa: Risturn istisnası = Toplam Kazanç × (Ortak Muamelesi / Toplam Muamele). Bu orantılama çalışma kâğıdında gösterilmeli.</t>
  </si>
  <si>
    <t>A0.7  YMM Tasdik Raporu (49 No.lu Tebliğ) değerlendirildi mi?</t>
  </si>
  <si>
    <t>&gt;=500.000 TL → YMM raporu.</t>
  </si>
  <si>
    <t>A0.8  Tasdik Uygunluk Sonucu</t>
  </si>
  <si>
    <t>★ A0.1 (kooperatif), A0.3 (ortak muamelesi), A0.4 (orantılılık) en kritik koşullar.</t>
  </si>
  <si>
    <t>A. GENEL BİLGİLER</t>
  </si>
  <si>
    <t>Kooperatif Unvanı</t>
  </si>
  <si>
    <t>Tam ticaret unvanı</t>
  </si>
  <si>
    <t>VKN</t>
  </si>
  <si>
    <t>10 haneli VKN</t>
  </si>
  <si>
    <t>Kooperatif Türü</t>
  </si>
  <si>
    <t>Yapı/Tüketim/Tarım/Üretim vb.</t>
  </si>
  <si>
    <t>Hesap Dönemi</t>
  </si>
  <si>
    <t>01.01.2025 – 31.12.2025</t>
  </si>
  <si>
    <t>KV Oranı (%)</t>
  </si>
  <si>
    <t>2025: %25</t>
  </si>
  <si>
    <t>Kurucu Kanun / Tescil No</t>
  </si>
  <si>
    <t>1163 s.K. veya özel kanun — Ticaret Sicil No</t>
  </si>
  <si>
    <t>Dosya Referansı</t>
  </si>
  <si>
    <t>YMM-2025/401-01</t>
  </si>
  <si>
    <t>B. KOOPERATİF FAALİYET VE MUAMELE ÖZETİ — ORTAK / ORTAK DIŞI AYRIŞTIRMA</t>
  </si>
  <si>
    <t xml:space="preserve">  ★ KVK 5/1-i KRİTİK: Risturn istisnası yalnızca ORTAK muamelelerinden doğan kazancı kapsar. Ortak dışı muameleler için hesaplanan kazanç bu istisnadan yararlanamaz. Karma faaliyet varsa ORANTILAMA ZORUNLUDUR.</t>
  </si>
  <si>
    <t>Parametre</t>
  </si>
  <si>
    <t>Tutar / Açıklama</t>
  </si>
  <si>
    <t>Hesaplama</t>
  </si>
  <si>
    <t>Kaynak</t>
  </si>
  <si>
    <t>B.1  Kooperatif Türü</t>
  </si>
  <si>
    <t>Tüketim Kooperatifi</t>
  </si>
  <si>
    <t>Risturn istisnasının niteliğini belirler.</t>
  </si>
  <si>
    <t>Ana sözleşme</t>
  </si>
  <si>
    <t>B.2  Toplam Hasılat / İşlem Hacmi (Dönem)</t>
  </si>
  <si>
    <t>Tüm faaliyetlerden (ortak+ortak dışı) toplam işlem hacmi.</t>
  </si>
  <si>
    <t>Yevmiye defteri</t>
  </si>
  <si>
    <t>B.3  ★ Ortak Muamelelerinden Doğan Hasılat / İşlem Hacmi</t>
  </si>
  <si>
    <t>Yalnızca ortaklarla yapılan muamele hacmi. Kooperatif kayıtlarından.</t>
  </si>
  <si>
    <t>Ortak defter/kayıt</t>
  </si>
  <si>
    <t>B.4  Ortak Dışı Muamelelerden Hasılat / İşlem Hacmi</t>
  </si>
  <si>
    <t>Formül: B.2 − B.3. Bu kısım risturn istisnasında kullanılmaz.</t>
  </si>
  <si>
    <t>B.5  ★ ORTALAMA ORANTI: Ortak Muamelesi / Toplam Muamele (%)</t>
  </si>
  <si>
    <t>Formül: B.3 / B.2 × 100. Bu oran karma faaliyette risturn hesabında kullanılır.</t>
  </si>
  <si>
    <t>Formül</t>
  </si>
  <si>
    <t>B.6  Dönem Net Kazancı (Beyanname Öncesi)</t>
  </si>
  <si>
    <t>Ticari bilanço kârı — vergiye tabi kazanç hesabına giriş noktası.</t>
  </si>
  <si>
    <t>Mali tablolar</t>
  </si>
  <si>
    <t>B.7  Risturn Dağıtım Türü</t>
  </si>
  <si>
    <t>Nakit Risturn</t>
  </si>
  <si>
    <t>Risturn şekli. Nakit veya pay olarak dağıtılabilir.</t>
  </si>
  <si>
    <t>GK kararı</t>
  </si>
  <si>
    <t>B.8  Genel Kurul Tarihi ve Karar Numarası</t>
  </si>
  <si>
    <t>Risturn dağıtım kararının alındığı genel kurul tarihi ve karar numarası.</t>
  </si>
  <si>
    <t>GK tutanağı</t>
  </si>
  <si>
    <t>C. RİSTURN İSTİSNASI HESAPLAMA TABLOSU — BEYANNAME 401</t>
  </si>
  <si>
    <t xml:space="preserve">  ADIM 1: Ortak muamelesi oranını belirle (B.5). ADIM 2: Net kazanç × Oran = Ortak kazancı (RK). ADIM 3: Dağıtılmaya karar verilen risturn = İstisna. ADIM 4: Dağıtılmayan kısım istisnaya GİRMEZ.</t>
  </si>
  <si>
    <t>Hesap Adımı</t>
  </si>
  <si>
    <t>Tutar / Oran</t>
  </si>
  <si>
    <t>Formül / Açıklama</t>
  </si>
  <si>
    <t>Beyanname</t>
  </si>
  <si>
    <t>C.1  Dönem Net Kazancı (Bilanço Kârı)</t>
  </si>
  <si>
    <t>B.6 referansı — ticari bilanço kârı</t>
  </si>
  <si>
    <t>C.2  ★ Ortak Muamelesi Oranı (%)</t>
  </si>
  <si>
    <t>B.5 referansı — Karma faaliyette orantılama</t>
  </si>
  <si>
    <t>C.3  ★ Ortakla Yapılan Muamelelerden Doğan Kazanç (C.1 × C.2)</t>
  </si>
  <si>
    <t>Risturn istisna tabanı — Bu tutarın tamamı değil dağıtılan kısmı istisnadır</t>
  </si>
  <si>
    <t>C.4  Genel Kurul Kararıyla Dağıtımına Karar Verilen Risturn</t>
  </si>
  <si>
    <t>GK kararındaki tutar — C.3'ü aşamaz</t>
  </si>
  <si>
    <t>C.5  Kapsam Dışı Kalan (Dağıtılmayan Kazanç)</t>
  </si>
  <si>
    <t>Bu kısım risturn istisnasından yararlanamaz — KV matrahında kalır</t>
  </si>
  <si>
    <t>C.6  ★ NET RİSTURN İSTİSNASI → BEYANNAME 401</t>
  </si>
  <si>
    <t>Dağıtılan risturn = 401 istisnası | Kazancın Bulunması Halinde</t>
  </si>
  <si>
    <t>Beyanname 401</t>
  </si>
  <si>
    <t>D. ORTAK BAZINDA RİSTURN DAĞITIM TABLOSU</t>
  </si>
  <si>
    <t xml:space="preserve">  Her ortak için işlem hacmi oranında risturn dağıtımı. SÜTUN 4: Oran = Ortak işlem / Toplam Ortak işlem. SÜTUN 5: Her ortağın hissesi = C.6 Net Risturn × Oran. İstisna kooperatifin beyannamesidir.</t>
  </si>
  <si>
    <t>Ortak Adı/No</t>
  </si>
  <si>
    <t>Üyelik No</t>
  </si>
  <si>
    <t>Dönem İşlem Hacmi (TL)</t>
  </si>
  <si>
    <t>Oran (%)</t>
  </si>
  <si>
    <t>Risturn Payı (TL)</t>
  </si>
  <si>
    <t>Ödeme Tarihi</t>
  </si>
  <si>
    <t>Ödeme Türü</t>
  </si>
  <si>
    <t>TOPLAM</t>
  </si>
  <si>
    <t>Toplam Ortak İşlem Hacmi</t>
  </si>
  <si>
    <t xml:space="preserve">  MUTABAKAT: D Tablosu Toplam Risturn (E59) = C Tablosu Net Risturn İstisna (C.6). Fark varsa GK kararı ve dağıtım listesi yeniden incelenmeli.</t>
  </si>
  <si>
    <t>E.1  RİSTURN İSTİSNASI → Beyanname Satır 401 (Kazancın Bulunması Halinde)</t>
  </si>
  <si>
    <t>C.6 = GK Kararıyla Dağıtılan Risturn | KVK Md.5/1-i</t>
  </si>
  <si>
    <t>E.2  YİAKV'de DURUM: Risturn İstisnası (401) YİAKV MATRAHINDA DÜŞÜLEBİLİR</t>
  </si>
  <si>
    <t>YİAKV Çalışma Kâğıdı D.4 satırına yazılır — KVK Md.5/1-i</t>
  </si>
  <si>
    <t xml:space="preserve">  ★ KRİTİK UYARILAR:
(1) ORTAK DIŞI MUAMELE: Ortakla yapılan muamele oranı doğru hesaplanmadıysa fazla istisna → Tarhiyat riski.
(2) ORANTILIK: Risturn, ortak işlem hacmiyle orantılı olmalı. Sabit tutarda veya sermayeye göre dağıtım → Reddedilir.
(3) GK KARARI: Genel kurul kararı olmadan dağıtılan risturn → İstisna uygulanamaz.
(4) YİAKV ✓: 401 Risturn DÜŞÜLEBILIR — KVK Geçici Md.14 (370-385) ile karıştırma.</t>
  </si>
  <si>
    <t>401 – RİSTURNLAR KVK Md.5/1-i | HESAPLAMALAR, DENETİM VE KVK KOŞULLARI</t>
  </si>
  <si>
    <t>Kooperatif Risturn İstisnası | Ortak Muamelesi Ayrıştırma | Beyanname 401 | YİAKV'de Düşülebilir</t>
  </si>
  <si>
    <t>A. TASDİK ÖZETİ</t>
  </si>
  <si>
    <t>A0 Uygunluğu</t>
  </si>
  <si>
    <t>OK ise devam</t>
  </si>
  <si>
    <t>Kooperatif Türü (B.1)</t>
  </si>
  <si>
    <t>Yapı/Tüketim/Tarım vb.</t>
  </si>
  <si>
    <t>Ortak Muamelesi Oranı (C.2)</t>
  </si>
  <si>
    <t>% — Karma faaliyette kritik</t>
  </si>
  <si>
    <t>Ortak Kazancı Tabanı (C.3)</t>
  </si>
  <si>
    <t>Net Kazanç × Oran</t>
  </si>
  <si>
    <t>401 NET RİSTURN (C.6)</t>
  </si>
  <si>
    <t>YİAKV Durumu</t>
  </si>
  <si>
    <t>KVK 5/1-i → DÜŞÜLEBILIR ✓</t>
  </si>
  <si>
    <t>YİAKV D.4 satırına yazılır</t>
  </si>
  <si>
    <t>B. KVK Md.5/1-i — YASAL KOŞULLAR VE YARGI KARARLARI ÖZETI</t>
  </si>
  <si>
    <t xml:space="preserve">  KVK Md.5/1-i RİSTURN İSTİSNASI — 5 TEMEL KOŞUL:
  KOŞ.1 — KOOPERATİF OLMAK: İstisna yalnızca kooperatiflere uygulanır. 5/1-i anonim veya limited şirketlere uygulanamaz.
  KOŞ.2 — ANA SÖZLEŞME KAPSAMI: Kooperatif, ana sözleşmesinde belirtilen amaçlar doğrultusunda faaliyet göstermeli. Kapsam dışı faaliyetten doğan kazanç istisna dışı.
  KOŞ.3 — ORTAKLA MUAMELE: Risturn, YALNIZCA ortaklarla yapılan muamelelerden doğan kazanç üzerinden hesaplanabilir. Ortak dışı muameleler orantılanır.
  KOŞ.4 — ORANTILIK: Risturn, ortakların işlem hacimleriyle orantılı olmalı. Sabit tutarda veya sermaye payına göre dağıtım → İstisna red.
  KOŞ.5 — GENEL KURUL KARARI: Dağıtım genel kurul kararına dayalı olmalı ve belgelenmeli.</t>
  </si>
  <si>
    <t>C. DENETİM KONTROL LİSTESİ (K1–K14)</t>
  </si>
  <si>
    <t>Kontrol</t>
  </si>
  <si>
    <t>Açıklama</t>
  </si>
  <si>
    <t>Sonuç</t>
  </si>
  <si>
    <t>K1</t>
  </si>
  <si>
    <t>★ Kurum kooperatif mi? (1163 s.K. veya özel kanun)</t>
  </si>
  <si>
    <t>Tescil belgesi, ana sözleşme, faaliyet belgesi.</t>
  </si>
  <si>
    <t>Uygun/Eksik/Risk</t>
  </si>
  <si>
    <t>K2</t>
  </si>
  <si>
    <t>★ Kooperatif ana sözleşme kapsamında mı faaliyet gösteriyor?</t>
  </si>
  <si>
    <t>Ana sözleşme faaliyet konusu ile fiili faaliyet örtüşmeli.</t>
  </si>
  <si>
    <t>K3</t>
  </si>
  <si>
    <t>★ Risturn ortak muamelelerine dayalı mı? Ortak dışı muamele ayrıştırıldı mı?</t>
  </si>
  <si>
    <t>B.3 / B.5 — Ortak işlem hacmi / Toplam işlem hacmi oranı.</t>
  </si>
  <si>
    <t>K4</t>
  </si>
  <si>
    <t>★ Orantılama (B.5) doğru hesaplandı mı?</t>
  </si>
  <si>
    <t>Ortak muamelesi / Toplam muamele × Net kazanç.</t>
  </si>
  <si>
    <t>K5</t>
  </si>
  <si>
    <t>★ Risturn dağıtımı ortakların işlem hacimleriyle orantılı mı? (D tablosu)</t>
  </si>
  <si>
    <t>Kişi başı risturn / Toplam risturn = Kişi işlemi / Toplam ortak işlemi.</t>
  </si>
  <si>
    <t>K6</t>
  </si>
  <si>
    <t>Genel kurul kararı var mı? (GK tarihi ve karar numarası)</t>
  </si>
  <si>
    <t>B.8 — GK tutanağı temin edilmiş.</t>
  </si>
  <si>
    <t>K7</t>
  </si>
  <si>
    <t>Risturn tutarı C.3'ü (ortak kazanç tabanı) aşmıyor mu?</t>
  </si>
  <si>
    <t>C.4 ≤ C.3 koşulu.</t>
  </si>
  <si>
    <t>K8</t>
  </si>
  <si>
    <t>Ortak dağıtım listesi (D tablosu) GK kararıyla uyumlu mu?</t>
  </si>
  <si>
    <t>Her ortağın aldığı risturn = GK kararındaki tutarla mutabık.</t>
  </si>
  <si>
    <t>K9</t>
  </si>
  <si>
    <t>D tablosu toplamı C.6 (Net Risturn) ile mutabık mı?</t>
  </si>
  <si>
    <t>E59 = C46 mutabakatı.</t>
  </si>
  <si>
    <t>K10</t>
  </si>
  <si>
    <t>✓ YİAKV D.4 satırına (Risturn 5/1-i) doğru yazıldı mı?</t>
  </si>
  <si>
    <t>Beyanname 401 tutarı YİAKV D.4'te — DÜŞÜLEBILIR.</t>
  </si>
  <si>
    <t>K11</t>
  </si>
  <si>
    <t>Beyanname 401 'Kazancın Bulunması Halinde' bölümünde mi?</t>
  </si>
  <si>
    <t>Zarar döneminde uygulanamaz.</t>
  </si>
  <si>
    <t>K12</t>
  </si>
  <si>
    <t>Kooperatif 2025 itibariyle KVK hükümleri uyarınca vergi mükellefi mi?</t>
  </si>
  <si>
    <t>Muaf kooperatifler bu istisna yerine muafiyet hükmünden yararlanır.</t>
  </si>
  <si>
    <t>K13</t>
  </si>
  <si>
    <t>Geçmiş dönem GK kararı bu dönemde uygulanıyor mu? (Dönem uyumu)</t>
  </si>
  <si>
    <t>Risturn hangi dönem kazancına ait? — Dönem uyumu kontrol.</t>
  </si>
  <si>
    <t>K14</t>
  </si>
  <si>
    <t>YMM Tasdik Raporu (49 No.lu Tebliğ) değerlendirildi mi?</t>
  </si>
  <si>
    <t>401 – RİSTURNLAR KVK Md.5/1-i | MUHASEBE KAYITLARI</t>
  </si>
  <si>
    <t>Risturn Tahakkuku | Nakit Dağıtım | Pay Olarak Dağıtım | KVK İstisna Beyanı</t>
  </si>
  <si>
    <t>KAYIT 1 — RİSTURN TAHAKKUKU (GENEL KURUL KARARI ÜZERİNE)</t>
  </si>
  <si>
    <t>Tarih</t>
  </si>
  <si>
    <t>Hesap</t>
  </si>
  <si>
    <t>Not</t>
  </si>
  <si>
    <t>Dr</t>
  </si>
  <si>
    <t>Kr</t>
  </si>
  <si>
    <t>Ref</t>
  </si>
  <si>
    <t>[GK Tarihi]</t>
  </si>
  <si>
    <t>590 Dönem Net Kârı</t>
  </si>
  <si>
    <t>Dönem kârından risturn ayırımı</t>
  </si>
  <si>
    <t>[Risturn Tutarı]</t>
  </si>
  <si>
    <t>—</t>
  </si>
  <si>
    <t>GK Kararı</t>
  </si>
  <si>
    <t>361 Ödenecek Sosyal Güvenlik Kes. / 361 Ortaklara Borçlar</t>
  </si>
  <si>
    <t>Risturn borcu — ortaklara ödeme yükümlülüğü</t>
  </si>
  <si>
    <t>GK Tutanağı</t>
  </si>
  <si>
    <t>KAYIT 2 — RİSTURN ÖDEME (NAKİT)</t>
  </si>
  <si>
    <t>[Ödeme Tarihi]</t>
  </si>
  <si>
    <t>361 Ortaklara Borçlar / Risturn Karşılığı</t>
  </si>
  <si>
    <t>Tahakkuk etmiş risturn borcunun ödenmesi</t>
  </si>
  <si>
    <t>[Tutar]</t>
  </si>
  <si>
    <t>Banka dekontu</t>
  </si>
  <si>
    <t>102 Bankalar</t>
  </si>
  <si>
    <t>Risturn nakit ödemesi</t>
  </si>
  <si>
    <t>Banka ekstresi</t>
  </si>
  <si>
    <t>KAYIT 3 — RİSTURN PAY OLARAK DAĞITIM (SERMAYE ARTIRIMINA KATILIM)</t>
  </si>
  <si>
    <t>Risturnun sermayeye eklenmesi kararı</t>
  </si>
  <si>
    <t>500 Ödenmiş Sermaye</t>
  </si>
  <si>
    <t>Ortakların pay artışı — KVK 5/1-i risturn (pay)</t>
  </si>
  <si>
    <t>Sermaye tescil</t>
  </si>
  <si>
    <t>NOT: BEYANNAME VE YİAKV BAĞLANTISI</t>
  </si>
  <si>
    <t xml:space="preserve">  BEYANNAME 401: Kooperatif, risturn olarak dağıttığı tutarı (C.6 Net Risturn) KV Beyannamesi'nin 'Risturnlar (KVK Md.5/1-i)' — Beyanname Satır 401 — bölümüne yazar.
  YİAKV DURUMU (★ FARK — 370-385'ten Farklı):
  ✓ Risturn istisnası (401) YİAKV matrahından DÜŞÜLEBİLİR.
  YİAKV Çalışma Kâğıdı D.4 satırına (Risturn KVK 5/1-i) yazılır.
  370-385 KVK Geçici Md.14 kodları YİAKV'de DÜŞÜLEMEZ iken risturn (401) DÜŞÜLEBILIR — karıştırmayın.</t>
  </si>
  <si>
    <t>401 – RİSTURNLAR KVK Md.5/1-i | DENETÇİ NOTLARI</t>
  </si>
  <si>
    <t>GİB KV Beyan Rehberi Mart 2026 (No:606) | KVK Md.5/1-i | Ortak Muamelesi | YİAKV'de Düşülebilir</t>
  </si>
  <si>
    <t>Kod</t>
  </si>
  <si>
    <t>Konu</t>
  </si>
  <si>
    <t>Mesleki Değerlendirme / Tasdik Standardı</t>
  </si>
  <si>
    <t>Mevzuat / Kaynak</t>
  </si>
  <si>
    <t>N1</t>
  </si>
  <si>
    <t>KVK Md.5/1-i — Risturn İstisnasının Tanımı ve Kapsamı</t>
  </si>
  <si>
    <t>RİSTURN (RISTOURNE) NEDİR?
Kooperatiflerin ortaklarına, ortaklıktan dolayı yaptıkları işlemler nedeniyle hesapladıkları ve dağıttıkları kazanç payıdır.
KVK Md.5/1-i HÜKMÜ:
'Kooperatiflerin ortakları için hesapladıkları risturnlar kurumlar vergisinden müstesnadır.'
RISTURNUN ÖZELLİKLERİ:
• Ortak işlem hacmiyle ORANTILI olmalı (sabit tutar → İstisna yok)
• Yalnızca ORTAK muamelelerinden doğan kazanç baz alınır
• Ana sözleşme kapsamı faaliyet zorunluluğu
• Genel kurul kararına dayanmalı
• Nakit veya pay olarak dağıtılabilir
YİAKV DURUMU: ✓ DÜŞÜLEBILIR — YİAKV D.4 satırına yazılır.
BEYANNAME: 401 | Kazancın Bulunması Halinde İndirilecek</t>
  </si>
  <si>
    <t>KVK Md.5/1-i | GİB KV Beyan Reh. 2026 (No:606) | 1163 s.K.</t>
  </si>
  <si>
    <t>N2</t>
  </si>
  <si>
    <t>★ Ortak vs Ortak Dışı Muamele Ayrıştırması — En Kritik Koşul</t>
  </si>
  <si>
    <t>ORTAK DIŞI MUAMELE SORUNU:
Kooperatiflerin bir kısmı hem ortaklarla hem ortak dışı kişilerle işlem yapar.
Bu durumda tüm kazanç risturn istisnasına tabi DEĞİLDİR.
HESAPLAMA:
Risturn İstisna Tabanı = Toplam Kazanç × (Ortak İşlem Hacmi / Toplam İşlem Hacmi)
Dağıtılabilecek Azami Risturn = Hesaplanan Taban Kazanç
ÖRNEK:
Toplam kazanç: 1.000.000 TL
Ortak muamelesi: 800.000 TL / Toplam muamele: 1.000.000 TL → Oran: %80
Risturn tabanı: 1.000.000 × %80 = 800.000 TL
GK kararıyla dağıtılan risturn: 600.000 TL
Beyanname 401: 600.000 TL ← Taban (800.000 TL) aşmadığı için tam istisna.
HATA: 1.000.000 TL tamamını 401'e yazmak → 200.000 TL fazla istisna → Tarhiyat.</t>
  </si>
  <si>
    <t>KVK Md.5/1-i | Danıştay KVKK Bölümü | GİB Özelge</t>
  </si>
  <si>
    <t>N3</t>
  </si>
  <si>
    <t>Risturnun Orantılılık Koşulu ve Genel Kurul Kararı</t>
  </si>
  <si>
    <t>ORANTILIK KOŞULU:
Risturn, ortakların İŞLEM HACMİYLE orantılı olmalıdır.
KABUL EDİLECEK DAĞITIM:
Ortak A: 100.000 TL işlem → %25 risturn
Ortak B: 200.000 TL işlem → %50 risturn
Ortak C: 100.000 TL işlem → %25 risturn
KABUL EDİLMEYECEK DAĞITIM:
Her ortağa sabit 10.000 TL (işlem hacminden bağımsız) → Risturn DEĞİL
Sermaye payına göre dağıtım → Risturn DEĞİL (kâr payı olarak değerlendirilir)
GENEL KURUL KARARI:
Risturn dağıtımı GK kararına dayanmalıdır. GK tutanağı asgari içerik:
• Toplam risturn tutarı
• Dağıtım tarihi ve şekli
• Ortak bazında dağıtım listesi onayı</t>
  </si>
  <si>
    <t>KVK Md.5/1-i | 1163 s.K. Md.38 | GİB Özelge</t>
  </si>
  <si>
    <t>N4</t>
  </si>
  <si>
    <t>YİAKV (KVK Md.32/C) ile Risturnun İlişkisi — 370-385'ten Temel Fark</t>
  </si>
  <si>
    <t>YİAKV VE RİSTURN — DÜŞÜLEBILIR İSTİSNA:
KVK Md.32/C kapsamında YİAKV hesaplamasında:
✓ Risturn istisnası (KVK 5/1-i) YİAKV MATRAHINDA DÜŞÜLEBİLİR
→ YİAKV Çalışma Kâğıdı D.4 satırı: 'Risturn Kazancı (KVK 5/1-i)'
BU NEDENLE 370-385 (KVK Geçici Md.14) İLE KARIŞTIRILMAMALI:
✗ KVK Geçici Md.14 kodları (370-385): YİAKV'de DÜŞÜLEMEZ (E.7)
✓ Risturn (401): YİAKV'de DÜŞÜLEBILIR (D.4)
BEYANNAME SIRALAMASI:
Önce: Beyanname 401 satırı → Risturn tutarı gir
Sonra: YİAKV D.4 satırı → Aynı tutar (YİAKV D.4 Risturn)
İkisi mutabık olmalı.</t>
  </si>
  <si>
    <t>KVK Md.32/C | KVK Md.5/1-i | GİB Rehberi No:607 | No:606</t>
  </si>
  <si>
    <t>N5</t>
  </si>
  <si>
    <t>49 No.lu Tebliğ + YMM Tasdik Dil Standardı</t>
  </si>
  <si>
    <t>KULLANIN:
'...Kooperatifimizin [dönem] hesap döneminde ortaklarıyla yaptığı muameleler üzerinden
hesaplanan ve [GK Tarihi] tarihli genel kurul kararıyla ortaklara işlem hacimleriyle
orantılı olarak dağıtılmasına karar verilen [Tutar] TL risturn, KVK Madde 5/1-i kapsamında
kurumlar vergisinden istisna edilmiş ve beyanname 401. satırına dahil edilmiştir.'
KULLANMAYIN:
'...Risturn YİAKV matrahından düşülemez.' (YANLIŞ — 401 DÜŞÜLEBILIR)
'...Ortak dışı muamele de risturn hesabına dahil edilmiştir.' (Kapsam hatası)
'...GK kararı olmaksızın risturn dağıtımı yapılmıştır.' (Koşul ihlali)
KRİTİK RİSKLER:
(1) Ortak dışı muamelelerden doğan kazancı risturn tabanına eklemek.
(2) Orantısız risturn dağıtımı (sabit tutar, sermaye payı).
(3) GK kararı olmadan risturn istisnası uygulamak.
(4) YİAKV D.4'e yazmayı unutmak (401 düşülebilir!).</t>
  </si>
  <si>
    <t>49 No.lu Tebliğ | KVK Md.5/1-i | 1163 s.K. | SM-SMMM-YMM K. Md.12</t>
  </si>
  <si>
    <t xml:space="preserve">  GİB KV BEYAN REHBERİ MART 2026 (No:606) KAPANIŞ (401 RİSTURN): Risturn = Kooperatifin ortak muamelesi kaynaklı kazancını orantılı olarak ortaklara dağıtması. 5 temel koşul: Kooperatif olmak + Ana sözleşme uygunluğu + Ortak muamelesi + Orantılılık + GK Kararı. ★ YİAKV D.4'e yazılır — DÜŞÜLEBILIR. YMM müteselsil sorumluluk: SM-SMMM-YMM Kanunu Md.12.</t>
  </si>
  <si>
    <t>401 – RİSTURNLAR KVK Md.5/1-i | BELGE LİSTESİ | YMM TASDİK</t>
  </si>
  <si>
    <t>GİB KV Beyan Rehberi Mart 2026 (No:606) | Ana Sözleşme | GK Kararı | Ortak İşlem Kayıtları</t>
  </si>
  <si>
    <t>KATEGORİ 1 — ZORUNLU BELGELER</t>
  </si>
  <si>
    <t>No</t>
  </si>
  <si>
    <t>Belge</t>
  </si>
  <si>
    <t>Temin</t>
  </si>
  <si>
    <t>1</t>
  </si>
  <si>
    <t>★ Kooperatif Ana Sözleşmesi ve Faaliyet Belgesi</t>
  </si>
  <si>
    <t>Ana sözleşme faaliyet konusu + kooperatifin bu kapsamda faaliyet gösterdiğini kanıtlayan belge.
YMM: Fiili faaliyet, ana sözleşme amacıyla örtüşüyor mu? A0.2 kontrolü.</t>
  </si>
  <si>
    <t>Ticaret sicili / Kooperatifler Merkez Birliği</t>
  </si>
  <si>
    <t>2</t>
  </si>
  <si>
    <t>★ Genel Kurul Tutanağı ve Risturn Dağıtım Kararı</t>
  </si>
  <si>
    <t>Risturn tutarı, dağıtım tarihi, şekli (nakit/pay) ve ortak bazında dağıtım listesinin onayı.
GK kararı olmadan risturn istisnası uygulanamaz.</t>
  </si>
  <si>
    <t>Kooperatif genel kurulu</t>
  </si>
  <si>
    <t>3</t>
  </si>
  <si>
    <t>★ Ortak Muamelesi Kayıtları — Dönem İşlem Hacmi (Ortak Bazında)</t>
  </si>
  <si>
    <t>Her ortağın dönem içinde kooperatifle yaptığı işlem hacmi.
D tablosundaki oran hesabının dayanağıdır. Kooperatif defterleri ve ortak hesaplarından.</t>
  </si>
  <si>
    <t>Kooperatif muhasebe kayıtları</t>
  </si>
  <si>
    <t>4</t>
  </si>
  <si>
    <t>★ Ortak / Ortak Dışı Muamele Ayrıştırma Analizi</t>
  </si>
  <si>
    <t>Toplam işlem hacmi içinde ortak ve ortak dışı muamele ayrımı.
Karma faaliyette C.2 (Oran) hesabının dayanağıdır.</t>
  </si>
  <si>
    <t>YMM tarafından hazırlanır</t>
  </si>
  <si>
    <t>5</t>
  </si>
  <si>
    <t>Ortak Risturn Dağıtım Listesi (Bordo / Dekont)</t>
  </si>
  <si>
    <t>Her ortağa ödenen risturn tutarları. D tablosu ile mutabık.</t>
  </si>
  <si>
    <t>Kooperatif muhasebesi</t>
  </si>
  <si>
    <t>6</t>
  </si>
  <si>
    <t>KV Beyannamesi — 401. Satır + YİAKV Çalışma Kâğıdı D.4</t>
  </si>
  <si>
    <t>Beyanname 401 = C.6 tutarı. ✓ YİAKV D.4'e de yazılmış (Risturn düşülebilir).</t>
  </si>
  <si>
    <t>GİB e-Beyanname + YİAKV ÇK</t>
  </si>
  <si>
    <t>KATEGORİ 2 — EK BELGELER</t>
  </si>
  <si>
    <t>7</t>
  </si>
  <si>
    <t>Ticaret Sicil Gazetesi / Kooperatif Tescil Belgesi</t>
  </si>
  <si>
    <t>Kooperatifin kuruluş ve tescil belgesi.</t>
  </si>
  <si>
    <t>Ticaret sicili / e-Devlet</t>
  </si>
  <si>
    <t>8</t>
  </si>
  <si>
    <t>Kooperatif Yönetim Kurulu Raporu (Risturn Hesabı)</t>
  </si>
  <si>
    <t>YK'nın risturn hesaplama yöntemi ve tutarı açıklayan raporu.</t>
  </si>
  <si>
    <t>Kooperatif YK</t>
  </si>
  <si>
    <t>KATEGORİ 3 — YMM TASDİK KONTROL SORULARI</t>
  </si>
  <si>
    <t>Beklenen Sonuç</t>
  </si>
  <si>
    <t>YMM Aksiyonu</t>
  </si>
  <si>
    <t>S1</t>
  </si>
  <si>
    <t>★ Kurum kooperatif mi? (Tescil belgesi)</t>
  </si>
  <si>
    <t>Evet — KVK 5/1-i yalnızca kooperatifler için.</t>
  </si>
  <si>
    <t>YMM kontrolü</t>
  </si>
  <si>
    <t>S2</t>
  </si>
  <si>
    <t>★ Ana sözleşme kapsamında faaliyet mı?</t>
  </si>
  <si>
    <t>Faaliyet belgesi + ana sözleşme örtüşmeli.</t>
  </si>
  <si>
    <t>S3</t>
  </si>
  <si>
    <t>★ Risturn ortak muamelelerinden mi hesaplandı?</t>
  </si>
  <si>
    <t>Ortak işlem hacmi kayıtları mevcut.</t>
  </si>
  <si>
    <t>S4</t>
  </si>
  <si>
    <t>★ Orantılama doğru yapıldı mı? (Karma faaliyette)</t>
  </si>
  <si>
    <t>B.5 = B.3/B.2. C.3 = C.1 × C.2.</t>
  </si>
  <si>
    <t>S5</t>
  </si>
  <si>
    <t>★ Risturn ortakların işlem hacmiyle orantılı mı? (D tablosu)</t>
  </si>
  <si>
    <t>Sabit tutar veya sermaye payı → Reddedilir.</t>
  </si>
  <si>
    <t>S6</t>
  </si>
  <si>
    <t>GK kararı var mı? Risturn tutarı GK kararındaki ile mutabık mı?</t>
  </si>
  <si>
    <t>S7</t>
  </si>
  <si>
    <t>D tablosu toplamı C.6 ile mutabık mı?</t>
  </si>
  <si>
    <t>E59 = C46 — tam mutabakat.</t>
  </si>
  <si>
    <t>S8</t>
  </si>
  <si>
    <t>✓ YİAKV D.4 satırına risturn tutarı yazıldı mı?</t>
  </si>
  <si>
    <t>Beyanname 401 = YİAKV D.4 — DÜŞÜLEBILIR.</t>
  </si>
  <si>
    <t>S9</t>
  </si>
  <si>
    <t>S10</t>
  </si>
  <si>
    <t xml:space="preserve">  GİB KV BEYAN REHBERİ MART 2026 (No:606) | 401 RİSTURN SON NOT:
  KVK Md.5/1-i — 5 koşul: ① Kooperatif ② Ana sözleşme kapsamı ③ Ortak muamelesi ④ Orantılılık ⑤ GK kararı.
  ★ YİAKV FARK: 401 Risturn YİAKV matrahından DÜŞÜLEBİLİR (D.4). 370-385 KVK Geçici Md.14 DÜŞÜLEMEZ. Karıştırmayın.
  Ortak dışı muamele ayrıştırması (B.5 oranlaması) YMM'nin birincil denetim odağı olmalıdır.
  YMM müteselsil sorumluluk: SM-SMMM-YMM Kanunu Md.12.</t>
  </si>
  <si>
    <t>C.6 Net Risturn ile mutabık olmalı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</si>
</sst>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C0392B"/>
      <name val="Arial"/>
    </font>
    <font>
      <i/>
      <sz val="8"/>
      <color rgb="FFBF360C"/>
      <name val="Arial"/>
    </font>
    <font>
      <sz val="9"/>
      <color rgb="FF1F3864"/>
      <name val="Arial"/>
    </font>
    <font>
      <b/>
      <sz val="10"/>
      <color rgb="FF1F3864"/>
      <name val="Arial"/>
    </font>
    <font>
      <b/>
      <sz val="10"/>
      <color rgb="FFC0392B"/>
      <name val="Arial"/>
    </font>
    <font>
      <b/>
      <sz val="9"/>
      <color rgb="FF1B5E20"/>
      <name val="Arial"/>
    </font>
    <font>
      <b/>
      <sz val="13"/>
      <color rgb="FF1B5E20"/>
      <name val="Arial"/>
    </font>
    <font>
      <b/>
      <sz val="11"/>
      <color rgb="FFFFFFFF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FFFFFF"/>
      <name val="Arial"/>
    </font>
    <font>
      <b/>
      <sz val="12"/>
      <color rgb="FF1B5E20"/>
      <name val="Arial"/>
    </font>
    <font>
      <sz val="8"/>
      <color rgb="FF333333"/>
      <name val="Arial"/>
    </font>
    <font>
      <b/>
      <sz val="36"/>
      <color rgb="FFFFFFFF"/>
      <name val="Arial"/>
    </font>
    <font>
      <sz val="8"/>
      <color rgb="FFFFFFFF"/>
      <name val="Arial"/>
    </font>
    <font>
      <b/>
      <sz val="8"/>
      <color rgb="FF1B5E20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BF360C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BE9E7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CBC"/>
      </patternFill>
    </fill>
    <fill>
      <patternFill patternType="solid">
        <fgColor rgb="FFFFF8E1"/>
      </patternFill>
    </fill>
    <fill>
      <patternFill patternType="solid">
        <fgColor rgb="FFFFF5F5"/>
      </patternFill>
    </fill>
    <fill>
      <patternFill patternType="solid">
        <fgColor rgb="FFE8F5E9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360C"/>
      </left>
      <right style="thin">
        <color rgb="FFBF360C"/>
      </right>
      <top style="thin">
        <color rgb="FFBF360C"/>
      </top>
      <bottom style="thin">
        <color rgb="FFBF360C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3" fontId="15" fillId="11" borderId="1" xfId="0" applyNumberFormat="1" applyFont="1" applyFill="1" applyBorder="1" applyAlignment="1">
      <alignment horizontal="right" vertical="center"/>
    </xf>
    <xf numFmtId="3" fontId="16" fillId="14" borderId="3" xfId="0" applyNumberFormat="1" applyFont="1" applyFill="1" applyBorder="1" applyAlignment="1">
      <alignment horizontal="right" vertical="center"/>
    </xf>
    <xf numFmtId="3" fontId="0" fillId="10" borderId="1" xfId="0" applyNumberFormat="1" applyFill="1" applyBorder="1" applyAlignment="1">
      <alignment horizontal="right" vertical="center"/>
    </xf>
    <xf numFmtId="3" fontId="18" fillId="13" borderId="4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3" fontId="14" fillId="10" borderId="1" xfId="0" applyNumberFormat="1" applyFont="1" applyFill="1" applyBorder="1" applyAlignment="1">
      <alignment horizontal="right" vertical="center"/>
    </xf>
    <xf numFmtId="10" fontId="14" fillId="14" borderId="1" xfId="0" applyNumberFormat="1" applyFont="1" applyFill="1" applyBorder="1" applyAlignment="1">
      <alignment horizontal="right" vertical="center"/>
    </xf>
    <xf numFmtId="3" fontId="14" fillId="1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right" vertical="center"/>
    </xf>
    <xf numFmtId="3" fontId="20" fillId="13" borderId="4" xfId="0" applyNumberFormat="1" applyFont="1" applyFill="1" applyBorder="1" applyAlignment="1">
      <alignment horizontal="right" vertical="center"/>
    </xf>
    <xf numFmtId="3" fontId="10" fillId="11" borderId="1" xfId="0" applyNumberFormat="1" applyFont="1" applyFill="1" applyBorder="1" applyAlignment="1">
      <alignment horizontal="center" vertical="center"/>
    </xf>
    <xf numFmtId="3" fontId="23" fillId="13" borderId="1" xfId="0" applyNumberFormat="1" applyFont="1" applyFill="1" applyBorder="1" applyAlignment="1">
      <alignment horizontal="right" vertical="center"/>
    </xf>
    <xf numFmtId="0" fontId="10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24" fillId="16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top" wrapText="1"/>
    </xf>
    <xf numFmtId="0" fontId="28" fillId="11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28" fillId="9" borderId="1" xfId="0" applyFont="1" applyFill="1" applyBorder="1" applyAlignment="1">
      <alignment horizontal="left" vertical="top" wrapText="1"/>
    </xf>
    <xf numFmtId="0" fontId="28" fillId="12" borderId="1" xfId="0" applyFont="1" applyFill="1" applyBorder="1" applyAlignment="1">
      <alignment horizontal="left" vertical="top" wrapText="1"/>
    </xf>
    <xf numFmtId="0" fontId="8" fillId="13" borderId="1" xfId="0" applyFont="1" applyFill="1" applyBorder="1" applyAlignment="1">
      <alignment horizontal="center" vertical="top"/>
    </xf>
    <xf numFmtId="0" fontId="8" fillId="13" borderId="1" xfId="0" applyFont="1" applyFill="1" applyBorder="1" applyAlignment="1">
      <alignment horizontal="left" vertical="top" wrapText="1"/>
    </xf>
    <xf numFmtId="0" fontId="24" fillId="19" borderId="1" xfId="0" applyFont="1" applyFill="1" applyBorder="1" applyAlignment="1">
      <alignment horizontal="left" vertical="top" wrapText="1"/>
    </xf>
    <xf numFmtId="0" fontId="28" fillId="13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8" fillId="20" borderId="1" xfId="0" applyFont="1" applyFill="1" applyBorder="1" applyAlignment="1">
      <alignment horizontal="center" vertical="top"/>
    </xf>
    <xf numFmtId="0" fontId="8" fillId="20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0" fontId="28" fillId="20" borderId="1" xfId="0" applyFont="1" applyFill="1" applyBorder="1" applyAlignment="1">
      <alignment horizontal="left" vertical="top" wrapText="1"/>
    </xf>
    <xf numFmtId="0" fontId="1" fillId="22" borderId="2" xfId="0" applyFont="1" applyFill="1" applyBorder="1" applyAlignment="1">
      <alignment horizontal="center" vertical="center"/>
    </xf>
    <xf numFmtId="0" fontId="0" fillId="23" borderId="1" xfId="0" applyFill="1" applyBorder="1"/>
    <xf numFmtId="0" fontId="30" fillId="23" borderId="1" xfId="0" applyFont="1" applyFill="1" applyBorder="1" applyAlignment="1">
      <alignment horizontal="center" vertical="top"/>
    </xf>
    <xf numFmtId="0" fontId="5" fillId="23" borderId="1" xfId="0" applyFont="1" applyFill="1" applyBorder="1" applyAlignment="1">
      <alignment horizontal="left" vertical="top" wrapText="1"/>
    </xf>
    <xf numFmtId="0" fontId="24" fillId="24" borderId="1" xfId="0" applyFont="1" applyFill="1" applyBorder="1" applyAlignment="1">
      <alignment horizontal="left" vertical="top" wrapText="1"/>
    </xf>
    <xf numFmtId="0" fontId="31" fillId="23" borderId="1" xfId="0" applyFont="1" applyFill="1" applyBorder="1" applyAlignment="1">
      <alignment horizontal="center" vertical="top"/>
    </xf>
    <xf numFmtId="0" fontId="30" fillId="20" borderId="1" xfId="0" applyFont="1" applyFill="1" applyBorder="1" applyAlignment="1">
      <alignment horizontal="center" vertical="top"/>
    </xf>
    <xf numFmtId="0" fontId="30" fillId="20" borderId="1" xfId="0" applyFont="1" applyFill="1" applyBorder="1" applyAlignment="1">
      <alignment horizontal="left" vertical="top" wrapText="1"/>
    </xf>
    <xf numFmtId="0" fontId="31" fillId="20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13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10" borderId="1" xfId="0" applyFill="1" applyBorder="1"/>
    <xf numFmtId="0" fontId="11" fillId="12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8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4" fillId="11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9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3" fontId="19" fillId="2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0" fillId="13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1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4" fillId="5" borderId="1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11" fillId="14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24" fillId="16" borderId="1" xfId="0" applyFont="1" applyFill="1" applyBorder="1" applyAlignment="1">
      <alignment horizontal="left" vertical="top" wrapText="1"/>
    </xf>
    <xf numFmtId="0" fontId="0" fillId="16" borderId="1" xfId="0" applyFill="1" applyBorder="1"/>
    <xf numFmtId="0" fontId="9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8" fillId="12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24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8" fillId="12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left" vertical="top" wrapText="1"/>
    </xf>
    <xf numFmtId="0" fontId="8" fillId="15" borderId="1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25" fillId="2" borderId="2" xfId="0" applyFont="1" applyFill="1" applyBorder="1" applyAlignment="1">
      <alignment horizontal="left" vertical="center"/>
    </xf>
    <xf numFmtId="0" fontId="27" fillId="17" borderId="4" xfId="0" applyFont="1" applyFill="1" applyBorder="1" applyAlignment="1">
      <alignment horizontal="left" vertical="center" wrapText="1"/>
    </xf>
    <xf numFmtId="0" fontId="0" fillId="17" borderId="4" xfId="0" applyFill="1" applyBorder="1"/>
    <xf numFmtId="0" fontId="26" fillId="3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29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9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22" borderId="5" xfId="0" applyFont="1" applyFill="1" applyBorder="1" applyAlignment="1">
      <alignment horizontal="left" vertical="center"/>
    </xf>
    <xf numFmtId="0" fontId="0" fillId="22" borderId="5" xfId="0" applyFill="1" applyBorder="1"/>
    <xf numFmtId="0" fontId="4" fillId="5" borderId="5" xfId="0" applyFont="1" applyFill="1" applyBorder="1" applyAlignment="1">
      <alignment horizontal="left" vertical="center"/>
    </xf>
    <xf numFmtId="0" fontId="0" fillId="5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35FC54-FB2E-4ADF-9761-345D9C167C1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0804472-e565-443a-890b-855f088745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F11" sqref="F11:G11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6" width="14" customWidth="1"/>
    <col min="7" max="7" width="22" customWidth="1"/>
  </cols>
  <sheetData>
    <row r="1" spans="1:7" ht="52" customHeight="1" x14ac:dyDescent="0.55000000000000004">
      <c r="A1" s="84" t="s">
        <v>0</v>
      </c>
      <c r="B1" s="85"/>
      <c r="C1" s="85"/>
      <c r="D1" s="85"/>
      <c r="E1" s="85"/>
      <c r="F1" s="85"/>
      <c r="G1" s="85"/>
    </row>
    <row r="2" spans="1:7" ht="22" customHeight="1" x14ac:dyDescent="0.55000000000000004">
      <c r="A2" s="99" t="s">
        <v>1</v>
      </c>
      <c r="B2" s="100"/>
      <c r="C2" s="100"/>
      <c r="D2" s="100"/>
      <c r="E2" s="100"/>
      <c r="F2" s="100"/>
      <c r="G2" s="100"/>
    </row>
    <row r="3" spans="1:7" ht="44.05" customHeight="1" x14ac:dyDescent="0.55000000000000004">
      <c r="A3" s="88" t="s">
        <v>2</v>
      </c>
      <c r="B3" s="89"/>
      <c r="C3" s="89"/>
      <c r="D3" s="89"/>
      <c r="E3" s="89"/>
      <c r="F3" s="89"/>
      <c r="G3" s="89"/>
    </row>
    <row r="4" spans="1:7" ht="22" customHeight="1" x14ac:dyDescent="0.55000000000000004">
      <c r="A4" s="92" t="s">
        <v>3</v>
      </c>
      <c r="B4" s="93"/>
      <c r="C4" s="93"/>
      <c r="D4" s="93"/>
      <c r="E4" s="93"/>
      <c r="F4" s="93"/>
      <c r="G4" s="93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7" t="s">
        <v>4</v>
      </c>
      <c r="B6" s="98"/>
      <c r="C6" s="98"/>
      <c r="D6" s="98"/>
      <c r="E6" s="98"/>
      <c r="F6" s="98"/>
      <c r="G6" s="98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2" t="s">
        <v>8</v>
      </c>
      <c r="B8" s="79"/>
      <c r="C8" s="79"/>
      <c r="D8" s="79"/>
      <c r="E8" s="3" t="s">
        <v>9</v>
      </c>
      <c r="F8" s="78" t="s">
        <v>10</v>
      </c>
      <c r="G8" s="79"/>
    </row>
    <row r="9" spans="1:7" ht="28" customHeight="1" x14ac:dyDescent="0.55000000000000004">
      <c r="A9" s="82" t="s">
        <v>11</v>
      </c>
      <c r="B9" s="79"/>
      <c r="C9" s="79"/>
      <c r="D9" s="79"/>
      <c r="E9" s="3" t="s">
        <v>9</v>
      </c>
      <c r="F9" s="78" t="s">
        <v>12</v>
      </c>
      <c r="G9" s="79"/>
    </row>
    <row r="10" spans="1:7" ht="28" customHeight="1" x14ac:dyDescent="0.55000000000000004">
      <c r="A10" s="82" t="s">
        <v>13</v>
      </c>
      <c r="B10" s="79"/>
      <c r="C10" s="79"/>
      <c r="D10" s="79"/>
      <c r="E10" s="3" t="s">
        <v>9</v>
      </c>
      <c r="F10" s="78" t="s">
        <v>14</v>
      </c>
      <c r="G10" s="79"/>
    </row>
    <row r="11" spans="1:7" ht="28" customHeight="1" x14ac:dyDescent="0.55000000000000004">
      <c r="A11" s="82" t="s">
        <v>15</v>
      </c>
      <c r="B11" s="79"/>
      <c r="C11" s="79"/>
      <c r="D11" s="79"/>
      <c r="E11" s="3" t="s">
        <v>9</v>
      </c>
      <c r="F11" s="78" t="s">
        <v>16</v>
      </c>
      <c r="G11" s="79"/>
    </row>
    <row r="12" spans="1:7" ht="28" customHeight="1" x14ac:dyDescent="0.55000000000000004">
      <c r="A12" s="75" t="s">
        <v>17</v>
      </c>
      <c r="B12" s="65"/>
      <c r="C12" s="65"/>
      <c r="D12" s="65"/>
      <c r="E12" s="3" t="s">
        <v>9</v>
      </c>
      <c r="F12" s="101" t="s">
        <v>18</v>
      </c>
      <c r="G12" s="65"/>
    </row>
    <row r="13" spans="1:7" ht="28" customHeight="1" x14ac:dyDescent="0.55000000000000004">
      <c r="A13" s="66" t="s">
        <v>19</v>
      </c>
      <c r="B13" s="61"/>
      <c r="C13" s="61"/>
      <c r="D13" s="61"/>
      <c r="E13" s="3" t="s">
        <v>9</v>
      </c>
      <c r="F13" s="74" t="s">
        <v>20</v>
      </c>
      <c r="G13" s="61"/>
    </row>
    <row r="14" spans="1:7" ht="28" customHeight="1" x14ac:dyDescent="0.55000000000000004">
      <c r="A14" s="75" t="s">
        <v>21</v>
      </c>
      <c r="B14" s="65"/>
      <c r="C14" s="65"/>
      <c r="D14" s="65"/>
      <c r="E14" s="3" t="s">
        <v>9</v>
      </c>
      <c r="F14" s="101" t="s">
        <v>22</v>
      </c>
      <c r="G14" s="65"/>
    </row>
    <row r="15" spans="1:7" ht="24" customHeight="1" x14ac:dyDescent="0.55000000000000004">
      <c r="A15" s="70" t="s">
        <v>23</v>
      </c>
      <c r="B15" s="68"/>
      <c r="C15" s="68"/>
      <c r="D15" s="68"/>
      <c r="E15" s="7" t="str">
        <f>IF(AND(E8="EVET",E9="EVET",E10="EVET",E11="EVET",E13="EVET"),"OK - Hesaplanabilir","HATA - Ön koşul eksik")</f>
        <v>OK - Hesaplanabilir</v>
      </c>
      <c r="F15" s="67" t="s">
        <v>24</v>
      </c>
      <c r="G15" s="68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58" t="s">
        <v>25</v>
      </c>
      <c r="B17" s="59"/>
      <c r="C17" s="59"/>
      <c r="D17" s="59"/>
      <c r="E17" s="59"/>
      <c r="F17" s="59"/>
      <c r="G17" s="59"/>
    </row>
    <row r="18" spans="1:7" ht="22" customHeight="1" x14ac:dyDescent="0.55000000000000004">
      <c r="A18" s="75" t="s">
        <v>26</v>
      </c>
      <c r="B18" s="65"/>
      <c r="C18" s="62"/>
      <c r="D18" s="62"/>
      <c r="E18" s="62"/>
      <c r="F18" s="8" t="s">
        <v>27</v>
      </c>
      <c r="G18" s="4"/>
    </row>
    <row r="19" spans="1:7" ht="22" customHeight="1" x14ac:dyDescent="0.55000000000000004">
      <c r="A19" s="66" t="s">
        <v>28</v>
      </c>
      <c r="B19" s="61"/>
      <c r="C19" s="62"/>
      <c r="D19" s="62"/>
      <c r="E19" s="62"/>
      <c r="F19" s="9" t="s">
        <v>29</v>
      </c>
      <c r="G19" s="5"/>
    </row>
    <row r="20" spans="1:7" ht="22" customHeight="1" x14ac:dyDescent="0.55000000000000004">
      <c r="A20" s="75" t="s">
        <v>30</v>
      </c>
      <c r="B20" s="65"/>
      <c r="C20" s="62"/>
      <c r="D20" s="62"/>
      <c r="E20" s="62"/>
      <c r="F20" s="8" t="s">
        <v>31</v>
      </c>
      <c r="G20" s="4"/>
    </row>
    <row r="21" spans="1:7" ht="22" customHeight="1" x14ac:dyDescent="0.55000000000000004">
      <c r="A21" s="66" t="s">
        <v>32</v>
      </c>
      <c r="B21" s="61"/>
      <c r="C21" s="62"/>
      <c r="D21" s="62"/>
      <c r="E21" s="62"/>
      <c r="F21" s="9" t="s">
        <v>33</v>
      </c>
      <c r="G21" s="5"/>
    </row>
    <row r="22" spans="1:7" ht="22" customHeight="1" x14ac:dyDescent="0.55000000000000004">
      <c r="A22" s="75" t="s">
        <v>34</v>
      </c>
      <c r="B22" s="65"/>
      <c r="C22" s="62"/>
      <c r="D22" s="62"/>
      <c r="E22" s="62"/>
      <c r="F22" s="8" t="s">
        <v>35</v>
      </c>
      <c r="G22" s="4"/>
    </row>
    <row r="23" spans="1:7" ht="22" customHeight="1" x14ac:dyDescent="0.55000000000000004">
      <c r="A23" s="66" t="s">
        <v>36</v>
      </c>
      <c r="B23" s="61"/>
      <c r="C23" s="62"/>
      <c r="D23" s="62"/>
      <c r="E23" s="62"/>
      <c r="F23" s="9" t="s">
        <v>37</v>
      </c>
      <c r="G23" s="5"/>
    </row>
    <row r="24" spans="1:7" ht="22" customHeight="1" x14ac:dyDescent="0.55000000000000004">
      <c r="A24" s="75" t="s">
        <v>38</v>
      </c>
      <c r="B24" s="65"/>
      <c r="C24" s="62"/>
      <c r="D24" s="62"/>
      <c r="E24" s="62"/>
      <c r="F24" s="8" t="s">
        <v>39</v>
      </c>
      <c r="G24" s="4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58" t="s">
        <v>40</v>
      </c>
      <c r="B26" s="59"/>
      <c r="C26" s="59"/>
      <c r="D26" s="59"/>
      <c r="E26" s="59"/>
      <c r="F26" s="59"/>
      <c r="G26" s="59"/>
    </row>
    <row r="27" spans="1:7" ht="24" customHeight="1" x14ac:dyDescent="0.55000000000000004">
      <c r="A27" s="106" t="s">
        <v>41</v>
      </c>
      <c r="B27" s="65"/>
      <c r="C27" s="65"/>
      <c r="D27" s="65"/>
      <c r="E27" s="65"/>
      <c r="F27" s="65"/>
      <c r="G27" s="65"/>
    </row>
    <row r="28" spans="1:7" ht="18" customHeight="1" x14ac:dyDescent="0.55000000000000004">
      <c r="A28" s="2"/>
      <c r="B28" s="2" t="s">
        <v>42</v>
      </c>
      <c r="C28" s="2"/>
      <c r="D28" s="2" t="s">
        <v>43</v>
      </c>
      <c r="E28" s="2"/>
      <c r="F28" s="2" t="s">
        <v>44</v>
      </c>
      <c r="G28" s="2" t="s">
        <v>45</v>
      </c>
    </row>
    <row r="29" spans="1:7" ht="26.05" customHeight="1" x14ac:dyDescent="0.55000000000000004">
      <c r="A29" s="66" t="s">
        <v>46</v>
      </c>
      <c r="B29" s="61"/>
      <c r="C29" s="3" t="s">
        <v>47</v>
      </c>
      <c r="D29" s="63" t="s">
        <v>48</v>
      </c>
      <c r="E29" s="61"/>
      <c r="F29" s="60" t="s">
        <v>49</v>
      </c>
      <c r="G29" s="61"/>
    </row>
    <row r="30" spans="1:7" ht="26.05" customHeight="1" x14ac:dyDescent="0.55000000000000004">
      <c r="A30" s="75" t="s">
        <v>50</v>
      </c>
      <c r="B30" s="65"/>
      <c r="C30" s="10"/>
      <c r="D30" s="64" t="s">
        <v>51</v>
      </c>
      <c r="E30" s="65"/>
      <c r="F30" s="81" t="s">
        <v>52</v>
      </c>
      <c r="G30" s="65"/>
    </row>
    <row r="31" spans="1:7" ht="26.05" customHeight="1" x14ac:dyDescent="0.55000000000000004">
      <c r="A31" s="71" t="s">
        <v>53</v>
      </c>
      <c r="B31" s="61"/>
      <c r="C31" s="10"/>
      <c r="D31" s="63" t="s">
        <v>54</v>
      </c>
      <c r="E31" s="61"/>
      <c r="F31" s="60" t="s">
        <v>55</v>
      </c>
      <c r="G31" s="61"/>
    </row>
    <row r="32" spans="1:7" ht="26.05" customHeight="1" x14ac:dyDescent="0.55000000000000004">
      <c r="A32" s="75" t="s">
        <v>56</v>
      </c>
      <c r="B32" s="65"/>
      <c r="C32" s="10"/>
      <c r="D32" s="64" t="s">
        <v>57</v>
      </c>
      <c r="E32" s="65"/>
      <c r="F32" s="81" t="s">
        <v>44</v>
      </c>
      <c r="G32" s="65"/>
    </row>
    <row r="33" spans="1:7" ht="26.05" customHeight="1" x14ac:dyDescent="0.55000000000000004">
      <c r="A33" s="71" t="s">
        <v>58</v>
      </c>
      <c r="B33" s="61"/>
      <c r="C33" s="10"/>
      <c r="D33" s="63" t="s">
        <v>59</v>
      </c>
      <c r="E33" s="61"/>
      <c r="F33" s="60" t="s">
        <v>60</v>
      </c>
      <c r="G33" s="61"/>
    </row>
    <row r="34" spans="1:7" ht="26.05" customHeight="1" x14ac:dyDescent="0.55000000000000004">
      <c r="A34" s="75" t="s">
        <v>61</v>
      </c>
      <c r="B34" s="65"/>
      <c r="C34" s="10"/>
      <c r="D34" s="64" t="s">
        <v>62</v>
      </c>
      <c r="E34" s="65"/>
      <c r="F34" s="81" t="s">
        <v>63</v>
      </c>
      <c r="G34" s="65"/>
    </row>
    <row r="35" spans="1:7" ht="26.05" customHeight="1" x14ac:dyDescent="0.55000000000000004">
      <c r="A35" s="66" t="s">
        <v>64</v>
      </c>
      <c r="B35" s="61"/>
      <c r="C35" s="3" t="s">
        <v>65</v>
      </c>
      <c r="D35" s="63" t="s">
        <v>66</v>
      </c>
      <c r="E35" s="61"/>
      <c r="F35" s="60" t="s">
        <v>67</v>
      </c>
      <c r="G35" s="61"/>
    </row>
    <row r="36" spans="1:7" ht="26.05" customHeight="1" x14ac:dyDescent="0.55000000000000004">
      <c r="A36" s="75" t="s">
        <v>68</v>
      </c>
      <c r="B36" s="65"/>
      <c r="C36" s="10"/>
      <c r="D36" s="64" t="s">
        <v>69</v>
      </c>
      <c r="E36" s="65"/>
      <c r="F36" s="81" t="s">
        <v>70</v>
      </c>
      <c r="G36" s="65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58" t="s">
        <v>71</v>
      </c>
      <c r="B38" s="59"/>
      <c r="C38" s="59"/>
      <c r="D38" s="59"/>
      <c r="E38" s="59"/>
      <c r="F38" s="59"/>
      <c r="G38" s="59"/>
    </row>
    <row r="39" spans="1:7" ht="26.05" customHeight="1" x14ac:dyDescent="0.55000000000000004">
      <c r="A39" s="69" t="s">
        <v>72</v>
      </c>
      <c r="B39" s="65"/>
      <c r="C39" s="65"/>
      <c r="D39" s="65"/>
      <c r="E39" s="65"/>
      <c r="F39" s="65"/>
      <c r="G39" s="65"/>
    </row>
    <row r="40" spans="1:7" ht="18" customHeight="1" x14ac:dyDescent="0.55000000000000004">
      <c r="A40" s="2"/>
      <c r="B40" s="2" t="s">
        <v>73</v>
      </c>
      <c r="C40" s="2"/>
      <c r="D40" s="2" t="s">
        <v>74</v>
      </c>
      <c r="E40" s="2"/>
      <c r="F40" s="2" t="s">
        <v>75</v>
      </c>
      <c r="G40" s="2" t="s">
        <v>76</v>
      </c>
    </row>
    <row r="41" spans="1:7" ht="28" customHeight="1" x14ac:dyDescent="0.55000000000000004">
      <c r="A41" s="66" t="s">
        <v>77</v>
      </c>
      <c r="B41" s="61"/>
      <c r="C41" s="11">
        <f>C34</f>
        <v>0</v>
      </c>
      <c r="D41" s="63" t="s">
        <v>78</v>
      </c>
      <c r="E41" s="61"/>
      <c r="F41" s="74"/>
      <c r="G41" s="61"/>
    </row>
    <row r="42" spans="1:7" ht="28" customHeight="1" x14ac:dyDescent="0.55000000000000004">
      <c r="A42" s="72" t="s">
        <v>79</v>
      </c>
      <c r="B42" s="73"/>
      <c r="C42" s="12">
        <f>C33</f>
        <v>0</v>
      </c>
      <c r="D42" s="105" t="s">
        <v>80</v>
      </c>
      <c r="E42" s="73"/>
      <c r="F42" s="76"/>
      <c r="G42" s="73"/>
    </row>
    <row r="43" spans="1:7" ht="28" customHeight="1" x14ac:dyDescent="0.55000000000000004">
      <c r="A43" s="72" t="s">
        <v>81</v>
      </c>
      <c r="B43" s="73"/>
      <c r="C43" s="12">
        <f>C41*C42/100</f>
        <v>0</v>
      </c>
      <c r="D43" s="105" t="s">
        <v>82</v>
      </c>
      <c r="E43" s="73"/>
      <c r="F43" s="76"/>
      <c r="G43" s="73"/>
    </row>
    <row r="44" spans="1:7" ht="28" customHeight="1" x14ac:dyDescent="0.55000000000000004">
      <c r="A44" s="75" t="s">
        <v>83</v>
      </c>
      <c r="B44" s="65"/>
      <c r="C44" s="13"/>
      <c r="D44" s="64" t="s">
        <v>84</v>
      </c>
      <c r="E44" s="65"/>
      <c r="F44" s="81" t="s">
        <v>70</v>
      </c>
      <c r="G44" s="65"/>
    </row>
    <row r="45" spans="1:7" ht="28" customHeight="1" x14ac:dyDescent="0.55000000000000004">
      <c r="A45" s="66" t="s">
        <v>85</v>
      </c>
      <c r="B45" s="61"/>
      <c r="C45" s="11">
        <f>C43-C44</f>
        <v>0</v>
      </c>
      <c r="D45" s="63" t="s">
        <v>86</v>
      </c>
      <c r="E45" s="61"/>
      <c r="F45" s="74"/>
      <c r="G45" s="61"/>
    </row>
    <row r="46" spans="1:7" ht="28" customHeight="1" x14ac:dyDescent="0.55000000000000004">
      <c r="A46" s="83" t="s">
        <v>87</v>
      </c>
      <c r="B46" s="68"/>
      <c r="C46" s="14">
        <f>C44</f>
        <v>0</v>
      </c>
      <c r="D46" s="102" t="s">
        <v>88</v>
      </c>
      <c r="E46" s="68"/>
      <c r="F46" s="87" t="s">
        <v>89</v>
      </c>
      <c r="G46" s="68"/>
    </row>
    <row r="47" spans="1:7" ht="5.05" customHeight="1" x14ac:dyDescent="0.55000000000000004">
      <c r="A47" s="1"/>
      <c r="B47" s="1"/>
      <c r="C47" s="1"/>
      <c r="D47" s="1"/>
      <c r="E47" s="1"/>
      <c r="F47" s="1"/>
      <c r="G47" s="1"/>
    </row>
    <row r="48" spans="1:7" ht="24" customHeight="1" x14ac:dyDescent="0.55000000000000004">
      <c r="A48" s="58" t="s">
        <v>90</v>
      </c>
      <c r="B48" s="59"/>
      <c r="C48" s="59"/>
      <c r="D48" s="59"/>
      <c r="E48" s="59"/>
      <c r="F48" s="59"/>
      <c r="G48" s="59"/>
    </row>
    <row r="49" spans="1:7" ht="24" customHeight="1" x14ac:dyDescent="0.55000000000000004">
      <c r="A49" s="69" t="s">
        <v>91</v>
      </c>
      <c r="B49" s="65"/>
      <c r="C49" s="65"/>
      <c r="D49" s="65"/>
      <c r="E49" s="65"/>
      <c r="F49" s="65"/>
      <c r="G49" s="65"/>
    </row>
    <row r="50" spans="1:7" ht="18" customHeight="1" x14ac:dyDescent="0.55000000000000004">
      <c r="A50" s="15" t="s">
        <v>92</v>
      </c>
      <c r="B50" s="15" t="s">
        <v>93</v>
      </c>
      <c r="C50" s="15" t="s">
        <v>94</v>
      </c>
      <c r="D50" s="15" t="s">
        <v>95</v>
      </c>
      <c r="E50" s="15" t="s">
        <v>96</v>
      </c>
      <c r="F50" s="15" t="s">
        <v>97</v>
      </c>
      <c r="G50" s="15" t="s">
        <v>98</v>
      </c>
    </row>
    <row r="51" spans="1:7" ht="24" customHeight="1" x14ac:dyDescent="0.55000000000000004">
      <c r="A51" s="16"/>
      <c r="B51" s="16"/>
      <c r="C51" s="17"/>
      <c r="D51" s="18"/>
      <c r="E51" s="19"/>
      <c r="F51" s="16"/>
      <c r="G51" s="16"/>
    </row>
    <row r="52" spans="1:7" ht="24" customHeight="1" x14ac:dyDescent="0.55000000000000004">
      <c r="A52" s="16"/>
      <c r="B52" s="16"/>
      <c r="C52" s="17"/>
      <c r="D52" s="18"/>
      <c r="E52" s="19"/>
      <c r="F52" s="16"/>
      <c r="G52" s="16"/>
    </row>
    <row r="53" spans="1:7" ht="24" customHeight="1" x14ac:dyDescent="0.55000000000000004">
      <c r="A53" s="16"/>
      <c r="B53" s="16"/>
      <c r="C53" s="17"/>
      <c r="D53" s="18"/>
      <c r="E53" s="19"/>
      <c r="F53" s="16"/>
      <c r="G53" s="16"/>
    </row>
    <row r="54" spans="1:7" ht="24" customHeight="1" x14ac:dyDescent="0.55000000000000004">
      <c r="A54" s="16"/>
      <c r="B54" s="16"/>
      <c r="C54" s="17"/>
      <c r="D54" s="18"/>
      <c r="E54" s="19"/>
      <c r="F54" s="16"/>
      <c r="G54" s="16"/>
    </row>
    <row r="55" spans="1:7" ht="24" customHeight="1" x14ac:dyDescent="0.55000000000000004">
      <c r="A55" s="16"/>
      <c r="B55" s="16"/>
      <c r="C55" s="17"/>
      <c r="D55" s="18"/>
      <c r="E55" s="19"/>
      <c r="F55" s="16"/>
      <c r="G55" s="16"/>
    </row>
    <row r="56" spans="1:7" ht="24" customHeight="1" x14ac:dyDescent="0.55000000000000004">
      <c r="A56" s="16"/>
      <c r="B56" s="16"/>
      <c r="C56" s="17"/>
      <c r="D56" s="18"/>
      <c r="E56" s="19"/>
      <c r="F56" s="16"/>
      <c r="G56" s="16"/>
    </row>
    <row r="57" spans="1:7" ht="24" customHeight="1" x14ac:dyDescent="0.55000000000000004">
      <c r="A57" s="16"/>
      <c r="B57" s="16"/>
      <c r="C57" s="17"/>
      <c r="D57" s="18"/>
      <c r="E57" s="19"/>
      <c r="F57" s="16"/>
      <c r="G57" s="16"/>
    </row>
    <row r="58" spans="1:7" ht="24" customHeight="1" x14ac:dyDescent="0.55000000000000004">
      <c r="A58" s="16"/>
      <c r="B58" s="16"/>
      <c r="C58" s="17"/>
      <c r="D58" s="18"/>
      <c r="E58" s="19"/>
      <c r="F58" s="16"/>
      <c r="G58" s="16"/>
    </row>
    <row r="59" spans="1:7" ht="28" customHeight="1" x14ac:dyDescent="0.55000000000000004">
      <c r="A59" s="20" t="s">
        <v>99</v>
      </c>
      <c r="B59" s="84" t="s">
        <v>100</v>
      </c>
      <c r="C59" s="85"/>
      <c r="D59" s="21">
        <f>SUM(D51:D58)</f>
        <v>0</v>
      </c>
      <c r="E59" s="77">
        <f>SUM(E51:E58)</f>
        <v>0</v>
      </c>
      <c r="F59" s="84" t="s">
        <v>300</v>
      </c>
      <c r="G59" s="85"/>
    </row>
    <row r="60" spans="1:7" ht="24" customHeight="1" x14ac:dyDescent="0.55000000000000004">
      <c r="A60" s="95" t="s">
        <v>101</v>
      </c>
      <c r="B60" s="96"/>
      <c r="C60" s="96"/>
      <c r="D60" s="96"/>
      <c r="E60" s="96"/>
      <c r="F60" s="96"/>
      <c r="G60" s="96"/>
    </row>
    <row r="61" spans="1:7" ht="5.05" customHeight="1" x14ac:dyDescent="0.55000000000000004">
      <c r="A61" s="1"/>
      <c r="B61" s="1"/>
      <c r="C61" s="1"/>
      <c r="D61" s="1"/>
      <c r="E61" s="1"/>
      <c r="F61" s="1"/>
      <c r="G61" s="1"/>
    </row>
    <row r="62" spans="1:7" ht="32.049999999999997" customHeight="1" x14ac:dyDescent="0.55000000000000004">
      <c r="A62" s="80" t="s">
        <v>102</v>
      </c>
      <c r="B62" s="68"/>
      <c r="C62" s="68"/>
      <c r="D62" s="68"/>
      <c r="E62" s="22">
        <f>C46</f>
        <v>0</v>
      </c>
      <c r="F62" s="86" t="s">
        <v>103</v>
      </c>
      <c r="G62" s="68"/>
    </row>
    <row r="63" spans="1:7" ht="32.049999999999997" customHeight="1" x14ac:dyDescent="0.55000000000000004">
      <c r="A63" s="94" t="s">
        <v>104</v>
      </c>
      <c r="B63" s="91"/>
      <c r="C63" s="91"/>
      <c r="D63" s="91"/>
      <c r="E63" s="90" t="s">
        <v>105</v>
      </c>
      <c r="F63" s="91"/>
      <c r="G63" s="91"/>
    </row>
    <row r="64" spans="1:7" ht="44.05" customHeight="1" x14ac:dyDescent="0.55000000000000004">
      <c r="A64" s="103" t="s">
        <v>106</v>
      </c>
      <c r="B64" s="104"/>
      <c r="C64" s="104"/>
      <c r="D64" s="104"/>
      <c r="E64" s="104"/>
      <c r="F64" s="104"/>
      <c r="G64" s="104"/>
    </row>
  </sheetData>
  <mergeCells count="93">
    <mergeCell ref="A64:G64"/>
    <mergeCell ref="F32:G32"/>
    <mergeCell ref="D41:E41"/>
    <mergeCell ref="A18:B18"/>
    <mergeCell ref="F41:G41"/>
    <mergeCell ref="F35:G35"/>
    <mergeCell ref="C19:E19"/>
    <mergeCell ref="D43:E43"/>
    <mergeCell ref="A20:B20"/>
    <mergeCell ref="A29:B29"/>
    <mergeCell ref="D42:E42"/>
    <mergeCell ref="A27:G27"/>
    <mergeCell ref="A44:B44"/>
    <mergeCell ref="A31:B31"/>
    <mergeCell ref="D44:E44"/>
    <mergeCell ref="F44:G44"/>
    <mergeCell ref="E63:G63"/>
    <mergeCell ref="A8:D8"/>
    <mergeCell ref="A4:G4"/>
    <mergeCell ref="A36:B36"/>
    <mergeCell ref="A38:G38"/>
    <mergeCell ref="A63:D63"/>
    <mergeCell ref="A10:D10"/>
    <mergeCell ref="F36:G36"/>
    <mergeCell ref="A60:G60"/>
    <mergeCell ref="F8:G8"/>
    <mergeCell ref="A21:B21"/>
    <mergeCell ref="A6:G6"/>
    <mergeCell ref="A32:B32"/>
    <mergeCell ref="A23:B23"/>
    <mergeCell ref="D30:E30"/>
    <mergeCell ref="A43:B43"/>
    <mergeCell ref="A1:G1"/>
    <mergeCell ref="F62:G62"/>
    <mergeCell ref="F31:G31"/>
    <mergeCell ref="F46:G46"/>
    <mergeCell ref="F9:G9"/>
    <mergeCell ref="C24:E24"/>
    <mergeCell ref="A3:G3"/>
    <mergeCell ref="D29:E29"/>
    <mergeCell ref="A34:B34"/>
    <mergeCell ref="A12:D12"/>
    <mergeCell ref="A2:G2"/>
    <mergeCell ref="F14:G14"/>
    <mergeCell ref="A14:D14"/>
    <mergeCell ref="F11:G11"/>
    <mergeCell ref="A24:B24"/>
    <mergeCell ref="B59:C59"/>
    <mergeCell ref="A9:D9"/>
    <mergeCell ref="F30:G30"/>
    <mergeCell ref="F33:G33"/>
    <mergeCell ref="F45:G45"/>
    <mergeCell ref="A46:B46"/>
    <mergeCell ref="F42:G42"/>
    <mergeCell ref="A11:D11"/>
    <mergeCell ref="D46:E46"/>
    <mergeCell ref="F12:G12"/>
    <mergeCell ref="D32:E32"/>
    <mergeCell ref="F10:G10"/>
    <mergeCell ref="D34:E34"/>
    <mergeCell ref="A62:D62"/>
    <mergeCell ref="C22:E22"/>
    <mergeCell ref="F34:G34"/>
    <mergeCell ref="A45:B45"/>
    <mergeCell ref="A49:G49"/>
    <mergeCell ref="F59:G59"/>
    <mergeCell ref="E59"/>
    <mergeCell ref="A26:G26"/>
    <mergeCell ref="C20:E20"/>
    <mergeCell ref="D35:E35"/>
    <mergeCell ref="A30:B30"/>
    <mergeCell ref="A48:G48"/>
    <mergeCell ref="A15:D15"/>
    <mergeCell ref="A33:B33"/>
    <mergeCell ref="A42:B42"/>
    <mergeCell ref="C18:E18"/>
    <mergeCell ref="A22:B22"/>
    <mergeCell ref="A35:B35"/>
    <mergeCell ref="F43:G43"/>
    <mergeCell ref="D33:E33"/>
    <mergeCell ref="A19:B19"/>
    <mergeCell ref="D45:E45"/>
    <mergeCell ref="A13:D13"/>
    <mergeCell ref="F15:G15"/>
    <mergeCell ref="A41:B41"/>
    <mergeCell ref="C23:E23"/>
    <mergeCell ref="A39:G39"/>
    <mergeCell ref="F13:G13"/>
    <mergeCell ref="A17:G17"/>
    <mergeCell ref="F29:G29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9">
    <dataValidation type="list" sqref="E8" xr:uid="{00000000-0002-0000-0000-000000000000}">
      <formula1>"EVET,HAYIR-Kooperatif Değil-İstisna Yok"</formula1>
    </dataValidation>
    <dataValidation type="list" sqref="E9" xr:uid="{00000000-0002-0000-0000-000001000000}">
      <formula1>"EVET,HAYIR-Kapsam Dışı Faaliyet"</formula1>
    </dataValidation>
    <dataValidation type="list" sqref="E10" xr:uid="{00000000-0002-0000-0000-000002000000}">
      <formula1>"EVET,HAYIR-Ortak Dışı Muamele"</formula1>
    </dataValidation>
    <dataValidation type="list" sqref="E11" xr:uid="{00000000-0002-0000-0000-000003000000}">
      <formula1>"EVET,HAYIR-Orantısız Dağıtım"</formula1>
    </dataValidation>
    <dataValidation type="list" sqref="E12" xr:uid="{00000000-0002-0000-0000-000004000000}">
      <formula1>"EVET,HAYIR-Karar Yok"</formula1>
    </dataValidation>
    <dataValidation type="list" sqref="E13" xr:uid="{00000000-0002-0000-0000-000005000000}">
      <formula1>"EVET,HAYIR-Ayrıştırma 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_xlfn._LONGTEXT("Yapı Kooperatifi (Konut/İşyeri),Tüketim Kooperatifi,Tarım Satış Kooperatifi,Tarım Kredi Kooperatifi,Üretim Kooperatifi,Tarımsal Kalkınma Kooperatifi,Su Ürünleri Kooperatifi,Nakliyeci Kooperatifi,Küçük Sanatkar Kooperatifi,Sigorta Kooperatifi,Diğer Koopera","tif")</formula1>
    </dataValidation>
    <dataValidation type="list" sqref="C35" xr:uid="{00000000-0002-0000-0000-000008000000}">
      <formula1>"Nakit Risturn,Pay Olarak Risturn,Karma (Nakit + Pay),Gelecek Döneme Devir"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23" t="s">
        <v>107</v>
      </c>
      <c r="B1" s="59"/>
      <c r="C1" s="59"/>
      <c r="D1" s="59"/>
      <c r="E1" s="59"/>
      <c r="F1" s="59"/>
      <c r="G1" s="59"/>
    </row>
    <row r="2" spans="1:7" ht="20.05" customHeight="1" x14ac:dyDescent="0.55000000000000004">
      <c r="A2" s="99" t="s">
        <v>108</v>
      </c>
      <c r="B2" s="100"/>
      <c r="C2" s="100"/>
      <c r="D2" s="100"/>
      <c r="E2" s="100"/>
      <c r="F2" s="100"/>
      <c r="G2" s="100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2" t="s">
        <v>109</v>
      </c>
      <c r="B4" s="93"/>
      <c r="C4" s="93"/>
      <c r="D4" s="93"/>
      <c r="E4" s="93"/>
      <c r="F4" s="93"/>
      <c r="G4" s="93"/>
    </row>
    <row r="5" spans="1:7" ht="22" customHeight="1" x14ac:dyDescent="0.55000000000000004">
      <c r="A5" s="119" t="s">
        <v>110</v>
      </c>
      <c r="B5" s="61"/>
      <c r="C5" s="61"/>
      <c r="D5" s="23" t="str">
        <f>'VERİ GİRİŞİ'!E15</f>
        <v>OK - Hesaplanabilir</v>
      </c>
      <c r="E5" s="74" t="s">
        <v>111</v>
      </c>
      <c r="F5" s="61"/>
      <c r="G5" s="61"/>
    </row>
    <row r="6" spans="1:7" ht="22" customHeight="1" x14ac:dyDescent="0.55000000000000004">
      <c r="A6" s="120" t="s">
        <v>112</v>
      </c>
      <c r="B6" s="65"/>
      <c r="C6" s="65"/>
      <c r="D6" s="23" t="str">
        <f>'VERİ GİRİŞİ'!C29</f>
        <v>Tüketim Kooperatifi</v>
      </c>
      <c r="E6" s="101" t="s">
        <v>113</v>
      </c>
      <c r="F6" s="65"/>
      <c r="G6" s="65"/>
    </row>
    <row r="7" spans="1:7" ht="22" customHeight="1" x14ac:dyDescent="0.55000000000000004">
      <c r="A7" s="119" t="s">
        <v>114</v>
      </c>
      <c r="B7" s="61"/>
      <c r="C7" s="61"/>
      <c r="D7" s="23">
        <f>'VERİ GİRİŞİ'!C42</f>
        <v>0</v>
      </c>
      <c r="E7" s="74" t="s">
        <v>115</v>
      </c>
      <c r="F7" s="61"/>
      <c r="G7" s="61"/>
    </row>
    <row r="8" spans="1:7" ht="22" customHeight="1" x14ac:dyDescent="0.55000000000000004">
      <c r="A8" s="120" t="s">
        <v>116</v>
      </c>
      <c r="B8" s="65"/>
      <c r="C8" s="65"/>
      <c r="D8" s="23">
        <f>'VERİ GİRİŞİ'!C43</f>
        <v>0</v>
      </c>
      <c r="E8" s="101" t="s">
        <v>117</v>
      </c>
      <c r="F8" s="65"/>
      <c r="G8" s="65"/>
    </row>
    <row r="9" spans="1:7" ht="22" customHeight="1" x14ac:dyDescent="0.55000000000000004">
      <c r="A9" s="70" t="s">
        <v>118</v>
      </c>
      <c r="B9" s="68"/>
      <c r="C9" s="68"/>
      <c r="D9" s="24">
        <f>'VERİ GİRİŞİ'!C46</f>
        <v>0</v>
      </c>
      <c r="E9" s="114"/>
      <c r="F9" s="68"/>
      <c r="G9" s="68"/>
    </row>
    <row r="10" spans="1:7" ht="22" customHeight="1" x14ac:dyDescent="0.55000000000000004">
      <c r="A10" s="122" t="s">
        <v>119</v>
      </c>
      <c r="B10" s="110"/>
      <c r="C10" s="110"/>
      <c r="D10" s="25" t="s">
        <v>120</v>
      </c>
      <c r="E10" s="109" t="s">
        <v>121</v>
      </c>
      <c r="F10" s="110"/>
      <c r="G10" s="11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58" t="s">
        <v>122</v>
      </c>
      <c r="B12" s="59"/>
      <c r="C12" s="59"/>
      <c r="D12" s="59"/>
      <c r="E12" s="59"/>
      <c r="F12" s="59"/>
      <c r="G12" s="59"/>
    </row>
    <row r="13" spans="1:7" ht="72" customHeight="1" x14ac:dyDescent="0.55000000000000004">
      <c r="A13" s="117" t="s">
        <v>123</v>
      </c>
      <c r="B13" s="118"/>
      <c r="C13" s="118"/>
      <c r="D13" s="118"/>
      <c r="E13" s="118"/>
      <c r="F13" s="118"/>
      <c r="G13" s="118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58" t="s">
        <v>124</v>
      </c>
      <c r="B15" s="59"/>
      <c r="C15" s="59"/>
      <c r="D15" s="59"/>
      <c r="E15" s="59"/>
      <c r="F15" s="59"/>
      <c r="G15" s="59"/>
    </row>
    <row r="16" spans="1:7" ht="18" customHeight="1" x14ac:dyDescent="0.55000000000000004">
      <c r="A16" s="2"/>
      <c r="B16" s="2" t="s">
        <v>125</v>
      </c>
      <c r="C16" s="2"/>
      <c r="D16" s="2" t="s">
        <v>126</v>
      </c>
      <c r="E16" s="2"/>
      <c r="F16" s="2" t="s">
        <v>127</v>
      </c>
      <c r="G16" s="2"/>
    </row>
    <row r="17" spans="1:7" ht="22" customHeight="1" x14ac:dyDescent="0.55000000000000004">
      <c r="A17" s="26" t="s">
        <v>128</v>
      </c>
      <c r="B17" s="116" t="s">
        <v>129</v>
      </c>
      <c r="C17" s="79"/>
      <c r="D17" s="107" t="s">
        <v>130</v>
      </c>
      <c r="E17" s="108"/>
      <c r="F17" s="29" t="s">
        <v>131</v>
      </c>
      <c r="G17" s="5"/>
    </row>
    <row r="18" spans="1:7" ht="22" customHeight="1" x14ac:dyDescent="0.55000000000000004">
      <c r="A18" s="26" t="s">
        <v>132</v>
      </c>
      <c r="B18" s="116" t="s">
        <v>133</v>
      </c>
      <c r="C18" s="79"/>
      <c r="D18" s="107" t="s">
        <v>134</v>
      </c>
      <c r="E18" s="108"/>
      <c r="F18" s="29" t="s">
        <v>131</v>
      </c>
      <c r="G18" s="4"/>
    </row>
    <row r="19" spans="1:7" ht="22" customHeight="1" x14ac:dyDescent="0.55000000000000004">
      <c r="A19" s="26" t="s">
        <v>135</v>
      </c>
      <c r="B19" s="116" t="s">
        <v>136</v>
      </c>
      <c r="C19" s="79"/>
      <c r="D19" s="107" t="s">
        <v>137</v>
      </c>
      <c r="E19" s="108"/>
      <c r="F19" s="29" t="s">
        <v>131</v>
      </c>
      <c r="G19" s="5"/>
    </row>
    <row r="20" spans="1:7" ht="22" customHeight="1" x14ac:dyDescent="0.55000000000000004">
      <c r="A20" s="26" t="s">
        <v>138</v>
      </c>
      <c r="B20" s="116" t="s">
        <v>139</v>
      </c>
      <c r="C20" s="79"/>
      <c r="D20" s="107" t="s">
        <v>140</v>
      </c>
      <c r="E20" s="108"/>
      <c r="F20" s="29" t="s">
        <v>131</v>
      </c>
      <c r="G20" s="4"/>
    </row>
    <row r="21" spans="1:7" ht="22" customHeight="1" x14ac:dyDescent="0.55000000000000004">
      <c r="A21" s="26" t="s">
        <v>141</v>
      </c>
      <c r="B21" s="116" t="s">
        <v>142</v>
      </c>
      <c r="C21" s="79"/>
      <c r="D21" s="107" t="s">
        <v>143</v>
      </c>
      <c r="E21" s="108"/>
      <c r="F21" s="29" t="s">
        <v>131</v>
      </c>
      <c r="G21" s="5"/>
    </row>
    <row r="22" spans="1:7" ht="22" customHeight="1" x14ac:dyDescent="0.55000000000000004">
      <c r="A22" s="26" t="s">
        <v>144</v>
      </c>
      <c r="B22" s="113" t="s">
        <v>145</v>
      </c>
      <c r="C22" s="65"/>
      <c r="D22" s="115" t="s">
        <v>146</v>
      </c>
      <c r="E22" s="65"/>
      <c r="F22" s="29" t="s">
        <v>131</v>
      </c>
      <c r="G22" s="4"/>
    </row>
    <row r="23" spans="1:7" ht="22" customHeight="1" x14ac:dyDescent="0.55000000000000004">
      <c r="A23" s="26" t="s">
        <v>147</v>
      </c>
      <c r="B23" s="111" t="s">
        <v>148</v>
      </c>
      <c r="C23" s="61"/>
      <c r="D23" s="121" t="s">
        <v>149</v>
      </c>
      <c r="E23" s="61"/>
      <c r="F23" s="29" t="s">
        <v>131</v>
      </c>
      <c r="G23" s="5"/>
    </row>
    <row r="24" spans="1:7" ht="22" customHeight="1" x14ac:dyDescent="0.55000000000000004">
      <c r="A24" s="26" t="s">
        <v>150</v>
      </c>
      <c r="B24" s="113" t="s">
        <v>151</v>
      </c>
      <c r="C24" s="65"/>
      <c r="D24" s="115" t="s">
        <v>152</v>
      </c>
      <c r="E24" s="65"/>
      <c r="F24" s="29" t="s">
        <v>131</v>
      </c>
      <c r="G24" s="4"/>
    </row>
    <row r="25" spans="1:7" ht="22" customHeight="1" x14ac:dyDescent="0.55000000000000004">
      <c r="A25" s="26" t="s">
        <v>153</v>
      </c>
      <c r="B25" s="111" t="s">
        <v>154</v>
      </c>
      <c r="C25" s="61"/>
      <c r="D25" s="121" t="s">
        <v>155</v>
      </c>
      <c r="E25" s="61"/>
      <c r="F25" s="29" t="s">
        <v>131</v>
      </c>
      <c r="G25" s="5"/>
    </row>
    <row r="26" spans="1:7" ht="22" customHeight="1" x14ac:dyDescent="0.55000000000000004">
      <c r="A26" s="26" t="s">
        <v>156</v>
      </c>
      <c r="B26" s="113" t="s">
        <v>157</v>
      </c>
      <c r="C26" s="65"/>
      <c r="D26" s="115" t="s">
        <v>158</v>
      </c>
      <c r="E26" s="65"/>
      <c r="F26" s="29" t="s">
        <v>131</v>
      </c>
      <c r="G26" s="4"/>
    </row>
    <row r="27" spans="1:7" ht="22" customHeight="1" x14ac:dyDescent="0.55000000000000004">
      <c r="A27" s="26" t="s">
        <v>159</v>
      </c>
      <c r="B27" s="111" t="s">
        <v>160</v>
      </c>
      <c r="C27" s="61"/>
      <c r="D27" s="121" t="s">
        <v>161</v>
      </c>
      <c r="E27" s="61"/>
      <c r="F27" s="29" t="s">
        <v>131</v>
      </c>
      <c r="G27" s="5"/>
    </row>
    <row r="28" spans="1:7" ht="22" customHeight="1" x14ac:dyDescent="0.55000000000000004">
      <c r="A28" s="26" t="s">
        <v>162</v>
      </c>
      <c r="B28" s="113" t="s">
        <v>163</v>
      </c>
      <c r="C28" s="65"/>
      <c r="D28" s="115" t="s">
        <v>164</v>
      </c>
      <c r="E28" s="65"/>
      <c r="F28" s="29" t="s">
        <v>131</v>
      </c>
      <c r="G28" s="4"/>
    </row>
    <row r="29" spans="1:7" ht="22" customHeight="1" x14ac:dyDescent="0.55000000000000004">
      <c r="A29" s="26" t="s">
        <v>165</v>
      </c>
      <c r="B29" s="111" t="s">
        <v>166</v>
      </c>
      <c r="C29" s="61"/>
      <c r="D29" s="121" t="s">
        <v>167</v>
      </c>
      <c r="E29" s="61"/>
      <c r="F29" s="29" t="s">
        <v>131</v>
      </c>
      <c r="G29" s="5"/>
    </row>
    <row r="30" spans="1:7" ht="22" customHeight="1" x14ac:dyDescent="0.55000000000000004">
      <c r="A30" s="26" t="s">
        <v>168</v>
      </c>
      <c r="B30" s="113" t="s">
        <v>169</v>
      </c>
      <c r="C30" s="65"/>
      <c r="D30" s="115" t="s">
        <v>22</v>
      </c>
      <c r="E30" s="65"/>
      <c r="F30" s="29" t="s">
        <v>131</v>
      </c>
      <c r="G30" s="4"/>
    </row>
  </sheetData>
  <mergeCells count="46">
    <mergeCell ref="B30:C30"/>
    <mergeCell ref="D24:E24"/>
    <mergeCell ref="D30:E30"/>
    <mergeCell ref="E5:G5"/>
    <mergeCell ref="B20:C20"/>
    <mergeCell ref="D29:E29"/>
    <mergeCell ref="A6:C6"/>
    <mergeCell ref="E8:G8"/>
    <mergeCell ref="A12:G12"/>
    <mergeCell ref="D23:E23"/>
    <mergeCell ref="B26:C26"/>
    <mergeCell ref="A7:C7"/>
    <mergeCell ref="D26:E26"/>
    <mergeCell ref="A1:G1"/>
    <mergeCell ref="B29:C29"/>
    <mergeCell ref="B19:C19"/>
    <mergeCell ref="B28:C28"/>
    <mergeCell ref="A9:C9"/>
    <mergeCell ref="D28:E28"/>
    <mergeCell ref="D18:E18"/>
    <mergeCell ref="D25:E25"/>
    <mergeCell ref="B24:C24"/>
    <mergeCell ref="A2:G2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24" t="s">
        <v>170</v>
      </c>
      <c r="B1" s="59"/>
      <c r="C1" s="59"/>
      <c r="D1" s="59"/>
      <c r="E1" s="59"/>
      <c r="F1" s="59"/>
      <c r="G1" s="59"/>
    </row>
    <row r="2" spans="1:7" ht="20.05" customHeight="1" x14ac:dyDescent="0.55000000000000004">
      <c r="A2" s="127" t="s">
        <v>171</v>
      </c>
      <c r="B2" s="100"/>
      <c r="C2" s="100"/>
      <c r="D2" s="100"/>
      <c r="E2" s="100"/>
      <c r="F2" s="100"/>
      <c r="G2" s="100"/>
    </row>
    <row r="4" spans="1:7" ht="26.05" customHeight="1" x14ac:dyDescent="0.55000000000000004">
      <c r="A4" s="58" t="s">
        <v>172</v>
      </c>
      <c r="B4" s="59"/>
      <c r="C4" s="59"/>
      <c r="D4" s="59"/>
      <c r="E4" s="59"/>
      <c r="F4" s="59"/>
      <c r="G4" s="59"/>
    </row>
    <row r="5" spans="1:7" ht="18" customHeight="1" x14ac:dyDescent="0.55000000000000004">
      <c r="A5" s="32"/>
      <c r="B5" s="32" t="s">
        <v>173</v>
      </c>
      <c r="C5" s="32" t="s">
        <v>174</v>
      </c>
      <c r="D5" s="32" t="s">
        <v>175</v>
      </c>
      <c r="E5" s="32" t="s">
        <v>176</v>
      </c>
      <c r="F5" s="32" t="s">
        <v>177</v>
      </c>
      <c r="G5" s="32" t="s">
        <v>178</v>
      </c>
    </row>
    <row r="6" spans="1:7" ht="24" customHeight="1" x14ac:dyDescent="0.55000000000000004">
      <c r="A6" s="33" t="s">
        <v>176</v>
      </c>
      <c r="B6" s="33" t="s">
        <v>179</v>
      </c>
      <c r="C6" s="33" t="s">
        <v>180</v>
      </c>
      <c r="D6" s="33" t="s">
        <v>181</v>
      </c>
      <c r="E6" s="33" t="s">
        <v>182</v>
      </c>
      <c r="F6" s="33" t="s">
        <v>183</v>
      </c>
      <c r="G6" s="33" t="s">
        <v>184</v>
      </c>
    </row>
    <row r="7" spans="1:7" ht="24" customHeight="1" x14ac:dyDescent="0.55000000000000004">
      <c r="A7" s="34" t="s">
        <v>177</v>
      </c>
      <c r="B7" s="34" t="s">
        <v>179</v>
      </c>
      <c r="C7" s="34" t="s">
        <v>185</v>
      </c>
      <c r="D7" s="34" t="s">
        <v>186</v>
      </c>
      <c r="E7" s="34" t="s">
        <v>183</v>
      </c>
      <c r="F7" s="34" t="s">
        <v>182</v>
      </c>
      <c r="G7" s="34" t="s">
        <v>187</v>
      </c>
    </row>
    <row r="8" spans="1:7" ht="26.05" customHeight="1" x14ac:dyDescent="0.55000000000000004">
      <c r="A8" s="58" t="s">
        <v>188</v>
      </c>
      <c r="B8" s="59"/>
      <c r="C8" s="59"/>
      <c r="D8" s="59"/>
      <c r="E8" s="59"/>
      <c r="F8" s="59"/>
      <c r="G8" s="59"/>
    </row>
    <row r="9" spans="1:7" ht="18" customHeight="1" x14ac:dyDescent="0.55000000000000004">
      <c r="A9" s="32"/>
      <c r="B9" s="32" t="s">
        <v>173</v>
      </c>
      <c r="C9" s="32" t="s">
        <v>174</v>
      </c>
      <c r="D9" s="32" t="s">
        <v>175</v>
      </c>
      <c r="E9" s="32" t="s">
        <v>176</v>
      </c>
      <c r="F9" s="32" t="s">
        <v>177</v>
      </c>
      <c r="G9" s="32" t="s">
        <v>178</v>
      </c>
    </row>
    <row r="10" spans="1:7" ht="24" customHeight="1" x14ac:dyDescent="0.55000000000000004">
      <c r="A10" s="33" t="s">
        <v>176</v>
      </c>
      <c r="B10" s="33" t="s">
        <v>189</v>
      </c>
      <c r="C10" s="33" t="s">
        <v>190</v>
      </c>
      <c r="D10" s="33" t="s">
        <v>191</v>
      </c>
      <c r="E10" s="33" t="s">
        <v>192</v>
      </c>
      <c r="F10" s="33" t="s">
        <v>183</v>
      </c>
      <c r="G10" s="33" t="s">
        <v>193</v>
      </c>
    </row>
    <row r="11" spans="1:7" ht="24" customHeight="1" x14ac:dyDescent="0.55000000000000004">
      <c r="A11" s="34" t="s">
        <v>177</v>
      </c>
      <c r="B11" s="34" t="s">
        <v>189</v>
      </c>
      <c r="C11" s="34" t="s">
        <v>194</v>
      </c>
      <c r="D11" s="34" t="s">
        <v>195</v>
      </c>
      <c r="E11" s="34" t="s">
        <v>183</v>
      </c>
      <c r="F11" s="34" t="s">
        <v>192</v>
      </c>
      <c r="G11" s="34" t="s">
        <v>196</v>
      </c>
    </row>
    <row r="12" spans="1:7" ht="26.05" customHeight="1" x14ac:dyDescent="0.55000000000000004">
      <c r="A12" s="58" t="s">
        <v>197</v>
      </c>
      <c r="B12" s="59"/>
      <c r="C12" s="59"/>
      <c r="D12" s="59"/>
      <c r="E12" s="59"/>
      <c r="F12" s="59"/>
      <c r="G12" s="59"/>
    </row>
    <row r="13" spans="1:7" ht="18" customHeight="1" x14ac:dyDescent="0.55000000000000004">
      <c r="A13" s="32"/>
      <c r="B13" s="32" t="s">
        <v>173</v>
      </c>
      <c r="C13" s="32" t="s">
        <v>174</v>
      </c>
      <c r="D13" s="32" t="s">
        <v>175</v>
      </c>
      <c r="E13" s="32" t="s">
        <v>176</v>
      </c>
      <c r="F13" s="32" t="s">
        <v>177</v>
      </c>
      <c r="G13" s="32" t="s">
        <v>178</v>
      </c>
    </row>
    <row r="14" spans="1:7" ht="24" customHeight="1" x14ac:dyDescent="0.55000000000000004">
      <c r="A14" s="33" t="s">
        <v>176</v>
      </c>
      <c r="B14" s="33" t="s">
        <v>179</v>
      </c>
      <c r="C14" s="33" t="s">
        <v>180</v>
      </c>
      <c r="D14" s="33" t="s">
        <v>198</v>
      </c>
      <c r="E14" s="33" t="s">
        <v>192</v>
      </c>
      <c r="F14" s="33" t="s">
        <v>183</v>
      </c>
      <c r="G14" s="33" t="s">
        <v>184</v>
      </c>
    </row>
    <row r="15" spans="1:7" ht="24" customHeight="1" x14ac:dyDescent="0.55000000000000004">
      <c r="A15" s="34" t="s">
        <v>177</v>
      </c>
      <c r="B15" s="34" t="s">
        <v>179</v>
      </c>
      <c r="C15" s="34" t="s">
        <v>199</v>
      </c>
      <c r="D15" s="34" t="s">
        <v>200</v>
      </c>
      <c r="E15" s="34" t="s">
        <v>183</v>
      </c>
      <c r="F15" s="34" t="s">
        <v>192</v>
      </c>
      <c r="G15" s="34" t="s">
        <v>201</v>
      </c>
    </row>
    <row r="16" spans="1:7" ht="26.05" customHeight="1" x14ac:dyDescent="0.55000000000000004">
      <c r="A16" s="128" t="s">
        <v>202</v>
      </c>
      <c r="B16" s="129"/>
      <c r="C16" s="129"/>
      <c r="D16" s="129"/>
      <c r="E16" s="129"/>
      <c r="F16" s="129"/>
      <c r="G16" s="129"/>
    </row>
    <row r="17" spans="1:7" ht="44.05" customHeight="1" x14ac:dyDescent="0.55000000000000004">
      <c r="A17" s="125" t="s">
        <v>203</v>
      </c>
      <c r="B17" s="126"/>
      <c r="C17" s="126"/>
      <c r="D17" s="126"/>
      <c r="E17" s="126"/>
      <c r="F17" s="126"/>
      <c r="G17" s="126"/>
    </row>
  </sheetData>
  <mergeCells count="7">
    <mergeCell ref="A1:G1"/>
    <mergeCell ref="A17:G17"/>
    <mergeCell ref="A8:G8"/>
    <mergeCell ref="A12:G12"/>
    <mergeCell ref="A4:G4"/>
    <mergeCell ref="A2:G2"/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33" t="s">
        <v>204</v>
      </c>
      <c r="B1" s="59"/>
      <c r="C1" s="59"/>
      <c r="D1" s="59"/>
      <c r="E1" s="59"/>
      <c r="F1" s="59"/>
      <c r="G1" s="59"/>
    </row>
    <row r="2" spans="1:7" ht="22" customHeight="1" x14ac:dyDescent="0.55000000000000004">
      <c r="A2" s="131" t="s">
        <v>205</v>
      </c>
      <c r="B2" s="132"/>
      <c r="C2" s="132"/>
      <c r="D2" s="132"/>
      <c r="E2" s="132"/>
      <c r="F2" s="132"/>
      <c r="G2" s="132"/>
    </row>
    <row r="3" spans="1:7" ht="18" customHeight="1" x14ac:dyDescent="0.55000000000000004">
      <c r="A3" s="32" t="s">
        <v>206</v>
      </c>
      <c r="B3" s="32" t="s">
        <v>207</v>
      </c>
      <c r="C3" s="32" t="s">
        <v>208</v>
      </c>
      <c r="D3" s="32" t="s">
        <v>209</v>
      </c>
    </row>
    <row r="4" spans="1:7" ht="72" customHeight="1" x14ac:dyDescent="0.55000000000000004">
      <c r="A4" s="26" t="s">
        <v>210</v>
      </c>
      <c r="B4" s="30" t="s">
        <v>211</v>
      </c>
      <c r="C4" s="35" t="s">
        <v>212</v>
      </c>
      <c r="D4" s="36" t="s">
        <v>213</v>
      </c>
    </row>
    <row r="5" spans="1:7" ht="72" customHeight="1" x14ac:dyDescent="0.55000000000000004">
      <c r="A5" s="37" t="s">
        <v>214</v>
      </c>
      <c r="B5" s="27" t="s">
        <v>215</v>
      </c>
      <c r="C5" s="28" t="s">
        <v>216</v>
      </c>
      <c r="D5" s="38" t="s">
        <v>217</v>
      </c>
    </row>
    <row r="6" spans="1:7" ht="56.05" customHeight="1" x14ac:dyDescent="0.55000000000000004">
      <c r="A6" s="26" t="s">
        <v>218</v>
      </c>
      <c r="B6" s="30" t="s">
        <v>219</v>
      </c>
      <c r="C6" s="35" t="s">
        <v>220</v>
      </c>
      <c r="D6" s="36" t="s">
        <v>221</v>
      </c>
    </row>
    <row r="7" spans="1:7" ht="56.05" customHeight="1" x14ac:dyDescent="0.55000000000000004">
      <c r="A7" s="26" t="s">
        <v>222</v>
      </c>
      <c r="B7" s="30" t="s">
        <v>223</v>
      </c>
      <c r="C7" s="35" t="s">
        <v>224</v>
      </c>
      <c r="D7" s="36" t="s">
        <v>225</v>
      </c>
    </row>
    <row r="8" spans="1:7" ht="72" customHeight="1" x14ac:dyDescent="0.55000000000000004">
      <c r="A8" s="26" t="s">
        <v>226</v>
      </c>
      <c r="B8" s="31" t="s">
        <v>227</v>
      </c>
      <c r="C8" s="35" t="s">
        <v>228</v>
      </c>
      <c r="D8" s="39" t="s">
        <v>229</v>
      </c>
    </row>
    <row r="9" spans="1:7" ht="44.05" customHeight="1" x14ac:dyDescent="0.55000000000000004">
      <c r="A9" s="130" t="s">
        <v>230</v>
      </c>
      <c r="B9" s="89"/>
      <c r="C9" s="89"/>
      <c r="D9" s="8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38" t="s">
        <v>231</v>
      </c>
      <c r="B1" s="139"/>
      <c r="C1" s="139"/>
      <c r="D1" s="139"/>
      <c r="E1" s="139"/>
      <c r="F1" s="139"/>
    </row>
    <row r="2" spans="1:6" ht="22" customHeight="1" x14ac:dyDescent="0.55000000000000004">
      <c r="A2" s="134" t="s">
        <v>232</v>
      </c>
      <c r="B2" s="135"/>
      <c r="C2" s="135"/>
      <c r="D2" s="135"/>
      <c r="E2" s="135"/>
      <c r="F2" s="135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42" t="s">
        <v>233</v>
      </c>
      <c r="B4" s="143"/>
      <c r="C4" s="143"/>
      <c r="D4" s="143"/>
      <c r="E4" s="143"/>
      <c r="F4" s="143"/>
    </row>
    <row r="5" spans="1:6" ht="18" customHeight="1" x14ac:dyDescent="0.55000000000000004">
      <c r="A5" s="32"/>
      <c r="B5" s="32" t="s">
        <v>234</v>
      </c>
      <c r="C5" s="32" t="s">
        <v>235</v>
      </c>
      <c r="D5" s="32" t="s">
        <v>126</v>
      </c>
      <c r="E5" s="32" t="s">
        <v>236</v>
      </c>
      <c r="F5" s="32"/>
    </row>
    <row r="6" spans="1:6" ht="40" customHeight="1" x14ac:dyDescent="0.55000000000000004">
      <c r="A6" s="6"/>
      <c r="B6" s="40" t="s">
        <v>237</v>
      </c>
      <c r="C6" s="41" t="s">
        <v>238</v>
      </c>
      <c r="D6" s="42" t="s">
        <v>239</v>
      </c>
      <c r="E6" s="43" t="s">
        <v>240</v>
      </c>
      <c r="F6" s="6"/>
    </row>
    <row r="7" spans="1:6" ht="40" customHeight="1" x14ac:dyDescent="0.55000000000000004">
      <c r="A7" s="6"/>
      <c r="B7" s="40" t="s">
        <v>241</v>
      </c>
      <c r="C7" s="41" t="s">
        <v>242</v>
      </c>
      <c r="D7" s="42" t="s">
        <v>243</v>
      </c>
      <c r="E7" s="43" t="s">
        <v>244</v>
      </c>
      <c r="F7" s="6"/>
    </row>
    <row r="8" spans="1:6" ht="36" customHeight="1" x14ac:dyDescent="0.55000000000000004">
      <c r="A8" s="6"/>
      <c r="B8" s="40" t="s">
        <v>245</v>
      </c>
      <c r="C8" s="41" t="s">
        <v>246</v>
      </c>
      <c r="D8" s="42" t="s">
        <v>247</v>
      </c>
      <c r="E8" s="43" t="s">
        <v>248</v>
      </c>
      <c r="F8" s="6"/>
    </row>
    <row r="9" spans="1:6" ht="36" customHeight="1" x14ac:dyDescent="0.55000000000000004">
      <c r="A9" s="6"/>
      <c r="B9" s="40" t="s">
        <v>249</v>
      </c>
      <c r="C9" s="41" t="s">
        <v>250</v>
      </c>
      <c r="D9" s="42" t="s">
        <v>251</v>
      </c>
      <c r="E9" s="43" t="s">
        <v>252</v>
      </c>
      <c r="F9" s="6"/>
    </row>
    <row r="10" spans="1:6" ht="28" customHeight="1" x14ac:dyDescent="0.55000000000000004">
      <c r="A10" s="6"/>
      <c r="B10" s="40" t="s">
        <v>253</v>
      </c>
      <c r="C10" s="41" t="s">
        <v>254</v>
      </c>
      <c r="D10" s="42" t="s">
        <v>255</v>
      </c>
      <c r="E10" s="43" t="s">
        <v>256</v>
      </c>
      <c r="F10" s="6"/>
    </row>
    <row r="11" spans="1:6" ht="28" customHeight="1" x14ac:dyDescent="0.55000000000000004">
      <c r="A11" s="6"/>
      <c r="B11" s="40" t="s">
        <v>257</v>
      </c>
      <c r="C11" s="41" t="s">
        <v>258</v>
      </c>
      <c r="D11" s="42" t="s">
        <v>259</v>
      </c>
      <c r="E11" s="43" t="s">
        <v>260</v>
      </c>
      <c r="F11" s="6"/>
    </row>
    <row r="12" spans="1:6" ht="5.05" customHeight="1" x14ac:dyDescent="0.55000000000000004">
      <c r="A12" s="1"/>
      <c r="B12" s="1"/>
      <c r="C12" s="1"/>
      <c r="D12" s="1"/>
      <c r="E12" s="1"/>
      <c r="F12" s="1"/>
    </row>
    <row r="13" spans="1:6" ht="36" customHeight="1" x14ac:dyDescent="0.55000000000000004">
      <c r="A13" s="136" t="s">
        <v>261</v>
      </c>
      <c r="B13" s="137"/>
      <c r="C13" s="137"/>
      <c r="D13" s="137"/>
      <c r="E13" s="137"/>
      <c r="F13" s="137"/>
    </row>
    <row r="14" spans="1:6" ht="18" customHeight="1" x14ac:dyDescent="0.55000000000000004">
      <c r="A14" s="32"/>
      <c r="B14" s="32" t="s">
        <v>234</v>
      </c>
      <c r="C14" s="32" t="s">
        <v>235</v>
      </c>
      <c r="D14" s="32" t="s">
        <v>126</v>
      </c>
      <c r="E14" s="32" t="s">
        <v>236</v>
      </c>
      <c r="F14" s="32"/>
    </row>
    <row r="15" spans="1:6" ht="28" customHeight="1" x14ac:dyDescent="0.55000000000000004">
      <c r="A15" s="44"/>
      <c r="B15" s="45" t="s">
        <v>262</v>
      </c>
      <c r="C15" s="46" t="s">
        <v>263</v>
      </c>
      <c r="D15" s="47" t="s">
        <v>264</v>
      </c>
      <c r="E15" s="48" t="s">
        <v>265</v>
      </c>
      <c r="F15" s="44"/>
    </row>
    <row r="16" spans="1:6" ht="28" customHeight="1" x14ac:dyDescent="0.55000000000000004">
      <c r="A16" s="44"/>
      <c r="B16" s="45" t="s">
        <v>266</v>
      </c>
      <c r="C16" s="46" t="s">
        <v>267</v>
      </c>
      <c r="D16" s="47" t="s">
        <v>268</v>
      </c>
      <c r="E16" s="48" t="s">
        <v>269</v>
      </c>
      <c r="F16" s="44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40" t="s">
        <v>270</v>
      </c>
      <c r="B18" s="141"/>
      <c r="C18" s="141"/>
      <c r="D18" s="141"/>
      <c r="E18" s="141"/>
      <c r="F18" s="141"/>
    </row>
    <row r="19" spans="1:6" ht="18" customHeight="1" x14ac:dyDescent="0.55000000000000004">
      <c r="A19" s="49"/>
      <c r="B19" s="49" t="s">
        <v>234</v>
      </c>
      <c r="C19" s="49" t="s">
        <v>5</v>
      </c>
      <c r="D19" s="49" t="s">
        <v>271</v>
      </c>
      <c r="E19" s="49" t="s">
        <v>272</v>
      </c>
      <c r="F19" s="49"/>
    </row>
    <row r="20" spans="1:6" ht="32.049999999999997" customHeight="1" x14ac:dyDescent="0.55000000000000004">
      <c r="A20" s="50"/>
      <c r="B20" s="51" t="s">
        <v>273</v>
      </c>
      <c r="C20" s="52" t="s">
        <v>274</v>
      </c>
      <c r="D20" s="53" t="s">
        <v>275</v>
      </c>
      <c r="E20" s="54" t="s">
        <v>276</v>
      </c>
      <c r="F20" s="50"/>
    </row>
    <row r="21" spans="1:6" ht="32.049999999999997" customHeight="1" x14ac:dyDescent="0.55000000000000004">
      <c r="A21" s="50"/>
      <c r="B21" s="51" t="s">
        <v>277</v>
      </c>
      <c r="C21" s="52" t="s">
        <v>278</v>
      </c>
      <c r="D21" s="53" t="s">
        <v>279</v>
      </c>
      <c r="E21" s="54" t="s">
        <v>276</v>
      </c>
      <c r="F21" s="50"/>
    </row>
    <row r="22" spans="1:6" ht="32.049999999999997" customHeight="1" x14ac:dyDescent="0.55000000000000004">
      <c r="A22" s="50"/>
      <c r="B22" s="51" t="s">
        <v>280</v>
      </c>
      <c r="C22" s="52" t="s">
        <v>281</v>
      </c>
      <c r="D22" s="53" t="s">
        <v>282</v>
      </c>
      <c r="E22" s="54" t="s">
        <v>276</v>
      </c>
      <c r="F22" s="50"/>
    </row>
    <row r="23" spans="1:6" ht="32.049999999999997" customHeight="1" x14ac:dyDescent="0.55000000000000004">
      <c r="A23" s="50"/>
      <c r="B23" s="51" t="s">
        <v>283</v>
      </c>
      <c r="C23" s="52" t="s">
        <v>284</v>
      </c>
      <c r="D23" s="53" t="s">
        <v>285</v>
      </c>
      <c r="E23" s="54" t="s">
        <v>276</v>
      </c>
      <c r="F23" s="50"/>
    </row>
    <row r="24" spans="1:6" ht="32.049999999999997" customHeight="1" x14ac:dyDescent="0.55000000000000004">
      <c r="A24" s="50"/>
      <c r="B24" s="51" t="s">
        <v>286</v>
      </c>
      <c r="C24" s="52" t="s">
        <v>287</v>
      </c>
      <c r="D24" s="53" t="s">
        <v>288</v>
      </c>
      <c r="E24" s="54" t="s">
        <v>276</v>
      </c>
      <c r="F24" s="50"/>
    </row>
    <row r="25" spans="1:6" ht="32.049999999999997" customHeight="1" x14ac:dyDescent="0.55000000000000004">
      <c r="A25" s="44"/>
      <c r="B25" s="55" t="s">
        <v>289</v>
      </c>
      <c r="C25" s="56" t="s">
        <v>290</v>
      </c>
      <c r="D25" s="47" t="s">
        <v>146</v>
      </c>
      <c r="E25" s="57" t="s">
        <v>276</v>
      </c>
      <c r="F25" s="44"/>
    </row>
    <row r="26" spans="1:6" ht="32.049999999999997" customHeight="1" x14ac:dyDescent="0.55000000000000004">
      <c r="A26" s="44"/>
      <c r="B26" s="55" t="s">
        <v>291</v>
      </c>
      <c r="C26" s="56" t="s">
        <v>292</v>
      </c>
      <c r="D26" s="47" t="s">
        <v>293</v>
      </c>
      <c r="E26" s="57" t="s">
        <v>276</v>
      </c>
      <c r="F26" s="44"/>
    </row>
    <row r="27" spans="1:6" ht="32.049999999999997" customHeight="1" x14ac:dyDescent="0.55000000000000004">
      <c r="A27" s="44"/>
      <c r="B27" s="55" t="s">
        <v>294</v>
      </c>
      <c r="C27" s="56" t="s">
        <v>295</v>
      </c>
      <c r="D27" s="47" t="s">
        <v>296</v>
      </c>
      <c r="E27" s="57" t="s">
        <v>276</v>
      </c>
      <c r="F27" s="44"/>
    </row>
    <row r="28" spans="1:6" ht="32.049999999999997" customHeight="1" x14ac:dyDescent="0.55000000000000004">
      <c r="A28" s="44"/>
      <c r="B28" s="55" t="s">
        <v>297</v>
      </c>
      <c r="C28" s="56" t="s">
        <v>160</v>
      </c>
      <c r="D28" s="47" t="s">
        <v>161</v>
      </c>
      <c r="E28" s="57" t="s">
        <v>276</v>
      </c>
      <c r="F28" s="44"/>
    </row>
    <row r="29" spans="1:6" ht="32.049999999999997" customHeight="1" x14ac:dyDescent="0.55000000000000004">
      <c r="A29" s="44"/>
      <c r="B29" s="55" t="s">
        <v>298</v>
      </c>
      <c r="C29" s="56" t="s">
        <v>169</v>
      </c>
      <c r="D29" s="47" t="s">
        <v>22</v>
      </c>
      <c r="E29" s="57" t="s">
        <v>276</v>
      </c>
      <c r="F29" s="44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52" customHeight="1" x14ac:dyDescent="0.55000000000000004">
      <c r="A31" s="130" t="s">
        <v>299</v>
      </c>
      <c r="B31" s="89"/>
      <c r="C31" s="89"/>
      <c r="D31" s="89"/>
      <c r="E31" s="89"/>
      <c r="F31" s="89"/>
    </row>
  </sheetData>
  <mergeCells count="6">
    <mergeCell ref="A2:F2"/>
    <mergeCell ref="A13:F13"/>
    <mergeCell ref="A1:F1"/>
    <mergeCell ref="A31:F31"/>
    <mergeCell ref="A18:F18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2026-04-05T17:54:16Z</dcterms:created>
  <dcterms:modified xsi:type="dcterms:W3CDTF">2026-04-05T17:58:17Z</dcterms:modified>
</cp:coreProperties>
</file>