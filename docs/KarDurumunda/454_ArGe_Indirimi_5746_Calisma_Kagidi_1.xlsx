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14_{4F143CE9-9E30-4E07-A061-83759797548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BELGE LİSTESİ" sheetId="4" r:id="rId4"/>
    <sheet name="DENETÇİ NOTLAR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31" i="2"/>
  <c r="C33" i="2" s="1"/>
  <c r="C12" i="2"/>
  <c r="C11" i="2"/>
  <c r="C10" i="2"/>
  <c r="C9" i="2"/>
  <c r="C8" i="2"/>
  <c r="C7" i="2"/>
  <c r="C57" i="1"/>
  <c r="C60" i="1" s="1"/>
  <c r="C55" i="1"/>
  <c r="C50" i="1"/>
  <c r="C39" i="2"/>
  <c r="C41" i="2" s="1"/>
  <c r="C30" i="2"/>
  <c r="C23" i="1"/>
  <c r="C24" i="1" s="1"/>
  <c r="C62" i="1" l="1"/>
  <c r="C63" i="1" s="1"/>
  <c r="C32" i="2"/>
  <c r="C40" i="2"/>
</calcChain>
</file>

<file path=xl/sharedStrings.xml><?xml version="1.0" encoding="utf-8"?>
<sst xmlns="http://schemas.openxmlformats.org/spreadsheetml/2006/main" count="385" uniqueCount="339">
  <si>
    <t>454 – AR-GE İNDİRİMİ (5746 s.K. Md. 3 / Md. 3/A) | KVK Md. 10/1-a | YMM TASDİK ÇALIŞMA KÂĞIDI</t>
  </si>
  <si>
    <t>5746 s.K. Md. 3 (Ar-Ge Merkezi) | 5746 s.K. Md. 3/A (Proje Bazlı) | KVK Md. 10/1-a | Kazancın Bulunması Halinde İndirilecek | Devreden İndirim: YDO ile Artırılır | 31.12.2028 Uygulama Süresi | Beyanname Satırı 454</t>
  </si>
  <si>
    <t xml:space="preserve">  KULLANIM: Sarı zemin hücrelere veri giriniz. A0 eksiksiz tamamlanmadan hesap bölümlerine geçilmemelidir. Her proje için ayrı takip yapılmalıdır. Siparişe dayalı Ar-Ge'de dağıtım oranı dikkat gerektirir.</t>
  </si>
  <si>
    <t>MODÜL KİMLİĞİ VE VERSİYON</t>
  </si>
  <si>
    <t>Modül Kodu / İndirim Türü</t>
  </si>
  <si>
    <t>454 — 5746 s.K. Ar-Ge İndirimi | KVK Md. 10/1-a</t>
  </si>
  <si>
    <t>5746 Md. 3 / Md. 3/A | KVK 10/1-a | GVK 89/9</t>
  </si>
  <si>
    <t>Çalışma Kâğıdı Versiyonu</t>
  </si>
  <si>
    <t>v1.0</t>
  </si>
  <si>
    <t>7555 s.K. (24.07.2025) üst sınır değişikliği dahil</t>
  </si>
  <si>
    <t>Hazırlama / Güncelleme Tarihi</t>
  </si>
  <si>
    <t>GG.AA.YYYY</t>
  </si>
  <si>
    <t>A0. KAPSAM VE NİTELİK UYGUNLUK KONTROLÜ — Tasdik Öncesi Zorunlu Ön Kontrol</t>
  </si>
  <si>
    <t>⚠️ YMM UYARISI: Bu çalışma kâğıdı 5746 sayılı Kanun Md. 3 (Ar-Ge Merkezi) veya Md. 3/A (Proje Bazlı) kapsamında Ar-Ge indirimi uygulamak isteyen mükellefler için hazırlanmıştır. İndirim 'Kazancın Bulunması Halinde İndirilecek' bölümündedir — zarar durumunda kullanılamaz. Devreden indirim sonraki yıla VUK Yeniden Değerleme Oranı kadar artırılarak devredilir. A0 tamamlanmadan tasdik dosyasına eklenemez.</t>
  </si>
  <si>
    <t>Tasdik Uygunluk Kontrol Soruları</t>
  </si>
  <si>
    <t>Yanıt</t>
  </si>
  <si>
    <t>Açıklama / Tasdik Notu</t>
  </si>
  <si>
    <t>A0.1  Ar-Ge faaliyeti münhasıran yeni teknoloji ve bilgi arayışına yönelik mi? (Ürün geliştirme değil)</t>
  </si>
  <si>
    <t>EVET</t>
  </si>
  <si>
    <t>İndirim yalnızca yeni teknoloji ve bilgi arayışına yönelik Ar-Ge faaliyeti için geçerlidir. Halihazırda bilinen veya mevcut teknikler/çalışmalar kapsam dışıdır. Ürün geliştirme veya prototip testleri pazarlanabilir aşamaya geldiğinde Ar-Ge sona erer.</t>
  </si>
  <si>
    <t>A0.2  5746 Md. 3 (Ar-Ge Merkezi) mi yoksa Md. 3/A (Proje Bazlı/Özkaynakla) mi? — Modül seçildi mi?</t>
  </si>
  <si>
    <t>Md. 3 (Ar-Ge Merkezi)</t>
  </si>
  <si>
    <t>Md. 3: Sanayi ve Teknoloji Bakanlığı 'Ar-Ge Merkezi Belgesi' zorunludur (en az 15 TZE personel). Md. 3/A: Proje bazlı — Bakanlık Ar-Ge/yenilik projesi olarak değerlendirmesi şartı aranır. Her iki modülde de indirim oranı %100'dür.</t>
  </si>
  <si>
    <t>A0.3  Md. 3 seçildiyse: Ar-Ge Merkezi belgesi (STB onaylı) geçerli ve koşullar sağlanıyor mu?</t>
  </si>
  <si>
    <t>Ar-Ge Merkezi belgesi STB'den alınmış ve geçerliliğini korumalıdır. En az 15 tam zaman eşdeğer Ar-Ge personeli koşulu sağlanmalıdır (bazı NACE sektörlerde 30). Şartların ihlali indirimi sona erdirir.</t>
  </si>
  <si>
    <t>A0.4  Md. 3/A seçildiyse: Proje STB tarafından Ar-Ge/yenilik projesi olarak değerlendirildi mi?</t>
  </si>
  <si>
    <t>Md. 3/A kapsamında projenin Sanayi ve Teknoloji Bakanlığı'nca değerlendirilmesi zorunludur. Bakanlık değerlendirmesi olmadan indirim uygulanamaz.</t>
  </si>
  <si>
    <t>A0.4b  Siparişe dayalı Ar-Ge'de mükellefin rolü nedir? (H.8 ve H.9 çakışmasını önlemek için belirtin)</t>
  </si>
  <si>
    <t>Yok / Uygulanamaz</t>
  </si>
  <si>
    <t>Sipariş Alan seçildiyse: H.8 kullanılır (kendi yaptığınız harcamanın %50'si), H.9 boş bırakılır. Sipariş Veren seçildiyse: H.9 kullanılır (ödediğiniz harcamanın %50'si), H.8 boş bırakılır. GV stopaj terkini ve SGK desteği yalnızca sipariş alan Ar-Ge merkezine aittir.</t>
  </si>
  <si>
    <t>A0.5  Siparişe dayalı Ar-Ge var mı? (Sipariş veren %50, alan %50 dağılımı uygulandı mı?)</t>
  </si>
  <si>
    <t>HAYIR</t>
  </si>
  <si>
    <t>Siparişe dayalı yürütülen Ar-Ge faaliyetlerinde: Sipariş alan Ar-Ge merkezi %50, sipariş veren %50 indirim alır. Her iki tarafta da belgelenmiş sözleşme zorunludur.</t>
  </si>
  <si>
    <t>A0.6  Artırımlı indirim hakkı değerlendirildi mi? (≥%20 artış — ek %50 indirim — 31.12.2028'e kadar)</t>
  </si>
  <si>
    <t>Önceki yıla göre 5 göstergeden herhangi birinde ≥%20 artış sağlayan Ar-Ge/Tasarım merkezlerinde artış tutarının %50'si ek indirim konusu yapılabilir (31.12.2028'e kadar). Göstergeler: Ar-Ge/ciro payı, patent sayısı, uluslararası destekli proje sayısı, lisansüstü araştırmacı oranı, toplam araştırmacı oranı.</t>
  </si>
  <si>
    <t>A0.7  Devreden Ar-Ge indirimi var mı? (Önceki yıldan — YDO ile artırılarak devreder mi?)</t>
  </si>
  <si>
    <t>Kazanç yetersizliği nedeniyle kullanılamayan Ar-Ge indirimi sonraki yıla devreder. 5746 kapsamında devredilen tutar VUK Yeniden Değerleme Oranı kadar artırılır. KVK 10/1-a'da ise artırım olmadan devreder.</t>
  </si>
  <si>
    <t>A0.8  YİAKV (KVK Md. 32/C) etkisi: Ar-Ge indirimi YİAKV matrahından düşülebilir mi? Analiz edildi mi?</t>
  </si>
  <si>
    <t>Ar-Ge indirimi 'Kazancın Bulunması Halinde' bölümünde olduğundan YİAKV matrahına etkisi dönem mevzuatı çerçevesinde ayrıca analiz edilmelidir. Kesin hüküm verilemez; GİB KV Rehberi ve güncel tebliğler teyit edilmelidir.</t>
  </si>
  <si>
    <t>A0.9  49 No.lu Tebliğ kapsamında YMM tasdik raporu yükümlülüğü var mı?</t>
  </si>
  <si>
    <t>49 No.lu SMMM-YMM Kanunu Tebliği (30.12.2025): Tek satır ≥500.000 TL VEYA toplam ≥1.000.000 TL → YMM tasdik raporu zorunludur. 41 No.lu Tebliğ tasdik şartı da değerlendirilmeli. Tam tasdik yaptıranlar ayrıca rapor gerekmez.</t>
  </si>
  <si>
    <t>A0.10  Tasdik Uygunluk Sonucu (9 Ön Kontrol)</t>
  </si>
  <si>
    <t>Temel şartlar sağlanmadan tasdik dosyasına eklenemez.</t>
  </si>
  <si>
    <t>Tasdik Engelleyici Uyarı</t>
  </si>
  <si>
    <t>Hata giderildiğinde uyarı otomatik kalkar.</t>
  </si>
  <si>
    <t>A. MÜKELLEF, YMM VE DÖNEM BİLGİLERİ</t>
  </si>
  <si>
    <t>Alan</t>
  </si>
  <si>
    <t>Giriş</t>
  </si>
  <si>
    <t>Açıklama</t>
  </si>
  <si>
    <t>Mükellef Unvanı</t>
  </si>
  <si>
    <t>Ticaret sicilindeki tam unvan</t>
  </si>
  <si>
    <t>Vergi Kimlik Numarası</t>
  </si>
  <si>
    <t>10 haneli VKN</t>
  </si>
  <si>
    <t>Hesap Dönemi</t>
  </si>
  <si>
    <t>01.01.…… – 31.12.……</t>
  </si>
  <si>
    <t>Ar-Ge Merkezi Belge No (varsa)</t>
  </si>
  <si>
    <t>STB tarafından verilen belge numarası ve tarihi</t>
  </si>
  <si>
    <t>Ar-Ge Merkezi Belge Geçerlilik Tarihi</t>
  </si>
  <si>
    <t>Belgenin geçerlilik tarihi — süresi dolmuşsa indirim uygulanamaz</t>
  </si>
  <si>
    <t>Çalışma Kâğıdı Hazırlayan</t>
  </si>
  <si>
    <t>Tasdiki yapan YMM / sorumlu</t>
  </si>
  <si>
    <t>KV Oranı (%)</t>
  </si>
  <si>
    <t>KVK Md. 32: %25 (2025 genel); %30 finans</t>
  </si>
  <si>
    <t>Yeniden Değerleme Oranı (%)</t>
  </si>
  <si>
    <t>VUK kapsamında o yıl açıklanan oran — devreden indirim için kullanılır</t>
  </si>
  <si>
    <t>C. AR-GE HARCAMA TÜRLERİ VE İNDİRİME ESAS TUTAR TESPİTİ (Proje/Merkez Bazında)</t>
  </si>
  <si>
    <t xml:space="preserve">  Ar-Ge harcamaları, işletmenin diğer faaliyetlerine ait harcamalardan ayrı olarak muhasebeleştirilmeli ve indirim tutarının doğru hesaplanmasına imkân verecek şekilde izlenmelidir. Her proje için ayrı takip yapılması tavsiye edilir.</t>
  </si>
  <si>
    <t>Harcama Türü Kodu</t>
  </si>
  <si>
    <t>Harcama Türü Açıklaması</t>
  </si>
  <si>
    <t>Tutar (TL)</t>
  </si>
  <si>
    <t>Açıklama / YMM Kontrol Notu</t>
  </si>
  <si>
    <t>H.1</t>
  </si>
  <si>
    <t>Personel Giderleri — Ar-Ge Personeli (Tam Zamanlı ve Kısmi)</t>
  </si>
  <si>
    <t>Ar-Ge faaliyetine doğrudan katılan araştırmacı ve teknik personel ücretleri. Kısmi çalışmada, Ar-Ge'ye ayrılan süre/toplam çalışma süresi oranı uygulanır. GV stopaj terkinine esas ücretler muhtasar beyanname ekinde ayrıca gösterilir.</t>
  </si>
  <si>
    <t>H.2</t>
  </si>
  <si>
    <t>Personel Giderleri — Destek Personeli (TZE Ar-Ge personelinin %10'u sınırı)</t>
  </si>
  <si>
    <t>Ar-Ge faaliyetlerine katılan yönetici, laborant, sekreter, işçi ve benzeri destek personeli. Tam zaman eşdeğer Ar-Ge personelinin %10'unu aşamaz.</t>
  </si>
  <si>
    <t>H.3</t>
  </si>
  <si>
    <t>Genel Giderler (Kira, Su, Enerji, Bakım-Onarım, Haberleşme)</t>
  </si>
  <si>
    <t>Ar-Ge merkezi/proje alanının kira, su, enerji, bakım-onarım ve haberleşme giderleri. Yalnızca Ar-Ge faaliyetinin devamlılığını sağlamaya yönelik olanlar.</t>
  </si>
  <si>
    <t>H.4</t>
  </si>
  <si>
    <t>Dışarıdan Sağlanan Fayda ve Hizmetler</t>
  </si>
  <si>
    <t>Üniversiteler, araştırma kurumları veya diğer kuruluşlardan sağlanan hizmetler. Toplam Ar-Ge harcamasının %20'sini aşmamalıdır.</t>
  </si>
  <si>
    <t>H.5</t>
  </si>
  <si>
    <t>Vergi, Resim ve Harçlar (Damga Vergisi dahil)</t>
  </si>
  <si>
    <t>Ar-Ge projesiyle doğrudan ilgili vergi, resim ve harçlar. Damga vergisi istisna kapsamındaysa bu satır sıfır olabilir.</t>
  </si>
  <si>
    <t>H.6</t>
  </si>
  <si>
    <t>Amortisman ve Tükenme Payları — Münhasıran Ar-Ge'de Kullanılan Varlıklar</t>
  </si>
  <si>
    <t>Tamamen Ar-Ge faaliyetlerinde kullanılan ATİK'ler için hesaplanan amortismanlar. Finansman giderleri (faiz) 5746 kapsamında Ar-Ge harcaması sayılmaz.</t>
  </si>
  <si>
    <t>H.7</t>
  </si>
  <si>
    <t>Amortisman ve Tükenme Payları — Kısmen Ar-Ge'de Kullanılan Varlıklar (Gün Oranı)</t>
  </si>
  <si>
    <t>Hem Ar-Ge hem başka faaliyetlerde kullanılan makine/teçhizat amortismanının Ar-Ge'de kullanılan gün sayısına isabet eden kısmı.</t>
  </si>
  <si>
    <t>H.8</t>
  </si>
  <si>
    <t>Siparişe Dayalı Ar-Ge — Merkez Tarafından Yürütülen Payı (%50'si)</t>
  </si>
  <si>
    <t>✅ YALNIZCA Sipariş ALAN merkez doldurur — C17 = 'Sipariş Alan' ise bu satır geçerli. Sipariş veren şirket H.8'i BOŞ bırakır; harcamayı H.9'da gösterir. Merkez tarafından yapılan harcamaların %50'si bu satıra yazılır.</t>
  </si>
  <si>
    <t>H.9</t>
  </si>
  <si>
    <t>Siparişe Dayalı Ar-Ge — Sipariş Veren Şirket Olarak Ödenen Pay (%50'si)</t>
  </si>
  <si>
    <t>✅ YALNIZCA Sipariş VEREN şirket doldurur — C17 = 'Sipariş Veren' ise bu satır geçerli. Sipariş alan merkez H.9'u BOŞ bırakır; kendi harcamalarını H.8'de gösterir. Sipariş veren olarak ödediğiniz tutarın %50'si bu satıra yazılır. GV stopaj terkini ve SGK desteği talep edilemez.</t>
  </si>
  <si>
    <t>H.10</t>
  </si>
  <si>
    <t>KAPSAM DIŞI: Finansman Giderleri (5746'da Hariç — 5520'de Dahil)</t>
  </si>
  <si>
    <t>5746 s.K. kapsamında finansman giderleri (faiz) Ar-Ge harcaması sayılmaz. KVK 10/1-a kapsamında değerlendirilebilir — hangisi uygulanacaksa belirtilmeli.</t>
  </si>
  <si>
    <t>(A)</t>
  </si>
  <si>
    <t>TOPLAM İNDİRİME ESAS AR-GE HARCAMASI (H.1 ile H.9 toplamı)</t>
  </si>
  <si>
    <t>H.10 (finansman gideri) dahil EDİLMEZ. Beyanname 454 satırı bu tablodan türetilir.</t>
  </si>
  <si>
    <t>D. AR-GE İNDİRİMİ HESAP AKIŞI VE BEYANNAME 454 TUTARININ TÜRETİLMESİ</t>
  </si>
  <si>
    <t xml:space="preserve">  📌 BEYANNAME KONUMU: 'Kazancın Bulunması Halinde İndirilecek' bölümü, Satır 454. Zarar durumunda kullanılamaz. Devreden indirim 5746'da YDO ile, KVK 10/1-a'da artırımsız devredilir. 305 (Eğitim) ile aynı bölüm — 310 (TGB) 'Zarar Olsa Dahi' bölümündedir, karıştırılmamalıdır.</t>
  </si>
  <si>
    <t>Kod</t>
  </si>
  <si>
    <t>Hesap Akış Kalemi</t>
  </si>
  <si>
    <t>Açıklama / YMM Tasdik Notu</t>
  </si>
  <si>
    <t>D.1</t>
  </si>
  <si>
    <t>(+) Cari Dönem Toplam Ar-Ge Harcaması (C bölümü A toplamı)</t>
  </si>
  <si>
    <t>İndirime esas harcama tutarı — H.10 dahil değil</t>
  </si>
  <si>
    <t>D.2</t>
  </si>
  <si>
    <t>(×) Temel İndirim Oranı (%100)</t>
  </si>
  <si>
    <t>5746 Md. 3 ve Md. 3/A: %100 | KVK 10/1-a: %100</t>
  </si>
  <si>
    <t>D.3</t>
  </si>
  <si>
    <t>(=) Temel Ar-Ge İndirimi (D.1 × D.2)</t>
  </si>
  <si>
    <t>5746 Md. 3 kapsamında: %100. Siparişe dayalıda sipariş veren/alan her biri %50'yi hesaplar.</t>
  </si>
  <si>
    <t>D.4</t>
  </si>
  <si>
    <t>(+) Artırımlı İndirim (%50 — Artış Tutarı Üzerinden, 31.12.2028'e kadar)</t>
  </si>
  <si>
    <t>Önceki yıla göre ≥%20 artış sağlayan merkezlerde artış tutarının %50'si ek indirim. Gösterge kriterlerinden en az birinin sağlanmış olması gerekir. Artış yok ise sıfır bırakın.</t>
  </si>
  <si>
    <t>D.5</t>
  </si>
  <si>
    <t>(+) Önceki Yıldan Devreden Ar-Ge İndirimi (YDO ile Artırılmış)</t>
  </si>
  <si>
    <t>5746 kapsamında: önceki yıldan devreden tutar × (1 + YDO%). KVK 10/1-a'da artırımsız devreder. İki kanundan yararlananlar her birini ayrı izlemeli.</t>
  </si>
  <si>
    <t>D.6</t>
  </si>
  <si>
    <t>(=) Toplam Kullanılabilir Ar-Ge İndirimi (D.3 + D.4 + D.5)</t>
  </si>
  <si>
    <t>Dönemde kullanılabilecek maksimum indirim tutarı.</t>
  </si>
  <si>
    <t>D.7</t>
  </si>
  <si>
    <t>Kazanç Limiti — Beyan Edilen Kurum Kazancı (Matrah Öncesi)</t>
  </si>
  <si>
    <t>⚠️ ÖNEMLI: Ticari bilanço kârını değil, KANUNİ DÜZELTMELER SONRASI KURUM KAZANCINI giriniz — yani KKEG eklemesi, geçmiş yıl zararları ve diğer matrah artırıcı/azaltıcı unsurlar uygulandıktan, ancak 454 Ar-Ge indirimi DÜŞÜLMEDen önceki tutarı yazınız. Yanlış giriş tüm sonucu bozar.</t>
  </si>
  <si>
    <t>D.8</t>
  </si>
  <si>
    <t>(=) Bu Dönem KULLANILACAK İNDİRİM (MIN — D.6 ve D.7)</t>
  </si>
  <si>
    <t>Kullanılabilir indirim ile kazanç sınırı arasındaki küçük değer. Beyanname Satır 454.</t>
  </si>
  <si>
    <t>D.9</t>
  </si>
  <si>
    <t>(=) Sonraki Yıla Devreden Ar-Ge İndirimi (D.6 – D.8)</t>
  </si>
  <si>
    <t>5746 kapsamında bu tutar sonraki yılda YDO oranında artırılarak kullanılır. KVK 10/1-a kapsamında artırımsız devredilir.</t>
  </si>
  <si>
    <t>D.10</t>
  </si>
  <si>
    <t>YİAKV Matrahından Düşüm Durumu (Bilgi — Ayrı Analiz Gerekir)</t>
  </si>
  <si>
    <t>Ar-Ge indirimi YİAKV matrahına etkisi dönem mevzuatıyla analiz edilmeli. Kesin hüküm verilemez — GİB KV Rehberi ve tebliğler teyit edilmelidir.</t>
  </si>
  <si>
    <t>E. PERSONEL GELİR VERGİSİ STOPAJ TERKİNİ (5746 s.K. Md. 3 — Muhtasar Beyanname)</t>
  </si>
  <si>
    <t xml:space="preserve">  Ar-Ge, tasarım ve destek personelinin Ar-Ge faaliyeti kapsamındaki ücretleri üzerinden hesaplanan GV stopajının belirli oranı muhtasar beyanname üzerinden terkin edilir. 7555 s.K. (24.07.2025): Ücretin brüt asgari ücretin 40 katını aşan kısmı terkin kapsamı dışındadır.</t>
  </si>
  <si>
    <t>Personel Kategorisi</t>
  </si>
  <si>
    <t>Terkin Oranı</t>
  </si>
  <si>
    <t>Doktoralı / Temel Bilimler Alanında En Az YL Derecesine Sahip</t>
  </si>
  <si>
    <t>%95 terkin — Muhtasar beyanname Tablo-1 (20/c) satırında gösterilir</t>
  </si>
  <si>
    <t>Yüksek Lisanslı / Temel Bilimler Alanında Lisans Derecesine Sahip</t>
  </si>
  <si>
    <t>%90 terkin</t>
  </si>
  <si>
    <t>Diğer Ar-Ge ve Destek Personeli</t>
  </si>
  <si>
    <t>%80 terkin — TZE Ar-Ge personelinin %10'u sınırındaki destek personeli dahil</t>
  </si>
  <si>
    <t>Üst Sınır Kontrolü (7555 s.K. — 24.07.2025)</t>
  </si>
  <si>
    <t>Aylık brüt asgari ücretin 40 katını aşan ücret kısmına terkin uygulanmaz. Personel bazında hesaplama zorunludur.</t>
  </si>
  <si>
    <t>F. SGK İŞVEREN PRİM DESTEĞİ (5746 s.K. — Hazine Payı %50)</t>
  </si>
  <si>
    <t xml:space="preserve">  Kamu personeli hariç, 5746 kapsamında Ar-Ge merkezlerinde çalışan Ar-Ge ve destek personelinin ücretleri üzerinden hesaplanan sigorta primi işveren hissesinin %50'si Hazine tarafından karşılanır. Bu destek GV stopaj terkininden bağımsız olarak uygulanır.</t>
  </si>
  <si>
    <t>Dönem Sigorta Primi İşveren Hissesi Desteği (TL)</t>
  </si>
  <si>
    <t>SGK beyannamesinde ayrıca beyan edilir; KV beyannamesini etkilemez</t>
  </si>
  <si>
    <t>454 – AR-GE İNDİRİMİ (5746 s.K. Md. 3 / Md. 3/A) | HESAPLAMALAR VE DENETİM KONTROL PANELİ</t>
  </si>
  <si>
    <t>5746 s.K. Md. 3 / Md. 3/A | KVK Md. 10/1-a | GVK Md. 89/9 | KV Beyannamesi Satır 454 — Tasdik Çalışma Kâğıdı</t>
  </si>
  <si>
    <t>TASDİK ÖZET TABLOSU — Hızlı Değerlendirme Paneli</t>
  </si>
  <si>
    <t>Tasdik Uygunluk Kontrolü</t>
  </si>
  <si>
    <t>VERİ GİRİŞİ A0.10 — OK ise hesap kullanılabilir</t>
  </si>
  <si>
    <t>Modül Türü (Md.3 / Md.3/A)</t>
  </si>
  <si>
    <t>='VERİ GİRİŞİ'!C14</t>
  </si>
  <si>
    <t>Seçilen modül türü</t>
  </si>
  <si>
    <t>Cari Dönem Ar-Ge Harcaması (TL)</t>
  </si>
  <si>
    <t>C bölümü A toplamı — finansman gideri hariç</t>
  </si>
  <si>
    <t>Temel İndirim Tutarı (TL)</t>
  </si>
  <si>
    <t>D.3 satırı — %100 × harcama</t>
  </si>
  <si>
    <t>Artırımlı İndirim (TL)</t>
  </si>
  <si>
    <t>D.4 satırı — ≥%20 artış varsa ek %50</t>
  </si>
  <si>
    <t>Devreden İndirim (TL)</t>
  </si>
  <si>
    <t>D.5 satırı — önceki yıldan, YDO artırımlı</t>
  </si>
  <si>
    <t>BU DÖNEM KULLANILAN İNDİRİM (TL)</t>
  </si>
  <si>
    <t>D.8 satırı — Beyanname Satır 454</t>
  </si>
  <si>
    <t>Sonraki Yıla Devreden (TL)</t>
  </si>
  <si>
    <t>D.9 satırı — 5746'da YDO ile artırılacak</t>
  </si>
  <si>
    <t>DENETİM VE TASDİK KONTROL LİSTESİ (K1–K12)</t>
  </si>
  <si>
    <t>Kontrol Maddesi</t>
  </si>
  <si>
    <t>Yasal Dayanak</t>
  </si>
  <si>
    <t>YMM Tasdik Notu</t>
  </si>
  <si>
    <t>Değ.</t>
  </si>
  <si>
    <t>Sonuç</t>
  </si>
  <si>
    <t>K1. 5746 / KVK modülü doğru belirlendi mi? (Md. 3: Merkez Belgesi | Md. 3/A: Proje Onayı | KVK 10/1-a: Genel)</t>
  </si>
  <si>
    <t>5746 s.K. Md. 3 | Md. 3/A | KVK Md. 10/1-a</t>
  </si>
  <si>
    <t>5746 Md. 3: STB 'Ar-Ge Merkezi Belgesi' zorunlu. 5746 Md. 3/A: Proje STB tarafından Ar-Ge/yenilik projesi olarak değerlendirilmeli. KVK 10/1-a: Ar-Ge merkezi belgesi gerekmez, münhasır yeni teknoloji arayışı yeterli.</t>
  </si>
  <si>
    <t>☐ UYGUN  ☐ EKSİK  ☐ RİSK</t>
  </si>
  <si>
    <t>✅/❌/⚠</t>
  </si>
  <si>
    <t>K2. Ar-Ge Merkezi belgesinin geçerliliği ve personel koşulu teyit edildi mi?</t>
  </si>
  <si>
    <t>5746 s.K. Md. 2 | STB Yönetmeliği</t>
  </si>
  <si>
    <t>En az 15 TZE Ar-Ge personeli koşulu sağlanmalı (bazı NACE sektörlerde 30). Belgenin iptal edilmediği veya şartların ihlal edilmediği teyit edilmeli. Belge tarihi ve süresi tasdik dosyasında yer almalıdır.</t>
  </si>
  <si>
    <t>K3. Ar-Ge faaliyeti münhasıran yeni teknoloji ve bilgi arayışına yönelik mi?</t>
  </si>
  <si>
    <t>5746 s.K. Md. 2 | KVK Md. 10/1-a | 1 S.No.lu KV GT</t>
  </si>
  <si>
    <t>Ürün pazarlanabilir aşamaya geldiğinde Ar-Ge projesi sona erer. Mevcut bilgi ve tekniklerle çözülebilir faaliyetler kapsam dışıdır. Proje tanımı ve STB değerlendirmesi tasdik dosyasında yer almalıdır.</t>
  </si>
  <si>
    <t>K4. Harcama türleri doğru sınıflandırıldı mı? (Finansman gideri 5746'da hariç)</t>
  </si>
  <si>
    <t>6 S.No.lu 5746 GT | KVK Md. 10/1-a</t>
  </si>
  <si>
    <t>5746 kapsamında finansman giderleri (faiz) Ar-Ge harcaması sayılmaz. KVK 10/1-a'da bu ayrım farklı olabilir. Destek personeli %10 TZE sınırı kontrol edilmeli.</t>
  </si>
  <si>
    <t>K5. Kısmi çalışan personelin Ar-Ge payı (süre oranı) doğru hesaplandı mı?</t>
  </si>
  <si>
    <t>5746 GT | Uygulama Yönetmeliği</t>
  </si>
  <si>
    <t>Kısmi çalışma halinde, personelin Ar-Ge faaliyetlerine ayırdığı süre/toplam süre oranı uygulanarak ücret hesaplanmalıdır. Her personel için çalışma süresi belgesi tasdik dosyasında bulunmalıdır.</t>
  </si>
  <si>
    <t>K6. Siparişe dayalı Ar-Ge varsa %50 / %50 dağılımı doğru uygulandı mı?</t>
  </si>
  <si>
    <t>5746 s.K. Md. 3/3. fıkra</t>
  </si>
  <si>
    <t>Sipariş alan Ar-Ge merkezi harcamaların %50'si, sipariş veren %50'si indirim konusu yapar. İki taraflı sözleşme zorunludur. Sipariş verenler GV stopaj terkini ve SGK desteğinden yararlanamaz.</t>
  </si>
  <si>
    <t>K7. Artırımlı indirim kriterleri değerlendirildi mi? (5 göstergeden biri ≥%20 artış)</t>
  </si>
  <si>
    <t>5746 s.K. Md. 3/7. fıkra | 31.12.2028 uzatması</t>
  </si>
  <si>
    <t>5 göstergeden birinde ≥%20 artış: (a) Ar-Ge/ciro payı, (b) patent sayısı, (c) uluslararası destekli proje, (d) lisansüstü araştırmacı oranı, (e) toplam araştırmacı oranı. Artış tutarının %50'si ek indirim konusu yapılabilir.</t>
  </si>
  <si>
    <t>K8. Devreden Ar-Ge indirimi YDO ile artırılarak devredildi mi?</t>
  </si>
  <si>
    <t>5746 s.K. Md. 3/2. fıkra | VUK YDO</t>
  </si>
  <si>
    <t>5746 kapsamında devreden tutar sonraki yılda VUK Yeniden Değerleme Oranı kadar artırılır. KVK 10/1-a kapsamında devredilen tutar artırımsız devreder. İki kanundan yararlanılıyorsa her biri ayrı izlenmelidir.</t>
  </si>
  <si>
    <t>K9. GV stopaj terkini doğru hesaplandı ve muhtasar beyanname ekinde gösterildi mi?</t>
  </si>
  <si>
    <t>5746 s.K. Md. 3/A | 4 S.No.lu 5746 GT | 7555 s.K. (24.07.2025)</t>
  </si>
  <si>
    <t>Doktoralı: %95, YL: %90, Diğerleri: %80. 7555 s.K. ile brüt asgari ücretin 40 katı üst sınırı getirildi. Personel bazında hesaplama zorunludur; muhtasar beyanname Tablo-1 (20/c) satırında gösterilmeli.</t>
  </si>
  <si>
    <t>K10. SGK işveren hissesi desteği doğru uygulandı mı? (%50 Hazine karşılar)</t>
  </si>
  <si>
    <t>5746 s.K. Md. 3/A | SGK mevzuatı</t>
  </si>
  <si>
    <t>Kamu personeli hariç, Ar-Ge ve destek personelinin SGK işveren hissesinin %50'si Hazine karşılar. SGK beyannamesinde ayrıca beyan edilir; KV beyannamesini etkilemez.</t>
  </si>
  <si>
    <t>K11. YİAKV (KVK Md. 32/C) matrahında Ar-Ge indirimi etkisi analiz edildi mi?</t>
  </si>
  <si>
    <t>KVK Md. 32/C | GİB KV Rehberi 2025</t>
  </si>
  <si>
    <t>Ar-Ge indirimi 'Kazancın Bulunması Halinde' bölümünde yer aldığından YİAKV matrahına etkisi dönem mevzuatı çerçevesinde ayrıca analiz edilmeli. Kesin hüküm verilemez; GİB rehberi ve tebliğler teyit edilmelidir.</t>
  </si>
  <si>
    <t>K12. 49 No.lu Tebliğ eşiği aşıldı mı? (500K TL / 1M TL) YMM raporu gerekiyor mu?</t>
  </si>
  <si>
    <t>49 No.lu SMMM-YMM K. Tebliği (30.12.2025) | 41 No.lu Tebliğ</t>
  </si>
  <si>
    <t>Tek satır ≥500.000 TL veya toplam ≥1.000.000 TL → YMM tasdik raporu zorunludur. 41 No.lu Tebliğ kapsamındaki tasdik şartı da ayrıca değerlendirilmeli. Tam tasdik yaptıranlar ayrıca rapor gerekmez.</t>
  </si>
  <si>
    <t>OTOMATİK KONTROL 1 — H.4 DIŞ HİZMETLER %20 SINIRI (6 S.No.lu 5746 GT)</t>
  </si>
  <si>
    <t>H.4 Dış Hizmet Tutarı (TL)</t>
  </si>
  <si>
    <t>VERİ GİRİŞİ H.4 satırından otomatik alınır</t>
  </si>
  <si>
    <t>Toplam Ar-Ge Harcaması (TL)</t>
  </si>
  <si>
    <t>VERİ GİRİŞİ C bölümü A toplamı</t>
  </si>
  <si>
    <t>H.4 / Toplam Oran (%)</t>
  </si>
  <si>
    <t>Bu oran %20'yi aşmamalıdır (6 Seri No.lu 5746 GT)</t>
  </si>
  <si>
    <t>H.4 %20 Sınırı Sonucu</t>
  </si>
  <si>
    <t>Sınır aşılıyorsa: H.4 tutarını Toplam × %20 ile sınırlandırınız</t>
  </si>
  <si>
    <t>OTOMATİK KONTROL 2 — DESTEK PERSONELİ %10 TZE SINIRI (5746 s.K. Md. 2)</t>
  </si>
  <si>
    <t xml:space="preserve">  Toplam Tam Zaman Eşdeğer (TZE) Ar-Ge personeli sayısını VERİ GİRİŞİ'nden okuyamıyoruz — bu kontrol için aşağıdaki 2 hücreyi doldurunuz.</t>
  </si>
  <si>
    <t>Toplam TZE Ar-Ge Personeli Sayısı (girişi yapınız)</t>
  </si>
  <si>
    <t>Ar-Ge merkezinde tam zaman eşdeğer (TZE) olarak çalışan Ar-Ge personeli sayısı. Kısmi çalışmada oransal hesap yapılır.</t>
  </si>
  <si>
    <t>Destek Personeli TZE Sayısı (girişi yapınız)</t>
  </si>
  <si>
    <t>Ar-Ge faaliyetlerine katılan destek personelinin TZE sayısı (yönetici, laborant, sekreter vb.)</t>
  </si>
  <si>
    <t>İzin Verilen Azami Destek Personeli (%10 Üst Sınır)</t>
  </si>
  <si>
    <t>TZE Ar-Ge personeli × %10 = azami destek personeli sayısı</t>
  </si>
  <si>
    <t>Sınır Aşımı (Aşan TZE kişi sayısı)</t>
  </si>
  <si>
    <t>Pozitif değer = aşım var; bu kişilerin giderleri H.2'den çıkarılmalıdır</t>
  </si>
  <si>
    <t>Destek Personeli %10 Sınırı Sonucu</t>
  </si>
  <si>
    <t>Sınır aşılıyorsa H.2 personel gideri tutarını azaltınız</t>
  </si>
  <si>
    <t>YİAKV VE DEVREDEN İNDİRİM UYARI NOTU</t>
  </si>
  <si>
    <t xml:space="preserve">  Ar-Ge indirimi 'Kazancın Bulunması Halinde İndirilecek' bölümündedir — 310 (TGB/4691) 'Zarar Olsa Dahi' bölümünden farklıdır. Devreden indirim: 5746 kapsamında YDO ile artırılır; KVK 10/1-a'da artırımsız devredilir. YİAKV matrahına etkisi dönem mevzuatı çerçevesinde ayrıca analiz edilmeli — kesin hüküm verilemez.</t>
  </si>
  <si>
    <t>454 – AR-GE İNDİRİMİ (5746 s.K.) | MUHASEBE KAYITLARI ÇALIŞMA KÂĞIDI</t>
  </si>
  <si>
    <t>TDHP Esaslarına Göre — Ar-Ge harcamaları 263/750 hesaplarında izlenir. İndirim ticari kârı etkilemez — beyanname üzerinde matrah azaltıcı unsurdur. Muhasebe sorumluluğu mükellefte, tasdik sorumluluğu YMM'dedir.</t>
  </si>
  <si>
    <t xml:space="preserve">  HESAP STANDARDI: 263 Araştırma ve Geliştirme Giderleri (aktif) | 750 Ar-Ge Giderleri (gider) | 193 Peşin Ödenen Vergiler | 190 Devreden Ar-Ge İndirimi (kayıt dışı izleme)</t>
  </si>
  <si>
    <t>KAYIT 1 — AR-GE HARCAMASININ AKTİFLEŞTİRİLMESİ (263 Ar-Ge Giderleri — Proje Süresince)</t>
  </si>
  <si>
    <t>Tarih</t>
  </si>
  <si>
    <t>Hesap No / Açıklama</t>
  </si>
  <si>
    <t>Not</t>
  </si>
  <si>
    <t>Borç (TL)</t>
  </si>
  <si>
    <t>Alacak (TL)</t>
  </si>
  <si>
    <t>Ref</t>
  </si>
  <si>
    <t>[1. hesap / açıklama]</t>
  </si>
  <si>
    <t>[2. hesap / açıklama]</t>
  </si>
  <si>
    <t xml:space="preserve">  263 AR-GE GİDERLERİ ← 100/102/320/etc. | Harcama yapıldıkça proje aktifleştirilir. Doğrudan giderleme imkânı varsa 750 AR-GE GİDERLERİ hesabı kullanılır.</t>
  </si>
  <si>
    <t>KAYIT 2 — PROJE TAMAMLANDIĞINDA AMORTİSMAN KAYDEDME (İktisadi Kıymet Oluşmuşsa)</t>
  </si>
  <si>
    <t xml:space="preserve">  268 BİRİKMİŞ AMORTİSMAN ← 770/760 | 5746: Aktifleştirilen Ar-Ge harcamaları proje bittikten sonra 263→268 amortisman yoluyla itfa edilir. İktisadi kıymet oluşmazsa doğrudan gider yazılır.</t>
  </si>
  <si>
    <t>KAYIT 3 — GV STOPAJ TERKİNİ (Muhtasar Beyanname — Aylık/Dönemsel)</t>
  </si>
  <si>
    <t xml:space="preserve">  360 ÖDENECEK VERGİ → Terkin: Tahakkuk eden GV stopajından terkine tabi tutar muhtasar beyanname Tablo-1 (20/c) satırında gösterilir; terkin sonrası kalan vergi (21) satırında beyan edilir.</t>
  </si>
  <si>
    <t xml:space="preserve">  NOT — BEYANNAME ETKİSİ: Ar-Ge indirimi ticari kârı etkilemez; KV beyannamesinde 'Kazancın Bulunması Halinde İndirilecek' bölümünde Satır 454'te gösterilir. KVK 10/1-a (artırımsız) ile 5746 (YDO artırımlı) kapsamındaki devreden indirimler ayrı izlenmelidir.</t>
  </si>
  <si>
    <t>454 – AR-GE İNDİRİMİ (5746 s.K.) | TASDİK BELGE LİSTESİ VE DENETİM KANITI ENVANTERİ</t>
  </si>
  <si>
    <t>KVK Md. 17 / 3568 s.K. Kapsamında YMM Tasdik Dosyası — Zorunlu ve Destekleyici Belgeler</t>
  </si>
  <si>
    <t>No</t>
  </si>
  <si>
    <t>Belge / Denetim Kanıtı</t>
  </si>
  <si>
    <t>İçerik ve YMM Tasdik Kontrol Notu</t>
  </si>
  <si>
    <t>Temin Kaynağı</t>
  </si>
  <si>
    <t>KATEGORİ 1 — ZORUNLU TASDİK BELGELERİ (Eksiklik Tasdik Kapsamından Çıkarılma Gerekçesi Oluşturur)</t>
  </si>
  <si>
    <t>✅ 1</t>
  </si>
  <si>
    <t>Ar-Ge Merkezi Belgesi (STB Onaylı — Md. 3 İçin)</t>
  </si>
  <si>
    <t>Sanayi ve Teknoloji Bakanlığı tarafından verilen 'Ar-Ge Merkezi Belgesi'. Belge tarihi, geçerlilik süresi ve faaliyet konusu YMM tarafından bağımsız olarak doğrulanmalıdır. Md. 3/A kullanıyorsa bu satır N/A; proje onay belgesi ile değiştirilir.</t>
  </si>
  <si>
    <t>STB / Mükellef arşivi</t>
  </si>
  <si>
    <t>✅ 2</t>
  </si>
  <si>
    <t>Ar-Ge Proje Tanımı ve STB/TÜBİTAK Değerlendirme Belgesi</t>
  </si>
  <si>
    <t>5746 Md. 3 için: Ar-Ge projelerinin listesi ve kısa tanımları. 5746 Md. 3/A için: Projenin Bakanlık tarafından Ar-Ge/yenilik projesi olarak değerlendirildiğini gösteren belge — bu olmadan indirim uygulanamaz.</t>
  </si>
  <si>
    <t>STB / TÜBİTAK</t>
  </si>
  <si>
    <t>✅ 3</t>
  </si>
  <si>
    <t>Ar-Ge Harcama Özeti ve Muhasebe Hesap Dökümü</t>
  </si>
  <si>
    <t>Harcama türleri (H.1-H.9) bazında dökümü. 263 / 750 hesap ekstresi ile uyumu teyit edilmeli. Finansman giderlerinin ayrıştırılmış olduğu belgelenmelidir.</t>
  </si>
  <si>
    <t>Muhasebe / ERP</t>
  </si>
  <si>
    <t>✅ 4</t>
  </si>
  <si>
    <t>Personel Listesi — Tam Zamanlı Ar-Ge, Kısmi ve Destek Personeli Dökümü</t>
  </si>
  <si>
    <t>Her personel için: tam/kısmi zamanlı ayrımı, Ar-Ge'ye ayrılan süre oranı, eğitim durumu. TZE (tam zaman eşdeğer) personel sayısı hesabı ve %10 destek personeli sınırı kontrolü. En az 15 TZE şartının sağlandığını belgeler.</t>
  </si>
  <si>
    <t>İK/Bordro sistemi</t>
  </si>
  <si>
    <t>✅ 5</t>
  </si>
  <si>
    <t>GV Stopaj Terkini Hesaplama Tablosu (Personel Bazında) ve Muhtasar Beyanname</t>
  </si>
  <si>
    <t>Her personel için: öğrenim durumu, terkin oranı, aylık ücret, 40×asgari ücret üst sınırı. Muhtasar beyanname Tablo-1 (20/c) satırı ile mutabakat. 7555 s.K. (24.07.2025) üst sınırının doğru uygulandığı teyit edilmeli.</t>
  </si>
  <si>
    <t>Bordro / muhtasar beyanname</t>
  </si>
  <si>
    <t>✅ 6</t>
  </si>
  <si>
    <t>Devreden Ar-Ge İndirimi Tablosu (Önceki Yıldan Gelenler)</t>
  </si>
  <si>
    <t>5746 kapsamı: Önceki yıldan gelen tutar ve YDO artışı hesabı. KVK 10/1-a kapsamı: Artırımsız devreden tutar. İki kanun altında izleme ayrı ayrı yapılmış olmalıdır.</t>
  </si>
  <si>
    <t>YMM çalışma notu / önceki beyanname</t>
  </si>
  <si>
    <t>✅ 7</t>
  </si>
  <si>
    <t>KV Beyannamesi Satır 454 — Tutarlılık Kontrolü</t>
  </si>
  <si>
    <t>Beyanname 454 satırı ile bu çalışma kâğıdı D.8 tutarı mutabık olmalıdır. 'Kazancın Bulunması Halinde İndirilecek' bölümüne yazıldığı teyit edilmeli. Fark varsa yazılı gerekçe hazırlanmalıdır.</t>
  </si>
  <si>
    <t>GİB e-Beyanname</t>
  </si>
  <si>
    <t>✅ 8</t>
  </si>
  <si>
    <t>Ar-Ge Faaliyet Raporu / Proje Çıktıları (Proje Gerçekliği Kanıtı)</t>
  </si>
  <si>
    <t>Ar-Ge faaliyetinin münhasıran yeni teknoloji ve bilgi arayışına yönelik olduğunu kanıtlayan proje ilerleme raporları, deney kayıtları veya teknik belgeler. Bu belge olmadan 'Ar-Ge faaliyeti' iddiası savunulamaz.</t>
  </si>
  <si>
    <t>Ar-Ge departmanı</t>
  </si>
  <si>
    <t>KATEGORİ 2 — KRİTİK DESTEK BELGELERİ</t>
  </si>
  <si>
    <t>➕ 9</t>
  </si>
  <si>
    <t>Siparişe Dayalı Ar-Ge Varsa: Sözleşme ve %50/%50 Dağılım Hesabı</t>
  </si>
  <si>
    <t>Sipariş alan/veren arasındaki sözleşme ve harcama dağılım tablosu. Sipariş veren tarafın GV stopajı terkini ve SGK desteğinden yararlanamayacağı teyit edilmeli.</t>
  </si>
  <si>
    <t>Hukuk arşivi</t>
  </si>
  <si>
    <t>➕ 10</t>
  </si>
  <si>
    <t>Artırımlı İndirim İçin Önceki Yıl Karşılaştırma Tablosu (5 Gösterge)</t>
  </si>
  <si>
    <t>≥%20 artış sağlanan gösterge(ler)in önceki yıl ve cari yıl değerleri. Artış oranı ve ek indirim tutarı hesabı. Artış yok ise bu belge N/A.</t>
  </si>
  <si>
    <t>Ar-Ge / YMM hesabı</t>
  </si>
  <si>
    <t>➕ 11</t>
  </si>
  <si>
    <t>SGK İşveren Hissesi Desteği Hesabı ve SGK Beyannamesi</t>
  </si>
  <si>
    <t>%50 Hazine desteğine konu olan personel listesi ve prim hesabı. SGK sisteminde '05746' kodu ile bildirimin yapıldığı teyit edilmeli.</t>
  </si>
  <si>
    <t>SGK / bordro</t>
  </si>
  <si>
    <t>➕ 12</t>
  </si>
  <si>
    <t>YİAKV Matrah Hesaplama Notu</t>
  </si>
  <si>
    <t>Ar-Ge indirimi tutarının YİAKV matrahına etkisi dönem mevzuatı çerçevesinde analiz edilmeli. YMM tarafından hazırlanmalı; GİB KV Rehberi dayanağı belirtilmeli.</t>
  </si>
  <si>
    <t>YMM çalışma notu</t>
  </si>
  <si>
    <t>➕ 13</t>
  </si>
  <si>
    <t>49 No.lu Tebliğ Eşiği Kontrol Notu ve YMM Tasdik Raporu Yükümlülüğü</t>
  </si>
  <si>
    <t>454 satırı ≥500K TL veya toplam ≥1M TL ise YMM tasdik raporu ibraz edilmelidir. 41 No.lu Tebliğ kapsamındaki tasdik şartı da ayrıca değerlendirilmelidir.</t>
  </si>
  <si>
    <t>YMM</t>
  </si>
  <si>
    <t>⚠️ TASDİK KURALI: Ar-Ge indirimi 'Kazancın Bulunması Halinde İndirilecek' bölümündedir — zarar durumunda kullanılamaz. 4691/TGB (310 kodu) ile karıştırılmamalıdır. 5746 kapsamında devreden indirim YDO ile artırılır; KVK 10/1-a'da artırımsız devredilir. Bu ayrımın tasdik raporunda net gösterilmesi zorunludur.</t>
  </si>
  <si>
    <t>TASDİK DOSYASI HAZIRLIK KONTROL ÖZETİ</t>
  </si>
  <si>
    <t xml:space="preserve">  454 — Ar-Ge İndirimi (5746 s.K. Md. 3 / Md. 3/A) — Tasdik Hazırlık Kontrol Listesi
  □ A0 kontrol bloğu (9 soru) tamamlandı ve 'OK' sonucu alındı
  □ Ar-Ge Merkezi belgesi (STB) veya proje onay belgesi temin edildi
  □ Ar-Ge faaliyetinin münhasır yeni teknoloji arayışına yönelik olduğu belgelendi
  □ Harcama türleri (H.1-H.9) doğru sınıflandırıldı; finansman giderleri ayrıştırıldı
  □ TZE Ar-Ge personeli sayısı (en az 15) ve %10 destek sınırı doğrulandı
  □ Kısmi çalışan personel süre oranı hesabı yapıldı
  □ Siparişe dayalı Ar-Ge varsa %50/%50 dağılım doğrulandı
  □ Artırımlı indirim kriterleri (5 gösterge — ≥%20 artış) değerlendirildi
  □ Devreden indirim: 5746'da YDO ile artırılarak, KVK 10/1-a'da artırımsız aktarıldı
  □ GV stopaj terkini personel bazında hesaplandı (7555 s.K. üst sınırı kontrol edildi)
  □ YİAKV matrahına etkisi analiz edildi ve belgelendi
  □ 49/41 No.lu Tebliğ eşikleri kontrol edildi; gerekiyorsa YMM raporu hazırlandı
  □ Beyanname 454 satırı = D.8 tutarı mutabakatı tamamlandı</t>
  </si>
  <si>
    <t>454 – AR-GE İNDİRİMİ (5746 s.K. Md. 3 / Md. 3/A) | YMM MESLEKİ DEĞERLENDİRME VE TASDİK NOTLARI</t>
  </si>
  <si>
    <t>5746 s.K. | KVK Md. 10/1-a | GVK Md. 89/9 | Yasal Dayanak • Tasdik Kapsamı • Risk Analizi • YİAKV • İnceleme Notları</t>
  </si>
  <si>
    <t>📌 YMM TASDİK YAZIM DİLİ STANDARDI:
✅ KULLANIN: değerlendirilmelidir | ayrıca test edilmelidir | uygun koşullar sağlandığında | belgelenmelidir
❌ KULLANMAYIN: uygulanır | kesin olarak | tamamı indirim konusu yapılır — YMM sorumluluğu doğurur</t>
  </si>
  <si>
    <t>I. HUKUK VE MEVZUAT DEĞERLENDİRMESİ (Ana Tasdik Tespiti)</t>
  </si>
  <si>
    <t>Yasal Dayanak:
  • 5746 s.K. Md. 3 (Ar-Ge Merkezi): Ar-Ge merkezlerinde gerçekleştirilen Ar-Ge ve yenilik harcamalarının %100'ü (siparişe dayalılarda %50) kurum/ticari kazancın tespitinde indirim konusu yapılabilir. Sanayi ve Teknoloji Bakanlığı'ndan 'Ar-Ge Merkezi Belgesi' zorunludur.
  • 5746 s.K. Md. 3/A (Proje Bazlı / Özkaynakla): İşletmelerin özkaynakları ile gerçekleştirdikleri münhasıran yeni teknoloji ve bilgi arayışına yönelik Ar-Ge harcamalarının %100'ü, projenin Sanayi ve Teknoloji Bakanlığı tarafından Ar-Ge/yenilik projesi olarak değerlendirilmesi şartıyla indirim konusu yapılabilir.
  • KVK Md. 10/1-a: Münhasıran yeni teknoloji ve bilgi arayışına yönelik Ar-Ge harcamalarının %100'ü kurum kazancından indirilir. 5746 kapsamında yararlanılıyorsa bu madde ayrıca değerlendirmeye alınmayabilir; tercih edilmesi halinde farklılıklar gözetilmelidir.
  • GVK Md. 89/9: Gelir vergisi mükelleflerine paralel düzenleme.
  • Uygulama süresi: 31.12.2028'e kadar uzatılmıştır.</t>
  </si>
  <si>
    <t>II. KRİTİK FARK: 5746 Md.3 / Md.3/A / KVK 10/1-a VE 310 (TGB/4691) KARŞILAŞTIRMASI</t>
  </si>
  <si>
    <t>BEYANNAME KONUMU:
  454 kodu (Ar-Ge): 'Kazancın Bulunması Halinde İndirilecek' bölümü
  310 kodu (TGB): 'Zarar Olsa Dahi İndirilecek' bölümü
Bu iki kodu karıştırmak en sık yapılan hatalardan biridir!
DEVREDEN İNDİRİM FARKI:
  5746 kapsamında: Kazanç yetersizliği nedeniyle devreden tutar sonraki yılda VUK Yeniden Değerleme Oranı kadar artırılarak kullanılır.
  KVK 10/1-a kapsamında: Devredilen tutar artırımsız devredilir.
İki kanundan aynı anda yararlanılıyorsa her biri ayrı izlenmeli ve raporlanmalıdır.
ARTIRMA FARKI:
  5746 Md. 3: Artırımlı indirim hakkı vardır (≥%20 artış — %50 ek indirim — 31.12.2028'e kadar).
  KVK 10/1-a: Artırımlı indirim yoktur.
SİPARİŞE DAYALI:
  5746 Md. 3: Sipariş alan %50 + sipariş veren %50 dağılımı uygulanır.
  Sipariş verenler GV stopaj terkini ve SGK desteğinden yararlanamaz.</t>
  </si>
  <si>
    <t>III. TASDİK RİSK ANALİZİ — KRİTİK RİSKLER</t>
  </si>
  <si>
    <t>IV. YİAKV ETKİ ANALİZİ (KVK Md. 32/C)</t>
  </si>
  <si>
    <t>Ar-Ge indirimi (454 kodu) 'Kazancın Bulunması Halinde İndirilecek' bölümündedir. Bu bölümdeki indirimlerin YİAKV matrahına etkisi dönem mevzuatı çerçevesinde ayrıca analiz edilmelidir.
Güncel Değerlendirme (2025):
  • 4691/TGB (310 kodu — 'Zarar Olsa Dahi') için YİAKV kuralı farklıdır.
  • Ar-Ge indirimi için GİB KV Rehberi ve ilgili dönem mevzuatı teyit edilmelidir.
  • Kesin hüküm verilemez — YMM tarafından ayrı tabloda hesaplanmalı ve belgelenmelidir.</t>
  </si>
  <si>
    <t>V. MEVZUAT DAYANAKLARI VE GÜNCEL KAYNAKLAR</t>
  </si>
  <si>
    <t>Birincil Mevzuat:
  • 5746 sayılı Araştırma, Geliştirme ve Tasarım Faaliyetlerinin Desteklenmesi Hakkında Kanun (Md. 3 — Ar-Ge Merkezi, Md. 3/A — Proje Bazlı)
  • KVK Md. 10/1-a
  • 1 Seri No.lu Kurumlar Vergisi GT — Bölüm 10.1 (Ar-Ge indirimi açıklaması)
  • 6 Seri No.lu 5746 GT (30.09.2016): Harcama türleri ve uygulama esasları
  • 4 Seri No.lu 5746 GT: GV stopaj terkini uygulama esasları
  • Araştırma, Geliştirme ve Tasarım Faaliyetlerinin Desteklenmesine İlişkin Uygulama ve Denetim Yönetmeliği (1.3.2016 yürürlük)
  • 7555 s.K. (24.07.2025): GV stopaj terkinine 40×asgari ücret üst sınırı
  • 49 No.lu SMMM-YMM Kanunu Tebliği (30.12.2025): Tasdik raporu eşikleri
  • 41 No.lu SMMM-YMM Kanunu Tebliği: Ar-Ge indirimi tasdik şartı
  • KVK Md. 32/C: YİAKV
  • GİB 2025 KV Beyan Rehberi (güncel versiyon teyit edilmeli)</t>
  </si>
  <si>
    <t>VI. VERGİ İNCELEMESİ VE TASDİK HAZIRLIK NOTLARI</t>
  </si>
  <si>
    <t>1. ÖNCELİKLİ BELGE: Ar-Ge Merkezi Belgesi (tarih, geçerlilik, personel sayısı). Belge ve koşul ihlali varsa indirimden geriye dönük yararlanılamaz.
2. 'AR-GE' OLUP OLMADIĞI NOTU: Projenin gerçekten yeni teknoloji arayışına yönelik olduğunu kanıtlayan teknik belgeler (proje raporu, deney kayıtları) tasdik dosyasında bulunmalıdır. Bu kanıt olmadan 'Ar-Ge' iddiası inceleme sürecinde zayıf kalır.
3. GV STOPAJ VE SGK: Personel bazında hesaplama, 40×asgari ücret üst sınırı kontrolü ve muhtasar beyanname (20/c) uyumu YMM tarafından bağımsız olarak doğrulanmalıdır.
4. 454 vs 310 KARIŞIKLIĞI: Ar-Ge indirimi (454) zarar durumunda KULLANILAMAZ. TGB istisnası (310) zarar olsa da uygulanır. Bu ayrım beyanname dolumunda kritiktir.
5. YMM SORUMLULUK NOTU: Bu çalışma kâğıdındaki veriler mükellef beyanına dayanmaktadır. Ar-Ge faaliyetinin niteliği, personel listesi, harcama dökümü ve merkez belgesi YMM tarafından 3568 sayılı Kanun çerçevesinde bağımsız olarak test edilmiştir.</t>
  </si>
  <si>
    <t xml:space="preserve"> </t>
  </si>
  <si>
    <t>RİSK 1 — AR-GE MERKEZİ BELGESİ KOŞULLARININ İHLALİ:
En az 15 TZE Ar-Ge personeli şartının kaybedildiği, belgenin iptal edildiği veya şartların ihlal edildiği hallerde indirimin geri alınması ve vergi ziyaı riski doğar.
RİSK 2 — ‘YENİ TEKNOLOJİ ARAŞTIRILMASI’ KAPSAMINI AŞMA:
Halihazırda bilinen veya mevcut tekniklerle çözülebilir faaliyetler kapsam dışıdır. Ürün geliştirme ve test aşamasının pazarlanabilir aşamayı geçtiği andan itibaren yapılan harcamalar Ar-Ge sayılmaz.
RİSK 3 — FİNANSMAN GİDERİNİN DAHIL EDİLMESİ:
5746 kapsamında finansman giderleri (faiz, kredi masrafları) Ar-Ge harcaması sayılmaz. Bu giderlerin H.1-H.9 hesabına dahil edilmesi tarhiyat riskine yol açar.
RİSK 4 — GV STOPAJ TERKİNİ HATALARI:
Personel öğrenim durumu yanlış belirlenmesi, 40×asgari ücret üst sınırı (7555 s.K.) uygulanmaması veya kısmi çalışmada süre oranının yanlış hesaplanması.
RİSK 5 — DEVREDEN İNDİRİM YDO ARTIŞI:
5746 kapsamındaki devreden indirimin YDO ile artırılmadan kullanılması veya KVK 10/1-a ile 5746 kapsamlarının karıştırılması.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</si>
</sst>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sz val="8"/>
      <color rgb="FF333333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i/>
      <sz val="8"/>
      <color rgb="FF888888"/>
      <name val="Arial"/>
    </font>
    <font>
      <b/>
      <sz val="11"/>
      <color rgb="FFFFFFFF"/>
      <name val="Arial"/>
    </font>
    <font>
      <sz val="9"/>
      <color rgb="FFC0392B"/>
      <name val="Arial"/>
    </font>
    <font>
      <b/>
      <sz val="9"/>
      <color rgb="FFFFFFFF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C0392B"/>
      <name val="Arial"/>
    </font>
    <font>
      <b/>
      <sz val="9"/>
      <color rgb="FFC0392B"/>
      <name val="Arial"/>
    </font>
    <font>
      <b/>
      <sz val="10"/>
      <color rgb="FFC0392B"/>
      <name val="Arial"/>
    </font>
    <font>
      <sz val="9"/>
      <color rgb="FF1A5276"/>
      <name val="Arial"/>
    </font>
    <font>
      <sz val="9"/>
      <color rgb="FF1F3864"/>
      <name val="Arial"/>
    </font>
    <font>
      <b/>
      <sz val="11"/>
      <color rgb="FF1B5E20"/>
      <name val="Arial"/>
    </font>
    <font>
      <sz val="9"/>
      <color rgb="FF1B5E20"/>
      <name val="Arial"/>
    </font>
    <font>
      <b/>
      <sz val="10"/>
      <color rgb="FF1F3864"/>
      <name val="Arial"/>
    </font>
    <font>
      <sz val="10"/>
      <color rgb="FF1F3864"/>
      <name val="Arial"/>
    </font>
    <font>
      <sz val="10"/>
      <color rgb="FF1B5E20"/>
      <name val="Arial"/>
    </font>
    <font>
      <sz val="9"/>
      <color rgb="FFFF8F00"/>
      <name val="Arial"/>
    </font>
    <font>
      <sz val="8"/>
      <color rgb="FF1A5276"/>
      <name val="Arial"/>
    </font>
    <font>
      <b/>
      <sz val="12"/>
      <color rgb="FFFFFFFF"/>
      <name val="Arial"/>
    </font>
    <font>
      <i/>
      <sz val="8"/>
      <color rgb="FF444444"/>
      <name val="Arial"/>
    </font>
    <font>
      <i/>
      <sz val="9"/>
      <color rgb="FFBBBBBB"/>
      <name val="Arial"/>
    </font>
    <font>
      <sz val="8"/>
      <color rgb="FF1F3864"/>
      <name val="Arial"/>
    </font>
    <font>
      <sz val="8"/>
      <color rgb="FFFF8F00"/>
      <name val="Arial"/>
    </font>
    <font>
      <i/>
      <sz val="9"/>
      <color rgb="FF1F3864"/>
      <name val="Arial"/>
    </font>
    <font>
      <b/>
      <sz val="9"/>
      <color rgb="FF1B5E20"/>
      <name val="Arial"/>
    </font>
    <font>
      <i/>
      <sz val="8"/>
      <color rgb="FF333333"/>
      <name val="Arial"/>
    </font>
    <font>
      <sz val="8"/>
      <color rgb="FF555555"/>
      <name val="Arial"/>
    </font>
    <font>
      <b/>
      <sz val="9"/>
      <color rgb="FF2E5FA3"/>
      <name val="Arial"/>
    </font>
    <font>
      <sz val="10"/>
      <color rgb="FF333333"/>
      <name val="Arial"/>
    </font>
    <font>
      <b/>
      <sz val="8"/>
      <color rgb="FFC0392B"/>
      <name val="Arial"/>
    </font>
    <font>
      <sz val="8"/>
      <color rgb="FF1B5E20"/>
      <name val="Arial"/>
    </font>
    <font>
      <sz val="8"/>
      <color rgb="FF7B5E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4057"/>
      </patternFill>
    </fill>
    <fill>
      <patternFill patternType="solid">
        <fgColor rgb="FFF8F9FA"/>
      </patternFill>
    </fill>
    <fill>
      <patternFill patternType="solid">
        <fgColor rgb="FFF0F0F0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E5FA3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EBF5FB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1B5E20"/>
      </patternFill>
    </fill>
    <fill>
      <patternFill patternType="solid">
        <fgColor rgb="FFFF8F00"/>
      </patternFill>
    </fill>
    <fill>
      <patternFill patternType="solid">
        <fgColor rgb="FFF0F4FF"/>
      </patternFill>
    </fill>
    <fill>
      <patternFill patternType="solid">
        <fgColor rgb="FF1A6B3C"/>
      </patternFill>
    </fill>
    <fill>
      <patternFill patternType="solid">
        <fgColor rgb="FF2E6B47"/>
      </patternFill>
    </fill>
    <fill>
      <patternFill patternType="solid">
        <fgColor rgb="FFFFF9C4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/>
      <right style="thin">
        <color rgb="FFBBBBBB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BBBBBB"/>
      </left>
      <right/>
      <top/>
      <bottom style="thin">
        <color rgb="FF999999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5" borderId="2" xfId="0" applyFill="1" applyBorder="1"/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12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11" borderId="2" xfId="0" applyFill="1" applyBorder="1"/>
    <xf numFmtId="0" fontId="5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20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 wrapText="1"/>
    </xf>
    <xf numFmtId="0" fontId="22" fillId="12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3" fillId="15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left" vertical="center" wrapText="1"/>
    </xf>
    <xf numFmtId="0" fontId="26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0" fillId="6" borderId="2" xfId="0" applyFill="1" applyBorder="1" applyAlignment="1">
      <alignment horizontal="center" vertical="center"/>
    </xf>
    <xf numFmtId="0" fontId="26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/>
    </xf>
    <xf numFmtId="0" fontId="27" fillId="6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left" vertical="center"/>
    </xf>
    <xf numFmtId="0" fontId="31" fillId="14" borderId="2" xfId="0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left" vertical="center" wrapText="1"/>
    </xf>
    <xf numFmtId="0" fontId="32" fillId="14" borderId="2" xfId="0" applyFont="1" applyFill="1" applyBorder="1" applyAlignment="1">
      <alignment horizontal="left" vertical="center" wrapText="1"/>
    </xf>
    <xf numFmtId="0" fontId="33" fillId="14" borderId="2" xfId="0" applyFont="1" applyFill="1" applyBorder="1" applyAlignment="1">
      <alignment horizontal="left" vertical="center" wrapText="1"/>
    </xf>
    <xf numFmtId="0" fontId="34" fillId="6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33" fillId="6" borderId="2" xfId="0" applyFont="1" applyFill="1" applyBorder="1" applyAlignment="1">
      <alignment horizontal="left" vertical="center" wrapText="1"/>
    </xf>
    <xf numFmtId="0" fontId="37" fillId="12" borderId="2" xfId="0" applyFont="1" applyFill="1" applyBorder="1" applyAlignment="1">
      <alignment horizontal="left" vertical="center" wrapText="1"/>
    </xf>
    <xf numFmtId="0" fontId="38" fillId="21" borderId="2" xfId="0" applyFont="1" applyFill="1" applyBorder="1" applyAlignment="1">
      <alignment horizontal="left" vertical="center" wrapText="1"/>
    </xf>
    <xf numFmtId="0" fontId="0" fillId="21" borderId="2" xfId="0" applyFill="1" applyBorder="1"/>
    <xf numFmtId="0" fontId="20" fillId="11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2" xfId="0" applyBorder="1"/>
    <xf numFmtId="0" fontId="36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6" fillId="7" borderId="2" xfId="0" applyFont="1" applyFill="1" applyBorder="1" applyAlignment="1">
      <alignment horizontal="left" vertical="center"/>
    </xf>
    <xf numFmtId="0" fontId="0" fillId="0" borderId="4" xfId="0" applyBorder="1"/>
    <xf numFmtId="0" fontId="5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3" fillId="4" borderId="2" xfId="0" applyFont="1" applyFill="1" applyBorder="1" applyAlignment="1">
      <alignment horizontal="left" vertical="center" wrapText="1"/>
    </xf>
    <xf numFmtId="0" fontId="0" fillId="0" borderId="3" xfId="0" applyBorder="1"/>
    <xf numFmtId="0" fontId="4" fillId="3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left" vertical="center"/>
    </xf>
    <xf numFmtId="0" fontId="0" fillId="6" borderId="2" xfId="0" applyFill="1" applyBorder="1"/>
    <xf numFmtId="0" fontId="11" fillId="6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30" fillId="14" borderId="2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28" fillId="18" borderId="2" xfId="0" applyFont="1" applyFill="1" applyBorder="1" applyAlignment="1">
      <alignment horizontal="left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29" fillId="15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/>
    </xf>
    <xf numFmtId="0" fontId="35" fillId="13" borderId="2" xfId="0" applyFont="1" applyFill="1" applyBorder="1" applyAlignment="1">
      <alignment horizontal="left" vertical="top" wrapText="1"/>
    </xf>
    <xf numFmtId="0" fontId="35" fillId="6" borderId="2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center"/>
    </xf>
    <xf numFmtId="0" fontId="35" fillId="14" borderId="2" xfId="0" applyFont="1" applyFill="1" applyBorder="1" applyAlignment="1">
      <alignment horizontal="left" vertical="top" wrapText="1"/>
    </xf>
    <xf numFmtId="0" fontId="35" fillId="9" borderId="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12" borderId="9" xfId="0" applyFont="1" applyFill="1" applyBorder="1" applyAlignment="1">
      <alignment horizontal="left" vertical="center"/>
    </xf>
    <xf numFmtId="0" fontId="5" fillId="1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left" vertical="center" wrapText="1"/>
    </xf>
    <xf numFmtId="0" fontId="16" fillId="13" borderId="13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sz val="10"/>
        <color rgb="FF7B5E00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7B5E00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60F886-AA00-4DFC-9E57-FC9BF3D18E6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a236df5-756c-4bc3-bdd6-5696fe7ad71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6" workbookViewId="0">
      <selection activeCell="B48" sqref="B48"/>
    </sheetView>
  </sheetViews>
  <sheetFormatPr defaultRowHeight="14.4" x14ac:dyDescent="0.55000000000000004"/>
  <cols>
    <col min="1" max="1" width="13.15625" customWidth="1"/>
    <col min="2" max="2" width="46" customWidth="1"/>
    <col min="3" max="3" width="22" customWidth="1"/>
    <col min="4" max="4" width="28" customWidth="1"/>
    <col min="5" max="5" width="8.3125" customWidth="1"/>
  </cols>
  <sheetData>
    <row r="1" spans="1:6" ht="44.05" customHeight="1" x14ac:dyDescent="0.55000000000000004">
      <c r="A1" s="88" t="s">
        <v>0</v>
      </c>
      <c r="B1" s="79"/>
      <c r="C1" s="79"/>
      <c r="D1" s="79"/>
      <c r="E1" s="80"/>
      <c r="F1" t="s">
        <v>337</v>
      </c>
    </row>
    <row r="2" spans="1:6" ht="20.05" customHeight="1" x14ac:dyDescent="0.55000000000000004">
      <c r="A2" s="90" t="s">
        <v>1</v>
      </c>
      <c r="B2" s="77"/>
      <c r="C2" s="77"/>
      <c r="D2" s="77"/>
      <c r="E2" s="73"/>
    </row>
    <row r="3" spans="1:6" ht="20.05" customHeight="1" x14ac:dyDescent="0.55000000000000004">
      <c r="A3" s="76" t="s">
        <v>2</v>
      </c>
      <c r="B3" s="77"/>
      <c r="C3" s="77"/>
      <c r="D3" s="77"/>
      <c r="E3" s="73"/>
    </row>
    <row r="4" spans="1:6" ht="5.05" customHeight="1" x14ac:dyDescent="0.55000000000000004">
      <c r="A4" s="1"/>
      <c r="B4" s="1"/>
      <c r="C4" s="1"/>
      <c r="D4" s="1"/>
      <c r="E4" s="1"/>
    </row>
    <row r="5" spans="1:6" ht="20.05" customHeight="1" x14ac:dyDescent="0.55000000000000004">
      <c r="A5" s="78" t="s">
        <v>3</v>
      </c>
      <c r="B5" s="79"/>
      <c r="C5" s="79"/>
      <c r="D5" s="79"/>
      <c r="E5" s="80"/>
    </row>
    <row r="6" spans="1:6" ht="18" customHeight="1" x14ac:dyDescent="0.55000000000000004">
      <c r="A6" s="81" t="s">
        <v>4</v>
      </c>
      <c r="B6" s="73"/>
      <c r="C6" s="4" t="s">
        <v>5</v>
      </c>
      <c r="D6" s="84" t="s">
        <v>6</v>
      </c>
      <c r="E6" s="73"/>
    </row>
    <row r="7" spans="1:6" ht="18" customHeight="1" x14ac:dyDescent="0.55000000000000004">
      <c r="A7" s="89" t="s">
        <v>7</v>
      </c>
      <c r="B7" s="73"/>
      <c r="C7" s="8" t="s">
        <v>8</v>
      </c>
      <c r="D7" s="72" t="s">
        <v>9</v>
      </c>
      <c r="E7" s="73"/>
    </row>
    <row r="8" spans="1:6" ht="18" customHeight="1" x14ac:dyDescent="0.55000000000000004">
      <c r="A8" s="81" t="s">
        <v>10</v>
      </c>
      <c r="B8" s="73"/>
      <c r="C8" s="4"/>
      <c r="D8" s="84" t="s">
        <v>11</v>
      </c>
      <c r="E8" s="73"/>
    </row>
    <row r="9" spans="1:6" ht="5.05" customHeight="1" x14ac:dyDescent="0.55000000000000004">
      <c r="A9" s="1"/>
      <c r="B9" s="1"/>
      <c r="C9" s="1"/>
      <c r="D9" s="1"/>
      <c r="E9" s="1"/>
    </row>
    <row r="10" spans="1:6" ht="28" customHeight="1" x14ac:dyDescent="0.55000000000000004">
      <c r="A10" s="85" t="s">
        <v>12</v>
      </c>
      <c r="B10" s="79"/>
      <c r="C10" s="79"/>
      <c r="D10" s="79"/>
      <c r="E10" s="80"/>
    </row>
    <row r="11" spans="1:6" ht="52" customHeight="1" x14ac:dyDescent="0.55000000000000004">
      <c r="A11" s="87" t="s">
        <v>13</v>
      </c>
      <c r="B11" s="77"/>
      <c r="C11" s="77"/>
      <c r="D11" s="77"/>
      <c r="E11" s="73"/>
    </row>
    <row r="12" spans="1:6" ht="18" customHeight="1" x14ac:dyDescent="0.55000000000000004">
      <c r="A12" s="11" t="s">
        <v>14</v>
      </c>
      <c r="B12" s="11"/>
      <c r="C12" s="11" t="s">
        <v>15</v>
      </c>
      <c r="D12" s="11" t="s">
        <v>16</v>
      </c>
      <c r="E12" s="11"/>
    </row>
    <row r="13" spans="1:6" ht="26.05" customHeight="1" x14ac:dyDescent="0.55000000000000004">
      <c r="A13" s="86" t="s">
        <v>17</v>
      </c>
      <c r="B13" s="73"/>
      <c r="C13" s="12" t="s">
        <v>18</v>
      </c>
      <c r="D13" s="82" t="s">
        <v>19</v>
      </c>
      <c r="E13" s="73"/>
    </row>
    <row r="14" spans="1:6" ht="26.05" customHeight="1" x14ac:dyDescent="0.55000000000000004">
      <c r="A14" s="74" t="s">
        <v>20</v>
      </c>
      <c r="B14" s="73"/>
      <c r="C14" s="12" t="s">
        <v>21</v>
      </c>
      <c r="D14" s="83" t="s">
        <v>22</v>
      </c>
      <c r="E14" s="73"/>
    </row>
    <row r="15" spans="1:6" ht="26.05" customHeight="1" x14ac:dyDescent="0.55000000000000004">
      <c r="A15" s="86" t="s">
        <v>23</v>
      </c>
      <c r="B15" s="73"/>
      <c r="C15" s="12" t="s">
        <v>18</v>
      </c>
      <c r="D15" s="82" t="s">
        <v>24</v>
      </c>
      <c r="E15" s="73"/>
    </row>
    <row r="16" spans="1:6" ht="26.05" customHeight="1" x14ac:dyDescent="0.55000000000000004">
      <c r="A16" s="74" t="s">
        <v>25</v>
      </c>
      <c r="B16" s="73"/>
      <c r="C16" s="12" t="s">
        <v>18</v>
      </c>
      <c r="D16" s="83" t="s">
        <v>26</v>
      </c>
      <c r="E16" s="73"/>
    </row>
    <row r="17" spans="1:5" ht="28" customHeight="1" x14ac:dyDescent="0.55000000000000004">
      <c r="A17" s="74" t="s">
        <v>27</v>
      </c>
      <c r="B17" s="75"/>
      <c r="C17" s="12" t="s">
        <v>28</v>
      </c>
      <c r="D17" s="83" t="s">
        <v>29</v>
      </c>
      <c r="E17" s="75"/>
    </row>
    <row r="18" spans="1:5" ht="26.05" customHeight="1" x14ac:dyDescent="0.55000000000000004">
      <c r="A18" s="116" t="s">
        <v>30</v>
      </c>
      <c r="B18" s="117"/>
      <c r="C18" s="12" t="s">
        <v>31</v>
      </c>
      <c r="D18" s="13" t="s">
        <v>32</v>
      </c>
    </row>
    <row r="19" spans="1:5" ht="26.05" customHeight="1" x14ac:dyDescent="0.55000000000000004">
      <c r="A19" s="118" t="s">
        <v>33</v>
      </c>
      <c r="B19" s="119"/>
      <c r="C19" s="12" t="s">
        <v>18</v>
      </c>
      <c r="D19" s="14" t="s">
        <v>34</v>
      </c>
    </row>
    <row r="20" spans="1:5" ht="26.05" customHeight="1" x14ac:dyDescent="0.55000000000000004">
      <c r="A20" s="120" t="s">
        <v>35</v>
      </c>
      <c r="B20" s="121"/>
      <c r="C20" s="12" t="s">
        <v>31</v>
      </c>
      <c r="D20" s="13" t="s">
        <v>36</v>
      </c>
    </row>
    <row r="21" spans="1:5" ht="26.05" customHeight="1" x14ac:dyDescent="0.55000000000000004">
      <c r="A21" s="118" t="s">
        <v>37</v>
      </c>
      <c r="B21" s="119"/>
      <c r="C21" s="12" t="s">
        <v>18</v>
      </c>
      <c r="D21" s="14" t="s">
        <v>38</v>
      </c>
    </row>
    <row r="22" spans="1:5" ht="24" customHeight="1" x14ac:dyDescent="0.55000000000000004">
      <c r="A22" s="120" t="s">
        <v>39</v>
      </c>
      <c r="B22" s="121"/>
      <c r="C22" s="12" t="s">
        <v>18</v>
      </c>
      <c r="D22" s="13" t="s">
        <v>40</v>
      </c>
    </row>
    <row r="23" spans="1:5" ht="22" customHeight="1" x14ac:dyDescent="0.55000000000000004">
      <c r="A23" s="122" t="s">
        <v>41</v>
      </c>
      <c r="B23" s="123"/>
      <c r="C23" s="17" t="str">
        <f>IF(AND(C13="EVET",C14&lt;&gt;"",OR(AND(C14="Md. 3 (Ar-Ge Merkezi)",C15="EVET"),AND(C14="Md. 3/A (Proje Bazlı / Özkaynakla)",C16="EVET")),C21="EVET",C22="EVET"),"✅ OK – Hesaplanabilir","⛔ HATA – Ön koşul eksik")</f>
        <v>✅ OK – Hesaplanabilir</v>
      </c>
      <c r="D23" s="18" t="s">
        <v>42</v>
      </c>
    </row>
    <row r="24" spans="1:5" ht="27.3" customHeight="1" x14ac:dyDescent="0.55000000000000004">
      <c r="A24" s="19" t="s">
        <v>43</v>
      </c>
      <c r="C24" s="20" t="str">
        <f>IF(C23="⛔ HATA – Ön koşul eksik","⛔ BU MODÜL KULLANILAMAZ — A0 Kontrolünü Tamamlayın","")</f>
        <v/>
      </c>
      <c r="D24" s="21" t="s">
        <v>44</v>
      </c>
    </row>
    <row r="25" spans="1:5" ht="22" customHeight="1" x14ac:dyDescent="0.55000000000000004">
      <c r="A25" s="1"/>
      <c r="B25" s="1"/>
      <c r="C25" s="1"/>
      <c r="D25" s="1"/>
      <c r="E25" s="1"/>
    </row>
    <row r="26" spans="1:5" ht="18" customHeight="1" x14ac:dyDescent="0.55000000000000004">
      <c r="A26" s="126" t="s">
        <v>45</v>
      </c>
      <c r="B26" s="127"/>
      <c r="C26" s="127"/>
      <c r="D26" s="127"/>
    </row>
    <row r="27" spans="1:5" ht="20.05" customHeight="1" x14ac:dyDescent="0.55000000000000004">
      <c r="A27" s="11" t="s">
        <v>46</v>
      </c>
      <c r="B27" s="11"/>
      <c r="C27" s="11" t="s">
        <v>47</v>
      </c>
      <c r="D27" s="11" t="s">
        <v>48</v>
      </c>
      <c r="E27" s="11"/>
    </row>
    <row r="28" spans="1:5" ht="20.05" customHeight="1" x14ac:dyDescent="0.55000000000000004">
      <c r="A28" s="6" t="s">
        <v>49</v>
      </c>
      <c r="C28" s="23"/>
      <c r="D28" s="9" t="s">
        <v>50</v>
      </c>
    </row>
    <row r="29" spans="1:5" ht="20.05" customHeight="1" x14ac:dyDescent="0.55000000000000004">
      <c r="A29" s="2" t="s">
        <v>51</v>
      </c>
      <c r="C29" s="23"/>
      <c r="D29" s="5" t="s">
        <v>52</v>
      </c>
    </row>
    <row r="30" spans="1:5" ht="20.05" customHeight="1" x14ac:dyDescent="0.55000000000000004">
      <c r="A30" s="6" t="s">
        <v>53</v>
      </c>
      <c r="C30" s="23"/>
      <c r="D30" s="9" t="s">
        <v>54</v>
      </c>
    </row>
    <row r="31" spans="1:5" ht="20.05" customHeight="1" x14ac:dyDescent="0.55000000000000004">
      <c r="A31" s="2" t="s">
        <v>55</v>
      </c>
      <c r="C31" s="23"/>
      <c r="D31" s="5" t="s">
        <v>56</v>
      </c>
    </row>
    <row r="32" spans="1:5" ht="20.05" customHeight="1" x14ac:dyDescent="0.55000000000000004">
      <c r="A32" s="6" t="s">
        <v>57</v>
      </c>
      <c r="C32" s="23"/>
      <c r="D32" s="9" t="s">
        <v>58</v>
      </c>
    </row>
    <row r="33" spans="1:5" ht="20.05" customHeight="1" x14ac:dyDescent="0.55000000000000004">
      <c r="A33" s="2" t="s">
        <v>59</v>
      </c>
      <c r="C33" s="23"/>
      <c r="D33" s="5" t="s">
        <v>60</v>
      </c>
    </row>
    <row r="34" spans="1:5" ht="20.05" customHeight="1" x14ac:dyDescent="0.55000000000000004">
      <c r="A34" s="6" t="s">
        <v>61</v>
      </c>
      <c r="C34" s="23"/>
      <c r="D34" s="9" t="s">
        <v>62</v>
      </c>
    </row>
    <row r="35" spans="1:5" ht="5.05" customHeight="1" x14ac:dyDescent="0.55000000000000004">
      <c r="A35" s="2" t="s">
        <v>63</v>
      </c>
      <c r="C35" s="23"/>
      <c r="D35" s="5" t="s">
        <v>64</v>
      </c>
    </row>
    <row r="36" spans="1:5" ht="28" customHeight="1" x14ac:dyDescent="0.55000000000000004">
      <c r="A36" s="1"/>
      <c r="B36" s="1"/>
      <c r="C36" s="1"/>
      <c r="D36" s="1"/>
      <c r="E36" s="1"/>
    </row>
    <row r="37" spans="1:5" ht="40" customHeight="1" x14ac:dyDescent="0.55000000000000004">
      <c r="A37" s="124" t="s">
        <v>65</v>
      </c>
      <c r="B37" s="125"/>
      <c r="C37" s="125"/>
      <c r="D37" s="125"/>
    </row>
    <row r="38" spans="1:5" ht="18" customHeight="1" x14ac:dyDescent="0.55000000000000004">
      <c r="A38" s="128" t="s">
        <v>66</v>
      </c>
      <c r="B38" s="129"/>
      <c r="C38" s="129"/>
      <c r="D38" s="129"/>
      <c r="E38" s="129"/>
    </row>
    <row r="39" spans="1:5" ht="30" customHeight="1" x14ac:dyDescent="0.55000000000000004">
      <c r="A39" s="11" t="s">
        <v>67</v>
      </c>
      <c r="B39" s="11" t="s">
        <v>68</v>
      </c>
      <c r="C39" s="11" t="s">
        <v>69</v>
      </c>
      <c r="D39" s="11" t="s">
        <v>70</v>
      </c>
      <c r="E39" s="11"/>
    </row>
    <row r="40" spans="1:5" ht="30" customHeight="1" x14ac:dyDescent="0.55000000000000004">
      <c r="A40" s="24" t="s">
        <v>71</v>
      </c>
      <c r="B40" s="25" t="s">
        <v>72</v>
      </c>
      <c r="C40" s="26"/>
      <c r="D40" s="27" t="s">
        <v>73</v>
      </c>
    </row>
    <row r="41" spans="1:5" ht="30" customHeight="1" x14ac:dyDescent="0.55000000000000004">
      <c r="A41" s="24" t="s">
        <v>74</v>
      </c>
      <c r="B41" s="25" t="s">
        <v>75</v>
      </c>
      <c r="C41" s="26"/>
      <c r="D41" s="27" t="s">
        <v>76</v>
      </c>
    </row>
    <row r="42" spans="1:5" ht="30" customHeight="1" x14ac:dyDescent="0.55000000000000004">
      <c r="A42" s="24" t="s">
        <v>77</v>
      </c>
      <c r="B42" s="25" t="s">
        <v>78</v>
      </c>
      <c r="C42" s="26"/>
      <c r="D42" s="27" t="s">
        <v>79</v>
      </c>
    </row>
    <row r="43" spans="1:5" ht="30" customHeight="1" x14ac:dyDescent="0.55000000000000004">
      <c r="A43" s="24" t="s">
        <v>80</v>
      </c>
      <c r="B43" s="25" t="s">
        <v>81</v>
      </c>
      <c r="C43" s="26"/>
      <c r="D43" s="27" t="s">
        <v>82</v>
      </c>
    </row>
    <row r="44" spans="1:5" ht="30" customHeight="1" x14ac:dyDescent="0.55000000000000004">
      <c r="A44" s="24" t="s">
        <v>83</v>
      </c>
      <c r="B44" s="25" t="s">
        <v>84</v>
      </c>
      <c r="C44" s="26"/>
      <c r="D44" s="27" t="s">
        <v>85</v>
      </c>
    </row>
    <row r="45" spans="1:5" ht="30" customHeight="1" x14ac:dyDescent="0.55000000000000004">
      <c r="A45" s="24" t="s">
        <v>86</v>
      </c>
      <c r="B45" s="25" t="s">
        <v>87</v>
      </c>
      <c r="C45" s="26"/>
      <c r="D45" s="27" t="s">
        <v>88</v>
      </c>
    </row>
    <row r="46" spans="1:5" ht="30" customHeight="1" x14ac:dyDescent="0.55000000000000004">
      <c r="A46" s="24" t="s">
        <v>89</v>
      </c>
      <c r="B46" s="25" t="s">
        <v>90</v>
      </c>
      <c r="C46" s="26"/>
      <c r="D46" s="27" t="s">
        <v>91</v>
      </c>
    </row>
    <row r="47" spans="1:5" ht="30" customHeight="1" x14ac:dyDescent="0.55000000000000004">
      <c r="A47" s="8" t="s">
        <v>92</v>
      </c>
      <c r="B47" s="28" t="s">
        <v>93</v>
      </c>
      <c r="C47" s="26"/>
      <c r="D47" s="64" t="s">
        <v>94</v>
      </c>
      <c r="E47" s="16"/>
    </row>
    <row r="48" spans="1:5" ht="30" customHeight="1" x14ac:dyDescent="0.55000000000000004">
      <c r="A48" s="8" t="s">
        <v>95</v>
      </c>
      <c r="B48" s="28" t="s">
        <v>96</v>
      </c>
      <c r="C48" s="26"/>
      <c r="D48" s="65" t="s">
        <v>97</v>
      </c>
      <c r="E48" s="66"/>
    </row>
    <row r="49" spans="1:5" ht="26.05" customHeight="1" x14ac:dyDescent="0.55000000000000004">
      <c r="A49" s="29" t="s">
        <v>98</v>
      </c>
      <c r="B49" s="10" t="s">
        <v>99</v>
      </c>
      <c r="C49" s="26"/>
      <c r="D49" s="30" t="s">
        <v>100</v>
      </c>
    </row>
    <row r="50" spans="1:5" ht="24.3" customHeight="1" x14ac:dyDescent="0.55000000000000004">
      <c r="A50" s="31" t="s">
        <v>101</v>
      </c>
      <c r="B50" s="32" t="s">
        <v>102</v>
      </c>
      <c r="C50" s="33">
        <f>SUM(C40:C48)</f>
        <v>0</v>
      </c>
      <c r="D50" s="27" t="s">
        <v>103</v>
      </c>
    </row>
    <row r="51" spans="1:5" ht="30" customHeight="1" x14ac:dyDescent="0.55000000000000004">
      <c r="A51" s="1"/>
      <c r="B51" s="1"/>
      <c r="C51" s="1"/>
      <c r="D51" s="1"/>
      <c r="E51" s="1"/>
    </row>
    <row r="52" spans="1:5" ht="44.05" customHeight="1" x14ac:dyDescent="0.55000000000000004">
      <c r="A52" s="130" t="s">
        <v>104</v>
      </c>
      <c r="B52" s="131"/>
      <c r="C52" s="131"/>
      <c r="D52" s="131"/>
    </row>
    <row r="53" spans="1:5" ht="18" customHeight="1" x14ac:dyDescent="0.55000000000000004">
      <c r="A53" s="34" t="s">
        <v>105</v>
      </c>
    </row>
    <row r="54" spans="1:5" ht="30" customHeight="1" x14ac:dyDescent="0.55000000000000004">
      <c r="A54" s="11" t="s">
        <v>106</v>
      </c>
      <c r="B54" s="11" t="s">
        <v>107</v>
      </c>
      <c r="C54" s="11" t="s">
        <v>69</v>
      </c>
      <c r="D54" s="11" t="s">
        <v>108</v>
      </c>
      <c r="E54" s="11"/>
    </row>
    <row r="55" spans="1:5" ht="30" customHeight="1" x14ac:dyDescent="0.55000000000000004">
      <c r="A55" s="36" t="s">
        <v>109</v>
      </c>
      <c r="B55" s="37" t="s">
        <v>110</v>
      </c>
      <c r="C55" s="38">
        <f>C50</f>
        <v>0</v>
      </c>
      <c r="D55" s="27" t="s">
        <v>111</v>
      </c>
    </row>
    <row r="56" spans="1:5" ht="30" customHeight="1" x14ac:dyDescent="0.55000000000000004">
      <c r="A56" s="39" t="s">
        <v>112</v>
      </c>
      <c r="B56" s="40" t="s">
        <v>113</v>
      </c>
      <c r="C56" s="38">
        <v>1</v>
      </c>
      <c r="D56" s="13" t="s">
        <v>114</v>
      </c>
    </row>
    <row r="57" spans="1:5" ht="30" customHeight="1" x14ac:dyDescent="0.55000000000000004">
      <c r="A57" s="41" t="s">
        <v>115</v>
      </c>
      <c r="B57" s="42" t="s">
        <v>116</v>
      </c>
      <c r="C57" s="17">
        <f>C55*C56</f>
        <v>0</v>
      </c>
      <c r="D57" s="27" t="s">
        <v>117</v>
      </c>
    </row>
    <row r="58" spans="1:5" ht="30" customHeight="1" x14ac:dyDescent="0.55000000000000004">
      <c r="A58" s="43" t="s">
        <v>118</v>
      </c>
      <c r="B58" s="44" t="s">
        <v>119</v>
      </c>
      <c r="C58" s="38"/>
      <c r="D58" s="14" t="s">
        <v>120</v>
      </c>
    </row>
    <row r="59" spans="1:5" ht="30" customHeight="1" x14ac:dyDescent="0.55000000000000004">
      <c r="A59" s="43" t="s">
        <v>121</v>
      </c>
      <c r="B59" s="44" t="s">
        <v>122</v>
      </c>
      <c r="C59" s="38"/>
      <c r="D59" s="14" t="s">
        <v>123</v>
      </c>
    </row>
    <row r="60" spans="1:5" ht="30" customHeight="1" x14ac:dyDescent="0.55000000000000004">
      <c r="A60" s="41" t="s">
        <v>124</v>
      </c>
      <c r="B60" s="42" t="s">
        <v>125</v>
      </c>
      <c r="C60" s="17">
        <f>C57+C58+C59</f>
        <v>0</v>
      </c>
      <c r="D60" s="13" t="s">
        <v>126</v>
      </c>
    </row>
    <row r="61" spans="1:5" ht="30" customHeight="1" x14ac:dyDescent="0.55000000000000004">
      <c r="A61" s="43" t="s">
        <v>127</v>
      </c>
      <c r="B61" s="44" t="s">
        <v>128</v>
      </c>
      <c r="C61" s="38"/>
      <c r="D61" s="70" t="s">
        <v>129</v>
      </c>
      <c r="E61" s="71"/>
    </row>
    <row r="62" spans="1:5" ht="30" customHeight="1" x14ac:dyDescent="0.55000000000000004">
      <c r="A62" s="31" t="s">
        <v>130</v>
      </c>
      <c r="B62" s="45" t="s">
        <v>131</v>
      </c>
      <c r="C62" s="17">
        <f>MIN(C60,C61)</f>
        <v>0</v>
      </c>
      <c r="D62" s="27" t="s">
        <v>132</v>
      </c>
    </row>
    <row r="63" spans="1:5" ht="30" customHeight="1" x14ac:dyDescent="0.55000000000000004">
      <c r="A63" s="43" t="s">
        <v>133</v>
      </c>
      <c r="B63" s="44" t="s">
        <v>134</v>
      </c>
      <c r="C63" s="38">
        <f>MAX(0,C60-C62)</f>
        <v>0</v>
      </c>
      <c r="D63" s="14" t="s">
        <v>135</v>
      </c>
    </row>
    <row r="64" spans="1:5" ht="5.05" customHeight="1" x14ac:dyDescent="0.55000000000000004">
      <c r="A64" s="39" t="s">
        <v>136</v>
      </c>
      <c r="B64" s="40" t="s">
        <v>137</v>
      </c>
      <c r="C64" s="38"/>
      <c r="D64" s="13" t="s">
        <v>138</v>
      </c>
    </row>
    <row r="65" spans="1:5" ht="26.05" customHeight="1" x14ac:dyDescent="0.55000000000000004">
      <c r="A65" s="1"/>
      <c r="B65" s="1"/>
      <c r="C65" s="1"/>
      <c r="D65" s="1"/>
      <c r="E65" s="1"/>
    </row>
    <row r="66" spans="1:5" ht="44.05" customHeight="1" x14ac:dyDescent="0.55000000000000004">
      <c r="A66" s="124" t="s">
        <v>139</v>
      </c>
      <c r="B66" s="125"/>
      <c r="C66" s="125"/>
      <c r="D66" s="125"/>
    </row>
    <row r="67" spans="1:5" ht="18" customHeight="1" x14ac:dyDescent="0.55000000000000004">
      <c r="A67" s="46" t="s">
        <v>140</v>
      </c>
    </row>
    <row r="68" spans="1:5" ht="26.05" customHeight="1" x14ac:dyDescent="0.55000000000000004">
      <c r="A68" s="11" t="s">
        <v>141</v>
      </c>
      <c r="B68" s="11"/>
      <c r="C68" s="11" t="s">
        <v>142</v>
      </c>
      <c r="D68" s="11" t="s">
        <v>48</v>
      </c>
      <c r="E68" s="11"/>
    </row>
    <row r="69" spans="1:5" ht="26.05" customHeight="1" x14ac:dyDescent="0.55000000000000004">
      <c r="A69" s="15" t="s">
        <v>143</v>
      </c>
      <c r="C69" s="23"/>
      <c r="D69" s="27" t="s">
        <v>144</v>
      </c>
    </row>
    <row r="70" spans="1:5" ht="26.05" customHeight="1" x14ac:dyDescent="0.55000000000000004">
      <c r="A70" s="6" t="s">
        <v>145</v>
      </c>
      <c r="C70" s="23"/>
      <c r="D70" s="14" t="s">
        <v>146</v>
      </c>
    </row>
    <row r="71" spans="1:5" ht="26.05" customHeight="1" x14ac:dyDescent="0.55000000000000004">
      <c r="A71" s="2" t="s">
        <v>147</v>
      </c>
      <c r="C71" s="23"/>
      <c r="D71" s="13" t="s">
        <v>148</v>
      </c>
    </row>
    <row r="72" spans="1:5" ht="5.05" customHeight="1" x14ac:dyDescent="0.55000000000000004">
      <c r="A72" s="19" t="s">
        <v>149</v>
      </c>
      <c r="C72" s="23"/>
      <c r="D72" s="30" t="s">
        <v>150</v>
      </c>
    </row>
    <row r="73" spans="1:5" ht="22" customHeight="1" x14ac:dyDescent="0.55000000000000004">
      <c r="A73" s="1"/>
      <c r="B73" s="1"/>
      <c r="C73" s="1"/>
      <c r="D73" s="1"/>
      <c r="E73" s="1"/>
    </row>
    <row r="74" spans="1:5" ht="36" customHeight="1" x14ac:dyDescent="0.55000000000000004">
      <c r="A74" s="22" t="s">
        <v>151</v>
      </c>
    </row>
    <row r="75" spans="1:5" ht="22" customHeight="1" x14ac:dyDescent="0.55000000000000004">
      <c r="A75" s="47" t="s">
        <v>152</v>
      </c>
    </row>
    <row r="76" spans="1:5" ht="20.399999999999999" x14ac:dyDescent="0.55000000000000004">
      <c r="A76" s="2" t="s">
        <v>153</v>
      </c>
      <c r="C76" s="23"/>
      <c r="D76" s="13" t="s">
        <v>154</v>
      </c>
    </row>
  </sheetData>
  <mergeCells count="34">
    <mergeCell ref="A66:D66"/>
    <mergeCell ref="A23:B23"/>
    <mergeCell ref="A37:D37"/>
    <mergeCell ref="A26:D26"/>
    <mergeCell ref="A38:E38"/>
    <mergeCell ref="A52:D52"/>
    <mergeCell ref="A18:B18"/>
    <mergeCell ref="A19:B19"/>
    <mergeCell ref="A20:B20"/>
    <mergeCell ref="A21:B21"/>
    <mergeCell ref="A22:B22"/>
    <mergeCell ref="A15:B15"/>
    <mergeCell ref="A11:E11"/>
    <mergeCell ref="A1:E1"/>
    <mergeCell ref="D6:E6"/>
    <mergeCell ref="A7:B7"/>
    <mergeCell ref="D13:E13"/>
    <mergeCell ref="A2:E2"/>
    <mergeCell ref="D61:E61"/>
    <mergeCell ref="D7:E7"/>
    <mergeCell ref="A17:B17"/>
    <mergeCell ref="A3:E3"/>
    <mergeCell ref="A5:E5"/>
    <mergeCell ref="A8:B8"/>
    <mergeCell ref="D15:E15"/>
    <mergeCell ref="D17:E17"/>
    <mergeCell ref="A14:B14"/>
    <mergeCell ref="D14:E14"/>
    <mergeCell ref="A6:B6"/>
    <mergeCell ref="A16:B16"/>
    <mergeCell ref="D16:E16"/>
    <mergeCell ref="D8:E8"/>
    <mergeCell ref="A10:E10"/>
    <mergeCell ref="A13:B13"/>
  </mergeCells>
  <conditionalFormatting sqref="C22">
    <cfRule type="containsText" dxfId="10" priority="1" operator="containsText" text="OK">
      <formula>NOT(ISERROR(SEARCH("OK",C22)))</formula>
    </cfRule>
    <cfRule type="containsText" dxfId="9" priority="2" operator="containsText" text="HATA">
      <formula>NOT(ISERROR(SEARCH("HATA",C22)))</formula>
    </cfRule>
  </conditionalFormatting>
  <conditionalFormatting sqref="C23">
    <cfRule type="containsText" dxfId="8" priority="4" operator="containsText" text="OK">
      <formula>NOT(ISERROR(SEARCH("OK",C23)))</formula>
    </cfRule>
    <cfRule type="containsText" dxfId="7" priority="5" operator="containsText" text="HATA">
      <formula>NOT(ISERROR(SEARCH("HATA",C23)))</formula>
    </cfRule>
  </conditionalFormatting>
  <conditionalFormatting sqref="C23:C24">
    <cfRule type="containsText" dxfId="6" priority="3" operator="containsText" text="KULLANILAMAZ">
      <formula>NOT(ISERROR(SEARCH("KULLANILAMAZ",C23)))</formula>
    </cfRule>
  </conditionalFormatting>
  <dataValidations count="8">
    <dataValidation type="list" sqref="C13 C19 C17" xr:uid="{00000000-0002-0000-0000-000000000000}">
      <formula1>"EVET,HAYIR"</formula1>
    </dataValidation>
    <dataValidation type="list" sqref="C14" xr:uid="{00000000-0002-0000-0000-000001000000}">
      <formula1>"Md. 3 (Ar-Ge Merkezi),Md. 3/A (Proje Bazlı / Özkaynakla)"</formula1>
    </dataValidation>
    <dataValidation type="list" sqref="C15" xr:uid="{00000000-0002-0000-0000-000002000000}">
      <formula1>"EVET,HAYIR,N/A (Md. 3/A)"</formula1>
    </dataValidation>
    <dataValidation type="list" sqref="C16" xr:uid="{00000000-0002-0000-0000-000003000000}">
      <formula1>"EVET,HAYIR,N/A (Md. 3)"</formula1>
    </dataValidation>
    <dataValidation type="list" sqref="C18" xr:uid="{00000000-0002-0000-0000-000005000000}">
      <formula1>"EVET,HAYIR,Uygulanamaz"</formula1>
    </dataValidation>
    <dataValidation type="list" sqref="C20" xr:uid="{00000000-0002-0000-0000-000007000000}">
      <formula1>"HAYIR,EVET,Kısmen"</formula1>
    </dataValidation>
    <dataValidation type="list" sqref="C21" xr:uid="{00000000-0002-0000-0000-000008000000}">
      <formula1>"EVET,HAYIR,Tam Tasdik"</formula1>
    </dataValidation>
    <dataValidation type="list" sqref="C17" xr:uid="{00000000-0002-0000-0000-000009000000}">
      <formula1>"Yok / Uygulanamaz,Sipariş Alan (Ar-Ge Merkezi),Sipariş Veren (Harcamayı Siz Yaptınız)"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/>
  </sheetViews>
  <sheetFormatPr defaultRowHeight="14.4" x14ac:dyDescent="0.55000000000000004"/>
  <cols>
    <col min="1" max="1" width="3" customWidth="1"/>
    <col min="2" max="2" width="40" customWidth="1"/>
    <col min="3" max="4" width="22" customWidth="1"/>
    <col min="5" max="5" width="28" customWidth="1"/>
    <col min="6" max="6" width="3" customWidth="1"/>
  </cols>
  <sheetData>
    <row r="1" spans="1:6" ht="38.049999999999997" customHeight="1" x14ac:dyDescent="0.55000000000000004">
      <c r="A1" s="91" t="s">
        <v>155</v>
      </c>
      <c r="B1" s="79"/>
      <c r="C1" s="79"/>
      <c r="D1" s="79"/>
      <c r="E1" s="79"/>
      <c r="F1" s="80"/>
    </row>
    <row r="2" spans="1:6" ht="18" customHeight="1" x14ac:dyDescent="0.55000000000000004">
      <c r="A2" s="90" t="s">
        <v>156</v>
      </c>
      <c r="B2" s="77"/>
      <c r="C2" s="77"/>
      <c r="D2" s="77"/>
      <c r="E2" s="77"/>
      <c r="F2" s="73"/>
    </row>
    <row r="4" spans="1:6" ht="26.05" customHeight="1" x14ac:dyDescent="0.55000000000000004">
      <c r="A4" s="95" t="s">
        <v>157</v>
      </c>
      <c r="B4" s="79"/>
      <c r="C4" s="79"/>
      <c r="D4" s="79"/>
      <c r="E4" s="79"/>
      <c r="F4" s="80"/>
    </row>
    <row r="5" spans="1:6" ht="22" customHeight="1" x14ac:dyDescent="0.55000000000000004">
      <c r="A5" s="89" t="s">
        <v>158</v>
      </c>
      <c r="B5" s="73"/>
      <c r="C5" s="17" t="str">
        <f>'VERİ GİRİŞİ'!C23</f>
        <v>✅ OK – Hesaplanabilir</v>
      </c>
      <c r="D5" s="83" t="s">
        <v>159</v>
      </c>
      <c r="E5" s="77"/>
      <c r="F5" s="73"/>
    </row>
    <row r="6" spans="1:6" ht="22" customHeight="1" x14ac:dyDescent="0.55000000000000004">
      <c r="A6" s="81" t="s">
        <v>160</v>
      </c>
      <c r="B6" s="73"/>
      <c r="C6" s="17" t="s">
        <v>161</v>
      </c>
      <c r="D6" s="82" t="s">
        <v>162</v>
      </c>
      <c r="E6" s="77"/>
      <c r="F6" s="73"/>
    </row>
    <row r="7" spans="1:6" ht="22" customHeight="1" x14ac:dyDescent="0.55000000000000004">
      <c r="A7" s="89" t="s">
        <v>163</v>
      </c>
      <c r="B7" s="73"/>
      <c r="C7" s="17">
        <f>'VERİ GİRİŞİ'!C50</f>
        <v>0</v>
      </c>
      <c r="D7" s="83" t="s">
        <v>164</v>
      </c>
      <c r="E7" s="77"/>
      <c r="F7" s="73"/>
    </row>
    <row r="8" spans="1:6" ht="22" customHeight="1" x14ac:dyDescent="0.55000000000000004">
      <c r="A8" s="81" t="s">
        <v>165</v>
      </c>
      <c r="B8" s="73"/>
      <c r="C8" s="17">
        <f>'VERİ GİRİŞİ'!C57</f>
        <v>0</v>
      </c>
      <c r="D8" s="82" t="s">
        <v>166</v>
      </c>
      <c r="E8" s="77"/>
      <c r="F8" s="73"/>
    </row>
    <row r="9" spans="1:6" ht="22" customHeight="1" x14ac:dyDescent="0.55000000000000004">
      <c r="A9" s="89" t="s">
        <v>167</v>
      </c>
      <c r="B9" s="73"/>
      <c r="C9" s="17">
        <f>'VERİ GİRİŞİ'!C58</f>
        <v>0</v>
      </c>
      <c r="D9" s="83" t="s">
        <v>168</v>
      </c>
      <c r="E9" s="77"/>
      <c r="F9" s="73"/>
    </row>
    <row r="10" spans="1:6" ht="22" customHeight="1" x14ac:dyDescent="0.55000000000000004">
      <c r="A10" s="81" t="s">
        <v>169</v>
      </c>
      <c r="B10" s="73"/>
      <c r="C10" s="17">
        <f>'VERİ GİRİŞİ'!C59</f>
        <v>0</v>
      </c>
      <c r="D10" s="82" t="s">
        <v>170</v>
      </c>
      <c r="E10" s="77"/>
      <c r="F10" s="73"/>
    </row>
    <row r="11" spans="1:6" ht="22" customHeight="1" x14ac:dyDescent="0.55000000000000004">
      <c r="A11" s="89" t="s">
        <v>171</v>
      </c>
      <c r="B11" s="73"/>
      <c r="C11" s="17">
        <f>'VERİ GİRİŞİ'!C62</f>
        <v>0</v>
      </c>
      <c r="D11" s="83" t="s">
        <v>172</v>
      </c>
      <c r="E11" s="77"/>
      <c r="F11" s="73"/>
    </row>
    <row r="12" spans="1:6" ht="22" customHeight="1" x14ac:dyDescent="0.55000000000000004">
      <c r="A12" s="81" t="s">
        <v>173</v>
      </c>
      <c r="B12" s="73"/>
      <c r="C12" s="17">
        <f>'VERİ GİRİŞİ'!C63</f>
        <v>0</v>
      </c>
      <c r="D12" s="82" t="s">
        <v>174</v>
      </c>
      <c r="E12" s="77"/>
      <c r="F12" s="73"/>
    </row>
    <row r="13" spans="1:6" ht="5.05" customHeight="1" x14ac:dyDescent="0.55000000000000004">
      <c r="A13" s="1"/>
      <c r="B13" s="1"/>
      <c r="C13" s="1"/>
      <c r="D13" s="1"/>
      <c r="E13" s="1"/>
      <c r="F13" s="1"/>
    </row>
    <row r="14" spans="1:6" ht="22" customHeight="1" x14ac:dyDescent="0.55000000000000004">
      <c r="A14" s="94" t="s">
        <v>175</v>
      </c>
      <c r="B14" s="79"/>
      <c r="C14" s="79"/>
      <c r="D14" s="79"/>
      <c r="E14" s="79"/>
      <c r="F14" s="80"/>
    </row>
    <row r="15" spans="1:6" ht="18" customHeight="1" x14ac:dyDescent="0.55000000000000004">
      <c r="A15" s="11" t="s">
        <v>176</v>
      </c>
      <c r="B15" s="11"/>
      <c r="C15" s="11" t="s">
        <v>177</v>
      </c>
      <c r="D15" s="11" t="s">
        <v>178</v>
      </c>
      <c r="E15" s="11" t="s">
        <v>179</v>
      </c>
      <c r="F15" s="11" t="s">
        <v>180</v>
      </c>
    </row>
    <row r="16" spans="1:6" ht="38.049999999999997" customHeight="1" x14ac:dyDescent="0.55000000000000004">
      <c r="A16" s="86" t="s">
        <v>181</v>
      </c>
      <c r="B16" s="73"/>
      <c r="C16" s="48" t="s">
        <v>182</v>
      </c>
      <c r="D16" s="49" t="s">
        <v>183</v>
      </c>
      <c r="E16" s="26" t="s">
        <v>184</v>
      </c>
      <c r="F16" s="50" t="s">
        <v>185</v>
      </c>
    </row>
    <row r="17" spans="1:6" ht="38.049999999999997" customHeight="1" x14ac:dyDescent="0.55000000000000004">
      <c r="A17" s="74" t="s">
        <v>186</v>
      </c>
      <c r="B17" s="73"/>
      <c r="C17" s="51" t="s">
        <v>187</v>
      </c>
      <c r="D17" s="52" t="s">
        <v>188</v>
      </c>
      <c r="E17" s="26" t="s">
        <v>184</v>
      </c>
      <c r="F17" s="53" t="s">
        <v>185</v>
      </c>
    </row>
    <row r="18" spans="1:6" ht="38.049999999999997" customHeight="1" x14ac:dyDescent="0.55000000000000004">
      <c r="A18" s="86" t="s">
        <v>189</v>
      </c>
      <c r="B18" s="73"/>
      <c r="C18" s="48" t="s">
        <v>190</v>
      </c>
      <c r="D18" s="49" t="s">
        <v>191</v>
      </c>
      <c r="E18" s="26" t="s">
        <v>184</v>
      </c>
      <c r="F18" s="50" t="s">
        <v>185</v>
      </c>
    </row>
    <row r="19" spans="1:6" ht="38.049999999999997" customHeight="1" x14ac:dyDescent="0.55000000000000004">
      <c r="A19" s="74" t="s">
        <v>192</v>
      </c>
      <c r="B19" s="73"/>
      <c r="C19" s="51" t="s">
        <v>193</v>
      </c>
      <c r="D19" s="52" t="s">
        <v>194</v>
      </c>
      <c r="E19" s="26" t="s">
        <v>184</v>
      </c>
      <c r="F19" s="53" t="s">
        <v>185</v>
      </c>
    </row>
    <row r="20" spans="1:6" ht="38.049999999999997" customHeight="1" x14ac:dyDescent="0.55000000000000004">
      <c r="A20" s="86" t="s">
        <v>195</v>
      </c>
      <c r="B20" s="73"/>
      <c r="C20" s="48" t="s">
        <v>196</v>
      </c>
      <c r="D20" s="49" t="s">
        <v>197</v>
      </c>
      <c r="E20" s="26" t="s">
        <v>184</v>
      </c>
      <c r="F20" s="50" t="s">
        <v>185</v>
      </c>
    </row>
    <row r="21" spans="1:6" ht="38.049999999999997" customHeight="1" x14ac:dyDescent="0.55000000000000004">
      <c r="A21" s="74" t="s">
        <v>198</v>
      </c>
      <c r="B21" s="73"/>
      <c r="C21" s="51" t="s">
        <v>199</v>
      </c>
      <c r="D21" s="52" t="s">
        <v>200</v>
      </c>
      <c r="E21" s="26" t="s">
        <v>184</v>
      </c>
      <c r="F21" s="53" t="s">
        <v>185</v>
      </c>
    </row>
    <row r="22" spans="1:6" ht="38.049999999999997" customHeight="1" x14ac:dyDescent="0.55000000000000004">
      <c r="A22" s="86" t="s">
        <v>201</v>
      </c>
      <c r="B22" s="73"/>
      <c r="C22" s="48" t="s">
        <v>202</v>
      </c>
      <c r="D22" s="49" t="s">
        <v>203</v>
      </c>
      <c r="E22" s="26" t="s">
        <v>184</v>
      </c>
      <c r="F22" s="50" t="s">
        <v>185</v>
      </c>
    </row>
    <row r="23" spans="1:6" ht="38.049999999999997" customHeight="1" x14ac:dyDescent="0.55000000000000004">
      <c r="A23" s="74" t="s">
        <v>204</v>
      </c>
      <c r="B23" s="73"/>
      <c r="C23" s="51" t="s">
        <v>205</v>
      </c>
      <c r="D23" s="52" t="s">
        <v>206</v>
      </c>
      <c r="E23" s="26" t="s">
        <v>184</v>
      </c>
      <c r="F23" s="53" t="s">
        <v>185</v>
      </c>
    </row>
    <row r="24" spans="1:6" ht="38.049999999999997" customHeight="1" x14ac:dyDescent="0.55000000000000004">
      <c r="A24" s="86" t="s">
        <v>207</v>
      </c>
      <c r="B24" s="73"/>
      <c r="C24" s="48" t="s">
        <v>208</v>
      </c>
      <c r="D24" s="49" t="s">
        <v>209</v>
      </c>
      <c r="E24" s="26" t="s">
        <v>184</v>
      </c>
      <c r="F24" s="50" t="s">
        <v>185</v>
      </c>
    </row>
    <row r="25" spans="1:6" ht="38.049999999999997" customHeight="1" x14ac:dyDescent="0.55000000000000004">
      <c r="A25" s="74" t="s">
        <v>210</v>
      </c>
      <c r="B25" s="73"/>
      <c r="C25" s="51" t="s">
        <v>211</v>
      </c>
      <c r="D25" s="52" t="s">
        <v>212</v>
      </c>
      <c r="E25" s="26" t="s">
        <v>184</v>
      </c>
      <c r="F25" s="53" t="s">
        <v>185</v>
      </c>
    </row>
    <row r="26" spans="1:6" ht="38.049999999999997" customHeight="1" x14ac:dyDescent="0.55000000000000004">
      <c r="A26" s="86" t="s">
        <v>213</v>
      </c>
      <c r="B26" s="73"/>
      <c r="C26" s="48" t="s">
        <v>214</v>
      </c>
      <c r="D26" s="49" t="s">
        <v>215</v>
      </c>
      <c r="E26" s="26" t="s">
        <v>184</v>
      </c>
      <c r="F26" s="50" t="s">
        <v>185</v>
      </c>
    </row>
    <row r="27" spans="1:6" ht="38.049999999999997" customHeight="1" x14ac:dyDescent="0.55000000000000004">
      <c r="A27" s="74" t="s">
        <v>216</v>
      </c>
      <c r="B27" s="73"/>
      <c r="C27" s="51" t="s">
        <v>217</v>
      </c>
      <c r="D27" s="52" t="s">
        <v>218</v>
      </c>
      <c r="E27" s="26" t="s">
        <v>184</v>
      </c>
      <c r="F27" s="53" t="s">
        <v>185</v>
      </c>
    </row>
    <row r="28" spans="1:6" ht="5.05" customHeight="1" x14ac:dyDescent="0.55000000000000004">
      <c r="A28" s="1"/>
      <c r="B28" s="1"/>
      <c r="C28" s="1"/>
      <c r="D28" s="1"/>
      <c r="E28" s="1"/>
      <c r="F28" s="1"/>
    </row>
    <row r="29" spans="1:6" ht="22" customHeight="1" x14ac:dyDescent="0.55000000000000004">
      <c r="A29" s="98" t="s">
        <v>219</v>
      </c>
      <c r="B29" s="99"/>
      <c r="C29" s="99"/>
      <c r="D29" s="99"/>
      <c r="E29" s="99"/>
      <c r="F29" s="99"/>
    </row>
    <row r="30" spans="1:6" ht="24" customHeight="1" x14ac:dyDescent="0.55000000000000004">
      <c r="A30" s="81" t="s">
        <v>220</v>
      </c>
      <c r="B30" s="92"/>
      <c r="C30" s="67">
        <f>'VERİ GİRİŞİ'!C42</f>
        <v>0</v>
      </c>
      <c r="D30" s="82" t="s">
        <v>221</v>
      </c>
      <c r="E30" s="92"/>
      <c r="F30" s="92"/>
    </row>
    <row r="31" spans="1:6" ht="24" customHeight="1" x14ac:dyDescent="0.55000000000000004">
      <c r="A31" s="89" t="s">
        <v>222</v>
      </c>
      <c r="B31" s="75"/>
      <c r="C31" s="67">
        <f>'VERİ GİRİŞİ'!C50</f>
        <v>0</v>
      </c>
      <c r="D31" s="83" t="s">
        <v>223</v>
      </c>
      <c r="E31" s="75"/>
      <c r="F31" s="75"/>
    </row>
    <row r="32" spans="1:6" ht="24" customHeight="1" x14ac:dyDescent="0.55000000000000004">
      <c r="A32" s="81" t="s">
        <v>224</v>
      </c>
      <c r="B32" s="92"/>
      <c r="C32" s="67">
        <f>IFERROR(C30/C31*100,0)</f>
        <v>0</v>
      </c>
      <c r="D32" s="82" t="s">
        <v>225</v>
      </c>
      <c r="E32" s="92"/>
      <c r="F32" s="92"/>
    </row>
    <row r="33" spans="1:6" ht="24" customHeight="1" x14ac:dyDescent="0.55000000000000004">
      <c r="A33" s="89" t="s">
        <v>226</v>
      </c>
      <c r="B33" s="75"/>
      <c r="C33" s="17" t="str">
        <f>IF(IFERROR(C30/C31,0)&lt;=0.2,"✅ UYGUN — %20 sınırı içinde","⚠️ SINIRI AŞIYOR — H.4 düşülmeli")</f>
        <v>✅ UYGUN — %20 sınırı içinde</v>
      </c>
      <c r="D33" s="83" t="s">
        <v>227</v>
      </c>
      <c r="E33" s="75"/>
      <c r="F33" s="75"/>
    </row>
    <row r="34" spans="1:6" ht="5.05" customHeight="1" x14ac:dyDescent="0.55000000000000004">
      <c r="A34" s="1"/>
      <c r="B34" s="1"/>
      <c r="C34" s="1"/>
      <c r="D34" s="1"/>
      <c r="E34" s="1"/>
      <c r="F34" s="1"/>
    </row>
    <row r="35" spans="1:6" ht="22" customHeight="1" x14ac:dyDescent="0.55000000000000004">
      <c r="A35" s="96" t="s">
        <v>228</v>
      </c>
      <c r="B35" s="97"/>
      <c r="C35" s="97"/>
      <c r="D35" s="97"/>
      <c r="E35" s="97"/>
      <c r="F35" s="97"/>
    </row>
    <row r="36" spans="1:6" ht="22" customHeight="1" x14ac:dyDescent="0.55000000000000004">
      <c r="A36" s="93" t="s">
        <v>229</v>
      </c>
      <c r="B36" s="92"/>
      <c r="C36" s="92"/>
      <c r="D36" s="92"/>
      <c r="E36" s="92"/>
      <c r="F36" s="92"/>
    </row>
    <row r="37" spans="1:6" ht="24" customHeight="1" x14ac:dyDescent="0.55000000000000004">
      <c r="A37" s="81" t="s">
        <v>230</v>
      </c>
      <c r="B37" s="92"/>
      <c r="C37" s="67"/>
      <c r="D37" s="82" t="s">
        <v>231</v>
      </c>
      <c r="E37" s="92"/>
      <c r="F37" s="92"/>
    </row>
    <row r="38" spans="1:6" ht="24" customHeight="1" x14ac:dyDescent="0.55000000000000004">
      <c r="A38" s="89" t="s">
        <v>232</v>
      </c>
      <c r="B38" s="75"/>
      <c r="C38" s="67"/>
      <c r="D38" s="83" t="s">
        <v>233</v>
      </c>
      <c r="E38" s="75"/>
      <c r="F38" s="75"/>
    </row>
    <row r="39" spans="1:6" ht="24" customHeight="1" x14ac:dyDescent="0.55000000000000004">
      <c r="A39" s="81" t="s">
        <v>234</v>
      </c>
      <c r="B39" s="92"/>
      <c r="C39" s="67">
        <f>IFERROR(C37*0.1,0)</f>
        <v>0</v>
      </c>
      <c r="D39" s="82" t="s">
        <v>235</v>
      </c>
      <c r="E39" s="92"/>
      <c r="F39" s="92"/>
    </row>
    <row r="40" spans="1:6" ht="24" customHeight="1" x14ac:dyDescent="0.55000000000000004">
      <c r="A40" s="89" t="s">
        <v>236</v>
      </c>
      <c r="B40" s="75"/>
      <c r="C40" s="67">
        <f>MAX(0,C38-C39)</f>
        <v>0</v>
      </c>
      <c r="D40" s="83" t="s">
        <v>237</v>
      </c>
      <c r="E40" s="75"/>
      <c r="F40" s="75"/>
    </row>
    <row r="41" spans="1:6" ht="24" customHeight="1" x14ac:dyDescent="0.55000000000000004">
      <c r="A41" s="89" t="s">
        <v>238</v>
      </c>
      <c r="B41" s="75"/>
      <c r="C41" s="17" t="str">
        <f>IF(C38&lt;=C39,"✅ UYGUN — %10 sınırı içinde","⚠️ SINIRI AŞIYOR — H.2 tutarını düzeltin")</f>
        <v>✅ UYGUN — %10 sınırı içinde</v>
      </c>
      <c r="D41" s="83" t="s">
        <v>239</v>
      </c>
      <c r="E41" s="75"/>
      <c r="F41" s="75"/>
    </row>
    <row r="42" spans="1:6" ht="5.05" customHeight="1" x14ac:dyDescent="0.55000000000000004">
      <c r="A42" s="1"/>
      <c r="B42" s="1"/>
      <c r="C42" s="1"/>
      <c r="D42" s="1"/>
      <c r="E42" s="1"/>
      <c r="F42" s="1"/>
    </row>
    <row r="43" spans="1:6" ht="5.05" customHeight="1" x14ac:dyDescent="0.55000000000000004">
      <c r="A43" s="68" t="s">
        <v>240</v>
      </c>
      <c r="B43" s="1"/>
      <c r="C43" s="1"/>
      <c r="D43" s="1"/>
      <c r="E43" s="1"/>
      <c r="F43" s="1"/>
    </row>
    <row r="44" spans="1:6" ht="22" customHeight="1" x14ac:dyDescent="0.55000000000000004">
      <c r="A44" s="46" t="s">
        <v>241</v>
      </c>
      <c r="B44" s="69"/>
      <c r="C44" s="69"/>
      <c r="D44" s="69"/>
      <c r="E44" s="69"/>
      <c r="F44" s="69"/>
    </row>
  </sheetData>
  <mergeCells count="53">
    <mergeCell ref="D41:F41"/>
    <mergeCell ref="A11:B11"/>
    <mergeCell ref="D32:F32"/>
    <mergeCell ref="A25:B25"/>
    <mergeCell ref="D37:F37"/>
    <mergeCell ref="A41:B41"/>
    <mergeCell ref="A37:B37"/>
    <mergeCell ref="A35:F35"/>
    <mergeCell ref="A18:B18"/>
    <mergeCell ref="A27:B27"/>
    <mergeCell ref="D30:F30"/>
    <mergeCell ref="A29:F29"/>
    <mergeCell ref="D7:F7"/>
    <mergeCell ref="A6:B6"/>
    <mergeCell ref="A2:F2"/>
    <mergeCell ref="A16:B16"/>
    <mergeCell ref="A7:B7"/>
    <mergeCell ref="A14:F14"/>
    <mergeCell ref="D12:F12"/>
    <mergeCell ref="D9:F9"/>
    <mergeCell ref="A4:F4"/>
    <mergeCell ref="D8:F8"/>
    <mergeCell ref="D5:F5"/>
    <mergeCell ref="A5:B5"/>
    <mergeCell ref="A8:B8"/>
    <mergeCell ref="D10:F10"/>
    <mergeCell ref="D11:F11"/>
    <mergeCell ref="A17:B17"/>
    <mergeCell ref="A23:B23"/>
    <mergeCell ref="A22:B22"/>
    <mergeCell ref="A20:B20"/>
    <mergeCell ref="A38:B38"/>
    <mergeCell ref="A36:F36"/>
    <mergeCell ref="A19:B19"/>
    <mergeCell ref="A31:B31"/>
    <mergeCell ref="A24:B24"/>
    <mergeCell ref="A30:B30"/>
    <mergeCell ref="A1:F1"/>
    <mergeCell ref="D31:F31"/>
    <mergeCell ref="A10:B10"/>
    <mergeCell ref="D40:F40"/>
    <mergeCell ref="A40:B40"/>
    <mergeCell ref="A9:B9"/>
    <mergeCell ref="D6:F6"/>
    <mergeCell ref="A39:B39"/>
    <mergeCell ref="D33:F33"/>
    <mergeCell ref="D39:F39"/>
    <mergeCell ref="A12:B12"/>
    <mergeCell ref="A26:B26"/>
    <mergeCell ref="A21:B21"/>
    <mergeCell ref="D38:F38"/>
    <mergeCell ref="A33:B33"/>
    <mergeCell ref="A32:B32"/>
  </mergeCells>
  <conditionalFormatting sqref="C5">
    <cfRule type="containsText" dxfId="5" priority="1" operator="containsText" text="OK">
      <formula>NOT(ISERROR(SEARCH("OK",C5)))</formula>
    </cfRule>
    <cfRule type="containsText" dxfId="4" priority="2" operator="containsText" text="HATA">
      <formula>NOT(ISERROR(SEARCH("HATA",C5)))</formula>
    </cfRule>
  </conditionalFormatting>
  <conditionalFormatting sqref="C33">
    <cfRule type="containsText" dxfId="3" priority="3" operator="containsText" text="UYGUN">
      <formula>NOT(ISERROR(SEARCH("UYGUN",C33)))</formula>
    </cfRule>
    <cfRule type="containsText" dxfId="2" priority="4" operator="containsText" text="AŞIYOR">
      <formula>NOT(ISERROR(SEARCH("AŞIYOR",C33)))</formula>
    </cfRule>
  </conditionalFormatting>
  <conditionalFormatting sqref="C41">
    <cfRule type="containsText" dxfId="1" priority="5" operator="containsText" text="UYGUN">
      <formula>NOT(ISERROR(SEARCH("UYGUN",C41)))</formula>
    </cfRule>
    <cfRule type="containsText" dxfId="0" priority="6" operator="containsText" text="AŞIYOR">
      <formula>NOT(ISERROR(SEARCH("AŞIYOR",C41)))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/>
  </sheetViews>
  <sheetFormatPr defaultRowHeight="14.4" x14ac:dyDescent="0.55000000000000004"/>
  <cols>
    <col min="1" max="1" width="3" customWidth="1"/>
    <col min="2" max="2" width="16" customWidth="1"/>
    <col min="3" max="3" width="42" customWidth="1"/>
    <col min="4" max="4" width="22" customWidth="1"/>
    <col min="5" max="6" width="18" customWidth="1"/>
    <col min="7" max="7" width="22" customWidth="1"/>
  </cols>
  <sheetData>
    <row r="1" spans="1:7" ht="38.049999999999997" customHeight="1" x14ac:dyDescent="0.55000000000000004">
      <c r="A1" s="91" t="s">
        <v>242</v>
      </c>
      <c r="B1" s="79"/>
      <c r="C1" s="79"/>
      <c r="D1" s="79"/>
      <c r="E1" s="79"/>
      <c r="F1" s="79"/>
      <c r="G1" s="80"/>
    </row>
    <row r="2" spans="1:7" ht="20.05" customHeight="1" x14ac:dyDescent="0.55000000000000004">
      <c r="A2" s="90" t="s">
        <v>243</v>
      </c>
      <c r="B2" s="77"/>
      <c r="C2" s="77"/>
      <c r="D2" s="77"/>
      <c r="E2" s="77"/>
      <c r="F2" s="77"/>
      <c r="G2" s="73"/>
    </row>
    <row r="3" spans="1:7" ht="40" customHeight="1" x14ac:dyDescent="0.55000000000000004">
      <c r="A3" s="103" t="s">
        <v>244</v>
      </c>
      <c r="B3" s="77"/>
      <c r="C3" s="77"/>
      <c r="D3" s="77"/>
      <c r="E3" s="77"/>
      <c r="F3" s="77"/>
      <c r="G3" s="73"/>
    </row>
    <row r="5" spans="1:7" ht="22" customHeight="1" x14ac:dyDescent="0.55000000000000004">
      <c r="A5" s="96" t="s">
        <v>245</v>
      </c>
      <c r="B5" s="79"/>
      <c r="C5" s="79"/>
      <c r="D5" s="79"/>
      <c r="E5" s="79"/>
      <c r="F5" s="79"/>
      <c r="G5" s="80"/>
    </row>
    <row r="6" spans="1:7" ht="18" customHeight="1" x14ac:dyDescent="0.55000000000000004">
      <c r="A6" s="11" t="s">
        <v>246</v>
      </c>
      <c r="B6" s="11" t="s">
        <v>247</v>
      </c>
      <c r="C6" s="11"/>
      <c r="D6" s="11" t="s">
        <v>248</v>
      </c>
      <c r="E6" s="11" t="s">
        <v>249</v>
      </c>
      <c r="F6" s="11" t="s">
        <v>250</v>
      </c>
      <c r="G6" s="11" t="s">
        <v>251</v>
      </c>
    </row>
    <row r="7" spans="1:7" ht="22" customHeight="1" x14ac:dyDescent="0.55000000000000004">
      <c r="A7" s="3"/>
      <c r="B7" s="3"/>
      <c r="C7" s="54" t="s">
        <v>252</v>
      </c>
      <c r="D7" s="3"/>
      <c r="E7" s="3"/>
      <c r="F7" s="3"/>
      <c r="G7" s="3"/>
    </row>
    <row r="8" spans="1:7" ht="22" customHeight="1" x14ac:dyDescent="0.55000000000000004">
      <c r="A8" s="7"/>
      <c r="B8" s="7"/>
      <c r="C8" s="55" t="s">
        <v>253</v>
      </c>
      <c r="D8" s="7"/>
      <c r="E8" s="7"/>
      <c r="F8" s="7"/>
      <c r="G8" s="7"/>
    </row>
    <row r="9" spans="1:7" ht="30" customHeight="1" x14ac:dyDescent="0.55000000000000004">
      <c r="A9" s="102" t="s">
        <v>254</v>
      </c>
      <c r="B9" s="77"/>
      <c r="C9" s="77"/>
      <c r="D9" s="77"/>
      <c r="E9" s="77"/>
      <c r="F9" s="77"/>
      <c r="G9" s="73"/>
    </row>
    <row r="11" spans="1:7" ht="22" customHeight="1" x14ac:dyDescent="0.55000000000000004">
      <c r="A11" s="94" t="s">
        <v>255</v>
      </c>
      <c r="B11" s="79"/>
      <c r="C11" s="79"/>
      <c r="D11" s="79"/>
      <c r="E11" s="79"/>
      <c r="F11" s="79"/>
      <c r="G11" s="80"/>
    </row>
    <row r="12" spans="1:7" ht="18" customHeight="1" x14ac:dyDescent="0.55000000000000004">
      <c r="A12" s="11" t="s">
        <v>246</v>
      </c>
      <c r="B12" s="11" t="s">
        <v>247</v>
      </c>
      <c r="C12" s="11"/>
      <c r="D12" s="11" t="s">
        <v>248</v>
      </c>
      <c r="E12" s="11" t="s">
        <v>249</v>
      </c>
      <c r="F12" s="11" t="s">
        <v>250</v>
      </c>
      <c r="G12" s="11" t="s">
        <v>251</v>
      </c>
    </row>
    <row r="13" spans="1:7" ht="22" customHeight="1" x14ac:dyDescent="0.55000000000000004">
      <c r="A13" s="3"/>
      <c r="B13" s="3"/>
      <c r="C13" s="54" t="s">
        <v>252</v>
      </c>
      <c r="D13" s="3"/>
      <c r="E13" s="3"/>
      <c r="F13" s="3"/>
      <c r="G13" s="3"/>
    </row>
    <row r="14" spans="1:7" ht="22" customHeight="1" x14ac:dyDescent="0.55000000000000004">
      <c r="A14" s="7"/>
      <c r="B14" s="7"/>
      <c r="C14" s="55" t="s">
        <v>253</v>
      </c>
      <c r="D14" s="7"/>
      <c r="E14" s="7"/>
      <c r="F14" s="7"/>
      <c r="G14" s="7"/>
    </row>
    <row r="15" spans="1:7" ht="30" customHeight="1" x14ac:dyDescent="0.55000000000000004">
      <c r="A15" s="105" t="s">
        <v>256</v>
      </c>
      <c r="B15" s="77"/>
      <c r="C15" s="77"/>
      <c r="D15" s="77"/>
      <c r="E15" s="77"/>
      <c r="F15" s="77"/>
      <c r="G15" s="73"/>
    </row>
    <row r="17" spans="1:7" ht="22" customHeight="1" x14ac:dyDescent="0.55000000000000004">
      <c r="A17" s="101" t="s">
        <v>257</v>
      </c>
      <c r="B17" s="79"/>
      <c r="C17" s="79"/>
      <c r="D17" s="79"/>
      <c r="E17" s="79"/>
      <c r="F17" s="79"/>
      <c r="G17" s="80"/>
    </row>
    <row r="18" spans="1:7" ht="18" customHeight="1" x14ac:dyDescent="0.55000000000000004">
      <c r="A18" s="11" t="s">
        <v>246</v>
      </c>
      <c r="B18" s="11" t="s">
        <v>247</v>
      </c>
      <c r="C18" s="11"/>
      <c r="D18" s="11" t="s">
        <v>248</v>
      </c>
      <c r="E18" s="11" t="s">
        <v>249</v>
      </c>
      <c r="F18" s="11" t="s">
        <v>250</v>
      </c>
      <c r="G18" s="11" t="s">
        <v>251</v>
      </c>
    </row>
    <row r="19" spans="1:7" ht="22" customHeight="1" x14ac:dyDescent="0.55000000000000004">
      <c r="A19" s="3"/>
      <c r="B19" s="3"/>
      <c r="C19" s="54" t="s">
        <v>252</v>
      </c>
      <c r="D19" s="3"/>
      <c r="E19" s="3"/>
      <c r="F19" s="3"/>
      <c r="G19" s="3"/>
    </row>
    <row r="20" spans="1:7" ht="22" customHeight="1" x14ac:dyDescent="0.55000000000000004">
      <c r="A20" s="7"/>
      <c r="B20" s="7"/>
      <c r="C20" s="55" t="s">
        <v>253</v>
      </c>
      <c r="D20" s="7"/>
      <c r="E20" s="7"/>
      <c r="F20" s="7"/>
      <c r="G20" s="7"/>
    </row>
    <row r="21" spans="1:7" ht="30" customHeight="1" x14ac:dyDescent="0.55000000000000004">
      <c r="A21" s="104" t="s">
        <v>258</v>
      </c>
      <c r="B21" s="77"/>
      <c r="C21" s="77"/>
      <c r="D21" s="77"/>
      <c r="E21" s="77"/>
      <c r="F21" s="77"/>
      <c r="G21" s="73"/>
    </row>
    <row r="23" spans="1:7" ht="40" customHeight="1" x14ac:dyDescent="0.55000000000000004">
      <c r="A23" s="100" t="s">
        <v>259</v>
      </c>
      <c r="B23" s="77"/>
      <c r="C23" s="77"/>
      <c r="D23" s="77"/>
      <c r="E23" s="77"/>
      <c r="F23" s="77"/>
      <c r="G23" s="73"/>
    </row>
  </sheetData>
  <mergeCells count="10">
    <mergeCell ref="A23:G23"/>
    <mergeCell ref="A1:G1"/>
    <mergeCell ref="A17:G17"/>
    <mergeCell ref="A9:G9"/>
    <mergeCell ref="A3:G3"/>
    <mergeCell ref="A21:G21"/>
    <mergeCell ref="A2:G2"/>
    <mergeCell ref="A15:G15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4.4" x14ac:dyDescent="0.55000000000000004"/>
  <cols>
    <col min="1" max="1" width="4" customWidth="1"/>
    <col min="2" max="2" width="8" customWidth="1"/>
    <col min="3" max="3" width="38" customWidth="1"/>
    <col min="4" max="4" width="42" customWidth="1"/>
    <col min="5" max="5" width="20" customWidth="1"/>
  </cols>
  <sheetData>
    <row r="1" spans="1:5" ht="38.049999999999997" customHeight="1" x14ac:dyDescent="0.55000000000000004">
      <c r="A1" s="91" t="s">
        <v>260</v>
      </c>
      <c r="B1" s="79"/>
      <c r="C1" s="79"/>
      <c r="D1" s="79"/>
      <c r="E1" s="80"/>
    </row>
    <row r="2" spans="1:5" ht="18" customHeight="1" x14ac:dyDescent="0.55000000000000004">
      <c r="A2" s="90" t="s">
        <v>261</v>
      </c>
      <c r="B2" s="77"/>
      <c r="C2" s="77"/>
      <c r="D2" s="77"/>
      <c r="E2" s="73"/>
    </row>
    <row r="3" spans="1:5" ht="18" customHeight="1" x14ac:dyDescent="0.55000000000000004">
      <c r="A3" s="11"/>
      <c r="B3" s="11" t="s">
        <v>262</v>
      </c>
      <c r="C3" s="11" t="s">
        <v>263</v>
      </c>
      <c r="D3" s="11" t="s">
        <v>264</v>
      </c>
      <c r="E3" s="11" t="s">
        <v>265</v>
      </c>
    </row>
    <row r="4" spans="1:5" ht="20.05" customHeight="1" x14ac:dyDescent="0.55000000000000004">
      <c r="A4" s="107" t="s">
        <v>266</v>
      </c>
      <c r="B4" s="79"/>
      <c r="C4" s="79"/>
      <c r="D4" s="79"/>
      <c r="E4" s="80"/>
    </row>
    <row r="5" spans="1:5" ht="48" customHeight="1" x14ac:dyDescent="0.55000000000000004">
      <c r="A5" s="35"/>
      <c r="B5" s="56" t="s">
        <v>267</v>
      </c>
      <c r="C5" s="57" t="s">
        <v>268</v>
      </c>
      <c r="D5" s="58" t="s">
        <v>269</v>
      </c>
      <c r="E5" s="59" t="s">
        <v>270</v>
      </c>
    </row>
    <row r="6" spans="1:5" ht="48" customHeight="1" x14ac:dyDescent="0.55000000000000004">
      <c r="A6" s="35"/>
      <c r="B6" s="56" t="s">
        <v>271</v>
      </c>
      <c r="C6" s="57" t="s">
        <v>272</v>
      </c>
      <c r="D6" s="58" t="s">
        <v>273</v>
      </c>
      <c r="E6" s="59" t="s">
        <v>274</v>
      </c>
    </row>
    <row r="7" spans="1:5" ht="48" customHeight="1" x14ac:dyDescent="0.55000000000000004">
      <c r="A7" s="35"/>
      <c r="B7" s="56" t="s">
        <v>275</v>
      </c>
      <c r="C7" s="57" t="s">
        <v>276</v>
      </c>
      <c r="D7" s="58" t="s">
        <v>277</v>
      </c>
      <c r="E7" s="59" t="s">
        <v>278</v>
      </c>
    </row>
    <row r="8" spans="1:5" ht="48" customHeight="1" x14ac:dyDescent="0.55000000000000004">
      <c r="A8" s="35"/>
      <c r="B8" s="56" t="s">
        <v>279</v>
      </c>
      <c r="C8" s="57" t="s">
        <v>280</v>
      </c>
      <c r="D8" s="58" t="s">
        <v>281</v>
      </c>
      <c r="E8" s="59" t="s">
        <v>282</v>
      </c>
    </row>
    <row r="9" spans="1:5" ht="48" customHeight="1" x14ac:dyDescent="0.55000000000000004">
      <c r="A9" s="35"/>
      <c r="B9" s="56" t="s">
        <v>283</v>
      </c>
      <c r="C9" s="57" t="s">
        <v>284</v>
      </c>
      <c r="D9" s="58" t="s">
        <v>285</v>
      </c>
      <c r="E9" s="59" t="s">
        <v>286</v>
      </c>
    </row>
    <row r="10" spans="1:5" ht="48" customHeight="1" x14ac:dyDescent="0.55000000000000004">
      <c r="A10" s="35"/>
      <c r="B10" s="56" t="s">
        <v>287</v>
      </c>
      <c r="C10" s="57" t="s">
        <v>288</v>
      </c>
      <c r="D10" s="58" t="s">
        <v>289</v>
      </c>
      <c r="E10" s="59" t="s">
        <v>290</v>
      </c>
    </row>
    <row r="11" spans="1:5" ht="48" customHeight="1" x14ac:dyDescent="0.55000000000000004">
      <c r="A11" s="35"/>
      <c r="B11" s="56" t="s">
        <v>291</v>
      </c>
      <c r="C11" s="57" t="s">
        <v>292</v>
      </c>
      <c r="D11" s="58" t="s">
        <v>293</v>
      </c>
      <c r="E11" s="59" t="s">
        <v>294</v>
      </c>
    </row>
    <row r="12" spans="1:5" ht="48" customHeight="1" x14ac:dyDescent="0.55000000000000004">
      <c r="A12" s="35"/>
      <c r="B12" s="56" t="s">
        <v>295</v>
      </c>
      <c r="C12" s="57" t="s">
        <v>296</v>
      </c>
      <c r="D12" s="58" t="s">
        <v>297</v>
      </c>
      <c r="E12" s="59" t="s">
        <v>298</v>
      </c>
    </row>
    <row r="13" spans="1:5" ht="20.05" customHeight="1" x14ac:dyDescent="0.55000000000000004">
      <c r="A13" s="109" t="s">
        <v>299</v>
      </c>
      <c r="B13" s="79"/>
      <c r="C13" s="79"/>
      <c r="D13" s="79"/>
      <c r="E13" s="80"/>
    </row>
    <row r="14" spans="1:5" ht="48" customHeight="1" x14ac:dyDescent="0.55000000000000004">
      <c r="A14" s="3"/>
      <c r="B14" s="60" t="s">
        <v>300</v>
      </c>
      <c r="C14" s="61" t="s">
        <v>301</v>
      </c>
      <c r="D14" s="62" t="s">
        <v>302</v>
      </c>
      <c r="E14" s="63" t="s">
        <v>303</v>
      </c>
    </row>
    <row r="15" spans="1:5" ht="48" customHeight="1" x14ac:dyDescent="0.55000000000000004">
      <c r="A15" s="3"/>
      <c r="B15" s="60" t="s">
        <v>304</v>
      </c>
      <c r="C15" s="61" t="s">
        <v>305</v>
      </c>
      <c r="D15" s="62" t="s">
        <v>306</v>
      </c>
      <c r="E15" s="63" t="s">
        <v>307</v>
      </c>
    </row>
    <row r="16" spans="1:5" ht="48" customHeight="1" x14ac:dyDescent="0.55000000000000004">
      <c r="A16" s="3"/>
      <c r="B16" s="60" t="s">
        <v>308</v>
      </c>
      <c r="C16" s="61" t="s">
        <v>309</v>
      </c>
      <c r="D16" s="62" t="s">
        <v>310</v>
      </c>
      <c r="E16" s="63" t="s">
        <v>311</v>
      </c>
    </row>
    <row r="17" spans="1:5" ht="48" customHeight="1" x14ac:dyDescent="0.55000000000000004">
      <c r="A17" s="3"/>
      <c r="B17" s="60" t="s">
        <v>312</v>
      </c>
      <c r="C17" s="61" t="s">
        <v>313</v>
      </c>
      <c r="D17" s="62" t="s">
        <v>314</v>
      </c>
      <c r="E17" s="63" t="s">
        <v>315</v>
      </c>
    </row>
    <row r="18" spans="1:5" ht="48" customHeight="1" x14ac:dyDescent="0.55000000000000004">
      <c r="A18" s="3"/>
      <c r="B18" s="60" t="s">
        <v>316</v>
      </c>
      <c r="C18" s="61" t="s">
        <v>317</v>
      </c>
      <c r="D18" s="62" t="s">
        <v>318</v>
      </c>
      <c r="E18" s="63" t="s">
        <v>319</v>
      </c>
    </row>
    <row r="19" spans="1:5" ht="40" customHeight="1" x14ac:dyDescent="0.55000000000000004">
      <c r="A19" s="108" t="s">
        <v>320</v>
      </c>
      <c r="B19" s="77"/>
      <c r="C19" s="77"/>
      <c r="D19" s="77"/>
      <c r="E19" s="73"/>
    </row>
    <row r="21" spans="1:5" ht="22" customHeight="1" x14ac:dyDescent="0.55000000000000004">
      <c r="A21" s="95" t="s">
        <v>321</v>
      </c>
      <c r="B21" s="79"/>
      <c r="C21" s="79"/>
      <c r="D21" s="79"/>
      <c r="E21" s="80"/>
    </row>
    <row r="22" spans="1:5" ht="140.05000000000001" customHeight="1" x14ac:dyDescent="0.55000000000000004">
      <c r="A22" s="106" t="s">
        <v>322</v>
      </c>
      <c r="B22" s="77"/>
      <c r="C22" s="77"/>
      <c r="D22" s="77"/>
      <c r="E22" s="73"/>
    </row>
  </sheetData>
  <mergeCells count="7">
    <mergeCell ref="A1:E1"/>
    <mergeCell ref="A13:E13"/>
    <mergeCell ref="A22:E22"/>
    <mergeCell ref="A21:E21"/>
    <mergeCell ref="A4:E4"/>
    <mergeCell ref="A2:E2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/>
  </sheetViews>
  <sheetFormatPr defaultRowHeight="14.4" x14ac:dyDescent="0.55000000000000004"/>
  <cols>
    <col min="1" max="1" width="20" customWidth="1"/>
    <col min="2" max="2" width="3" customWidth="1"/>
    <col min="3" max="3" width="63" customWidth="1"/>
    <col min="4" max="4" width="3" customWidth="1"/>
  </cols>
  <sheetData>
    <row r="1" spans="1:4" ht="38.049999999999997" customHeight="1" x14ac:dyDescent="0.55000000000000004">
      <c r="A1" s="91" t="s">
        <v>323</v>
      </c>
      <c r="B1" s="79"/>
      <c r="C1" s="79"/>
      <c r="D1" s="80"/>
    </row>
    <row r="2" spans="1:4" ht="18" customHeight="1" x14ac:dyDescent="0.55000000000000004">
      <c r="A2" s="90" t="s">
        <v>324</v>
      </c>
      <c r="B2" s="77"/>
      <c r="C2" s="77"/>
      <c r="D2" s="73"/>
    </row>
    <row r="3" spans="1:4" ht="44.05" customHeight="1" x14ac:dyDescent="0.55000000000000004">
      <c r="A3" s="103" t="s">
        <v>325</v>
      </c>
      <c r="B3" s="77"/>
      <c r="C3" s="77"/>
      <c r="D3" s="73"/>
    </row>
    <row r="5" spans="1:4" ht="24" customHeight="1" x14ac:dyDescent="0.55000000000000004">
      <c r="A5" s="115" t="s">
        <v>326</v>
      </c>
      <c r="B5" s="79"/>
      <c r="C5" s="79"/>
      <c r="D5" s="80"/>
    </row>
    <row r="6" spans="1:4" ht="130" customHeight="1" x14ac:dyDescent="0.55000000000000004">
      <c r="A6" s="110" t="s">
        <v>327</v>
      </c>
      <c r="B6" s="77"/>
      <c r="C6" s="77"/>
      <c r="D6" s="73"/>
    </row>
    <row r="7" spans="1:4" ht="4" customHeight="1" x14ac:dyDescent="0.55000000000000004">
      <c r="A7" s="1"/>
      <c r="B7" s="1"/>
      <c r="C7" s="1"/>
      <c r="D7" s="1"/>
    </row>
    <row r="8" spans="1:4" ht="24" customHeight="1" x14ac:dyDescent="0.55000000000000004">
      <c r="A8" s="112" t="s">
        <v>328</v>
      </c>
      <c r="B8" s="79"/>
      <c r="C8" s="79"/>
      <c r="D8" s="80"/>
    </row>
    <row r="9" spans="1:4" ht="130" customHeight="1" x14ac:dyDescent="0.55000000000000004">
      <c r="A9" s="111" t="s">
        <v>329</v>
      </c>
      <c r="B9" s="77"/>
      <c r="C9" s="77"/>
      <c r="D9" s="73"/>
    </row>
    <row r="10" spans="1:4" ht="4" customHeight="1" x14ac:dyDescent="0.55000000000000004">
      <c r="A10" s="1"/>
      <c r="B10" s="1"/>
      <c r="C10" s="1"/>
      <c r="D10" s="1"/>
    </row>
    <row r="11" spans="1:4" ht="24" customHeight="1" x14ac:dyDescent="0.55000000000000004">
      <c r="A11" s="85" t="s">
        <v>330</v>
      </c>
      <c r="B11" s="79"/>
      <c r="C11" s="79"/>
      <c r="D11" s="80"/>
    </row>
    <row r="12" spans="1:4" ht="120" customHeight="1" x14ac:dyDescent="0.55000000000000004">
      <c r="A12" s="114" t="s">
        <v>338</v>
      </c>
      <c r="B12" s="77"/>
      <c r="C12" s="77"/>
      <c r="D12" s="73"/>
    </row>
    <row r="13" spans="1:4" ht="4" customHeight="1" x14ac:dyDescent="0.55000000000000004">
      <c r="A13" s="1"/>
      <c r="B13" s="1"/>
      <c r="C13" s="1"/>
      <c r="D13" s="1"/>
    </row>
    <row r="14" spans="1:4" ht="24" customHeight="1" x14ac:dyDescent="0.55000000000000004">
      <c r="A14" s="112" t="s">
        <v>331</v>
      </c>
      <c r="B14" s="79"/>
      <c r="C14" s="79"/>
      <c r="D14" s="80"/>
    </row>
    <row r="15" spans="1:4" ht="80.05" customHeight="1" x14ac:dyDescent="0.55000000000000004">
      <c r="A15" s="111" t="s">
        <v>332</v>
      </c>
      <c r="B15" s="77"/>
      <c r="C15" s="77"/>
      <c r="D15" s="73"/>
    </row>
    <row r="16" spans="1:4" ht="4" customHeight="1" x14ac:dyDescent="0.55000000000000004">
      <c r="A16" s="1"/>
      <c r="B16" s="1"/>
      <c r="C16" s="1"/>
      <c r="D16" s="1"/>
    </row>
    <row r="17" spans="1:4" ht="24" customHeight="1" x14ac:dyDescent="0.55000000000000004">
      <c r="A17" s="95" t="s">
        <v>333</v>
      </c>
      <c r="B17" s="79"/>
      <c r="C17" s="79"/>
      <c r="D17" s="80"/>
    </row>
    <row r="18" spans="1:4" ht="100" customHeight="1" x14ac:dyDescent="0.55000000000000004">
      <c r="A18" s="113" t="s">
        <v>334</v>
      </c>
      <c r="B18" s="77"/>
      <c r="C18" s="77"/>
      <c r="D18" s="73"/>
    </row>
    <row r="19" spans="1:4" ht="4" customHeight="1" x14ac:dyDescent="0.55000000000000004">
      <c r="A19" s="1"/>
      <c r="B19" s="1"/>
      <c r="C19" s="1"/>
      <c r="D19" s="1"/>
    </row>
    <row r="20" spans="1:4" ht="24" customHeight="1" x14ac:dyDescent="0.55000000000000004">
      <c r="A20" s="115" t="s">
        <v>335</v>
      </c>
      <c r="B20" s="79"/>
      <c r="C20" s="79"/>
      <c r="D20" s="80"/>
    </row>
    <row r="21" spans="1:4" ht="100" customHeight="1" x14ac:dyDescent="0.55000000000000004">
      <c r="A21" s="110" t="s">
        <v>336</v>
      </c>
      <c r="B21" s="77"/>
      <c r="C21" s="77"/>
      <c r="D21" s="73"/>
    </row>
    <row r="22" spans="1:4" ht="4" customHeight="1" x14ac:dyDescent="0.55000000000000004">
      <c r="A22" s="1"/>
      <c r="B22" s="1"/>
      <c r="C22" s="1"/>
      <c r="D22" s="1"/>
    </row>
  </sheetData>
  <mergeCells count="15">
    <mergeCell ref="A1:D1"/>
    <mergeCell ref="A17:D17"/>
    <mergeCell ref="A9:D9"/>
    <mergeCell ref="A5:D5"/>
    <mergeCell ref="A8:D8"/>
    <mergeCell ref="A21:D21"/>
    <mergeCell ref="A15:D15"/>
    <mergeCell ref="A2:D2"/>
    <mergeCell ref="A11:D11"/>
    <mergeCell ref="A14:D14"/>
    <mergeCell ref="A18:D18"/>
    <mergeCell ref="A6:D6"/>
    <mergeCell ref="A12:D12"/>
    <mergeCell ref="A3:D3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BELGE LİSTESİ</vt:lpstr>
      <vt:lpstr>DENETÇİ NOTLARI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2026-04-03T07:33:28Z</dcterms:created>
  <dcterms:modified xsi:type="dcterms:W3CDTF">2026-04-03T07:58:03Z</dcterms:modified>
</cp:coreProperties>
</file>