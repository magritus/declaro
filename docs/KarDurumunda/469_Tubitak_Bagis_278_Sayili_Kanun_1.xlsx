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F5B881B7-B7B5-47F3-8B05-F75622D3366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D8" i="2"/>
  <c r="D7" i="2"/>
  <c r="D6" i="2"/>
  <c r="C49" i="1"/>
  <c r="D45" i="1"/>
  <c r="C50" i="1" s="1"/>
  <c r="C45" i="1"/>
  <c r="E44" i="1"/>
  <c r="F44" i="1" s="1"/>
  <c r="E43" i="1"/>
  <c r="F43" i="1" s="1"/>
  <c r="E42" i="1"/>
  <c r="F42" i="1" s="1"/>
  <c r="F41" i="1"/>
  <c r="E41" i="1"/>
  <c r="E40" i="1"/>
  <c r="F40" i="1" s="1"/>
  <c r="E39" i="1"/>
  <c r="F39" i="1" s="1"/>
  <c r="F45" i="1" s="1"/>
  <c r="C53" i="1" s="1"/>
  <c r="C33" i="1"/>
  <c r="E14" i="1"/>
  <c r="D5" i="2" s="1"/>
  <c r="E45" i="1" l="1"/>
  <c r="C51" i="1" s="1"/>
</calcChain>
</file>

<file path=xl/sharedStrings.xml><?xml version="1.0" encoding="utf-8"?>
<sst xmlns="http://schemas.openxmlformats.org/spreadsheetml/2006/main" count="338" uniqueCount="267">
  <si>
    <t>469 – TÜBİTAK BAĞIŞLARI | 278 SAYILI KANUN | AR-GE VE BİLİM DESTEKL İ BAĞIŞ VE YARDIMLAR | YMM TASDİK</t>
  </si>
  <si>
    <t>Beyanname 469 | GİB KV Beyan Rehberi Mart 2026 (No:606) | ✗ YİAKV MATRAHINDA DÜŞÜLEMEZ</t>
  </si>
  <si>
    <t xml:space="preserve">  278 SAYILI KANUN KAPSAMI: TÜBİTAK (Türkiye Bilimsel ve Teknolojik Araştırma Kurumu) ile ilgili bazı düzenlemeler hakkındaki 278 sayılı Kanun kapsamında yapılan bağış ve yardımlar.
  ALICI: TÜBİTAK veya TÜBİTAK bünyesindeki fon/program/proje.
  İNDİRİM: TAMAMININ İNDİRİMİ — matrahı aşan kısım devredilemez.
  BAĞIŞ ŞEKLİ: Nakdi (banka) veya ayni (bilimsel cihaz, ekipman, malzeme).
  ★ YİAKV: DÜŞÜLEMEZ — E.11 bilgi satırı (diğer bağış kodlarıyla aynı kategori).</t>
  </si>
  <si>
    <t xml:space="preserve">  ✗ YİAKV (KVK Md.32/C): 469 TÜBİTAK Bağışı YİAKV MATRAHINDA DÜŞÜLEMEZ. YİAKV E.11 bilgi satırı — 402/460/461/464/465/466 ile aynı kategori.
  DİKKAT: TÜBİTAK'tan alınan Ar-Ge GELİR DESTEĞİ (hibe) farklı mekanizma — bkz. 456 (STB) veya ilgili istisna kodu. Bu dosya yalnızca kurumun TÜBİTAK'a YAPTIĞI BAĞIŞI kapsar.</t>
  </si>
  <si>
    <t>A0. KAPSAM VE NİTELİK UYGUNLUK ÖN KONTROLÜ — 278 s.K. TÜBİTAK BAĞIŞI</t>
  </si>
  <si>
    <t>Kontrol Sorusu</t>
  </si>
  <si>
    <t>Yanıt</t>
  </si>
  <si>
    <t>YMM Tasdik Notu</t>
  </si>
  <si>
    <t>A0.1  ★ Bağış 278 sayılı Kanun kapsamında TÜBİTAK'a mı yapıldı?</t>
  </si>
  <si>
    <t>EVET</t>
  </si>
  <si>
    <t>278 s.K. kapsamında TÜBİTAK veya TÜBİTAK bünyesindeki fon/programa yapılan bağışlar. TÜBİTAK destekli projeye yapılan bağışı TÜBİTAK'a bağış ile karıştırmayın.</t>
  </si>
  <si>
    <t>A0.2  ★ Bağış/yardım FİİLEN yapıldı mı? (Nakdi: Banka — Ayni: Teslim belgesi)</t>
  </si>
  <si>
    <t>Taahhüt edilen ama gerçekleşmeyen bağış indirime konu olamaz. Nakdi: Banka EFT/havale. Ayni: Teslim tutanağı.</t>
  </si>
  <si>
    <t>A0.3  TÜBİTAK'tan resmi bağış makbuzu / kabul belgesi alındı mı?</t>
  </si>
  <si>
    <t>TÜBİTAK tarafından düzenlenen resmi makbuz veya bağış kabul yazısı zorunludur.</t>
  </si>
  <si>
    <t>A0.4  ★ 469 bağışı ile TÜBİTAK'tan ALINAN destek (hibe/gelir) karıştırılmadı mı?</t>
  </si>
  <si>
    <t>EVET — Karıştırılmadı</t>
  </si>
  <si>
    <t>469: Kurumun TÜBİTAK'a yaptığı bağış (gider). TÜBİTAK'tan alınan Ar-Ge/hibe desteği ise gelir → Farklı mekanizma (456 benzeri veya istisna). İkisi farklı — karıştırma en büyük hata kaynağı.</t>
  </si>
  <si>
    <t>A0.5  ✗ YİAKV E.11'de bilgi satırı olarak gösterildi mi?</t>
  </si>
  <si>
    <t>469 YİAKV matrahından düşülemez — E.11 bilgi.</t>
  </si>
  <si>
    <t>A0.6  YMM Tasdik Raporu gereksinimi değerlendirildi mi?</t>
  </si>
  <si>
    <t>&gt;=500.000 TL → YMM raporu.</t>
  </si>
  <si>
    <t>A0.7  Tasdik Uygunluk Sonucu</t>
  </si>
  <si>
    <t>★ A0.1 TÜBİTAK/278 kapsamı | A0.2 fiili yapım | A0.3 makbuz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</si>
  <si>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</si>
  <si>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</si>
  <si>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</si>
  <si>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</si>
  <si>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</si>
  <si>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</si>
  <si>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</si>
  <si>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</si>
  <si>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</si>
  <si>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</si>
  <si>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TÜBİTAK / 278 s.K. Kapsamı Fon-Program</t>
  </si>
  <si>
    <t>Dosya Referansı</t>
  </si>
  <si>
    <t>YMM-2025/469-01</t>
  </si>
  <si>
    <t>B. BAĞIŞ VE YARDIM DETAYLARI — 278 s.K. / TÜBİTAK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</si>
  <si>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</si>
  <si>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</si>
  <si>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</si>
  <si>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</si>
  <si>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</si>
  <si>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</si>
  <si>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Teslim tutanağı + değerleme.</t>
  </si>
  <si>
    <t>Belge</t>
  </si>
  <si>
    <t>B.2  Alıcı Türü</t>
  </si>
  <si>
    <t>TÜBİTAK (Doğrudan)</t>
  </si>
  <si>
    <t>TÜBİTAK doğrudan veya bünyesindeki fon/program.</t>
  </si>
  <si>
    <t>Protokol</t>
  </si>
  <si>
    <t>B.3  Bağışın Konusu / Proje Adı</t>
  </si>
  <si>
    <t>Bilimsel araştırma, teknoloji geliştirme, burs fonu vb. amaç.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</si>
  <si>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</si>
  <si>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</si>
  <si>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</si>
  <si>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</si>
  <si>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</si>
  <si>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TÜBİTAK'a ödenen tutar.</t>
  </si>
  <si>
    <t>Banka dekontu</t>
  </si>
  <si>
    <t>B.6  Ayni Bağış Değeri (TL — Maliyet/Net Defter Değeri)</t>
  </si>
  <si>
    <t>Bilimsel cihaz/ekipman bağışı varsa maliyet veya net defter değeri.</t>
  </si>
  <si>
    <t>Stok/sabit kıymet</t>
  </si>
  <si>
    <t>B.7  ★ TOPLAM BAĞIŞ (B.5 + B.6)</t>
  </si>
  <si>
    <t>Nakdi + Ayni toplam — beyanname 469 tutarının dayanağı.</t>
  </si>
  <si>
    <t>Formül</t>
  </si>
  <si>
    <t>B.8  ★ TÜBİTAK Resmi Makbuzu / Bağış Kabul Belgesi</t>
  </si>
  <si>
    <t>TÜBİTAK'tan alınan resmi makbuz veya kabul yazısı — zorunlu belge.</t>
  </si>
  <si>
    <t>TÜBİTAK</t>
  </si>
  <si>
    <t>C. BAĞIŞ VE YARDIM TABLOSU — TÜBİTAK / 278 s.K. (BEYANNAME 469)</t>
  </si>
  <si>
    <t xml:space="preserve">  Her bağış kalemi için ayrı satır. SÜTUN 3 (lacivert çerçeve): Nakdi bağış. SÜTUN 4: Ayni bağış maliyet değeri. SÜTUN 5: Toplam (otomatik). SÜTUN 6: İndirim = Tamamı (otomatik).</t>
  </si>
  <si>
    <t>Bağış Tarihi</t>
  </si>
  <si>
    <t>Alıcı / Konu</t>
  </si>
  <si>
    <t>Nakdi (TL)</t>
  </si>
  <si>
    <t>Ayni Değer (TL)</t>
  </si>
  <si>
    <t>Toplam (TL)</t>
  </si>
  <si>
    <t>İndirim (TL)</t>
  </si>
  <si>
    <t>Makbuz/Belge No</t>
  </si>
  <si>
    <t>TOPLAM</t>
  </si>
  <si>
    <t>← Beyanname 469 (Tamamının İndirimi)</t>
  </si>
  <si>
    <t>D. BAĞIŞ VE YARDIM İNDİRİMİ ÖZET — BEYANNAME 469 (278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</si>
  <si>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</si>
  <si>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</si>
  <si>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</si>
  <si>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</si>
  <si>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</si>
  <si>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</si>
  <si>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</si>
  <si>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</si>
  <si>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</si>
  <si>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</si>
  <si>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</si>
  <si>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278 s.K. kapsamı: Tamamının indirimi — matrahı aşan kısım devredilemez</t>
  </si>
  <si>
    <t>278 s.K.</t>
  </si>
  <si>
    <t>D.5  ★ BEYANNAME 469 = TOPLAM BAĞIŞ (D.3)</t>
  </si>
  <si>
    <t>→ Beyanname 469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</si>
  <si>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</si>
  <si>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</si>
  <si>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</si>
  <si>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</si>
  <si>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TÜBİTAK BAĞIŞI → Beyanname Satır 469 (Kazancın Bulunması Halinde)</t>
  </si>
  <si>
    <t>D.5 = Toplam Bağış Tamamı | 278 s.K. — Matrahı aşan devredilmez</t>
  </si>
  <si>
    <t xml:space="preserve">  ★ KRİTİK: (1) ALICI: TÜBİTAK veya 278 s.K. kapsamı — TÜBİTAK destekli projeye yapılan ödeme farklı. (2) BAĞIŞ ile TÜBİTAK'tan ALINAN DESTEK karıştırılmaz: Bu dosya kurumun yaptığı bağışı kapsar. (3) AYNİ BAĞIŞ: Bilimsel cihaz/ekipman → Maliyet değeri esas. (4) DEVREDEN YOK: Matrahı aşan devredilmez. (5) YİAKV ✗: E.11.</t>
  </si>
  <si>
    <t>469 – TÜBİTAK BAĞIŞLARI 278 SAYILI KANUN | HESAPLAMALAR VE DENETİM</t>
  </si>
  <si>
    <t>Tamamının İndirimi | TÜBİTAK/278 s.K. | Bağış ≠ TÜBİTAK Desteği | Beyanname 469 | ✗ YİAKV E.11</t>
  </si>
  <si>
    <t>A. TASDİK ÖZETİ</t>
  </si>
  <si>
    <t>A0 Uygunluğu</t>
  </si>
  <si>
    <t>OK ise devam</t>
  </si>
  <si>
    <t>Alıcı / Kapsam (B.2)</t>
  </si>
  <si>
    <t>TÜBİTAK/278 s.K.</t>
  </si>
  <si>
    <t>Toplam Nakdi Bağış (D.1)</t>
  </si>
  <si>
    <t>Banka yoluyla</t>
  </si>
  <si>
    <t>469 İNDİRİM (D.5)</t>
  </si>
  <si>
    <t>YİAKV</t>
  </si>
  <si>
    <t>✗ DÜŞÜLEMEZ (E.11 Bilgi)</t>
  </si>
  <si>
    <t>Bağış/yardım kodları tümü YİAKV dışı</t>
  </si>
  <si>
    <t>B. 278 SAYILI KANUN VE TÜBİTAK KAPSAMI</t>
  </si>
  <si>
    <t xml:space="preserve">  278 SAYILI KANUN — TÜBİTAK BAĞIŞLARI:
  278 sayılı 'Türkiye Bilimsel ve Teknolojik Araştırma Kurumu ile İlgili Bazı Düzenlemeler Hakkında Kanun' kapsamında TÜBİTAK'a yapılan bağış ve yardımların tamamı kurumlar vergisi matrahından indirilir.
  TÜBİTAK BAĞIŞLARINDA KAPSAM:
  ① TÜBİTAK'a doğrudan nakdi/ayni bağış
  ② TÜBİTAK bünyesindeki fon veya programlara bağış
  ③ TÜBİTAK koordinasyonunda yürütülen Ar-Ge projesine kurumun katkısı (bağış niteliğinde)
  KAPSAM DIŞI:
  ✗ TÜBİTAK'tan kurum tarafından ALINAN Ar-Ge desteği/hibesi (Bu gelir — farklı mekanizma)
  ✗ TÜBİTAK destekli projeye yapılan genel gider ödemeleri
  ✗ TÜBİTAK bünyesi dışı üniversite Ar-Ge projelerine bağış → KVK 10/1-c kapsamında ayrı analiz</t>
  </si>
  <si>
    <t>C. EN KRİTİK AYRIMI — KURUM TÜBİTAK'A BAĞIŞ YAPIYOR vs TÜBİTAK'TAN DESTEK ALIYOR</t>
  </si>
  <si>
    <t xml:space="preserve">  ① KURUM → TÜBİTAK'A BAĞIŞ YAPIYOR (469 KAPSAMINDA):
  Kurumun kendi kaynaklarından TÜBİTAK'a ödeme/bağış yapması.
  Muhasebe: Dr 689/770 Gider / Kr 102 Bankalar
  Dönem sonu: KKEG + Beyanname 469 (Tamamının İndirimi)
  YİAKV: ✗ DÜŞÜLEMEZ — E.11 bilgi
  ② KURUM TÜBİTAK'TAN DESTEK ALIYOR (Farklı Mekanizma):
  TÜBİTAK'tan alınan Ar-Ge hibesi/desteği → Gelir kaydedilir (679/649)
  Beyanname indirimi: İlgili istisna kodu veya 456 benzeri mekanizma
  YMM: Alınan TÜBİTAK desteğini 469 kapsamında göstermek büyük hata.</t>
  </si>
  <si>
    <t>D. DENETİM KONTROL LİSTESİ (K1–K11)</t>
  </si>
  <si>
    <t>Kontrol</t>
  </si>
  <si>
    <t>Sonuç</t>
  </si>
  <si>
    <t>K1</t>
  </si>
  <si>
    <t>★ Bağış TÜBİTAK'a mı? 278 s.K. kapsamında mı?</t>
  </si>
  <si>
    <t>Alıcı kesinlikle TÜBİTAK/278 kapsamı olmalı.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</si>
  <si>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</si>
  <si>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</si>
  <si>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</si>
  <si>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</si>
  <si>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</si>
  <si>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TÜBİTAK'tan resmi makbuz alındı mı?</t>
  </si>
  <si>
    <t>Makbuz zorunlu — belgelenemezse reddedilir.</t>
  </si>
  <si>
    <t>K4</t>
  </si>
  <si>
    <t>★ 469 ile TÜBİTAK'tan alınan destek karıştırılmadı mı?</t>
  </si>
  <si>
    <t>Bağış (gider) ≠ Alınan hibe (gelir).</t>
  </si>
  <si>
    <t>K5</t>
  </si>
  <si>
    <t>Ayni bağış varsa maliyet/net defter değeri esas alındı mı?</t>
  </si>
  <si>
    <t>Piyasa değeri değil.</t>
  </si>
  <si>
    <t>K6</t>
  </si>
  <si>
    <t>C tablosu toplamı D.3 ile mutabık mı?</t>
  </si>
  <si>
    <t>E45 = D.3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</si>
  <si>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</si>
  <si>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</si>
  <si>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</si>
  <si>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</si>
  <si>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</si>
  <si>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469 DÜŞÜLEMEZ — E.11 bilgi.</t>
  </si>
  <si>
    <t>K9</t>
  </si>
  <si>
    <t>Bağış muhasebe zinciri doğru mu? (Gider → KKEG → 469)</t>
  </si>
  <si>
    <t>İki adım: Gider + KKEG + Beyanname.</t>
  </si>
  <si>
    <t>K10</t>
  </si>
  <si>
    <t>Beyanname 469 'Kazancın Bulunması Halinde' bölümünde mi?</t>
  </si>
  <si>
    <t>Zarar döneminde uygulanamaz.</t>
  </si>
  <si>
    <t>K11</t>
  </si>
  <si>
    <t>YMM Tasdik Raporu (49 No.lu Tebliğ) değerlendirildi mi?</t>
  </si>
  <si>
    <t>469 – TÜBİTAK BAĞIŞLARI 278 SAYILI KANUN | MUHASEBE KAYITLARI</t>
  </si>
  <si>
    <t>KAYIT 1 — NAKDİ BAĞIŞ (EFT/HAVALE — TÜBİTAK)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</si>
  <si>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</si>
  <si>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</si>
  <si>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</si>
  <si>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</si>
  <si>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</si>
  <si>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</si>
  <si>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</si>
  <si>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TÜBİTAK bağışı — gider kaydı</t>
  </si>
  <si>
    <t>[Tutar]</t>
  </si>
  <si>
    <t>—</t>
  </si>
  <si>
    <t>TÜBİTAK Makbuzu</t>
  </si>
  <si>
    <t>102 Bankalar</t>
  </si>
  <si>
    <t>EFT/Havale ile TÜBİTAK hesabına aktarım</t>
  </si>
  <si>
    <t>KAYIT 2 — AYNİ BAĞIŞ (BİLİMSEL CİHAZ / EKİPMAN)</t>
  </si>
  <si>
    <t>[Teslim]</t>
  </si>
  <si>
    <t>689 Diğer Olağan Dışı Gid.</t>
  </si>
  <si>
    <t>Ayni bağış — maliyet/net defter değeri</t>
  </si>
  <si>
    <t>[Maliyet]</t>
  </si>
  <si>
    <t>Teslim tutanağı</t>
  </si>
  <si>
    <t>255 Demirbaş / 150 İlk Madde vb.</t>
  </si>
  <si>
    <t>Bağışlanan bilimsel cihaz/ekipman çıkışı</t>
  </si>
  <si>
    <t>KAYIT 3 — DÖNEM SONU: KKEG + BEYANNAME 469 İNDİRİMİ</t>
  </si>
  <si>
    <t>[Dönem Sonu]</t>
  </si>
  <si>
    <t>951 KKEG</t>
  </si>
  <si>
    <t>TÜBİTAK bağış gideri KKEG'e alınır</t>
  </si>
  <si>
    <t>Beyanname eki</t>
  </si>
  <si>
    <t>952 KKEG Karşılığı</t>
  </si>
  <si>
    <t>KKEG karşılığı kaydı</t>
  </si>
  <si>
    <t xml:space="preserve">  469 BAĞIŞ ile TÜBİTAK'TAN ALINAN DESTEK KARŞILAŞTIRMA:
  469 BAĞIŞ (BU DOSYA): Dr 689/770 Gider / Kr 102 Bankalar → KKEG → Beyanname 469.
  Kurum TÜBİTAK'a ödüyor → Gider niteliği taşıyor → KVK indirimiyle matrahtan düşülüyor.
  TÜBİTAK'TAN ALINAN DESTEK (FARKLI DOSYA): Dr 102 Bankalar / Kr 679 Gelir → Matrahı artırıyor.
  Ardından ilgili beyanname kodu ile matrahtan çıkarılıyor. YİAKV'de de DÜŞÜLEMEZ.</t>
  </si>
  <si>
    <t>469 – TÜBİTAK BAĞIŞLARI 278 SAYILI KANUN | DENETÇİ NOTLARI</t>
  </si>
  <si>
    <t>GİB KV Beyan Rehberi 2026 (No:606) | 278 s.K. | TÜBİTAK | Bağış ≠ Destek | YİAKV E.11</t>
  </si>
  <si>
    <t>Kod</t>
  </si>
  <si>
    <t>Konu</t>
  </si>
  <si>
    <t>Mesleki Değerlendirme / Tasdik Standardı</t>
  </si>
  <si>
    <t>Mevzuat / Kaynak</t>
  </si>
  <si>
    <t>N1</t>
  </si>
  <si>
    <t>278 s.K. — TÜBİTAK Bağışı Tanım ve Kapsam</t>
  </si>
  <si>
    <t>TÜBİTAK BAĞIŞI — 278 SAYILI KANUN KAPSAMI:
278 sayılı 'Türkiye Bilimsel ve Teknolojik Araştırma Kurumu ile İlgili Bazı
Düzenlemeler Hakkında Kanun' kapsamında TÜBİTAK'a yapılan bağış ve
yardımların tamamı kurumlar vergisi matrahından indirilir.
ALICI KAPSAMİ:
① TÜBİTAK kurumuna doğrudan bağış
② TÜBİTAK bünyesindeki fon veya program
③ TÜBİTAK koordinasyonundaki Ar-Ge projesi (bağış niteliğinde katkı)
BAĞIŞ ŞEKLİ: Nakdi (banka) + Ayni (bilimsel cihaz, ekipman, malzeme)
İNDİRİM: Tamamının indirimi — matrahı aşan kısım devredilmez.
YİAKV: ✗ DÜŞÜLEMEZ (E.11 bilgi) | BEYANNAME: 469</t>
  </si>
  <si>
    <t>278 s.K. | GİB KV Beyan Reh. 2026 (No:606)</t>
  </si>
  <si>
    <t>N2</t>
  </si>
  <si>
    <t>★ TÜBİTAK'A BAĞIŞ vs TÜBİTAK'TAN ALINAN DESTEK — En Kritik Ayrım</t>
  </si>
  <si>
    <t>EN BÜYÜK HATA KAYNAĞI — ÇİFT YÖN FARKINDALIĞI:
BAĞIŞ (469 KAPSAMINDA):
Kurum → TÜBİTAK'a ödeme/bağış yapar.
Muhasebe: GİDER (689/770) → KKEG → Beyanname 469 → Matrahtan düşülür.
Net etki: TÜBİTAK'a yapılan bağışın tamamı matrahtan indirilir.
ALINAN DESTEK/HİBE (469 KAPSAMINDA DEĞİL):
TÜBİTAK → Kuruma Ar-Ge/proje desteği/hibe öder.
Muhasebe: GELİR (679/649) → Matrahı artırır.
Ardından: İlgili beyanname kodu (istisna veya indirim) → Matrahtan çıkar.
YMM DİKKATİ:
Aynı hesap döneminde hem TÜBİTAK'a bağış (469) hem TÜBİTAK'tan destek
alınıyorsa bunlar kesinlikle ayrı işlemler. İkisini karıştırmak → Tarhiyat.</t>
  </si>
  <si>
    <t>278 s.K. | GİB Özelge | VUK</t>
  </si>
  <si>
    <t>N3</t>
  </si>
  <si>
    <t>Ayni Bağış — Bilimsel Cihaz, Ekipman, Malzeme</t>
  </si>
  <si>
    <t>TÜBİTAK'A AYNİ BAĞIŞ:
Kurumlar TÜBİTAK'a bilimsel cihaz, ölçüm ekipmanı, bilgisayar,
malzeme veya yazılım lisansı bağışlayabilir.
DEĞERLEME:
• Maliyet bedeli (satın alınan fiyat)
• Net defter değeri (amortisman düşülmüş — sabit kıymetler için)
• Piyasa değeri kullanılmaz
KDV: KDVK Md.17/2-b kapsamında istisna — KDV hesaplanmaz.
MUHASEBE: Dr 689 / Kr 255 Demirbaş veya 150 İlk Madde
(net defter değeri veya maliyet ile)
BELGE: İmzalı teslim-tesellüm tutanağı + Değerleme notu.</t>
  </si>
  <si>
    <t>278 s.K. | KDVK Md.17/2-b | GİB Özelge</t>
  </si>
  <si>
    <t>N4</t>
  </si>
  <si>
    <t>YİAKV ile İlişki — E.11 Tüm Bağış/Yardım Kategorisi</t>
  </si>
  <si>
    <t>YİAKV (KVK Md.32/C) VE TÜBİTAK BAĞIŞI:
✗ 469 (278 s.K. TÜBİTAK Bağışı): DÜŞÜLEMEZ → YİAKV E.11
YİAKV E.11 — TÜMÜ DÜŞÜLEMEZ:
✗ 402 KVK Md.10/1-c
✗ 460 Profesyonel Spor
✗ 461 Amatör Spor
✗ 464 AGF (7474 Md.6)
✗ 465 AYİF (7441 Md.7)
✗ 466 UAB (7432 Md.8)
✗ 469 TÜBİTAK (278 s.K.)
→ YİAKV E.11 = Tümünün toplamı
DÜŞÜLEBILIR (Karıştırılmasın):
✓ 283 Ar-Ge (5746) → D.10 | ✓ 455 Tasarım → D.10 | ✓ 413 GSF → D.11</t>
  </si>
  <si>
    <t>KVK Md.32/C | GİB Rehberi No:607 | No:606</t>
  </si>
  <si>
    <t>N5</t>
  </si>
  <si>
    <t>49 No.lu Tebliğ + YMM Tasdik Dil Standardı</t>
  </si>
  <si>
    <t>KULLANIN:
'...278 sayılı Türkiye Bilimsel ve Teknolojik Araştırma Kurumu ile İlgili
Bazı Düzenlemeler Hakkında Kanun kapsamında TÜBİTAK'a [Bağış Tarihi]
tarihinde banka yoluyla ödenen [Nakdi TL] TL nakdi bağış ile [Ayni TL] TL
maliyet bedelindeki ayni bağışın tamamı olan [Toplam TL] TL, kurumlar
vergisi matrahından indirilmiştir. Söz konusu tutar YİAKV matrahından
indirilmemiştir.'
KULLANMAYIN:
'...TÜBİTAK'tan alınan Ar-Ge desteği 469 kapsamında matrahtan çıkarılmıştır.'
  (Alınan destek ≠ Yapılan bağış — tamamen farklı mekanizma)
'...469 YİAKV matrahından düşülmüştür.' (YANLIŞ)
'...Matrahı aşan kısım devredilmiştir.' (Devredilmez!)
KRİTİK RİSKLER:
(1) TÜBİTAK'tan alınan desteği 469 kapsamında göstermek.
(2) TÜBİTAK dışı alıcıya yapılan Ar-Ge bağışını 469'a dahil etmek.
(3) TÜBİTAK makbuzu olmadan 469 uygulamak.
(4) Matrahı aşan kısmı devretmeye çalışmak.</t>
  </si>
  <si>
    <t>49 No.lu Tebliğ | 278 s.K. | SM-SMMM-YMM K. Md.12</t>
  </si>
  <si>
    <t xml:space="preserve">  GİB KV BEYAN REHBERİ MART 2026 (No:606) KAPANIŞ (469): 278 s.K. — TÜBİTAK'a yapılan bağış/yardımların tamamı. TÜBİTAK'tan ALINAN destekle karıştırılmamalı — tamamen farklı mekanizma. TÜBİTAK makbuzu zorunlu. Ayni bağışta maliyet değeri + KDV istisnası. Matrahı aşan devredilmez. ✗ YİAKV E.11. YMM: SM-SMMM-YMM K. Md.12.</t>
  </si>
  <si>
    <t>469 – TÜBİTAK BAĞIŞLARI 278 SAYILI KANUN | BELGE LİSTESİ | YMM TASDİK</t>
  </si>
  <si>
    <t>TÜBİTAK Makbuzu | Banka Dekontu | Teslim Tutanağı | Değerleme | YİAKV E.11</t>
  </si>
  <si>
    <t>KATEGORİ 1 — ZORUNLU BELGELER</t>
  </si>
  <si>
    <t>No</t>
  </si>
  <si>
    <t>Temin</t>
  </si>
  <si>
    <t>1</t>
  </si>
  <si>
    <t>★ TÜBİTAK Resmi Bağış Makbuzu / Kabul Belgesi</t>
  </si>
  <si>
    <t>TÜBİTAK tarafından düzenlenen resmi makbuz veya bağış kabul yazısı. Tutar, tarih ve bağış türü belirtilmeli. Bu belge olmadan 469 indirimi belgelenemez.</t>
  </si>
  <si>
    <t>2</t>
  </si>
  <si>
    <t>★ Nakdi Bağış — Banka EFT/Havale Dekontu</t>
  </si>
  <si>
    <t>TÜBİTAK'ın banka hesabına yapılan nakdi ödemenin dekont belgesi. Her ödeme için ayrı dekont.</t>
  </si>
  <si>
    <t>Banka / Şirket hesabı</t>
  </si>
  <si>
    <t>3</t>
  </si>
  <si>
    <t>Ayni Bağış — Teslim-Tesellüm Tutanağı + Maliyet/Değerleme Notu</t>
  </si>
  <si>
    <t>Bilimsel cihaz/ekipman bağışı için imzalı teslim tutanağı. Maliyet veya net defter değeri notu. KDV hesaplanmaz (KDVK Md.17/2-b).</t>
  </si>
  <si>
    <t>Teslim sırasında düzenlenir</t>
  </si>
  <si>
    <t>4</t>
  </si>
  <si>
    <t>KV Beyannamesi 469 Satırı + YİAKV E.11 Bilgi</t>
  </si>
  <si>
    <t>Beyanname 469 = D.5 tutarı. YİAKV E.11'de diğer bağış/yardım kodlarıyla birlikte bilgi satırı.</t>
  </si>
  <si>
    <t>GİB e-Beyanname + YİAKV ÇK</t>
  </si>
  <si>
    <t>5</t>
  </si>
  <si>
    <t>TÜBİTAK Proje/Program Referans Belgesi (Gerektiğinde)</t>
  </si>
  <si>
    <t>TÜBİTAK bünyesindeki fon/programa bağış yapılıyorsa o fonun TÜBİTAK bünyesinde olduğunu gösteren referans belge.</t>
  </si>
  <si>
    <t>KATEGORİ 2 — YMM TASDİK KONTROL SORULARI</t>
  </si>
  <si>
    <t>Beklenen Sonuç</t>
  </si>
  <si>
    <t>YMM Aksiyonu</t>
  </si>
  <si>
    <t>S1</t>
  </si>
  <si>
    <t>★ Bağış TÜBİTAK'a / 278 s.K. kapsamında mı?</t>
  </si>
  <si>
    <t>Alıcı ve kapsam belgeli.</t>
  </si>
  <si>
    <t>YMM kontrolü</t>
  </si>
  <si>
    <t>S2</t>
  </si>
  <si>
    <t>★ Bağış fiilen yapıldı mı? (Banka / teslim)</t>
  </si>
  <si>
    <t>Taahhüt değil — fiili ödeme.</t>
  </si>
  <si>
    <t>S3</t>
  </si>
  <si>
    <t>Makbuz zorunlu.</t>
  </si>
  <si>
    <t>S4</t>
  </si>
  <si>
    <t>★ TÜBİTAK'tan ALINAN destek ile karıştırılmadı mı?</t>
  </si>
  <si>
    <t>Bağış (gider) ≠ Destek (gelir).</t>
  </si>
  <si>
    <t>S5</t>
  </si>
  <si>
    <t>Ayni bağış varsa maliyet değeri ve KDV istisnası doğru mu?</t>
  </si>
  <si>
    <t>Maliyet esas, KDV yok.</t>
  </si>
  <si>
    <t>S6</t>
  </si>
  <si>
    <t>★ İndirim matrahı aşıyor mu? (Devredilmez!)</t>
  </si>
  <si>
    <t>S7</t>
  </si>
  <si>
    <t>C tablosu toplamı D.5 ile mutabık mı?</t>
  </si>
  <si>
    <t>F45 = D.5 eşitliği.</t>
  </si>
  <si>
    <t>S8</t>
  </si>
  <si>
    <t>✗ YİAKV E.11'de bilgi satırı var mı?</t>
  </si>
  <si>
    <t>S9</t>
  </si>
  <si>
    <t>Beyanname 469 'Kazancın Bulunması Halinde'?</t>
  </si>
  <si>
    <t>S10</t>
  </si>
  <si>
    <t>YMM Tasdik Raporu değerlendirildi mi?</t>
  </si>
  <si>
    <t>&gt;=500.000 TL → Rapor.</t>
  </si>
  <si>
    <t xml:space="preserve">  GİB KV BEYAN REHBERİ MART 2026 (No:606) | 469 TÜBİTAK BAĞIŞI SON NOT:
  278 s.K. — TÜBİTAK'a yapılan bağış/yardımların tamamı (beyanname 469).
  TÜBİTAK'tan ALINAN destek ile karıştırılmamalı — tamamen farklı mekanizma.
  TÜBİTAK resmi makbuzu zorunludur. Ayni bağışta KDV istisnası uygulanır.
  Matrahı aşan kısım devredilemez. ✗ YİAKV E.11 (tüm bağış kodlarıyla birlikte).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</si>
</sst>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0D3B6E"/>
      <name val="Arial"/>
    </font>
    <font>
      <b/>
      <sz val="10"/>
      <color rgb="FF0D3B6E"/>
      <name val="Arial"/>
    </font>
    <font>
      <sz val="9"/>
      <color rgb="FF1F3864"/>
      <name val="Arial"/>
    </font>
    <font>
      <b/>
      <sz val="9"/>
      <color rgb="FF0D3B6E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8EEF7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4DCF0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D3B6E"/>
      </left>
      <right style="thin">
        <color rgb="FF0D3B6E"/>
      </right>
      <top style="thin">
        <color rgb="FF0D3B6E"/>
      </top>
      <bottom style="thin">
        <color rgb="FF0D3B6E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23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4" fillId="9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8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26" fillId="17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26" fillId="12" borderId="4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16" fillId="14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CD6B99-984A-4C2C-AE80-F3F5AAEE7E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955e6a9-d8a7-4e7b-8127-7aedccf07e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83"/>
      <c r="C1" s="83"/>
      <c r="D1" s="83"/>
      <c r="E1" s="83"/>
      <c r="F1" s="83"/>
      <c r="G1" s="84"/>
    </row>
    <row r="2" spans="1:7" ht="22" customHeight="1" x14ac:dyDescent="0.55000000000000004">
      <c r="A2" s="95" t="s">
        <v>1</v>
      </c>
      <c r="B2" s="83"/>
      <c r="C2" s="83"/>
      <c r="D2" s="83"/>
      <c r="E2" s="83"/>
      <c r="F2" s="83"/>
      <c r="G2" s="84"/>
    </row>
    <row r="3" spans="1:7" ht="40" customHeight="1" x14ac:dyDescent="0.55000000000000004">
      <c r="A3" s="88" t="s">
        <v>2</v>
      </c>
      <c r="B3" s="65"/>
      <c r="C3" s="65"/>
      <c r="D3" s="65"/>
      <c r="E3" s="65"/>
      <c r="F3" s="65"/>
      <c r="G3" s="62"/>
    </row>
    <row r="4" spans="1:7" ht="26.05" customHeight="1" x14ac:dyDescent="0.55000000000000004">
      <c r="A4" s="92" t="s">
        <v>3</v>
      </c>
      <c r="B4" s="65"/>
      <c r="C4" s="65"/>
      <c r="D4" s="65"/>
      <c r="E4" s="65"/>
      <c r="F4" s="65"/>
      <c r="G4" s="62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4" t="s">
        <v>4</v>
      </c>
      <c r="B6" s="83"/>
      <c r="C6" s="83"/>
      <c r="D6" s="83"/>
      <c r="E6" s="83"/>
      <c r="F6" s="83"/>
      <c r="G6" s="84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0" t="s">
        <v>8</v>
      </c>
      <c r="B8" s="65"/>
      <c r="C8" s="65"/>
      <c r="D8" s="62"/>
      <c r="E8" s="3" t="s">
        <v>9</v>
      </c>
      <c r="F8" s="86" t="s">
        <v>10</v>
      </c>
      <c r="G8" s="62"/>
    </row>
    <row r="9" spans="1:7" ht="28" customHeight="1" x14ac:dyDescent="0.55000000000000004">
      <c r="A9" s="80" t="s">
        <v>11</v>
      </c>
      <c r="B9" s="65"/>
      <c r="C9" s="65"/>
      <c r="D9" s="62"/>
      <c r="E9" s="3" t="s">
        <v>9</v>
      </c>
      <c r="F9" s="86" t="s">
        <v>12</v>
      </c>
      <c r="G9" s="62"/>
    </row>
    <row r="10" spans="1:7" ht="28" customHeight="1" x14ac:dyDescent="0.55000000000000004">
      <c r="A10" s="71" t="s">
        <v>13</v>
      </c>
      <c r="B10" s="65"/>
      <c r="C10" s="65"/>
      <c r="D10" s="62"/>
      <c r="E10" s="3" t="s">
        <v>9</v>
      </c>
      <c r="F10" s="75" t="s">
        <v>14</v>
      </c>
      <c r="G10" s="62"/>
    </row>
    <row r="11" spans="1:7" ht="28" customHeight="1" x14ac:dyDescent="0.55000000000000004">
      <c r="A11" s="80" t="s">
        <v>15</v>
      </c>
      <c r="B11" s="65"/>
      <c r="C11" s="65"/>
      <c r="D11" s="62"/>
      <c r="E11" s="3" t="s">
        <v>16</v>
      </c>
      <c r="F11" s="86" t="s">
        <v>17</v>
      </c>
      <c r="G11" s="62"/>
    </row>
    <row r="12" spans="1:7" ht="28" customHeight="1" x14ac:dyDescent="0.55000000000000004">
      <c r="A12" s="71" t="s">
        <v>18</v>
      </c>
      <c r="B12" s="65"/>
      <c r="C12" s="65"/>
      <c r="D12" s="62"/>
      <c r="E12" s="3" t="s">
        <v>9</v>
      </c>
      <c r="F12" s="75" t="s">
        <v>19</v>
      </c>
      <c r="G12" s="62"/>
    </row>
    <row r="13" spans="1:7" ht="28" customHeight="1" x14ac:dyDescent="0.55000000000000004">
      <c r="A13" s="63" t="s">
        <v>20</v>
      </c>
      <c r="B13" s="65"/>
      <c r="C13" s="65"/>
      <c r="D13" s="62"/>
      <c r="E13" s="3" t="s">
        <v>9</v>
      </c>
      <c r="F13" s="69" t="s">
        <v>21</v>
      </c>
      <c r="G13" s="62"/>
    </row>
    <row r="14" spans="1:7" ht="24" customHeight="1" x14ac:dyDescent="0.55000000000000004">
      <c r="A14" s="98" t="s">
        <v>22</v>
      </c>
      <c r="B14" s="65"/>
      <c r="C14" s="65"/>
      <c r="D14" s="62"/>
      <c r="E14" s="4" t="str">
        <f>IF(AND(E8="EVET",E9="EVET",E10="EVET"),"OK - Hesaplanabilir","HATA - Ön koşul eksik")</f>
        <v>OK - Hesaplanabilir</v>
      </c>
      <c r="F14" s="96" t="s">
        <v>23</v>
      </c>
      <c r="G14" s="62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82" t="s">
        <v>24</v>
      </c>
      <c r="B16" s="83"/>
      <c r="C16" s="83"/>
      <c r="D16" s="83"/>
      <c r="E16" s="83"/>
      <c r="F16" s="83"/>
      <c r="G16" s="84"/>
    </row>
    <row r="17" spans="1:7" ht="22" customHeight="1" x14ac:dyDescent="0.55000000000000004">
      <c r="A17" s="63" t="s">
        <v>25</v>
      </c>
      <c r="B17" s="62"/>
      <c r="C17" s="64"/>
      <c r="D17" s="65"/>
      <c r="E17" s="62"/>
      <c r="F17" s="66" t="s">
        <v>26</v>
      </c>
      <c r="G17" s="62"/>
    </row>
    <row r="18" spans="1:7" ht="22" customHeight="1" x14ac:dyDescent="0.55000000000000004">
      <c r="A18" s="71" t="s">
        <v>27</v>
      </c>
      <c r="B18" s="62"/>
      <c r="C18" s="64"/>
      <c r="D18" s="65"/>
      <c r="E18" s="62"/>
      <c r="F18" s="77" t="s">
        <v>28</v>
      </c>
      <c r="G18" s="62"/>
    </row>
    <row r="19" spans="1:7" ht="22" customHeight="1" x14ac:dyDescent="0.55000000000000004">
      <c r="A19" s="63" t="s">
        <v>29</v>
      </c>
      <c r="B19" s="62"/>
      <c r="C19" s="64"/>
      <c r="D19" s="65"/>
      <c r="E19" s="62"/>
      <c r="F19" s="66" t="s">
        <v>30</v>
      </c>
      <c r="G19" s="62"/>
    </row>
    <row r="20" spans="1:7" ht="22" customHeight="1" x14ac:dyDescent="0.55000000000000004">
      <c r="A20" s="71" t="s">
        <v>31</v>
      </c>
      <c r="B20" s="62"/>
      <c r="C20" s="64"/>
      <c r="D20" s="65"/>
      <c r="E20" s="62"/>
      <c r="F20" s="77" t="s">
        <v>32</v>
      </c>
      <c r="G20" s="62"/>
    </row>
    <row r="21" spans="1:7" ht="22" customHeight="1" x14ac:dyDescent="0.55000000000000004">
      <c r="A21" s="63" t="s">
        <v>33</v>
      </c>
      <c r="B21" s="62"/>
      <c r="C21" s="64"/>
      <c r="D21" s="65"/>
      <c r="E21" s="62"/>
      <c r="F21" s="66" t="s">
        <v>34</v>
      </c>
      <c r="G21" s="62"/>
    </row>
    <row r="22" spans="1:7" ht="22" customHeight="1" x14ac:dyDescent="0.55000000000000004">
      <c r="A22" s="71" t="s">
        <v>35</v>
      </c>
      <c r="B22" s="62"/>
      <c r="C22" s="64"/>
      <c r="D22" s="65"/>
      <c r="E22" s="62"/>
      <c r="F22" s="77" t="s">
        <v>36</v>
      </c>
      <c r="G22" s="62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82" t="s">
        <v>37</v>
      </c>
      <c r="B25" s="83"/>
      <c r="C25" s="83"/>
      <c r="D25" s="83"/>
      <c r="E25" s="83"/>
      <c r="F25" s="83"/>
      <c r="G25" s="84"/>
    </row>
    <row r="26" spans="1:7" ht="18" customHeight="1" x14ac:dyDescent="0.55000000000000004">
      <c r="A26" s="2"/>
      <c r="B26" s="2" t="s">
        <v>38</v>
      </c>
      <c r="C26" s="2"/>
      <c r="D26" s="2" t="s">
        <v>39</v>
      </c>
      <c r="E26" s="2"/>
      <c r="F26" s="2" t="s">
        <v>40</v>
      </c>
      <c r="G26" s="2" t="s">
        <v>41</v>
      </c>
    </row>
    <row r="27" spans="1:7" ht="26.05" customHeight="1" x14ac:dyDescent="0.55000000000000004">
      <c r="A27" s="63" t="s">
        <v>42</v>
      </c>
      <c r="B27" s="62"/>
      <c r="C27" s="3" t="s">
        <v>43</v>
      </c>
      <c r="D27" s="66" t="s">
        <v>44</v>
      </c>
      <c r="E27" s="62"/>
      <c r="F27" s="61" t="s">
        <v>45</v>
      </c>
      <c r="G27" s="62"/>
    </row>
    <row r="28" spans="1:7" ht="26.05" customHeight="1" x14ac:dyDescent="0.55000000000000004">
      <c r="A28" s="71" t="s">
        <v>46</v>
      </c>
      <c r="B28" s="62"/>
      <c r="C28" s="3" t="s">
        <v>47</v>
      </c>
      <c r="D28" s="77" t="s">
        <v>48</v>
      </c>
      <c r="E28" s="62"/>
      <c r="F28" s="78" t="s">
        <v>49</v>
      </c>
      <c r="G28" s="62"/>
    </row>
    <row r="29" spans="1:7" ht="26.05" customHeight="1" x14ac:dyDescent="0.55000000000000004">
      <c r="A29" s="63" t="s">
        <v>50</v>
      </c>
      <c r="B29" s="62"/>
      <c r="C29" s="5"/>
      <c r="D29" s="66" t="s">
        <v>51</v>
      </c>
      <c r="E29" s="62"/>
      <c r="F29" s="61" t="s">
        <v>52</v>
      </c>
      <c r="G29" s="62"/>
    </row>
    <row r="30" spans="1:7" ht="26.05" customHeight="1" x14ac:dyDescent="0.55000000000000004">
      <c r="A30" s="71" t="s">
        <v>53</v>
      </c>
      <c r="B30" s="62"/>
      <c r="C30" s="5"/>
      <c r="D30" s="77" t="s">
        <v>54</v>
      </c>
      <c r="E30" s="62"/>
      <c r="F30" s="78" t="s">
        <v>55</v>
      </c>
      <c r="G30" s="62"/>
    </row>
    <row r="31" spans="1:7" ht="26.05" customHeight="1" x14ac:dyDescent="0.55000000000000004">
      <c r="A31" s="68" t="s">
        <v>56</v>
      </c>
      <c r="B31" s="62"/>
      <c r="C31" s="5"/>
      <c r="D31" s="66" t="s">
        <v>57</v>
      </c>
      <c r="E31" s="62"/>
      <c r="F31" s="61" t="s">
        <v>58</v>
      </c>
      <c r="G31" s="62"/>
    </row>
    <row r="32" spans="1:7" ht="26.05" customHeight="1" x14ac:dyDescent="0.55000000000000004">
      <c r="A32" s="71" t="s">
        <v>59</v>
      </c>
      <c r="B32" s="62"/>
      <c r="C32" s="5"/>
      <c r="D32" s="77" t="s">
        <v>60</v>
      </c>
      <c r="E32" s="62"/>
      <c r="F32" s="78" t="s">
        <v>61</v>
      </c>
      <c r="G32" s="62"/>
    </row>
    <row r="33" spans="1:7" ht="26.05" customHeight="1" x14ac:dyDescent="0.55000000000000004">
      <c r="A33" s="68" t="s">
        <v>62</v>
      </c>
      <c r="B33" s="62"/>
      <c r="C33" s="6">
        <f>C31+C32</f>
        <v>0</v>
      </c>
      <c r="D33" s="66" t="s">
        <v>63</v>
      </c>
      <c r="E33" s="62"/>
      <c r="F33" s="61" t="s">
        <v>64</v>
      </c>
      <c r="G33" s="62"/>
    </row>
    <row r="34" spans="1:7" ht="26.05" customHeight="1" x14ac:dyDescent="0.55000000000000004">
      <c r="A34" s="90" t="s">
        <v>65</v>
      </c>
      <c r="B34" s="62"/>
      <c r="C34" s="5"/>
      <c r="D34" s="77" t="s">
        <v>66</v>
      </c>
      <c r="E34" s="62"/>
      <c r="F34" s="78" t="s">
        <v>67</v>
      </c>
      <c r="G34" s="62"/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4" customHeight="1" x14ac:dyDescent="0.55000000000000004">
      <c r="A36" s="82" t="s">
        <v>68</v>
      </c>
      <c r="B36" s="83"/>
      <c r="C36" s="83"/>
      <c r="D36" s="83"/>
      <c r="E36" s="83"/>
      <c r="F36" s="83"/>
      <c r="G36" s="84"/>
    </row>
    <row r="37" spans="1:7" ht="22" customHeight="1" x14ac:dyDescent="0.55000000000000004">
      <c r="A37" s="73" t="s">
        <v>69</v>
      </c>
      <c r="B37" s="65"/>
      <c r="C37" s="65"/>
      <c r="D37" s="65"/>
      <c r="E37" s="65"/>
      <c r="F37" s="65"/>
      <c r="G37" s="62"/>
    </row>
    <row r="38" spans="1:7" ht="18" customHeight="1" x14ac:dyDescent="0.55000000000000004">
      <c r="A38" s="7" t="s">
        <v>70</v>
      </c>
      <c r="B38" s="7" t="s">
        <v>71</v>
      </c>
      <c r="C38" s="7" t="s">
        <v>72</v>
      </c>
      <c r="D38" s="7" t="s">
        <v>73</v>
      </c>
      <c r="E38" s="7" t="s">
        <v>74</v>
      </c>
      <c r="F38" s="7" t="s">
        <v>75</v>
      </c>
      <c r="G38" s="7" t="s">
        <v>76</v>
      </c>
    </row>
    <row r="39" spans="1:7" ht="26.05" customHeight="1" x14ac:dyDescent="0.55000000000000004">
      <c r="A39" s="8"/>
      <c r="B39" s="9"/>
      <c r="C39" s="10"/>
      <c r="D39" s="10"/>
      <c r="E39" s="11">
        <f t="shared" ref="E39:E44" si="0">IF(OR(C39&gt;0,D39&gt;0),C39+D39,0)</f>
        <v>0</v>
      </c>
      <c r="F39" s="12">
        <f t="shared" ref="F39:F44" si="1">E39</f>
        <v>0</v>
      </c>
      <c r="G39" s="13"/>
    </row>
    <row r="40" spans="1:7" ht="26.05" customHeight="1" x14ac:dyDescent="0.55000000000000004">
      <c r="A40" s="8"/>
      <c r="B40" s="9"/>
      <c r="C40" s="10"/>
      <c r="D40" s="10"/>
      <c r="E40" s="14">
        <f t="shared" si="0"/>
        <v>0</v>
      </c>
      <c r="F40" s="12">
        <f t="shared" si="1"/>
        <v>0</v>
      </c>
      <c r="G40" s="13"/>
    </row>
    <row r="41" spans="1:7" ht="26.05" customHeight="1" x14ac:dyDescent="0.55000000000000004">
      <c r="A41" s="8"/>
      <c r="B41" s="9"/>
      <c r="C41" s="10"/>
      <c r="D41" s="10"/>
      <c r="E41" s="11">
        <f t="shared" si="0"/>
        <v>0</v>
      </c>
      <c r="F41" s="12">
        <f t="shared" si="1"/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30" customHeight="1" x14ac:dyDescent="0.55000000000000004">
      <c r="A45" s="79" t="s">
        <v>77</v>
      </c>
      <c r="B45" s="62"/>
      <c r="C45" s="15">
        <f>SUM(C39:C44)</f>
        <v>0</v>
      </c>
      <c r="D45" s="15">
        <f>SUM(D39:D44)</f>
        <v>0</v>
      </c>
      <c r="E45" s="16">
        <f>SUM(E39:E44)</f>
        <v>0</v>
      </c>
      <c r="F45" s="17">
        <f>SUM(F39:F44)</f>
        <v>0</v>
      </c>
      <c r="G45" s="91" t="s">
        <v>78</v>
      </c>
    </row>
    <row r="46" spans="1:7" ht="5.05" customHeight="1" x14ac:dyDescent="0.55000000000000004">
      <c r="A46" s="1"/>
      <c r="B46" s="1"/>
      <c r="C46" s="1"/>
      <c r="D46" s="1"/>
      <c r="E46" s="1"/>
      <c r="F46" s="1"/>
      <c r="G46" s="1"/>
    </row>
    <row r="47" spans="1:7" ht="24" customHeight="1" x14ac:dyDescent="0.55000000000000004">
      <c r="A47" s="82" t="s">
        <v>79</v>
      </c>
      <c r="B47" s="83"/>
      <c r="C47" s="83"/>
      <c r="D47" s="83"/>
      <c r="E47" s="83"/>
      <c r="F47" s="83"/>
      <c r="G47" s="84"/>
    </row>
    <row r="48" spans="1:7" ht="18" customHeight="1" x14ac:dyDescent="0.55000000000000004">
      <c r="A48" s="2"/>
      <c r="B48" s="2" t="s">
        <v>80</v>
      </c>
      <c r="C48" s="2"/>
      <c r="D48" s="2" t="s">
        <v>81</v>
      </c>
      <c r="E48" s="2"/>
      <c r="F48" s="2" t="s">
        <v>40</v>
      </c>
      <c r="G48" s="2" t="s">
        <v>82</v>
      </c>
    </row>
    <row r="49" spans="1:7" ht="28" customHeight="1" x14ac:dyDescent="0.55000000000000004">
      <c r="A49" s="63" t="s">
        <v>83</v>
      </c>
      <c r="B49" s="62"/>
      <c r="C49" s="18">
        <f>C45</f>
        <v>0</v>
      </c>
      <c r="D49" s="66" t="s">
        <v>84</v>
      </c>
      <c r="E49" s="62"/>
      <c r="F49" s="69"/>
      <c r="G49" s="62"/>
    </row>
    <row r="50" spans="1:7" ht="28" customHeight="1" x14ac:dyDescent="0.55000000000000004">
      <c r="A50" s="71" t="s">
        <v>85</v>
      </c>
      <c r="B50" s="62"/>
      <c r="C50" s="18">
        <f>D45</f>
        <v>0</v>
      </c>
      <c r="D50" s="77" t="s">
        <v>86</v>
      </c>
      <c r="E50" s="62"/>
      <c r="F50" s="75"/>
      <c r="G50" s="62"/>
    </row>
    <row r="51" spans="1:7" ht="28" customHeight="1" x14ac:dyDescent="0.55000000000000004">
      <c r="A51" s="63" t="s">
        <v>87</v>
      </c>
      <c r="B51" s="62"/>
      <c r="C51" s="18">
        <f>E45</f>
        <v>0</v>
      </c>
      <c r="D51" s="66" t="s">
        <v>88</v>
      </c>
      <c r="E51" s="62"/>
      <c r="F51" s="69"/>
      <c r="G51" s="62"/>
    </row>
    <row r="52" spans="1:7" ht="28" customHeight="1" x14ac:dyDescent="0.55000000000000004">
      <c r="A52" s="87" t="s">
        <v>89</v>
      </c>
      <c r="B52" s="62"/>
      <c r="C52" s="19" t="s">
        <v>90</v>
      </c>
      <c r="D52" s="93" t="s">
        <v>91</v>
      </c>
      <c r="E52" s="62"/>
      <c r="F52" s="99" t="s">
        <v>92</v>
      </c>
      <c r="G52" s="62"/>
    </row>
    <row r="53" spans="1:7" ht="28" customHeight="1" x14ac:dyDescent="0.55000000000000004">
      <c r="A53" s="72" t="s">
        <v>93</v>
      </c>
      <c r="B53" s="62"/>
      <c r="C53" s="20">
        <f>F45</f>
        <v>0</v>
      </c>
      <c r="D53" s="81" t="s">
        <v>94</v>
      </c>
      <c r="E53" s="62"/>
      <c r="F53" s="100" t="s">
        <v>92</v>
      </c>
      <c r="G53" s="62"/>
    </row>
    <row r="54" spans="1:7" ht="28" customHeight="1" x14ac:dyDescent="0.55000000000000004">
      <c r="A54" s="67" t="s">
        <v>95</v>
      </c>
      <c r="B54" s="62"/>
      <c r="C54" s="21" t="s">
        <v>96</v>
      </c>
      <c r="D54" s="97" t="s">
        <v>97</v>
      </c>
      <c r="E54" s="62"/>
      <c r="F54" s="76" t="s">
        <v>98</v>
      </c>
      <c r="G54" s="62"/>
    </row>
    <row r="55" spans="1:7" ht="5.05" customHeight="1" x14ac:dyDescent="0.55000000000000004">
      <c r="A55" s="1"/>
      <c r="B55" s="1"/>
      <c r="C55" s="1"/>
      <c r="D55" s="1"/>
      <c r="E55" s="1"/>
      <c r="F55" s="1"/>
      <c r="G55" s="1"/>
    </row>
    <row r="56" spans="1:7" ht="32.049999999999997" customHeight="1" x14ac:dyDescent="0.55000000000000004">
      <c r="A56" s="74" t="s">
        <v>99</v>
      </c>
      <c r="B56" s="65"/>
      <c r="C56" s="65"/>
      <c r="D56" s="62"/>
      <c r="E56" s="22">
        <f>C53</f>
        <v>0</v>
      </c>
      <c r="F56" s="70" t="s">
        <v>100</v>
      </c>
      <c r="G56" s="62"/>
    </row>
    <row r="57" spans="1:7" ht="30" customHeight="1" x14ac:dyDescent="0.55000000000000004">
      <c r="A57" s="89" t="s">
        <v>101</v>
      </c>
      <c r="B57" s="65"/>
      <c r="C57" s="65"/>
      <c r="D57" s="65"/>
      <c r="E57" s="65"/>
      <c r="F57" s="65"/>
      <c r="G57" s="62"/>
    </row>
  </sheetData>
  <mergeCells count="89">
    <mergeCell ref="A57:G57"/>
    <mergeCell ref="A34:B34"/>
    <mergeCell ref="G45"/>
    <mergeCell ref="A8:D8"/>
    <mergeCell ref="A49:B49"/>
    <mergeCell ref="A10:D10"/>
    <mergeCell ref="F21:G21"/>
    <mergeCell ref="D52:E52"/>
    <mergeCell ref="D49:E49"/>
    <mergeCell ref="D27:E27"/>
    <mergeCell ref="F50:G50"/>
    <mergeCell ref="F8:G8"/>
    <mergeCell ref="A21:B21"/>
    <mergeCell ref="A32:B32"/>
    <mergeCell ref="D28:E28"/>
    <mergeCell ref="A16:G16"/>
    <mergeCell ref="A1:G1"/>
    <mergeCell ref="F31:G31"/>
    <mergeCell ref="F28:G28"/>
    <mergeCell ref="F9:G9"/>
    <mergeCell ref="A52:B52"/>
    <mergeCell ref="A3:G3"/>
    <mergeCell ref="D29:E29"/>
    <mergeCell ref="A4:G4"/>
    <mergeCell ref="A6:G6"/>
    <mergeCell ref="F22:G22"/>
    <mergeCell ref="A25:G25"/>
    <mergeCell ref="D30:E30"/>
    <mergeCell ref="A12:D12"/>
    <mergeCell ref="F49:G49"/>
    <mergeCell ref="A2:G2"/>
    <mergeCell ref="F14:G14"/>
    <mergeCell ref="A9:D9"/>
    <mergeCell ref="F30:G30"/>
    <mergeCell ref="F20:G20"/>
    <mergeCell ref="F18:G18"/>
    <mergeCell ref="F33:G33"/>
    <mergeCell ref="A11:D11"/>
    <mergeCell ref="F17:G17"/>
    <mergeCell ref="A14:D14"/>
    <mergeCell ref="F11:G11"/>
    <mergeCell ref="F12:G12"/>
    <mergeCell ref="C17:E17"/>
    <mergeCell ref="D32:E32"/>
    <mergeCell ref="F32:G32"/>
    <mergeCell ref="A18:B18"/>
    <mergeCell ref="C19:E19"/>
    <mergeCell ref="F27:G27"/>
    <mergeCell ref="F10:G10"/>
    <mergeCell ref="F54:G54"/>
    <mergeCell ref="D34:E34"/>
    <mergeCell ref="F19:G19"/>
    <mergeCell ref="C22:E22"/>
    <mergeCell ref="F34:G34"/>
    <mergeCell ref="D53:E53"/>
    <mergeCell ref="A36:G36"/>
    <mergeCell ref="D54:E54"/>
    <mergeCell ref="A47:G47"/>
    <mergeCell ref="F51:G51"/>
    <mergeCell ref="A50:B50"/>
    <mergeCell ref="F52:G52"/>
    <mergeCell ref="A20:B20"/>
    <mergeCell ref="A29:B29"/>
    <mergeCell ref="D50:E50"/>
    <mergeCell ref="F56:G56"/>
    <mergeCell ref="A22:B22"/>
    <mergeCell ref="A53:B53"/>
    <mergeCell ref="A37:G37"/>
    <mergeCell ref="A56:D56"/>
    <mergeCell ref="D33:E33"/>
    <mergeCell ref="D51:E51"/>
    <mergeCell ref="A28:B28"/>
    <mergeCell ref="A30:B30"/>
    <mergeCell ref="A45:B45"/>
    <mergeCell ref="A31:B31"/>
    <mergeCell ref="F53:G53"/>
    <mergeCell ref="A54:B54"/>
    <mergeCell ref="A27:B27"/>
    <mergeCell ref="A33:B33"/>
    <mergeCell ref="C18:E18"/>
    <mergeCell ref="F13:G13"/>
    <mergeCell ref="A17:B17"/>
    <mergeCell ref="A19:B19"/>
    <mergeCell ref="C20:E20"/>
    <mergeCell ref="F29:G29"/>
    <mergeCell ref="A51:B51"/>
    <mergeCell ref="C21:E21"/>
    <mergeCell ref="D31:E31"/>
    <mergeCell ref="A13:D13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8">
    <dataValidation type="list" sqref="E8" xr:uid="{00000000-0002-0000-0000-000000000000}">
      <formula1>"EVET,HAYIR-Farklı Alıcı"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 — Karıştırılmadı,HAYIR — Karışıklık Var"</formula1>
    </dataValidation>
    <dataValidation type="list" sqref="E12" xr:uid="{00000000-0002-0000-0000-000004000000}">
      <formula1>"EVET,HAYIR-Eksik"</formula1>
    </dataValidation>
    <dataValidation type="list" sqref="E13" xr:uid="{00000000-0002-0000-0000-000005000000}">
      <formula1>"EVET,Tam Tasdik"</formula1>
    </dataValidation>
    <dataValidation type="list" sqref="C27" xr:uid="{00000000-0002-0000-0000-000006000000}">
      <formula1>"Nakdi (Banka Transferi/EFT/Havale),Ayni (Cihaz/Ekipman/Malzeme),Karma (Nakdi + Ayni)"</formula1>
    </dataValidation>
    <dataValidation type="list" sqref="C28" xr:uid="{00000000-0002-0000-0000-000007000000}">
      <formula1>"TÜBİTAK (Doğrudan),TÜBİTAK Bünyesindeki Fon/Program,TÜBİTAK Koordinasyonundaki Ar-Ge Projesi,Diğer 278 s.K. Kapsamı"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7" t="s">
        <v>102</v>
      </c>
      <c r="B1" s="83"/>
      <c r="C1" s="83"/>
      <c r="D1" s="83"/>
      <c r="E1" s="83"/>
      <c r="F1" s="83"/>
      <c r="G1" s="84"/>
    </row>
    <row r="2" spans="1:7" ht="20.05" customHeight="1" x14ac:dyDescent="0.55000000000000004">
      <c r="A2" s="113" t="s">
        <v>103</v>
      </c>
      <c r="B2" s="65"/>
      <c r="C2" s="65"/>
      <c r="D2" s="65"/>
      <c r="E2" s="65"/>
      <c r="F2" s="65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3" t="s">
        <v>104</v>
      </c>
      <c r="B4" s="83"/>
      <c r="C4" s="83"/>
      <c r="D4" s="83"/>
      <c r="E4" s="83"/>
      <c r="F4" s="83"/>
      <c r="G4" s="84"/>
    </row>
    <row r="5" spans="1:7" ht="22" customHeight="1" x14ac:dyDescent="0.55000000000000004">
      <c r="A5" s="105" t="s">
        <v>105</v>
      </c>
      <c r="B5" s="65"/>
      <c r="C5" s="62"/>
      <c r="D5" s="23" t="str">
        <f>'VERİ GİRİŞİ'!E14</f>
        <v>OK - Hesaplanabilir</v>
      </c>
      <c r="E5" s="69" t="s">
        <v>106</v>
      </c>
      <c r="F5" s="65"/>
      <c r="G5" s="62"/>
    </row>
    <row r="6" spans="1:7" ht="22" customHeight="1" x14ac:dyDescent="0.55000000000000004">
      <c r="A6" s="111" t="s">
        <v>107</v>
      </c>
      <c r="B6" s="65"/>
      <c r="C6" s="62"/>
      <c r="D6" s="23" t="str">
        <f>'VERİ GİRİŞİ'!C28</f>
        <v>TÜBİTAK (Doğrudan)</v>
      </c>
      <c r="E6" s="75" t="s">
        <v>108</v>
      </c>
      <c r="F6" s="65"/>
      <c r="G6" s="62"/>
    </row>
    <row r="7" spans="1:7" ht="22" customHeight="1" x14ac:dyDescent="0.55000000000000004">
      <c r="A7" s="105" t="s">
        <v>109</v>
      </c>
      <c r="B7" s="65"/>
      <c r="C7" s="62"/>
      <c r="D7" s="23">
        <f>'VERİ GİRİŞİ'!C49</f>
        <v>0</v>
      </c>
      <c r="E7" s="69" t="s">
        <v>110</v>
      </c>
      <c r="F7" s="65"/>
      <c r="G7" s="62"/>
    </row>
    <row r="8" spans="1:7" ht="22" customHeight="1" x14ac:dyDescent="0.55000000000000004">
      <c r="A8" s="98" t="s">
        <v>111</v>
      </c>
      <c r="B8" s="65"/>
      <c r="C8" s="62"/>
      <c r="D8" s="24">
        <f>'VERİ GİRİŞİ'!C53</f>
        <v>0</v>
      </c>
      <c r="E8" s="100"/>
      <c r="F8" s="65"/>
      <c r="G8" s="62"/>
    </row>
    <row r="9" spans="1:7" ht="22" customHeight="1" x14ac:dyDescent="0.55000000000000004">
      <c r="A9" s="109" t="s">
        <v>112</v>
      </c>
      <c r="B9" s="65"/>
      <c r="C9" s="62"/>
      <c r="D9" s="21" t="s">
        <v>113</v>
      </c>
      <c r="E9" s="76" t="s">
        <v>114</v>
      </c>
      <c r="F9" s="65"/>
      <c r="G9" s="62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82" t="s">
        <v>115</v>
      </c>
      <c r="B11" s="83"/>
      <c r="C11" s="83"/>
      <c r="D11" s="83"/>
      <c r="E11" s="83"/>
      <c r="F11" s="83"/>
      <c r="G11" s="84"/>
    </row>
    <row r="12" spans="1:7" ht="72" customHeight="1" x14ac:dyDescent="0.55000000000000004">
      <c r="A12" s="112" t="s">
        <v>116</v>
      </c>
      <c r="B12" s="65"/>
      <c r="C12" s="65"/>
      <c r="D12" s="65"/>
      <c r="E12" s="65"/>
      <c r="F12" s="65"/>
      <c r="G12" s="62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82" t="s">
        <v>117</v>
      </c>
      <c r="B14" s="83"/>
      <c r="C14" s="83"/>
      <c r="D14" s="83"/>
      <c r="E14" s="83"/>
      <c r="F14" s="83"/>
      <c r="G14" s="84"/>
    </row>
    <row r="15" spans="1:7" ht="52" customHeight="1" x14ac:dyDescent="0.55000000000000004">
      <c r="A15" s="89" t="s">
        <v>118</v>
      </c>
      <c r="B15" s="65"/>
      <c r="C15" s="65"/>
      <c r="D15" s="65"/>
      <c r="E15" s="65"/>
      <c r="F15" s="65"/>
      <c r="G15" s="62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82" t="s">
        <v>119</v>
      </c>
      <c r="B17" s="83"/>
      <c r="C17" s="83"/>
      <c r="D17" s="83"/>
      <c r="E17" s="83"/>
      <c r="F17" s="83"/>
      <c r="G17" s="84"/>
    </row>
    <row r="18" spans="1:7" ht="18" customHeight="1" x14ac:dyDescent="0.55000000000000004">
      <c r="A18" s="2"/>
      <c r="B18" s="2" t="s">
        <v>120</v>
      </c>
      <c r="C18" s="2"/>
      <c r="D18" s="2" t="s">
        <v>40</v>
      </c>
      <c r="E18" s="2"/>
      <c r="F18" s="2" t="s">
        <v>121</v>
      </c>
      <c r="G18" s="2"/>
    </row>
    <row r="19" spans="1:7" ht="20.05" customHeight="1" x14ac:dyDescent="0.55000000000000004">
      <c r="A19" s="25" t="s">
        <v>122</v>
      </c>
      <c r="B19" s="102" t="s">
        <v>123</v>
      </c>
      <c r="C19" s="62"/>
      <c r="D19" s="101" t="s">
        <v>124</v>
      </c>
      <c r="E19" s="62"/>
      <c r="F19" s="13" t="s">
        <v>125</v>
      </c>
      <c r="G19" s="28"/>
    </row>
    <row r="20" spans="1:7" ht="20.05" customHeight="1" x14ac:dyDescent="0.55000000000000004">
      <c r="A20" s="25" t="s">
        <v>126</v>
      </c>
      <c r="B20" s="102" t="s">
        <v>127</v>
      </c>
      <c r="C20" s="62"/>
      <c r="D20" s="101" t="s">
        <v>128</v>
      </c>
      <c r="E20" s="62"/>
      <c r="F20" s="13" t="s">
        <v>125</v>
      </c>
      <c r="G20" s="29"/>
    </row>
    <row r="21" spans="1:7" ht="20.05" customHeight="1" x14ac:dyDescent="0.55000000000000004">
      <c r="A21" s="25" t="s">
        <v>129</v>
      </c>
      <c r="B21" s="102" t="s">
        <v>130</v>
      </c>
      <c r="C21" s="62"/>
      <c r="D21" s="101" t="s">
        <v>131</v>
      </c>
      <c r="E21" s="62"/>
      <c r="F21" s="13" t="s">
        <v>125</v>
      </c>
      <c r="G21" s="28"/>
    </row>
    <row r="22" spans="1:7" ht="20.05" customHeight="1" x14ac:dyDescent="0.55000000000000004">
      <c r="A22" s="25" t="s">
        <v>132</v>
      </c>
      <c r="B22" s="102" t="s">
        <v>133</v>
      </c>
      <c r="C22" s="62"/>
      <c r="D22" s="101" t="s">
        <v>134</v>
      </c>
      <c r="E22" s="62"/>
      <c r="F22" s="13" t="s">
        <v>125</v>
      </c>
      <c r="G22" s="29"/>
    </row>
    <row r="23" spans="1:7" ht="20.05" customHeight="1" x14ac:dyDescent="0.55000000000000004">
      <c r="A23" s="25" t="s">
        <v>135</v>
      </c>
      <c r="B23" s="104" t="s">
        <v>136</v>
      </c>
      <c r="C23" s="62"/>
      <c r="D23" s="106" t="s">
        <v>137</v>
      </c>
      <c r="E23" s="62"/>
      <c r="F23" s="13" t="s">
        <v>125</v>
      </c>
      <c r="G23" s="28"/>
    </row>
    <row r="24" spans="1:7" ht="20.05" customHeight="1" x14ac:dyDescent="0.55000000000000004">
      <c r="A24" s="25" t="s">
        <v>138</v>
      </c>
      <c r="B24" s="108" t="s">
        <v>139</v>
      </c>
      <c r="C24" s="62"/>
      <c r="D24" s="110" t="s">
        <v>140</v>
      </c>
      <c r="E24" s="62"/>
      <c r="F24" s="13" t="s">
        <v>125</v>
      </c>
      <c r="G24" s="29"/>
    </row>
    <row r="25" spans="1:7" ht="20.05" customHeight="1" x14ac:dyDescent="0.55000000000000004">
      <c r="A25" s="25" t="s">
        <v>141</v>
      </c>
      <c r="B25" s="102" t="s">
        <v>142</v>
      </c>
      <c r="C25" s="62"/>
      <c r="D25" s="101" t="s">
        <v>143</v>
      </c>
      <c r="E25" s="62"/>
      <c r="F25" s="13" t="s">
        <v>125</v>
      </c>
      <c r="G25" s="28"/>
    </row>
    <row r="26" spans="1:7" ht="20.05" customHeight="1" x14ac:dyDescent="0.55000000000000004">
      <c r="A26" s="25" t="s">
        <v>144</v>
      </c>
      <c r="B26" s="108" t="s">
        <v>145</v>
      </c>
      <c r="C26" s="62"/>
      <c r="D26" s="110" t="s">
        <v>146</v>
      </c>
      <c r="E26" s="62"/>
      <c r="F26" s="13" t="s">
        <v>125</v>
      </c>
      <c r="G26" s="29"/>
    </row>
    <row r="27" spans="1:7" ht="20.05" customHeight="1" x14ac:dyDescent="0.55000000000000004">
      <c r="A27" s="25" t="s">
        <v>147</v>
      </c>
      <c r="B27" s="104" t="s">
        <v>148</v>
      </c>
      <c r="C27" s="62"/>
      <c r="D27" s="106" t="s">
        <v>149</v>
      </c>
      <c r="E27" s="62"/>
      <c r="F27" s="13" t="s">
        <v>125</v>
      </c>
      <c r="G27" s="28"/>
    </row>
    <row r="28" spans="1:7" ht="20.05" customHeight="1" x14ac:dyDescent="0.55000000000000004">
      <c r="A28" s="25" t="s">
        <v>150</v>
      </c>
      <c r="B28" s="108" t="s">
        <v>151</v>
      </c>
      <c r="C28" s="62"/>
      <c r="D28" s="110" t="s">
        <v>152</v>
      </c>
      <c r="E28" s="62"/>
      <c r="F28" s="13" t="s">
        <v>125</v>
      </c>
      <c r="G28" s="29"/>
    </row>
    <row r="29" spans="1:7" ht="20.05" customHeight="1" x14ac:dyDescent="0.55000000000000004">
      <c r="A29" s="25" t="s">
        <v>153</v>
      </c>
      <c r="B29" s="104" t="s">
        <v>154</v>
      </c>
      <c r="C29" s="62"/>
      <c r="D29" s="106" t="s">
        <v>21</v>
      </c>
      <c r="E29" s="62"/>
      <c r="F29" s="13" t="s">
        <v>125</v>
      </c>
      <c r="G29" s="28"/>
    </row>
  </sheetData>
  <mergeCells count="40">
    <mergeCell ref="A2:G2"/>
    <mergeCell ref="B26:C26"/>
    <mergeCell ref="A7:C7"/>
    <mergeCell ref="D26:E26"/>
    <mergeCell ref="A1:G1"/>
    <mergeCell ref="B29:C29"/>
    <mergeCell ref="B19:C19"/>
    <mergeCell ref="B28:C28"/>
    <mergeCell ref="A9:C9"/>
    <mergeCell ref="D28:E28"/>
    <mergeCell ref="D25:E25"/>
    <mergeCell ref="B24:C24"/>
    <mergeCell ref="D24:E24"/>
    <mergeCell ref="E5:G5"/>
    <mergeCell ref="B20:C20"/>
    <mergeCell ref="D29:E29"/>
    <mergeCell ref="A6:C6"/>
    <mergeCell ref="E8:G8"/>
    <mergeCell ref="A12:G12"/>
    <mergeCell ref="D23:E23"/>
    <mergeCell ref="A4:G4"/>
    <mergeCell ref="B22:C22"/>
    <mergeCell ref="E9:G9"/>
    <mergeCell ref="D22:E22"/>
    <mergeCell ref="B27:C27"/>
    <mergeCell ref="E6:G6"/>
    <mergeCell ref="D21:E21"/>
    <mergeCell ref="B21:C21"/>
    <mergeCell ref="A5:C5"/>
    <mergeCell ref="A8:C8"/>
    <mergeCell ref="D27:E27"/>
    <mergeCell ref="B23:C23"/>
    <mergeCell ref="A15:G15"/>
    <mergeCell ref="A11:G11"/>
    <mergeCell ref="E7:G7"/>
    <mergeCell ref="D20:E20"/>
    <mergeCell ref="A14:G14"/>
    <mergeCell ref="A17:G17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82" t="s">
        <v>155</v>
      </c>
      <c r="B1" s="83"/>
      <c r="C1" s="83"/>
      <c r="D1" s="83"/>
      <c r="E1" s="83"/>
      <c r="F1" s="83"/>
      <c r="G1" s="84"/>
    </row>
    <row r="2" spans="1:7" ht="22" customHeight="1" x14ac:dyDescent="0.55000000000000004">
      <c r="A2" s="116" t="s">
        <v>156</v>
      </c>
      <c r="B2" s="65"/>
      <c r="C2" s="65"/>
      <c r="D2" s="65"/>
      <c r="E2" s="65"/>
      <c r="F2" s="65"/>
      <c r="G2" s="62"/>
    </row>
    <row r="3" spans="1:7" ht="18" customHeight="1" x14ac:dyDescent="0.55000000000000004">
      <c r="A3" s="32"/>
      <c r="B3" s="32" t="s">
        <v>157</v>
      </c>
      <c r="C3" s="32" t="s">
        <v>158</v>
      </c>
      <c r="D3" s="32" t="s">
        <v>82</v>
      </c>
      <c r="E3" s="32" t="s">
        <v>159</v>
      </c>
      <c r="F3" s="32" t="s">
        <v>160</v>
      </c>
      <c r="G3" s="32" t="s">
        <v>161</v>
      </c>
    </row>
    <row r="4" spans="1:7" ht="24" customHeight="1" x14ac:dyDescent="0.55000000000000004">
      <c r="A4" s="33" t="s">
        <v>159</v>
      </c>
      <c r="B4" s="33" t="s">
        <v>162</v>
      </c>
      <c r="C4" s="33" t="s">
        <v>163</v>
      </c>
      <c r="D4" s="33" t="s">
        <v>164</v>
      </c>
      <c r="E4" s="33" t="s">
        <v>165</v>
      </c>
      <c r="F4" s="33" t="s">
        <v>166</v>
      </c>
      <c r="G4" s="33" t="s">
        <v>167</v>
      </c>
    </row>
    <row r="5" spans="1:7" ht="24" customHeight="1" x14ac:dyDescent="0.55000000000000004">
      <c r="A5" s="34" t="s">
        <v>160</v>
      </c>
      <c r="B5" s="34" t="s">
        <v>162</v>
      </c>
      <c r="C5" s="34" t="s">
        <v>168</v>
      </c>
      <c r="D5" s="34" t="s">
        <v>169</v>
      </c>
      <c r="E5" s="34" t="s">
        <v>166</v>
      </c>
      <c r="F5" s="34" t="s">
        <v>165</v>
      </c>
      <c r="G5" s="34" t="s">
        <v>58</v>
      </c>
    </row>
    <row r="6" spans="1:7" ht="22" customHeight="1" x14ac:dyDescent="0.55000000000000004">
      <c r="A6" s="115" t="s">
        <v>170</v>
      </c>
      <c r="B6" s="65"/>
      <c r="C6" s="65"/>
      <c r="D6" s="65"/>
      <c r="E6" s="65"/>
      <c r="F6" s="65"/>
      <c r="G6" s="62"/>
    </row>
    <row r="7" spans="1:7" ht="18" customHeight="1" x14ac:dyDescent="0.55000000000000004">
      <c r="A7" s="32"/>
      <c r="B7" s="32" t="s">
        <v>157</v>
      </c>
      <c r="C7" s="32" t="s">
        <v>158</v>
      </c>
      <c r="D7" s="32" t="s">
        <v>82</v>
      </c>
      <c r="E7" s="32" t="s">
        <v>159</v>
      </c>
      <c r="F7" s="32" t="s">
        <v>160</v>
      </c>
      <c r="G7" s="32" t="s">
        <v>161</v>
      </c>
    </row>
    <row r="8" spans="1:7" ht="22" customHeight="1" x14ac:dyDescent="0.55000000000000004">
      <c r="A8" s="33" t="s">
        <v>159</v>
      </c>
      <c r="B8" s="33" t="s">
        <v>171</v>
      </c>
      <c r="C8" s="33" t="s">
        <v>172</v>
      </c>
      <c r="D8" s="33" t="s">
        <v>173</v>
      </c>
      <c r="E8" s="33" t="s">
        <v>174</v>
      </c>
      <c r="F8" s="33" t="s">
        <v>166</v>
      </c>
      <c r="G8" s="33" t="s">
        <v>175</v>
      </c>
    </row>
    <row r="9" spans="1:7" ht="22" customHeight="1" x14ac:dyDescent="0.55000000000000004">
      <c r="A9" s="34" t="s">
        <v>160</v>
      </c>
      <c r="B9" s="34" t="s">
        <v>171</v>
      </c>
      <c r="C9" s="34" t="s">
        <v>176</v>
      </c>
      <c r="D9" s="34" t="s">
        <v>177</v>
      </c>
      <c r="E9" s="34" t="s">
        <v>166</v>
      </c>
      <c r="F9" s="34" t="s">
        <v>174</v>
      </c>
      <c r="G9" s="34" t="s">
        <v>61</v>
      </c>
    </row>
    <row r="10" spans="1:7" ht="22" customHeight="1" x14ac:dyDescent="0.55000000000000004">
      <c r="A10" s="117" t="s">
        <v>178</v>
      </c>
      <c r="B10" s="65"/>
      <c r="C10" s="65"/>
      <c r="D10" s="65"/>
      <c r="E10" s="65"/>
      <c r="F10" s="65"/>
      <c r="G10" s="62"/>
    </row>
    <row r="11" spans="1:7" ht="18" customHeight="1" x14ac:dyDescent="0.55000000000000004">
      <c r="A11" s="32"/>
      <c r="B11" s="32" t="s">
        <v>157</v>
      </c>
      <c r="C11" s="32" t="s">
        <v>158</v>
      </c>
      <c r="D11" s="32" t="s">
        <v>82</v>
      </c>
      <c r="E11" s="32" t="s">
        <v>159</v>
      </c>
      <c r="F11" s="32" t="s">
        <v>160</v>
      </c>
      <c r="G11" s="32" t="s">
        <v>161</v>
      </c>
    </row>
    <row r="12" spans="1:7" ht="22" customHeight="1" x14ac:dyDescent="0.55000000000000004">
      <c r="A12" s="33" t="s">
        <v>159</v>
      </c>
      <c r="B12" s="33" t="s">
        <v>179</v>
      </c>
      <c r="C12" s="33" t="s">
        <v>180</v>
      </c>
      <c r="D12" s="33" t="s">
        <v>181</v>
      </c>
      <c r="E12" s="33" t="s">
        <v>165</v>
      </c>
      <c r="F12" s="33" t="s">
        <v>166</v>
      </c>
      <c r="G12" s="33" t="s">
        <v>182</v>
      </c>
    </row>
    <row r="13" spans="1:7" ht="22" customHeight="1" x14ac:dyDescent="0.55000000000000004">
      <c r="A13" s="34" t="s">
        <v>160</v>
      </c>
      <c r="B13" s="34" t="s">
        <v>179</v>
      </c>
      <c r="C13" s="34" t="s">
        <v>183</v>
      </c>
      <c r="D13" s="34" t="s">
        <v>184</v>
      </c>
      <c r="E13" s="34" t="s">
        <v>166</v>
      </c>
      <c r="F13" s="34" t="s">
        <v>165</v>
      </c>
      <c r="G13" s="34" t="s">
        <v>182</v>
      </c>
    </row>
    <row r="14" spans="1:7" ht="48" customHeight="1" x14ac:dyDescent="0.55000000000000004">
      <c r="A14" s="114" t="s">
        <v>185</v>
      </c>
      <c r="B14" s="65"/>
      <c r="C14" s="65"/>
      <c r="D14" s="65"/>
      <c r="E14" s="65"/>
      <c r="F14" s="65"/>
      <c r="G14" s="62"/>
    </row>
  </sheetData>
  <mergeCells count="5">
    <mergeCell ref="A14:G14"/>
    <mergeCell ref="A1:G1"/>
    <mergeCell ref="A6:G6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82" t="s">
        <v>186</v>
      </c>
      <c r="B1" s="83"/>
      <c r="C1" s="83"/>
      <c r="D1" s="83"/>
      <c r="E1" s="83"/>
      <c r="F1" s="83"/>
      <c r="G1" s="84"/>
    </row>
    <row r="2" spans="1:7" ht="20.05" customHeight="1" x14ac:dyDescent="0.55000000000000004">
      <c r="A2" s="95" t="s">
        <v>187</v>
      </c>
      <c r="B2" s="83"/>
      <c r="C2" s="83"/>
      <c r="D2" s="83"/>
      <c r="E2" s="83"/>
      <c r="F2" s="83"/>
      <c r="G2" s="84"/>
    </row>
    <row r="3" spans="1:7" ht="18" customHeight="1" x14ac:dyDescent="0.55000000000000004">
      <c r="A3" s="32" t="s">
        <v>188</v>
      </c>
      <c r="B3" s="32" t="s">
        <v>189</v>
      </c>
      <c r="C3" s="32" t="s">
        <v>190</v>
      </c>
      <c r="D3" s="32" t="s">
        <v>191</v>
      </c>
    </row>
    <row r="4" spans="1:7" ht="68.05" customHeight="1" x14ac:dyDescent="0.55000000000000004">
      <c r="A4" s="25" t="s">
        <v>192</v>
      </c>
      <c r="B4" s="31" t="s">
        <v>193</v>
      </c>
      <c r="C4" s="35" t="s">
        <v>194</v>
      </c>
      <c r="D4" s="36" t="s">
        <v>195</v>
      </c>
    </row>
    <row r="5" spans="1:7" ht="60" customHeight="1" x14ac:dyDescent="0.55000000000000004">
      <c r="A5" s="37" t="s">
        <v>196</v>
      </c>
      <c r="B5" s="26" t="s">
        <v>197</v>
      </c>
      <c r="C5" s="27" t="s">
        <v>198</v>
      </c>
      <c r="D5" s="38" t="s">
        <v>199</v>
      </c>
    </row>
    <row r="6" spans="1:7" ht="52" customHeight="1" x14ac:dyDescent="0.55000000000000004">
      <c r="A6" s="25" t="s">
        <v>200</v>
      </c>
      <c r="B6" s="31" t="s">
        <v>201</v>
      </c>
      <c r="C6" s="35" t="s">
        <v>202</v>
      </c>
      <c r="D6" s="36" t="s">
        <v>203</v>
      </c>
    </row>
    <row r="7" spans="1:7" ht="52" customHeight="1" x14ac:dyDescent="0.55000000000000004">
      <c r="A7" s="25" t="s">
        <v>204</v>
      </c>
      <c r="B7" s="31" t="s">
        <v>205</v>
      </c>
      <c r="C7" s="35" t="s">
        <v>206</v>
      </c>
      <c r="D7" s="36" t="s">
        <v>207</v>
      </c>
    </row>
    <row r="8" spans="1:7" ht="68.05" customHeight="1" x14ac:dyDescent="0.55000000000000004">
      <c r="A8" s="25" t="s">
        <v>208</v>
      </c>
      <c r="B8" s="30" t="s">
        <v>209</v>
      </c>
      <c r="C8" s="35" t="s">
        <v>210</v>
      </c>
      <c r="D8" s="39" t="s">
        <v>211</v>
      </c>
    </row>
    <row r="9" spans="1:7" ht="36" customHeight="1" x14ac:dyDescent="0.55000000000000004">
      <c r="A9" s="118" t="s">
        <v>212</v>
      </c>
      <c r="B9" s="65"/>
      <c r="C9" s="65"/>
      <c r="D9" s="62"/>
      <c r="E9" s="40"/>
      <c r="F9" s="40"/>
      <c r="G9" s="40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82" t="s">
        <v>213</v>
      </c>
      <c r="B1" s="83"/>
      <c r="C1" s="83"/>
      <c r="D1" s="83"/>
      <c r="E1" s="83"/>
      <c r="F1" s="83"/>
      <c r="G1" s="84"/>
    </row>
    <row r="2" spans="1:7" ht="20.05" customHeight="1" x14ac:dyDescent="0.55000000000000004">
      <c r="A2" s="95" t="s">
        <v>214</v>
      </c>
      <c r="B2" s="83"/>
      <c r="C2" s="83"/>
      <c r="D2" s="83"/>
      <c r="E2" s="83"/>
      <c r="F2" s="83"/>
      <c r="G2" s="8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0" t="s">
        <v>215</v>
      </c>
      <c r="B4" s="83"/>
      <c r="C4" s="83"/>
      <c r="D4" s="83"/>
      <c r="E4" s="83"/>
      <c r="F4" s="83"/>
      <c r="G4" s="84"/>
    </row>
    <row r="5" spans="1:7" ht="18" customHeight="1" x14ac:dyDescent="0.55000000000000004">
      <c r="A5" s="32"/>
      <c r="B5" s="32" t="s">
        <v>216</v>
      </c>
      <c r="C5" s="32" t="s">
        <v>45</v>
      </c>
      <c r="D5" s="32" t="s">
        <v>40</v>
      </c>
      <c r="E5" s="32" t="s">
        <v>217</v>
      </c>
      <c r="F5" s="32"/>
    </row>
    <row r="6" spans="1:7" ht="36" customHeight="1" x14ac:dyDescent="0.55000000000000004">
      <c r="A6" s="41"/>
      <c r="B6" s="42" t="s">
        <v>218</v>
      </c>
      <c r="C6" s="43" t="s">
        <v>219</v>
      </c>
      <c r="D6" s="44" t="s">
        <v>220</v>
      </c>
      <c r="E6" s="45" t="s">
        <v>67</v>
      </c>
      <c r="F6" s="41"/>
    </row>
    <row r="7" spans="1:7" ht="36" customHeight="1" x14ac:dyDescent="0.55000000000000004">
      <c r="A7" s="28"/>
      <c r="B7" s="46" t="s">
        <v>221</v>
      </c>
      <c r="C7" s="47" t="s">
        <v>222</v>
      </c>
      <c r="D7" s="44" t="s">
        <v>223</v>
      </c>
      <c r="E7" s="48" t="s">
        <v>224</v>
      </c>
      <c r="F7" s="28"/>
    </row>
    <row r="8" spans="1:7" ht="36" customHeight="1" x14ac:dyDescent="0.55000000000000004">
      <c r="A8" s="41"/>
      <c r="B8" s="42" t="s">
        <v>225</v>
      </c>
      <c r="C8" s="49" t="s">
        <v>226</v>
      </c>
      <c r="D8" s="44" t="s">
        <v>227</v>
      </c>
      <c r="E8" s="45" t="s">
        <v>228</v>
      </c>
      <c r="F8" s="41"/>
    </row>
    <row r="9" spans="1:7" ht="36" customHeight="1" x14ac:dyDescent="0.55000000000000004">
      <c r="A9" s="28"/>
      <c r="B9" s="46" t="s">
        <v>229</v>
      </c>
      <c r="C9" s="30" t="s">
        <v>230</v>
      </c>
      <c r="D9" s="44" t="s">
        <v>231</v>
      </c>
      <c r="E9" s="48" t="s">
        <v>232</v>
      </c>
      <c r="F9" s="28"/>
    </row>
    <row r="10" spans="1:7" ht="36" customHeight="1" x14ac:dyDescent="0.55000000000000004">
      <c r="A10" s="41"/>
      <c r="B10" s="42" t="s">
        <v>233</v>
      </c>
      <c r="C10" s="49" t="s">
        <v>234</v>
      </c>
      <c r="D10" s="44" t="s">
        <v>235</v>
      </c>
      <c r="E10" s="45" t="s">
        <v>67</v>
      </c>
      <c r="F10" s="4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9" t="s">
        <v>236</v>
      </c>
      <c r="B12" s="83"/>
      <c r="C12" s="83"/>
      <c r="D12" s="83"/>
      <c r="E12" s="83"/>
      <c r="F12" s="83"/>
      <c r="G12" s="84"/>
    </row>
    <row r="13" spans="1:7" ht="18" customHeight="1" x14ac:dyDescent="0.55000000000000004">
      <c r="A13" s="50"/>
      <c r="B13" s="50" t="s">
        <v>216</v>
      </c>
      <c r="C13" s="50" t="s">
        <v>5</v>
      </c>
      <c r="D13" s="50" t="s">
        <v>237</v>
      </c>
      <c r="E13" s="50" t="s">
        <v>238</v>
      </c>
      <c r="F13" s="50"/>
    </row>
    <row r="14" spans="1:7" ht="28" customHeight="1" x14ac:dyDescent="0.55000000000000004">
      <c r="A14" s="51"/>
      <c r="B14" s="52" t="s">
        <v>239</v>
      </c>
      <c r="C14" s="53" t="s">
        <v>240</v>
      </c>
      <c r="D14" s="54" t="s">
        <v>241</v>
      </c>
      <c r="E14" s="55" t="s">
        <v>242</v>
      </c>
      <c r="F14" s="51"/>
    </row>
    <row r="15" spans="1:7" ht="28" customHeight="1" x14ac:dyDescent="0.55000000000000004">
      <c r="A15" s="51"/>
      <c r="B15" s="52" t="s">
        <v>243</v>
      </c>
      <c r="C15" s="53" t="s">
        <v>244</v>
      </c>
      <c r="D15" s="54" t="s">
        <v>245</v>
      </c>
      <c r="E15" s="55" t="s">
        <v>242</v>
      </c>
      <c r="F15" s="51"/>
    </row>
    <row r="16" spans="1:7" ht="28" customHeight="1" x14ac:dyDescent="0.55000000000000004">
      <c r="A16" s="51"/>
      <c r="B16" s="52" t="s">
        <v>246</v>
      </c>
      <c r="C16" s="53" t="s">
        <v>130</v>
      </c>
      <c r="D16" s="54" t="s">
        <v>247</v>
      </c>
      <c r="E16" s="55" t="s">
        <v>242</v>
      </c>
      <c r="F16" s="51"/>
    </row>
    <row r="17" spans="1:7" ht="28" customHeight="1" x14ac:dyDescent="0.55000000000000004">
      <c r="A17" s="51"/>
      <c r="B17" s="52" t="s">
        <v>248</v>
      </c>
      <c r="C17" s="53" t="s">
        <v>249</v>
      </c>
      <c r="D17" s="54" t="s">
        <v>250</v>
      </c>
      <c r="E17" s="55" t="s">
        <v>242</v>
      </c>
      <c r="F17" s="51"/>
    </row>
    <row r="18" spans="1:7" ht="28" customHeight="1" x14ac:dyDescent="0.55000000000000004">
      <c r="A18" s="56"/>
      <c r="B18" s="57" t="s">
        <v>251</v>
      </c>
      <c r="C18" s="58" t="s">
        <v>252</v>
      </c>
      <c r="D18" s="59" t="s">
        <v>253</v>
      </c>
      <c r="E18" s="60" t="s">
        <v>242</v>
      </c>
      <c r="F18" s="56"/>
    </row>
    <row r="19" spans="1:7" ht="28" customHeight="1" x14ac:dyDescent="0.55000000000000004">
      <c r="A19" s="51"/>
      <c r="B19" s="52" t="s">
        <v>254</v>
      </c>
      <c r="C19" s="53" t="s">
        <v>255</v>
      </c>
      <c r="D19" s="54" t="s">
        <v>143</v>
      </c>
      <c r="E19" s="55" t="s">
        <v>242</v>
      </c>
      <c r="F19" s="51"/>
    </row>
    <row r="20" spans="1:7" ht="28" customHeight="1" x14ac:dyDescent="0.55000000000000004">
      <c r="A20" s="56"/>
      <c r="B20" s="57" t="s">
        <v>256</v>
      </c>
      <c r="C20" s="58" t="s">
        <v>257</v>
      </c>
      <c r="D20" s="59" t="s">
        <v>258</v>
      </c>
      <c r="E20" s="60" t="s">
        <v>242</v>
      </c>
      <c r="F20" s="56"/>
    </row>
    <row r="21" spans="1:7" ht="28" customHeight="1" x14ac:dyDescent="0.55000000000000004">
      <c r="A21" s="56"/>
      <c r="B21" s="57" t="s">
        <v>259</v>
      </c>
      <c r="C21" s="58" t="s">
        <v>260</v>
      </c>
      <c r="D21" s="59" t="s">
        <v>146</v>
      </c>
      <c r="E21" s="60" t="s">
        <v>242</v>
      </c>
      <c r="F21" s="56"/>
    </row>
    <row r="22" spans="1:7" ht="28" customHeight="1" x14ac:dyDescent="0.55000000000000004">
      <c r="A22" s="56"/>
      <c r="B22" s="57" t="s">
        <v>261</v>
      </c>
      <c r="C22" s="58" t="s">
        <v>262</v>
      </c>
      <c r="D22" s="59" t="s">
        <v>152</v>
      </c>
      <c r="E22" s="60" t="s">
        <v>242</v>
      </c>
      <c r="F22" s="56"/>
    </row>
    <row r="23" spans="1:7" ht="28" customHeight="1" x14ac:dyDescent="0.55000000000000004">
      <c r="A23" s="56"/>
      <c r="B23" s="57" t="s">
        <v>263</v>
      </c>
      <c r="C23" s="58" t="s">
        <v>264</v>
      </c>
      <c r="D23" s="59" t="s">
        <v>265</v>
      </c>
      <c r="E23" s="60" t="s">
        <v>242</v>
      </c>
      <c r="F23" s="56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8" t="s">
        <v>266</v>
      </c>
      <c r="B25" s="65"/>
      <c r="C25" s="65"/>
      <c r="D25" s="65"/>
      <c r="E25" s="65"/>
      <c r="F25" s="62"/>
      <c r="G25" s="40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2026-04-06T07:57:47Z</dcterms:created>
  <dcterms:modified xsi:type="dcterms:W3CDTF">2026-04-06T08:17:38Z</dcterms:modified>
</cp:coreProperties>
</file>