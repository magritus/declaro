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C4436934-0584-4EA1-8957-9CC870BCBC1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D8" i="2"/>
  <c r="D7" i="2"/>
  <c r="D6" i="2"/>
  <c r="C52" i="1"/>
  <c r="D47" i="1"/>
  <c r="C47" i="1"/>
  <c r="C51" i="1" s="1"/>
  <c r="E46" i="1"/>
  <c r="F46" i="1" s="1"/>
  <c r="F45" i="1"/>
  <c r="E45" i="1"/>
  <c r="E44" i="1"/>
  <c r="F44" i="1" s="1"/>
  <c r="E43" i="1"/>
  <c r="F43" i="1" s="1"/>
  <c r="E42" i="1"/>
  <c r="F42" i="1" s="1"/>
  <c r="F41" i="1"/>
  <c r="E41" i="1"/>
  <c r="E47" i="1" s="1"/>
  <c r="C53" i="1" s="1"/>
  <c r="C35" i="1"/>
  <c r="E15" i="1"/>
  <c r="D5" i="2" s="1"/>
  <c r="F47" i="1" l="1"/>
  <c r="C55" i="1" s="1"/>
</calcChain>
</file>

<file path=xl/sharedStrings.xml><?xml version="1.0" encoding="utf-8"?>
<sst xmlns="http://schemas.openxmlformats.org/spreadsheetml/2006/main" count="321" uniqueCount="263">
  <si>
    <t>474 – TÜRK SİLAHLI KUVVETLERİNİ GÜÇLENDİRME VAKFI BAĞIŞLARI | 3388 s.K. | YMM TASDİK</t>
  </si>
  <si>
    <t>Beyanname 474 | GİB KV Beyan Rehberi Mart 2026 (No:606) | ✗ YİAKV MATRAHINDA DÜŞÜLEMEZ</t>
  </si>
  <si>
    <t xml:space="preserve">  3388 SAYILI TÜRK SİLAHLI KUVVETLERİNİ GÜÇLENDİRME VAKFI KANUNU KAPSAMI:
  3388 sayılı Kanun kapsamında Türk Silahlı Kuvvetlerini Güçlendirme Vakfı'na (TSKGV) yapılan bağış ve yardımların tamamı kurumlar vergisi matrahından indirilir.
  TSKGV: Türk Silahlı Kuvvetleri'nin savunma kapasitesini ve mensuplarının refahını desteklemek amacıyla 1987 yılında 3388 sayılı Kanunla kurulmuş vakıf.
  İNDİRİM: TAMAMININ İNDİRİMİ — matrahı aşan kısım devredilemez.
  ★ YİAKV: DÜŞÜLEMEZ — E.11 bilgi satırı.</t>
  </si>
  <si>
    <t xml:space="preserve">  ✗ YİAKV (KVK Md.32/C): 474 TSKGV Bağışı YİAKV MATRAHINDA DÜŞÜLEMEZ. YİAKV E.11 bilgi satırı — 402/460–473 kodlarıyla aynı E.11 kategorisi.</t>
  </si>
  <si>
    <t>A0. KAPSAM VE NİTELİK UYGUNLUK ÖN KONTROLÜ — 3388 s.K. TSKGV BAĞIŞI</t>
  </si>
  <si>
    <t>Kontrol Sorusu</t>
  </si>
  <si>
    <t>Yanıt</t>
  </si>
  <si>
    <t>YMM Tasdik Notu</t>
  </si>
  <si>
    <t>A0.1  ★ Bağış 3388 s.K. kapsamında TSKGV'ye mi yapıldı?</t>
  </si>
  <si>
    <t>EVET</t>
  </si>
  <si>
    <t>Türk Silahlı Kuvvetlerini Güçlendirme Vakfı — resmi kurum. TSK adını taşıyan başka vakıf/dernek/kuruluş → Kapsam dışı.</t>
  </si>
  <si>
    <t>A0.2  ★ Bağış FİİLEN yapıldı mı? (Nakdi: Banka — Ayni: Teslim belgesi)</t>
  </si>
  <si>
    <t>Nakdi: Banka EFT/havale dekontu. Ayni: İmzalı teslim tutanağı.</t>
  </si>
  <si>
    <t>A0.3  TSKGV'den resmi bağış makbuzu / kabul belgesi alındı mı?</t>
  </si>
  <si>
    <t>TSKGV tarafından düzenlenen resmi makbuz veya bağış kabul yazısı zorunludur.</t>
  </si>
  <si>
    <t>A0.4  Bağışın amacı 3388 s.K. kapsamında TSKGV faaliyetleriyle ilgili mi?</t>
  </si>
  <si>
    <t>Savunma sanayi desteği, TSK mensupları refahı, şehit/gazi ailelerine destek vb. TSKGV'nin faaliyet alanı kapsamında olmalı.</t>
  </si>
  <si>
    <t>A0.5  Ayni bağış varsa maliyet/net defter değeri ile değerleme yapıldı mı?</t>
  </si>
  <si>
    <t>Malzeme/ekipman bağışı varsa maliyet/net defter değeri esas. KDV hesaplanmaz — KDVK Md.17/2-b istisnası.</t>
  </si>
  <si>
    <t>A0.6  ✗ YİAKV E.11'de bilgi satırı olarak gösterildi mi?</t>
  </si>
  <si>
    <t>474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</si>
  <si>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</si>
  <si>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</si>
  <si>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</si>
  <si>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TSKGV/3388 | A0.2 fiili yapım | A0.3 makbuz | A0.4 amaç — dördü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</si>
  <si>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</si>
  <si>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</si>
  <si>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</si>
  <si>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</si>
  <si>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</si>
  <si>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</si>
  <si>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</si>
  <si>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</si>
  <si>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</si>
  <si>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</si>
  <si>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Türk Silahlı Kuvvetlerini Güçlendirme Vakfı (TSKGV)</t>
  </si>
  <si>
    <t>Bağışın Genel Amacı</t>
  </si>
  <si>
    <t>Savunma desteği / TSK mensupları / Şehit-Gazi aileleri</t>
  </si>
  <si>
    <t>Dosya Referansı</t>
  </si>
  <si>
    <t>YMM-2025/474-01</t>
  </si>
  <si>
    <t>B. BAĞIŞ VE YARDIM DETAYLARI — 3388 s.K. / TSKGV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</si>
  <si>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</si>
  <si>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</si>
  <si>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</si>
  <si>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</si>
  <si>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</si>
  <si>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</si>
  <si>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Malzeme/ekipman → teslim tutanağı.</t>
  </si>
  <si>
    <t>Belge</t>
  </si>
  <si>
    <t>B.2  Alıcı</t>
  </si>
  <si>
    <t>TSKGV veya bünyesindeki fon/program.</t>
  </si>
  <si>
    <t>TSKGV belgesi</t>
  </si>
  <si>
    <t>B.3  Bağışın Amacı</t>
  </si>
  <si>
    <t>TSKGV Faaliyetleri Genel Desteği</t>
  </si>
  <si>
    <t>3388 s.K. kapsamında TSKGV faaliyet alanı.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</si>
  <si>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</si>
  <si>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</si>
  <si>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</si>
  <si>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</si>
  <si>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</si>
  <si>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TSKGV'ye ödenen tutar.</t>
  </si>
  <si>
    <t>Banka dekontu</t>
  </si>
  <si>
    <t>B.6  Ayni Bağış Değeri (TL — Maliyet/Net Defter Değeri)</t>
  </si>
  <si>
    <t>Malzeme/ekipman bağışı varsa maliyet veya net defter değeri.</t>
  </si>
  <si>
    <t>Stok/sabit kıymet</t>
  </si>
  <si>
    <t>B.7  ★ TOPLAM BAĞIŞ (B.5 + B.6)</t>
  </si>
  <si>
    <t>Nakdi + Ayni toplam — beyanname 474 tutarının dayanağı.</t>
  </si>
  <si>
    <t>Formül</t>
  </si>
  <si>
    <t>B.8  ★ TSKGV Resmi Makbuzu / Bağış Kabul Belgesi</t>
  </si>
  <si>
    <t>TSKGV'den alınan resmi makbuz veya bağış kabul yazısı — zorunlu belge.</t>
  </si>
  <si>
    <t>TSKGV</t>
  </si>
  <si>
    <t>C. BAĞIŞ VE YARDIM TABLOSU — TSKGV (BEYANNAME 474)</t>
  </si>
  <si>
    <t xml:space="preserve">  Her bağış kalemi için ayrı satır. SÜTUN 3 (haki çerçeve): Nakdi bağış. SÜTUN 4: Ayni bağış maliyet değeri. SÜTUN 5: Toplam (otomatik). SÜTUN 6: İndirim = Tamamı (otomatik).</t>
  </si>
  <si>
    <t>Bağış Tarihi</t>
  </si>
  <si>
    <t>Alıcı / Konu</t>
  </si>
  <si>
    <t>Nakdi (TL)</t>
  </si>
  <si>
    <t>Ayni Değer (TL)</t>
  </si>
  <si>
    <t>Toplam (TL)</t>
  </si>
  <si>
    <t>İndirim (TL)</t>
  </si>
  <si>
    <t>Makbuz/Belge No</t>
  </si>
  <si>
    <t>TOPLAM</t>
  </si>
  <si>
    <t>← Beyanname 474 (Tamamının İndirimi)</t>
  </si>
  <si>
    <t>D. BAĞIŞ VE YARDIM İNDİRİMİ ÖZET — BEYANNAME 474 (3388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</si>
  <si>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</si>
  <si>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</si>
  <si>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</si>
  <si>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</si>
  <si>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</si>
  <si>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</si>
  <si>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</si>
  <si>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</si>
  <si>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</si>
  <si>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</si>
  <si>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</si>
  <si>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3388 s.K. kapsamı: Tamamının indirimi — matrahı aşan devredilmez</t>
  </si>
  <si>
    <t>3388 s.K.</t>
  </si>
  <si>
    <t>D.5  ★ BEYANNAME 474 = TOPLAM BAĞIŞ (D.3)</t>
  </si>
  <si>
    <t>→ Beyanname 474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</si>
  <si>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</si>
  <si>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</si>
  <si>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</si>
  <si>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</si>
  <si>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TSKGV BAĞIŞI → Beyanname Satır 474 (Kazancın Bulunması Halinde)</t>
  </si>
  <si>
    <t>D.5 = Toplam Bağış Tamamı | 3388 s.K. — Matrahı aşan devredilmez</t>
  </si>
  <si>
    <t xml:space="preserve">  ★ KRİTİK: (1) ALICI: Yalnızca TSKGV — TSK adını taşıyan başka vakıf/dernek değil. (2) TSKGV resmi makbuzu zorunlu. (3) AYNİ BAĞIŞ: Maliyet değeri + KDV istisnası. (4) DEVREDEN YOK: Matrahı aşan devredilmez. (5) YİAKV ✗: E.11.</t>
  </si>
  <si>
    <t>474 – TSKGV BAĞIŞLARI 3388 SAYILI KANUN | HESAPLAMALAR VE DENETİM</t>
  </si>
  <si>
    <t>Tamamının İndirimi | 3388 s.K. | TSKGV | Beyanname 474 | ✗ YİAKV E.11</t>
  </si>
  <si>
    <t>A. TASDİK ÖZETİ</t>
  </si>
  <si>
    <t>A0 Uygunluğu</t>
  </si>
  <si>
    <t>OK ise devam</t>
  </si>
  <si>
    <t>Bağış Amacı (B.3)</t>
  </si>
  <si>
    <t>TSKGV faaliyet alanı</t>
  </si>
  <si>
    <t>Toplam Nakdi (D.1)</t>
  </si>
  <si>
    <t>Banka yoluyla</t>
  </si>
  <si>
    <t>474 İNDİRİM (D.5)</t>
  </si>
  <si>
    <t>YİAKV</t>
  </si>
  <si>
    <t>✗ DÜŞÜLEMEZ (E.11 Bilgi)</t>
  </si>
  <si>
    <t>Bağış/yardım tümü YİAKV dışı</t>
  </si>
  <si>
    <t>B. 3388 SAYILI KANUN VE TSKGV HAKKINDA</t>
  </si>
  <si>
    <t xml:space="preserve">  TÜRK SİLAHLI KUVVETLERİNİ GÜÇLENDİRME VAKFI (TSKGV):
  1987 yılında 3388 sayılı Kanunla kurulan TSKGV; Türk Silahlı Kuvvetleri'nin savunma sanayii kapasitesini artırmak, TSK mensuplarının ve ailelerinin refahını desteklemek ile şehit ve gazi ailelerine destek sağlamak amacıyla faaliyet göstermektedir.
  TSKGV FAALİYET ALANLARI:
  • Savunma sanayi projeleri ve teknoloji geliştirme
  • TSK mensupları ve ailelerinin sosyal refahı
  • Şehit ve gazi ailelerine destek programları
  • TSK bünyesindeki sosyal tesisler
  KAPSAM DIŞI:
  ✗ TSK adını taşıyan başka vakıf/dernek/kuruluşlar
  ✗ Savunma sanayii şirketlerine yapılan ticari ödemeler
  ✗ Doğrudan Milli Savunma Bakanlığı'na ödeme (bu kamu idaresi = 402 kapsamı)</t>
  </si>
  <si>
    <t>C. DENETİM KONTROL LİSTESİ (K1–K11)</t>
  </si>
  <si>
    <t>Kontrol</t>
  </si>
  <si>
    <t>Sonuç</t>
  </si>
  <si>
    <t>K1</t>
  </si>
  <si>
    <t>★ Alıcı gerçekten TSKGV mi? (3388 s.K. kapsamı)</t>
  </si>
  <si>
    <t>TSK adlı başka kuruluş → Kapsam dışı.</t>
  </si>
  <si>
    <t>Uygun/Eksik/Risk</t>
  </si>
  <si>
    <t>K2</t>
  </si>
  <si>
    <t>★ Bağış fiilen yapıldı mı? (Nakdi: Banka — Ayni: Tutanak)</t>
  </si>
  <si>
    <t>Banka dekontu veya teslim tutanağı.</t>
  </si>
  <si>
    <t>K3</t>
  </si>
  <si>
    <t>★ TSKGV'den resmi makbuz alındı mı?</t>
  </si>
  <si>
    <t>Makbuz olmadan 474 belgelenemez.</t>
  </si>
  <si>
    <t>K4</t>
  </si>
  <si>
    <t>★ Bağışın amacı TSKGV faaliyet alanında mı?</t>
  </si>
  <si>
    <t>Savunma/TSK/şehit-gazi desteği.</t>
  </si>
  <si>
    <t>K5</t>
  </si>
  <si>
    <t>Ayni bağış varsa maliyet/net defter değeri esas alındı mı?</t>
  </si>
  <si>
    <t>Piyasa değeri değil. KDV istisnası.</t>
  </si>
  <si>
    <t>K6</t>
  </si>
  <si>
    <t>C tablosu toplamı D.3 ile mutabık mı?</t>
  </si>
  <si>
    <t>E47 = D.3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</si>
  <si>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</si>
  <si>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</si>
  <si>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</si>
  <si>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</si>
  <si>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</si>
  <si>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474 DÜŞÜLEMEZ — E.11 bilgi.</t>
  </si>
  <si>
    <t>K9</t>
  </si>
  <si>
    <t>Savunma sanayii şirketine ticari ödeme ile TSKGV bağışı ayrıştırıldı mı?</t>
  </si>
  <si>
    <t>Bağış ≠ Ticari ödeme.</t>
  </si>
  <si>
    <t>K10</t>
  </si>
  <si>
    <t>Beyanname 474 'Kazancın Bulunması Halinde' bölümünde mi?</t>
  </si>
  <si>
    <t>Zarar döneminde uygulanamaz.</t>
  </si>
  <si>
    <t>K11</t>
  </si>
  <si>
    <t>YMM Tasdik Raporu (49 No.lu Tebliğ) değerlendirildi mi?</t>
  </si>
  <si>
    <t>474 – TSKGV BAĞIŞLARI 3388 s.K. | MUHASEBE KAYITLARI</t>
  </si>
  <si>
    <t>KAYIT 1 — NAKDİ BAĞIŞ (EFT/HAVALE — TSKGV)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</si>
  <si>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</si>
  <si>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</si>
  <si>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</si>
  <si>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</si>
  <si>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</si>
  <si>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</si>
  <si>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</si>
  <si>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TSKGV bağışı — gider kaydı</t>
  </si>
  <si>
    <t>[Tutar]</t>
  </si>
  <si>
    <t>—</t>
  </si>
  <si>
    <t>TSKGV Makbuzu</t>
  </si>
  <si>
    <t>KAYIT 2 — AYNİ BAĞIŞ (MALZEME / EKİPMAN)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</si>
  <si>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</si>
  <si>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</si>
  <si>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</si>
  <si>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</si>
  <si>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</si>
  <si>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474 İNDİRİMİ</t>
  </si>
  <si>
    <t>[Dönem Sonu]</t>
  </si>
  <si>
    <t>951 KKEG</t>
  </si>
  <si>
    <t>TSKGV bağış gideri KKEG'e alınır</t>
  </si>
  <si>
    <t>Beyanname eki</t>
  </si>
  <si>
    <t xml:space="preserve">  DÖNEM SONU NET ETKİ — BEYANNAME 474:
  TSKGV bağışı (689/770) → KKEG → Matrahı artırır → Beyanname 474 tamamının indirimi → Matrahtan düşülür.
  YİAKV: ✗ DÜŞÜLEMEZ — E.11. Ayni bağışta KDV istisnası (KDVK Md.17/2-b).</t>
  </si>
  <si>
    <t>474 – TSKGV BAĞIŞLARI 3388 SAYILI KANUN | DENETÇİ NOTLARI</t>
  </si>
  <si>
    <t>GİB KV Beyan Rehberi 2026 (No:606) | 3388 s.K. | TSKGV | Tamamının İndirimi | YİAKV E.11</t>
  </si>
  <si>
    <t>Kod</t>
  </si>
  <si>
    <t>Konu</t>
  </si>
  <si>
    <t>Mesleki Değerlendirme / Tasdik Standardı</t>
  </si>
  <si>
    <t>Mevzuat / Kaynak</t>
  </si>
  <si>
    <t>N1</t>
  </si>
  <si>
    <t>3388 s.K. — TSKGV Kapsam ve Faaliyet Alanı</t>
  </si>
  <si>
    <t>TÜRK SİLAHLI KUVVETLERİNİ GÜÇLENDİRME VAKFI BAĞIŞI — 3388 s.K.:
3388 sayılı Kanunla kurulan TSKGV'ye yapılan bağış ve yardımların
tamamı kurumlar vergisi matrahından indirilir.
TSKGV FAALİYET ALANLARI:
• Savunma sanayi ve teknoloji projeleri
• TSK mensupları ve ailelerinin sosyal refahı
• Şehit ve gazi ailelerine destek programları
• TSK bünyesindeki sosyal tesisler ve vakıf faaliyetleri
AYNİ BAĞIŞ: Malzeme, ekipman, teknoloji — maliyet değeri esas.
YİAKV: ✗ DÜŞÜLEMEZ (E.11 bilgi) | BEYANNAME: 474</t>
  </si>
  <si>
    <t>3388 s.K. | GİB KV Beyan Reh. 2026 (No:606)</t>
  </si>
  <si>
    <t>N2</t>
  </si>
  <si>
    <t>★ TSKGV Kimliği — Doğru Alıcı Teyidi</t>
  </si>
  <si>
    <t>TSKGV KİMLİĞİ VE DOĞRU ALICI TESPİTİ:
KABUL EDİLEBİLİR ALICI:
✓ Türk Silahlı Kuvvetlerini Güçlendirme Vakfı (TSKGV)
   (3388 sayılı Kanunla 1987 yılında kurulan resmi vakıf)
KAPSAM DIŞI:
✗ 'Ordu Yardımlaşma Kurumu (OYAK)' — Farklı kurum, farklı düzenleme
✗ TSK adını kullanan başka vakıf/dernek
✗ Savunma sanayii şirketlerine yapılan ticari ödeme
✗ Milli Savunma Bakanlığı'na doğrudan kamu idaresi kapsamında ödeme
   (Bu 402 kapsamında değerlendirilebilir)
DOĞRULAMA:
TSKGV'nin resmi web sitesi veya Resmî Gazete ilanı ile teyit.
Makbuzda 'Türk Silahlı Kuvvetlerini Güçlendirme Vakfı' ünvanı açık olmalı.</t>
  </si>
  <si>
    <t>3388 s.K. | GİB Özelge</t>
  </si>
  <si>
    <t>N3</t>
  </si>
  <si>
    <t>Savunma Sanayi Ödemesi ile 474 Bağışının Ayrımı</t>
  </si>
  <si>
    <t>TİCARİ ÖDEME vs BAĞIŞ AYRIMI:
BAĞIŞ (474 KAPSAMINDA):
Kurumun kendi kaynaklarından TSKGV'ye karşılıksız bağış/yardım.
Karşılık beklentisi olmaksızın yapılan gönüllü katkı.
Muhasebe: Dr 689/770 Gider / Kr 102 Bankalar
TİCARİ ÖDEME (474 KAPSAMINDA DEĞİL):
Savunma sanayi şirketlerine (ASELSAN, ROKETSAN vb.) yapılan
ürün/hizmet bedeli ödemesi → Ticari gider, bağış değil.
TSKGV'ye mal satışı bedelinin 474 kapsamında gösterilmesi → Yanlış.
YMM: İşlemin bağış niteliğinde olduğunu, karşılıksız katkı olduğunu
net biçimde belgele.</t>
  </si>
  <si>
    <t>3388 s.K. | VUK | GİB Özelge</t>
  </si>
  <si>
    <t>N4</t>
  </si>
  <si>
    <t>YİAKV ile İlişki — E.11 Bu Serinin Kapanışı</t>
  </si>
  <si>
    <t>YİAKV (KVK Md.32/C) VE TSKGV BAĞIŞI:
✗ 474 (3388 s.K.): DÜŞÜLEMEZ → YİAKV E.11
BU OTURUMDA TAMAMLANAN TÜM BAĞIŞ/YARDIM/SPONSORLUK KODLARI:
✗ 402 KVK Md.10/1-c | ✗ 460/461 Sponsorluk
✗ 464 AGF | ✗ 465 AYİF | ✗ 466 UAB | ✗ 469 TÜBİTAK
✗ 470 Yükseköğretim | ✗ 471 Sosyal Hizmetler
✗ 472 AKDTYK | ✗ 473 SYDV | ✗ 474 TSKGV
→ YİAKV E.11 = Tüm bu kodların dönem toplamı
DÜŞÜLEBILIR SON ÖZET:
✓ 283/455 Ar-Ge/Tasarım → D.10
✓ 456/457 Teknogirişim/Teknokent → E.13
✓ 401 Risturn → D.4 | ✓ 413 GSF → D.11
✗ 453 Nakdi Sermaye → E.10</t>
  </si>
  <si>
    <t>KVK Md.32/C | GİB Rehberi No:607 | No:606</t>
  </si>
  <si>
    <t>N5</t>
  </si>
  <si>
    <t>49 No.lu Tebliğ + YMM Tasdik Dil Standardı</t>
  </si>
  <si>
    <t>KULLANIN:
'...3388 sayılı Türk Silahlı Kuvvetlerini Güçlendirme Vakfı Kanunu kapsamında
Türk Silahlı Kuvvetlerini Güçlendirme Vakfı'na [Bağış Tarihi] tarihinde
banka yoluyla ödenen [Nakdi TL] TL nakdi bağış ile [Ayni TL] TL maliyet
bedelindeki ayni bağışın tamamı olan [Toplam TL] TL, kurumlar vergisi
matrahından indirilmiştir. Söz konusu tutar YİAKV matrahından
indirilmemiştir.'
(Matrahı aşıyorsa ekleyin:)
'[Aşan TL] TL'lik kısım matrahı aşması nedeniyle sonraki dönemlere
devredilmemiştir.'
KULLANMAYIN:
'...Savunma sanayii şirketine yapılan ödeme 474 kapsamında indirilmiştir.'
'...TSKGV dışı savunma vakfına yapılan bağış 474'e dahil edilmiştir.'
'...474 YİAKV matrahından düşülmüştür.' (YANLIŞ)
KRİTİK RİSKLER:
(1) TSKGV yerine başka kuruluşu 474'e dahil etmek.
(2) Ticari ödemeyi bağış gibi göstermek.
(3) Makbuz olmadan 474 uygulamak.
(4) Matrahı aşan kısmı devretmeye çalışmak.</t>
  </si>
  <si>
    <t>49 No.lu Tebliğ | 3388 s.K. | SM-SMMM-YMM K. Md.12</t>
  </si>
  <si>
    <t xml:space="preserve">  GİB KV BEYAN REHBERİ MART 2026 (No:606) KAPANIŞ (474): 3388 s.K. — TSKGV'ye bağış/yardım. OYAK veya başka savunma kuruluşu kapsam dışı. Ticari ödeme ile bağış ayrıştırılmalı. Tamamının indirimi — matrahı aşan devredilmez. Ayni bağışta KDV istisnası. ✗ YİAKV E.11. YMM: SM-SMMM-YMM K. Md.12.</t>
  </si>
  <si>
    <t>474 – TSKGV BAĞIŞLARI 3388 SAYILI KANUN | BELGE LİSTESİ | YMM TASDİK</t>
  </si>
  <si>
    <t>TSKGV Makbuzu | Banka Dekontu | Teslim Tutanağı | YİAKV E.11</t>
  </si>
  <si>
    <t>KATEGORİ 1 — ZORUNLU BELGELER</t>
  </si>
  <si>
    <t>No</t>
  </si>
  <si>
    <t>Temin</t>
  </si>
  <si>
    <t>1</t>
  </si>
  <si>
    <t>★ TSKGV Resmi Bağış Makbuzu / Kabul Belgesi</t>
  </si>
  <si>
    <t>Türk Silahlı Kuvvetlerini Güçlendirme Vakfı'ndan alınan resmi makbuz veya bağış kabul yazısı. Ünvan, tutar, tarih ve amaç belirtilmeli. Zorunlu.</t>
  </si>
  <si>
    <t>2</t>
  </si>
  <si>
    <t>★ Nakdi Bağış — Banka EFT/Havale Dekontu</t>
  </si>
  <si>
    <t>TSKGV'nin banka hesabına yapılan nakdi ödemenin dekont belgesi. Her ödeme için ayrı dekont.</t>
  </si>
  <si>
    <t>Banka / Şirket hesabı</t>
  </si>
  <si>
    <t>3</t>
  </si>
  <si>
    <t>Ayni Bağış — Teslim-Tesellüm Tutanağı + Maliyet Notu</t>
  </si>
  <si>
    <t>Malzeme/ekipman bağışı için TSKGV imzalı teslim tutanağı ve maliyet notu. KDV hesaplanmaz (KDVK Md.17/2-b).</t>
  </si>
  <si>
    <t>Teslim sırasında</t>
  </si>
  <si>
    <t>4</t>
  </si>
  <si>
    <t>KV Beyannamesi 474 Satırı + YİAKV E.11 Bilgi</t>
  </si>
  <si>
    <t>Beyanname 474 = D.5 tutarı. YİAKV E.11 = 402+460–474 tüm bağış kodları toplamı.</t>
  </si>
  <si>
    <t>GİB e-Beyanname + YİAKV ÇK</t>
  </si>
  <si>
    <t>5</t>
  </si>
  <si>
    <t>İşlemin Bağış Niteliğinde Olduğuna Dair Yazışma (Gerektiğinde)</t>
  </si>
  <si>
    <t>Bağışın karşılıksız katkı niteliğinde olduğunu gösteren TSKGV yazışması veya bağış protokolü. Ticari ödemeyle karıştırma riskine karşı.</t>
  </si>
  <si>
    <t>TSKGV ile yazışma</t>
  </si>
  <si>
    <t>KATEGORİ 2 — YMM TASDİK KONTROL SORULARI</t>
  </si>
  <si>
    <t>Beklenen Sonuç</t>
  </si>
  <si>
    <t>YMM Aksiyonu</t>
  </si>
  <si>
    <t>S1</t>
  </si>
  <si>
    <t>Başka savunma kuruluşu → Kapsam dışı.</t>
  </si>
  <si>
    <t>YMM kontrolü</t>
  </si>
  <si>
    <t>S2</t>
  </si>
  <si>
    <t>★ Bağış fiilen yapıldı mı? (Banka / teslim)</t>
  </si>
  <si>
    <t>Taahhüt değil — fiili ödeme.</t>
  </si>
  <si>
    <t>S3</t>
  </si>
  <si>
    <t>Makbuz zorunlu.</t>
  </si>
  <si>
    <t>S4</t>
  </si>
  <si>
    <t>★ İşlem gerçekten bağış mı? (Ticari ödeme değil)</t>
  </si>
  <si>
    <t>Karşılıksız katkı niteliği belgelendi.</t>
  </si>
  <si>
    <t>S5</t>
  </si>
  <si>
    <t>Ayni bağış varsa maliyet değeri ve KDV istisnası doğru mu?</t>
  </si>
  <si>
    <t>Maliyet esas, KDV yok.</t>
  </si>
  <si>
    <t>S6</t>
  </si>
  <si>
    <t>★ İndirim matrahı aşıyor mu? (Devredilmez!)</t>
  </si>
  <si>
    <t>S7</t>
  </si>
  <si>
    <t>C tablosu toplamı D.5 ile mutabık mı?</t>
  </si>
  <si>
    <t>E47 = D.5 eşitliği.</t>
  </si>
  <si>
    <t>S8</t>
  </si>
  <si>
    <t>✗ YİAKV E.11'de bilgi satırı var mı? (Tüm bağış kodları toplamı)</t>
  </si>
  <si>
    <t>474 DÜŞÜLEMEZ — E.11.</t>
  </si>
  <si>
    <t>S9</t>
  </si>
  <si>
    <t>Beyanname 474 'Kazancın Bulunması Halinde'?</t>
  </si>
  <si>
    <t>S10</t>
  </si>
  <si>
    <t>YMM Tasdik Raporu değerlendirildi mi?</t>
  </si>
  <si>
    <t>&gt;=500.000 TL → Rapor.</t>
  </si>
  <si>
    <t xml:space="preserve">  GİB KV BEYAN REHBERİ MART 2026 (No:606) | 474 TSKGV BAĞIŞI SON NOT:
  3388 s.K. — Türk Silahlı Kuvvetlerini Güçlendirme Vakfı (TSKGV). OYAK ve savunma sanayii şirketleri kapsam dışı.
  Tamamının indirimi — matrahı aşan kısım devredilemez.
  İşlemin bağış niteliğinde olduğu belgelenmeli — ticari ödemeyle karıştırılmamalı.
  ✗ YİAKV E.11 bilgi satırı (402–474 tüm bağış kodları toplamı).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</si>
</sst>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2E5339"/>
      <name val="Arial"/>
    </font>
    <font>
      <b/>
      <sz val="10"/>
      <color rgb="FF2E5339"/>
      <name val="Arial"/>
    </font>
    <font>
      <sz val="9"/>
      <color rgb="FF1F3864"/>
      <name val="Arial"/>
    </font>
    <font>
      <b/>
      <sz val="9"/>
      <color rgb="FF2E5339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2E5339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AF2EB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5E8D8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2E5339"/>
      </left>
      <right style="thin">
        <color rgb="FF2E5339"/>
      </right>
      <top style="thin">
        <color rgb="FF2E5339"/>
      </top>
      <bottom style="thin">
        <color rgb="FF2E533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7" fillId="12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left" vertical="center" wrapText="1"/>
    </xf>
    <xf numFmtId="0" fontId="26" fillId="11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26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16" fillId="14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C11BE3-E7BE-4BAC-B4A4-63C4095E461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6ad7d6d-dc24-47ae-9ecb-b1187347d99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6" t="s">
        <v>0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95" t="s">
        <v>1</v>
      </c>
      <c r="B2" s="61"/>
      <c r="C2" s="61"/>
      <c r="D2" s="61"/>
      <c r="E2" s="61"/>
      <c r="F2" s="61"/>
      <c r="G2" s="62"/>
    </row>
    <row r="3" spans="1:7" ht="42" customHeight="1" x14ac:dyDescent="0.55000000000000004">
      <c r="A3" s="88" t="s">
        <v>2</v>
      </c>
      <c r="B3" s="67"/>
      <c r="C3" s="67"/>
      <c r="D3" s="67"/>
      <c r="E3" s="67"/>
      <c r="F3" s="67"/>
      <c r="G3" s="64"/>
    </row>
    <row r="4" spans="1:7" ht="22" customHeight="1" x14ac:dyDescent="0.55000000000000004">
      <c r="A4" s="89" t="s">
        <v>3</v>
      </c>
      <c r="B4" s="67"/>
      <c r="C4" s="67"/>
      <c r="D4" s="67"/>
      <c r="E4" s="67"/>
      <c r="F4" s="67"/>
      <c r="G4" s="64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3" t="s">
        <v>4</v>
      </c>
      <c r="B6" s="61"/>
      <c r="C6" s="61"/>
      <c r="D6" s="61"/>
      <c r="E6" s="61"/>
      <c r="F6" s="61"/>
      <c r="G6" s="6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5" t="s">
        <v>8</v>
      </c>
      <c r="B8" s="67"/>
      <c r="C8" s="67"/>
      <c r="D8" s="64"/>
      <c r="E8" s="3" t="s">
        <v>9</v>
      </c>
      <c r="F8" s="87" t="s">
        <v>10</v>
      </c>
      <c r="G8" s="64"/>
    </row>
    <row r="9" spans="1:7" ht="28" customHeight="1" x14ac:dyDescent="0.55000000000000004">
      <c r="A9" s="85" t="s">
        <v>11</v>
      </c>
      <c r="B9" s="67"/>
      <c r="C9" s="67"/>
      <c r="D9" s="64"/>
      <c r="E9" s="3" t="s">
        <v>9</v>
      </c>
      <c r="F9" s="87" t="s">
        <v>12</v>
      </c>
      <c r="G9" s="64"/>
    </row>
    <row r="10" spans="1:7" ht="28" customHeight="1" x14ac:dyDescent="0.55000000000000004">
      <c r="A10" s="81" t="s">
        <v>13</v>
      </c>
      <c r="B10" s="67"/>
      <c r="C10" s="67"/>
      <c r="D10" s="64"/>
      <c r="E10" s="3" t="s">
        <v>9</v>
      </c>
      <c r="F10" s="82" t="s">
        <v>14</v>
      </c>
      <c r="G10" s="64"/>
    </row>
    <row r="11" spans="1:7" ht="28" customHeight="1" x14ac:dyDescent="0.55000000000000004">
      <c r="A11" s="65" t="s">
        <v>15</v>
      </c>
      <c r="B11" s="67"/>
      <c r="C11" s="67"/>
      <c r="D11" s="64"/>
      <c r="E11" s="3" t="s">
        <v>9</v>
      </c>
      <c r="F11" s="78" t="s">
        <v>16</v>
      </c>
      <c r="G11" s="64"/>
    </row>
    <row r="12" spans="1:7" ht="28" customHeight="1" x14ac:dyDescent="0.55000000000000004">
      <c r="A12" s="81" t="s">
        <v>17</v>
      </c>
      <c r="B12" s="67"/>
      <c r="C12" s="67"/>
      <c r="D12" s="64"/>
      <c r="E12" s="3" t="s">
        <v>9</v>
      </c>
      <c r="F12" s="82" t="s">
        <v>18</v>
      </c>
      <c r="G12" s="64"/>
    </row>
    <row r="13" spans="1:7" ht="28" customHeight="1" x14ac:dyDescent="0.55000000000000004">
      <c r="A13" s="65" t="s">
        <v>19</v>
      </c>
      <c r="B13" s="67"/>
      <c r="C13" s="67"/>
      <c r="D13" s="64"/>
      <c r="E13" s="3" t="s">
        <v>9</v>
      </c>
      <c r="F13" s="78" t="s">
        <v>20</v>
      </c>
      <c r="G13" s="64"/>
    </row>
    <row r="14" spans="1:7" ht="28" customHeight="1" x14ac:dyDescent="0.55000000000000004">
      <c r="A14" s="81" t="s">
        <v>21</v>
      </c>
      <c r="B14" s="67"/>
      <c r="C14" s="67"/>
      <c r="D14" s="64"/>
      <c r="E14" s="3" t="s">
        <v>9</v>
      </c>
      <c r="F14" s="82" t="s">
        <v>22</v>
      </c>
      <c r="G14" s="64"/>
    </row>
    <row r="15" spans="1:7" ht="24" customHeight="1" x14ac:dyDescent="0.55000000000000004">
      <c r="A15" s="74" t="s">
        <v>23</v>
      </c>
      <c r="B15" s="67"/>
      <c r="C15" s="67"/>
      <c r="D15" s="64"/>
      <c r="E15" s="4" t="str">
        <f>IF(AND(E8="EVET",E9="EVET",E10="EVET",E11="EVET"),"OK - Hesaplanabilir","HATA - Ön koşul eksik")</f>
        <v>OK - Hesaplanabilir</v>
      </c>
      <c r="F15" s="72" t="s">
        <v>24</v>
      </c>
      <c r="G15" s="64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0" t="s">
        <v>25</v>
      </c>
      <c r="B17" s="61"/>
      <c r="C17" s="61"/>
      <c r="D17" s="61"/>
      <c r="E17" s="61"/>
      <c r="F17" s="61"/>
      <c r="G17" s="62"/>
    </row>
    <row r="18" spans="1:7" ht="22" customHeight="1" x14ac:dyDescent="0.55000000000000004">
      <c r="A18" s="81" t="s">
        <v>26</v>
      </c>
      <c r="B18" s="64"/>
      <c r="C18" s="66"/>
      <c r="D18" s="67"/>
      <c r="E18" s="64"/>
      <c r="F18" s="69" t="s">
        <v>27</v>
      </c>
      <c r="G18" s="64"/>
    </row>
    <row r="19" spans="1:7" ht="22" customHeight="1" x14ac:dyDescent="0.55000000000000004">
      <c r="A19" s="65" t="s">
        <v>28</v>
      </c>
      <c r="B19" s="64"/>
      <c r="C19" s="66"/>
      <c r="D19" s="67"/>
      <c r="E19" s="64"/>
      <c r="F19" s="68" t="s">
        <v>29</v>
      </c>
      <c r="G19" s="64"/>
    </row>
    <row r="20" spans="1:7" ht="22" customHeight="1" x14ac:dyDescent="0.55000000000000004">
      <c r="A20" s="81" t="s">
        <v>30</v>
      </c>
      <c r="B20" s="64"/>
      <c r="C20" s="66"/>
      <c r="D20" s="67"/>
      <c r="E20" s="64"/>
      <c r="F20" s="69" t="s">
        <v>31</v>
      </c>
      <c r="G20" s="64"/>
    </row>
    <row r="21" spans="1:7" ht="22" customHeight="1" x14ac:dyDescent="0.55000000000000004">
      <c r="A21" s="65" t="s">
        <v>32</v>
      </c>
      <c r="B21" s="64"/>
      <c r="C21" s="66"/>
      <c r="D21" s="67"/>
      <c r="E21" s="64"/>
      <c r="F21" s="68" t="s">
        <v>33</v>
      </c>
      <c r="G21" s="64"/>
    </row>
    <row r="22" spans="1:7" ht="22" customHeight="1" x14ac:dyDescent="0.55000000000000004">
      <c r="A22" s="81" t="s">
        <v>34</v>
      </c>
      <c r="B22" s="64"/>
      <c r="C22" s="66"/>
      <c r="D22" s="67"/>
      <c r="E22" s="64"/>
      <c r="F22" s="69" t="s">
        <v>35</v>
      </c>
      <c r="G22" s="64"/>
    </row>
    <row r="23" spans="1:7" ht="22" customHeight="1" x14ac:dyDescent="0.55000000000000004">
      <c r="A23" s="65" t="s">
        <v>36</v>
      </c>
      <c r="B23" s="64"/>
      <c r="C23" s="66"/>
      <c r="D23" s="67"/>
      <c r="E23" s="64"/>
      <c r="F23" s="68" t="s">
        <v>37</v>
      </c>
      <c r="G23" s="64"/>
    </row>
    <row r="24" spans="1:7" ht="22" customHeight="1" x14ac:dyDescent="0.55000000000000004">
      <c r="A24" s="81" t="s">
        <v>38</v>
      </c>
      <c r="B24" s="64"/>
      <c r="C24" s="66"/>
      <c r="D24" s="67"/>
      <c r="E24" s="64"/>
      <c r="F24" s="69" t="s">
        <v>39</v>
      </c>
      <c r="G24" s="64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0" t="s">
        <v>40</v>
      </c>
      <c r="B27" s="61"/>
      <c r="C27" s="61"/>
      <c r="D27" s="61"/>
      <c r="E27" s="61"/>
      <c r="F27" s="61"/>
      <c r="G27" s="62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65" t="s">
        <v>45</v>
      </c>
      <c r="B29" s="64"/>
      <c r="C29" s="3" t="s">
        <v>46</v>
      </c>
      <c r="D29" s="68" t="s">
        <v>47</v>
      </c>
      <c r="E29" s="64"/>
      <c r="F29" s="63" t="s">
        <v>48</v>
      </c>
      <c r="G29" s="64"/>
    </row>
    <row r="30" spans="1:7" ht="26.05" customHeight="1" x14ac:dyDescent="0.55000000000000004">
      <c r="A30" s="81" t="s">
        <v>49</v>
      </c>
      <c r="B30" s="64"/>
      <c r="C30" s="3" t="s">
        <v>35</v>
      </c>
      <c r="D30" s="69" t="s">
        <v>50</v>
      </c>
      <c r="E30" s="64"/>
      <c r="F30" s="84" t="s">
        <v>51</v>
      </c>
      <c r="G30" s="64"/>
    </row>
    <row r="31" spans="1:7" ht="26.05" customHeight="1" x14ac:dyDescent="0.55000000000000004">
      <c r="A31" s="65" t="s">
        <v>52</v>
      </c>
      <c r="B31" s="64"/>
      <c r="C31" s="3" t="s">
        <v>53</v>
      </c>
      <c r="D31" s="68" t="s">
        <v>54</v>
      </c>
      <c r="E31" s="64"/>
      <c r="F31" s="63" t="s">
        <v>55</v>
      </c>
      <c r="G31" s="64"/>
    </row>
    <row r="32" spans="1:7" ht="26.05" customHeight="1" x14ac:dyDescent="0.55000000000000004">
      <c r="A32" s="81" t="s">
        <v>56</v>
      </c>
      <c r="B32" s="64"/>
      <c r="C32" s="5"/>
      <c r="D32" s="69" t="s">
        <v>57</v>
      </c>
      <c r="E32" s="64"/>
      <c r="F32" s="84" t="s">
        <v>58</v>
      </c>
      <c r="G32" s="64"/>
    </row>
    <row r="33" spans="1:7" ht="26.05" customHeight="1" x14ac:dyDescent="0.55000000000000004">
      <c r="A33" s="77" t="s">
        <v>59</v>
      </c>
      <c r="B33" s="64"/>
      <c r="C33" s="5"/>
      <c r="D33" s="68" t="s">
        <v>60</v>
      </c>
      <c r="E33" s="64"/>
      <c r="F33" s="63" t="s">
        <v>61</v>
      </c>
      <c r="G33" s="64"/>
    </row>
    <row r="34" spans="1:7" ht="26.05" customHeight="1" x14ac:dyDescent="0.55000000000000004">
      <c r="A34" s="81" t="s">
        <v>62</v>
      </c>
      <c r="B34" s="64"/>
      <c r="C34" s="5"/>
      <c r="D34" s="69" t="s">
        <v>63</v>
      </c>
      <c r="E34" s="64"/>
      <c r="F34" s="84" t="s">
        <v>64</v>
      </c>
      <c r="G34" s="64"/>
    </row>
    <row r="35" spans="1:7" ht="26.05" customHeight="1" x14ac:dyDescent="0.55000000000000004">
      <c r="A35" s="77" t="s">
        <v>65</v>
      </c>
      <c r="B35" s="64"/>
      <c r="C35" s="6">
        <f>C33+C34</f>
        <v>0</v>
      </c>
      <c r="D35" s="68" t="s">
        <v>66</v>
      </c>
      <c r="E35" s="64"/>
      <c r="F35" s="63" t="s">
        <v>67</v>
      </c>
      <c r="G35" s="64"/>
    </row>
    <row r="36" spans="1:7" ht="26.05" customHeight="1" x14ac:dyDescent="0.55000000000000004">
      <c r="A36" s="90" t="s">
        <v>68</v>
      </c>
      <c r="B36" s="64"/>
      <c r="C36" s="5"/>
      <c r="D36" s="69" t="s">
        <v>69</v>
      </c>
      <c r="E36" s="64"/>
      <c r="F36" s="84" t="s">
        <v>70</v>
      </c>
      <c r="G36" s="64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60" t="s">
        <v>71</v>
      </c>
      <c r="B38" s="61"/>
      <c r="C38" s="61"/>
      <c r="D38" s="61"/>
      <c r="E38" s="61"/>
      <c r="F38" s="61"/>
      <c r="G38" s="62"/>
    </row>
    <row r="39" spans="1:7" ht="22" customHeight="1" x14ac:dyDescent="0.55000000000000004">
      <c r="A39" s="73" t="s">
        <v>72</v>
      </c>
      <c r="B39" s="67"/>
      <c r="C39" s="67"/>
      <c r="D39" s="67"/>
      <c r="E39" s="67"/>
      <c r="F39" s="67"/>
      <c r="G39" s="64"/>
    </row>
    <row r="40" spans="1:7" ht="18" customHeight="1" x14ac:dyDescent="0.55000000000000004">
      <c r="A40" s="7" t="s">
        <v>73</v>
      </c>
      <c r="B40" s="7" t="s">
        <v>74</v>
      </c>
      <c r="C40" s="7" t="s">
        <v>75</v>
      </c>
      <c r="D40" s="7" t="s">
        <v>76</v>
      </c>
      <c r="E40" s="7" t="s">
        <v>77</v>
      </c>
      <c r="F40" s="7" t="s">
        <v>78</v>
      </c>
      <c r="G40" s="7" t="s">
        <v>79</v>
      </c>
    </row>
    <row r="41" spans="1:7" ht="26.05" customHeight="1" x14ac:dyDescent="0.55000000000000004">
      <c r="A41" s="8"/>
      <c r="B41" s="9"/>
      <c r="C41" s="10"/>
      <c r="D41" s="10"/>
      <c r="E41" s="11">
        <f t="shared" ref="E41:E46" si="0">IF(OR(C41&gt;0,D41&gt;0),C41+D41,0)</f>
        <v>0</v>
      </c>
      <c r="F41" s="12">
        <f t="shared" ref="F41:F46" si="1">E41</f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4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1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4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1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4">
        <f t="shared" si="0"/>
        <v>0</v>
      </c>
      <c r="F46" s="12">
        <f t="shared" si="1"/>
        <v>0</v>
      </c>
      <c r="G46" s="13"/>
    </row>
    <row r="47" spans="1:7" ht="30" customHeight="1" x14ac:dyDescent="0.55000000000000004">
      <c r="A47" s="98" t="s">
        <v>80</v>
      </c>
      <c r="B47" s="64"/>
      <c r="C47" s="15">
        <f>SUM(C41:C46)</f>
        <v>0</v>
      </c>
      <c r="D47" s="15">
        <f>SUM(D41:D46)</f>
        <v>0</v>
      </c>
      <c r="E47" s="16">
        <f>SUM(E41:E46)</f>
        <v>0</v>
      </c>
      <c r="F47" s="17">
        <f>SUM(F41:F46)</f>
        <v>0</v>
      </c>
      <c r="G47" s="91" t="s">
        <v>81</v>
      </c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60" t="s">
        <v>82</v>
      </c>
      <c r="B49" s="61"/>
      <c r="C49" s="61"/>
      <c r="D49" s="61"/>
      <c r="E49" s="61"/>
      <c r="F49" s="61"/>
      <c r="G49" s="62"/>
    </row>
    <row r="50" spans="1:7" ht="18" customHeight="1" x14ac:dyDescent="0.55000000000000004">
      <c r="A50" s="2"/>
      <c r="B50" s="2" t="s">
        <v>83</v>
      </c>
      <c r="C50" s="2"/>
      <c r="D50" s="2" t="s">
        <v>84</v>
      </c>
      <c r="E50" s="2"/>
      <c r="F50" s="2" t="s">
        <v>43</v>
      </c>
      <c r="G50" s="2" t="s">
        <v>85</v>
      </c>
    </row>
    <row r="51" spans="1:7" ht="28" customHeight="1" x14ac:dyDescent="0.55000000000000004">
      <c r="A51" s="65" t="s">
        <v>86</v>
      </c>
      <c r="B51" s="64"/>
      <c r="C51" s="18">
        <f>C47</f>
        <v>0</v>
      </c>
      <c r="D51" s="68" t="s">
        <v>87</v>
      </c>
      <c r="E51" s="64"/>
      <c r="F51" s="78"/>
      <c r="G51" s="64"/>
    </row>
    <row r="52" spans="1:7" ht="28" customHeight="1" x14ac:dyDescent="0.55000000000000004">
      <c r="A52" s="81" t="s">
        <v>88</v>
      </c>
      <c r="B52" s="64"/>
      <c r="C52" s="18">
        <f>D47</f>
        <v>0</v>
      </c>
      <c r="D52" s="69" t="s">
        <v>89</v>
      </c>
      <c r="E52" s="64"/>
      <c r="F52" s="82"/>
      <c r="G52" s="64"/>
    </row>
    <row r="53" spans="1:7" ht="28" customHeight="1" x14ac:dyDescent="0.55000000000000004">
      <c r="A53" s="65" t="s">
        <v>90</v>
      </c>
      <c r="B53" s="64"/>
      <c r="C53" s="18">
        <f>E47</f>
        <v>0</v>
      </c>
      <c r="D53" s="68" t="s">
        <v>91</v>
      </c>
      <c r="E53" s="64"/>
      <c r="F53" s="78"/>
      <c r="G53" s="64"/>
    </row>
    <row r="54" spans="1:7" ht="28" customHeight="1" x14ac:dyDescent="0.55000000000000004">
      <c r="A54" s="70" t="s">
        <v>92</v>
      </c>
      <c r="B54" s="64"/>
      <c r="C54" s="19" t="s">
        <v>93</v>
      </c>
      <c r="D54" s="96" t="s">
        <v>94</v>
      </c>
      <c r="E54" s="64"/>
      <c r="F54" s="83" t="s">
        <v>95</v>
      </c>
      <c r="G54" s="64"/>
    </row>
    <row r="55" spans="1:7" ht="28" customHeight="1" x14ac:dyDescent="0.55000000000000004">
      <c r="A55" s="92" t="s">
        <v>96</v>
      </c>
      <c r="B55" s="64"/>
      <c r="C55" s="20">
        <f>F47</f>
        <v>0</v>
      </c>
      <c r="D55" s="94" t="s">
        <v>97</v>
      </c>
      <c r="E55" s="64"/>
      <c r="F55" s="97" t="s">
        <v>95</v>
      </c>
      <c r="G55" s="64"/>
    </row>
    <row r="56" spans="1:7" ht="28" customHeight="1" x14ac:dyDescent="0.55000000000000004">
      <c r="A56" s="76" t="s">
        <v>98</v>
      </c>
      <c r="B56" s="64"/>
      <c r="C56" s="21" t="s">
        <v>99</v>
      </c>
      <c r="D56" s="79" t="s">
        <v>100</v>
      </c>
      <c r="E56" s="64"/>
      <c r="F56" s="80" t="s">
        <v>101</v>
      </c>
      <c r="G56" s="64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1" t="s">
        <v>102</v>
      </c>
      <c r="B58" s="67"/>
      <c r="C58" s="67"/>
      <c r="D58" s="64"/>
      <c r="E58" s="22">
        <f>C55</f>
        <v>0</v>
      </c>
      <c r="F58" s="99" t="s">
        <v>103</v>
      </c>
      <c r="G58" s="64"/>
    </row>
    <row r="59" spans="1:7" ht="30" customHeight="1" x14ac:dyDescent="0.55000000000000004">
      <c r="A59" s="75" t="s">
        <v>104</v>
      </c>
      <c r="B59" s="67"/>
      <c r="C59" s="67"/>
      <c r="D59" s="67"/>
      <c r="E59" s="67"/>
      <c r="F59" s="67"/>
      <c r="G59" s="64"/>
    </row>
  </sheetData>
  <mergeCells count="94">
    <mergeCell ref="A2:G2"/>
    <mergeCell ref="F14:G14"/>
    <mergeCell ref="D54:E54"/>
    <mergeCell ref="A14:D14"/>
    <mergeCell ref="F11:G11"/>
    <mergeCell ref="A24:B24"/>
    <mergeCell ref="F12:G12"/>
    <mergeCell ref="F24:G24"/>
    <mergeCell ref="F51:G51"/>
    <mergeCell ref="D32:E32"/>
    <mergeCell ref="F32:G32"/>
    <mergeCell ref="A18:B18"/>
    <mergeCell ref="F35:G35"/>
    <mergeCell ref="C19:E19"/>
    <mergeCell ref="A47:B47"/>
    <mergeCell ref="F52:G52"/>
    <mergeCell ref="F8:G8"/>
    <mergeCell ref="A21:B21"/>
    <mergeCell ref="A6:G6"/>
    <mergeCell ref="A32:B32"/>
    <mergeCell ref="F22:G22"/>
    <mergeCell ref="A23:B23"/>
    <mergeCell ref="D30:E30"/>
    <mergeCell ref="A12:D12"/>
    <mergeCell ref="A20:B20"/>
    <mergeCell ref="A29:B29"/>
    <mergeCell ref="A27:G27"/>
    <mergeCell ref="A31:B31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38:G38"/>
    <mergeCell ref="G47"/>
    <mergeCell ref="A10:D10"/>
    <mergeCell ref="F21:G21"/>
    <mergeCell ref="D52:E52"/>
    <mergeCell ref="A9:D9"/>
    <mergeCell ref="F30:G30"/>
    <mergeCell ref="F20:G20"/>
    <mergeCell ref="F18:G18"/>
    <mergeCell ref="F33:G33"/>
    <mergeCell ref="A11:D11"/>
    <mergeCell ref="F10:G10"/>
    <mergeCell ref="F54:G54"/>
    <mergeCell ref="D34:E34"/>
    <mergeCell ref="F19:G19"/>
    <mergeCell ref="C22:E22"/>
    <mergeCell ref="F34:G34"/>
    <mergeCell ref="A49:G49"/>
    <mergeCell ref="D53:E53"/>
    <mergeCell ref="F36:G36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D33:E33"/>
    <mergeCell ref="A19:B19"/>
    <mergeCell ref="D51:E51"/>
    <mergeCell ref="C20:E20"/>
    <mergeCell ref="D35:E35"/>
    <mergeCell ref="A30:B30"/>
    <mergeCell ref="A13:D13"/>
    <mergeCell ref="A54:B54"/>
    <mergeCell ref="A58:D58"/>
    <mergeCell ref="F15:G15"/>
    <mergeCell ref="C23:E23"/>
    <mergeCell ref="A39:G39"/>
    <mergeCell ref="A15:D15"/>
    <mergeCell ref="F13:G13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"EVET,HAYIR-Kapsam Dışı Kurum"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"EVET,HAYIR-Amaç Dışı"</formula1>
    </dataValidation>
    <dataValidation type="list" sqref="E12" xr:uid="{00000000-0002-0000-0000-000004000000}">
      <formula1>"EVET,HAYIR-Değerleme Eksik,Uygulanmaz-Yalnızca Nakdi"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Transferi/EFT/Havale),Ayni (Malzeme/Ekipman/Teknoloji),Karma (Nakdi + Ayni)"</formula1>
    </dataValidation>
    <dataValidation type="list" sqref="C30" xr:uid="{00000000-0002-0000-0000-000008000000}">
      <formula1>"Türk Silahlı Kuvvetlerini Güçlendirme Vakfı (TSKGV),TSKGV Bünyesindeki Fon/Program,Diğer 3388 s.K. Kapsamı"</formula1>
    </dataValidation>
    <dataValidation type="list" sqref="C31" xr:uid="{00000000-0002-0000-0000-000009000000}">
      <formula1>"Savunma Sanayi ve Teknoloji Desteği,TSK Mensuplarına Sosyal Destek,TSKGV Faaliyetleri Genel Desteği,Şehit/Gazi Ailelerine Destek,Diğer 3388 s.K. Kapsamı Faaliyet"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7" t="s">
        <v>105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112" t="s">
        <v>106</v>
      </c>
      <c r="B2" s="67"/>
      <c r="C2" s="67"/>
      <c r="D2" s="67"/>
      <c r="E2" s="67"/>
      <c r="F2" s="67"/>
      <c r="G2" s="6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4" t="s">
        <v>107</v>
      </c>
      <c r="B4" s="61"/>
      <c r="C4" s="61"/>
      <c r="D4" s="61"/>
      <c r="E4" s="61"/>
      <c r="F4" s="61"/>
      <c r="G4" s="62"/>
    </row>
    <row r="5" spans="1:7" ht="22" customHeight="1" x14ac:dyDescent="0.55000000000000004">
      <c r="A5" s="106" t="s">
        <v>108</v>
      </c>
      <c r="B5" s="67"/>
      <c r="C5" s="64"/>
      <c r="D5" s="23" t="str">
        <f>'VERİ GİRİŞİ'!E15</f>
        <v>OK - Hesaplanabilir</v>
      </c>
      <c r="E5" s="78" t="s">
        <v>109</v>
      </c>
      <c r="F5" s="67"/>
      <c r="G5" s="64"/>
    </row>
    <row r="6" spans="1:7" ht="22" customHeight="1" x14ac:dyDescent="0.55000000000000004">
      <c r="A6" s="110" t="s">
        <v>110</v>
      </c>
      <c r="B6" s="67"/>
      <c r="C6" s="64"/>
      <c r="D6" s="23" t="str">
        <f>'VERİ GİRİŞİ'!C31</f>
        <v>TSKGV Faaliyetleri Genel Desteği</v>
      </c>
      <c r="E6" s="82" t="s">
        <v>111</v>
      </c>
      <c r="F6" s="67"/>
      <c r="G6" s="64"/>
    </row>
    <row r="7" spans="1:7" ht="22" customHeight="1" x14ac:dyDescent="0.55000000000000004">
      <c r="A7" s="106" t="s">
        <v>112</v>
      </c>
      <c r="B7" s="67"/>
      <c r="C7" s="64"/>
      <c r="D7" s="23">
        <f>'VERİ GİRİŞİ'!C51</f>
        <v>0</v>
      </c>
      <c r="E7" s="78" t="s">
        <v>113</v>
      </c>
      <c r="F7" s="67"/>
      <c r="G7" s="64"/>
    </row>
    <row r="8" spans="1:7" ht="22" customHeight="1" x14ac:dyDescent="0.55000000000000004">
      <c r="A8" s="74" t="s">
        <v>114</v>
      </c>
      <c r="B8" s="67"/>
      <c r="C8" s="64"/>
      <c r="D8" s="24">
        <f>'VERİ GİRİŞİ'!C55</f>
        <v>0</v>
      </c>
      <c r="E8" s="97"/>
      <c r="F8" s="67"/>
      <c r="G8" s="64"/>
    </row>
    <row r="9" spans="1:7" ht="22" customHeight="1" x14ac:dyDescent="0.55000000000000004">
      <c r="A9" s="108" t="s">
        <v>115</v>
      </c>
      <c r="B9" s="67"/>
      <c r="C9" s="64"/>
      <c r="D9" s="21" t="s">
        <v>116</v>
      </c>
      <c r="E9" s="80" t="s">
        <v>117</v>
      </c>
      <c r="F9" s="67"/>
      <c r="G9" s="64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60" t="s">
        <v>118</v>
      </c>
      <c r="B11" s="61"/>
      <c r="C11" s="61"/>
      <c r="D11" s="61"/>
      <c r="E11" s="61"/>
      <c r="F11" s="61"/>
      <c r="G11" s="62"/>
    </row>
    <row r="12" spans="1:7" ht="60" customHeight="1" x14ac:dyDescent="0.55000000000000004">
      <c r="A12" s="111" t="s">
        <v>119</v>
      </c>
      <c r="B12" s="67"/>
      <c r="C12" s="67"/>
      <c r="D12" s="67"/>
      <c r="E12" s="67"/>
      <c r="F12" s="67"/>
      <c r="G12" s="64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60" t="s">
        <v>120</v>
      </c>
      <c r="B14" s="61"/>
      <c r="C14" s="61"/>
      <c r="D14" s="61"/>
      <c r="E14" s="61"/>
      <c r="F14" s="61"/>
      <c r="G14" s="62"/>
    </row>
    <row r="15" spans="1:7" ht="18" customHeight="1" x14ac:dyDescent="0.55000000000000004">
      <c r="A15" s="2"/>
      <c r="B15" s="2" t="s">
        <v>121</v>
      </c>
      <c r="C15" s="2"/>
      <c r="D15" s="2" t="s">
        <v>43</v>
      </c>
      <c r="E15" s="2"/>
      <c r="F15" s="2" t="s">
        <v>122</v>
      </c>
      <c r="G15" s="2"/>
    </row>
    <row r="16" spans="1:7" ht="20.05" customHeight="1" x14ac:dyDescent="0.55000000000000004">
      <c r="A16" s="25" t="s">
        <v>123</v>
      </c>
      <c r="B16" s="101" t="s">
        <v>124</v>
      </c>
      <c r="C16" s="64"/>
      <c r="D16" s="103" t="s">
        <v>125</v>
      </c>
      <c r="E16" s="64"/>
      <c r="F16" s="13" t="s">
        <v>126</v>
      </c>
      <c r="G16" s="28"/>
    </row>
    <row r="17" spans="1:7" ht="20.05" customHeight="1" x14ac:dyDescent="0.55000000000000004">
      <c r="A17" s="25" t="s">
        <v>127</v>
      </c>
      <c r="B17" s="101" t="s">
        <v>128</v>
      </c>
      <c r="C17" s="64"/>
      <c r="D17" s="103" t="s">
        <v>129</v>
      </c>
      <c r="E17" s="64"/>
      <c r="F17" s="13" t="s">
        <v>126</v>
      </c>
      <c r="G17" s="29"/>
    </row>
    <row r="18" spans="1:7" ht="20.05" customHeight="1" x14ac:dyDescent="0.55000000000000004">
      <c r="A18" s="25" t="s">
        <v>130</v>
      </c>
      <c r="B18" s="101" t="s">
        <v>131</v>
      </c>
      <c r="C18" s="64"/>
      <c r="D18" s="103" t="s">
        <v>132</v>
      </c>
      <c r="E18" s="64"/>
      <c r="F18" s="13" t="s">
        <v>126</v>
      </c>
      <c r="G18" s="28"/>
    </row>
    <row r="19" spans="1:7" ht="20.05" customHeight="1" x14ac:dyDescent="0.55000000000000004">
      <c r="A19" s="25" t="s">
        <v>133</v>
      </c>
      <c r="B19" s="101" t="s">
        <v>134</v>
      </c>
      <c r="C19" s="64"/>
      <c r="D19" s="103" t="s">
        <v>135</v>
      </c>
      <c r="E19" s="64"/>
      <c r="F19" s="13" t="s">
        <v>126</v>
      </c>
      <c r="G19" s="29"/>
    </row>
    <row r="20" spans="1:7" ht="20.05" customHeight="1" x14ac:dyDescent="0.55000000000000004">
      <c r="A20" s="25" t="s">
        <v>136</v>
      </c>
      <c r="B20" s="109" t="s">
        <v>137</v>
      </c>
      <c r="C20" s="64"/>
      <c r="D20" s="100" t="s">
        <v>138</v>
      </c>
      <c r="E20" s="64"/>
      <c r="F20" s="13" t="s">
        <v>126</v>
      </c>
      <c r="G20" s="28"/>
    </row>
    <row r="21" spans="1:7" ht="20.05" customHeight="1" x14ac:dyDescent="0.55000000000000004">
      <c r="A21" s="25" t="s">
        <v>139</v>
      </c>
      <c r="B21" s="102" t="s">
        <v>140</v>
      </c>
      <c r="C21" s="64"/>
      <c r="D21" s="105" t="s">
        <v>141</v>
      </c>
      <c r="E21" s="64"/>
      <c r="F21" s="13" t="s">
        <v>126</v>
      </c>
      <c r="G21" s="29"/>
    </row>
    <row r="22" spans="1:7" ht="20.05" customHeight="1" x14ac:dyDescent="0.55000000000000004">
      <c r="A22" s="25" t="s">
        <v>142</v>
      </c>
      <c r="B22" s="101" t="s">
        <v>143</v>
      </c>
      <c r="C22" s="64"/>
      <c r="D22" s="103" t="s">
        <v>144</v>
      </c>
      <c r="E22" s="64"/>
      <c r="F22" s="13" t="s">
        <v>126</v>
      </c>
      <c r="G22" s="28"/>
    </row>
    <row r="23" spans="1:7" ht="20.05" customHeight="1" x14ac:dyDescent="0.55000000000000004">
      <c r="A23" s="25" t="s">
        <v>145</v>
      </c>
      <c r="B23" s="102" t="s">
        <v>146</v>
      </c>
      <c r="C23" s="64"/>
      <c r="D23" s="105" t="s">
        <v>147</v>
      </c>
      <c r="E23" s="64"/>
      <c r="F23" s="13" t="s">
        <v>126</v>
      </c>
      <c r="G23" s="29"/>
    </row>
    <row r="24" spans="1:7" ht="20.05" customHeight="1" x14ac:dyDescent="0.55000000000000004">
      <c r="A24" s="25" t="s">
        <v>148</v>
      </c>
      <c r="B24" s="109" t="s">
        <v>149</v>
      </c>
      <c r="C24" s="64"/>
      <c r="D24" s="100" t="s">
        <v>150</v>
      </c>
      <c r="E24" s="64"/>
      <c r="F24" s="13" t="s">
        <v>126</v>
      </c>
      <c r="G24" s="28"/>
    </row>
    <row r="25" spans="1:7" ht="20.05" customHeight="1" x14ac:dyDescent="0.55000000000000004">
      <c r="A25" s="25" t="s">
        <v>151</v>
      </c>
      <c r="B25" s="102" t="s">
        <v>152</v>
      </c>
      <c r="C25" s="64"/>
      <c r="D25" s="105" t="s">
        <v>153</v>
      </c>
      <c r="E25" s="64"/>
      <c r="F25" s="13" t="s">
        <v>126</v>
      </c>
      <c r="G25" s="29"/>
    </row>
    <row r="26" spans="1:7" ht="20.05" customHeight="1" x14ac:dyDescent="0.55000000000000004">
      <c r="A26" s="25" t="s">
        <v>154</v>
      </c>
      <c r="B26" s="109" t="s">
        <v>155</v>
      </c>
      <c r="C26" s="64"/>
      <c r="D26" s="100" t="s">
        <v>22</v>
      </c>
      <c r="E26" s="64"/>
      <c r="F26" s="13" t="s">
        <v>126</v>
      </c>
      <c r="G26" s="28"/>
    </row>
  </sheetData>
  <mergeCells count="38">
    <mergeCell ref="B26:C26"/>
    <mergeCell ref="A7:C7"/>
    <mergeCell ref="D26:E26"/>
    <mergeCell ref="A1:G1"/>
    <mergeCell ref="B19:C19"/>
    <mergeCell ref="A9:C9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A4:G4"/>
    <mergeCell ref="B22:C22"/>
    <mergeCell ref="E9:G9"/>
    <mergeCell ref="D22:E22"/>
    <mergeCell ref="B18:C18"/>
    <mergeCell ref="E6:G6"/>
    <mergeCell ref="D21:E21"/>
    <mergeCell ref="B21:C21"/>
    <mergeCell ref="A5:C5"/>
    <mergeCell ref="A8:C8"/>
    <mergeCell ref="B17:C17"/>
    <mergeCell ref="D17:E17"/>
    <mergeCell ref="A11:G11"/>
    <mergeCell ref="E7:G7"/>
    <mergeCell ref="D16:E16"/>
    <mergeCell ref="D20:E20"/>
    <mergeCell ref="A14:G14"/>
    <mergeCell ref="B16:C16"/>
    <mergeCell ref="B25:C25"/>
    <mergeCell ref="D19:E19"/>
    <mergeCell ref="B23:C23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0" t="s">
        <v>156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114" t="s">
        <v>157</v>
      </c>
      <c r="B2" s="67"/>
      <c r="C2" s="67"/>
      <c r="D2" s="67"/>
      <c r="E2" s="67"/>
      <c r="F2" s="67"/>
      <c r="G2" s="64"/>
    </row>
    <row r="3" spans="1:7" ht="18" customHeight="1" x14ac:dyDescent="0.55000000000000004">
      <c r="A3" s="32"/>
      <c r="B3" s="32" t="s">
        <v>158</v>
      </c>
      <c r="C3" s="32" t="s">
        <v>159</v>
      </c>
      <c r="D3" s="32" t="s">
        <v>85</v>
      </c>
      <c r="E3" s="32" t="s">
        <v>160</v>
      </c>
      <c r="F3" s="32" t="s">
        <v>161</v>
      </c>
      <c r="G3" s="32" t="s">
        <v>162</v>
      </c>
    </row>
    <row r="4" spans="1:7" ht="22" customHeight="1" x14ac:dyDescent="0.55000000000000004">
      <c r="A4" s="33" t="s">
        <v>160</v>
      </c>
      <c r="B4" s="33" t="s">
        <v>163</v>
      </c>
      <c r="C4" s="33" t="s">
        <v>164</v>
      </c>
      <c r="D4" s="33" t="s">
        <v>165</v>
      </c>
      <c r="E4" s="33" t="s">
        <v>166</v>
      </c>
      <c r="F4" s="33" t="s">
        <v>167</v>
      </c>
      <c r="G4" s="33" t="s">
        <v>168</v>
      </c>
    </row>
    <row r="5" spans="1:7" ht="22" customHeight="1" x14ac:dyDescent="0.55000000000000004">
      <c r="A5" s="116" t="s">
        <v>169</v>
      </c>
      <c r="B5" s="67"/>
      <c r="C5" s="67"/>
      <c r="D5" s="67"/>
      <c r="E5" s="67"/>
      <c r="F5" s="67"/>
      <c r="G5" s="64"/>
    </row>
    <row r="6" spans="1:7" ht="18" customHeight="1" x14ac:dyDescent="0.55000000000000004">
      <c r="A6" s="32"/>
      <c r="B6" s="32" t="s">
        <v>158</v>
      </c>
      <c r="C6" s="32" t="s">
        <v>159</v>
      </c>
      <c r="D6" s="32" t="s">
        <v>85</v>
      </c>
      <c r="E6" s="32" t="s">
        <v>160</v>
      </c>
      <c r="F6" s="32" t="s">
        <v>161</v>
      </c>
      <c r="G6" s="32" t="s">
        <v>162</v>
      </c>
    </row>
    <row r="7" spans="1:7" ht="22" customHeight="1" x14ac:dyDescent="0.55000000000000004">
      <c r="A7" s="33" t="s">
        <v>160</v>
      </c>
      <c r="B7" s="33" t="s">
        <v>170</v>
      </c>
      <c r="C7" s="33" t="s">
        <v>171</v>
      </c>
      <c r="D7" s="33" t="s">
        <v>172</v>
      </c>
      <c r="E7" s="33" t="s">
        <v>173</v>
      </c>
      <c r="F7" s="33" t="s">
        <v>167</v>
      </c>
      <c r="G7" s="33" t="s">
        <v>174</v>
      </c>
    </row>
    <row r="8" spans="1:7" ht="22" customHeight="1" x14ac:dyDescent="0.55000000000000004">
      <c r="A8" s="113" t="s">
        <v>175</v>
      </c>
      <c r="B8" s="67"/>
      <c r="C8" s="67"/>
      <c r="D8" s="67"/>
      <c r="E8" s="67"/>
      <c r="F8" s="67"/>
      <c r="G8" s="64"/>
    </row>
    <row r="9" spans="1:7" ht="18" customHeight="1" x14ac:dyDescent="0.55000000000000004">
      <c r="A9" s="32"/>
      <c r="B9" s="32" t="s">
        <v>158</v>
      </c>
      <c r="C9" s="32" t="s">
        <v>159</v>
      </c>
      <c r="D9" s="32" t="s">
        <v>85</v>
      </c>
      <c r="E9" s="32" t="s">
        <v>160</v>
      </c>
      <c r="F9" s="32" t="s">
        <v>161</v>
      </c>
      <c r="G9" s="32" t="s">
        <v>162</v>
      </c>
    </row>
    <row r="10" spans="1:7" ht="22" customHeight="1" x14ac:dyDescent="0.55000000000000004">
      <c r="A10" s="33" t="s">
        <v>160</v>
      </c>
      <c r="B10" s="33" t="s">
        <v>176</v>
      </c>
      <c r="C10" s="33" t="s">
        <v>177</v>
      </c>
      <c r="D10" s="33" t="s">
        <v>178</v>
      </c>
      <c r="E10" s="33" t="s">
        <v>166</v>
      </c>
      <c r="F10" s="33" t="s">
        <v>167</v>
      </c>
      <c r="G10" s="33" t="s">
        <v>179</v>
      </c>
    </row>
    <row r="11" spans="1:7" ht="32.049999999999997" customHeight="1" x14ac:dyDescent="0.55000000000000004">
      <c r="A11" s="115" t="s">
        <v>180</v>
      </c>
      <c r="B11" s="67"/>
      <c r="C11" s="67"/>
      <c r="D11" s="67"/>
      <c r="E11" s="67"/>
      <c r="F11" s="67"/>
      <c r="G11" s="64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0" t="s">
        <v>181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5" t="s">
        <v>182</v>
      </c>
      <c r="B2" s="61"/>
      <c r="C2" s="61"/>
      <c r="D2" s="61"/>
      <c r="E2" s="61"/>
      <c r="F2" s="61"/>
      <c r="G2" s="62"/>
    </row>
    <row r="3" spans="1:7" ht="18" customHeight="1" x14ac:dyDescent="0.55000000000000004">
      <c r="A3" s="32" t="s">
        <v>183</v>
      </c>
      <c r="B3" s="32" t="s">
        <v>184</v>
      </c>
      <c r="C3" s="32" t="s">
        <v>185</v>
      </c>
      <c r="D3" s="32" t="s">
        <v>186</v>
      </c>
    </row>
    <row r="4" spans="1:7" ht="64" customHeight="1" x14ac:dyDescent="0.55000000000000004">
      <c r="A4" s="25" t="s">
        <v>187</v>
      </c>
      <c r="B4" s="30" t="s">
        <v>188</v>
      </c>
      <c r="C4" s="34" t="s">
        <v>189</v>
      </c>
      <c r="D4" s="35" t="s">
        <v>190</v>
      </c>
    </row>
    <row r="5" spans="1:7" ht="52" customHeight="1" x14ac:dyDescent="0.55000000000000004">
      <c r="A5" s="36" t="s">
        <v>191</v>
      </c>
      <c r="B5" s="26" t="s">
        <v>192</v>
      </c>
      <c r="C5" s="27" t="s">
        <v>193</v>
      </c>
      <c r="D5" s="37" t="s">
        <v>194</v>
      </c>
    </row>
    <row r="6" spans="1:7" ht="48" customHeight="1" x14ac:dyDescent="0.55000000000000004">
      <c r="A6" s="25" t="s">
        <v>195</v>
      </c>
      <c r="B6" s="30" t="s">
        <v>196</v>
      </c>
      <c r="C6" s="34" t="s">
        <v>197</v>
      </c>
      <c r="D6" s="35" t="s">
        <v>198</v>
      </c>
    </row>
    <row r="7" spans="1:7" ht="52" customHeight="1" x14ac:dyDescent="0.55000000000000004">
      <c r="A7" s="25" t="s">
        <v>199</v>
      </c>
      <c r="B7" s="30" t="s">
        <v>200</v>
      </c>
      <c r="C7" s="34" t="s">
        <v>201</v>
      </c>
      <c r="D7" s="35" t="s">
        <v>202</v>
      </c>
    </row>
    <row r="8" spans="1:7" ht="68.05" customHeight="1" x14ac:dyDescent="0.55000000000000004">
      <c r="A8" s="25" t="s">
        <v>203</v>
      </c>
      <c r="B8" s="31" t="s">
        <v>204</v>
      </c>
      <c r="C8" s="34" t="s">
        <v>205</v>
      </c>
      <c r="D8" s="38" t="s">
        <v>206</v>
      </c>
    </row>
    <row r="9" spans="1:7" ht="36" customHeight="1" x14ac:dyDescent="0.55000000000000004">
      <c r="A9" s="117" t="s">
        <v>207</v>
      </c>
      <c r="B9" s="67"/>
      <c r="C9" s="67"/>
      <c r="D9" s="64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0" t="s">
        <v>208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5" t="s">
        <v>209</v>
      </c>
      <c r="B2" s="61"/>
      <c r="C2" s="61"/>
      <c r="D2" s="61"/>
      <c r="E2" s="61"/>
      <c r="F2" s="61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9" t="s">
        <v>210</v>
      </c>
      <c r="B4" s="61"/>
      <c r="C4" s="61"/>
      <c r="D4" s="61"/>
      <c r="E4" s="61"/>
      <c r="F4" s="61"/>
      <c r="G4" s="62"/>
    </row>
    <row r="5" spans="1:7" ht="18" customHeight="1" x14ac:dyDescent="0.55000000000000004">
      <c r="A5" s="32"/>
      <c r="B5" s="32" t="s">
        <v>211</v>
      </c>
      <c r="C5" s="32" t="s">
        <v>48</v>
      </c>
      <c r="D5" s="32" t="s">
        <v>43</v>
      </c>
      <c r="E5" s="32" t="s">
        <v>212</v>
      </c>
      <c r="F5" s="32"/>
    </row>
    <row r="6" spans="1:7" ht="34" customHeight="1" x14ac:dyDescent="0.55000000000000004">
      <c r="A6" s="40"/>
      <c r="B6" s="41" t="s">
        <v>213</v>
      </c>
      <c r="C6" s="42" t="s">
        <v>214</v>
      </c>
      <c r="D6" s="43" t="s">
        <v>215</v>
      </c>
      <c r="E6" s="44" t="s">
        <v>70</v>
      </c>
      <c r="F6" s="40"/>
    </row>
    <row r="7" spans="1:7" ht="34" customHeight="1" x14ac:dyDescent="0.55000000000000004">
      <c r="A7" s="29"/>
      <c r="B7" s="45" t="s">
        <v>216</v>
      </c>
      <c r="C7" s="46" t="s">
        <v>217</v>
      </c>
      <c r="D7" s="43" t="s">
        <v>218</v>
      </c>
      <c r="E7" s="47" t="s">
        <v>219</v>
      </c>
      <c r="F7" s="29"/>
    </row>
    <row r="8" spans="1:7" ht="34" customHeight="1" x14ac:dyDescent="0.55000000000000004">
      <c r="A8" s="40"/>
      <c r="B8" s="41" t="s">
        <v>220</v>
      </c>
      <c r="C8" s="48" t="s">
        <v>221</v>
      </c>
      <c r="D8" s="43" t="s">
        <v>222</v>
      </c>
      <c r="E8" s="44" t="s">
        <v>223</v>
      </c>
      <c r="F8" s="40"/>
    </row>
    <row r="9" spans="1:7" ht="34" customHeight="1" x14ac:dyDescent="0.55000000000000004">
      <c r="A9" s="29"/>
      <c r="B9" s="45" t="s">
        <v>224</v>
      </c>
      <c r="C9" s="31" t="s">
        <v>225</v>
      </c>
      <c r="D9" s="43" t="s">
        <v>226</v>
      </c>
      <c r="E9" s="47" t="s">
        <v>227</v>
      </c>
      <c r="F9" s="29"/>
    </row>
    <row r="10" spans="1:7" ht="34" customHeight="1" x14ac:dyDescent="0.55000000000000004">
      <c r="A10" s="40"/>
      <c r="B10" s="41" t="s">
        <v>228</v>
      </c>
      <c r="C10" s="48" t="s">
        <v>229</v>
      </c>
      <c r="D10" s="43" t="s">
        <v>230</v>
      </c>
      <c r="E10" s="44" t="s">
        <v>231</v>
      </c>
      <c r="F10" s="4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8" t="s">
        <v>232</v>
      </c>
      <c r="B12" s="61"/>
      <c r="C12" s="61"/>
      <c r="D12" s="61"/>
      <c r="E12" s="61"/>
      <c r="F12" s="61"/>
      <c r="G12" s="62"/>
    </row>
    <row r="13" spans="1:7" ht="18" customHeight="1" x14ac:dyDescent="0.55000000000000004">
      <c r="A13" s="49"/>
      <c r="B13" s="49" t="s">
        <v>211</v>
      </c>
      <c r="C13" s="49" t="s">
        <v>5</v>
      </c>
      <c r="D13" s="49" t="s">
        <v>233</v>
      </c>
      <c r="E13" s="49" t="s">
        <v>234</v>
      </c>
      <c r="F13" s="49"/>
    </row>
    <row r="14" spans="1:7" ht="28" customHeight="1" x14ac:dyDescent="0.55000000000000004">
      <c r="A14" s="50"/>
      <c r="B14" s="51" t="s">
        <v>235</v>
      </c>
      <c r="C14" s="52" t="s">
        <v>124</v>
      </c>
      <c r="D14" s="53" t="s">
        <v>236</v>
      </c>
      <c r="E14" s="54" t="s">
        <v>237</v>
      </c>
      <c r="F14" s="50"/>
    </row>
    <row r="15" spans="1:7" ht="28" customHeight="1" x14ac:dyDescent="0.55000000000000004">
      <c r="A15" s="50"/>
      <c r="B15" s="51" t="s">
        <v>238</v>
      </c>
      <c r="C15" s="52" t="s">
        <v>239</v>
      </c>
      <c r="D15" s="53" t="s">
        <v>240</v>
      </c>
      <c r="E15" s="54" t="s">
        <v>237</v>
      </c>
      <c r="F15" s="50"/>
    </row>
    <row r="16" spans="1:7" ht="28" customHeight="1" x14ac:dyDescent="0.55000000000000004">
      <c r="A16" s="50"/>
      <c r="B16" s="51" t="s">
        <v>241</v>
      </c>
      <c r="C16" s="52" t="s">
        <v>131</v>
      </c>
      <c r="D16" s="53" t="s">
        <v>242</v>
      </c>
      <c r="E16" s="54" t="s">
        <v>237</v>
      </c>
      <c r="F16" s="50"/>
    </row>
    <row r="17" spans="1:7" ht="28" customHeight="1" x14ac:dyDescent="0.55000000000000004">
      <c r="A17" s="50"/>
      <c r="B17" s="51" t="s">
        <v>243</v>
      </c>
      <c r="C17" s="52" t="s">
        <v>244</v>
      </c>
      <c r="D17" s="53" t="s">
        <v>245</v>
      </c>
      <c r="E17" s="54" t="s">
        <v>237</v>
      </c>
      <c r="F17" s="50"/>
    </row>
    <row r="18" spans="1:7" ht="28" customHeight="1" x14ac:dyDescent="0.55000000000000004">
      <c r="A18" s="55"/>
      <c r="B18" s="56" t="s">
        <v>246</v>
      </c>
      <c r="C18" s="57" t="s">
        <v>247</v>
      </c>
      <c r="D18" s="58" t="s">
        <v>248</v>
      </c>
      <c r="E18" s="59" t="s">
        <v>237</v>
      </c>
      <c r="F18" s="55"/>
    </row>
    <row r="19" spans="1:7" ht="28" customHeight="1" x14ac:dyDescent="0.55000000000000004">
      <c r="A19" s="50"/>
      <c r="B19" s="51" t="s">
        <v>249</v>
      </c>
      <c r="C19" s="52" t="s">
        <v>250</v>
      </c>
      <c r="D19" s="53" t="s">
        <v>144</v>
      </c>
      <c r="E19" s="54" t="s">
        <v>237</v>
      </c>
      <c r="F19" s="50"/>
    </row>
    <row r="20" spans="1:7" ht="28" customHeight="1" x14ac:dyDescent="0.55000000000000004">
      <c r="A20" s="55"/>
      <c r="B20" s="56" t="s">
        <v>251</v>
      </c>
      <c r="C20" s="57" t="s">
        <v>252</v>
      </c>
      <c r="D20" s="58" t="s">
        <v>253</v>
      </c>
      <c r="E20" s="59" t="s">
        <v>237</v>
      </c>
      <c r="F20" s="55"/>
    </row>
    <row r="21" spans="1:7" ht="28" customHeight="1" x14ac:dyDescent="0.55000000000000004">
      <c r="A21" s="55"/>
      <c r="B21" s="56" t="s">
        <v>254</v>
      </c>
      <c r="C21" s="57" t="s">
        <v>255</v>
      </c>
      <c r="D21" s="58" t="s">
        <v>256</v>
      </c>
      <c r="E21" s="59" t="s">
        <v>237</v>
      </c>
      <c r="F21" s="55"/>
    </row>
    <row r="22" spans="1:7" ht="28" customHeight="1" x14ac:dyDescent="0.55000000000000004">
      <c r="A22" s="55"/>
      <c r="B22" s="56" t="s">
        <v>257</v>
      </c>
      <c r="C22" s="57" t="s">
        <v>258</v>
      </c>
      <c r="D22" s="58" t="s">
        <v>153</v>
      </c>
      <c r="E22" s="59" t="s">
        <v>237</v>
      </c>
      <c r="F22" s="55"/>
    </row>
    <row r="23" spans="1:7" ht="28" customHeight="1" x14ac:dyDescent="0.55000000000000004">
      <c r="A23" s="55"/>
      <c r="B23" s="56" t="s">
        <v>259</v>
      </c>
      <c r="C23" s="57" t="s">
        <v>260</v>
      </c>
      <c r="D23" s="58" t="s">
        <v>261</v>
      </c>
      <c r="E23" s="59" t="s">
        <v>237</v>
      </c>
      <c r="F23" s="5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7" t="s">
        <v>262</v>
      </c>
      <c r="B25" s="67"/>
      <c r="C25" s="67"/>
      <c r="D25" s="67"/>
      <c r="E25" s="67"/>
      <c r="F25" s="64"/>
      <c r="G25" s="39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2026-04-06T11:20:37Z</dcterms:created>
  <dcterms:modified xsi:type="dcterms:W3CDTF">2026-04-06T11:27:27Z</dcterms:modified>
</cp:coreProperties>
</file>