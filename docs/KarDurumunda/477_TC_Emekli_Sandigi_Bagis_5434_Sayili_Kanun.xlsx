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imatglobal365-my.sharepoint.com/personal/aydindede_itimatglobal_com/Documents/Desktop/GEM/KARIN BULUNMASI HALİNDE/"/>
    </mc:Choice>
  </mc:AlternateContent>
  <xr:revisionPtr revIDLastSave="0" documentId="8_{42A5E213-A3EA-48EF-AB91-9CA6B359F967}" xr6:coauthVersionLast="47" xr6:coauthVersionMax="47" xr10:uidLastSave="{00000000-0000-0000-0000-000000000000}"/>
  <bookViews>
    <workbookView xWindow="-96" yWindow="-96" windowWidth="23232" windowHeight="12552" xr2:uid="{00000000-000D-0000-FFFF-FFFF00000000}"/>
  </bookViews>
  <sheets>
    <sheet name="VERİ GİRİŞİ" sheetId="1" r:id="rId1"/>
    <sheet name="HESAPLAMALAR &amp; KONTROL" sheetId="2" r:id="rId2"/>
    <sheet name="MUHASEBE KAYITLARI" sheetId="3" r:id="rId3"/>
    <sheet name="DENETCİ NOTLARI" sheetId="4" r:id="rId4"/>
    <sheet name="BELGE LISTESI"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2" l="1"/>
  <c r="D7" i="2"/>
  <c r="D6" i="2"/>
  <c r="E58" i="1"/>
  <c r="C52" i="1"/>
  <c r="C51" i="1"/>
  <c r="D47" i="1"/>
  <c r="C47" i="1"/>
  <c r="E46" i="1"/>
  <c r="F46" i="1" s="1"/>
  <c r="E45" i="1"/>
  <c r="F45" i="1" s="1"/>
  <c r="E44" i="1"/>
  <c r="F44" i="1" s="1"/>
  <c r="E43" i="1"/>
  <c r="F43" i="1" s="1"/>
  <c r="E42" i="1"/>
  <c r="F42" i="1" s="1"/>
  <c r="E41" i="1"/>
  <c r="E47" i="1" s="1"/>
  <c r="C53" i="1" s="1"/>
  <c r="C35" i="1"/>
  <c r="E15" i="1"/>
  <c r="D5" i="2" s="1"/>
  <c r="F41" i="1" l="1"/>
  <c r="F47" i="1" s="1"/>
  <c r="C55" i="1" s="1"/>
</calcChain>
</file>

<file path=xl/sharedStrings.xml><?xml version="1.0" encoding="utf-8"?>
<sst xmlns="http://schemas.openxmlformats.org/spreadsheetml/2006/main" count="321" uniqueCount="265">
  <si>
    <t>477 – TC EMEKLİ SANDIĞI BAĞIŞLARI | 5434 SAYILI KANUN | TAMAMININ İNDİRİMİ | YMM TASDİK</t>
  </si>
  <si>
    <t>Beyanname 477 | GİB KV Beyan Rehberi Mart 2026 (No:606) | ✗ YİAKV MATRAHINDA DÜŞÜLEMEZ</t>
  </si>
  <si>
    <t xml:space="preserve">  5434 SAYILI TÜRKİYE CUMHURİYETİ EMEKLİ SANDIĞI KANUNU KAPSAMINDA BAĞIŞ VE YARDIMLAR:
  5434 sayılı Kanun kapsamında TC Emekli Sandığı'na veya Sandık bünyesindeki fon ve programlara yapılan bağış ve yardımların tamamı kurumlar vergisi matrahından indirilir.
  ALICI: TC Emekli Sandığı (doğrudan) veya Sandık bünyesindeki sosyal destek fonu/program.
  NOT: 5434 sayılı Kanun kapsamındaki Emekli Sandığı, SGK'ya devredilmiş olmakla birlikte hukuki süreç devam ettiğinden mevzuat referansı aynı kalmaktadır.
  İNDİRİM: TAMAMININ İNDİRİMİ — matrahı aşan kısım devredilemez.
  ★ YİAKV: DÜŞÜLEMEZ — E.11 bilgi satırı.</t>
  </si>
  <si>
    <t xml:space="preserve">  ✗ YİAKV (KVK Md.32/C): 477 Emekli Sandığı Bağışı YİAKV MATRAHINDA DÜŞÜLEMEZ. YİAKV E.11 bilgi satırı — 402/460–476 kodlarıyla aynı E.11 kategorisi.</t>
  </si>
  <si>
    <t>A0. KAPSAM VE NİTELİK UYGUNLUK ÖN KONTROLÜ — 5434 s.K. EMEKLİ SANDIĞI BAĞIŞI</t>
  </si>
  <si>
    <t>Kontrol Sorusu</t>
  </si>
  <si>
    <t>Yanıt</t>
  </si>
  <si>
    <t>YMM Tasdik Notu</t>
  </si>
  <si>
    <t>A0.1  ★ Bağış 5434 s.K. kapsamında TC Emekli Sandığı'na mı yapıldı?</t>
  </si>
  <si>
    <t>EVET</t>
  </si>
  <si>
    <t>TC Emekli Sandığı (5434 s.K.) veya bünyesindeki fon/program. SGK'ya yapılan genel katkı veya başka emeklilik kuruluşu → Bu kod değil. 5434 s.K. özelinde Emekli Sandığı alıcı olmalı.</t>
  </si>
  <si>
    <t>A0.2  ★ Bağış FİİLEN yapıldı mı? (Nakdi: Banka — Ayni: Teslim belgesi)</t>
  </si>
  <si>
    <t>Taahhüt edilen ama gerçekleşmeyen bağış indirime konu olamaz. Nakdi: Banka EFT/havale dekontu. Ayni: İmzalı teslim tutanağı.</t>
  </si>
  <si>
    <t>A0.3  Emekli Sandığı / SGK'dan resmi bağış makbuzu / kabul belgesi alındı mı?</t>
  </si>
  <si>
    <t>5434 s.K. kapsamında Emekli Sandığı veya devir sonrası SGK'dan düzenlenen resmi makbuz veya bağış kabul yazısı zorunludur.</t>
  </si>
  <si>
    <t>A0.4  Bağışın amacı 5434 s.K. kapsamında emeklilere/iştirakçilere yönelik mi?</t>
  </si>
  <si>
    <t>Emeklilere, malul ayrılanlara, iştirakçi ailelerine destek veya Sandık sosyal tesislerine katkı amacı taşımalı.</t>
  </si>
  <si>
    <t>A0.5  Ayni bağış varsa maliyet/net defter değeri ile değerleme yapıldı mı?</t>
  </si>
  <si>
    <t>Ayni bağışlarda maliyet/net defter değeri esas. KDV hesaplanmaz — KDVK Md.17/2-b istisnası.</t>
  </si>
  <si>
    <t>A0.6  ✗ YİAKV E.11'de bilgi satırı olarak gösterildi mi?</t>
  </si>
  <si>
    <t>477 YİAKV matrahından düşülemez — E.11 bilgi.</t>
  </si>
  <si>
    <t>A0.7  YMM Tasdik Raporu gereksinimi değerlendirildi mi?</t>
  </si>
  <si>
    <t>&gt;=500.000 TL → YMM raporu.</t>
  </si>
  <si>
    <t>A0.8  Tasdik Uygunluk Sonucu</t>
  </si>
  <si>
    <t>★ A0.1 Emekli Sandığı/5434 | A0.2 fiili yapım | A0.3 makbuz | A0.4 amaç — dördü kritik.</t>
  </si>
  <si>
    <t>A. GENEL BİLGİLER</t>
  </si>
  <si>
    <t>Kurumun Unvanı</t>
  </si>
  <si>
    <t>Tam ticaret unvanı</t>
  </si>
  <si>
    <t>VKN</t>
  </si>
  <si>
    <t>10 haneli VKN</t>
  </si>
  <si>
    <t>Hesap Dönemi</t>
  </si>
  <si>
    <t>01.01.2025 – 31.12.2025</t>
  </si>
  <si>
    <t>KV Oranı (%)</t>
  </si>
  <si>
    <t>2025: %25</t>
  </si>
  <si>
    <t>Bağış Alıcısı</t>
  </si>
  <si>
    <t>TC Emekli Sandığı / SGK (5434 s.K. kapsamı)</t>
  </si>
  <si>
    <t>Bağışın Amacı</t>
  </si>
  <si>
    <t>Emeklilere / İştirakçilere / Malullere destek</t>
  </si>
  <si>
    <t>Dosya Referansı</t>
  </si>
  <si>
    <t>YMM-2025/477-01</t>
  </si>
  <si>
    <t>B. BAĞIŞ VE YARDIM DETAYLARI — 5434 s.K. / EMEKLİ SANDIĞI</t>
  </si>
  <si>
    <t>Parametre</t>
  </si>
  <si>
    <t>Değer</t>
  </si>
  <si>
    <t>Açıklama</t>
  </si>
  <si>
    <t>Kaynak</t>
  </si>
  <si>
    <t>B.1  Bağış Şekli</t>
  </si>
  <si>
    <t>Nakdi (Banka Transferi/EFT/Havale)</t>
  </si>
  <si>
    <t>Nakdi: Banka dekontu. Ayni: Malzeme/ekipman → teslim tutanağı.</t>
  </si>
  <si>
    <t>Belge</t>
  </si>
  <si>
    <t>B.2  Alıcı</t>
  </si>
  <si>
    <t>TC Emekli Sandığı (Genel)</t>
  </si>
  <si>
    <t>5434 s.K. kapsamında Emekli Sandığı veya bünyesindeki birim.</t>
  </si>
  <si>
    <t>Kurum belgesi</t>
  </si>
  <si>
    <t>B.3  Bağışın Amacı</t>
  </si>
  <si>
    <t>Genel 5434 s.K. Kapsamı Yardım</t>
  </si>
  <si>
    <t>Emekli/malul kamu personeli veya iştirakçi aileleri için destek.</t>
  </si>
  <si>
    <t>Protokol/Makbuz</t>
  </si>
  <si>
    <t>B.4  Bağış Tarihi</t>
  </si>
  <si>
    <t>Fiilen yapılan bağışın tarihi (nakdi: ödeme, ayni: teslim).</t>
  </si>
  <si>
    <t>Banka/Tutanak</t>
  </si>
  <si>
    <t>B.5  ★ Nakdi Bağış Tutarı (TL)</t>
  </si>
  <si>
    <t>Banka yoluyla yapılan nakdi bağış tutarı.</t>
  </si>
  <si>
    <t>Banka dekontu</t>
  </si>
  <si>
    <t>B.6  Ayni Bağış Değeri (TL — Maliyet/Net Defter Değeri)</t>
  </si>
  <si>
    <t>Ayni bağış varsa maliyet veya net defter değeri.</t>
  </si>
  <si>
    <t>Stok/sabit kıymet</t>
  </si>
  <si>
    <t>B.7  ★ TOPLAM BAĞIŞ (B.5 + B.6)</t>
  </si>
  <si>
    <t>Nakdi + Ayni toplam — beyanname 477 tutarının dayanağı.</t>
  </si>
  <si>
    <t>Formül</t>
  </si>
  <si>
    <t>B.8  ★ Emekli Sandığı / SGK Resmi Makbuzu</t>
  </si>
  <si>
    <t>5434 s.K. kapsamında Emekli Sandığı veya SGK'dan alınan resmi makbuz.</t>
  </si>
  <si>
    <t>ES/SGK</t>
  </si>
  <si>
    <t>C. BAĞIŞ VE YARDIM TABLOSU — TC EMEKLİ SANDIĞI (BEYANNAME 477)</t>
  </si>
  <si>
    <t xml:space="preserve">  Her bağış kalemi için ayrı satır. SÜTUN 3 (lacivert çerçeve): Nakdi bağış. SÜTUN 4: Ayni bağış maliyet değeri. SÜTUN 5: Toplam (otomatik). SÜTUN 6: İndirim = Tamamı (otomatik).</t>
  </si>
  <si>
    <t>Bağış Tarihi</t>
  </si>
  <si>
    <t>Alıcı / Amaç</t>
  </si>
  <si>
    <t>Nakdi (TL)</t>
  </si>
  <si>
    <t>Ayni Değer (TL)</t>
  </si>
  <si>
    <t>Toplam (TL)</t>
  </si>
  <si>
    <t>İndirim (TL)</t>
  </si>
  <si>
    <t>Makbuz/Belge No</t>
  </si>
  <si>
    <t>TOPLAM</t>
  </si>
  <si>
    <t>← Beyanname 477 (Tamamının İndirimi)</t>
  </si>
  <si>
    <t>D. BAĞIŞ VE YARDIM İNDİRİMİ ÖZET — BEYANNAME 477 (5434 s.K.)</t>
  </si>
  <si>
    <t>Hesap Kalemi</t>
  </si>
  <si>
    <t>Tutar (TL)</t>
  </si>
  <si>
    <t>Not</t>
  </si>
  <si>
    <t>D.1  Toplam Nakdi Bağış (C Sütun 3)</t>
  </si>
  <si>
    <t>Banka yoluyla yapılan nakdi toplam</t>
  </si>
  <si>
    <t>D.2  Toplam Ayni Bağış Değeri (C Sütun 4)</t>
  </si>
  <si>
    <t>Maliyet/net defter değeri toplam</t>
  </si>
  <si>
    <t>D.3  TOPLAM BAĞIŞ (D.1 + D.2)</t>
  </si>
  <si>
    <t>C tablosu toplam</t>
  </si>
  <si>
    <t>D.4  İndirim Oranı / Sınır</t>
  </si>
  <si>
    <t>TAMAMININ İNDİRİMİ — Devredilmez</t>
  </si>
  <si>
    <t>5434 s.K. kapsamı: Tamamının indirimi — matrahı aşan devredilmez</t>
  </si>
  <si>
    <t>5434 s.K.</t>
  </si>
  <si>
    <t>D.5  ★ BEYANNAME 477 = TOPLAM BAĞIŞ (D.3)</t>
  </si>
  <si>
    <t>→ Beyanname 477 | Kazancın Bulunması Halinde</t>
  </si>
  <si>
    <t>D.6  YİAKV DURUMU — DÜŞÜLEMEZ</t>
  </si>
  <si>
    <t>YİAKV E.11 Bilgi ✗</t>
  </si>
  <si>
    <t>Tüm bağış/yardım kodları YİAKV matrahından düşülemez</t>
  </si>
  <si>
    <t>KVK Md.32/C</t>
  </si>
  <si>
    <t>E.1  EMEKLİ SANDIĞI BAĞIŞI → Beyanname Satır 477 (Kazancın Bulunması Halinde)</t>
  </si>
  <si>
    <t>D.5 = Toplam Bağış Tamamı | 5434 s.K. — Matrahı aşan devredilmez</t>
  </si>
  <si>
    <t xml:space="preserve">  ★ KRİTİK: (1) ALICI: TC Emekli Sandığı / 5434 s.K. kapsamı — SGK'ya genel katkı bu kod değil. (2) MAKBUZ: ES/SGK'dan 5434 s.K. kapsamını belirten resmi makbuz. (3) AYNİ BAĞIŞ: Maliyet değeri + KDV istisnası. (4) DEVREDEN YOK: Matrahı aşan devredilmez. (5) YİAKV ✗: E.11.</t>
  </si>
  <si>
    <t>477 – TC EMEKLİ SANDIĞI BAĞIŞLARI 5434 SAYILI KANUN | HESAPLAMALAR VE DENETİM</t>
  </si>
  <si>
    <t>Tamamının İndirimi | 5434 s.K. | TC Emekli Sandığı | Beyanname 477 | ✗ YİAKV E.11</t>
  </si>
  <si>
    <t>A. TASDİK ÖZETİ</t>
  </si>
  <si>
    <t>A0 Uygunluğu</t>
  </si>
  <si>
    <t>OK ise devam</t>
  </si>
  <si>
    <t>Alıcı / Amaç (B.2/B.3)</t>
  </si>
  <si>
    <t>5434 s.K. kapsamı</t>
  </si>
  <si>
    <t>Toplam Bağış (D.3)</t>
  </si>
  <si>
    <t>C tablosu toplamı</t>
  </si>
  <si>
    <t>477 İNDİRİM (D.5)</t>
  </si>
  <si>
    <t>YİAKV</t>
  </si>
  <si>
    <t>✗ DÜŞÜLEMEZ (E.11 Bilgi)</t>
  </si>
  <si>
    <t>Bağış/yardım tümü YİAKV dışı</t>
  </si>
  <si>
    <t>B. 5434 SAYILI KANUN, EMEKLİ SANDIĞI VE SGK DEVRİ</t>
  </si>
  <si>
    <t xml:space="preserve">  TC EMEKLİ SANDIĞI VE 5434 SAYILI KANUN:
  5434 sayılı Türkiye Cumhuriyeti Emekli Sandığı Kanunu, kamu görevlilerinin emeklilik haklarını düzenlemekte olup Sandık 2006 yılında Sosyal Güvenlik Kurumu'na (SGK) devredilmiştir. Ancak 5434 sayılı Kanun yürürlükte kalmaya devam etmekte ve bu kanun kapsamındaki emekli/iştirakçilere ilişkin haklar ve sandık faaliyetleri SGK bünyesinde sürdürülmektedir.
  YMM DİKKATİ — MAKBUZ DÜZENLEYEN KURUM:
  Bağış 5434 s.K. kapsamında yapılıyorsa:
  • Makbuzu SGK düzenlemiş olabilir (Emekli Sandığı SGK'ya devredildiğinden)
  • Makbuzda 5434 s.K. referansı veya 'Emekli Sandığı' ibaresi olması önemli
  • SGK'ya genel katkı veya 5510 s.K. kapsamı farklı — 477 değil
  KAPSAM DIŞI:
  ✗ SGK'ya 5510 s.K. kapsamında yapılan genel katkı
  ✗ Özel emeklilik şirketlerine yapılan bağış
  ✗ BES (Bireysel Emeklilik) sistemine katkı</t>
  </si>
  <si>
    <t>C. DENETİM KONTROL LİSTESİ (K1–K11)</t>
  </si>
  <si>
    <t>Kontrol</t>
  </si>
  <si>
    <t>Sonuç</t>
  </si>
  <si>
    <t>K1</t>
  </si>
  <si>
    <t>★ Alıcı 5434 s.K. kapsamında TC Emekli Sandığı mı?</t>
  </si>
  <si>
    <t>SGK genel katkı veya BES → Bu kod değil.</t>
  </si>
  <si>
    <t>Uygun/Eksik/Risk</t>
  </si>
  <si>
    <t>K2</t>
  </si>
  <si>
    <t>★ Bağış fiilen yapıldı mı? (Nakdi: Banka — Ayni: Tutanak)</t>
  </si>
  <si>
    <t>Banka dekontu veya teslim tutanağı.</t>
  </si>
  <si>
    <t>K3</t>
  </si>
  <si>
    <t>★ ES/SGK'dan resmi makbuz (5434 s.K. referanslı) alındı mı?</t>
  </si>
  <si>
    <t>5434 s.K. ibaresi makbuzda açık olmalı.</t>
  </si>
  <si>
    <t>K4</t>
  </si>
  <si>
    <t>★ Bağışın amacı 5434 s.K. kapsamında emekli/iştirakçi desteği mi?</t>
  </si>
  <si>
    <t>Amaç belgede açık olmalı.</t>
  </si>
  <si>
    <t>K5</t>
  </si>
  <si>
    <t>Ayni bağış varsa maliyet/net defter değeri esas alındı mı?</t>
  </si>
  <si>
    <t>Piyasa değeri değil. KDV istisnası.</t>
  </si>
  <si>
    <t>K6</t>
  </si>
  <si>
    <t>C tablosu toplamı D.3 ile mutabık mı?</t>
  </si>
  <si>
    <t>E47 = D.3 eşitliği.</t>
  </si>
  <si>
    <t>K7</t>
  </si>
  <si>
    <t>★ İndirim matrahı aşıyor mu? (Devredilemez!)</t>
  </si>
  <si>
    <t>Aşan kısım beyanname notu.</t>
  </si>
  <si>
    <t>K8</t>
  </si>
  <si>
    <t>✗ YİAKV E.11'de bilgi satırı olarak gösterildi mi?</t>
  </si>
  <si>
    <t>477 DÜŞÜLEMEZ — E.11 bilgi.</t>
  </si>
  <si>
    <t>K9</t>
  </si>
  <si>
    <t>5434 s.K. ile 5510 s.K. (SGK genel) karıştırılmadı mı?</t>
  </si>
  <si>
    <t>5434 kapsamı net belgelenmeli.</t>
  </si>
  <si>
    <t>K10</t>
  </si>
  <si>
    <t>Beyanname 477 'Kazancın Bulunması Halinde' bölümünde mi?</t>
  </si>
  <si>
    <t>Zarar döneminde uygulanamaz.</t>
  </si>
  <si>
    <t>K11</t>
  </si>
  <si>
    <t>YMM Tasdik Raporu (49 No.lu Tebliğ) değerlendirildi mi?</t>
  </si>
  <si>
    <t>477 – TC EMEKLİ SANDIĞI BAĞIŞLARI 5434 s.K. | MUHASEBE KAYITLARI</t>
  </si>
  <si>
    <t>KAYIT 1 — NAKDİ BAĞIŞ (EFT/HAVALE — TC EMEKLİ SANDIĞI / SGK)</t>
  </si>
  <si>
    <t>Tarih</t>
  </si>
  <si>
    <t>Hesap</t>
  </si>
  <si>
    <t>Dr</t>
  </si>
  <si>
    <t>Kr</t>
  </si>
  <si>
    <t>Ref</t>
  </si>
  <si>
    <t>[Bağış Tarihi]</t>
  </si>
  <si>
    <t>689 Diğer Olağan Dışı Gid. / 770 Genel Yön.</t>
  </si>
  <si>
    <t>Emekli Sandığı (5434 s.K.) bağışı — gider kaydı</t>
  </si>
  <si>
    <t>[Tutar]</t>
  </si>
  <si>
    <t>—</t>
  </si>
  <si>
    <t>ES/SGK Makbuzu</t>
  </si>
  <si>
    <t>KAYIT 2 — AYNİ BAĞIŞ (MALZEME / EKİPMAN)</t>
  </si>
  <si>
    <t>[Teslim]</t>
  </si>
  <si>
    <t>689 Diğer Olağan Dışı Gid.</t>
  </si>
  <si>
    <t>Ayni bağış — maliyet/net defter değeri</t>
  </si>
  <si>
    <t>[Maliyet]</t>
  </si>
  <si>
    <t>Teslim tutanağı</t>
  </si>
  <si>
    <t>KAYIT 3 — DÖNEM SONU: KKEG + BEYANNAME 477 İNDİRİMİ</t>
  </si>
  <si>
    <t>[Dönem Sonu]</t>
  </si>
  <si>
    <t>951 KKEG</t>
  </si>
  <si>
    <t>ES bağış gideri KKEG'e alınır (matrahı artırır)</t>
  </si>
  <si>
    <t>Beyanname eki</t>
  </si>
  <si>
    <t xml:space="preserve">  DÖNEM SONU NET ETKİ — BEYANNAME 477:
  ES bağışı (689/770) → KKEG → Matrahı artırır → Beyanname 477 tamamının indirimi → Matrahtan düşülür.
  YİAKV: ✗ DÜŞÜLEMEZ — E.11. Ayni bağışta KDV istisnası (KDVK Md.17/2-b).</t>
  </si>
  <si>
    <t>477 – TC EMEKLİ SANDIĞI BAĞIŞLARI 5434 SAYILI KANUN | DENETÇİ NOTLARI</t>
  </si>
  <si>
    <t>GİB KV Beyan Rehberi 2026 | 5434 s.K. | Emekli Sandığı | SGK Devir | YİAKV E.11</t>
  </si>
  <si>
    <t>Kod</t>
  </si>
  <si>
    <t>Konu</t>
  </si>
  <si>
    <t>Mesleki Değerlendirme / Tasdik Standardı</t>
  </si>
  <si>
    <t>Mevzuat / Kaynak</t>
  </si>
  <si>
    <t>N1</t>
  </si>
  <si>
    <t>5434 s.K. — TC Emekli Sandığı Kapsam ve SGK Devri</t>
  </si>
  <si>
    <t>TC EMEKLİ SANDIĞI BAĞIŞI — 5434 SAYILI KANUN:
5434 sayılı TC Emekli Sandığı Kanunu kapsamında Emekli Sandığı'na veya
bünyesindeki fon/programlara yapılan bağış ve yardımların tamamı
kurumlar vergisi matrahından indirilir.
SGK DEVRİ VE UYGULAMA:
2006 yılından itibaren Emekli Sandığı SGK bünyesine alınmıştır.
Ancak 5434 sayılı Kanun yürürlüktedir — bu kanun kapsamındaki
emeklilere/iştirakçilere yönelik destek programları sürmektedir.
YMM: Makbuzun SGK tarafından düzenlenmesi 477'yi engellemez —
5434 s.K. referansı veya 'Emekli Sandığı' ibaresi belgelenmeli.
YİAKV: ✗ DÜŞÜLEMEZ (E.11 bilgi) | BEYANNAME: 477</t>
  </si>
  <si>
    <t>5434 s.K. | GİB KV Beyan Reh. 2026 (No:606)</t>
  </si>
  <si>
    <t>N2</t>
  </si>
  <si>
    <t>★ 5434 s.K. ile 5510 s.K. (SGK Genel) Ayrımı</t>
  </si>
  <si>
    <t>KAPSAM SINIRININ EN KRİTİK NOKTASI:
5434 SAYILI KANUN KAPSAMI (477):
TC Emekli Sandığı kapsamındaki kamu görevlileri için emeklilik,
maluliyet, ölüm yardımı ve sosyal destek programları.
Bağış bu kapsamda yapılmış ve belgelenmiş olmalı.
5510 SAYILI KANUN KAPSAMI (477 DEĞİL):
SGK'nın genel sosyal güvenlik faaliyetleri (işçi/esnaf sigortası vb.)
Bu kapsamda yapılan katkı veya bağışlar 477'ye dahil edilemez.
BES / ÖZEL EMEKLİLİK (477 DEĞİL):
Bireysel Emeklilik Sistemi veya özel emeklilik şirketlerine yapılan
bağış/katkı → Bu kod kapsamı dışı.
DOĞRULAMA:
Bağışın 5434 s.K. kapsamına girdiğini makbuz veya SGK yazısı ile teyit et.</t>
  </si>
  <si>
    <t>5434 s.K. | 5510 s.K. | GİB Özelge</t>
  </si>
  <si>
    <t>N3</t>
  </si>
  <si>
    <t>Diğer Kamu Personeli Sosyal Destek Kodlarıyla Karşılaştırma</t>
  </si>
  <si>
    <t>KAMU PERSONELI VE EMEKLİLİK BAĞIŞLARINDA KOD SEÇİMİ:
474 (3388 s.K. — TSKGV): TSK mensuplarının refahı için TSKGV'ye bağış.
475 (3713 s.K.): Terörle mücadelede şehit yakını / malul gaziye destek.
477 (5434 s.K.): TC Emekli Sandığı kapsamında emekli/iştirakçilere destek.
ÖRTÜŞME SENARYOSU:
Şehit olan kamu görevlisinin ailesine hem 475 (3713 s.K.) hem 477 (5434 s.K.)
kapsamında yardım yapılabilir mi?
→ 475: Terörle mücadele şehit desteği — 3713 s.K. kapsamı
→ 477: Emekli Sandığı iştirakçisi olarak aile hakkı — 5434 s.K. kapsamı
Her biri farklı dayanağa sahip — ayrı bağışlar olarak uygulanabilir.
Aynı tutarı iki koda yazmak mükerrerlik — farklı tutarlar olmalı.</t>
  </si>
  <si>
    <t>5434 s.K. | 3713 s.K. | 3388 s.K. | GİB Özelge</t>
  </si>
  <si>
    <t>N4</t>
  </si>
  <si>
    <t>YİAKV ile İlişki — E.11 Güncel Tablo</t>
  </si>
  <si>
    <t>YİAKV (KVK Md.32/C) VE EMEKLİ SANDIĞI BAĞIŞI:
✗ 477 (5434 s.K.): DÜŞÜLEMEZ → YİAKV E.11
BU OTURUMDA TAMAMLANAN BAĞIŞ/YARDIM/MASRAF KODLARI:
✗ 402 KVK Md.10/1-c | ✗ 460/461 Sponsorluk
✗ 464 AGF | ✗ 465 AYİF | ✗ 466 UAB | ✗ 469 TÜBİTAK
✗ 470 Yükseköğretim | ✗ 471 Sosyal Hizmetler
✗ 472 AKDTYK | ✗ 473 SYDV | ✗ 474 TSKGV
✗ 475 Terörle Mücadele | ✗ 476 Ağaçlandırma | ✗ 477 Emekli Sandığı
→ YİAKV E.11 = Tüm bu kodların dönem toplamı
NOT: 476 (ağaçlandırma masrafı) da E.11 kategorisinde.
DÜŞÜLEBILIR:
✓ 283/455 → D.10 | ✓ 456/457 → E.13
✓ 401 → D.4 | ✓ 413 → D.11 | ✗ 453 → E.10</t>
  </si>
  <si>
    <t>KVK Md.32/C | GİB Rehberi No:607 | No:606</t>
  </si>
  <si>
    <t>N5</t>
  </si>
  <si>
    <t>49 No.lu Tebliğ + YMM Tasdik Dil Standardı</t>
  </si>
  <si>
    <t>KULLANIN:
'...5434 sayılı Türkiye Cumhuriyeti Emekli Sandığı Kanunu kapsamında
Emekli Sandığı / SGK'ya [Bağış Tarihi] tarihinde banka yoluyla ödenen
[Nakdi TL] TL nakdi bağış ile [Ayni TL] TL maliyet bedelindeki ayni
bağışın tamamı olan [Toplam TL] TL, kurumlar vergisi matrahından
indirilmiştir. Söz konucu tutar YİAKV matrahından indirilmemiştir.'
(Matrahı aşıyorsa ekleyin:)
'[Aşan TL] TL'lik kısım matrahı aşması nedeniyle sonraki dönemlere
devredilmemiştir.'
KULLANMAYIN:
'...5510 s.K. kapsamında SGK'ya genel katkı 477 olarak indirilmiştir.'
'...BES/özel emeklilik katkısı 477'ye dahil edilmiştir.'
'...477 YİAKV matrahından düşülmüştür.' (YANLIŞ)
KRİTİK RİSKLER:
(1) 5510 s.K. kapsamındaki SGK katkısını 477'ye dahil etmek.
(2) Makbuzda 5434 s.K. referansı olmadan 477 uygulamak.
(3) Matrahı aşan kısmı devretmeye çalışmak.</t>
  </si>
  <si>
    <t>49 No.lu Tebliğ | 5434 s.K. | SM-SMMM-YMM K. Md.12</t>
  </si>
  <si>
    <t xml:space="preserve">  GİB KV BEYAN REHBERİ MART 2026 (No:606) KAPANIŞ (477): 5434 s.K. — TC Emekli Sandığı (SGK'ya devredilmiş olmakla birlikte 5434 s.K. yürürlükte). 5434 s.K. referansı makbuzda açık olmalı. 5510 s.K. genel SGK katkısı ile karıştırılmamalı. Tamamının indirimi — matrahı aşan devredilmez. ✗ YİAKV E.11. YMM: SM-SMMM-YMM K. Md.12.</t>
  </si>
  <si>
    <t>477 – TC EMEKLİ SANDIĞI BAĞIŞLARI 5434 SAYILI KANUN | BELGE LİSTESİ | YMM TASDİK</t>
  </si>
  <si>
    <t>ES/SGK Makbuzu (5434 ref.) | Banka Dekontu | Teslim Tutanağı | YİAKV E.11</t>
  </si>
  <si>
    <t>KATEGORİ 1 — ZORUNLU BELGELER</t>
  </si>
  <si>
    <t>No</t>
  </si>
  <si>
    <t>Temin</t>
  </si>
  <si>
    <t>1</t>
  </si>
  <si>
    <t>★ TC Emekli Sandığı / SGK Resmi Makbuzu (5434 s.K. Referanslı)</t>
  </si>
  <si>
    <t>Emekli Sandığı veya SGK tarafından düzenlenen resmi bağış makbuzu veya kabul yazısı. 5434 sayılı Kanun kapsamını belirten ibare açık olmalı. 5434 s.K. referansı olmadan sadece 'SGK makbuzu' 477 için yeterli olmayabilir.</t>
  </si>
  <si>
    <t>TC Emekli Sandığı / SGK</t>
  </si>
  <si>
    <t>2</t>
  </si>
  <si>
    <t>★ Nakdi Bağış — Banka EFT/Havale Dekontu</t>
  </si>
  <si>
    <t>Emekli Sandığı/SGK banka hesabına yapılan nakdi ödemenin dekont belgesi. Her ödeme için ayrı dekont.</t>
  </si>
  <si>
    <t>Banka / Şirket hesabı</t>
  </si>
  <si>
    <t>3</t>
  </si>
  <si>
    <t>Ayni Bağış — Teslim-Tesellüm Tutanağı + Maliyet Notu</t>
  </si>
  <si>
    <t>Ayni bağış varsa ES/SGK imzalı teslim tutanağı ve maliyet/değerleme notu. KDV hesaplanmaz (KDVK Md.17/2-b).</t>
  </si>
  <si>
    <t>Teslim sırasında</t>
  </si>
  <si>
    <t>4</t>
  </si>
  <si>
    <t>KV Beyannamesi 477 Satırı + YİAKV E.11 Bilgi</t>
  </si>
  <si>
    <t>Beyanname 477 = D.5 tutarı. YİAKV E.11 = 402–477 tüm kodların dönem toplamı.</t>
  </si>
  <si>
    <t>GİB e-Beyanname + YİAKV ÇK</t>
  </si>
  <si>
    <t>5</t>
  </si>
  <si>
    <t>Bağışın 5434 s.K. Kapsamını Teyit Eden Yazışma (Gerektiğinde)</t>
  </si>
  <si>
    <t>Makbuzda 5434 s.K. referansı yoksa SGK'dan alınacak yazılı teyit belgesi. 5434 s.K. kapsamındaki emekli/iştirakçi fonuna bağış olduğunu açıklamalı.</t>
  </si>
  <si>
    <t>SGK (talep üzerine)</t>
  </si>
  <si>
    <t>KATEGORİ 2 — YMM TASDİK KONTROL SORULARI</t>
  </si>
  <si>
    <t>Beklenen Sonuç</t>
  </si>
  <si>
    <t>YMM Aksiyonu</t>
  </si>
  <si>
    <t>S1</t>
  </si>
  <si>
    <t>5510 genel SGK → Bu kod değil.</t>
  </si>
  <si>
    <t>YMM kontrolü</t>
  </si>
  <si>
    <t>S2</t>
  </si>
  <si>
    <t>★ Bağış fiilen yapıldı mı? (Banka / teslim)</t>
  </si>
  <si>
    <t>Taahhüt değil — fiili ödeme.</t>
  </si>
  <si>
    <t>S3</t>
  </si>
  <si>
    <t>★ 5434 s.K. referanslı resmi makbuz alındı mı?</t>
  </si>
  <si>
    <t>5434 ibaresi makbuzda açık olmalı.</t>
  </si>
  <si>
    <t>S4</t>
  </si>
  <si>
    <t>Amaç belgede açık.</t>
  </si>
  <si>
    <t>S5</t>
  </si>
  <si>
    <t>5434 s.K. ile 5510 s.K. karıştırılmadı mı?</t>
  </si>
  <si>
    <t>5434 kapsamı net belgelendi.</t>
  </si>
  <si>
    <t>S6</t>
  </si>
  <si>
    <t>Ayni bağış varsa maliyet değeri ve KDV istisnası doğru mu?</t>
  </si>
  <si>
    <t>Maliyet esas, KDV yok.</t>
  </si>
  <si>
    <t>S7</t>
  </si>
  <si>
    <t>★ İndirim matrahı aşıyor mu? (Devredilmez!)</t>
  </si>
  <si>
    <t>S8</t>
  </si>
  <si>
    <t>✗ YİAKV E.11'de bilgi satırı var mı?</t>
  </si>
  <si>
    <t>477 DÜŞÜLEMEZ — E.11.</t>
  </si>
  <si>
    <t>S9</t>
  </si>
  <si>
    <t>Beyanname 477 'Kazancın Bulunması Halinde'?</t>
  </si>
  <si>
    <t>S10</t>
  </si>
  <si>
    <t>YMM Tasdik Raporu değerlendirildi mi?</t>
  </si>
  <si>
    <t>&gt;=500.000 TL → Rapor.</t>
  </si>
  <si>
    <t xml:space="preserve">  GİB KV BEYAN REHBERİ MART 2026 (No:606) | 477 TC EMEKLİ SANDIĞI BAĞIŞI SON NOT:
  5434 s.K. — TC Emekli Sandığı (SGK'ya devredilmiş olmakla birlikte 5434 s.K. yürürlükte).
  5434 s.K. referanslı makbuz zorunlu — 5510 s.K. SGK genel katkı bu kod değil.
  Tamamının indirimi — matrahı aşan kısım devredilemez.
  ✗ YİAKV E.11 bilgi satırı (402–477 tüm bağış/masraf kodları toplamı).
  YMM müteselsil sorumluluk: SM-SMMM-YMM Kanunu Md.12.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</si>
</sst>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9"/>
      <color rgb="FFFFFFFF"/>
      <name val="Arial"/>
    </font>
    <font>
      <b/>
      <sz val="8"/>
      <color rgb="FF7B5E00"/>
      <name val="Arial"/>
    </font>
    <font>
      <b/>
      <sz val="10"/>
      <color rgb="FFFFFFFF"/>
      <name val="Arial"/>
    </font>
    <font>
      <b/>
      <sz val="9"/>
      <color rgb="FFC0392B"/>
      <name val="Arial"/>
    </font>
    <font>
      <b/>
      <sz val="10"/>
      <color rgb="FF0000FF"/>
      <name val="Arial"/>
    </font>
    <font>
      <i/>
      <sz val="8"/>
      <color rgb="FFC0392B"/>
      <name val="Arial"/>
    </font>
    <font>
      <b/>
      <sz val="9"/>
      <color rgb="FF1F3864"/>
      <name val="Arial"/>
    </font>
    <font>
      <i/>
      <sz val="8"/>
      <color rgb="FF555555"/>
      <name val="Arial"/>
    </font>
    <font>
      <b/>
      <sz val="10"/>
      <color rgb="FF1B5E20"/>
      <name val="Arial"/>
    </font>
    <font>
      <i/>
      <sz val="8"/>
      <color rgb="FF888888"/>
      <name val="Arial"/>
    </font>
    <font>
      <i/>
      <sz val="8"/>
      <color rgb="FF2C3454"/>
      <name val="Arial"/>
    </font>
    <font>
      <b/>
      <sz val="10"/>
      <color rgb="FF2C3454"/>
      <name val="Arial"/>
    </font>
    <font>
      <sz val="9"/>
      <color rgb="FF1F3864"/>
      <name val="Arial"/>
    </font>
    <font>
      <b/>
      <sz val="9"/>
      <color rgb="FF2C3454"/>
      <name val="Arial"/>
    </font>
    <font>
      <b/>
      <sz val="9"/>
      <color rgb="FF1B5E20"/>
      <name val="Arial"/>
    </font>
    <font>
      <sz val="8"/>
      <color rgb="FF1F3864"/>
      <name val="Arial"/>
    </font>
    <font>
      <b/>
      <sz val="11"/>
      <color rgb="FFFFFFFF"/>
      <name val="Arial"/>
    </font>
    <font>
      <b/>
      <sz val="13"/>
      <color rgb="FFFFFFFF"/>
      <name val="Arial"/>
    </font>
    <font>
      <b/>
      <sz val="13"/>
      <color rgb="FF1B5E20"/>
      <name val="Arial"/>
    </font>
    <font>
      <b/>
      <sz val="9"/>
      <color rgb="FFE65100"/>
      <name val="Arial"/>
    </font>
    <font>
      <b/>
      <sz val="10"/>
      <color rgb="FFE65100"/>
      <name val="Arial"/>
    </font>
    <font>
      <b/>
      <sz val="14"/>
      <color rgb="FF1B5E20"/>
      <name val="Arial"/>
    </font>
    <font>
      <i/>
      <sz val="8"/>
      <color rgb="FF1B5E20"/>
      <name val="Arial"/>
    </font>
    <font>
      <b/>
      <sz val="8"/>
      <color rgb="FFC0392B"/>
      <name val="Arial"/>
    </font>
    <font>
      <b/>
      <sz val="12"/>
      <color rgb="FF1B5E20"/>
      <name val="Arial"/>
    </font>
    <font>
      <sz val="8"/>
      <color rgb="FF333333"/>
      <name val="Arial"/>
    </font>
    <font>
      <i/>
      <sz val="8"/>
      <color rgb="FF444444"/>
      <name val="Arial"/>
    </font>
    <font>
      <b/>
      <sz val="9"/>
      <color rgb="FF7B5E00"/>
      <name val="Arial"/>
    </font>
    <font>
      <sz val="8"/>
      <color rgb="FF444444"/>
      <name val="Arial"/>
    </font>
    <font>
      <b/>
      <sz val="9"/>
      <color rgb="FF1565C0"/>
      <name val="Arial"/>
    </font>
    <font>
      <b/>
      <sz val="8"/>
      <color rgb="FF1565C0"/>
      <name val="Arial"/>
    </font>
  </fonts>
  <fills count="25">
    <fill>
      <patternFill patternType="none"/>
    </fill>
    <fill>
      <patternFill patternType="gray125"/>
    </fill>
    <fill>
      <patternFill patternType="solid">
        <fgColor rgb="FF2C3454"/>
      </patternFill>
    </fill>
    <fill>
      <patternFill patternType="solid">
        <fgColor rgb="FF2C3E50"/>
      </patternFill>
    </fill>
    <fill>
      <patternFill patternType="solid">
        <fgColor rgb="FFFFF9C4"/>
      </patternFill>
    </fill>
    <fill>
      <patternFill patternType="solid">
        <fgColor rgb="FFE65100"/>
      </patternFill>
    </fill>
    <fill>
      <patternFill patternType="solid">
        <fgColor rgb="FFDEDEDE"/>
      </patternFill>
    </fill>
    <fill>
      <patternFill patternType="solid">
        <fgColor rgb="FFC0392B"/>
      </patternFill>
    </fill>
    <fill>
      <patternFill patternType="solid">
        <fgColor rgb="FF1565C0"/>
      </patternFill>
    </fill>
    <fill>
      <patternFill patternType="solid">
        <fgColor rgb="FFFCE4D6"/>
      </patternFill>
    </fill>
    <fill>
      <patternFill patternType="solid">
        <fgColor rgb="FFFFFF00"/>
      </patternFill>
    </fill>
    <fill>
      <patternFill patternType="solid">
        <fgColor rgb="FFEAF0F6"/>
      </patternFill>
    </fill>
    <fill>
      <patternFill patternType="solid">
        <fgColor rgb="FFFFFFFF"/>
      </patternFill>
    </fill>
    <fill>
      <patternFill patternType="solid">
        <fgColor rgb="FFC6EFCE"/>
      </patternFill>
    </fill>
    <fill>
      <patternFill patternType="solid">
        <fgColor rgb="FFD3D9F0"/>
      </patternFill>
    </fill>
    <fill>
      <patternFill patternType="solid">
        <fgColor rgb="FFFFF3E0"/>
      </patternFill>
    </fill>
    <fill>
      <patternFill patternType="solid">
        <fgColor rgb="FF1B5E20"/>
      </patternFill>
    </fill>
    <fill>
      <patternFill patternType="solid">
        <fgColor rgb="FFFFF5F5"/>
      </patternFill>
    </fill>
    <fill>
      <patternFill patternType="solid">
        <fgColor rgb="FFF7F7F7"/>
      </patternFill>
    </fill>
    <fill>
      <patternFill patternType="solid">
        <fgColor rgb="FFEBF5EB"/>
      </patternFill>
    </fill>
    <fill>
      <patternFill patternType="solid">
        <fgColor rgb="FFB71C1C"/>
      </patternFill>
    </fill>
    <fill>
      <patternFill patternType="solid">
        <fgColor rgb="FFFFEBEE"/>
      </patternFill>
    </fill>
    <fill>
      <patternFill patternType="solid">
        <fgColor rgb="FFFFD0D0"/>
      </patternFill>
    </fill>
    <fill>
      <patternFill patternType="solid">
        <fgColor rgb="FFE3F2FD"/>
      </patternFill>
    </fill>
    <fill>
      <patternFill patternType="solid">
        <fgColor rgb="FFEEF4FF"/>
      </patternFill>
    </fill>
  </fills>
  <borders count="9">
    <border>
      <left/>
      <right/>
      <top/>
      <bottom/>
      <diagonal/>
    </border>
    <border>
      <left style="thin">
        <color rgb="FF999999"/>
      </left>
      <right style="thin">
        <color rgb="FF999999"/>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BBBBBB"/>
      </left>
      <right style="thin">
        <color rgb="FFBBBBBB"/>
      </right>
      <top style="thin">
        <color rgb="FFBBBBBB"/>
      </top>
      <bottom style="thin">
        <color rgb="FFBBBBBB"/>
      </bottom>
      <diagonal/>
    </border>
    <border>
      <left/>
      <right/>
      <top style="thin">
        <color rgb="FFBBBBBB"/>
      </top>
      <bottom style="thin">
        <color rgb="FFBBBBBB"/>
      </bottom>
      <diagonal/>
    </border>
    <border>
      <left/>
      <right style="thin">
        <color rgb="FFBBBBBB"/>
      </right>
      <top style="thin">
        <color rgb="FFBBBBBB"/>
      </top>
      <bottom style="thin">
        <color rgb="FFBBBBBB"/>
      </bottom>
      <diagonal/>
    </border>
    <border>
      <left style="thin">
        <color rgb="FF2C3454"/>
      </left>
      <right style="thin">
        <color rgb="FF2C3454"/>
      </right>
      <top style="thin">
        <color rgb="FF2C3454"/>
      </top>
      <bottom style="thin">
        <color rgb="FF2C3454"/>
      </bottom>
      <diagonal/>
    </border>
    <border>
      <left style="thin">
        <color rgb="FF009900"/>
      </left>
      <right style="thin">
        <color rgb="FF009900"/>
      </right>
      <top style="thin">
        <color rgb="FF009900"/>
      </top>
      <bottom style="thin">
        <color rgb="FF009900"/>
      </bottom>
      <diagonal/>
    </border>
  </borders>
  <cellStyleXfs count="1">
    <xf numFmtId="0" fontId="0" fillId="0" borderId="0"/>
  </cellStyleXfs>
  <cellXfs count="120">
    <xf numFmtId="0" fontId="0" fillId="0" borderId="0" xfId="0"/>
    <xf numFmtId="0" fontId="0" fillId="6" borderId="4" xfId="0" applyFill="1" applyBorder="1"/>
    <xf numFmtId="0" fontId="1" fillId="8" borderId="1" xfId="0" applyFont="1" applyFill="1" applyBorder="1" applyAlignment="1">
      <alignment horizontal="center" vertical="center" wrapText="1"/>
    </xf>
    <xf numFmtId="0" fontId="5" fillId="10" borderId="4" xfId="0" applyFont="1" applyFill="1" applyBorder="1" applyAlignment="1">
      <alignment horizontal="center" vertical="center"/>
    </xf>
    <xf numFmtId="0" fontId="9" fillId="13" borderId="4" xfId="0" applyFont="1" applyFill="1" applyBorder="1" applyAlignment="1">
      <alignment horizontal="center" vertical="center"/>
    </xf>
    <xf numFmtId="0" fontId="0" fillId="10" borderId="4" xfId="0" applyFill="1" applyBorder="1"/>
    <xf numFmtId="3" fontId="12" fillId="14" borderId="7" xfId="0" applyNumberFormat="1" applyFont="1" applyFill="1" applyBorder="1" applyAlignment="1">
      <alignment horizontal="right" vertical="center"/>
    </xf>
    <xf numFmtId="0" fontId="1" fillId="2" borderId="1" xfId="0" applyFont="1" applyFill="1" applyBorder="1" applyAlignment="1">
      <alignment horizontal="center" vertical="center" wrapText="1"/>
    </xf>
    <xf numFmtId="0" fontId="13" fillId="10" borderId="4" xfId="0" applyFont="1" applyFill="1" applyBorder="1" applyAlignment="1">
      <alignment horizontal="center" vertical="center" wrapText="1"/>
    </xf>
    <xf numFmtId="0" fontId="13" fillId="10" borderId="4" xfId="0" applyFont="1" applyFill="1" applyBorder="1" applyAlignment="1">
      <alignment horizontal="left" vertical="center" wrapText="1"/>
    </xf>
    <xf numFmtId="3" fontId="14" fillId="14" borderId="7" xfId="0" applyNumberFormat="1" applyFont="1" applyFill="1" applyBorder="1" applyAlignment="1">
      <alignment horizontal="right" vertical="center" wrapText="1"/>
    </xf>
    <xf numFmtId="3" fontId="14" fillId="12" borderId="4" xfId="0" applyNumberFormat="1" applyFont="1" applyFill="1" applyBorder="1" applyAlignment="1">
      <alignment horizontal="right" vertical="center" wrapText="1"/>
    </xf>
    <xf numFmtId="3" fontId="15" fillId="13" borderId="8" xfId="0" applyNumberFormat="1" applyFont="1" applyFill="1" applyBorder="1" applyAlignment="1">
      <alignment horizontal="right" vertical="center" wrapText="1"/>
    </xf>
    <xf numFmtId="0" fontId="16" fillId="10" borderId="4" xfId="0" applyFont="1" applyFill="1" applyBorder="1" applyAlignment="1">
      <alignment horizontal="center" vertical="center" wrapText="1"/>
    </xf>
    <xf numFmtId="3" fontId="14" fillId="11" borderId="4" xfId="0" applyNumberFormat="1" applyFont="1" applyFill="1" applyBorder="1" applyAlignment="1">
      <alignment horizontal="right" vertical="center" wrapText="1"/>
    </xf>
    <xf numFmtId="3" fontId="3" fillId="2" borderId="4" xfId="0" applyNumberFormat="1" applyFont="1" applyFill="1" applyBorder="1" applyAlignment="1">
      <alignment horizontal="right" vertical="center" wrapText="1"/>
    </xf>
    <xf numFmtId="3" fontId="17" fillId="2" borderId="4" xfId="0" applyNumberFormat="1" applyFont="1" applyFill="1" applyBorder="1" applyAlignment="1">
      <alignment horizontal="right" vertical="center" wrapText="1"/>
    </xf>
    <xf numFmtId="3" fontId="18" fillId="2" borderId="8" xfId="0" applyNumberFormat="1" applyFont="1" applyFill="1" applyBorder="1" applyAlignment="1">
      <alignment horizontal="right" vertical="center" wrapText="1"/>
    </xf>
    <xf numFmtId="3" fontId="12" fillId="11" borderId="4" xfId="0" applyNumberFormat="1" applyFont="1" applyFill="1" applyBorder="1" applyAlignment="1">
      <alignment horizontal="right" vertical="center"/>
    </xf>
    <xf numFmtId="0" fontId="12" fillId="14" borderId="4" xfId="0" applyFont="1" applyFill="1" applyBorder="1" applyAlignment="1">
      <alignment horizontal="center" vertical="center"/>
    </xf>
    <xf numFmtId="3" fontId="19" fillId="13" borderId="8" xfId="0" applyNumberFormat="1" applyFont="1" applyFill="1" applyBorder="1" applyAlignment="1">
      <alignment horizontal="right" vertical="center"/>
    </xf>
    <xf numFmtId="0" fontId="21" fillId="15" borderId="4" xfId="0" applyFont="1" applyFill="1" applyBorder="1" applyAlignment="1">
      <alignment horizontal="center" vertical="center"/>
    </xf>
    <xf numFmtId="3" fontId="22" fillId="13" borderId="8" xfId="0" applyNumberFormat="1" applyFont="1" applyFill="1" applyBorder="1" applyAlignment="1">
      <alignment horizontal="right" vertical="center" wrapText="1"/>
    </xf>
    <xf numFmtId="3" fontId="9" fillId="11" borderId="4" xfId="0" applyNumberFormat="1" applyFont="1" applyFill="1" applyBorder="1" applyAlignment="1">
      <alignment horizontal="center" vertical="center"/>
    </xf>
    <xf numFmtId="3" fontId="25" fillId="13" borderId="4" xfId="0" applyNumberFormat="1" applyFont="1" applyFill="1" applyBorder="1" applyAlignment="1">
      <alignment horizontal="right" vertical="center"/>
    </xf>
    <xf numFmtId="0" fontId="1" fillId="2" borderId="4" xfId="0" applyFont="1" applyFill="1" applyBorder="1" applyAlignment="1">
      <alignment horizontal="center" vertical="center" wrapText="1"/>
    </xf>
    <xf numFmtId="0" fontId="4" fillId="9" borderId="4" xfId="0" applyFont="1" applyFill="1" applyBorder="1" applyAlignment="1">
      <alignment horizontal="left" vertical="top" wrapText="1"/>
    </xf>
    <xf numFmtId="0" fontId="26" fillId="17" borderId="4" xfId="0" applyFont="1" applyFill="1" applyBorder="1" applyAlignment="1">
      <alignment horizontal="left" vertical="top" wrapText="1"/>
    </xf>
    <xf numFmtId="0" fontId="0" fillId="11" borderId="4" xfId="0" applyFill="1" applyBorder="1"/>
    <xf numFmtId="0" fontId="0" fillId="12" borderId="4" xfId="0" applyFill="1" applyBorder="1"/>
    <xf numFmtId="0" fontId="7" fillId="11" borderId="4" xfId="0" applyFont="1" applyFill="1" applyBorder="1" applyAlignment="1">
      <alignment horizontal="left" vertical="top" wrapText="1"/>
    </xf>
    <xf numFmtId="0" fontId="7" fillId="12" borderId="4" xfId="0" applyFont="1" applyFill="1" applyBorder="1" applyAlignment="1">
      <alignment horizontal="left" vertical="top" wrapText="1"/>
    </xf>
    <xf numFmtId="0" fontId="1" fillId="8" borderId="1" xfId="0" applyFont="1" applyFill="1" applyBorder="1" applyAlignment="1">
      <alignment horizontal="center" vertical="center"/>
    </xf>
    <xf numFmtId="0" fontId="13" fillId="11" borderId="4" xfId="0" applyFont="1" applyFill="1" applyBorder="1" applyAlignment="1">
      <alignment horizontal="center" vertical="center" wrapText="1"/>
    </xf>
    <xf numFmtId="0" fontId="26" fillId="18" borderId="4" xfId="0" applyFont="1" applyFill="1" applyBorder="1" applyAlignment="1">
      <alignment horizontal="left" vertical="top" wrapText="1"/>
    </xf>
    <xf numFmtId="0" fontId="27" fillId="11" borderId="4" xfId="0" applyFont="1" applyFill="1" applyBorder="1" applyAlignment="1">
      <alignment horizontal="left" vertical="top" wrapText="1"/>
    </xf>
    <xf numFmtId="0" fontId="1" fillId="7" borderId="4" xfId="0" applyFont="1" applyFill="1" applyBorder="1" applyAlignment="1">
      <alignment horizontal="center" vertical="center" wrapText="1"/>
    </xf>
    <xf numFmtId="0" fontId="27" fillId="9" borderId="4" xfId="0" applyFont="1" applyFill="1" applyBorder="1" applyAlignment="1">
      <alignment horizontal="left" vertical="top" wrapText="1"/>
    </xf>
    <xf numFmtId="0" fontId="27" fillId="12" borderId="4" xfId="0" applyFont="1" applyFill="1" applyBorder="1" applyAlignment="1">
      <alignment horizontal="left" vertical="top" wrapText="1"/>
    </xf>
    <xf numFmtId="0" fontId="0" fillId="4" borderId="4" xfId="0" applyFill="1" applyBorder="1"/>
    <xf numFmtId="0" fontId="0" fillId="13" borderId="4" xfId="0" applyFill="1" applyBorder="1"/>
    <xf numFmtId="0" fontId="7" fillId="13" borderId="4" xfId="0" applyFont="1" applyFill="1" applyBorder="1" applyAlignment="1">
      <alignment horizontal="center" vertical="center" wrapText="1"/>
    </xf>
    <xf numFmtId="0" fontId="4" fillId="13" borderId="4" xfId="0" applyFont="1" applyFill="1" applyBorder="1" applyAlignment="1">
      <alignment horizontal="left" vertical="top" wrapText="1"/>
    </xf>
    <xf numFmtId="0" fontId="26" fillId="19" borderId="4" xfId="0" applyFont="1" applyFill="1" applyBorder="1" applyAlignment="1">
      <alignment horizontal="left" vertical="top" wrapText="1"/>
    </xf>
    <xf numFmtId="0" fontId="29" fillId="13" borderId="4" xfId="0" applyFont="1" applyFill="1" applyBorder="1" applyAlignment="1">
      <alignment horizontal="left" vertical="center" wrapText="1"/>
    </xf>
    <xf numFmtId="0" fontId="7" fillId="12" borderId="4" xfId="0" applyFont="1" applyFill="1" applyBorder="1" applyAlignment="1">
      <alignment horizontal="center" vertical="center" wrapText="1"/>
    </xf>
    <xf numFmtId="0" fontId="4" fillId="12" borderId="4" xfId="0" applyFont="1" applyFill="1" applyBorder="1" applyAlignment="1">
      <alignment horizontal="left" vertical="top" wrapText="1"/>
    </xf>
    <xf numFmtId="0" fontId="29" fillId="12" borderId="4" xfId="0" applyFont="1" applyFill="1" applyBorder="1" applyAlignment="1">
      <alignment horizontal="left" vertical="center" wrapText="1"/>
    </xf>
    <xf numFmtId="0" fontId="7" fillId="13" borderId="4" xfId="0" applyFont="1" applyFill="1" applyBorder="1" applyAlignment="1">
      <alignment horizontal="left" vertical="top" wrapText="1"/>
    </xf>
    <xf numFmtId="0" fontId="1" fillId="20" borderId="1" xfId="0" applyFont="1" applyFill="1" applyBorder="1" applyAlignment="1">
      <alignment horizontal="center" vertical="center"/>
    </xf>
    <xf numFmtId="0" fontId="0" fillId="21" borderId="4" xfId="0" applyFill="1" applyBorder="1"/>
    <xf numFmtId="0" fontId="30" fillId="21" borderId="4" xfId="0" applyFont="1" applyFill="1" applyBorder="1" applyAlignment="1">
      <alignment horizontal="center" vertical="center" wrapText="1"/>
    </xf>
    <xf numFmtId="0" fontId="4" fillId="21" borderId="4" xfId="0" applyFont="1" applyFill="1" applyBorder="1" applyAlignment="1">
      <alignment horizontal="left" vertical="top" wrapText="1"/>
    </xf>
    <xf numFmtId="0" fontId="26" fillId="22" borderId="4" xfId="0" applyFont="1" applyFill="1" applyBorder="1" applyAlignment="1">
      <alignment horizontal="left" vertical="top" wrapText="1"/>
    </xf>
    <xf numFmtId="0" fontId="31" fillId="21" borderId="4" xfId="0" applyFont="1" applyFill="1" applyBorder="1" applyAlignment="1">
      <alignment horizontal="center" vertical="center" wrapText="1"/>
    </xf>
    <xf numFmtId="0" fontId="0" fillId="23" borderId="4" xfId="0" applyFill="1" applyBorder="1"/>
    <xf numFmtId="0" fontId="30" fillId="23" borderId="4" xfId="0" applyFont="1" applyFill="1" applyBorder="1" applyAlignment="1">
      <alignment horizontal="center" vertical="center" wrapText="1"/>
    </xf>
    <xf numFmtId="0" fontId="30" fillId="23" borderId="4" xfId="0" applyFont="1" applyFill="1" applyBorder="1" applyAlignment="1">
      <alignment horizontal="left" vertical="top" wrapText="1"/>
    </xf>
    <xf numFmtId="0" fontId="26" fillId="24" borderId="4" xfId="0" applyFont="1" applyFill="1" applyBorder="1" applyAlignment="1">
      <alignment horizontal="left" vertical="top" wrapText="1"/>
    </xf>
    <xf numFmtId="0" fontId="31" fillId="23" borderId="4" xfId="0" applyFont="1" applyFill="1" applyBorder="1" applyAlignment="1">
      <alignment horizontal="center" vertical="center" wrapText="1"/>
    </xf>
    <xf numFmtId="0" fontId="3" fillId="2" borderId="1" xfId="0" applyFont="1" applyFill="1" applyBorder="1" applyAlignment="1">
      <alignment horizontal="left" vertical="center"/>
    </xf>
    <xf numFmtId="0" fontId="0" fillId="0" borderId="2" xfId="0" applyBorder="1"/>
    <xf numFmtId="0" fontId="0" fillId="0" borderId="3" xfId="0" applyBorder="1"/>
    <xf numFmtId="0" fontId="11" fillId="12" borderId="4" xfId="0" applyFont="1" applyFill="1" applyBorder="1" applyAlignment="1">
      <alignment horizontal="left" vertical="center" wrapText="1"/>
    </xf>
    <xf numFmtId="0" fontId="0" fillId="0" borderId="6" xfId="0" applyBorder="1"/>
    <xf numFmtId="0" fontId="7" fillId="12" borderId="4" xfId="0" applyFont="1" applyFill="1" applyBorder="1" applyAlignment="1">
      <alignment horizontal="left" vertical="center" wrapText="1"/>
    </xf>
    <xf numFmtId="0" fontId="0" fillId="10" borderId="4" xfId="0" applyFill="1" applyBorder="1"/>
    <xf numFmtId="0" fontId="0" fillId="0" borderId="5" xfId="0" applyBorder="1"/>
    <xf numFmtId="0" fontId="10" fillId="12" borderId="4" xfId="0" applyFont="1" applyFill="1" applyBorder="1" applyAlignment="1">
      <alignment horizontal="left" vertical="center" wrapText="1"/>
    </xf>
    <xf numFmtId="0" fontId="10" fillId="11" borderId="4" xfId="0" applyFont="1" applyFill="1" applyBorder="1" applyAlignment="1">
      <alignment horizontal="left" vertical="center" wrapText="1"/>
    </xf>
    <xf numFmtId="0" fontId="14" fillId="14" borderId="4" xfId="0" applyFont="1" applyFill="1" applyBorder="1" applyAlignment="1">
      <alignment horizontal="left" vertical="center" wrapText="1"/>
    </xf>
    <xf numFmtId="0" fontId="9" fillId="13" borderId="4" xfId="0" applyFont="1" applyFill="1" applyBorder="1" applyAlignment="1">
      <alignment horizontal="left" vertical="center"/>
    </xf>
    <xf numFmtId="0" fontId="6" fillId="13" borderId="4" xfId="0" applyFont="1" applyFill="1" applyBorder="1" applyAlignment="1">
      <alignment horizontal="left" vertical="center" wrapText="1"/>
    </xf>
    <xf numFmtId="0" fontId="13" fillId="11" borderId="4" xfId="0" applyFont="1" applyFill="1" applyBorder="1" applyAlignment="1">
      <alignment horizontal="left" vertical="center" wrapText="1"/>
    </xf>
    <xf numFmtId="0" fontId="7" fillId="13" borderId="4" xfId="0" applyFont="1" applyFill="1" applyBorder="1" applyAlignment="1">
      <alignment horizontal="left" vertical="center"/>
    </xf>
    <xf numFmtId="0" fontId="24" fillId="9" borderId="4" xfId="0" applyFont="1" applyFill="1" applyBorder="1" applyAlignment="1">
      <alignment horizontal="left" vertical="center" wrapText="1"/>
    </xf>
    <xf numFmtId="0" fontId="20" fillId="15" borderId="4" xfId="0" applyFont="1" applyFill="1" applyBorder="1" applyAlignment="1">
      <alignment horizontal="left" vertical="center" wrapText="1"/>
    </xf>
    <xf numFmtId="0" fontId="4" fillId="12" borderId="4" xfId="0" applyFont="1" applyFill="1" applyBorder="1" applyAlignment="1">
      <alignment horizontal="left" vertical="center" wrapText="1"/>
    </xf>
    <xf numFmtId="0" fontId="8" fillId="12" borderId="4" xfId="0" applyFont="1" applyFill="1" applyBorder="1" applyAlignment="1">
      <alignment horizontal="left" vertical="center" wrapText="1"/>
    </xf>
    <xf numFmtId="0" fontId="10" fillId="15" borderId="4" xfId="0" applyFont="1" applyFill="1" applyBorder="1" applyAlignment="1">
      <alignment horizontal="left" vertical="center" wrapText="1"/>
    </xf>
    <xf numFmtId="0" fontId="8" fillId="15" borderId="4" xfId="0" applyFont="1" applyFill="1" applyBorder="1" applyAlignment="1">
      <alignment horizontal="left" vertical="center" wrapText="1"/>
    </xf>
    <xf numFmtId="0" fontId="7" fillId="11" borderId="4" xfId="0" applyFont="1" applyFill="1" applyBorder="1" applyAlignment="1">
      <alignment horizontal="left" vertical="center" wrapText="1"/>
    </xf>
    <xf numFmtId="0" fontId="8" fillId="11" borderId="4" xfId="0" applyFont="1" applyFill="1" applyBorder="1" applyAlignment="1">
      <alignment horizontal="left" vertical="center" wrapText="1"/>
    </xf>
    <xf numFmtId="0" fontId="8" fillId="14" borderId="4" xfId="0" applyFont="1" applyFill="1" applyBorder="1" applyAlignment="1">
      <alignment horizontal="left" vertical="center" wrapText="1"/>
    </xf>
    <xf numFmtId="0" fontId="11" fillId="11" borderId="4" xfId="0" applyFont="1" applyFill="1" applyBorder="1" applyAlignment="1">
      <alignment horizontal="left" vertical="center" wrapText="1"/>
    </xf>
    <xf numFmtId="0" fontId="4" fillId="9" borderId="4" xfId="0" applyFont="1" applyFill="1" applyBorder="1" applyAlignment="1">
      <alignment horizontal="left" vertical="center" wrapText="1"/>
    </xf>
    <xf numFmtId="0" fontId="1" fillId="2" borderId="1" xfId="0" applyFont="1" applyFill="1" applyBorder="1" applyAlignment="1">
      <alignment horizontal="left" vertical="center"/>
    </xf>
    <xf numFmtId="0" fontId="6" fillId="9" borderId="4" xfId="0" applyFont="1" applyFill="1" applyBorder="1" applyAlignment="1">
      <alignment horizontal="left" vertical="center" wrapText="1"/>
    </xf>
    <xf numFmtId="0" fontId="2" fillId="4" borderId="4"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11" borderId="4" xfId="0" applyFont="1" applyFill="1" applyBorder="1" applyAlignment="1">
      <alignment horizontal="left" vertical="center" wrapText="1"/>
    </xf>
    <xf numFmtId="0" fontId="1" fillId="2" borderId="4" xfId="0" applyFont="1" applyFill="1" applyBorder="1" applyAlignment="1">
      <alignment horizontal="left" vertical="center"/>
    </xf>
    <xf numFmtId="0" fontId="15" fillId="13" borderId="4" xfId="0" applyFont="1" applyFill="1" applyBorder="1" applyAlignment="1">
      <alignment horizontal="left" vertical="center" wrapText="1"/>
    </xf>
    <xf numFmtId="0" fontId="3" fillId="7" borderId="1" xfId="0" applyFont="1" applyFill="1" applyBorder="1" applyAlignment="1">
      <alignment horizontal="left" vertical="center"/>
    </xf>
    <xf numFmtId="0" fontId="10" fillId="13" borderId="4" xfId="0" applyFont="1" applyFill="1" applyBorder="1" applyAlignment="1">
      <alignment horizontal="left" vertical="center" wrapText="1"/>
    </xf>
    <xf numFmtId="0" fontId="1" fillId="3" borderId="1" xfId="0" applyFont="1" applyFill="1" applyBorder="1" applyAlignment="1">
      <alignment horizontal="left" vertical="center"/>
    </xf>
    <xf numFmtId="0" fontId="10" fillId="14" borderId="4" xfId="0" applyFont="1" applyFill="1" applyBorder="1" applyAlignment="1">
      <alignment horizontal="left" vertical="center" wrapText="1"/>
    </xf>
    <xf numFmtId="0" fontId="8" fillId="13" borderId="4" xfId="0" applyFont="1" applyFill="1" applyBorder="1" applyAlignment="1">
      <alignment horizontal="left" vertical="center" wrapText="1"/>
    </xf>
    <xf numFmtId="0" fontId="3" fillId="2" borderId="4" xfId="0" applyFont="1" applyFill="1" applyBorder="1" applyAlignment="1">
      <alignment horizontal="center" vertical="center"/>
    </xf>
    <xf numFmtId="0" fontId="23" fillId="13" borderId="4" xfId="0" applyFont="1" applyFill="1" applyBorder="1" applyAlignment="1">
      <alignment horizontal="left" vertical="center" wrapText="1"/>
    </xf>
    <xf numFmtId="0" fontId="26" fillId="11" borderId="4" xfId="0" applyFont="1" applyFill="1" applyBorder="1" applyAlignment="1">
      <alignment horizontal="left" vertical="top" wrapText="1"/>
    </xf>
    <xf numFmtId="0" fontId="4" fillId="9" borderId="4" xfId="0" applyFont="1" applyFill="1" applyBorder="1" applyAlignment="1">
      <alignment horizontal="left" vertical="top" wrapText="1"/>
    </xf>
    <xf numFmtId="0" fontId="7" fillId="12" borderId="4" xfId="0" applyFont="1" applyFill="1" applyBorder="1" applyAlignment="1">
      <alignment horizontal="left" vertical="top" wrapText="1"/>
    </xf>
    <xf numFmtId="0" fontId="26" fillId="17" borderId="4" xfId="0" applyFont="1" applyFill="1" applyBorder="1" applyAlignment="1">
      <alignment horizontal="left" vertical="top" wrapText="1"/>
    </xf>
    <xf numFmtId="0" fontId="3" fillId="16" borderId="1" xfId="0" applyFont="1" applyFill="1" applyBorder="1" applyAlignment="1">
      <alignment horizontal="left" vertical="center"/>
    </xf>
    <xf numFmtId="0" fontId="26" fillId="12" borderId="4" xfId="0" applyFont="1" applyFill="1" applyBorder="1" applyAlignment="1">
      <alignment horizontal="left" vertical="top" wrapText="1"/>
    </xf>
    <xf numFmtId="0" fontId="7" fillId="12" borderId="4" xfId="0" applyFont="1" applyFill="1" applyBorder="1" applyAlignment="1">
      <alignment horizontal="left" vertical="center"/>
    </xf>
    <xf numFmtId="0" fontId="17" fillId="2" borderId="1" xfId="0" applyFont="1" applyFill="1" applyBorder="1" applyAlignment="1">
      <alignment horizontal="left" vertical="center"/>
    </xf>
    <xf numFmtId="0" fontId="7" fillId="15" borderId="4" xfId="0" applyFont="1" applyFill="1" applyBorder="1" applyAlignment="1">
      <alignment horizontal="left" vertical="center"/>
    </xf>
    <xf numFmtId="0" fontId="7" fillId="11" borderId="4" xfId="0" applyFont="1" applyFill="1" applyBorder="1" applyAlignment="1">
      <alignment horizontal="left" vertical="top" wrapText="1"/>
    </xf>
    <xf numFmtId="0" fontId="7" fillId="11" borderId="4" xfId="0" applyFont="1" applyFill="1" applyBorder="1" applyAlignment="1">
      <alignment horizontal="left" vertical="center"/>
    </xf>
    <xf numFmtId="0" fontId="16" fillId="14" borderId="4" xfId="0" applyFont="1" applyFill="1" applyBorder="1" applyAlignment="1">
      <alignment horizontal="left" vertical="center" wrapText="1"/>
    </xf>
    <xf numFmtId="0" fontId="1" fillId="3" borderId="4" xfId="0" applyFont="1" applyFill="1" applyBorder="1" applyAlignment="1">
      <alignment horizontal="left" vertical="center" wrapText="1"/>
    </xf>
    <xf numFmtId="0" fontId="3" fillId="16" borderId="4" xfId="0" applyFont="1" applyFill="1" applyBorder="1" applyAlignment="1">
      <alignment horizontal="left" vertical="center"/>
    </xf>
    <xf numFmtId="0" fontId="3" fillId="2" borderId="4" xfId="0" applyFont="1" applyFill="1" applyBorder="1" applyAlignment="1">
      <alignment horizontal="left" vertical="center"/>
    </xf>
    <xf numFmtId="0" fontId="26" fillId="15" borderId="4" xfId="0" applyFont="1" applyFill="1" applyBorder="1" applyAlignment="1">
      <alignment horizontal="left" vertical="center" wrapText="1"/>
    </xf>
    <xf numFmtId="0" fontId="3" fillId="7" borderId="4" xfId="0" applyFont="1" applyFill="1" applyBorder="1" applyAlignment="1">
      <alignment horizontal="left" vertical="center"/>
    </xf>
    <xf numFmtId="0" fontId="28" fillId="4" borderId="4" xfId="0" applyFont="1" applyFill="1" applyBorder="1" applyAlignment="1">
      <alignment horizontal="left" vertical="center" wrapText="1"/>
    </xf>
    <xf numFmtId="0" fontId="1" fillId="20" borderId="1" xfId="0" applyFont="1" applyFill="1" applyBorder="1" applyAlignment="1">
      <alignment horizontal="left" vertical="center"/>
    </xf>
    <xf numFmtId="0" fontId="1" fillId="16" borderId="1" xfId="0" applyFont="1" applyFill="1" applyBorder="1" applyAlignment="1">
      <alignment horizontal="left" vertical="center"/>
    </xf>
  </cellXfs>
  <cellStyles count="1">
    <cellStyle name="Normal" xfId="0" builtinId="0"/>
  </cellStyles>
  <dxfs count="4">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EC961E5-A26B-42B5-B428-DF651AB55287}">
  <we:reference id="WA200009404" version="1.0.0.8" store="Omex" storeType="OMEX"/>
  <we:alternateReferences>
    <we:reference id="WA200009404" version="1.0.0.8" store="WA200009404" storeType="OMEX"/>
  </we:alternateReferences>
  <we:properties>
    <we:property name="claude.fileId" value="&quot;9386aa55-67e9-4f37-80c5-ccaf25d8cc78&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9"/>
  <sheetViews>
    <sheetView tabSelected="1" workbookViewId="0">
      <selection sqref="A1:G1"/>
    </sheetView>
  </sheetViews>
  <sheetFormatPr defaultRowHeight="14.4" x14ac:dyDescent="0.55000000000000004"/>
  <cols>
    <col min="1" max="1" width="3" customWidth="1"/>
    <col min="2" max="2" width="30" customWidth="1"/>
    <col min="3" max="4" width="18" customWidth="1"/>
    <col min="5" max="6" width="14" customWidth="1"/>
    <col min="7" max="7" width="22" customWidth="1"/>
  </cols>
  <sheetData>
    <row r="1" spans="1:7" ht="44.05" customHeight="1" x14ac:dyDescent="0.55000000000000004">
      <c r="A1" s="86" t="s">
        <v>0</v>
      </c>
      <c r="B1" s="61"/>
      <c r="C1" s="61"/>
      <c r="D1" s="61"/>
      <c r="E1" s="61"/>
      <c r="F1" s="61"/>
      <c r="G1" s="62"/>
    </row>
    <row r="2" spans="1:7" ht="22" customHeight="1" x14ac:dyDescent="0.55000000000000004">
      <c r="A2" s="95" t="s">
        <v>1</v>
      </c>
      <c r="B2" s="61"/>
      <c r="C2" s="61"/>
      <c r="D2" s="61"/>
      <c r="E2" s="61"/>
      <c r="F2" s="61"/>
      <c r="G2" s="62"/>
    </row>
    <row r="3" spans="1:7" ht="46" customHeight="1" x14ac:dyDescent="0.55000000000000004">
      <c r="A3" s="88" t="s">
        <v>2</v>
      </c>
      <c r="B3" s="67"/>
      <c r="C3" s="67"/>
      <c r="D3" s="67"/>
      <c r="E3" s="67"/>
      <c r="F3" s="67"/>
      <c r="G3" s="64"/>
    </row>
    <row r="4" spans="1:7" ht="22" customHeight="1" x14ac:dyDescent="0.55000000000000004">
      <c r="A4" s="89" t="s">
        <v>3</v>
      </c>
      <c r="B4" s="67"/>
      <c r="C4" s="67"/>
      <c r="D4" s="67"/>
      <c r="E4" s="67"/>
      <c r="F4" s="67"/>
      <c r="G4" s="64"/>
    </row>
    <row r="5" spans="1:7" ht="5.05" customHeight="1" x14ac:dyDescent="0.55000000000000004">
      <c r="A5" s="1"/>
      <c r="B5" s="1"/>
      <c r="C5" s="1"/>
      <c r="D5" s="1"/>
      <c r="E5" s="1"/>
      <c r="F5" s="1"/>
      <c r="G5" s="1"/>
    </row>
    <row r="6" spans="1:7" ht="24" customHeight="1" x14ac:dyDescent="0.55000000000000004">
      <c r="A6" s="93" t="s">
        <v>4</v>
      </c>
      <c r="B6" s="61"/>
      <c r="C6" s="61"/>
      <c r="D6" s="61"/>
      <c r="E6" s="61"/>
      <c r="F6" s="61"/>
      <c r="G6" s="62"/>
    </row>
    <row r="7" spans="1:7" ht="18" customHeight="1" x14ac:dyDescent="0.55000000000000004">
      <c r="A7" s="2"/>
      <c r="B7" s="2" t="s">
        <v>5</v>
      </c>
      <c r="C7" s="2"/>
      <c r="D7" s="2"/>
      <c r="E7" s="2" t="s">
        <v>6</v>
      </c>
      <c r="F7" s="2"/>
      <c r="G7" s="2" t="s">
        <v>7</v>
      </c>
    </row>
    <row r="8" spans="1:7" ht="28" customHeight="1" x14ac:dyDescent="0.55000000000000004">
      <c r="A8" s="85" t="s">
        <v>8</v>
      </c>
      <c r="B8" s="67"/>
      <c r="C8" s="67"/>
      <c r="D8" s="64"/>
      <c r="E8" s="3" t="s">
        <v>9</v>
      </c>
      <c r="F8" s="87" t="s">
        <v>10</v>
      </c>
      <c r="G8" s="64"/>
    </row>
    <row r="9" spans="1:7" ht="28" customHeight="1" x14ac:dyDescent="0.55000000000000004">
      <c r="A9" s="85" t="s">
        <v>11</v>
      </c>
      <c r="B9" s="67"/>
      <c r="C9" s="67"/>
      <c r="D9" s="64"/>
      <c r="E9" s="3" t="s">
        <v>9</v>
      </c>
      <c r="F9" s="87" t="s">
        <v>12</v>
      </c>
      <c r="G9" s="64"/>
    </row>
    <row r="10" spans="1:7" ht="28" customHeight="1" x14ac:dyDescent="0.55000000000000004">
      <c r="A10" s="81" t="s">
        <v>13</v>
      </c>
      <c r="B10" s="67"/>
      <c r="C10" s="67"/>
      <c r="D10" s="64"/>
      <c r="E10" s="3" t="s">
        <v>9</v>
      </c>
      <c r="F10" s="82" t="s">
        <v>14</v>
      </c>
      <c r="G10" s="64"/>
    </row>
    <row r="11" spans="1:7" ht="28" customHeight="1" x14ac:dyDescent="0.55000000000000004">
      <c r="A11" s="65" t="s">
        <v>15</v>
      </c>
      <c r="B11" s="67"/>
      <c r="C11" s="67"/>
      <c r="D11" s="64"/>
      <c r="E11" s="3" t="s">
        <v>9</v>
      </c>
      <c r="F11" s="78" t="s">
        <v>16</v>
      </c>
      <c r="G11" s="64"/>
    </row>
    <row r="12" spans="1:7" ht="28" customHeight="1" x14ac:dyDescent="0.55000000000000004">
      <c r="A12" s="81" t="s">
        <v>17</v>
      </c>
      <c r="B12" s="67"/>
      <c r="C12" s="67"/>
      <c r="D12" s="64"/>
      <c r="E12" s="3" t="s">
        <v>9</v>
      </c>
      <c r="F12" s="82" t="s">
        <v>18</v>
      </c>
      <c r="G12" s="64"/>
    </row>
    <row r="13" spans="1:7" ht="28" customHeight="1" x14ac:dyDescent="0.55000000000000004">
      <c r="A13" s="65" t="s">
        <v>19</v>
      </c>
      <c r="B13" s="67"/>
      <c r="C13" s="67"/>
      <c r="D13" s="64"/>
      <c r="E13" s="3" t="s">
        <v>9</v>
      </c>
      <c r="F13" s="78" t="s">
        <v>20</v>
      </c>
      <c r="G13" s="64"/>
    </row>
    <row r="14" spans="1:7" ht="28" customHeight="1" x14ac:dyDescent="0.55000000000000004">
      <c r="A14" s="81" t="s">
        <v>21</v>
      </c>
      <c r="B14" s="67"/>
      <c r="C14" s="67"/>
      <c r="D14" s="64"/>
      <c r="E14" s="3" t="s">
        <v>9</v>
      </c>
      <c r="F14" s="82" t="s">
        <v>22</v>
      </c>
      <c r="G14" s="64"/>
    </row>
    <row r="15" spans="1:7" ht="24" customHeight="1" x14ac:dyDescent="0.55000000000000004">
      <c r="A15" s="74" t="s">
        <v>23</v>
      </c>
      <c r="B15" s="67"/>
      <c r="C15" s="67"/>
      <c r="D15" s="64"/>
      <c r="E15" s="4" t="str">
        <f>IF(AND(E8="EVET",E9="EVET",E10="EVET",E11="EVET"),"OK - Hesaplanabilir","HATA - Ön koşul eksik")</f>
        <v>OK - Hesaplanabilir</v>
      </c>
      <c r="F15" s="72" t="s">
        <v>24</v>
      </c>
      <c r="G15" s="64"/>
    </row>
    <row r="16" spans="1:7" ht="5.05" customHeight="1" x14ac:dyDescent="0.55000000000000004">
      <c r="A16" s="1"/>
      <c r="B16" s="1"/>
      <c r="C16" s="1"/>
      <c r="D16" s="1"/>
      <c r="E16" s="1"/>
      <c r="F16" s="1"/>
      <c r="G16" s="1"/>
    </row>
    <row r="17" spans="1:7" ht="22" customHeight="1" x14ac:dyDescent="0.55000000000000004">
      <c r="A17" s="60" t="s">
        <v>25</v>
      </c>
      <c r="B17" s="61"/>
      <c r="C17" s="61"/>
      <c r="D17" s="61"/>
      <c r="E17" s="61"/>
      <c r="F17" s="61"/>
      <c r="G17" s="62"/>
    </row>
    <row r="18" spans="1:7" ht="22" customHeight="1" x14ac:dyDescent="0.55000000000000004">
      <c r="A18" s="81" t="s">
        <v>26</v>
      </c>
      <c r="B18" s="64"/>
      <c r="C18" s="66"/>
      <c r="D18" s="67"/>
      <c r="E18" s="64"/>
      <c r="F18" s="69" t="s">
        <v>27</v>
      </c>
      <c r="G18" s="64"/>
    </row>
    <row r="19" spans="1:7" ht="22" customHeight="1" x14ac:dyDescent="0.55000000000000004">
      <c r="A19" s="65" t="s">
        <v>28</v>
      </c>
      <c r="B19" s="64"/>
      <c r="C19" s="66"/>
      <c r="D19" s="67"/>
      <c r="E19" s="64"/>
      <c r="F19" s="68" t="s">
        <v>29</v>
      </c>
      <c r="G19" s="64"/>
    </row>
    <row r="20" spans="1:7" ht="22" customHeight="1" x14ac:dyDescent="0.55000000000000004">
      <c r="A20" s="81" t="s">
        <v>30</v>
      </c>
      <c r="B20" s="64"/>
      <c r="C20" s="66"/>
      <c r="D20" s="67"/>
      <c r="E20" s="64"/>
      <c r="F20" s="69" t="s">
        <v>31</v>
      </c>
      <c r="G20" s="64"/>
    </row>
    <row r="21" spans="1:7" ht="22" customHeight="1" x14ac:dyDescent="0.55000000000000004">
      <c r="A21" s="65" t="s">
        <v>32</v>
      </c>
      <c r="B21" s="64"/>
      <c r="C21" s="66"/>
      <c r="D21" s="67"/>
      <c r="E21" s="64"/>
      <c r="F21" s="68" t="s">
        <v>33</v>
      </c>
      <c r="G21" s="64"/>
    </row>
    <row r="22" spans="1:7" ht="22" customHeight="1" x14ac:dyDescent="0.55000000000000004">
      <c r="A22" s="81" t="s">
        <v>34</v>
      </c>
      <c r="B22" s="64"/>
      <c r="C22" s="66"/>
      <c r="D22" s="67"/>
      <c r="E22" s="64"/>
      <c r="F22" s="69" t="s">
        <v>35</v>
      </c>
      <c r="G22" s="64"/>
    </row>
    <row r="23" spans="1:7" ht="22" customHeight="1" x14ac:dyDescent="0.55000000000000004">
      <c r="A23" s="65" t="s">
        <v>36</v>
      </c>
      <c r="B23" s="64"/>
      <c r="C23" s="66"/>
      <c r="D23" s="67"/>
      <c r="E23" s="64"/>
      <c r="F23" s="68" t="s">
        <v>37</v>
      </c>
      <c r="G23" s="64"/>
    </row>
    <row r="24" spans="1:7" ht="22" customHeight="1" x14ac:dyDescent="0.55000000000000004">
      <c r="A24" s="81" t="s">
        <v>38</v>
      </c>
      <c r="B24" s="64"/>
      <c r="C24" s="66"/>
      <c r="D24" s="67"/>
      <c r="E24" s="64"/>
      <c r="F24" s="69" t="s">
        <v>39</v>
      </c>
      <c r="G24" s="64"/>
    </row>
    <row r="26" spans="1:7" ht="5.05" customHeight="1" x14ac:dyDescent="0.55000000000000004">
      <c r="A26" s="1"/>
      <c r="B26" s="1"/>
      <c r="C26" s="1"/>
      <c r="D26" s="1"/>
      <c r="E26" s="1"/>
      <c r="F26" s="1"/>
      <c r="G26" s="1"/>
    </row>
    <row r="27" spans="1:7" ht="24" customHeight="1" x14ac:dyDescent="0.55000000000000004">
      <c r="A27" s="60" t="s">
        <v>40</v>
      </c>
      <c r="B27" s="61"/>
      <c r="C27" s="61"/>
      <c r="D27" s="61"/>
      <c r="E27" s="61"/>
      <c r="F27" s="61"/>
      <c r="G27" s="62"/>
    </row>
    <row r="28" spans="1:7" ht="18" customHeight="1" x14ac:dyDescent="0.55000000000000004">
      <c r="A28" s="2"/>
      <c r="B28" s="2" t="s">
        <v>41</v>
      </c>
      <c r="C28" s="2"/>
      <c r="D28" s="2" t="s">
        <v>42</v>
      </c>
      <c r="E28" s="2"/>
      <c r="F28" s="2" t="s">
        <v>43</v>
      </c>
      <c r="G28" s="2" t="s">
        <v>44</v>
      </c>
    </row>
    <row r="29" spans="1:7" ht="26.05" customHeight="1" x14ac:dyDescent="0.55000000000000004">
      <c r="A29" s="65" t="s">
        <v>45</v>
      </c>
      <c r="B29" s="64"/>
      <c r="C29" s="3" t="s">
        <v>46</v>
      </c>
      <c r="D29" s="68" t="s">
        <v>47</v>
      </c>
      <c r="E29" s="64"/>
      <c r="F29" s="63" t="s">
        <v>48</v>
      </c>
      <c r="G29" s="64"/>
    </row>
    <row r="30" spans="1:7" ht="26.05" customHeight="1" x14ac:dyDescent="0.55000000000000004">
      <c r="A30" s="81" t="s">
        <v>49</v>
      </c>
      <c r="B30" s="64"/>
      <c r="C30" s="3" t="s">
        <v>50</v>
      </c>
      <c r="D30" s="69" t="s">
        <v>51</v>
      </c>
      <c r="E30" s="64"/>
      <c r="F30" s="84" t="s">
        <v>52</v>
      </c>
      <c r="G30" s="64"/>
    </row>
    <row r="31" spans="1:7" ht="26.05" customHeight="1" x14ac:dyDescent="0.55000000000000004">
      <c r="A31" s="65" t="s">
        <v>53</v>
      </c>
      <c r="B31" s="64"/>
      <c r="C31" s="3" t="s">
        <v>54</v>
      </c>
      <c r="D31" s="68" t="s">
        <v>55</v>
      </c>
      <c r="E31" s="64"/>
      <c r="F31" s="63" t="s">
        <v>56</v>
      </c>
      <c r="G31" s="64"/>
    </row>
    <row r="32" spans="1:7" ht="26.05" customHeight="1" x14ac:dyDescent="0.55000000000000004">
      <c r="A32" s="81" t="s">
        <v>57</v>
      </c>
      <c r="B32" s="64"/>
      <c r="C32" s="5"/>
      <c r="D32" s="69" t="s">
        <v>58</v>
      </c>
      <c r="E32" s="64"/>
      <c r="F32" s="84" t="s">
        <v>59</v>
      </c>
      <c r="G32" s="64"/>
    </row>
    <row r="33" spans="1:7" ht="26.05" customHeight="1" x14ac:dyDescent="0.55000000000000004">
      <c r="A33" s="77" t="s">
        <v>60</v>
      </c>
      <c r="B33" s="64"/>
      <c r="C33" s="5"/>
      <c r="D33" s="68" t="s">
        <v>61</v>
      </c>
      <c r="E33" s="64"/>
      <c r="F33" s="63" t="s">
        <v>62</v>
      </c>
      <c r="G33" s="64"/>
    </row>
    <row r="34" spans="1:7" ht="26.05" customHeight="1" x14ac:dyDescent="0.55000000000000004">
      <c r="A34" s="81" t="s">
        <v>63</v>
      </c>
      <c r="B34" s="64"/>
      <c r="C34" s="5"/>
      <c r="D34" s="69" t="s">
        <v>64</v>
      </c>
      <c r="E34" s="64"/>
      <c r="F34" s="84" t="s">
        <v>65</v>
      </c>
      <c r="G34" s="64"/>
    </row>
    <row r="35" spans="1:7" ht="26.05" customHeight="1" x14ac:dyDescent="0.55000000000000004">
      <c r="A35" s="77" t="s">
        <v>66</v>
      </c>
      <c r="B35" s="64"/>
      <c r="C35" s="6">
        <f>C33+C34</f>
        <v>0</v>
      </c>
      <c r="D35" s="68" t="s">
        <v>67</v>
      </c>
      <c r="E35" s="64"/>
      <c r="F35" s="63" t="s">
        <v>68</v>
      </c>
      <c r="G35" s="64"/>
    </row>
    <row r="36" spans="1:7" ht="26.05" customHeight="1" x14ac:dyDescent="0.55000000000000004">
      <c r="A36" s="90" t="s">
        <v>69</v>
      </c>
      <c r="B36" s="64"/>
      <c r="C36" s="5"/>
      <c r="D36" s="69" t="s">
        <v>70</v>
      </c>
      <c r="E36" s="64"/>
      <c r="F36" s="84" t="s">
        <v>71</v>
      </c>
      <c r="G36" s="64"/>
    </row>
    <row r="37" spans="1:7" ht="5.05" customHeight="1" x14ac:dyDescent="0.55000000000000004">
      <c r="A37" s="1"/>
      <c r="B37" s="1"/>
      <c r="C37" s="1"/>
      <c r="D37" s="1"/>
      <c r="E37" s="1"/>
      <c r="F37" s="1"/>
      <c r="G37" s="1"/>
    </row>
    <row r="38" spans="1:7" ht="24" customHeight="1" x14ac:dyDescent="0.55000000000000004">
      <c r="A38" s="60" t="s">
        <v>72</v>
      </c>
      <c r="B38" s="61"/>
      <c r="C38" s="61"/>
      <c r="D38" s="61"/>
      <c r="E38" s="61"/>
      <c r="F38" s="61"/>
      <c r="G38" s="62"/>
    </row>
    <row r="39" spans="1:7" ht="22" customHeight="1" x14ac:dyDescent="0.55000000000000004">
      <c r="A39" s="73" t="s">
        <v>73</v>
      </c>
      <c r="B39" s="67"/>
      <c r="C39" s="67"/>
      <c r="D39" s="67"/>
      <c r="E39" s="67"/>
      <c r="F39" s="67"/>
      <c r="G39" s="64"/>
    </row>
    <row r="40" spans="1:7" ht="18" customHeight="1" x14ac:dyDescent="0.55000000000000004">
      <c r="A40" s="7" t="s">
        <v>74</v>
      </c>
      <c r="B40" s="7" t="s">
        <v>75</v>
      </c>
      <c r="C40" s="7" t="s">
        <v>76</v>
      </c>
      <c r="D40" s="7" t="s">
        <v>77</v>
      </c>
      <c r="E40" s="7" t="s">
        <v>78</v>
      </c>
      <c r="F40" s="7" t="s">
        <v>79</v>
      </c>
      <c r="G40" s="7" t="s">
        <v>80</v>
      </c>
    </row>
    <row r="41" spans="1:7" ht="26.05" customHeight="1" x14ac:dyDescent="0.55000000000000004">
      <c r="A41" s="8"/>
      <c r="B41" s="9"/>
      <c r="C41" s="10"/>
      <c r="D41" s="10"/>
      <c r="E41" s="11">
        <f t="shared" ref="E41:E46" si="0">IF(OR(C41&gt;0,D41&gt;0),C41+D41,0)</f>
        <v>0</v>
      </c>
      <c r="F41" s="12">
        <f t="shared" ref="F41:F46" si="1">E41</f>
        <v>0</v>
      </c>
      <c r="G41" s="13"/>
    </row>
    <row r="42" spans="1:7" ht="26.05" customHeight="1" x14ac:dyDescent="0.55000000000000004">
      <c r="A42" s="8"/>
      <c r="B42" s="9"/>
      <c r="C42" s="10"/>
      <c r="D42" s="10"/>
      <c r="E42" s="14">
        <f t="shared" si="0"/>
        <v>0</v>
      </c>
      <c r="F42" s="12">
        <f t="shared" si="1"/>
        <v>0</v>
      </c>
      <c r="G42" s="13"/>
    </row>
    <row r="43" spans="1:7" ht="26.05" customHeight="1" x14ac:dyDescent="0.55000000000000004">
      <c r="A43" s="8"/>
      <c r="B43" s="9"/>
      <c r="C43" s="10"/>
      <c r="D43" s="10"/>
      <c r="E43" s="11">
        <f t="shared" si="0"/>
        <v>0</v>
      </c>
      <c r="F43" s="12">
        <f t="shared" si="1"/>
        <v>0</v>
      </c>
      <c r="G43" s="13"/>
    </row>
    <row r="44" spans="1:7" ht="26.05" customHeight="1" x14ac:dyDescent="0.55000000000000004">
      <c r="A44" s="8"/>
      <c r="B44" s="9"/>
      <c r="C44" s="10"/>
      <c r="D44" s="10"/>
      <c r="E44" s="14">
        <f t="shared" si="0"/>
        <v>0</v>
      </c>
      <c r="F44" s="12">
        <f t="shared" si="1"/>
        <v>0</v>
      </c>
      <c r="G44" s="13"/>
    </row>
    <row r="45" spans="1:7" ht="26.05" customHeight="1" x14ac:dyDescent="0.55000000000000004">
      <c r="A45" s="8"/>
      <c r="B45" s="9"/>
      <c r="C45" s="10"/>
      <c r="D45" s="10"/>
      <c r="E45" s="11">
        <f t="shared" si="0"/>
        <v>0</v>
      </c>
      <c r="F45" s="12">
        <f t="shared" si="1"/>
        <v>0</v>
      </c>
      <c r="G45" s="13"/>
    </row>
    <row r="46" spans="1:7" ht="26.05" customHeight="1" x14ac:dyDescent="0.55000000000000004">
      <c r="A46" s="8"/>
      <c r="B46" s="9"/>
      <c r="C46" s="10"/>
      <c r="D46" s="10"/>
      <c r="E46" s="14">
        <f t="shared" si="0"/>
        <v>0</v>
      </c>
      <c r="F46" s="12">
        <f t="shared" si="1"/>
        <v>0</v>
      </c>
      <c r="G46" s="13"/>
    </row>
    <row r="47" spans="1:7" ht="30" customHeight="1" x14ac:dyDescent="0.55000000000000004">
      <c r="A47" s="98" t="s">
        <v>81</v>
      </c>
      <c r="B47" s="64"/>
      <c r="C47" s="15">
        <f>SUM(C41:C46)</f>
        <v>0</v>
      </c>
      <c r="D47" s="15">
        <f>SUM(D41:D46)</f>
        <v>0</v>
      </c>
      <c r="E47" s="16">
        <f>SUM(E41:E46)</f>
        <v>0</v>
      </c>
      <c r="F47" s="17">
        <f>SUM(F41:F46)</f>
        <v>0</v>
      </c>
      <c r="G47" s="91" t="s">
        <v>82</v>
      </c>
    </row>
    <row r="48" spans="1:7" ht="5.05" customHeight="1" x14ac:dyDescent="0.55000000000000004">
      <c r="A48" s="1"/>
      <c r="B48" s="1"/>
      <c r="C48" s="1"/>
      <c r="D48" s="1"/>
      <c r="E48" s="1"/>
      <c r="F48" s="1"/>
      <c r="G48" s="1"/>
    </row>
    <row r="49" spans="1:7" ht="24" customHeight="1" x14ac:dyDescent="0.55000000000000004">
      <c r="A49" s="60" t="s">
        <v>83</v>
      </c>
      <c r="B49" s="61"/>
      <c r="C49" s="61"/>
      <c r="D49" s="61"/>
      <c r="E49" s="61"/>
      <c r="F49" s="61"/>
      <c r="G49" s="62"/>
    </row>
    <row r="50" spans="1:7" ht="18" customHeight="1" x14ac:dyDescent="0.55000000000000004">
      <c r="A50" s="2"/>
      <c r="B50" s="2" t="s">
        <v>84</v>
      </c>
      <c r="C50" s="2"/>
      <c r="D50" s="2" t="s">
        <v>85</v>
      </c>
      <c r="E50" s="2"/>
      <c r="F50" s="2" t="s">
        <v>43</v>
      </c>
      <c r="G50" s="2" t="s">
        <v>86</v>
      </c>
    </row>
    <row r="51" spans="1:7" ht="28" customHeight="1" x14ac:dyDescent="0.55000000000000004">
      <c r="A51" s="65" t="s">
        <v>87</v>
      </c>
      <c r="B51" s="64"/>
      <c r="C51" s="18">
        <f>C47</f>
        <v>0</v>
      </c>
      <c r="D51" s="68" t="s">
        <v>88</v>
      </c>
      <c r="E51" s="64"/>
      <c r="F51" s="78"/>
      <c r="G51" s="64"/>
    </row>
    <row r="52" spans="1:7" ht="28" customHeight="1" x14ac:dyDescent="0.55000000000000004">
      <c r="A52" s="81" t="s">
        <v>89</v>
      </c>
      <c r="B52" s="64"/>
      <c r="C52" s="18">
        <f>D47</f>
        <v>0</v>
      </c>
      <c r="D52" s="69" t="s">
        <v>90</v>
      </c>
      <c r="E52" s="64"/>
      <c r="F52" s="82"/>
      <c r="G52" s="64"/>
    </row>
    <row r="53" spans="1:7" ht="28" customHeight="1" x14ac:dyDescent="0.55000000000000004">
      <c r="A53" s="65" t="s">
        <v>91</v>
      </c>
      <c r="B53" s="64"/>
      <c r="C53" s="18">
        <f>E47</f>
        <v>0</v>
      </c>
      <c r="D53" s="68" t="s">
        <v>92</v>
      </c>
      <c r="E53" s="64"/>
      <c r="F53" s="78"/>
      <c r="G53" s="64"/>
    </row>
    <row r="54" spans="1:7" ht="28" customHeight="1" x14ac:dyDescent="0.55000000000000004">
      <c r="A54" s="70" t="s">
        <v>93</v>
      </c>
      <c r="B54" s="64"/>
      <c r="C54" s="19" t="s">
        <v>94</v>
      </c>
      <c r="D54" s="96" t="s">
        <v>95</v>
      </c>
      <c r="E54" s="64"/>
      <c r="F54" s="83" t="s">
        <v>96</v>
      </c>
      <c r="G54" s="64"/>
    </row>
    <row r="55" spans="1:7" ht="28" customHeight="1" x14ac:dyDescent="0.55000000000000004">
      <c r="A55" s="92" t="s">
        <v>97</v>
      </c>
      <c r="B55" s="64"/>
      <c r="C55" s="20">
        <f>F47</f>
        <v>0</v>
      </c>
      <c r="D55" s="94" t="s">
        <v>98</v>
      </c>
      <c r="E55" s="64"/>
      <c r="F55" s="97" t="s">
        <v>96</v>
      </c>
      <c r="G55" s="64"/>
    </row>
    <row r="56" spans="1:7" ht="28" customHeight="1" x14ac:dyDescent="0.55000000000000004">
      <c r="A56" s="76" t="s">
        <v>99</v>
      </c>
      <c r="B56" s="64"/>
      <c r="C56" s="21" t="s">
        <v>100</v>
      </c>
      <c r="D56" s="79" t="s">
        <v>101</v>
      </c>
      <c r="E56" s="64"/>
      <c r="F56" s="80" t="s">
        <v>102</v>
      </c>
      <c r="G56" s="64"/>
    </row>
    <row r="57" spans="1:7" ht="5.05" customHeight="1" x14ac:dyDescent="0.55000000000000004">
      <c r="A57" s="1"/>
      <c r="B57" s="1"/>
      <c r="C57" s="1"/>
      <c r="D57" s="1"/>
      <c r="E57" s="1"/>
      <c r="F57" s="1"/>
      <c r="G57" s="1"/>
    </row>
    <row r="58" spans="1:7" ht="32.049999999999997" customHeight="1" x14ac:dyDescent="0.55000000000000004">
      <c r="A58" s="71" t="s">
        <v>103</v>
      </c>
      <c r="B58" s="67"/>
      <c r="C58" s="67"/>
      <c r="D58" s="64"/>
      <c r="E58" s="22" t="str">
        <f>D55</f>
        <v>→ Beyanname 477 | Kazancın Bulunması Halinde</v>
      </c>
      <c r="F58" s="99" t="s">
        <v>104</v>
      </c>
      <c r="G58" s="64"/>
    </row>
    <row r="59" spans="1:7" ht="30" customHeight="1" x14ac:dyDescent="0.55000000000000004">
      <c r="A59" s="75" t="s">
        <v>105</v>
      </c>
      <c r="B59" s="67"/>
      <c r="C59" s="67"/>
      <c r="D59" s="67"/>
      <c r="E59" s="67"/>
      <c r="F59" s="67"/>
      <c r="G59" s="64"/>
    </row>
  </sheetData>
  <mergeCells count="94">
    <mergeCell ref="A2:G2"/>
    <mergeCell ref="F14:G14"/>
    <mergeCell ref="D54:E54"/>
    <mergeCell ref="A14:D14"/>
    <mergeCell ref="F11:G11"/>
    <mergeCell ref="A24:B24"/>
    <mergeCell ref="F12:G12"/>
    <mergeCell ref="F24:G24"/>
    <mergeCell ref="F51:G51"/>
    <mergeCell ref="D32:E32"/>
    <mergeCell ref="F32:G32"/>
    <mergeCell ref="A18:B18"/>
    <mergeCell ref="F35:G35"/>
    <mergeCell ref="C19:E19"/>
    <mergeCell ref="A47:B47"/>
    <mergeCell ref="F52:G52"/>
    <mergeCell ref="F8:G8"/>
    <mergeCell ref="A21:B21"/>
    <mergeCell ref="A6:G6"/>
    <mergeCell ref="A32:B32"/>
    <mergeCell ref="F22:G22"/>
    <mergeCell ref="A23:B23"/>
    <mergeCell ref="D30:E30"/>
    <mergeCell ref="A12:D12"/>
    <mergeCell ref="A20:B20"/>
    <mergeCell ref="A29:B29"/>
    <mergeCell ref="A27:G27"/>
    <mergeCell ref="A31:B31"/>
    <mergeCell ref="A1:G1"/>
    <mergeCell ref="F31:G31"/>
    <mergeCell ref="F9:G9"/>
    <mergeCell ref="C24:E24"/>
    <mergeCell ref="A52:B52"/>
    <mergeCell ref="A3:G3"/>
    <mergeCell ref="D29:E29"/>
    <mergeCell ref="A34:B34"/>
    <mergeCell ref="A8:D8"/>
    <mergeCell ref="A4:G4"/>
    <mergeCell ref="A36:B36"/>
    <mergeCell ref="A38:G38"/>
    <mergeCell ref="G47"/>
    <mergeCell ref="A10:D10"/>
    <mergeCell ref="F21:G21"/>
    <mergeCell ref="D52:E52"/>
    <mergeCell ref="A9:D9"/>
    <mergeCell ref="F30:G30"/>
    <mergeCell ref="F20:G20"/>
    <mergeCell ref="F18:G18"/>
    <mergeCell ref="F33:G33"/>
    <mergeCell ref="A11:D11"/>
    <mergeCell ref="F10:G10"/>
    <mergeCell ref="F54:G54"/>
    <mergeCell ref="D34:E34"/>
    <mergeCell ref="F19:G19"/>
    <mergeCell ref="C22:E22"/>
    <mergeCell ref="F34:G34"/>
    <mergeCell ref="A49:G49"/>
    <mergeCell ref="D53:E53"/>
    <mergeCell ref="F36:G36"/>
    <mergeCell ref="F53:G53"/>
    <mergeCell ref="A59:G59"/>
    <mergeCell ref="A56:B56"/>
    <mergeCell ref="A33:B33"/>
    <mergeCell ref="F23:G23"/>
    <mergeCell ref="C18:E18"/>
    <mergeCell ref="D56:E56"/>
    <mergeCell ref="F56:G56"/>
    <mergeCell ref="A22:B22"/>
    <mergeCell ref="A53:B53"/>
    <mergeCell ref="A35:B35"/>
    <mergeCell ref="D33:E33"/>
    <mergeCell ref="A19:B19"/>
    <mergeCell ref="D51:E51"/>
    <mergeCell ref="C20:E20"/>
    <mergeCell ref="D35:E35"/>
    <mergeCell ref="A30:B30"/>
    <mergeCell ref="A13:D13"/>
    <mergeCell ref="A54:B54"/>
    <mergeCell ref="A58:D58"/>
    <mergeCell ref="F15:G15"/>
    <mergeCell ref="C23:E23"/>
    <mergeCell ref="A39:G39"/>
    <mergeCell ref="A15:D15"/>
    <mergeCell ref="F13:G13"/>
    <mergeCell ref="A55:B55"/>
    <mergeCell ref="D55:E55"/>
    <mergeCell ref="F55:G55"/>
    <mergeCell ref="F58:G58"/>
    <mergeCell ref="A17:G17"/>
    <mergeCell ref="F29:G29"/>
    <mergeCell ref="A51:B51"/>
    <mergeCell ref="C21:E21"/>
    <mergeCell ref="D31:E31"/>
    <mergeCell ref="D36:E36"/>
  </mergeCells>
  <conditionalFormatting sqref="E15">
    <cfRule type="containsText" dxfId="3" priority="1" operator="containsText" text="OK">
      <formula>NOT(ISERROR(SEARCH("OK",E15)))</formula>
    </cfRule>
    <cfRule type="containsText" dxfId="2" priority="2" operator="containsText" text="HATA">
      <formula>NOT(ISERROR(SEARCH("HATA",E15)))</formula>
    </cfRule>
  </conditionalFormatting>
  <dataValidations count="10">
    <dataValidation type="list" sqref="E8" xr:uid="{00000000-0002-0000-0000-000000000000}">
      <formula1>"EVET,HAYIR-Kapsam Dışı Kurum"</formula1>
    </dataValidation>
    <dataValidation type="list" sqref="E9" xr:uid="{00000000-0002-0000-0000-000001000000}">
      <formula1>"EVET,HAYIR-Taahhüt Aşamasında"</formula1>
    </dataValidation>
    <dataValidation type="list" sqref="E10" xr:uid="{00000000-0002-0000-0000-000002000000}">
      <formula1>"EVET,HAYIR-Belge Eksik"</formula1>
    </dataValidation>
    <dataValidation type="list" sqref="E11" xr:uid="{00000000-0002-0000-0000-000003000000}">
      <formula1>"EVET,HAYIR-Amaç Dışı"</formula1>
    </dataValidation>
    <dataValidation type="list" sqref="E12" xr:uid="{00000000-0002-0000-0000-000004000000}">
      <formula1>"EVET,HAYIR-Değerleme Eksik,Uygulanmaz-Yalnızca Nakdi"</formula1>
    </dataValidation>
    <dataValidation type="list" sqref="E13" xr:uid="{00000000-0002-0000-0000-000005000000}">
      <formula1>"EVET,HAYIR-Eksik"</formula1>
    </dataValidation>
    <dataValidation type="list" sqref="E14" xr:uid="{00000000-0002-0000-0000-000006000000}">
      <formula1>"EVET,Tam Tasdik"</formula1>
    </dataValidation>
    <dataValidation type="list" sqref="C29" xr:uid="{00000000-0002-0000-0000-000007000000}">
      <formula1>"Nakdi (Banka Transferi/EFT/Havale),Ayni (Malzeme/Ekipman/Hizmet),Karma (Nakdi + Ayni)"</formula1>
    </dataValidation>
    <dataValidation type="list" sqref="C30" xr:uid="{00000000-0002-0000-0000-000008000000}">
      <formula1>"TC Emekli Sandığı (Genel),Emekli Sandığı Bünyesindeki Sosyal Destek Fonu,Emekli Sandığı Bünyesindeki Yardım Programı,Diğer 5434 s.K. Kapsamı"</formula1>
    </dataValidation>
    <dataValidation type="list" sqref="C31" xr:uid="{00000000-0002-0000-0000-000009000000}">
      <formula1>"Emekli/Malul Kamu Personeline Destek,İştirakçi Ailesine Sosyal Yardım,Sandık Sosyal Tesisleri Desteği,Genel 5434 s.K. Kapsamı Yardım,Diğer"</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workbookViewId="0"/>
  </sheetViews>
  <sheetFormatPr defaultRowHeight="14.4" x14ac:dyDescent="0.55000000000000004"/>
  <cols>
    <col min="1" max="1" width="4" customWidth="1"/>
    <col min="2" max="2" width="42" customWidth="1"/>
    <col min="3" max="4" width="15" customWidth="1"/>
    <col min="5" max="5" width="14" customWidth="1"/>
    <col min="6" max="6" width="12" customWidth="1"/>
    <col min="7" max="7" width="18" customWidth="1"/>
  </cols>
  <sheetData>
    <row r="1" spans="1:7" ht="36" customHeight="1" x14ac:dyDescent="0.55000000000000004">
      <c r="A1" s="107" t="s">
        <v>106</v>
      </c>
      <c r="B1" s="61"/>
      <c r="C1" s="61"/>
      <c r="D1" s="61"/>
      <c r="E1" s="61"/>
      <c r="F1" s="61"/>
      <c r="G1" s="62"/>
    </row>
    <row r="2" spans="1:7" ht="20.05" customHeight="1" x14ac:dyDescent="0.55000000000000004">
      <c r="A2" s="112" t="s">
        <v>107</v>
      </c>
      <c r="B2" s="67"/>
      <c r="C2" s="67"/>
      <c r="D2" s="67"/>
      <c r="E2" s="67"/>
      <c r="F2" s="67"/>
      <c r="G2" s="64"/>
    </row>
    <row r="3" spans="1:7" ht="5.05" customHeight="1" x14ac:dyDescent="0.55000000000000004">
      <c r="A3" s="1"/>
      <c r="B3" s="1"/>
      <c r="C3" s="1"/>
      <c r="D3" s="1"/>
      <c r="E3" s="1"/>
      <c r="F3" s="1"/>
      <c r="G3" s="1"/>
    </row>
    <row r="4" spans="1:7" ht="22" customHeight="1" x14ac:dyDescent="0.55000000000000004">
      <c r="A4" s="104" t="s">
        <v>108</v>
      </c>
      <c r="B4" s="61"/>
      <c r="C4" s="61"/>
      <c r="D4" s="61"/>
      <c r="E4" s="61"/>
      <c r="F4" s="61"/>
      <c r="G4" s="62"/>
    </row>
    <row r="5" spans="1:7" ht="22" customHeight="1" x14ac:dyDescent="0.55000000000000004">
      <c r="A5" s="106" t="s">
        <v>109</v>
      </c>
      <c r="B5" s="67"/>
      <c r="C5" s="64"/>
      <c r="D5" s="23" t="str">
        <f>'VERİ GİRİŞİ'!E15</f>
        <v>OK - Hesaplanabilir</v>
      </c>
      <c r="E5" s="78" t="s">
        <v>110</v>
      </c>
      <c r="F5" s="67"/>
      <c r="G5" s="64"/>
    </row>
    <row r="6" spans="1:7" ht="22" customHeight="1" x14ac:dyDescent="0.55000000000000004">
      <c r="A6" s="110" t="s">
        <v>111</v>
      </c>
      <c r="B6" s="67"/>
      <c r="C6" s="64"/>
      <c r="D6" s="23" t="str">
        <f>'VERİ GİRİŞİ'!C30</f>
        <v>TC Emekli Sandığı (Genel)</v>
      </c>
      <c r="E6" s="82" t="s">
        <v>112</v>
      </c>
      <c r="F6" s="67"/>
      <c r="G6" s="64"/>
    </row>
    <row r="7" spans="1:7" ht="22" customHeight="1" x14ac:dyDescent="0.55000000000000004">
      <c r="A7" s="106" t="s">
        <v>113</v>
      </c>
      <c r="B7" s="67"/>
      <c r="C7" s="64"/>
      <c r="D7" s="23">
        <f>'VERİ GİRİŞİ'!C53</f>
        <v>0</v>
      </c>
      <c r="E7" s="78" t="s">
        <v>114</v>
      </c>
      <c r="F7" s="67"/>
      <c r="G7" s="64"/>
    </row>
    <row r="8" spans="1:7" ht="22" customHeight="1" x14ac:dyDescent="0.55000000000000004">
      <c r="A8" s="74" t="s">
        <v>115</v>
      </c>
      <c r="B8" s="67"/>
      <c r="C8" s="64"/>
      <c r="D8" s="24">
        <f>'VERİ GİRİŞİ'!C55</f>
        <v>0</v>
      </c>
      <c r="E8" s="97"/>
      <c r="F8" s="67"/>
      <c r="G8" s="64"/>
    </row>
    <row r="9" spans="1:7" ht="22" customHeight="1" x14ac:dyDescent="0.55000000000000004">
      <c r="A9" s="108" t="s">
        <v>116</v>
      </c>
      <c r="B9" s="67"/>
      <c r="C9" s="64"/>
      <c r="D9" s="21" t="s">
        <v>117</v>
      </c>
      <c r="E9" s="80" t="s">
        <v>118</v>
      </c>
      <c r="F9" s="67"/>
      <c r="G9" s="64"/>
    </row>
    <row r="10" spans="1:7" ht="5.05" customHeight="1" x14ac:dyDescent="0.55000000000000004">
      <c r="A10" s="1"/>
      <c r="B10" s="1"/>
      <c r="C10" s="1"/>
      <c r="D10" s="1"/>
      <c r="E10" s="1"/>
      <c r="F10" s="1"/>
      <c r="G10" s="1"/>
    </row>
    <row r="11" spans="1:7" ht="22" customHeight="1" x14ac:dyDescent="0.55000000000000004">
      <c r="A11" s="60" t="s">
        <v>119</v>
      </c>
      <c r="B11" s="61"/>
      <c r="C11" s="61"/>
      <c r="D11" s="61"/>
      <c r="E11" s="61"/>
      <c r="F11" s="61"/>
      <c r="G11" s="62"/>
    </row>
    <row r="12" spans="1:7" ht="72" customHeight="1" x14ac:dyDescent="0.55000000000000004">
      <c r="A12" s="111" t="s">
        <v>120</v>
      </c>
      <c r="B12" s="67"/>
      <c r="C12" s="67"/>
      <c r="D12" s="67"/>
      <c r="E12" s="67"/>
      <c r="F12" s="67"/>
      <c r="G12" s="64"/>
    </row>
    <row r="13" spans="1:7" ht="5.05" customHeight="1" x14ac:dyDescent="0.55000000000000004">
      <c r="A13" s="1"/>
      <c r="B13" s="1"/>
      <c r="C13" s="1"/>
      <c r="D13" s="1"/>
      <c r="E13" s="1"/>
      <c r="F13" s="1"/>
      <c r="G13" s="1"/>
    </row>
    <row r="14" spans="1:7" ht="22" customHeight="1" x14ac:dyDescent="0.55000000000000004">
      <c r="A14" s="60" t="s">
        <v>121</v>
      </c>
      <c r="B14" s="61"/>
      <c r="C14" s="61"/>
      <c r="D14" s="61"/>
      <c r="E14" s="61"/>
      <c r="F14" s="61"/>
      <c r="G14" s="62"/>
    </row>
    <row r="15" spans="1:7" ht="18" customHeight="1" x14ac:dyDescent="0.55000000000000004">
      <c r="A15" s="2"/>
      <c r="B15" s="2" t="s">
        <v>122</v>
      </c>
      <c r="C15" s="2"/>
      <c r="D15" s="2" t="s">
        <v>43</v>
      </c>
      <c r="E15" s="2"/>
      <c r="F15" s="2" t="s">
        <v>123</v>
      </c>
      <c r="G15" s="2"/>
    </row>
    <row r="16" spans="1:7" ht="20.05" customHeight="1" x14ac:dyDescent="0.55000000000000004">
      <c r="A16" s="25" t="s">
        <v>124</v>
      </c>
      <c r="B16" s="101" t="s">
        <v>125</v>
      </c>
      <c r="C16" s="64"/>
      <c r="D16" s="103" t="s">
        <v>126</v>
      </c>
      <c r="E16" s="64"/>
      <c r="F16" s="13" t="s">
        <v>127</v>
      </c>
      <c r="G16" s="28"/>
    </row>
    <row r="17" spans="1:7" ht="20.05" customHeight="1" x14ac:dyDescent="0.55000000000000004">
      <c r="A17" s="25" t="s">
        <v>128</v>
      </c>
      <c r="B17" s="101" t="s">
        <v>129</v>
      </c>
      <c r="C17" s="64"/>
      <c r="D17" s="103" t="s">
        <v>130</v>
      </c>
      <c r="E17" s="64"/>
      <c r="F17" s="13" t="s">
        <v>127</v>
      </c>
      <c r="G17" s="29"/>
    </row>
    <row r="18" spans="1:7" ht="20.05" customHeight="1" x14ac:dyDescent="0.55000000000000004">
      <c r="A18" s="25" t="s">
        <v>131</v>
      </c>
      <c r="B18" s="101" t="s">
        <v>132</v>
      </c>
      <c r="C18" s="64"/>
      <c r="D18" s="103" t="s">
        <v>133</v>
      </c>
      <c r="E18" s="64"/>
      <c r="F18" s="13" t="s">
        <v>127</v>
      </c>
      <c r="G18" s="28"/>
    </row>
    <row r="19" spans="1:7" ht="20.05" customHeight="1" x14ac:dyDescent="0.55000000000000004">
      <c r="A19" s="25" t="s">
        <v>134</v>
      </c>
      <c r="B19" s="101" t="s">
        <v>135</v>
      </c>
      <c r="C19" s="64"/>
      <c r="D19" s="103" t="s">
        <v>136</v>
      </c>
      <c r="E19" s="64"/>
      <c r="F19" s="13" t="s">
        <v>127</v>
      </c>
      <c r="G19" s="29"/>
    </row>
    <row r="20" spans="1:7" ht="20.05" customHeight="1" x14ac:dyDescent="0.55000000000000004">
      <c r="A20" s="25" t="s">
        <v>137</v>
      </c>
      <c r="B20" s="109" t="s">
        <v>138</v>
      </c>
      <c r="C20" s="64"/>
      <c r="D20" s="100" t="s">
        <v>139</v>
      </c>
      <c r="E20" s="64"/>
      <c r="F20" s="13" t="s">
        <v>127</v>
      </c>
      <c r="G20" s="28"/>
    </row>
    <row r="21" spans="1:7" ht="20.05" customHeight="1" x14ac:dyDescent="0.55000000000000004">
      <c r="A21" s="25" t="s">
        <v>140</v>
      </c>
      <c r="B21" s="102" t="s">
        <v>141</v>
      </c>
      <c r="C21" s="64"/>
      <c r="D21" s="105" t="s">
        <v>142</v>
      </c>
      <c r="E21" s="64"/>
      <c r="F21" s="13" t="s">
        <v>127</v>
      </c>
      <c r="G21" s="29"/>
    </row>
    <row r="22" spans="1:7" ht="20.05" customHeight="1" x14ac:dyDescent="0.55000000000000004">
      <c r="A22" s="25" t="s">
        <v>143</v>
      </c>
      <c r="B22" s="101" t="s">
        <v>144</v>
      </c>
      <c r="C22" s="64"/>
      <c r="D22" s="103" t="s">
        <v>145</v>
      </c>
      <c r="E22" s="64"/>
      <c r="F22" s="13" t="s">
        <v>127</v>
      </c>
      <c r="G22" s="28"/>
    </row>
    <row r="23" spans="1:7" ht="20.05" customHeight="1" x14ac:dyDescent="0.55000000000000004">
      <c r="A23" s="25" t="s">
        <v>146</v>
      </c>
      <c r="B23" s="102" t="s">
        <v>147</v>
      </c>
      <c r="C23" s="64"/>
      <c r="D23" s="105" t="s">
        <v>148</v>
      </c>
      <c r="E23" s="64"/>
      <c r="F23" s="13" t="s">
        <v>127</v>
      </c>
      <c r="G23" s="29"/>
    </row>
    <row r="24" spans="1:7" ht="20.05" customHeight="1" x14ac:dyDescent="0.55000000000000004">
      <c r="A24" s="25" t="s">
        <v>149</v>
      </c>
      <c r="B24" s="109" t="s">
        <v>150</v>
      </c>
      <c r="C24" s="64"/>
      <c r="D24" s="100" t="s">
        <v>151</v>
      </c>
      <c r="E24" s="64"/>
      <c r="F24" s="13" t="s">
        <v>127</v>
      </c>
      <c r="G24" s="28"/>
    </row>
    <row r="25" spans="1:7" ht="20.05" customHeight="1" x14ac:dyDescent="0.55000000000000004">
      <c r="A25" s="25" t="s">
        <v>152</v>
      </c>
      <c r="B25" s="102" t="s">
        <v>153</v>
      </c>
      <c r="C25" s="64"/>
      <c r="D25" s="105" t="s">
        <v>154</v>
      </c>
      <c r="E25" s="64"/>
      <c r="F25" s="13" t="s">
        <v>127</v>
      </c>
      <c r="G25" s="29"/>
    </row>
    <row r="26" spans="1:7" ht="20.05" customHeight="1" x14ac:dyDescent="0.55000000000000004">
      <c r="A26" s="25" t="s">
        <v>155</v>
      </c>
      <c r="B26" s="109" t="s">
        <v>156</v>
      </c>
      <c r="C26" s="64"/>
      <c r="D26" s="100" t="s">
        <v>22</v>
      </c>
      <c r="E26" s="64"/>
      <c r="F26" s="13" t="s">
        <v>127</v>
      </c>
      <c r="G26" s="28"/>
    </row>
  </sheetData>
  <mergeCells count="38">
    <mergeCell ref="B26:C26"/>
    <mergeCell ref="A7:C7"/>
    <mergeCell ref="D26:E26"/>
    <mergeCell ref="A1:G1"/>
    <mergeCell ref="B19:C19"/>
    <mergeCell ref="A9:C9"/>
    <mergeCell ref="D18:E18"/>
    <mergeCell ref="D25:E25"/>
    <mergeCell ref="B24:C24"/>
    <mergeCell ref="D24:E24"/>
    <mergeCell ref="E5:G5"/>
    <mergeCell ref="B20:C20"/>
    <mergeCell ref="A6:C6"/>
    <mergeCell ref="E8:G8"/>
    <mergeCell ref="A12:G12"/>
    <mergeCell ref="D23:E23"/>
    <mergeCell ref="A2:G2"/>
    <mergeCell ref="A4:G4"/>
    <mergeCell ref="B22:C22"/>
    <mergeCell ref="E9:G9"/>
    <mergeCell ref="D22:E22"/>
    <mergeCell ref="B18:C18"/>
    <mergeCell ref="E6:G6"/>
    <mergeCell ref="D21:E21"/>
    <mergeCell ref="B21:C21"/>
    <mergeCell ref="A5:C5"/>
    <mergeCell ref="A8:C8"/>
    <mergeCell ref="B17:C17"/>
    <mergeCell ref="D17:E17"/>
    <mergeCell ref="A11:G11"/>
    <mergeCell ref="E7:G7"/>
    <mergeCell ref="D16:E16"/>
    <mergeCell ref="D20:E20"/>
    <mergeCell ref="A14:G14"/>
    <mergeCell ref="B16:C16"/>
    <mergeCell ref="B25:C25"/>
    <mergeCell ref="D19:E19"/>
    <mergeCell ref="B23:C23"/>
  </mergeCells>
  <conditionalFormatting sqref="D5">
    <cfRule type="containsText" dxfId="1" priority="1" operator="containsText" text="OK">
      <formula>NOT(ISERROR(SEARCH("OK",D5)))</formula>
    </cfRule>
    <cfRule type="containsText" dxfId="0" priority="2" operator="containsText" text="HATA">
      <formula>NOT(ISERROR(SEARCH("HATA",D5)))</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
  <sheetViews>
    <sheetView workbookViewId="0"/>
  </sheetViews>
  <sheetFormatPr defaultRowHeight="14.4" x14ac:dyDescent="0.55000000000000004"/>
  <cols>
    <col min="1" max="1" width="4" customWidth="1"/>
    <col min="2" max="2" width="10" customWidth="1"/>
    <col min="3" max="3" width="28" customWidth="1"/>
    <col min="4" max="4" width="22" customWidth="1"/>
    <col min="5" max="6" width="14" customWidth="1"/>
    <col min="7" max="7" width="20" customWidth="1"/>
  </cols>
  <sheetData>
    <row r="1" spans="1:7" ht="32.049999999999997" customHeight="1" x14ac:dyDescent="0.55000000000000004">
      <c r="A1" s="60" t="s">
        <v>157</v>
      </c>
      <c r="B1" s="61"/>
      <c r="C1" s="61"/>
      <c r="D1" s="61"/>
      <c r="E1" s="61"/>
      <c r="F1" s="61"/>
      <c r="G1" s="62"/>
    </row>
    <row r="2" spans="1:7" ht="22" customHeight="1" x14ac:dyDescent="0.55000000000000004">
      <c r="A2" s="114" t="s">
        <v>158</v>
      </c>
      <c r="B2" s="67"/>
      <c r="C2" s="67"/>
      <c r="D2" s="67"/>
      <c r="E2" s="67"/>
      <c r="F2" s="67"/>
      <c r="G2" s="64"/>
    </row>
    <row r="3" spans="1:7" ht="18" customHeight="1" x14ac:dyDescent="0.55000000000000004">
      <c r="A3" s="32"/>
      <c r="B3" s="32" t="s">
        <v>159</v>
      </c>
      <c r="C3" s="32" t="s">
        <v>160</v>
      </c>
      <c r="D3" s="32" t="s">
        <v>86</v>
      </c>
      <c r="E3" s="32" t="s">
        <v>161</v>
      </c>
      <c r="F3" s="32" t="s">
        <v>162</v>
      </c>
      <c r="G3" s="32" t="s">
        <v>163</v>
      </c>
    </row>
    <row r="4" spans="1:7" ht="22" customHeight="1" x14ac:dyDescent="0.55000000000000004">
      <c r="A4" s="33" t="s">
        <v>161</v>
      </c>
      <c r="B4" s="33" t="s">
        <v>164</v>
      </c>
      <c r="C4" s="33" t="s">
        <v>165</v>
      </c>
      <c r="D4" s="33" t="s">
        <v>166</v>
      </c>
      <c r="E4" s="33" t="s">
        <v>167</v>
      </c>
      <c r="F4" s="33" t="s">
        <v>168</v>
      </c>
      <c r="G4" s="33" t="s">
        <v>169</v>
      </c>
    </row>
    <row r="5" spans="1:7" ht="22" customHeight="1" x14ac:dyDescent="0.55000000000000004">
      <c r="A5" s="116" t="s">
        <v>170</v>
      </c>
      <c r="B5" s="67"/>
      <c r="C5" s="67"/>
      <c r="D5" s="67"/>
      <c r="E5" s="67"/>
      <c r="F5" s="67"/>
      <c r="G5" s="64"/>
    </row>
    <row r="6" spans="1:7" ht="18" customHeight="1" x14ac:dyDescent="0.55000000000000004">
      <c r="A6" s="32"/>
      <c r="B6" s="32" t="s">
        <v>159</v>
      </c>
      <c r="C6" s="32" t="s">
        <v>160</v>
      </c>
      <c r="D6" s="32" t="s">
        <v>86</v>
      </c>
      <c r="E6" s="32" t="s">
        <v>161</v>
      </c>
      <c r="F6" s="32" t="s">
        <v>162</v>
      </c>
      <c r="G6" s="32" t="s">
        <v>163</v>
      </c>
    </row>
    <row r="7" spans="1:7" ht="22" customHeight="1" x14ac:dyDescent="0.55000000000000004">
      <c r="A7" s="33" t="s">
        <v>161</v>
      </c>
      <c r="B7" s="33" t="s">
        <v>171</v>
      </c>
      <c r="C7" s="33" t="s">
        <v>172</v>
      </c>
      <c r="D7" s="33" t="s">
        <v>173</v>
      </c>
      <c r="E7" s="33" t="s">
        <v>174</v>
      </c>
      <c r="F7" s="33" t="s">
        <v>168</v>
      </c>
      <c r="G7" s="33" t="s">
        <v>175</v>
      </c>
    </row>
    <row r="8" spans="1:7" ht="22" customHeight="1" x14ac:dyDescent="0.55000000000000004">
      <c r="A8" s="113" t="s">
        <v>176</v>
      </c>
      <c r="B8" s="67"/>
      <c r="C8" s="67"/>
      <c r="D8" s="67"/>
      <c r="E8" s="67"/>
      <c r="F8" s="67"/>
      <c r="G8" s="64"/>
    </row>
    <row r="9" spans="1:7" ht="18" customHeight="1" x14ac:dyDescent="0.55000000000000004">
      <c r="A9" s="32"/>
      <c r="B9" s="32" t="s">
        <v>159</v>
      </c>
      <c r="C9" s="32" t="s">
        <v>160</v>
      </c>
      <c r="D9" s="32" t="s">
        <v>86</v>
      </c>
      <c r="E9" s="32" t="s">
        <v>161</v>
      </c>
      <c r="F9" s="32" t="s">
        <v>162</v>
      </c>
      <c r="G9" s="32" t="s">
        <v>163</v>
      </c>
    </row>
    <row r="10" spans="1:7" ht="22" customHeight="1" x14ac:dyDescent="0.55000000000000004">
      <c r="A10" s="33" t="s">
        <v>161</v>
      </c>
      <c r="B10" s="33" t="s">
        <v>177</v>
      </c>
      <c r="C10" s="33" t="s">
        <v>178</v>
      </c>
      <c r="D10" s="33" t="s">
        <v>179</v>
      </c>
      <c r="E10" s="33" t="s">
        <v>167</v>
      </c>
      <c r="F10" s="33" t="s">
        <v>168</v>
      </c>
      <c r="G10" s="33" t="s">
        <v>180</v>
      </c>
    </row>
    <row r="11" spans="1:7" ht="32.049999999999997" customHeight="1" x14ac:dyDescent="0.55000000000000004">
      <c r="A11" s="115" t="s">
        <v>181</v>
      </c>
      <c r="B11" s="67"/>
      <c r="C11" s="67"/>
      <c r="D11" s="67"/>
      <c r="E11" s="67"/>
      <c r="F11" s="67"/>
      <c r="G11" s="64"/>
    </row>
  </sheetData>
  <mergeCells count="5">
    <mergeCell ref="A1:G1"/>
    <mergeCell ref="A8:G8"/>
    <mergeCell ref="A2:G2"/>
    <mergeCell ref="A11:G11"/>
    <mergeCell ref="A5:G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
  <sheetViews>
    <sheetView workbookViewId="0"/>
  </sheetViews>
  <sheetFormatPr defaultRowHeight="14.4" x14ac:dyDescent="0.55000000000000004"/>
  <cols>
    <col min="1" max="1" width="4" customWidth="1"/>
    <col min="2" max="2" width="24" customWidth="1"/>
    <col min="3" max="3" width="50" customWidth="1"/>
    <col min="4" max="4" width="22" customWidth="1"/>
  </cols>
  <sheetData>
    <row r="1" spans="1:7" ht="32.049999999999997" customHeight="1" x14ac:dyDescent="0.55000000000000004">
      <c r="A1" s="60" t="s">
        <v>182</v>
      </c>
      <c r="B1" s="61"/>
      <c r="C1" s="61"/>
      <c r="D1" s="61"/>
      <c r="E1" s="61"/>
      <c r="F1" s="61"/>
      <c r="G1" s="62"/>
    </row>
    <row r="2" spans="1:7" ht="20.05" customHeight="1" x14ac:dyDescent="0.55000000000000004">
      <c r="A2" s="95" t="s">
        <v>183</v>
      </c>
      <c r="B2" s="61"/>
      <c r="C2" s="61"/>
      <c r="D2" s="61"/>
      <c r="E2" s="61"/>
      <c r="F2" s="61"/>
      <c r="G2" s="62"/>
    </row>
    <row r="3" spans="1:7" ht="18" customHeight="1" x14ac:dyDescent="0.55000000000000004">
      <c r="A3" s="32" t="s">
        <v>184</v>
      </c>
      <c r="B3" s="32" t="s">
        <v>185</v>
      </c>
      <c r="C3" s="32" t="s">
        <v>186</v>
      </c>
      <c r="D3" s="32" t="s">
        <v>187</v>
      </c>
    </row>
    <row r="4" spans="1:7" ht="68.05" customHeight="1" x14ac:dyDescent="0.55000000000000004">
      <c r="A4" s="25" t="s">
        <v>188</v>
      </c>
      <c r="B4" s="30" t="s">
        <v>189</v>
      </c>
      <c r="C4" s="34" t="s">
        <v>190</v>
      </c>
      <c r="D4" s="35" t="s">
        <v>191</v>
      </c>
    </row>
    <row r="5" spans="1:7" ht="52" customHeight="1" x14ac:dyDescent="0.55000000000000004">
      <c r="A5" s="36" t="s">
        <v>192</v>
      </c>
      <c r="B5" s="26" t="s">
        <v>193</v>
      </c>
      <c r="C5" s="27" t="s">
        <v>194</v>
      </c>
      <c r="D5" s="37" t="s">
        <v>195</v>
      </c>
    </row>
    <row r="6" spans="1:7" ht="52" customHeight="1" x14ac:dyDescent="0.55000000000000004">
      <c r="A6" s="25" t="s">
        <v>196</v>
      </c>
      <c r="B6" s="30" t="s">
        <v>197</v>
      </c>
      <c r="C6" s="34" t="s">
        <v>198</v>
      </c>
      <c r="D6" s="35" t="s">
        <v>199</v>
      </c>
    </row>
    <row r="7" spans="1:7" ht="56.05" customHeight="1" x14ac:dyDescent="0.55000000000000004">
      <c r="A7" s="25" t="s">
        <v>200</v>
      </c>
      <c r="B7" s="30" t="s">
        <v>201</v>
      </c>
      <c r="C7" s="34" t="s">
        <v>202</v>
      </c>
      <c r="D7" s="35" t="s">
        <v>203</v>
      </c>
    </row>
    <row r="8" spans="1:7" ht="64" customHeight="1" x14ac:dyDescent="0.55000000000000004">
      <c r="A8" s="25" t="s">
        <v>204</v>
      </c>
      <c r="B8" s="31" t="s">
        <v>205</v>
      </c>
      <c r="C8" s="34" t="s">
        <v>206</v>
      </c>
      <c r="D8" s="38" t="s">
        <v>207</v>
      </c>
    </row>
    <row r="9" spans="1:7" ht="36" customHeight="1" x14ac:dyDescent="0.55000000000000004">
      <c r="A9" s="117" t="s">
        <v>208</v>
      </c>
      <c r="B9" s="67"/>
      <c r="C9" s="67"/>
      <c r="D9" s="64"/>
      <c r="E9" s="39"/>
      <c r="F9" s="39"/>
      <c r="G9" s="39"/>
    </row>
  </sheetData>
  <mergeCells count="3">
    <mergeCell ref="A9:D9"/>
    <mergeCell ref="A2:G2"/>
    <mergeCell ref="A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5"/>
  <sheetViews>
    <sheetView workbookViewId="0"/>
  </sheetViews>
  <sheetFormatPr defaultRowHeight="14.4" x14ac:dyDescent="0.55000000000000004"/>
  <cols>
    <col min="1" max="1" width="3" customWidth="1"/>
    <col min="2" max="2" width="8" customWidth="1"/>
    <col min="3" max="3" width="40" customWidth="1"/>
    <col min="4" max="4" width="34" customWidth="1"/>
    <col min="5" max="5" width="22" customWidth="1"/>
    <col min="6" max="6" width="3" customWidth="1"/>
  </cols>
  <sheetData>
    <row r="1" spans="1:7" ht="34" customHeight="1" x14ac:dyDescent="0.55000000000000004">
      <c r="A1" s="60" t="s">
        <v>209</v>
      </c>
      <c r="B1" s="61"/>
      <c r="C1" s="61"/>
      <c r="D1" s="61"/>
      <c r="E1" s="61"/>
      <c r="F1" s="61"/>
      <c r="G1" s="62"/>
    </row>
    <row r="2" spans="1:7" ht="20.05" customHeight="1" x14ac:dyDescent="0.55000000000000004">
      <c r="A2" s="95" t="s">
        <v>210</v>
      </c>
      <c r="B2" s="61"/>
      <c r="C2" s="61"/>
      <c r="D2" s="61"/>
      <c r="E2" s="61"/>
      <c r="F2" s="61"/>
      <c r="G2" s="62"/>
    </row>
    <row r="3" spans="1:7" ht="5.05" customHeight="1" x14ac:dyDescent="0.55000000000000004">
      <c r="A3" s="1"/>
      <c r="B3" s="1"/>
      <c r="C3" s="1"/>
      <c r="D3" s="1"/>
      <c r="E3" s="1"/>
      <c r="F3" s="1"/>
      <c r="G3" s="1"/>
    </row>
    <row r="4" spans="1:7" ht="22" customHeight="1" x14ac:dyDescent="0.55000000000000004">
      <c r="A4" s="119" t="s">
        <v>211</v>
      </c>
      <c r="B4" s="61"/>
      <c r="C4" s="61"/>
      <c r="D4" s="61"/>
      <c r="E4" s="61"/>
      <c r="F4" s="61"/>
      <c r="G4" s="62"/>
    </row>
    <row r="5" spans="1:7" ht="18" customHeight="1" x14ac:dyDescent="0.55000000000000004">
      <c r="A5" s="32"/>
      <c r="B5" s="32" t="s">
        <v>212</v>
      </c>
      <c r="C5" s="32" t="s">
        <v>48</v>
      </c>
      <c r="D5" s="32" t="s">
        <v>43</v>
      </c>
      <c r="E5" s="32" t="s">
        <v>213</v>
      </c>
      <c r="F5" s="32"/>
    </row>
    <row r="6" spans="1:7" ht="36" customHeight="1" x14ac:dyDescent="0.55000000000000004">
      <c r="A6" s="40"/>
      <c r="B6" s="41" t="s">
        <v>214</v>
      </c>
      <c r="C6" s="42" t="s">
        <v>215</v>
      </c>
      <c r="D6" s="43" t="s">
        <v>216</v>
      </c>
      <c r="E6" s="44" t="s">
        <v>217</v>
      </c>
      <c r="F6" s="40"/>
    </row>
    <row r="7" spans="1:7" ht="36" customHeight="1" x14ac:dyDescent="0.55000000000000004">
      <c r="A7" s="29"/>
      <c r="B7" s="45" t="s">
        <v>218</v>
      </c>
      <c r="C7" s="46" t="s">
        <v>219</v>
      </c>
      <c r="D7" s="43" t="s">
        <v>220</v>
      </c>
      <c r="E7" s="47" t="s">
        <v>221</v>
      </c>
      <c r="F7" s="29"/>
    </row>
    <row r="8" spans="1:7" ht="36" customHeight="1" x14ac:dyDescent="0.55000000000000004">
      <c r="A8" s="40"/>
      <c r="B8" s="41" t="s">
        <v>222</v>
      </c>
      <c r="C8" s="48" t="s">
        <v>223</v>
      </c>
      <c r="D8" s="43" t="s">
        <v>224</v>
      </c>
      <c r="E8" s="44" t="s">
        <v>225</v>
      </c>
      <c r="F8" s="40"/>
    </row>
    <row r="9" spans="1:7" ht="36" customHeight="1" x14ac:dyDescent="0.55000000000000004">
      <c r="A9" s="29"/>
      <c r="B9" s="45" t="s">
        <v>226</v>
      </c>
      <c r="C9" s="31" t="s">
        <v>227</v>
      </c>
      <c r="D9" s="43" t="s">
        <v>228</v>
      </c>
      <c r="E9" s="47" t="s">
        <v>229</v>
      </c>
      <c r="F9" s="29"/>
    </row>
    <row r="10" spans="1:7" ht="36" customHeight="1" x14ac:dyDescent="0.55000000000000004">
      <c r="A10" s="40"/>
      <c r="B10" s="41" t="s">
        <v>230</v>
      </c>
      <c r="C10" s="48" t="s">
        <v>231</v>
      </c>
      <c r="D10" s="43" t="s">
        <v>232</v>
      </c>
      <c r="E10" s="44" t="s">
        <v>233</v>
      </c>
      <c r="F10" s="40"/>
    </row>
    <row r="11" spans="1:7" ht="5.05" customHeight="1" x14ac:dyDescent="0.55000000000000004">
      <c r="A11" s="1"/>
      <c r="B11" s="1"/>
      <c r="C11" s="1"/>
      <c r="D11" s="1"/>
      <c r="E11" s="1"/>
      <c r="F11" s="1"/>
      <c r="G11" s="1"/>
    </row>
    <row r="12" spans="1:7" ht="22" customHeight="1" x14ac:dyDescent="0.55000000000000004">
      <c r="A12" s="118" t="s">
        <v>234</v>
      </c>
      <c r="B12" s="61"/>
      <c r="C12" s="61"/>
      <c r="D12" s="61"/>
      <c r="E12" s="61"/>
      <c r="F12" s="61"/>
      <c r="G12" s="62"/>
    </row>
    <row r="13" spans="1:7" ht="18" customHeight="1" x14ac:dyDescent="0.55000000000000004">
      <c r="A13" s="49"/>
      <c r="B13" s="49" t="s">
        <v>212</v>
      </c>
      <c r="C13" s="49" t="s">
        <v>5</v>
      </c>
      <c r="D13" s="49" t="s">
        <v>235</v>
      </c>
      <c r="E13" s="49" t="s">
        <v>236</v>
      </c>
      <c r="F13" s="49"/>
    </row>
    <row r="14" spans="1:7" ht="28" customHeight="1" x14ac:dyDescent="0.55000000000000004">
      <c r="A14" s="50"/>
      <c r="B14" s="51" t="s">
        <v>237</v>
      </c>
      <c r="C14" s="52" t="s">
        <v>125</v>
      </c>
      <c r="D14" s="53" t="s">
        <v>238</v>
      </c>
      <c r="E14" s="54" t="s">
        <v>239</v>
      </c>
      <c r="F14" s="50"/>
    </row>
    <row r="15" spans="1:7" ht="28" customHeight="1" x14ac:dyDescent="0.55000000000000004">
      <c r="A15" s="50"/>
      <c r="B15" s="51" t="s">
        <v>240</v>
      </c>
      <c r="C15" s="52" t="s">
        <v>241</v>
      </c>
      <c r="D15" s="53" t="s">
        <v>242</v>
      </c>
      <c r="E15" s="54" t="s">
        <v>239</v>
      </c>
      <c r="F15" s="50"/>
    </row>
    <row r="16" spans="1:7" ht="28" customHeight="1" x14ac:dyDescent="0.55000000000000004">
      <c r="A16" s="50"/>
      <c r="B16" s="51" t="s">
        <v>243</v>
      </c>
      <c r="C16" s="52" t="s">
        <v>244</v>
      </c>
      <c r="D16" s="53" t="s">
        <v>245</v>
      </c>
      <c r="E16" s="54" t="s">
        <v>239</v>
      </c>
      <c r="F16" s="50"/>
    </row>
    <row r="17" spans="1:7" ht="28" customHeight="1" x14ac:dyDescent="0.55000000000000004">
      <c r="A17" s="50"/>
      <c r="B17" s="51" t="s">
        <v>246</v>
      </c>
      <c r="C17" s="52" t="s">
        <v>135</v>
      </c>
      <c r="D17" s="53" t="s">
        <v>247</v>
      </c>
      <c r="E17" s="54" t="s">
        <v>239</v>
      </c>
      <c r="F17" s="50"/>
    </row>
    <row r="18" spans="1:7" ht="28" customHeight="1" x14ac:dyDescent="0.55000000000000004">
      <c r="A18" s="55"/>
      <c r="B18" s="56" t="s">
        <v>248</v>
      </c>
      <c r="C18" s="57" t="s">
        <v>249</v>
      </c>
      <c r="D18" s="58" t="s">
        <v>250</v>
      </c>
      <c r="E18" s="59" t="s">
        <v>239</v>
      </c>
      <c r="F18" s="55"/>
    </row>
    <row r="19" spans="1:7" ht="28" customHeight="1" x14ac:dyDescent="0.55000000000000004">
      <c r="A19" s="55"/>
      <c r="B19" s="56" t="s">
        <v>251</v>
      </c>
      <c r="C19" s="57" t="s">
        <v>252</v>
      </c>
      <c r="D19" s="58" t="s">
        <v>253</v>
      </c>
      <c r="E19" s="59" t="s">
        <v>239</v>
      </c>
      <c r="F19" s="55"/>
    </row>
    <row r="20" spans="1:7" ht="28" customHeight="1" x14ac:dyDescent="0.55000000000000004">
      <c r="A20" s="50"/>
      <c r="B20" s="51" t="s">
        <v>254</v>
      </c>
      <c r="C20" s="52" t="s">
        <v>255</v>
      </c>
      <c r="D20" s="53" t="s">
        <v>145</v>
      </c>
      <c r="E20" s="54" t="s">
        <v>239</v>
      </c>
      <c r="F20" s="50"/>
    </row>
    <row r="21" spans="1:7" ht="28" customHeight="1" x14ac:dyDescent="0.55000000000000004">
      <c r="A21" s="55"/>
      <c r="B21" s="56" t="s">
        <v>256</v>
      </c>
      <c r="C21" s="57" t="s">
        <v>257</v>
      </c>
      <c r="D21" s="58" t="s">
        <v>258</v>
      </c>
      <c r="E21" s="59" t="s">
        <v>239</v>
      </c>
      <c r="F21" s="55"/>
    </row>
    <row r="22" spans="1:7" ht="28" customHeight="1" x14ac:dyDescent="0.55000000000000004">
      <c r="A22" s="55"/>
      <c r="B22" s="56" t="s">
        <v>259</v>
      </c>
      <c r="C22" s="57" t="s">
        <v>260</v>
      </c>
      <c r="D22" s="58" t="s">
        <v>154</v>
      </c>
      <c r="E22" s="59" t="s">
        <v>239</v>
      </c>
      <c r="F22" s="55"/>
    </row>
    <row r="23" spans="1:7" ht="28" customHeight="1" x14ac:dyDescent="0.55000000000000004">
      <c r="A23" s="55"/>
      <c r="B23" s="56" t="s">
        <v>261</v>
      </c>
      <c r="C23" s="57" t="s">
        <v>262</v>
      </c>
      <c r="D23" s="58" t="s">
        <v>263</v>
      </c>
      <c r="E23" s="59" t="s">
        <v>239</v>
      </c>
      <c r="F23" s="55"/>
    </row>
    <row r="24" spans="1:7" ht="5.05" customHeight="1" x14ac:dyDescent="0.55000000000000004">
      <c r="A24" s="1"/>
      <c r="B24" s="1"/>
      <c r="C24" s="1"/>
      <c r="D24" s="1"/>
      <c r="E24" s="1"/>
      <c r="F24" s="1"/>
      <c r="G24" s="1"/>
    </row>
    <row r="25" spans="1:7" ht="52" customHeight="1" x14ac:dyDescent="0.55000000000000004">
      <c r="A25" s="117" t="s">
        <v>264</v>
      </c>
      <c r="B25" s="67"/>
      <c r="C25" s="67"/>
      <c r="D25" s="67"/>
      <c r="E25" s="67"/>
      <c r="F25" s="64"/>
      <c r="G25" s="39"/>
    </row>
  </sheetData>
  <mergeCells count="5">
    <mergeCell ref="A1:G1"/>
    <mergeCell ref="A12:G12"/>
    <mergeCell ref="A4:G4"/>
    <mergeCell ref="A2:G2"/>
    <mergeCell ref="A25:F2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VERİ GİRİŞİ</vt:lpstr>
      <vt:lpstr>HESAPLAMALAR &amp; KONTROL</vt:lpstr>
      <vt:lpstr>MUHASEBE KAYITLARI</vt:lpstr>
      <vt:lpstr>DENETCİ NOTLARI</vt:lpstr>
      <vt:lpstr>BELGE 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Aydın DEDE</cp:lastModifiedBy>
  <dcterms:created xsi:type="dcterms:W3CDTF">2026-04-06T12:02:07Z</dcterms:created>
  <dcterms:modified xsi:type="dcterms:W3CDTF">2026-04-06T12:05:52Z</dcterms:modified>
</cp:coreProperties>
</file>