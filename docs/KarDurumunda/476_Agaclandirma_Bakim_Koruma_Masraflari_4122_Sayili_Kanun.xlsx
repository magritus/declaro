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A3E51722-7102-41B3-8404-6B7B0211582C}"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7" i="2"/>
  <c r="D6" i="2"/>
  <c r="E63" i="1"/>
  <c r="C58" i="1"/>
  <c r="C57" i="1"/>
  <c r="C56" i="1"/>
  <c r="C55" i="1"/>
  <c r="C54" i="1"/>
  <c r="C50" i="1"/>
  <c r="E49" i="1"/>
  <c r="E48" i="1"/>
  <c r="E47" i="1"/>
  <c r="E46" i="1"/>
  <c r="E45" i="1"/>
  <c r="E44" i="1"/>
  <c r="E43" i="1"/>
  <c r="E42" i="1"/>
  <c r="E50" i="1" s="1"/>
  <c r="C60" i="1" s="1"/>
  <c r="C37" i="1"/>
  <c r="E15" i="1"/>
  <c r="D5" i="2" s="1"/>
</calcChain>
</file>

<file path=xl/sharedStrings.xml><?xml version="1.0" encoding="utf-8"?>
<sst xmlns="http://schemas.openxmlformats.org/spreadsheetml/2006/main" count="336" uniqueCount="275">
  <si>
    <t>476 – AĞAÇLANDIRMA / BAKIM / KORUMA MASRAFLARI | 4122 SAYILI KANUN | BAĞIŞ DEĞİL MASRAF | YMM</t>
  </si>
  <si>
    <t>Beyanname 476 | GİB KV Beyan Rehberi Mart 2026 (No:606) | ✗ YİAKV MATRAHINDA DÜŞÜLEMEZ</t>
  </si>
  <si>
    <t xml:space="preserve">  476 — DİĞER BAĞIŞ KODLARINDAN TEMEL FARKI:
  Bu kod bir BAĞIŞ değil — kurumun 4122 sayılı Milli Ağaçlandırma ve Erozyon Kontrolü Seferberlik Kanunu kapsamında ormanlarda bizzat yaptığı AĞAÇLANDIRMA, BAKIM ve KORUMA MASRAFLARININ indirimini kapsar.
  MEKANIZMA: Kurumun yaptığı masraflar (fidan, tohum, işçilik, ekipman, sulama, koruma vb.) doğrudan beyanname 476 ile matrahtan düşülür.
  KAPSAM: 4122 s.K. kapsamında kurulan ormanlarda yapılan masraflar — Orman İdaresi'nden onaylı proje/protokol şarttır.
  ★ YİAKV: DÜŞÜLEMEZ — E.11 bilgi satırı.</t>
  </si>
  <si>
    <t xml:space="preserve">  ✗ YİAKV (KVK Md.32/C): 476 Ağaçlandırma Masrafı YİAKV MATRAHINDA DÜŞÜLEMEZ. YİAKV E.11 bilgi satırı.
  ★ DİKKAT: 402 kapsamındaki orman bağışından farklı — 476 masraf indirimi, 402 ise bağış/yardım indirimidir. Kurumun bizzat yaptığı masraf → 476. Orman idaresine para bağışı → 402 (kamu idaresine bağış).</t>
  </si>
  <si>
    <t>A0. KAPSAM VE NİTELİK UYGUNLUK ÖN KONTROLÜ — 4122 s.K. AĞAÇLANDIRMA MASRAFI</t>
  </si>
  <si>
    <t>Kontrol Sorusu</t>
  </si>
  <si>
    <t>Yanıt</t>
  </si>
  <si>
    <t>YMM Tasdik Notu</t>
  </si>
  <si>
    <t>A0.1  ★ Masraflar 4122 s.K. kapsamında ormanlarda bizzat kurum tarafından mı yapıldı?</t>
  </si>
  <si>
    <t>EVET</t>
  </si>
  <si>
    <t>476 bir bağış değil — kurumun kendi üstlendiği ağaçlandırma/bakım/koruma masrafı. Orman idaresine para transferi → 402. Kurum bizzat masraf yapıyor → 476.</t>
  </si>
  <si>
    <t>A0.2  ★ 4122 s.K. kapsamında kurulan ormanda veya onaylı alanda mı yapıldı?</t>
  </si>
  <si>
    <t>4122 sayılı Milli Ağaçlandırma ve Erozyon Kontrolü Seferberlik Kanunu kapsamındaki orman veya ağaçlandırma alanı. Rastgele bir arazi ağaçlandırması → Kapsam dışı.</t>
  </si>
  <si>
    <t>A0.3  ★ Orman Genel Müdürlüğü / Orman İdaresi'nden onaylı proje/protokol var mı?</t>
  </si>
  <si>
    <t>4122 s.K. kapsamında yapılacak ağaçlandırma çalışmaları OGM/Orman İdaresi'nin onayına ve protokolüne dayanmalıdır. Onaysız masraf → 476 kapsamı tartışmalı.</t>
  </si>
  <si>
    <t>A0.4  Masraflar fiilen gerçekleşti mi? (Fatura/harcama belgeleri mevcut mu?)</t>
  </si>
  <si>
    <t>Taahhüt edilen ama yapılmayan masraf indirime konu olamaz. Her harcama kalemi için fatura/makbuz/bordro gereklidir.</t>
  </si>
  <si>
    <t>A0.5  Masraflar aktifleştirilmeyip dönem gideri olarak mı kaydedildi?</t>
  </si>
  <si>
    <t>Ağaçlandırma masraflarının aktifleştirilerek amortisman yoluyla mı yoksa doğrudan gider yazılarak mı indirildiği önem taşır. VUK çerçevesinde değerlendirme.</t>
  </si>
  <si>
    <t>A0.6  ✗ YİAKV E.11'de bilgi satırı olarak gösterildi mi?</t>
  </si>
  <si>
    <t>476 YİAKV matrahından düşülemez — E.11 bilgi.</t>
  </si>
  <si>
    <t>A0.7  YMM Tasdik Raporu gereksinimi değerlendirildi mi?</t>
  </si>
  <si>
    <t>&gt;=500.000 TL → YMM raporu.</t>
  </si>
  <si>
    <t>A0.8  Tasdik Uygunluk Sonucu</t>
  </si>
  <si>
    <t>★ A0.1 bizzat masraf | A0.2 4122 alan | A0.3 OGM protokolü | A0.4 fiili harcama — dördü kritik.</t>
  </si>
  <si>
    <t>A. GENEL BİLGİLER</t>
  </si>
  <si>
    <t>Kurumun Unvanı</t>
  </si>
  <si>
    <t>Tam ticaret unvanı</t>
  </si>
  <si>
    <t>VKN</t>
  </si>
  <si>
    <t>10 haneli VKN</t>
  </si>
  <si>
    <t>Hesap Dönemi</t>
  </si>
  <si>
    <t>01.01.2025 – 31.12.2025</t>
  </si>
  <si>
    <t>KV Oranı (%)</t>
  </si>
  <si>
    <t>2025: %25</t>
  </si>
  <si>
    <t>Proje Adı / Orman Alanı</t>
  </si>
  <si>
    <t>4122 s.K. kapsamında ağaçlandırma projesi/alanı adı</t>
  </si>
  <si>
    <t>OGM Protokol No / Tarihi</t>
  </si>
  <si>
    <t>Orman Genel Müdürlüğü onaylı protokol referansı</t>
  </si>
  <si>
    <t>Dosya Referansı</t>
  </si>
  <si>
    <t>YMM-2025/476-01</t>
  </si>
  <si>
    <t>B. AĞAÇLANDIRMA PROJESİ VE MASRAF DETAYLARI — 4122 s.K.</t>
  </si>
  <si>
    <t>Parametre</t>
  </si>
  <si>
    <t>Değer</t>
  </si>
  <si>
    <t>Açıklama</t>
  </si>
  <si>
    <t>Kaynak</t>
  </si>
  <si>
    <t>B.1  Orman / Alan Türü</t>
  </si>
  <si>
    <t>4122 s.K. Kapsamında Devlet Ormanı</t>
  </si>
  <si>
    <t>4122 s.K. kapsamındaki orman veya ağaçlandırma alanı türü.</t>
  </si>
  <si>
    <t>OGM Belgesi</t>
  </si>
  <si>
    <t>B.2  Masraf Türü</t>
  </si>
  <si>
    <t>Ağaçlandırma Masrafı (Fidan/Tohum/Dikim)</t>
  </si>
  <si>
    <t>Yapılan masrafın niteliği — ağaçlandırma, bakım veya koruma.</t>
  </si>
  <si>
    <t>Fatura/Bordro</t>
  </si>
  <si>
    <t>B.3  Proje Alanı (Hektar)</t>
  </si>
  <si>
    <t>Ağaçlandırma/bakım/koruma yapılan alan büyüklüğü.</t>
  </si>
  <si>
    <t>OGM Protokolü</t>
  </si>
  <si>
    <t>B.4  OGM / Orman İdaresi Proje Onay Tarihi</t>
  </si>
  <si>
    <t>Orman Genel Müdürlüğü veya ilgili orman idaresinin proje onay tarihi.</t>
  </si>
  <si>
    <t>OGM Onayı</t>
  </si>
  <si>
    <t>B.5  ★ Ağaçlandırma Masrafı (TL)</t>
  </si>
  <si>
    <t>Fidan, tohum, dikim işçiliği, ekipman giderleri.</t>
  </si>
  <si>
    <t>Faturalar</t>
  </si>
  <si>
    <t>B.6  ★ Bakım Masrafı (TL)</t>
  </si>
  <si>
    <t>Sulama, gübreleme, budama, yabani ot mücadelesi giderleri.</t>
  </si>
  <si>
    <t>B.7  Koruma Masrafı (TL)</t>
  </si>
  <si>
    <t>Yangın önleme, zararlı mücadelesi, izleme ve güvenlik giderleri.</t>
  </si>
  <si>
    <t>B.8  Diğer Proje Masrafları (TL)</t>
  </si>
  <si>
    <t>Toprak hazırlama, teraslama, yol yapımı vb. proje masrafları.</t>
  </si>
  <si>
    <t>B.9  ★ TOPLAM MASRAF (B.5+B.6+B.7+B.8)</t>
  </si>
  <si>
    <t>Toplam proje masrafı — beyanname 476 tutarının dayanağı.</t>
  </si>
  <si>
    <t>Formül</t>
  </si>
  <si>
    <t>C. AĞAÇLANDIRMA MASRAF TABLOSU — 4122 s.K. (BEYANNAME 476)</t>
  </si>
  <si>
    <t xml:space="preserve">  Her masraf kalemi için ayrı satır. SÜTUN 2: Masraf türü ve konusu. SÜTUN 3 (orman yeşili çerçeve): Masraf tutarı. SÜTUN 4: Belge türü. SÜTUN 5: İndirim = Masraf tutarı (otomatik). Her masraf kaleminin fatura/makbuz/bordrosu ayrı dosyalanmalıdır.</t>
  </si>
  <si>
    <t>Masraf Tarihi</t>
  </si>
  <si>
    <t>Masraf Türü / Açıklama</t>
  </si>
  <si>
    <t>Masraf Tutarı (TL)</t>
  </si>
  <si>
    <t>Belge Türü</t>
  </si>
  <si>
    <t>İndirim Tutarı (TL)</t>
  </si>
  <si>
    <t>Fatura/Belge No</t>
  </si>
  <si>
    <t>Not</t>
  </si>
  <si>
    <t>TOPLAM</t>
  </si>
  <si>
    <t>—</t>
  </si>
  <si>
    <t>← Beyanname 476 (Masrafların Tamamı)</t>
  </si>
  <si>
    <t>D. MASRAF İNDİRİMİ ÖZET — BEYANNAME 476 (4122 s.K.)</t>
  </si>
  <si>
    <t>Hesap Kalemi</t>
  </si>
  <si>
    <t>Tutar (TL)</t>
  </si>
  <si>
    <t>D.1  Ağaçlandırma Masrafı (B.5)</t>
  </si>
  <si>
    <t>Fidan/tohum/dikim</t>
  </si>
  <si>
    <t>D.2  Bakım Masrafı (B.6)</t>
  </si>
  <si>
    <t>Sulama/gübre/budama</t>
  </si>
  <si>
    <t>D.3  Koruma Masrafı (B.7)</t>
  </si>
  <si>
    <t>Yangın/zararlı/izleme</t>
  </si>
  <si>
    <t>D.4  Diğer Masraflar (B.8)</t>
  </si>
  <si>
    <t>Teraslama/yol vb.</t>
  </si>
  <si>
    <t>D.5  TOPLAM MASRAF (C Tablosu)</t>
  </si>
  <si>
    <t>Tüm masraflar toplamı</t>
  </si>
  <si>
    <t>D.6  İndirim Oranı</t>
  </si>
  <si>
    <t>TAMAMININ İNDİRİMİ — Devredilmez</t>
  </si>
  <si>
    <t>4122 s.K. kapsamı: Masrafların tamamı — matrahı aşan devredilmez</t>
  </si>
  <si>
    <t>4122 s.K.</t>
  </si>
  <si>
    <t>D.7  ★ BEYANNAME 476 = TOPLAM MASRAF (D.5)</t>
  </si>
  <si>
    <t>→ Beyanname 476 | Kazancın Bulunması Halinde</t>
  </si>
  <si>
    <t>D.8  YİAKV DURUMU — DÜŞÜLEMEZ</t>
  </si>
  <si>
    <t>YİAKV E.11 Bilgi ✗</t>
  </si>
  <si>
    <t>Tüm bağış/yardım/masraf (bu nitelikteki) kodları YİAKV dışı</t>
  </si>
  <si>
    <t>KVK Md.32/C</t>
  </si>
  <si>
    <t>E.1  AĞAÇLANDIRMA MASRAFI → Beyanname Satır 476 (Kazancın Bulunması Halinde)</t>
  </si>
  <si>
    <t>D.7 = Toplam Masraf | 4122 s.K. — Matrahı aşan devredilmez</t>
  </si>
  <si>
    <t xml:space="preserve">  ★ KRİTİK: (1) BAĞIŞ DEĞİL MASRAF: Kurum bizzat ağaçlandırma yapıyor. Orman idaresine para transferi → 402 (bağış). Kurum masraf yapıyor → 476. (2) OGM PROTOKOLÜ: Onaysız alan masrafı → Kapsam dışı. (3) FATURA: Her masraf kalemi fatura/bordro ile belgelenmiş olmalı. (4) DEVREDEN YOK. (5) YİAKV ✗: E.11.</t>
  </si>
  <si>
    <t>476 – AĞAÇLANDIRMA / BAKIM / KORUMA MASRAFLARI 4122 s.K. | HESAPLAMALAR VE DENETİM</t>
  </si>
  <si>
    <t>Masrafların Tamamı | 4122 s.K. | OGM Protokolü | Fatura Belgesi | Beyanname 476 | ✗ YİAKV E.11</t>
  </si>
  <si>
    <t>A. TASDİK ÖZETİ</t>
  </si>
  <si>
    <t>A0 Uygunluğu</t>
  </si>
  <si>
    <t>OK ise devam</t>
  </si>
  <si>
    <t>OGM Protokolü (A0.3)</t>
  </si>
  <si>
    <t>Onaylı proje zorunlu</t>
  </si>
  <si>
    <t>Toplam Masraf (D.5)</t>
  </si>
  <si>
    <t>C tablosu toplamı</t>
  </si>
  <si>
    <t>476 İNDİRİM (D.7)</t>
  </si>
  <si>
    <t>YİAKV</t>
  </si>
  <si>
    <t>✗ DÜŞÜLEMEZ (E.11 Bilgi)</t>
  </si>
  <si>
    <t>Masraf indirimi de YİAKV dışı</t>
  </si>
  <si>
    <t>B. 4122 SAYILI KANUN KAPSAMI VE 402 (BAĞIŞ) İLE TEMEL FARK</t>
  </si>
  <si>
    <t xml:space="preserve">  4122 SAYILI MİLLİ AĞAÇLANDIRMA VE EROZYON KONTROLÜ SEFERBERLİK KANUNU:
  4122 sayılı Kanun, milli seferberlik anlayışı çerçevesinde ülke genelinde ağaçlandırma, erozyon kontrolü ve orman tesis çalışmalarını düzenlemektedir. Bu kanun kapsamında ormanlarda yapılan ağaçlandırma, bakım ve koruma masraflarının tamamı KV matrahından indirilir.
  476 (MASRAF İNDİRİMİ) vs 402 (BAĞIŞ İNDİRİMİ) FARKI:
  476 — MASRAF İNDİRİMİ:
  Kurum 4122 s.K. kapsamında ormanda bizzat ağaçlandırma/bakım/koruma yapıyor.
  Masrafları (fidan, işçilik, sulama, koruma vb.) fatura ile belgeleniyor.
  Bu masraflar beyanname 476 ile matrahtan düşülüyor.
  MUHASEBE: Dr 689/770 Gider veya ilgili gider hesabı / Kr Çeşitli
  402 — BAĞIŞ İNDİRİMİ:
  Kurum orman idaresine veya ilgili kamu kurumuna PARA BAĞIŞI yapıyor.
  Bu bağış beyanname 402 ile matrahtan düşülüyor.
  MUHASEBE: Dr 689/770 Gider / Kr 102 Bankalar
  AYNI DÖNEMDE HER İKİSİ: Mümkün — farklı işlemler, farklı kodlar.</t>
  </si>
  <si>
    <t>C. DENETİM KONTROL LİSTESİ (K1–K12)</t>
  </si>
  <si>
    <t>Kontrol</t>
  </si>
  <si>
    <t>Sonuç</t>
  </si>
  <si>
    <t>K1</t>
  </si>
  <si>
    <t>★ Masraflar 4122 s.K. kapsamında mı? Kurum bizzat yaptı mı?</t>
  </si>
  <si>
    <t>Bağış/transfer → 402. Bizzat masraf → 476.</t>
  </si>
  <si>
    <t>Uygun/Eksik/Risk</t>
  </si>
  <si>
    <t>K2</t>
  </si>
  <si>
    <t>★ OGM / Orman İdaresi onaylı proje/protokol var mı?</t>
  </si>
  <si>
    <t>Onaysız alan → Kapsam dışı.</t>
  </si>
  <si>
    <t>K3</t>
  </si>
  <si>
    <t>★ Her masraf kalemi fatura/bordro ile belgelendi mi?</t>
  </si>
  <si>
    <t>Belgeli olmayan masraf → İndirime konu olamaz.</t>
  </si>
  <si>
    <t>K4</t>
  </si>
  <si>
    <t>★ Masraflar fiilen gerçekleşti mi? (Ödeme tamamlandı mı?)</t>
  </si>
  <si>
    <t>Taahhüt → Kapsam dışı.</t>
  </si>
  <si>
    <t>K5</t>
  </si>
  <si>
    <t>Masraf türleri doğru sınıflandırıldı mı? (Ağaçlandırma/Bakım/Koruma)</t>
  </si>
  <si>
    <t>B tablosunda ayrıştırma yapıldı.</t>
  </si>
  <si>
    <t>K6</t>
  </si>
  <si>
    <t>Masraflar aktifleştirilmeden doğrudan gider mi yazıldı?</t>
  </si>
  <si>
    <t>VUK çerçevesinde değerlendirme.</t>
  </si>
  <si>
    <t>K7</t>
  </si>
  <si>
    <t>C tablosu toplamı D.5 ile mutabık mı?</t>
  </si>
  <si>
    <t>E50 = D.5 eşitliği.</t>
  </si>
  <si>
    <t>K8</t>
  </si>
  <si>
    <t>★ İndirim matrahı aşıyor mu? (Devredilemez!)</t>
  </si>
  <si>
    <t>Aşan kısım beyanname notu.</t>
  </si>
  <si>
    <t>K9</t>
  </si>
  <si>
    <t>✗ YİAKV E.11'de bilgi satırı olarak gösterildi mi?</t>
  </si>
  <si>
    <t>476 DÜŞÜLEMEZ — E.11 bilgi.</t>
  </si>
  <si>
    <t>K10</t>
  </si>
  <si>
    <t>402 (bağış) ve 476 (masraf) doğru ayrıştırıldı mı?</t>
  </si>
  <si>
    <t>Aynı dönemde ikisi ayrı satır.</t>
  </si>
  <si>
    <t>K11</t>
  </si>
  <si>
    <t>Beyanname 476 'Kazancın Bulunması Halinde' bölümünde mi?</t>
  </si>
  <si>
    <t>Zarar döneminde uygulanamaz.</t>
  </si>
  <si>
    <t>K12</t>
  </si>
  <si>
    <t>YMM Tasdik Raporu (49 No.lu Tebliğ) değerlendirildi mi?</t>
  </si>
  <si>
    <t>476 – AĞAÇLANDIRMA MASRAFLARI 4122 s.K. | MUHASEBE KAYITLARI</t>
  </si>
  <si>
    <t xml:space="preserve">  476 MASRAF İNDİRİMİ — MUHASEBE MEKANİZMASI (402 BAĞIŞINDAN FARKLI):
  Kurum bizzat masraf yapıyor → Gider hesabına alınır → KKEG yok (eğer ticari faaliyetle ilgili değilse) → Beyanname 476 ile indirim.
  NOT: Ağaçlandırma masraflarının gider mi, aktif mi olacağı VUK Md.272/284 kapsamında değerlendirilmelidir. Aktifleştirme yapıldıysa amortisman yoluyla, gider yazıldıysa doğrudan 476.</t>
  </si>
  <si>
    <t>KAYIT 1 — AĞAÇLANDIRMA MASRAFI (FİDAN/DİKİM/İŞÇİLİK)</t>
  </si>
  <si>
    <t>Tarih</t>
  </si>
  <si>
    <t>Hesap</t>
  </si>
  <si>
    <t>Dr</t>
  </si>
  <si>
    <t>Kr</t>
  </si>
  <si>
    <t>Ref</t>
  </si>
  <si>
    <t>[Masraf Tarihi]</t>
  </si>
  <si>
    <t>689 Diğer Olağan Dışı Gid. / 760 Araştırma Geliştirme</t>
  </si>
  <si>
    <t>Fidan/tohum/dikim işçiliği masrafı — gider kaydı</t>
  </si>
  <si>
    <t>[Tutar]</t>
  </si>
  <si>
    <t>KAYIT 2 — BAKIM MASRAFI (SULAMA/GÜBRE/BUDAMA)</t>
  </si>
  <si>
    <t>[Bakım Tarihi]</t>
  </si>
  <si>
    <t>689 / 760 İlgili Gider Hesabı</t>
  </si>
  <si>
    <t>Sulama, gübreleme, budama masrafları</t>
  </si>
  <si>
    <t>KAYIT 3 — DÖNEM SONU: BEYANNAME 476 İNDİRİMİ</t>
  </si>
  <si>
    <t>[Dönem Sonu]</t>
  </si>
  <si>
    <t>Beyanname 476 — Masrafların Tamamı</t>
  </si>
  <si>
    <t>Ağaçlandırma/bakım/koruma masrafları beyanname üzerinde indirim. KKEG gerekebilir — masrafın niteliğine göre YMM değerlendirmeli.</t>
  </si>
  <si>
    <t>Bkz. Not</t>
  </si>
  <si>
    <t>Beyanname</t>
  </si>
  <si>
    <t xml:space="preserve">  DÖNEM SONU DEĞERLENDİRME — BEYANNAME 476:
  Ağaçlandırma masrafları kurum açısından ticari faaliyetle ilgili olmayan gider niteliğindeyse:
  → Önce KKEG olarak işlenir → Beyanname 476 ile matrahtan geri çekilir → Net etki: İndirim
  Masrafların niteliği (aktif mi, gider mi) VUK açısından YMM tarafından ayrıca değerlendirilmelidir.
  YİAKV: ✗ DÜŞÜLEMEZ — E.11 bilgi satırı.</t>
  </si>
  <si>
    <t>476 – AĞAÇLANDIRMA / BAKIM / KORUMA MASRAFLARI 4122 s.K. | DENETÇİ NOTLARI</t>
  </si>
  <si>
    <t>GİB KV Beyan Rehberi 2026 | 4122 s.K. | Bağış Değil Masraf | OGM Protokolü | YİAKV E.11</t>
  </si>
  <si>
    <t>Kod</t>
  </si>
  <si>
    <t>Konu</t>
  </si>
  <si>
    <t>Mesleki Değerlendirme / Tasdik Standardı</t>
  </si>
  <si>
    <t>Mevzuat / Kaynak</t>
  </si>
  <si>
    <t>N1</t>
  </si>
  <si>
    <t>4122 s.K. — Kapsam ve 476'nın Temel Yapısı</t>
  </si>
  <si>
    <t>4122 SAYILI KANUN KAPSAMINDA AĞAÇLANDIRMA MASRAF İNDİRİMİ:
4122 sayılı Milli Ağaçlandırma ve Erozyon Kontrolü Seferberlik Kanunu kapsamında
ormanlarda yapılan ağaçlandırma, bakım ve koruma masraflarının tamamı KV matrahından
indirilir.
476'NIN BAĞIŞ KODLARINDAN TEMEL FARKI:
402–475 kodları → Kurumun başkasına yaptığı BAĞIŞ/YARDIM
476 kodu → Kurumun 4122 s.K. kapsamında ormanında bizzat yaptığı MASRAF
İNDİRİLEBİLİR MASRAFLAR:
• Ağaçlandırma: Fidan, tohum, dikim işçiliği, toprak hazırlama
• Bakım: Sulama, gübreleme, budama, yabani ot mücadelesi
• Koruma: Yangın önleme, zararlı mücadelesi, izleme, güvenlik
• Diğer: Teraslama, yol yapımı (proje kapsamında)
YİAKV: ✗ DÜŞÜLEMEZ (E.11 bilgi) | BEYANNAME: 476</t>
  </si>
  <si>
    <t>4122 s.K. | GİB KV Beyan Reh. 2026 (No:606)</t>
  </si>
  <si>
    <t>N2</t>
  </si>
  <si>
    <t>★ OGM Protokolü — En Kritik Ön Koşul</t>
  </si>
  <si>
    <t>OGM / ORMAN İDARESİ PROTOKOLÜ VE PROJE ONAYI:
4122 s.K. kapsamında yapılacak ağaçlandırma çalışmaları:
① Orman Genel Müdürlüğü (OGM) veya bölge/il orman idaresinin
   onaylı proje kapsamında olmalıdır.
② Ormanlaştırılacak alan 4122 s.K. kapsamında belirlenmeli.
③ Masraflar onaylı proje/protokol çerçevesinde gerçekleşmelidir.
PROTOKOL İÇERİĞİ:
• Taraflar (Kurum + OGM/Orman İdaresi)
• Alan bilgisi (konum, büyüklük/hektar)
• Yapılacak işlerin tanımı
• Maliyet tahmini ve sorumluluklar
PROTOKOL OLMADAN:
476 kapsamı tartışmalı → YMM masrafı bu kodla beyan etmemeli.
Protokol imzalanmalı ve YMM dosyasında saklanmalıdır.</t>
  </si>
  <si>
    <t>4122 s.K. | OGM Mevzuatı | GİB Özelge</t>
  </si>
  <si>
    <t>N3</t>
  </si>
  <si>
    <t>402 (Orman Bağışı) ile 476 (Ağaçlandırma Masrafı) Ayrımı</t>
  </si>
  <si>
    <t>ORMAN BAĞIŞI (402) vs AĞAÇLANDIRMA MASRAFI (476):
402 — BAĞIŞ (KVK Md.10/1-c):
Kamu idaresine (OGM/Orman İdaresi) orman tesis ve bakımı amacıyla PARA bağışı.
Kurum parayı verir, masrafı başkası yapar.
Muhasebe: Dr 689 / Kr 102 Bankalar
İndirim: Beyanname 402
476 — MASRAF İNDİRİMİ (4122 s.K.):
Kurum bizzat ağaçlandırma masrafını üstlenir — fidan, işçilik, sulama vb.
Masrafı kurum yapar, faturası kuruma kesilir.
Muhasebe: Dr 689/760 İlgili Gider / Kr Tedarikçi/Banka/Personel
İndirim: Beyanname 476
AYNI DÖNEMDE İKİSİ:
Kurum hem OGM'ye para bağışı (→ 402) hem de başka bir alanda
kendi masrafını yapıyor (→ 476) olabilir. Her biri ayrı kod.</t>
  </si>
  <si>
    <t>4122 s.K. | KVK Md.10/1-c | GİB Özelge</t>
  </si>
  <si>
    <t>N4</t>
  </si>
  <si>
    <t>Masrafların Aktifleştirilmesi vs Gider Yazılması</t>
  </si>
  <si>
    <t>VUK ÇERÇEVESİNDE AKTİFLEŞTİRME VERGİSEL ETKİSİ:
DOĞRUDAN GİDER YAZILMASI:
Ağaçlandırma masrafı dönem gideri olarak 689/760 hesabına alınır.
Dönem içinde matrahı düşürür.
Beyanname 476: Masraf tutarı yeniden indirim olarak eklenir.
(Masraf zaten gider → Matrahı düşmüş → 476 ile tekrar düşürmek mükerrerlik
yaratabilir — YMM bu durumu dikkatle değerlendirmeli)
AKTİFLEŞTİRME YAPILMASI:
Masraflar özel maliyet veya maddi duran varlık olarak aktifleştirilir.
Amortisman yoluyla dönemlere dağıtılır.
Beyanname 476: Toplam masraf tutarı (amorti edilen değil) indirilir.
YMM: Her iki durumda da 476'nın uygulanma biçimi farklılaşır.
GİB özelgesi veya VUK uzman görüşü alınması tavsiye edilir.</t>
  </si>
  <si>
    <t>4122 s.K. | VUK Md.272-284 | GİB Özelge</t>
  </si>
  <si>
    <t>N5</t>
  </si>
  <si>
    <t>49 No.lu Tebliğ + YMM Tasdik Dil Standardı</t>
  </si>
  <si>
    <t>KULLANIN:
'...4122 sayılı Milli Ağaçlandırma ve Erozyon Kontrolü Seferberlik Kanunu
kapsamında, Orman Genel Müdürlüğü ile [Tarih] tarihinde imzalanan
[Protokol No] sayılı protokol çerçevesinde [Alan Adı/İl] ormanlık alanında
yapılan ağaçlandırma, bakım ve koruma masraflarının tamamı olan [Toplam TL]
TL, kurumlar vergisi matrahından indirilmiştir. Söz konusu tutar YİAKV
matrahından indirilmemiştir.'
KULLANMAYIN:
'...OGM onayı olmaksızın yapılan masraflar 476 kapsamında indirilmiştir.'
'...Kurum OGM'ye para bağışı yaptı, bu 476'ya yazıldı.' (→ 402 olmalı)
'...476 YİAKV matrahından düşülmüştür.' (YANLIŞ)
KRİTİK RİSKLER:
(1) OGM protokolü olmadan 476 uygulamak.
(2) Para bağışını masraf gibi 476'ya yazmak (doğrusu 402).
(3) Belgesiz/faturasız masrafı 476'ya dahil etmek.
(4) Aktifleştirme/gider ayrımını değerlendirmeden uygulamak.</t>
  </si>
  <si>
    <t>49 No.lu Tebliğ | 4122 s.K. | SM-SMMM-YMM K. Md.12</t>
  </si>
  <si>
    <t xml:space="preserve">  GİB KV BEYAN REHBERİ MART 2026 (No:606) KAPANIŞ (476): 4122 s.K. — Kurum bizzat ağaçlandırma/bakım/koruma masrafı yapıyor. Bağış değil masraf — OGM protokolü zorunlu. Her masraf fatura ile belgelenmeli. Masrafın aktifleştirme/gider niteliği VUK çerçevesinde değerlendirilmeli. Matrahı aşan devredilmez. ✗ YİAKV E.11. YMM: SM-SMMM-YMM K. Md.12.</t>
  </si>
  <si>
    <t>476 – AĞAÇLANDIRMA / BAKIM / KORUMA MASRAFLARI 4122 s.K. | BELGE LİSTESİ | YMM TASDİK</t>
  </si>
  <si>
    <t>OGM Protokolü | Masraf Faturaları | Alan Belgesi | Hakedişler | YİAKV E.11</t>
  </si>
  <si>
    <t>KATEGORİ 1 — ZORUNLU BELGELER</t>
  </si>
  <si>
    <t>No</t>
  </si>
  <si>
    <t>Belge</t>
  </si>
  <si>
    <t>Temin</t>
  </si>
  <si>
    <t>1</t>
  </si>
  <si>
    <t>★ OGM / Orman İdaresi Onaylı Proje ve Protokol</t>
  </si>
  <si>
    <t>Orman Genel Müdürlüğü veya ilgili bölge/il orman idaresi tarafından onaylanmış ağaçlandırma projesi ve kurum-OGM protokolü. 4122 s.K. kapsamını açıkça belirtmeli. 476'nın temel dayanağı — protokolsüz uygulama tartışmalı.</t>
  </si>
  <si>
    <t>OGM / Bölge Orman İdaresi</t>
  </si>
  <si>
    <t>2</t>
  </si>
  <si>
    <t>★ Masraf Faturaları (Her Kalem İçin Ayrı)</t>
  </si>
  <si>
    <t>Fidan/tohum alımı, dikim işçiliği, sulama, gübre, budama, koruma, ekipman kiralama — her kalem için ayrı fatura/makbuz. Faturasız masraf 476'ya dahil edilemez.</t>
  </si>
  <si>
    <t>Tedarikçi / İşçilik</t>
  </si>
  <si>
    <t>3</t>
  </si>
  <si>
    <t>Alan Belgesi / Tapu / Kullanım Hakkı Belgesi</t>
  </si>
  <si>
    <t>Ağaçlandırma yapılan alanın 4122 s.K. kapsamında olduğunu gösteren OGM alan tescil belgesi veya kullanım izin belgesi.</t>
  </si>
  <si>
    <t>OGM / Kadastro</t>
  </si>
  <si>
    <t>4</t>
  </si>
  <si>
    <t>Hakediş / İş Tamamlama Raporu (Müteahhitli Uygulamada)</t>
  </si>
  <si>
    <t>Ağaçlandırma işi müteahhide yaptırılıyorsa hakediş belgesi ve OGM kabul tutanağı. Müteahhit faturası + hakediş birlikte.</t>
  </si>
  <si>
    <t>Müteahhit / OGM</t>
  </si>
  <si>
    <t>5</t>
  </si>
  <si>
    <t>KV Beyannamesi 476 Satırı + YİAKV E.11 Bilgi</t>
  </si>
  <si>
    <t>Beyanname 476 = D.7 tutarı. YİAKV E.11 = 402–476 tüm kod toplamı bilgi satırı.</t>
  </si>
  <si>
    <t>GİB e-Beyanname + YİAKV ÇK</t>
  </si>
  <si>
    <t>6</t>
  </si>
  <si>
    <t>VUK Aktifleştirme/Gider Niteliği Değerlendirme Notu</t>
  </si>
  <si>
    <t>YMM tarafından hazırlanan masrafların aktif mi gider mi olacağına ilişkin VUK değerlendirme notu. 476 uygulanma biçimini etkiler.</t>
  </si>
  <si>
    <t>YMM tarafından hazırlanır</t>
  </si>
  <si>
    <t>KATEGORİ 2 — YMM TASDİK KONTROL SORULARI</t>
  </si>
  <si>
    <t>Beklenen Sonuç</t>
  </si>
  <si>
    <t>YMM Aksiyonu</t>
  </si>
  <si>
    <t>S1</t>
  </si>
  <si>
    <t>★ Kurum bizzat masraf mı yaptı? (Bağış/transfer değil)</t>
  </si>
  <si>
    <t>Para transferi → 402. Bizzat masraf → 476.</t>
  </si>
  <si>
    <t>YMM kontrolü</t>
  </si>
  <si>
    <t>S2</t>
  </si>
  <si>
    <t>★ OGM onaylı proje/protokol var mı?</t>
  </si>
  <si>
    <t>Protokolsüz → Kapsam tartışmalı.</t>
  </si>
  <si>
    <t>S3</t>
  </si>
  <si>
    <t>★ Her masraf fatura/bordro ile belgelendi mi?</t>
  </si>
  <si>
    <t>Faturasız masraf → Kapsam dışı.</t>
  </si>
  <si>
    <t>S4</t>
  </si>
  <si>
    <t>★ Masraflar fiilen gerçekleşti mi?</t>
  </si>
  <si>
    <t>Taahhüt → İndirim yok.</t>
  </si>
  <si>
    <t>S5</t>
  </si>
  <si>
    <t>Masrafların aktifleştirme/gider niteliği değerlendirildi mi?</t>
  </si>
  <si>
    <t>VUK değerlendirme notu mevcut.</t>
  </si>
  <si>
    <t>S6</t>
  </si>
  <si>
    <t>C tablosu toplamı D.7 ile mutabık mı?</t>
  </si>
  <si>
    <t>E50 = D.7 eşitliği.</t>
  </si>
  <si>
    <t>S7</t>
  </si>
  <si>
    <t>★ İndirim matrahı aşıyor mu? (Devredilmez!)</t>
  </si>
  <si>
    <t>S8</t>
  </si>
  <si>
    <t>Her biri ayrı beyanname satırı.</t>
  </si>
  <si>
    <t>S9</t>
  </si>
  <si>
    <t>✗ YİAKV E.11'de bilgi satırı var mı?</t>
  </si>
  <si>
    <t>S10</t>
  </si>
  <si>
    <t>YMM Tasdik Raporu değerlendirildi mi?</t>
  </si>
  <si>
    <t>&gt;=500.000 TL → Rapor.</t>
  </si>
  <si>
    <t xml:space="preserve">  GİB KV BEYAN REHBERİ MART 2026 (No:606) | 476 AĞAÇLANDIRMA MASRAFI SON NOT:
  4122 s.K. — Kurum bizzat ağaçlandırma/bakım/koruma masrafı yapıyor (bağış değil).
  OGM/Orman İdaresi onaylı protokol zorunlu. Her masraf fatura ile belgelenmeli.
  Aktifleştirme vs gider niteliği VUK çerçevesinde değerlendirilmeli.
  Para bağışı → 402 (bağış). Bizzat masraf → 476 (masraf indirimi). Ayrıştırma kritik.
  Matrahı aşan kısım devredilemez. ✗ YİAKV E.11 bilgi satırı.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</si>
</sst>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1D6A2F"/>
      <name val="Arial"/>
    </font>
    <font>
      <b/>
      <sz val="10"/>
      <color rgb="FF1D6A2F"/>
      <name val="Arial"/>
    </font>
    <font>
      <sz val="9"/>
      <color rgb="FF1F3864"/>
      <name val="Arial"/>
    </font>
    <font>
      <b/>
      <sz val="9"/>
      <color rgb="FF1D6A2F"/>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8"/>
      <color rgb="FFC0392B"/>
      <name val="Arial"/>
    </font>
    <font>
      <b/>
      <sz val="12"/>
      <color rgb="FF1B5E20"/>
      <name val="Arial"/>
    </font>
    <font>
      <sz val="8"/>
      <color rgb="FF333333"/>
      <name val="Arial"/>
    </font>
    <font>
      <b/>
      <sz val="8"/>
      <color rgb="FF1D6A2F"/>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1D6A2F"/>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FFFFFF"/>
      </patternFill>
    </fill>
    <fill>
      <patternFill patternType="solid">
        <fgColor rgb="FFE9F7EF"/>
      </patternFill>
    </fill>
    <fill>
      <patternFill patternType="solid">
        <fgColor rgb="FFC6EFCE"/>
      </patternFill>
    </fill>
    <fill>
      <patternFill patternType="solid">
        <fgColor rgb="FFD5F5E3"/>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1D6A2F"/>
      </left>
      <right style="thin">
        <color rgb="FF1D6A2F"/>
      </right>
      <top style="thin">
        <color rgb="FF1D6A2F"/>
      </top>
      <bottom style="thin">
        <color rgb="FF1D6A2F"/>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0">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0" fontId="0" fillId="10" borderId="4" xfId="0" applyFill="1" applyBorder="1" applyAlignment="1">
      <alignment horizontal="center" vertical="center"/>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0" fontId="16" fillId="10" borderId="4" xfId="0" applyFont="1" applyFill="1" applyBorder="1" applyAlignment="1">
      <alignment horizontal="left" vertical="center" wrapText="1"/>
    </xf>
    <xf numFmtId="3" fontId="17" fillId="2" borderId="4" xfId="0" applyNumberFormat="1" applyFont="1" applyFill="1" applyBorder="1" applyAlignment="1">
      <alignment horizontal="right" vertical="center" wrapText="1"/>
    </xf>
    <xf numFmtId="0" fontId="1" fillId="2" borderId="4" xfId="0" applyFont="1" applyFill="1" applyBorder="1" applyAlignment="1">
      <alignment horizontal="center" vertical="center" wrapText="1"/>
    </xf>
    <xf numFmtId="3" fontId="18" fillId="2" borderId="8" xfId="0" applyNumberFormat="1" applyFont="1" applyFill="1" applyBorder="1" applyAlignment="1">
      <alignment horizontal="right" vertical="center" wrapText="1"/>
    </xf>
    <xf numFmtId="3" fontId="12" fillId="12"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2"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4" fillId="9"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0" fillId="12" borderId="4" xfId="0" applyFill="1" applyBorder="1"/>
    <xf numFmtId="0" fontId="0" fillId="11" borderId="4" xfId="0" applyFill="1" applyBorder="1"/>
    <xf numFmtId="0" fontId="7" fillId="12" borderId="4" xfId="0" applyFont="1" applyFill="1" applyBorder="1" applyAlignment="1">
      <alignment horizontal="left" vertical="top" wrapText="1"/>
    </xf>
    <xf numFmtId="0" fontId="7" fillId="11"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2" borderId="4" xfId="0" applyFont="1" applyFill="1" applyBorder="1" applyAlignment="1">
      <alignment horizontal="center" vertical="center" wrapText="1"/>
    </xf>
    <xf numFmtId="0" fontId="26" fillId="18" borderId="4" xfId="0" applyFont="1" applyFill="1" applyBorder="1" applyAlignment="1">
      <alignment horizontal="left" vertical="top" wrapText="1"/>
    </xf>
    <xf numFmtId="0" fontId="28" fillId="12"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8" fillId="9" borderId="4" xfId="0" applyFont="1" applyFill="1" applyBorder="1" applyAlignment="1">
      <alignment horizontal="left" vertical="top" wrapText="1"/>
    </xf>
    <xf numFmtId="0" fontId="28" fillId="11"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6" fillId="19" borderId="4" xfId="0" applyFont="1" applyFill="1" applyBorder="1" applyAlignment="1">
      <alignment horizontal="left" vertical="top" wrapText="1"/>
    </xf>
    <xf numFmtId="0" fontId="30" fillId="13" borderId="4" xfId="0" applyFont="1" applyFill="1" applyBorder="1" applyAlignment="1">
      <alignment horizontal="left" vertical="center" wrapText="1"/>
    </xf>
    <xf numFmtId="0" fontId="7" fillId="11" borderId="4" xfId="0" applyFont="1" applyFill="1" applyBorder="1" applyAlignment="1">
      <alignment horizontal="center" vertical="center" wrapText="1"/>
    </xf>
    <xf numFmtId="0" fontId="4" fillId="11" borderId="4" xfId="0" applyFont="1" applyFill="1" applyBorder="1" applyAlignment="1">
      <alignment horizontal="left" vertical="top" wrapText="1"/>
    </xf>
    <xf numFmtId="0" fontId="30" fillId="11"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1"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32" fillId="21" borderId="4" xfId="0" applyFont="1" applyFill="1" applyBorder="1" applyAlignment="1">
      <alignment horizontal="center" vertical="center" wrapText="1"/>
    </xf>
    <xf numFmtId="0" fontId="0" fillId="23" borderId="4" xfId="0" applyFill="1" applyBorder="1"/>
    <xf numFmtId="0" fontId="31" fillId="23" borderId="4" xfId="0" applyFont="1" applyFill="1" applyBorder="1" applyAlignment="1">
      <alignment horizontal="center" vertical="center" wrapText="1"/>
    </xf>
    <xf numFmtId="0" fontId="31" fillId="23" borderId="4" xfId="0" applyFont="1" applyFill="1" applyBorder="1" applyAlignment="1">
      <alignment horizontal="left" vertical="top" wrapText="1"/>
    </xf>
    <xf numFmtId="0" fontId="26" fillId="24" borderId="4" xfId="0" applyFont="1" applyFill="1" applyBorder="1" applyAlignment="1">
      <alignment horizontal="left" vertical="top" wrapText="1"/>
    </xf>
    <xf numFmtId="0" fontId="32" fillId="23" borderId="4" xfId="0" applyFont="1" applyFill="1" applyBorder="1" applyAlignment="1">
      <alignment horizontal="center" vertical="center" wrapText="1"/>
    </xf>
    <xf numFmtId="0" fontId="10" fillId="13" borderId="4" xfId="0" applyFont="1" applyFill="1" applyBorder="1" applyAlignment="1">
      <alignment horizontal="left" vertical="center" wrapText="1"/>
    </xf>
    <xf numFmtId="0" fontId="0" fillId="0" borderId="6" xfId="0" applyBorder="1"/>
    <xf numFmtId="0" fontId="3" fillId="2" borderId="1" xfId="0" applyFont="1" applyFill="1" applyBorder="1" applyAlignment="1">
      <alignment horizontal="left" vertical="center"/>
    </xf>
    <xf numFmtId="0" fontId="0" fillId="0" borderId="2" xfId="0" applyBorder="1"/>
    <xf numFmtId="0" fontId="0" fillId="0" borderId="3" xfId="0" applyBorder="1"/>
    <xf numFmtId="0" fontId="11" fillId="11" borderId="4" xfId="0" applyFont="1" applyFill="1" applyBorder="1" applyAlignment="1">
      <alignment horizontal="left" vertical="center" wrapText="1"/>
    </xf>
    <xf numFmtId="0" fontId="0" fillId="10" borderId="4" xfId="0" applyFill="1" applyBorder="1"/>
    <xf numFmtId="0" fontId="0" fillId="0" borderId="5" xfId="0" applyBorder="1"/>
    <xf numFmtId="0" fontId="10" fillId="11" borderId="4" xfId="0" applyFont="1" applyFill="1" applyBorder="1" applyAlignment="1">
      <alignment horizontal="left" vertical="center" wrapText="1"/>
    </xf>
    <xf numFmtId="0" fontId="10" fillId="12"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7" fillId="12" borderId="4" xfId="0" applyFont="1" applyFill="1" applyBorder="1" applyAlignment="1">
      <alignment horizontal="left" vertical="center" wrapText="1"/>
    </xf>
    <xf numFmtId="0" fontId="6" fillId="13"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10" fillId="15"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6" fillId="9" borderId="4" xfId="0" applyFont="1" applyFill="1" applyBorder="1" applyAlignment="1">
      <alignment horizontal="left" vertical="center" wrapText="1"/>
    </xf>
    <xf numFmtId="0" fontId="11" fillId="12" borderId="4" xfId="0" applyFont="1" applyFill="1" applyBorder="1" applyAlignment="1">
      <alignment horizontal="left" vertical="center" wrapText="1"/>
    </xf>
    <xf numFmtId="0" fontId="23" fillId="13"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 fillId="2" borderId="1" xfId="0" applyFont="1" applyFill="1" applyBorder="1" applyAlignment="1">
      <alignment horizontal="left" vertical="center"/>
    </xf>
    <xf numFmtId="0" fontId="8" fillId="15"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13" fillId="12" borderId="4" xfId="0" applyFont="1" applyFill="1" applyBorder="1" applyAlignment="1">
      <alignment horizontal="left" vertical="center" wrapText="1"/>
    </xf>
    <xf numFmtId="0" fontId="1" fillId="2" borderId="4" xfId="0" applyFont="1" applyFill="1" applyBorder="1" applyAlignment="1">
      <alignment horizontal="left" vertical="center"/>
    </xf>
    <xf numFmtId="0" fontId="3" fillId="7" borderId="1" xfId="0" applyFont="1" applyFill="1" applyBorder="1" applyAlignment="1">
      <alignment horizontal="left" vertical="center"/>
    </xf>
    <xf numFmtId="0" fontId="1" fillId="3" borderId="1" xfId="0" applyFont="1" applyFill="1" applyBorder="1" applyAlignment="1">
      <alignment horizontal="left" vertical="center"/>
    </xf>
    <xf numFmtId="0" fontId="15" fillId="13" borderId="4" xfId="0" applyFont="1" applyFill="1" applyBorder="1" applyAlignment="1">
      <alignment horizontal="left" vertical="center" wrapText="1"/>
    </xf>
    <xf numFmtId="0" fontId="10" fillId="14"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24" fillId="9"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8" fillId="13" borderId="4" xfId="0" applyFont="1" applyFill="1" applyBorder="1" applyAlignment="1">
      <alignment horizontal="left" vertical="center" wrapText="1"/>
    </xf>
    <xf numFmtId="0" fontId="26" fillId="12" borderId="4" xfId="0" applyFont="1" applyFill="1" applyBorder="1" applyAlignment="1">
      <alignment horizontal="left" vertical="top" wrapText="1"/>
    </xf>
    <xf numFmtId="0" fontId="4" fillId="9" borderId="4" xfId="0" applyFont="1" applyFill="1" applyBorder="1" applyAlignment="1">
      <alignment horizontal="left" vertical="top" wrapText="1"/>
    </xf>
    <xf numFmtId="0" fontId="7" fillId="11"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3" fillId="16" borderId="1" xfId="0" applyFont="1" applyFill="1" applyBorder="1" applyAlignment="1">
      <alignment horizontal="left" vertical="center"/>
    </xf>
    <xf numFmtId="0" fontId="7" fillId="12" borderId="4" xfId="0" applyFont="1" applyFill="1" applyBorder="1" applyAlignment="1">
      <alignment horizontal="left" vertical="top" wrapText="1"/>
    </xf>
    <xf numFmtId="0" fontId="26" fillId="11" borderId="4" xfId="0" applyFont="1" applyFill="1" applyBorder="1" applyAlignment="1">
      <alignment horizontal="left" vertical="top" wrapText="1"/>
    </xf>
    <xf numFmtId="0" fontId="7" fillId="11" borderId="4" xfId="0" applyFont="1" applyFill="1" applyBorder="1" applyAlignment="1">
      <alignment horizontal="left" vertical="center"/>
    </xf>
    <xf numFmtId="0" fontId="17" fillId="2" borderId="1" xfId="0" applyFont="1" applyFill="1" applyBorder="1" applyAlignment="1">
      <alignment horizontal="left" vertical="center"/>
    </xf>
    <xf numFmtId="0" fontId="7" fillId="15" borderId="4" xfId="0" applyFont="1" applyFill="1" applyBorder="1" applyAlignment="1">
      <alignment horizontal="left" vertical="center"/>
    </xf>
    <xf numFmtId="0" fontId="7" fillId="12" borderId="4" xfId="0" applyFont="1" applyFill="1" applyBorder="1" applyAlignment="1">
      <alignment horizontal="left" vertical="center"/>
    </xf>
    <xf numFmtId="0" fontId="16" fillId="14"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7" borderId="4" xfId="0" applyFont="1" applyFill="1" applyBorder="1" applyAlignment="1">
      <alignment horizontal="left" vertical="center"/>
    </xf>
    <xf numFmtId="0" fontId="3" fillId="2" borderId="4" xfId="0" applyFont="1" applyFill="1" applyBorder="1" applyAlignment="1">
      <alignment horizontal="left" vertical="center"/>
    </xf>
    <xf numFmtId="0" fontId="3" fillId="16" borderId="4" xfId="0" applyFont="1" applyFill="1" applyBorder="1" applyAlignment="1">
      <alignment horizontal="left" vertical="center"/>
    </xf>
    <xf numFmtId="0" fontId="26" fillId="15" borderId="4" xfId="0" applyFont="1" applyFill="1" applyBorder="1" applyAlignment="1">
      <alignment horizontal="left" vertical="center" wrapText="1"/>
    </xf>
    <xf numFmtId="0" fontId="27" fillId="14" borderId="4" xfId="0" applyFont="1" applyFill="1" applyBorder="1" applyAlignment="1">
      <alignment horizontal="left" vertical="center" wrapText="1"/>
    </xf>
    <xf numFmtId="0" fontId="29"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38CD06-4461-4F3F-A84B-0EABE5D929A0}">
  <we:reference id="WA200009404" version="1.0.0.8" store="Omex" storeType="OMEX"/>
  <we:alternateReferences>
    <we:reference id="WA200009404" version="1.0.0.8" store="WA200009404" storeType="OMEX"/>
  </we:alternateReferences>
  <we:properties>
    <we:property name="claude.fileId" value="&quot;e20a0b65-724b-4d42-bca3-d50f66f1b82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tabSelected="1" workbookViewId="0">
      <selection sqref="A1:G1"/>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83" t="s">
        <v>0</v>
      </c>
      <c r="B1" s="62"/>
      <c r="C1" s="62"/>
      <c r="D1" s="62"/>
      <c r="E1" s="62"/>
      <c r="F1" s="62"/>
      <c r="G1" s="63"/>
    </row>
    <row r="2" spans="1:7" ht="22" customHeight="1" x14ac:dyDescent="0.55000000000000004">
      <c r="A2" s="92" t="s">
        <v>1</v>
      </c>
      <c r="B2" s="62"/>
      <c r="C2" s="62"/>
      <c r="D2" s="62"/>
      <c r="E2" s="62"/>
      <c r="F2" s="62"/>
      <c r="G2" s="63"/>
    </row>
    <row r="3" spans="1:7" ht="48" customHeight="1" x14ac:dyDescent="0.55000000000000004">
      <c r="A3" s="85" t="s">
        <v>2</v>
      </c>
      <c r="B3" s="66"/>
      <c r="C3" s="66"/>
      <c r="D3" s="66"/>
      <c r="E3" s="66"/>
      <c r="F3" s="66"/>
      <c r="G3" s="60"/>
    </row>
    <row r="4" spans="1:7" ht="26.05" customHeight="1" x14ac:dyDescent="0.55000000000000004">
      <c r="A4" s="87" t="s">
        <v>3</v>
      </c>
      <c r="B4" s="66"/>
      <c r="C4" s="66"/>
      <c r="D4" s="66"/>
      <c r="E4" s="66"/>
      <c r="F4" s="66"/>
      <c r="G4" s="60"/>
    </row>
    <row r="5" spans="1:7" ht="5.05" customHeight="1" x14ac:dyDescent="0.55000000000000004">
      <c r="A5" s="1"/>
      <c r="B5" s="1"/>
      <c r="C5" s="1"/>
      <c r="D5" s="1"/>
      <c r="E5" s="1"/>
      <c r="F5" s="1"/>
      <c r="G5" s="1"/>
    </row>
    <row r="6" spans="1:7" ht="24" customHeight="1" x14ac:dyDescent="0.55000000000000004">
      <c r="A6" s="91" t="s">
        <v>4</v>
      </c>
      <c r="B6" s="62"/>
      <c r="C6" s="62"/>
      <c r="D6" s="62"/>
      <c r="E6" s="62"/>
      <c r="F6" s="62"/>
      <c r="G6" s="63"/>
    </row>
    <row r="7" spans="1:7" ht="18" customHeight="1" x14ac:dyDescent="0.55000000000000004">
      <c r="A7" s="2"/>
      <c r="B7" s="2" t="s">
        <v>5</v>
      </c>
      <c r="C7" s="2"/>
      <c r="D7" s="2"/>
      <c r="E7" s="2" t="s">
        <v>6</v>
      </c>
      <c r="F7" s="2"/>
      <c r="G7" s="2" t="s">
        <v>7</v>
      </c>
    </row>
    <row r="8" spans="1:7" ht="28" customHeight="1" x14ac:dyDescent="0.55000000000000004">
      <c r="A8" s="82" t="s">
        <v>8</v>
      </c>
      <c r="B8" s="66"/>
      <c r="C8" s="66"/>
      <c r="D8" s="60"/>
      <c r="E8" s="3" t="s">
        <v>9</v>
      </c>
      <c r="F8" s="78" t="s">
        <v>10</v>
      </c>
      <c r="G8" s="60"/>
    </row>
    <row r="9" spans="1:7" ht="28" customHeight="1" x14ac:dyDescent="0.55000000000000004">
      <c r="A9" s="82" t="s">
        <v>11</v>
      </c>
      <c r="B9" s="66"/>
      <c r="C9" s="66"/>
      <c r="D9" s="60"/>
      <c r="E9" s="3" t="s">
        <v>9</v>
      </c>
      <c r="F9" s="78" t="s">
        <v>12</v>
      </c>
      <c r="G9" s="60"/>
    </row>
    <row r="10" spans="1:7" ht="28" customHeight="1" x14ac:dyDescent="0.55000000000000004">
      <c r="A10" s="82" t="s">
        <v>13</v>
      </c>
      <c r="B10" s="66"/>
      <c r="C10" s="66"/>
      <c r="D10" s="60"/>
      <c r="E10" s="3" t="s">
        <v>9</v>
      </c>
      <c r="F10" s="78" t="s">
        <v>14</v>
      </c>
      <c r="G10" s="60"/>
    </row>
    <row r="11" spans="1:7" ht="28" customHeight="1" x14ac:dyDescent="0.55000000000000004">
      <c r="A11" s="69" t="s">
        <v>15</v>
      </c>
      <c r="B11" s="66"/>
      <c r="C11" s="66"/>
      <c r="D11" s="60"/>
      <c r="E11" s="3" t="s">
        <v>9</v>
      </c>
      <c r="F11" s="75" t="s">
        <v>16</v>
      </c>
      <c r="G11" s="60"/>
    </row>
    <row r="12" spans="1:7" ht="28" customHeight="1" x14ac:dyDescent="0.55000000000000004">
      <c r="A12" s="70" t="s">
        <v>17</v>
      </c>
      <c r="B12" s="66"/>
      <c r="C12" s="66"/>
      <c r="D12" s="60"/>
      <c r="E12" s="3" t="s">
        <v>9</v>
      </c>
      <c r="F12" s="76" t="s">
        <v>18</v>
      </c>
      <c r="G12" s="60"/>
    </row>
    <row r="13" spans="1:7" ht="28" customHeight="1" x14ac:dyDescent="0.55000000000000004">
      <c r="A13" s="69" t="s">
        <v>19</v>
      </c>
      <c r="B13" s="66"/>
      <c r="C13" s="66"/>
      <c r="D13" s="60"/>
      <c r="E13" s="3" t="s">
        <v>9</v>
      </c>
      <c r="F13" s="75" t="s">
        <v>20</v>
      </c>
      <c r="G13" s="60"/>
    </row>
    <row r="14" spans="1:7" ht="28" customHeight="1" x14ac:dyDescent="0.55000000000000004">
      <c r="A14" s="70" t="s">
        <v>21</v>
      </c>
      <c r="B14" s="66"/>
      <c r="C14" s="66"/>
      <c r="D14" s="60"/>
      <c r="E14" s="3" t="s">
        <v>9</v>
      </c>
      <c r="F14" s="76" t="s">
        <v>22</v>
      </c>
      <c r="G14" s="60"/>
    </row>
    <row r="15" spans="1:7" ht="24" customHeight="1" x14ac:dyDescent="0.55000000000000004">
      <c r="A15" s="72" t="s">
        <v>23</v>
      </c>
      <c r="B15" s="66"/>
      <c r="C15" s="66"/>
      <c r="D15" s="60"/>
      <c r="E15" s="4" t="str">
        <f>IF(AND(E8="EVET",E9="EVET",E10="EVET",E11="EVET"),"OK - Hesaplanabilir","HATA - Ön koşul eksik")</f>
        <v>OK - Hesaplanabilir</v>
      </c>
      <c r="F15" s="71" t="s">
        <v>24</v>
      </c>
      <c r="G15" s="60"/>
    </row>
    <row r="16" spans="1:7" ht="5.05" customHeight="1" x14ac:dyDescent="0.55000000000000004">
      <c r="A16" s="1"/>
      <c r="B16" s="1"/>
      <c r="C16" s="1"/>
      <c r="D16" s="1"/>
      <c r="E16" s="1"/>
      <c r="F16" s="1"/>
      <c r="G16" s="1"/>
    </row>
    <row r="17" spans="1:7" ht="22" customHeight="1" x14ac:dyDescent="0.55000000000000004">
      <c r="A17" s="61" t="s">
        <v>25</v>
      </c>
      <c r="B17" s="62"/>
      <c r="C17" s="62"/>
      <c r="D17" s="62"/>
      <c r="E17" s="62"/>
      <c r="F17" s="62"/>
      <c r="G17" s="63"/>
    </row>
    <row r="18" spans="1:7" ht="22" customHeight="1" x14ac:dyDescent="0.55000000000000004">
      <c r="A18" s="70" t="s">
        <v>26</v>
      </c>
      <c r="B18" s="60"/>
      <c r="C18" s="65"/>
      <c r="D18" s="66"/>
      <c r="E18" s="60"/>
      <c r="F18" s="68" t="s">
        <v>27</v>
      </c>
      <c r="G18" s="60"/>
    </row>
    <row r="19" spans="1:7" ht="22" customHeight="1" x14ac:dyDescent="0.55000000000000004">
      <c r="A19" s="69" t="s">
        <v>28</v>
      </c>
      <c r="B19" s="60"/>
      <c r="C19" s="65"/>
      <c r="D19" s="66"/>
      <c r="E19" s="60"/>
      <c r="F19" s="67" t="s">
        <v>29</v>
      </c>
      <c r="G19" s="60"/>
    </row>
    <row r="20" spans="1:7" ht="22" customHeight="1" x14ac:dyDescent="0.55000000000000004">
      <c r="A20" s="70" t="s">
        <v>30</v>
      </c>
      <c r="B20" s="60"/>
      <c r="C20" s="65"/>
      <c r="D20" s="66"/>
      <c r="E20" s="60"/>
      <c r="F20" s="68" t="s">
        <v>31</v>
      </c>
      <c r="G20" s="60"/>
    </row>
    <row r="21" spans="1:7" ht="22" customHeight="1" x14ac:dyDescent="0.55000000000000004">
      <c r="A21" s="69" t="s">
        <v>32</v>
      </c>
      <c r="B21" s="60"/>
      <c r="C21" s="65"/>
      <c r="D21" s="66"/>
      <c r="E21" s="60"/>
      <c r="F21" s="67" t="s">
        <v>33</v>
      </c>
      <c r="G21" s="60"/>
    </row>
    <row r="22" spans="1:7" ht="22" customHeight="1" x14ac:dyDescent="0.55000000000000004">
      <c r="A22" s="70" t="s">
        <v>34</v>
      </c>
      <c r="B22" s="60"/>
      <c r="C22" s="65"/>
      <c r="D22" s="66"/>
      <c r="E22" s="60"/>
      <c r="F22" s="68" t="s">
        <v>35</v>
      </c>
      <c r="G22" s="60"/>
    </row>
    <row r="23" spans="1:7" ht="22" customHeight="1" x14ac:dyDescent="0.55000000000000004">
      <c r="A23" s="69" t="s">
        <v>36</v>
      </c>
      <c r="B23" s="60"/>
      <c r="C23" s="65"/>
      <c r="D23" s="66"/>
      <c r="E23" s="60"/>
      <c r="F23" s="67" t="s">
        <v>37</v>
      </c>
      <c r="G23" s="60"/>
    </row>
    <row r="24" spans="1:7" ht="22" customHeight="1" x14ac:dyDescent="0.55000000000000004">
      <c r="A24" s="70" t="s">
        <v>38</v>
      </c>
      <c r="B24" s="60"/>
      <c r="C24" s="65"/>
      <c r="D24" s="66"/>
      <c r="E24" s="60"/>
      <c r="F24" s="68" t="s">
        <v>39</v>
      </c>
      <c r="G24" s="60"/>
    </row>
    <row r="26" spans="1:7" ht="5.05" customHeight="1" x14ac:dyDescent="0.55000000000000004">
      <c r="A26" s="1"/>
      <c r="B26" s="1"/>
      <c r="C26" s="1"/>
      <c r="D26" s="1"/>
      <c r="E26" s="1"/>
      <c r="F26" s="1"/>
      <c r="G26" s="1"/>
    </row>
    <row r="27" spans="1:7" ht="24" customHeight="1" x14ac:dyDescent="0.55000000000000004">
      <c r="A27" s="61" t="s">
        <v>40</v>
      </c>
      <c r="B27" s="62"/>
      <c r="C27" s="62"/>
      <c r="D27" s="62"/>
      <c r="E27" s="62"/>
      <c r="F27" s="62"/>
      <c r="G27" s="63"/>
    </row>
    <row r="28" spans="1:7" ht="18" customHeight="1" x14ac:dyDescent="0.55000000000000004">
      <c r="A28" s="2"/>
      <c r="B28" s="2" t="s">
        <v>41</v>
      </c>
      <c r="C28" s="2"/>
      <c r="D28" s="2" t="s">
        <v>42</v>
      </c>
      <c r="E28" s="2"/>
      <c r="F28" s="2" t="s">
        <v>43</v>
      </c>
      <c r="G28" s="2" t="s">
        <v>44</v>
      </c>
    </row>
    <row r="29" spans="1:7" ht="26.05" customHeight="1" x14ac:dyDescent="0.55000000000000004">
      <c r="A29" s="69" t="s">
        <v>45</v>
      </c>
      <c r="B29" s="60"/>
      <c r="C29" s="3" t="s">
        <v>46</v>
      </c>
      <c r="D29" s="67" t="s">
        <v>47</v>
      </c>
      <c r="E29" s="60"/>
      <c r="F29" s="64" t="s">
        <v>48</v>
      </c>
      <c r="G29" s="60"/>
    </row>
    <row r="30" spans="1:7" ht="26.05" customHeight="1" x14ac:dyDescent="0.55000000000000004">
      <c r="A30" s="70" t="s">
        <v>49</v>
      </c>
      <c r="B30" s="60"/>
      <c r="C30" s="3" t="s">
        <v>50</v>
      </c>
      <c r="D30" s="68" t="s">
        <v>51</v>
      </c>
      <c r="E30" s="60"/>
      <c r="F30" s="79" t="s">
        <v>52</v>
      </c>
      <c r="G30" s="60"/>
    </row>
    <row r="31" spans="1:7" ht="26.05" customHeight="1" x14ac:dyDescent="0.55000000000000004">
      <c r="A31" s="69" t="s">
        <v>53</v>
      </c>
      <c r="B31" s="60"/>
      <c r="C31" s="5"/>
      <c r="D31" s="67" t="s">
        <v>54</v>
      </c>
      <c r="E31" s="60"/>
      <c r="F31" s="64" t="s">
        <v>55</v>
      </c>
      <c r="G31" s="60"/>
    </row>
    <row r="32" spans="1:7" ht="26.05" customHeight="1" x14ac:dyDescent="0.55000000000000004">
      <c r="A32" s="70" t="s">
        <v>56</v>
      </c>
      <c r="B32" s="60"/>
      <c r="C32" s="5"/>
      <c r="D32" s="68" t="s">
        <v>57</v>
      </c>
      <c r="E32" s="60"/>
      <c r="F32" s="79" t="s">
        <v>58</v>
      </c>
      <c r="G32" s="60"/>
    </row>
    <row r="33" spans="1:7" ht="26.05" customHeight="1" x14ac:dyDescent="0.55000000000000004">
      <c r="A33" s="74" t="s">
        <v>59</v>
      </c>
      <c r="B33" s="60"/>
      <c r="C33" s="5"/>
      <c r="D33" s="67" t="s">
        <v>60</v>
      </c>
      <c r="E33" s="60"/>
      <c r="F33" s="64" t="s">
        <v>61</v>
      </c>
      <c r="G33" s="60"/>
    </row>
    <row r="34" spans="1:7" ht="26.05" customHeight="1" x14ac:dyDescent="0.55000000000000004">
      <c r="A34" s="86" t="s">
        <v>62</v>
      </c>
      <c r="B34" s="60"/>
      <c r="C34" s="5"/>
      <c r="D34" s="68" t="s">
        <v>63</v>
      </c>
      <c r="E34" s="60"/>
      <c r="F34" s="79" t="s">
        <v>61</v>
      </c>
      <c r="G34" s="60"/>
    </row>
    <row r="35" spans="1:7" ht="26.05" customHeight="1" x14ac:dyDescent="0.55000000000000004">
      <c r="A35" s="69" t="s">
        <v>64</v>
      </c>
      <c r="B35" s="60"/>
      <c r="C35" s="5"/>
      <c r="D35" s="67" t="s">
        <v>65</v>
      </c>
      <c r="E35" s="60"/>
      <c r="F35" s="64" t="s">
        <v>61</v>
      </c>
      <c r="G35" s="60"/>
    </row>
    <row r="36" spans="1:7" ht="26.05" customHeight="1" x14ac:dyDescent="0.55000000000000004">
      <c r="A36" s="70" t="s">
        <v>66</v>
      </c>
      <c r="B36" s="60"/>
      <c r="C36" s="5"/>
      <c r="D36" s="68" t="s">
        <v>67</v>
      </c>
      <c r="E36" s="60"/>
      <c r="F36" s="79" t="s">
        <v>61</v>
      </c>
      <c r="G36" s="60"/>
    </row>
    <row r="37" spans="1:7" ht="26.05" customHeight="1" x14ac:dyDescent="0.55000000000000004">
      <c r="A37" s="74" t="s">
        <v>68</v>
      </c>
      <c r="B37" s="60"/>
      <c r="C37" s="6">
        <f>C33+C34+C35+C36</f>
        <v>0</v>
      </c>
      <c r="D37" s="67" t="s">
        <v>69</v>
      </c>
      <c r="E37" s="60"/>
      <c r="F37" s="64" t="s">
        <v>70</v>
      </c>
      <c r="G37" s="60"/>
    </row>
    <row r="38" spans="1:7" ht="5.05" customHeight="1" x14ac:dyDescent="0.55000000000000004">
      <c r="A38" s="1"/>
      <c r="B38" s="1"/>
      <c r="C38" s="1"/>
      <c r="D38" s="1"/>
      <c r="E38" s="1"/>
      <c r="F38" s="1"/>
      <c r="G38" s="1"/>
    </row>
    <row r="39" spans="1:7" ht="24" customHeight="1" x14ac:dyDescent="0.55000000000000004">
      <c r="A39" s="61" t="s">
        <v>71</v>
      </c>
      <c r="B39" s="62"/>
      <c r="C39" s="62"/>
      <c r="D39" s="62"/>
      <c r="E39" s="62"/>
      <c r="F39" s="62"/>
      <c r="G39" s="63"/>
    </row>
    <row r="40" spans="1:7" ht="24" customHeight="1" x14ac:dyDescent="0.55000000000000004">
      <c r="A40" s="89" t="s">
        <v>72</v>
      </c>
      <c r="B40" s="66"/>
      <c r="C40" s="66"/>
      <c r="D40" s="66"/>
      <c r="E40" s="66"/>
      <c r="F40" s="66"/>
      <c r="G40" s="60"/>
    </row>
    <row r="41" spans="1:7" ht="18" customHeight="1" x14ac:dyDescent="0.55000000000000004">
      <c r="A41" s="7" t="s">
        <v>73</v>
      </c>
      <c r="B41" s="7" t="s">
        <v>74</v>
      </c>
      <c r="C41" s="7" t="s">
        <v>75</v>
      </c>
      <c r="D41" s="7" t="s">
        <v>76</v>
      </c>
      <c r="E41" s="7" t="s">
        <v>77</v>
      </c>
      <c r="F41" s="7" t="s">
        <v>78</v>
      </c>
      <c r="G41" s="7" t="s">
        <v>79</v>
      </c>
    </row>
    <row r="42" spans="1:7" ht="26.05" customHeight="1" x14ac:dyDescent="0.55000000000000004">
      <c r="A42" s="8"/>
      <c r="B42" s="9"/>
      <c r="C42" s="10"/>
      <c r="D42" s="11"/>
      <c r="E42" s="12">
        <f t="shared" ref="E42:E49" si="0">IF(C42&gt;0,C42,0)</f>
        <v>0</v>
      </c>
      <c r="F42" s="13"/>
      <c r="G42" s="14"/>
    </row>
    <row r="43" spans="1:7" ht="26.05" customHeight="1" x14ac:dyDescent="0.55000000000000004">
      <c r="A43" s="8"/>
      <c r="B43" s="9"/>
      <c r="C43" s="10"/>
      <c r="D43" s="11"/>
      <c r="E43" s="12">
        <f t="shared" si="0"/>
        <v>0</v>
      </c>
      <c r="F43" s="13"/>
      <c r="G43" s="14"/>
    </row>
    <row r="44" spans="1:7" ht="26.05" customHeight="1" x14ac:dyDescent="0.55000000000000004">
      <c r="A44" s="8"/>
      <c r="B44" s="9"/>
      <c r="C44" s="10"/>
      <c r="D44" s="11"/>
      <c r="E44" s="12">
        <f t="shared" si="0"/>
        <v>0</v>
      </c>
      <c r="F44" s="13"/>
      <c r="G44" s="14"/>
    </row>
    <row r="45" spans="1:7" ht="26.05" customHeight="1" x14ac:dyDescent="0.55000000000000004">
      <c r="A45" s="8"/>
      <c r="B45" s="9"/>
      <c r="C45" s="10"/>
      <c r="D45" s="11"/>
      <c r="E45" s="12">
        <f t="shared" si="0"/>
        <v>0</v>
      </c>
      <c r="F45" s="13"/>
      <c r="G45" s="14"/>
    </row>
    <row r="46" spans="1:7" ht="26.05" customHeight="1" x14ac:dyDescent="0.55000000000000004">
      <c r="A46" s="8"/>
      <c r="B46" s="9"/>
      <c r="C46" s="10"/>
      <c r="D46" s="11"/>
      <c r="E46" s="12">
        <f t="shared" si="0"/>
        <v>0</v>
      </c>
      <c r="F46" s="13"/>
      <c r="G46" s="14"/>
    </row>
    <row r="47" spans="1:7" ht="26.05" customHeight="1" x14ac:dyDescent="0.55000000000000004">
      <c r="A47" s="8"/>
      <c r="B47" s="9"/>
      <c r="C47" s="10"/>
      <c r="D47" s="11"/>
      <c r="E47" s="12">
        <f t="shared" si="0"/>
        <v>0</v>
      </c>
      <c r="F47" s="13"/>
      <c r="G47" s="14"/>
    </row>
    <row r="48" spans="1:7" ht="26.05" customHeight="1" x14ac:dyDescent="0.55000000000000004">
      <c r="A48" s="8"/>
      <c r="B48" s="9"/>
      <c r="C48" s="10"/>
      <c r="D48" s="11"/>
      <c r="E48" s="12">
        <f t="shared" si="0"/>
        <v>0</v>
      </c>
      <c r="F48" s="13"/>
      <c r="G48" s="14"/>
    </row>
    <row r="49" spans="1:7" ht="26.05" customHeight="1" x14ac:dyDescent="0.55000000000000004">
      <c r="A49" s="8"/>
      <c r="B49" s="9"/>
      <c r="C49" s="10"/>
      <c r="D49" s="11"/>
      <c r="E49" s="12">
        <f t="shared" si="0"/>
        <v>0</v>
      </c>
      <c r="F49" s="13"/>
      <c r="G49" s="14"/>
    </row>
    <row r="50" spans="1:7" ht="30" customHeight="1" x14ac:dyDescent="0.55000000000000004">
      <c r="A50" s="97" t="s">
        <v>80</v>
      </c>
      <c r="B50" s="60"/>
      <c r="C50" s="15">
        <f>SUM(C42:C49)</f>
        <v>0</v>
      </c>
      <c r="D50" s="16" t="s">
        <v>81</v>
      </c>
      <c r="E50" s="17">
        <f>SUM(E42:E49)</f>
        <v>0</v>
      </c>
      <c r="F50" s="90" t="s">
        <v>82</v>
      </c>
      <c r="G50" s="60"/>
    </row>
    <row r="51" spans="1:7" ht="5.05" customHeight="1" x14ac:dyDescent="0.55000000000000004">
      <c r="A51" s="1"/>
      <c r="B51" s="1"/>
      <c r="C51" s="1"/>
      <c r="D51" s="1"/>
      <c r="E51" s="1"/>
      <c r="F51" s="1"/>
      <c r="G51" s="1"/>
    </row>
    <row r="52" spans="1:7" ht="24" customHeight="1" x14ac:dyDescent="0.55000000000000004">
      <c r="A52" s="61" t="s">
        <v>83</v>
      </c>
      <c r="B52" s="62"/>
      <c r="C52" s="62"/>
      <c r="D52" s="62"/>
      <c r="E52" s="62"/>
      <c r="F52" s="62"/>
      <c r="G52" s="63"/>
    </row>
    <row r="53" spans="1:7" ht="18" customHeight="1" x14ac:dyDescent="0.55000000000000004">
      <c r="A53" s="2"/>
      <c r="B53" s="2" t="s">
        <v>84</v>
      </c>
      <c r="C53" s="2"/>
      <c r="D53" s="2" t="s">
        <v>85</v>
      </c>
      <c r="E53" s="2"/>
      <c r="F53" s="2" t="s">
        <v>43</v>
      </c>
      <c r="G53" s="2" t="s">
        <v>79</v>
      </c>
    </row>
    <row r="54" spans="1:7" ht="26.05" customHeight="1" x14ac:dyDescent="0.55000000000000004">
      <c r="A54" s="70" t="s">
        <v>86</v>
      </c>
      <c r="B54" s="60"/>
      <c r="C54" s="18">
        <f>C33</f>
        <v>0</v>
      </c>
      <c r="D54" s="68" t="s">
        <v>87</v>
      </c>
      <c r="E54" s="60"/>
      <c r="F54" s="76"/>
      <c r="G54" s="60"/>
    </row>
    <row r="55" spans="1:7" ht="26.05" customHeight="1" x14ac:dyDescent="0.55000000000000004">
      <c r="A55" s="69" t="s">
        <v>88</v>
      </c>
      <c r="B55" s="60"/>
      <c r="C55" s="18">
        <f>C34</f>
        <v>0</v>
      </c>
      <c r="D55" s="67" t="s">
        <v>89</v>
      </c>
      <c r="E55" s="60"/>
      <c r="F55" s="75"/>
      <c r="G55" s="60"/>
    </row>
    <row r="56" spans="1:7" ht="26.05" customHeight="1" x14ac:dyDescent="0.55000000000000004">
      <c r="A56" s="70" t="s">
        <v>90</v>
      </c>
      <c r="B56" s="60"/>
      <c r="C56" s="18">
        <f>C35</f>
        <v>0</v>
      </c>
      <c r="D56" s="68" t="s">
        <v>91</v>
      </c>
      <c r="E56" s="60"/>
      <c r="F56" s="76"/>
      <c r="G56" s="60"/>
    </row>
    <row r="57" spans="1:7" ht="26.05" customHeight="1" x14ac:dyDescent="0.55000000000000004">
      <c r="A57" s="69" t="s">
        <v>92</v>
      </c>
      <c r="B57" s="60"/>
      <c r="C57" s="18">
        <f>C36</f>
        <v>0</v>
      </c>
      <c r="D57" s="67" t="s">
        <v>93</v>
      </c>
      <c r="E57" s="60"/>
      <c r="F57" s="75"/>
      <c r="G57" s="60"/>
    </row>
    <row r="58" spans="1:7" ht="26.05" customHeight="1" x14ac:dyDescent="0.55000000000000004">
      <c r="A58" s="70" t="s">
        <v>94</v>
      </c>
      <c r="B58" s="60"/>
      <c r="C58" s="18">
        <f>C50</f>
        <v>0</v>
      </c>
      <c r="D58" s="68" t="s">
        <v>95</v>
      </c>
      <c r="E58" s="60"/>
      <c r="F58" s="76"/>
      <c r="G58" s="60"/>
    </row>
    <row r="59" spans="1:7" ht="26.05" customHeight="1" x14ac:dyDescent="0.55000000000000004">
      <c r="A59" s="77" t="s">
        <v>96</v>
      </c>
      <c r="B59" s="60"/>
      <c r="C59" s="19" t="s">
        <v>97</v>
      </c>
      <c r="D59" s="94" t="s">
        <v>98</v>
      </c>
      <c r="E59" s="60"/>
      <c r="F59" s="95" t="s">
        <v>99</v>
      </c>
      <c r="G59" s="60"/>
    </row>
    <row r="60" spans="1:7" ht="26.05" customHeight="1" x14ac:dyDescent="0.55000000000000004">
      <c r="A60" s="93" t="s">
        <v>100</v>
      </c>
      <c r="B60" s="60"/>
      <c r="C60" s="20">
        <f>E50</f>
        <v>0</v>
      </c>
      <c r="D60" s="59" t="s">
        <v>101</v>
      </c>
      <c r="E60" s="60"/>
      <c r="F60" s="98" t="s">
        <v>99</v>
      </c>
      <c r="G60" s="60"/>
    </row>
    <row r="61" spans="1:7" ht="26.05" customHeight="1" x14ac:dyDescent="0.55000000000000004">
      <c r="A61" s="81" t="s">
        <v>102</v>
      </c>
      <c r="B61" s="60"/>
      <c r="C61" s="21" t="s">
        <v>103</v>
      </c>
      <c r="D61" s="73" t="s">
        <v>104</v>
      </c>
      <c r="E61" s="60"/>
      <c r="F61" s="84" t="s">
        <v>105</v>
      </c>
      <c r="G61" s="60"/>
    </row>
    <row r="62" spans="1:7" ht="5.05" customHeight="1" x14ac:dyDescent="0.55000000000000004">
      <c r="A62" s="1"/>
      <c r="B62" s="1"/>
      <c r="C62" s="1"/>
      <c r="D62" s="1"/>
      <c r="E62" s="1"/>
      <c r="F62" s="1"/>
      <c r="G62" s="1"/>
    </row>
    <row r="63" spans="1:7" ht="32.049999999999997" customHeight="1" x14ac:dyDescent="0.55000000000000004">
      <c r="A63" s="88" t="s">
        <v>106</v>
      </c>
      <c r="B63" s="66"/>
      <c r="C63" s="66"/>
      <c r="D63" s="60"/>
      <c r="E63" s="22" t="str">
        <f>D60</f>
        <v>→ Beyanname 476 | Kazancın Bulunması Halinde</v>
      </c>
      <c r="F63" s="80" t="s">
        <v>107</v>
      </c>
      <c r="G63" s="60"/>
    </row>
    <row r="64" spans="1:7" ht="32.049999999999997" customHeight="1" x14ac:dyDescent="0.55000000000000004">
      <c r="A64" s="96" t="s">
        <v>108</v>
      </c>
      <c r="B64" s="66"/>
      <c r="C64" s="66"/>
      <c r="D64" s="66"/>
      <c r="E64" s="66"/>
      <c r="F64" s="66"/>
      <c r="G64" s="60"/>
    </row>
  </sheetData>
  <mergeCells count="103">
    <mergeCell ref="A64:G64"/>
    <mergeCell ref="F32:G32"/>
    <mergeCell ref="A18:B18"/>
    <mergeCell ref="F35:G35"/>
    <mergeCell ref="A50:B50"/>
    <mergeCell ref="C19:E19"/>
    <mergeCell ref="D58:E58"/>
    <mergeCell ref="F58:G58"/>
    <mergeCell ref="A20:B20"/>
    <mergeCell ref="F37:G37"/>
    <mergeCell ref="A29:B29"/>
    <mergeCell ref="A27:G27"/>
    <mergeCell ref="F60:G60"/>
    <mergeCell ref="A31:B31"/>
    <mergeCell ref="A58:B58"/>
    <mergeCell ref="A2:G2"/>
    <mergeCell ref="F14:G14"/>
    <mergeCell ref="D54:E54"/>
    <mergeCell ref="A14:D14"/>
    <mergeCell ref="F11:G11"/>
    <mergeCell ref="A24:B24"/>
    <mergeCell ref="A60:B60"/>
    <mergeCell ref="D59:E59"/>
    <mergeCell ref="F59:G59"/>
    <mergeCell ref="F55:G55"/>
    <mergeCell ref="F12:G12"/>
    <mergeCell ref="F24:G24"/>
    <mergeCell ref="D57:E57"/>
    <mergeCell ref="D32:E32"/>
    <mergeCell ref="A9:D9"/>
    <mergeCell ref="F30:G30"/>
    <mergeCell ref="F20:G20"/>
    <mergeCell ref="F18:G18"/>
    <mergeCell ref="F33:G33"/>
    <mergeCell ref="A37:B37"/>
    <mergeCell ref="A11:D11"/>
    <mergeCell ref="A1:G1"/>
    <mergeCell ref="D37:E37"/>
    <mergeCell ref="F31:G31"/>
    <mergeCell ref="F9:G9"/>
    <mergeCell ref="C24:E24"/>
    <mergeCell ref="A3:G3"/>
    <mergeCell ref="D29:E29"/>
    <mergeCell ref="A34:B34"/>
    <mergeCell ref="A8:D8"/>
    <mergeCell ref="A4:G4"/>
    <mergeCell ref="A36:B36"/>
    <mergeCell ref="A10:D10"/>
    <mergeCell ref="F21:G21"/>
    <mergeCell ref="F36:G36"/>
    <mergeCell ref="F8:G8"/>
    <mergeCell ref="A21:B21"/>
    <mergeCell ref="A6:G6"/>
    <mergeCell ref="F10:G10"/>
    <mergeCell ref="F54:G54"/>
    <mergeCell ref="D34:E34"/>
    <mergeCell ref="F19:G19"/>
    <mergeCell ref="C22:E22"/>
    <mergeCell ref="F34:G34"/>
    <mergeCell ref="F63:G63"/>
    <mergeCell ref="A52:G52"/>
    <mergeCell ref="A61:B61"/>
    <mergeCell ref="F61:G61"/>
    <mergeCell ref="A63:D63"/>
    <mergeCell ref="A40:G40"/>
    <mergeCell ref="F50:G50"/>
    <mergeCell ref="A55:B55"/>
    <mergeCell ref="A57:B57"/>
    <mergeCell ref="A32:B32"/>
    <mergeCell ref="F22:G22"/>
    <mergeCell ref="A23:B23"/>
    <mergeCell ref="D55:E55"/>
    <mergeCell ref="D30:E30"/>
    <mergeCell ref="A12:D12"/>
    <mergeCell ref="D61:E61"/>
    <mergeCell ref="A56:B56"/>
    <mergeCell ref="A33:B33"/>
    <mergeCell ref="F23:G23"/>
    <mergeCell ref="C18:E18"/>
    <mergeCell ref="F13:G13"/>
    <mergeCell ref="D56:E56"/>
    <mergeCell ref="F56:G56"/>
    <mergeCell ref="A22:B22"/>
    <mergeCell ref="A35:B35"/>
    <mergeCell ref="D33:E33"/>
    <mergeCell ref="A19:B19"/>
    <mergeCell ref="C20:E20"/>
    <mergeCell ref="F57:G57"/>
    <mergeCell ref="D35:E35"/>
    <mergeCell ref="A30:B30"/>
    <mergeCell ref="A59:B59"/>
    <mergeCell ref="D60:E60"/>
    <mergeCell ref="A17:G17"/>
    <mergeCell ref="F29:G29"/>
    <mergeCell ref="C21:E21"/>
    <mergeCell ref="D31:E31"/>
    <mergeCell ref="D36:E36"/>
    <mergeCell ref="A13:D13"/>
    <mergeCell ref="A54:B54"/>
    <mergeCell ref="F15:G15"/>
    <mergeCell ref="C23:E23"/>
    <mergeCell ref="A39:G39"/>
    <mergeCell ref="A15:D15"/>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10">
    <dataValidation type="list" sqref="E8" xr:uid="{00000000-0002-0000-0000-000000000000}">
      <formula1>"EVET,HAYIR-Bağış/Transfer/Başkası"</formula1>
    </dataValidation>
    <dataValidation type="list" sqref="E9" xr:uid="{00000000-0002-0000-0000-000001000000}">
      <formula1>"EVET,HAYIR-Kapsam Dışı Alan"</formula1>
    </dataValidation>
    <dataValidation type="list" sqref="E10" xr:uid="{00000000-0002-0000-0000-000002000000}">
      <formula1>"EVET,HAYIR-Proje/Protokol Eksik"</formula1>
    </dataValidation>
    <dataValidation type="list" sqref="E11" xr:uid="{00000000-0002-0000-0000-000003000000}">
      <formula1>"EVET,HAYIR-Henüz Yapılmadı"</formula1>
    </dataValidation>
    <dataValidation type="list" sqref="E12" xr:uid="{00000000-0002-0000-0000-000004000000}">
      <formula1>"EVET,HAYIR-Aktifleştirildi"</formula1>
    </dataValidation>
    <dataValidation type="list" sqref="E13" xr:uid="{00000000-0002-0000-0000-000005000000}">
      <formula1>"EVET,HAYIR-Eksik"</formula1>
    </dataValidation>
    <dataValidation type="list" sqref="E14" xr:uid="{00000000-0002-0000-0000-000006000000}">
      <formula1>"EVET,Tam Tasdik"</formula1>
    </dataValidation>
    <dataValidation type="list" sqref="C29" xr:uid="{00000000-0002-0000-0000-000007000000}">
      <formula1>"4122 s.K. Kapsamında Devlet Ormanı,4122 s.K. Kapsamında Özel Orman,4122 s.K. Kapsamında Orman Köylüsü Ormanı,Diğer 4122 s.K. Kapsamı Alan"</formula1>
    </dataValidation>
    <dataValidation type="list" sqref="C30" xr:uid="{00000000-0002-0000-0000-000008000000}">
      <formula1>"Ağaçlandırma Masrafı (Fidan/Tohum/Dikim),Bakım Masrafı (Sulama/Gübreleme/Budama),Koruma Masrafı (Yangın/Zararlı/İzleme),Toprak Hazırlama ve Teraslama Masrafı,Tesis ve İnşaat Masrafı (Yol/Tesis),Karma Masraf (Birden Fazla Tür)"</formula1>
    </dataValidation>
    <dataValidation type="list" sqref="D42:D49" xr:uid="{00000000-0002-0000-0000-000009000000}">
      <formula1>"Fatura,Makbuz/Fiş,Bordro,Sözleşme+Hakediş,Diğer"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07" t="s">
        <v>109</v>
      </c>
      <c r="B1" s="62"/>
      <c r="C1" s="62"/>
      <c r="D1" s="62"/>
      <c r="E1" s="62"/>
      <c r="F1" s="62"/>
      <c r="G1" s="63"/>
    </row>
    <row r="2" spans="1:7" ht="20.05" customHeight="1" x14ac:dyDescent="0.55000000000000004">
      <c r="A2" s="111" t="s">
        <v>110</v>
      </c>
      <c r="B2" s="66"/>
      <c r="C2" s="66"/>
      <c r="D2" s="66"/>
      <c r="E2" s="66"/>
      <c r="F2" s="66"/>
      <c r="G2" s="60"/>
    </row>
    <row r="3" spans="1:7" ht="5.05" customHeight="1" x14ac:dyDescent="0.55000000000000004">
      <c r="A3" s="1"/>
      <c r="B3" s="1"/>
      <c r="C3" s="1"/>
      <c r="D3" s="1"/>
      <c r="E3" s="1"/>
      <c r="F3" s="1"/>
      <c r="G3" s="1"/>
    </row>
    <row r="4" spans="1:7" ht="22" customHeight="1" x14ac:dyDescent="0.55000000000000004">
      <c r="A4" s="103" t="s">
        <v>111</v>
      </c>
      <c r="B4" s="62"/>
      <c r="C4" s="62"/>
      <c r="D4" s="62"/>
      <c r="E4" s="62"/>
      <c r="F4" s="62"/>
      <c r="G4" s="63"/>
    </row>
    <row r="5" spans="1:7" ht="22" customHeight="1" x14ac:dyDescent="0.55000000000000004">
      <c r="A5" s="106" t="s">
        <v>112</v>
      </c>
      <c r="B5" s="66"/>
      <c r="C5" s="60"/>
      <c r="D5" s="23" t="str">
        <f>'VERİ GİRİŞİ'!E15</f>
        <v>OK - Hesaplanabilir</v>
      </c>
      <c r="E5" s="75" t="s">
        <v>113</v>
      </c>
      <c r="F5" s="66"/>
      <c r="G5" s="60"/>
    </row>
    <row r="6" spans="1:7" ht="22" customHeight="1" x14ac:dyDescent="0.55000000000000004">
      <c r="A6" s="109" t="s">
        <v>114</v>
      </c>
      <c r="B6" s="66"/>
      <c r="C6" s="60"/>
      <c r="D6" s="23" t="str">
        <f>'VERİ GİRİŞİ'!E10</f>
        <v>EVET</v>
      </c>
      <c r="E6" s="76" t="s">
        <v>115</v>
      </c>
      <c r="F6" s="66"/>
      <c r="G6" s="60"/>
    </row>
    <row r="7" spans="1:7" ht="22" customHeight="1" x14ac:dyDescent="0.55000000000000004">
      <c r="A7" s="106" t="s">
        <v>116</v>
      </c>
      <c r="B7" s="66"/>
      <c r="C7" s="60"/>
      <c r="D7" s="23">
        <f>'VERİ GİRİŞİ'!C58</f>
        <v>0</v>
      </c>
      <c r="E7" s="75" t="s">
        <v>117</v>
      </c>
      <c r="F7" s="66"/>
      <c r="G7" s="60"/>
    </row>
    <row r="8" spans="1:7" ht="22" customHeight="1" x14ac:dyDescent="0.55000000000000004">
      <c r="A8" s="72" t="s">
        <v>118</v>
      </c>
      <c r="B8" s="66"/>
      <c r="C8" s="60"/>
      <c r="D8" s="24">
        <f>'VERİ GİRİŞİ'!C60</f>
        <v>0</v>
      </c>
      <c r="E8" s="98"/>
      <c r="F8" s="66"/>
      <c r="G8" s="60"/>
    </row>
    <row r="9" spans="1:7" ht="22" customHeight="1" x14ac:dyDescent="0.55000000000000004">
      <c r="A9" s="108" t="s">
        <v>119</v>
      </c>
      <c r="B9" s="66"/>
      <c r="C9" s="60"/>
      <c r="D9" s="21" t="s">
        <v>120</v>
      </c>
      <c r="E9" s="84" t="s">
        <v>121</v>
      </c>
      <c r="F9" s="66"/>
      <c r="G9" s="60"/>
    </row>
    <row r="10" spans="1:7" ht="5.05" customHeight="1" x14ac:dyDescent="0.55000000000000004">
      <c r="A10" s="1"/>
      <c r="B10" s="1"/>
      <c r="C10" s="1"/>
      <c r="D10" s="1"/>
      <c r="E10" s="1"/>
      <c r="F10" s="1"/>
      <c r="G10" s="1"/>
    </row>
    <row r="11" spans="1:7" ht="22" customHeight="1" x14ac:dyDescent="0.55000000000000004">
      <c r="A11" s="61" t="s">
        <v>122</v>
      </c>
      <c r="B11" s="62"/>
      <c r="C11" s="62"/>
      <c r="D11" s="62"/>
      <c r="E11" s="62"/>
      <c r="F11" s="62"/>
      <c r="G11" s="63"/>
    </row>
    <row r="12" spans="1:7" ht="88" customHeight="1" x14ac:dyDescent="0.55000000000000004">
      <c r="A12" s="110" t="s">
        <v>123</v>
      </c>
      <c r="B12" s="66"/>
      <c r="C12" s="66"/>
      <c r="D12" s="66"/>
      <c r="E12" s="66"/>
      <c r="F12" s="66"/>
      <c r="G12" s="60"/>
    </row>
    <row r="13" spans="1:7" ht="5.05" customHeight="1" x14ac:dyDescent="0.55000000000000004">
      <c r="A13" s="1"/>
      <c r="B13" s="1"/>
      <c r="C13" s="1"/>
      <c r="D13" s="1"/>
      <c r="E13" s="1"/>
      <c r="F13" s="1"/>
      <c r="G13" s="1"/>
    </row>
    <row r="14" spans="1:7" ht="22" customHeight="1" x14ac:dyDescent="0.55000000000000004">
      <c r="A14" s="61" t="s">
        <v>124</v>
      </c>
      <c r="B14" s="62"/>
      <c r="C14" s="62"/>
      <c r="D14" s="62"/>
      <c r="E14" s="62"/>
      <c r="F14" s="62"/>
      <c r="G14" s="63"/>
    </row>
    <row r="15" spans="1:7" ht="18" customHeight="1" x14ac:dyDescent="0.55000000000000004">
      <c r="A15" s="2"/>
      <c r="B15" s="2" t="s">
        <v>125</v>
      </c>
      <c r="C15" s="2"/>
      <c r="D15" s="2" t="s">
        <v>43</v>
      </c>
      <c r="E15" s="2"/>
      <c r="F15" s="2" t="s">
        <v>126</v>
      </c>
      <c r="G15" s="2"/>
    </row>
    <row r="16" spans="1:7" ht="20.05" customHeight="1" x14ac:dyDescent="0.55000000000000004">
      <c r="A16" s="16" t="s">
        <v>127</v>
      </c>
      <c r="B16" s="100" t="s">
        <v>128</v>
      </c>
      <c r="C16" s="60"/>
      <c r="D16" s="102" t="s">
        <v>129</v>
      </c>
      <c r="E16" s="60"/>
      <c r="F16" s="13" t="s">
        <v>130</v>
      </c>
      <c r="G16" s="27"/>
    </row>
    <row r="17" spans="1:7" ht="20.05" customHeight="1" x14ac:dyDescent="0.55000000000000004">
      <c r="A17" s="16" t="s">
        <v>131</v>
      </c>
      <c r="B17" s="100" t="s">
        <v>132</v>
      </c>
      <c r="C17" s="60"/>
      <c r="D17" s="102" t="s">
        <v>133</v>
      </c>
      <c r="E17" s="60"/>
      <c r="F17" s="13" t="s">
        <v>130</v>
      </c>
      <c r="G17" s="28"/>
    </row>
    <row r="18" spans="1:7" ht="20.05" customHeight="1" x14ac:dyDescent="0.55000000000000004">
      <c r="A18" s="16" t="s">
        <v>134</v>
      </c>
      <c r="B18" s="100" t="s">
        <v>135</v>
      </c>
      <c r="C18" s="60"/>
      <c r="D18" s="102" t="s">
        <v>136</v>
      </c>
      <c r="E18" s="60"/>
      <c r="F18" s="13" t="s">
        <v>130</v>
      </c>
      <c r="G18" s="27"/>
    </row>
    <row r="19" spans="1:7" ht="20.05" customHeight="1" x14ac:dyDescent="0.55000000000000004">
      <c r="A19" s="16" t="s">
        <v>137</v>
      </c>
      <c r="B19" s="100" t="s">
        <v>138</v>
      </c>
      <c r="C19" s="60"/>
      <c r="D19" s="102" t="s">
        <v>139</v>
      </c>
      <c r="E19" s="60"/>
      <c r="F19" s="13" t="s">
        <v>130</v>
      </c>
      <c r="G19" s="28"/>
    </row>
    <row r="20" spans="1:7" ht="20.05" customHeight="1" x14ac:dyDescent="0.55000000000000004">
      <c r="A20" s="16" t="s">
        <v>140</v>
      </c>
      <c r="B20" s="104" t="s">
        <v>141</v>
      </c>
      <c r="C20" s="60"/>
      <c r="D20" s="99" t="s">
        <v>142</v>
      </c>
      <c r="E20" s="60"/>
      <c r="F20" s="13" t="s">
        <v>130</v>
      </c>
      <c r="G20" s="27"/>
    </row>
    <row r="21" spans="1:7" ht="20.05" customHeight="1" x14ac:dyDescent="0.55000000000000004">
      <c r="A21" s="16" t="s">
        <v>143</v>
      </c>
      <c r="B21" s="101" t="s">
        <v>144</v>
      </c>
      <c r="C21" s="60"/>
      <c r="D21" s="105" t="s">
        <v>145</v>
      </c>
      <c r="E21" s="60"/>
      <c r="F21" s="13" t="s">
        <v>130</v>
      </c>
      <c r="G21" s="28"/>
    </row>
    <row r="22" spans="1:7" ht="20.05" customHeight="1" x14ac:dyDescent="0.55000000000000004">
      <c r="A22" s="16" t="s">
        <v>146</v>
      </c>
      <c r="B22" s="104" t="s">
        <v>147</v>
      </c>
      <c r="C22" s="60"/>
      <c r="D22" s="99" t="s">
        <v>148</v>
      </c>
      <c r="E22" s="60"/>
      <c r="F22" s="13" t="s">
        <v>130</v>
      </c>
      <c r="G22" s="27"/>
    </row>
    <row r="23" spans="1:7" ht="20.05" customHeight="1" x14ac:dyDescent="0.55000000000000004">
      <c r="A23" s="16" t="s">
        <v>149</v>
      </c>
      <c r="B23" s="100" t="s">
        <v>150</v>
      </c>
      <c r="C23" s="60"/>
      <c r="D23" s="102" t="s">
        <v>151</v>
      </c>
      <c r="E23" s="60"/>
      <c r="F23" s="13" t="s">
        <v>130</v>
      </c>
      <c r="G23" s="28"/>
    </row>
    <row r="24" spans="1:7" ht="20.05" customHeight="1" x14ac:dyDescent="0.55000000000000004">
      <c r="A24" s="16" t="s">
        <v>152</v>
      </c>
      <c r="B24" s="104" t="s">
        <v>153</v>
      </c>
      <c r="C24" s="60"/>
      <c r="D24" s="99" t="s">
        <v>154</v>
      </c>
      <c r="E24" s="60"/>
      <c r="F24" s="13" t="s">
        <v>130</v>
      </c>
      <c r="G24" s="27"/>
    </row>
    <row r="25" spans="1:7" ht="20.05" customHeight="1" x14ac:dyDescent="0.55000000000000004">
      <c r="A25" s="16" t="s">
        <v>155</v>
      </c>
      <c r="B25" s="101" t="s">
        <v>156</v>
      </c>
      <c r="C25" s="60"/>
      <c r="D25" s="105" t="s">
        <v>157</v>
      </c>
      <c r="E25" s="60"/>
      <c r="F25" s="13" t="s">
        <v>130</v>
      </c>
      <c r="G25" s="28"/>
    </row>
    <row r="26" spans="1:7" ht="20.05" customHeight="1" x14ac:dyDescent="0.55000000000000004">
      <c r="A26" s="16" t="s">
        <v>158</v>
      </c>
      <c r="B26" s="104" t="s">
        <v>159</v>
      </c>
      <c r="C26" s="60"/>
      <c r="D26" s="99" t="s">
        <v>160</v>
      </c>
      <c r="E26" s="60"/>
      <c r="F26" s="13" t="s">
        <v>130</v>
      </c>
      <c r="G26" s="27"/>
    </row>
    <row r="27" spans="1:7" ht="20.05" customHeight="1" x14ac:dyDescent="0.55000000000000004">
      <c r="A27" s="16" t="s">
        <v>161</v>
      </c>
      <c r="B27" s="101" t="s">
        <v>162</v>
      </c>
      <c r="C27" s="60"/>
      <c r="D27" s="105" t="s">
        <v>22</v>
      </c>
      <c r="E27" s="60"/>
      <c r="F27" s="13" t="s">
        <v>130</v>
      </c>
      <c r="G27" s="28"/>
    </row>
  </sheetData>
  <mergeCells count="40">
    <mergeCell ref="A1:G1"/>
    <mergeCell ref="B19:C19"/>
    <mergeCell ref="A9:C9"/>
    <mergeCell ref="D18:E18"/>
    <mergeCell ref="D25:E25"/>
    <mergeCell ref="B24:C24"/>
    <mergeCell ref="D24:E24"/>
    <mergeCell ref="E5:G5"/>
    <mergeCell ref="B20:C20"/>
    <mergeCell ref="A6:C6"/>
    <mergeCell ref="E8:G8"/>
    <mergeCell ref="A12:G12"/>
    <mergeCell ref="D23:E23"/>
    <mergeCell ref="A2:G2"/>
    <mergeCell ref="A7:C7"/>
    <mergeCell ref="B27:C27"/>
    <mergeCell ref="E6:G6"/>
    <mergeCell ref="D21:E21"/>
    <mergeCell ref="B21:C21"/>
    <mergeCell ref="A5:C5"/>
    <mergeCell ref="A8:C8"/>
    <mergeCell ref="D27:E27"/>
    <mergeCell ref="B23:C23"/>
    <mergeCell ref="B17:C17"/>
    <mergeCell ref="D17:E17"/>
    <mergeCell ref="A11:G11"/>
    <mergeCell ref="E7:G7"/>
    <mergeCell ref="D16:E16"/>
    <mergeCell ref="B26:C26"/>
    <mergeCell ref="D26:E26"/>
    <mergeCell ref="A4:G4"/>
    <mergeCell ref="B22:C22"/>
    <mergeCell ref="E9:G9"/>
    <mergeCell ref="D22:E22"/>
    <mergeCell ref="B18:C18"/>
    <mergeCell ref="D20:E20"/>
    <mergeCell ref="A14:G14"/>
    <mergeCell ref="B16:C16"/>
    <mergeCell ref="B25:C25"/>
    <mergeCell ref="D19:E19"/>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61" t="s">
        <v>163</v>
      </c>
      <c r="B1" s="62"/>
      <c r="C1" s="62"/>
      <c r="D1" s="62"/>
      <c r="E1" s="62"/>
      <c r="F1" s="62"/>
      <c r="G1" s="63"/>
    </row>
    <row r="2" spans="1:7" ht="44.05" customHeight="1" x14ac:dyDescent="0.55000000000000004">
      <c r="A2" s="116" t="s">
        <v>164</v>
      </c>
      <c r="B2" s="66"/>
      <c r="C2" s="66"/>
      <c r="D2" s="66"/>
      <c r="E2" s="66"/>
      <c r="F2" s="66"/>
      <c r="G2" s="60"/>
    </row>
    <row r="3" spans="1:7" ht="22" customHeight="1" x14ac:dyDescent="0.55000000000000004">
      <c r="A3" s="113" t="s">
        <v>165</v>
      </c>
      <c r="B3" s="66"/>
      <c r="C3" s="66"/>
      <c r="D3" s="66"/>
      <c r="E3" s="66"/>
      <c r="F3" s="66"/>
      <c r="G3" s="60"/>
    </row>
    <row r="4" spans="1:7" ht="18" customHeight="1" x14ac:dyDescent="0.55000000000000004">
      <c r="A4" s="31"/>
      <c r="B4" s="31" t="s">
        <v>166</v>
      </c>
      <c r="C4" s="31" t="s">
        <v>167</v>
      </c>
      <c r="D4" s="31" t="s">
        <v>79</v>
      </c>
      <c r="E4" s="31" t="s">
        <v>168</v>
      </c>
      <c r="F4" s="31" t="s">
        <v>169</v>
      </c>
      <c r="G4" s="31" t="s">
        <v>170</v>
      </c>
    </row>
    <row r="5" spans="1:7" ht="24" customHeight="1" x14ac:dyDescent="0.55000000000000004">
      <c r="A5" s="32" t="s">
        <v>168</v>
      </c>
      <c r="B5" s="32" t="s">
        <v>171</v>
      </c>
      <c r="C5" s="32" t="s">
        <v>172</v>
      </c>
      <c r="D5" s="32" t="s">
        <v>173</v>
      </c>
      <c r="E5" s="32" t="s">
        <v>174</v>
      </c>
      <c r="F5" s="32" t="s">
        <v>81</v>
      </c>
      <c r="G5" s="32" t="s">
        <v>52</v>
      </c>
    </row>
    <row r="6" spans="1:7" ht="22" customHeight="1" x14ac:dyDescent="0.55000000000000004">
      <c r="A6" s="114" t="s">
        <v>175</v>
      </c>
      <c r="B6" s="66"/>
      <c r="C6" s="66"/>
      <c r="D6" s="66"/>
      <c r="E6" s="66"/>
      <c r="F6" s="66"/>
      <c r="G6" s="60"/>
    </row>
    <row r="7" spans="1:7" ht="18" customHeight="1" x14ac:dyDescent="0.55000000000000004">
      <c r="A7" s="31"/>
      <c r="B7" s="31" t="s">
        <v>166</v>
      </c>
      <c r="C7" s="31" t="s">
        <v>167</v>
      </c>
      <c r="D7" s="31" t="s">
        <v>79</v>
      </c>
      <c r="E7" s="31" t="s">
        <v>168</v>
      </c>
      <c r="F7" s="31" t="s">
        <v>169</v>
      </c>
      <c r="G7" s="31" t="s">
        <v>170</v>
      </c>
    </row>
    <row r="8" spans="1:7" ht="24" customHeight="1" x14ac:dyDescent="0.55000000000000004">
      <c r="A8" s="32" t="s">
        <v>168</v>
      </c>
      <c r="B8" s="32" t="s">
        <v>176</v>
      </c>
      <c r="C8" s="32" t="s">
        <v>177</v>
      </c>
      <c r="D8" s="32" t="s">
        <v>178</v>
      </c>
      <c r="E8" s="32" t="s">
        <v>174</v>
      </c>
      <c r="F8" s="32" t="s">
        <v>81</v>
      </c>
      <c r="G8" s="32" t="s">
        <v>52</v>
      </c>
    </row>
    <row r="9" spans="1:7" ht="22" customHeight="1" x14ac:dyDescent="0.55000000000000004">
      <c r="A9" s="112" t="s">
        <v>179</v>
      </c>
      <c r="B9" s="66"/>
      <c r="C9" s="66"/>
      <c r="D9" s="66"/>
      <c r="E9" s="66"/>
      <c r="F9" s="66"/>
      <c r="G9" s="60"/>
    </row>
    <row r="10" spans="1:7" ht="18" customHeight="1" x14ac:dyDescent="0.55000000000000004">
      <c r="A10" s="31"/>
      <c r="B10" s="31" t="s">
        <v>166</v>
      </c>
      <c r="C10" s="31" t="s">
        <v>167</v>
      </c>
      <c r="D10" s="31" t="s">
        <v>79</v>
      </c>
      <c r="E10" s="31" t="s">
        <v>168</v>
      </c>
      <c r="F10" s="31" t="s">
        <v>169</v>
      </c>
      <c r="G10" s="31" t="s">
        <v>170</v>
      </c>
    </row>
    <row r="11" spans="1:7" ht="24" customHeight="1" x14ac:dyDescent="0.55000000000000004">
      <c r="A11" s="32" t="s">
        <v>81</v>
      </c>
      <c r="B11" s="32" t="s">
        <v>180</v>
      </c>
      <c r="C11" s="32" t="s">
        <v>181</v>
      </c>
      <c r="D11" s="32" t="s">
        <v>182</v>
      </c>
      <c r="E11" s="32" t="s">
        <v>183</v>
      </c>
      <c r="F11" s="32"/>
      <c r="G11" s="32" t="s">
        <v>184</v>
      </c>
    </row>
    <row r="12" spans="1:7" ht="40" customHeight="1" x14ac:dyDescent="0.55000000000000004">
      <c r="A12" s="115" t="s">
        <v>185</v>
      </c>
      <c r="B12" s="66"/>
      <c r="C12" s="66"/>
      <c r="D12" s="66"/>
      <c r="E12" s="66"/>
      <c r="F12" s="66"/>
      <c r="G12" s="60"/>
    </row>
  </sheetData>
  <mergeCells count="6">
    <mergeCell ref="A1:G1"/>
    <mergeCell ref="A9:G9"/>
    <mergeCell ref="A3:G3"/>
    <mergeCell ref="A6:G6"/>
    <mergeCell ref="A12:G12"/>
    <mergeCell ref="A2:G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61" t="s">
        <v>186</v>
      </c>
      <c r="B1" s="62"/>
      <c r="C1" s="62"/>
      <c r="D1" s="62"/>
      <c r="E1" s="62"/>
      <c r="F1" s="62"/>
      <c r="G1" s="63"/>
    </row>
    <row r="2" spans="1:7" ht="20.05" customHeight="1" x14ac:dyDescent="0.55000000000000004">
      <c r="A2" s="92" t="s">
        <v>187</v>
      </c>
      <c r="B2" s="62"/>
      <c r="C2" s="62"/>
      <c r="D2" s="62"/>
      <c r="E2" s="62"/>
      <c r="F2" s="62"/>
      <c r="G2" s="63"/>
    </row>
    <row r="3" spans="1:7" ht="18" customHeight="1" x14ac:dyDescent="0.55000000000000004">
      <c r="A3" s="31" t="s">
        <v>188</v>
      </c>
      <c r="B3" s="31" t="s">
        <v>189</v>
      </c>
      <c r="C3" s="31" t="s">
        <v>190</v>
      </c>
      <c r="D3" s="31" t="s">
        <v>191</v>
      </c>
    </row>
    <row r="4" spans="1:7" ht="72" customHeight="1" x14ac:dyDescent="0.55000000000000004">
      <c r="A4" s="16" t="s">
        <v>192</v>
      </c>
      <c r="B4" s="29" t="s">
        <v>193</v>
      </c>
      <c r="C4" s="33" t="s">
        <v>194</v>
      </c>
      <c r="D4" s="34" t="s">
        <v>195</v>
      </c>
    </row>
    <row r="5" spans="1:7" ht="56.05" customHeight="1" x14ac:dyDescent="0.55000000000000004">
      <c r="A5" s="35" t="s">
        <v>196</v>
      </c>
      <c r="B5" s="25" t="s">
        <v>197</v>
      </c>
      <c r="C5" s="26" t="s">
        <v>198</v>
      </c>
      <c r="D5" s="36" t="s">
        <v>199</v>
      </c>
    </row>
    <row r="6" spans="1:7" ht="52" customHeight="1" x14ac:dyDescent="0.55000000000000004">
      <c r="A6" s="16" t="s">
        <v>200</v>
      </c>
      <c r="B6" s="29" t="s">
        <v>201</v>
      </c>
      <c r="C6" s="33" t="s">
        <v>202</v>
      </c>
      <c r="D6" s="34" t="s">
        <v>203</v>
      </c>
    </row>
    <row r="7" spans="1:7" ht="52" customHeight="1" x14ac:dyDescent="0.55000000000000004">
      <c r="A7" s="16" t="s">
        <v>204</v>
      </c>
      <c r="B7" s="29" t="s">
        <v>205</v>
      </c>
      <c r="C7" s="33" t="s">
        <v>206</v>
      </c>
      <c r="D7" s="34" t="s">
        <v>207</v>
      </c>
    </row>
    <row r="8" spans="1:7" ht="68.05" customHeight="1" x14ac:dyDescent="0.55000000000000004">
      <c r="A8" s="16" t="s">
        <v>208</v>
      </c>
      <c r="B8" s="30" t="s">
        <v>209</v>
      </c>
      <c r="C8" s="33" t="s">
        <v>210</v>
      </c>
      <c r="D8" s="37" t="s">
        <v>211</v>
      </c>
    </row>
    <row r="9" spans="1:7" ht="36" customHeight="1" x14ac:dyDescent="0.55000000000000004">
      <c r="A9" s="117" t="s">
        <v>212</v>
      </c>
      <c r="B9" s="66"/>
      <c r="C9" s="66"/>
      <c r="D9" s="60"/>
      <c r="E9" s="38"/>
      <c r="F9" s="38"/>
      <c r="G9" s="38"/>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61" t="s">
        <v>213</v>
      </c>
      <c r="B1" s="62"/>
      <c r="C1" s="62"/>
      <c r="D1" s="62"/>
      <c r="E1" s="62"/>
      <c r="F1" s="62"/>
      <c r="G1" s="63"/>
    </row>
    <row r="2" spans="1:7" ht="20.05" customHeight="1" x14ac:dyDescent="0.55000000000000004">
      <c r="A2" s="92" t="s">
        <v>214</v>
      </c>
      <c r="B2" s="62"/>
      <c r="C2" s="62"/>
      <c r="D2" s="62"/>
      <c r="E2" s="62"/>
      <c r="F2" s="62"/>
      <c r="G2" s="63"/>
    </row>
    <row r="3" spans="1:7" ht="5.05" customHeight="1" x14ac:dyDescent="0.55000000000000004">
      <c r="A3" s="1"/>
      <c r="B3" s="1"/>
      <c r="C3" s="1"/>
      <c r="D3" s="1"/>
      <c r="E3" s="1"/>
      <c r="F3" s="1"/>
      <c r="G3" s="1"/>
    </row>
    <row r="4" spans="1:7" ht="22" customHeight="1" x14ac:dyDescent="0.55000000000000004">
      <c r="A4" s="119" t="s">
        <v>215</v>
      </c>
      <c r="B4" s="62"/>
      <c r="C4" s="62"/>
      <c r="D4" s="62"/>
      <c r="E4" s="62"/>
      <c r="F4" s="62"/>
      <c r="G4" s="63"/>
    </row>
    <row r="5" spans="1:7" ht="18" customHeight="1" x14ac:dyDescent="0.55000000000000004">
      <c r="A5" s="31"/>
      <c r="B5" s="31" t="s">
        <v>216</v>
      </c>
      <c r="C5" s="31" t="s">
        <v>217</v>
      </c>
      <c r="D5" s="31" t="s">
        <v>43</v>
      </c>
      <c r="E5" s="31" t="s">
        <v>218</v>
      </c>
      <c r="F5" s="31"/>
    </row>
    <row r="6" spans="1:7" ht="36" customHeight="1" x14ac:dyDescent="0.55000000000000004">
      <c r="A6" s="39"/>
      <c r="B6" s="40" t="s">
        <v>219</v>
      </c>
      <c r="C6" s="41" t="s">
        <v>220</v>
      </c>
      <c r="D6" s="42" t="s">
        <v>221</v>
      </c>
      <c r="E6" s="43" t="s">
        <v>222</v>
      </c>
      <c r="F6" s="39"/>
    </row>
    <row r="7" spans="1:7" ht="36" customHeight="1" x14ac:dyDescent="0.55000000000000004">
      <c r="A7" s="28"/>
      <c r="B7" s="44" t="s">
        <v>223</v>
      </c>
      <c r="C7" s="45" t="s">
        <v>224</v>
      </c>
      <c r="D7" s="42" t="s">
        <v>225</v>
      </c>
      <c r="E7" s="46" t="s">
        <v>226</v>
      </c>
      <c r="F7" s="28"/>
    </row>
    <row r="8" spans="1:7" ht="36" customHeight="1" x14ac:dyDescent="0.55000000000000004">
      <c r="A8" s="39"/>
      <c r="B8" s="40" t="s">
        <v>227</v>
      </c>
      <c r="C8" s="47" t="s">
        <v>228</v>
      </c>
      <c r="D8" s="42" t="s">
        <v>229</v>
      </c>
      <c r="E8" s="43" t="s">
        <v>230</v>
      </c>
      <c r="F8" s="39"/>
    </row>
    <row r="9" spans="1:7" ht="36" customHeight="1" x14ac:dyDescent="0.55000000000000004">
      <c r="A9" s="28"/>
      <c r="B9" s="44" t="s">
        <v>231</v>
      </c>
      <c r="C9" s="30" t="s">
        <v>232</v>
      </c>
      <c r="D9" s="42" t="s">
        <v>233</v>
      </c>
      <c r="E9" s="46" t="s">
        <v>234</v>
      </c>
      <c r="F9" s="28"/>
    </row>
    <row r="10" spans="1:7" ht="36" customHeight="1" x14ac:dyDescent="0.55000000000000004">
      <c r="A10" s="39"/>
      <c r="B10" s="40" t="s">
        <v>235</v>
      </c>
      <c r="C10" s="47" t="s">
        <v>236</v>
      </c>
      <c r="D10" s="42" t="s">
        <v>237</v>
      </c>
      <c r="E10" s="43" t="s">
        <v>238</v>
      </c>
      <c r="F10" s="39"/>
    </row>
    <row r="11" spans="1:7" ht="36" customHeight="1" x14ac:dyDescent="0.55000000000000004">
      <c r="A11" s="28"/>
      <c r="B11" s="44" t="s">
        <v>239</v>
      </c>
      <c r="C11" s="30" t="s">
        <v>240</v>
      </c>
      <c r="D11" s="42" t="s">
        <v>241</v>
      </c>
      <c r="E11" s="46" t="s">
        <v>242</v>
      </c>
      <c r="F11" s="28"/>
    </row>
    <row r="12" spans="1:7" ht="5.05" customHeight="1" x14ac:dyDescent="0.55000000000000004">
      <c r="A12" s="1"/>
      <c r="B12" s="1"/>
      <c r="C12" s="1"/>
      <c r="D12" s="1"/>
      <c r="E12" s="1"/>
      <c r="F12" s="1"/>
      <c r="G12" s="1"/>
    </row>
    <row r="13" spans="1:7" ht="22" customHeight="1" x14ac:dyDescent="0.55000000000000004">
      <c r="A13" s="118" t="s">
        <v>243</v>
      </c>
      <c r="B13" s="62"/>
      <c r="C13" s="62"/>
      <c r="D13" s="62"/>
      <c r="E13" s="62"/>
      <c r="F13" s="62"/>
      <c r="G13" s="63"/>
    </row>
    <row r="14" spans="1:7" ht="18" customHeight="1" x14ac:dyDescent="0.55000000000000004">
      <c r="A14" s="48"/>
      <c r="B14" s="48" t="s">
        <v>216</v>
      </c>
      <c r="C14" s="48" t="s">
        <v>5</v>
      </c>
      <c r="D14" s="48" t="s">
        <v>244</v>
      </c>
      <c r="E14" s="48" t="s">
        <v>245</v>
      </c>
      <c r="F14" s="48"/>
    </row>
    <row r="15" spans="1:7" ht="28" customHeight="1" x14ac:dyDescent="0.55000000000000004">
      <c r="A15" s="49"/>
      <c r="B15" s="50" t="s">
        <v>246</v>
      </c>
      <c r="C15" s="51" t="s">
        <v>247</v>
      </c>
      <c r="D15" s="52" t="s">
        <v>248</v>
      </c>
      <c r="E15" s="53" t="s">
        <v>249</v>
      </c>
      <c r="F15" s="49"/>
    </row>
    <row r="16" spans="1:7" ht="28" customHeight="1" x14ac:dyDescent="0.55000000000000004">
      <c r="A16" s="49"/>
      <c r="B16" s="50" t="s">
        <v>250</v>
      </c>
      <c r="C16" s="51" t="s">
        <v>251</v>
      </c>
      <c r="D16" s="52" t="s">
        <v>252</v>
      </c>
      <c r="E16" s="53" t="s">
        <v>249</v>
      </c>
      <c r="F16" s="49"/>
    </row>
    <row r="17" spans="1:7" ht="28" customHeight="1" x14ac:dyDescent="0.55000000000000004">
      <c r="A17" s="49"/>
      <c r="B17" s="50" t="s">
        <v>253</v>
      </c>
      <c r="C17" s="51" t="s">
        <v>254</v>
      </c>
      <c r="D17" s="52" t="s">
        <v>255</v>
      </c>
      <c r="E17" s="53" t="s">
        <v>249</v>
      </c>
      <c r="F17" s="49"/>
    </row>
    <row r="18" spans="1:7" ht="28" customHeight="1" x14ac:dyDescent="0.55000000000000004">
      <c r="A18" s="49"/>
      <c r="B18" s="50" t="s">
        <v>256</v>
      </c>
      <c r="C18" s="51" t="s">
        <v>257</v>
      </c>
      <c r="D18" s="52" t="s">
        <v>258</v>
      </c>
      <c r="E18" s="53" t="s">
        <v>249</v>
      </c>
      <c r="F18" s="49"/>
    </row>
    <row r="19" spans="1:7" ht="28" customHeight="1" x14ac:dyDescent="0.55000000000000004">
      <c r="A19" s="54"/>
      <c r="B19" s="55" t="s">
        <v>259</v>
      </c>
      <c r="C19" s="56" t="s">
        <v>260</v>
      </c>
      <c r="D19" s="57" t="s">
        <v>261</v>
      </c>
      <c r="E19" s="58" t="s">
        <v>249</v>
      </c>
      <c r="F19" s="54"/>
    </row>
    <row r="20" spans="1:7" ht="28" customHeight="1" x14ac:dyDescent="0.55000000000000004">
      <c r="A20" s="54"/>
      <c r="B20" s="55" t="s">
        <v>262</v>
      </c>
      <c r="C20" s="56" t="s">
        <v>263</v>
      </c>
      <c r="D20" s="57" t="s">
        <v>264</v>
      </c>
      <c r="E20" s="58" t="s">
        <v>249</v>
      </c>
      <c r="F20" s="54"/>
    </row>
    <row r="21" spans="1:7" ht="28" customHeight="1" x14ac:dyDescent="0.55000000000000004">
      <c r="A21" s="49"/>
      <c r="B21" s="50" t="s">
        <v>265</v>
      </c>
      <c r="C21" s="51" t="s">
        <v>266</v>
      </c>
      <c r="D21" s="52" t="s">
        <v>151</v>
      </c>
      <c r="E21" s="53" t="s">
        <v>249</v>
      </c>
      <c r="F21" s="49"/>
    </row>
    <row r="22" spans="1:7" ht="28" customHeight="1" x14ac:dyDescent="0.55000000000000004">
      <c r="A22" s="54"/>
      <c r="B22" s="55" t="s">
        <v>267</v>
      </c>
      <c r="C22" s="56" t="s">
        <v>156</v>
      </c>
      <c r="D22" s="57" t="s">
        <v>268</v>
      </c>
      <c r="E22" s="58" t="s">
        <v>249</v>
      </c>
      <c r="F22" s="54"/>
    </row>
    <row r="23" spans="1:7" ht="28" customHeight="1" x14ac:dyDescent="0.55000000000000004">
      <c r="A23" s="54"/>
      <c r="B23" s="55" t="s">
        <v>269</v>
      </c>
      <c r="C23" s="56" t="s">
        <v>270</v>
      </c>
      <c r="D23" s="57" t="s">
        <v>154</v>
      </c>
      <c r="E23" s="58" t="s">
        <v>249</v>
      </c>
      <c r="F23" s="54"/>
    </row>
    <row r="24" spans="1:7" ht="28" customHeight="1" x14ac:dyDescent="0.55000000000000004">
      <c r="A24" s="54"/>
      <c r="B24" s="55" t="s">
        <v>271</v>
      </c>
      <c r="C24" s="56" t="s">
        <v>272</v>
      </c>
      <c r="D24" s="57" t="s">
        <v>273</v>
      </c>
      <c r="E24" s="58" t="s">
        <v>249</v>
      </c>
      <c r="F24" s="54"/>
    </row>
    <row r="25" spans="1:7" ht="5.05" customHeight="1" x14ac:dyDescent="0.55000000000000004">
      <c r="A25" s="1"/>
      <c r="B25" s="1"/>
      <c r="C25" s="1"/>
      <c r="D25" s="1"/>
      <c r="E25" s="1"/>
      <c r="F25" s="1"/>
      <c r="G25" s="1"/>
    </row>
    <row r="26" spans="1:7" ht="56.05" customHeight="1" x14ac:dyDescent="0.55000000000000004">
      <c r="A26" s="117" t="s">
        <v>274</v>
      </c>
      <c r="B26" s="66"/>
      <c r="C26" s="66"/>
      <c r="D26" s="66"/>
      <c r="E26" s="66"/>
      <c r="F26" s="60"/>
      <c r="G26" s="38"/>
    </row>
  </sheetData>
  <mergeCells count="5">
    <mergeCell ref="A13:G13"/>
    <mergeCell ref="A1:G1"/>
    <mergeCell ref="A4:G4"/>
    <mergeCell ref="A2:G2"/>
    <mergeCell ref="A26:F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2026-04-06T11:48:42Z</dcterms:created>
  <dcterms:modified xsi:type="dcterms:W3CDTF">2026-04-06T11:56:04Z</dcterms:modified>
</cp:coreProperties>
</file>