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95A308D9-7477-481E-BF7B-C077704A3C8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9" i="2"/>
  <c r="D8" i="2"/>
  <c r="D7" i="2"/>
  <c r="E8" i="2"/>
  <c r="D6" i="2"/>
  <c r="C30" i="1"/>
  <c r="C38" i="1" s="1"/>
  <c r="E14" i="1"/>
  <c r="D5" i="2" s="1"/>
  <c r="C32" i="1" l="1"/>
  <c r="C33" i="1" s="1"/>
  <c r="C40" i="1" s="1"/>
  <c r="C39" i="1" l="1"/>
  <c r="C34" i="1"/>
  <c r="E44" i="1"/>
  <c r="E45" i="1" l="1"/>
  <c r="C41" i="1"/>
</calcChain>
</file>

<file path=xl/sharedStrings.xml><?xml version="1.0" encoding="utf-8"?>
<sst xmlns="http://schemas.openxmlformats.org/spreadsheetml/2006/main" count="298" uniqueCount="245">
  <si>
    <t>406 – YATIRIM İNDİRİMİ İSTİSNASI | GVK Geç. Md.61 | 24/4/2003 Öncesi Teşvik Belgesi | YMM TASDİK</t>
  </si>
  <si>
    <t>Beyanname 406 | GİB KV Beyan Rehberi Mart 2026 (No:606) | Kazancın Bulunması Halinde | %19,8 Stopaj</t>
  </si>
  <si>
    <t xml:space="preserve">  GVK GEÇİCİ MADDE 61 — YATIRIM İNDİRİMİ İSTİSNASI (TARİHİ HAK):
  24/4/2003 tarihinden önce yapılan müracaatlara istinaden düzenlenen YATIRIM TEŞVİK
  BELGELERİ kapsamında hak kazanılan yatırım indirimi tutarları, GVK Geçici Madde 61
  kapsamında kurumlar vergisi matrahından indirilir.
  ★ TARİHİ KAPSAM: 24/4/2003 öncesi teşvik belgesi zorunludur.
     2003 sonrası yatırım teşvik belgeleri bu kapsamda değildir.
  ★ DEVREDEN HAK: Önceki yıllarda kullanılamamış (matrah yetersizliği nedeniyle)
     yatırım indirimi tutarları sonraki dönemlere devredebilir.
  ★ STOPAJ: GVK Geç. Md.61/3 — Bu kapsamdaki yatırım indirimi tutarları üzerinden
     %19,8 oranında gelir vergisi stopajı uygulanır (kurumlar vergisi mükelleflerinde).
  ★ YİAKV: Bu istisnanın YİAKV matrahıyla ilişkisi YMM tarafından ayrıca değerlendirilmeli.</t>
  </si>
  <si>
    <t xml:space="preserve">  ★ STOPAJ UYARISI: GVK Geç. Md.61/3 — 406 kapsamında kullanılan yatırım indirimi tutarı üzerinden %19,8 GV stopajı uygulanır. Stopaj beyanname üzerinde hesaplanır ve ödenir.
  ✗ YİAKV (KVK Md.32/C): GİB Rehberi No:607 — 406 YİAKV MATRAHINDA DÜŞÜLEMEZ. Normal KV matrahını sıfırlasa bile YİAKV'da E.11 bilgi satırı — %10 YİAKV uygulanır.</t>
  </si>
  <si>
    <t>A0. KAPSAM VE NİTELİK UYGUNLUK ÖN KONTROLÜ — GVK Geç. Md.61 YATIRIM İNDİRİMİ</t>
  </si>
  <si>
    <t>Kontrol Sorusu</t>
  </si>
  <si>
    <t>Yanıt</t>
  </si>
  <si>
    <t>YMM Tasdik Notu</t>
  </si>
  <si>
    <t>A0.1  ★ Yatırım Teşvik Belgesi 24/4/2003 tarihinden ÖNCE mi düzenlendi?</t>
  </si>
  <si>
    <t>EVET</t>
  </si>
  <si>
    <t>GVK Geç. Md.61 yalnızca 24/4/2003 öncesi müracaatlara istinaden düzenlenen
yatırım teşvik belgeleri kapsamındaki hakları kapsıyor. 2003 sonrası → Bu kod uygulanamaz.</t>
  </si>
  <si>
    <t>A0.2  ★ Devredilen yatırım indirimi tutarı ve dayanağı belgelendi mi?</t>
  </si>
  <si>
    <t>Önceki dönemlerden devreden yatırım indirimi tutarı:
Teşvik belgesi + Yatırım indirimi hesap özeti + Önceki beyanname kayıtları.</t>
  </si>
  <si>
    <t>A0.3  ★ Cari dönem kullanım tutarı hesaplandı mı? (Matrah kısıtı değerlendirildi mi?)</t>
  </si>
  <si>
    <t>Yatırım indirimi kurumlar vergisi matrahını aşamaz (devreden kısım sonraki döneme). Cari dönem kullanılacak tutar belirlenmeli.</t>
  </si>
  <si>
    <t>A0.4  ★ %19,8 GV Stopajı hesaplandı mı?</t>
  </si>
  <si>
    <t>GVK Geç. Md.61/3: 406 kapsamındaki tutar üzerinden %19,8 stopaj uygulanır. Stopaj tutarı ayrıca hesaplanıp ödenmeli.</t>
  </si>
  <si>
    <t>A0.5  ✗ YİAKV E.11'de bilgi satırı olarak gösterildi mi?</t>
  </si>
  <si>
    <t>Bu istisnanın YİAKV matrahındaki konumu için GİB Rehberi No:607 ve
güncel özelgeler YMM tarafından incelenmeli.</t>
  </si>
  <si>
    <t>A0.6  YMM Tasdik Raporu gereksinimi değerlendirildi mi?</t>
  </si>
  <si>
    <t>&gt;=500.000 TL → YMM raporu.</t>
  </si>
  <si>
    <t>A0.7  Tasdik Uygunluk Sonucu</t>
  </si>
  <si>
    <t>★ A0.1 belge tarihi | A0.2 devir tutarı | A0.3 dönem hesabı | A0.4 %19,8 stopaj.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</si>
  <si>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</si>
  <si>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</si>
  <si>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</si>
  <si>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</si>
  <si>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</si>
  <si>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</si>
  <si>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</si>
  <si>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</si>
  <si>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</si>
  <si>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Teşvik Belgesi No</t>
  </si>
  <si>
    <t>24/4/2003 öncesi yatırım teşvik belge numarası</t>
  </si>
  <si>
    <t>Teşvik Belgesi Tarihi</t>
  </si>
  <si>
    <t>24/4/2003 öncesi belge düzenleme tarihi</t>
  </si>
  <si>
    <t>Dosya Referansı</t>
  </si>
  <si>
    <t>YMM-2025/406-01</t>
  </si>
  <si>
    <t>B. YATIRIM İNDİRİMİ TUTARI HESABI — GVK GEÇİCİ MADDE 61</t>
  </si>
  <si>
    <t>Parametre</t>
  </si>
  <si>
    <t>Değer (TL)</t>
  </si>
  <si>
    <t>Açıklama</t>
  </si>
  <si>
    <t>Kaynak</t>
  </si>
  <si>
    <t>B.1  Önceki Yıldan Devreden Yatırım İndirimi</t>
  </si>
  <si>
    <t>Bir önceki dönem KV beyannamesinden devreden yatırım indirimi tutarı. Önceki beyanname kayıtlarıyla mutabık olmalı.</t>
  </si>
  <si>
    <t>Önceki Beyanname</t>
  </si>
  <si>
    <t>B.2  Cari Dönem Hak Kazanılan Yeni Tutar (Varsa)</t>
  </si>
  <si>
    <t>24/4/2003 öncesi teşvik belgesi kapsamında cari dönemde hak kazanılan ek tutar. Çoğu durumda 0 — hak tamamen önceki dönemde doğmuştur.</t>
  </si>
  <si>
    <t>Teşvik Belgesi</t>
  </si>
  <si>
    <t>B.3  Toplam Kullanılabilir Yatırım İndirimi (B.1 + B.2)</t>
  </si>
  <si>
    <t>Cari dönemde kullanılabilecek toplam yatırım indirimi tutarı.</t>
  </si>
  <si>
    <t>Formül</t>
  </si>
  <si>
    <t>B.4  ★ Cari Dönem KV Matrahı (406 Öncesi)</t>
  </si>
  <si>
    <t>406 uygulanmadan önceki kurumlar vergisi matrahı. Yatırım indirimi bu tutarı aşamaz.</t>
  </si>
  <si>
    <t>KV Beyannamesi</t>
  </si>
  <si>
    <t>B.5  ★ CARİ DÖNEM KULLANILAN TUTAR (B.3 ile B.4'ün küçüğü)</t>
  </si>
  <si>
    <t>Kullanılabilecek maksimum tutar = MIN(Toplam İndirim, KV Matrahı). Matrahı aşan kısım sonraki döneme devredilir.</t>
  </si>
  <si>
    <t>B.6  Devre Kalan Kullanılmayan Tutar (B.3 - B.5)</t>
  </si>
  <si>
    <t>Kullanılamayan ve sonraki döneme devreden yatırım indirimi bakiyesi.</t>
  </si>
  <si>
    <t>B.7  ★ %19,8 GV Stopajı (B.5 × %19,8)</t>
  </si>
  <si>
    <t>GVK Geç. Md.61/3: Kullanılan yatırım indirimi × %19,8 = Stopaj tutarı. Bu tutar ayrıca beyan edilip ödenmeli.</t>
  </si>
  <si>
    <t>C. YATIRIM İNDİRİMİ İSTİSNASI ÖZET — BEYANNAME 406</t>
  </si>
  <si>
    <t>Hesap Kalemi</t>
  </si>
  <si>
    <t>Tutar (TL)</t>
  </si>
  <si>
    <t>Not</t>
  </si>
  <si>
    <t>C.1  Toplam Kullanılabilir (B.3)</t>
  </si>
  <si>
    <t>Önceki devir + cari hak</t>
  </si>
  <si>
    <t>C.2  ★ BEYANNAME 406 — CARİ DÖNEM KULLANILAN</t>
  </si>
  <si>
    <t>→ Beyanname 406 | Kazancın Bulunması Halinde</t>
  </si>
  <si>
    <t>GVK Geç. Md.61</t>
  </si>
  <si>
    <t>C.3  Sonraki Döneme Devreden (B.6)</t>
  </si>
  <si>
    <t>Kullanılamayan tutar — sonraki KV beyannamesi başlangıç bakiyesi</t>
  </si>
  <si>
    <t>Devreden</t>
  </si>
  <si>
    <t>C.4  ★ %19,8 GV Stopajı (B.7)</t>
  </si>
  <si>
    <t>Kullanılan tutar × %19,8 — ayrıca beyan ve ödeme gerekir</t>
  </si>
  <si>
    <t>GVK Geç. Md.61/3</t>
  </si>
  <si>
    <t>C.5  YİAKV DURUMU — DÜŞÜLEMEZ (E.11)</t>
  </si>
  <si>
    <t>YİAKV E.11 ✗ DÜŞÜLEMEZ</t>
  </si>
  <si>
    <t>GİB Rehberi No:607 — 406 YİAKV matrahından düşülemez. Normal KV matrahını sıfırlasa bile %10 YİAKV uygulanır.</t>
  </si>
  <si>
    <t>KVK Md.32/C | GİB Reh. No:607</t>
  </si>
  <si>
    <t>D.1  YATIRIM İNDİRİMİ İSTİSNASI → Beyanname Satır 406 (Kazancın Bulunması Halinde)</t>
  </si>
  <si>
    <t>C.2 = MIN(Kullanılabilir, Matrah) | Devredilmez | %19,8 Stopaj</t>
  </si>
  <si>
    <t>D.2  %19,8 GV STOPAJI — AYRICA BEYAN VE ÖDEME (GVK Geç. Md.61/3)</t>
  </si>
  <si>
    <t xml:space="preserve">  ★ KRİTİK: (1) 24/4/2003 ÖNCESI BELGE. (2) MIN(Kullanılabilir, Matrah) — matrahı aşan devredilir. (3) %19,8 STOPAJ — muhtasar beyanname zorunlu. (4) ✗ YİAKV E.11 — GİB Reh. No:607: Normal KV matrahını sıfırlasa bile %10 YİAKV uygulanır.</t>
  </si>
  <si>
    <t>406 – YATIRIM İNDİRİMİ İSTİSNASI GVK Geç. Md.61 | HESAPLAMALAR VE DENETİM</t>
  </si>
  <si>
    <t>24/4/2003 Öncesi Teşvik Belgesi | Devreden Hak | MIN(İndirim,Matrah) | %19,8 Stopaj | Beyanname 406</t>
  </si>
  <si>
    <t>A. TASDİK ÖZETİ</t>
  </si>
  <si>
    <t>A0 Uygunluğu</t>
  </si>
  <si>
    <t>OK ise devam</t>
  </si>
  <si>
    <t>Teşvik Belgesi Tarihi (A.5)</t>
  </si>
  <si>
    <t>24/4/2003 öncesi teyit</t>
  </si>
  <si>
    <t>Toplam Kullanılabilir (C.1)</t>
  </si>
  <si>
    <t>Önceki devir + cari</t>
  </si>
  <si>
    <t>406 İNDİRİM TUTARI (C.2)</t>
  </si>
  <si>
    <t>Devreden Bakiye (C.3)</t>
  </si>
  <si>
    <t>Sonraki döneme devir</t>
  </si>
  <si>
    <t>%19,8 Stopaj (C.4)</t>
  </si>
  <si>
    <t>Kullanılan × %19,8</t>
  </si>
  <si>
    <t>YİAKV Durumu</t>
  </si>
  <si>
    <t>✗ DÜŞÜLEMEZ (E.11)</t>
  </si>
  <si>
    <t>GİB Reh. No:607 — Normal KV matrahını sıfırlasa bile %10 YİAKV uygulanır</t>
  </si>
  <si>
    <t>B. GVK GEÇİCİ MADDE 61 — YATIRIM İNDİRİMİ KAPSAMI VE ÇALIŞMA MEKANİZMASI</t>
  </si>
  <si>
    <t xml:space="preserve">  GVK GEÇİCİ MADDE 61 — TARİHİ YATIRIM İNDİRİMİ:
  KAPSAM:
  24/4/2003 tarihinden önce yapılan müracaatlara istinaden düzenlenen
  yatırım teşvik belgeleri kapsamında hak kazanılan yatırım indirimi.
  ÇALIŞMA MEKANİZMASI:
  ADIM 1: Teşvik belgesi kapsamında hak kazanılan toplam yatırım indirimi belirlenir.
  ADIM 2: Önceki dönemlerde kullanılan tutarlar düşülür → Devir bakiyesi hesaplanır.
  ADIM 3: Cari dönemde kullanılacak tutar = MIN(Devir Bakiyesi, Cari KV Matrahı)
  ADIM 4: Kullanılan tutar üzerinden %19,8 GV stopajı hesaplanır ve ödenir.
  ADIM 5: Kullanılamayan kısım sonraki döneme devredilir.
  SAYISAL ÖRNEK:
  Devir bakiyesi:    10.000.000 TL
  Cari KV Matrahı:    6.000.000 TL
  Beyanname 406:      6.000.000 TL  (MIN → Matrahla sınırlı)
  Sonraki devir:      4.000.000 TL  (10M - 6M)
  %19,8 Stopaj:       1.188.000 TL  (6M × %19,8)
  BEYANNAME KONUMU: 'Kazancın bulunması halinde indirilecek istisnalar' bölümü.</t>
  </si>
  <si>
    <t>C. %19,8 STOPAJ MEKANİZMASI VE BEYAN</t>
  </si>
  <si>
    <t xml:space="preserve">  GVK GEÇİCİ MADDE 61/3 — %19,8 STOPAJ UYARISI:
  Kurumlar vergisi mükellefleri tarafından uygulanan yatırım indirimi istisnası
  tutarları üzerinden %19,8 oranında gelir vergisi stopajı uygulanır.
  STOPAJ HESABI:
  Beyanname 406 (Kullanılan Tutar) × %19,8 = Stopaj Tutarı
  STOPAJ BEYANI:
  Muhtasar beyanname ile beyan edilip ödenmesi gerekir.
  KV beyannamesi dışında ayrı bir yükümlülük.
  YMM TASDİK NOTU:
  Stopaj beyanı yapılmadan 406 kullanımı eksik işlem sayılır.
  Stopaj tutarı ve ödeme belgesi tasdik dosyasında yer almalıdır.
  ★ ORAN: %19,8 (değiştirilmediği takdirde güncel mevzuat teyit edilmeli).</t>
  </si>
  <si>
    <t>D. DENETİM KONTROL LİSTESİ (K1–K10)</t>
  </si>
  <si>
    <t>Kontrol</t>
  </si>
  <si>
    <t>Sonuç</t>
  </si>
  <si>
    <t>K1</t>
  </si>
  <si>
    <t>★ Teşvik belgesi 24/4/2003 öncesi mi?</t>
  </si>
  <si>
    <t>2003 sonrası belge → 406 uygulanamaz.</t>
  </si>
  <si>
    <t>Uygun/Eksik/Risk</t>
  </si>
  <si>
    <t>K2</t>
  </si>
  <si>
    <t>★ Devir bakiyesi önceki beyanname kayıtlarıyla mutabık mı?</t>
  </si>
  <si>
    <t>Önceki yıl beyanname 406 son tutarı.</t>
  </si>
  <si>
    <t>K3</t>
  </si>
  <si>
    <t>★ Kullanılan tutar KV matrahını aşmıyor mu? (MIN kontrolü)</t>
  </si>
  <si>
    <t>Matrahı aşan kısım devredilir.</t>
  </si>
  <si>
    <t>K4</t>
  </si>
  <si>
    <t>★ %19,8 stopaj hesaplandı ve muhtasar beyannamede gösterildi mi?</t>
  </si>
  <si>
    <t>Stopaj beyanı zorunludur.</t>
  </si>
  <si>
    <t>K5</t>
  </si>
  <si>
    <t>★ Sonraki döneme devreden bakiye doğru hesaplandı mı?</t>
  </si>
  <si>
    <t>Bakiye = Toplam - Kullanılan.</t>
  </si>
  <si>
    <t>K6</t>
  </si>
  <si>
    <t>Beyanname 406 'Kazancın Bulunması Halinde' bölümünde mi?</t>
  </si>
  <si>
    <t>Zarar → uygulanamaz.</t>
  </si>
  <si>
    <t>K7</t>
  </si>
  <si>
    <t>YİAKV ilişkisi YMM tarafından değerlendirildi mi?</t>
  </si>
  <si>
    <t>GİB Rehberi No:607 incelenmeli.</t>
  </si>
  <si>
    <t>K8</t>
  </si>
  <si>
    <t>Teşvik belgesi kapsamındaki yatırım tamamlandı mı?</t>
  </si>
  <si>
    <t>Belge şartları karşılandı teyidi.</t>
  </si>
  <si>
    <t>K9</t>
  </si>
  <si>
    <t>Önceki dönem stopaj ödemeleri yapıldı mı?</t>
  </si>
  <si>
    <t>SGK/vergi borcu yoksa devam.</t>
  </si>
  <si>
    <t>K10</t>
  </si>
  <si>
    <t>YMM Tasdik Raporu değerlendirildi mi?</t>
  </si>
  <si>
    <t>406 – YATIRIM İNDİRİMİ İSTİSNASI GVK Geç. Md.61 | MUHASEBE KAYITLARI</t>
  </si>
  <si>
    <t>KAYIT 1 — DÖNEM SONU: BEYANNAME 406 İNDİRİMİ (MUHASEBE KAYDI GEREKMEZ)</t>
  </si>
  <si>
    <t>Tarih</t>
  </si>
  <si>
    <t>Hesap</t>
  </si>
  <si>
    <t>Dr</t>
  </si>
  <si>
    <t>Kr</t>
  </si>
  <si>
    <t>Ref</t>
  </si>
  <si>
    <t>[Dönem Sonu]</t>
  </si>
  <si>
    <t>— Beyanname Üzerinde İstisna —</t>
  </si>
  <si>
    <t>406 GVK Geç. Md.61 istisnası doğrudan KV matrahını etkiler</t>
  </si>
  <si>
    <t>[Min(Yat.İnd.,Matrah)]</t>
  </si>
  <si>
    <t>—</t>
  </si>
  <si>
    <t>Beyanname 406</t>
  </si>
  <si>
    <t>KAYIT 2 — %19,8 GV STOPAJI (MUHTASAR BEYANNAME)</t>
  </si>
  <si>
    <t>[Stopaj Tarihi]</t>
  </si>
  <si>
    <t>193 Peşin Ödenen Vergiler / 371 Dönem Karından Ödenen Vergi</t>
  </si>
  <si>
    <t>Yatırım indirimi üzerinden %19,8 GV stopajı</t>
  </si>
  <si>
    <t>[Stop.Tut.]</t>
  </si>
  <si>
    <t>Hesaplama</t>
  </si>
  <si>
    <t>KAYIT 3 — ERTELENMİŞ VERGİ (VARSA)</t>
  </si>
  <si>
    <t>284 Ertelenmiş Vergi Varlığı / 370 Dönem Karı Vergi Yük.</t>
  </si>
  <si>
    <t>Devreden yatırım indirimi için ertelenmiş vergi etkisi (TMS 12)</t>
  </si>
  <si>
    <t>[Miktar]</t>
  </si>
  <si>
    <t>TMS 12</t>
  </si>
  <si>
    <t xml:space="preserve">  DÖNEM SONU — BEYANNAME 406 TOPLAM ETKİ:
  406 İSTİSNASI: KV matrahını azaltır → KV tasarrufu: [Kullanılan Tutar] × %25
  %19,8 STOPAJ: [Kullanılan Tutar] × %19,8 → Net KV avantajı = %25 KV - %19,8 Stopaj = Net Avantaj
  DEVREDEN BAKİYE: Kullanılamayan kısım sonraki döneme devredilir (sonsuz devir hakkı).
  ERTELENMİŞ VERGİ: TMS 12 kapsamında devreden yatırım indirimi geçici fark yaratabilir — UFRS/TFRS uygulayan şirketler için.</t>
  </si>
  <si>
    <t>406 – YATIRIM İNDİRİMİ İSTİSNASI GVK Geç. Md.61 | DENETÇİ NOTLARI</t>
  </si>
  <si>
    <t>GVK Geç. Md.61 | 24/4/2003 Öncesi Belge | %19,8 Stopaj | Devreden Hak | YİAKV Teyidi</t>
  </si>
  <si>
    <t>Kod</t>
  </si>
  <si>
    <t>Konu</t>
  </si>
  <si>
    <t>Mesleki Değerlendirme / Tasdik Standardı</t>
  </si>
  <si>
    <t>Mevzuat / Kaynak</t>
  </si>
  <si>
    <t>N1</t>
  </si>
  <si>
    <t>GVK Geç. Md.61 — Yatırım İndirimi Kapsamı ve Tarihi Arka Plan</t>
  </si>
  <si>
    <t>GVK GEÇİCİ MADDE 61 — YATIRIM İNDİRİMİ İSTİSNASI:
YASAL ARKA PLAN:
4842 sayılı Kanun (2003) ile GVK'nın yatırım indirimine ilişkin
51-59. maddeleri yürürlükten kaldırıldı. GVK Geç. Md.61 ile
24/4/2003 öncesi teşvik belgelerindeki haklar korundu.
KAPSAM:
24/4/2003 öncesi müracaatlarla alınan yatırım teşvik belgeleri
kapsamında hak kazanılan yatırım indirimi tutarları.
KULLANIM ŞARTI:
KV beyannamesi matrahını aşamaz. Aşan kısım devredilir.
Sonsuz devir hakkı — herhangi bir süre sınırı yok.
STOPAJ:
Kullanılan tutar üzerinden %19,8 GV stopajı (GVK Geç. Md.61/3).</t>
  </si>
  <si>
    <t>GVK Geç. Md.61 | 4842 s.K. | GİB KV Beyan Reh. 2026 (No:606)</t>
  </si>
  <si>
    <t>N2</t>
  </si>
  <si>
    <t>★ %19,8 Stopaj — En Çok Atlanan Yükümlülük</t>
  </si>
  <si>
    <t>%19,8 STOPAJ UYARISI — GVK GEÇ. MD.61/3:
KAPSAM:
Kurumlar vergisi mükelleflerinin 406 kapsamında kullandıkları
yatırım indirimi tutarları üzerinden %19,8 GV stopajı.
HESAPLAMA:
Beyanname 406 (Kullanılan Tutar) × %19,8 = Stopaj
BEYAN:
Muhtasar beyanname ile beyan edilip ödenmesi zorunlu.
KV beyannamesi dışında ayrı bir yükümlülük.
EN SIK KARŞILAŞILAN HATA:
406 istisnasını kullanmak ama muhtasar beyannamede stopajı
göstermemek → Eksik vergi → Gecikme faizi + vergi ziyaı cezası.
YMM AKSIYONU:
Muhtasar beyanname ile mutabakat zorunludur.</t>
  </si>
  <si>
    <t>GVK Geç. Md.61/3 | GİB Özelge | VUK Md.341</t>
  </si>
  <si>
    <t>N3</t>
  </si>
  <si>
    <t>Devreden Yatırım İndirimi — Devir Takibi ve Mutabakat</t>
  </si>
  <si>
    <t>DEVREDEN YATIRIM İNDİRİMİ TAKİBİ:
DÖNEM BAŞI BAKİYE (Önceki Yıldan Devir):
Önceki yıl KV beyannamesi 406 son durumu ile mutabık olmalı.
Herhangi bir kopukluk → Risk → Önceki yıl beyannameleri incelenmeli.
ERTELENMİŞ VERGİ (TMS 12):
TFRS/BIST şirketlerinde devreden yatırım indirimi geçici fark yaratır.
Bu geçici fark üzerinden ertelenmiş vergi varlığı hesaplanabilir.
Oran: Devreden Tutar × %25 (KV oranı) − Stopaj etkisi
YMM MUTABAKAT ADIMI:
① Önceki yıl beyanname 406 son tutarı
② + Cari yıl yeni hak (genellikle 0)
③ − Cari yıl kullanılan (= Beyanname 406)
④ = Sonraki yıl devir bakiyesi
Bu döngü kesintisiz takip edilmeli.</t>
  </si>
  <si>
    <t>GVK Geç. Md.61 | TMS 12 | GİB Özelge</t>
  </si>
  <si>
    <t>N4</t>
  </si>
  <si>
    <t>✗ YİAKV E.11 — GİB Rehberi No:607 Kesin Durum</t>
  </si>
  <si>
    <t>GİB REHBERİ NO:607 — 406 YİAKV KONUMU (KESİN):
✗ 406 (GVK Geç. Md.61 Yatırım İndirimi): DÜŞÜLEMEZ → YİAKV E.11
GİB REHBERİ NO:607 TESPİTLERİ:
① 406 ile beyan edilen yatırım indirimi istisnası, YİAKV matrahından
   indirilebilecek kalemler arasında SAYILMAMIŞTIR.
② Normal kurumlar vergisi matrahını SIFIRLASA BİLE YİAKV hesaplanırken
   'indirim' olarak kabul edilmez.
③ 406 tutarı üzerinden %10 YİAKV hesaplanması gerekir.
PRATİK ÖRNEK:
KV Matrahı (406 öncesi): 5.000.000 TL
406 Yatırım İndirimi:   -5.000.000 TL
Normal KV Matrahı:          0 TL
Normal KV:                  0 TL
YİAKV Matrahı (406 düşülmez): 5.000.000 TL
YİAKV (%10):                  500.000 TL  ← ÖDENECEK!
YİAKV E.11 GÜNCEL KODLAR:
✗ 402 | ✗ 403 | ✗ 404 | ✗ 406 | ✗ 414 | ✗ 415 | ✗ 416 | ✗ 417
✗ 419 | ✗ 451 | ✗ 452 | ✗ 460/461 | ✗ 462 | ✗ 463 vb.
→ YİAKV E.11 = Tüm bu kodların dönem toplamı</t>
  </si>
  <si>
    <t>KVK Md.32/C | GİB Rehberi No:607 | GVK Geç. Md.61</t>
  </si>
  <si>
    <t>N5</t>
  </si>
  <si>
    <t>49 No.lu Tebliğ + YMM Tasdik Dil Standardı</t>
  </si>
  <si>
    <t>KULLANIN:
'...Gelir Vergisi Kanunu'nun Geçici 61. maddesi kapsamında,
[Teşvik Belgesi No ve Tarihi] numaralı ve tarihli yatırım teşvik
belgesi kapsamında önceki dönemlerden devreden [Devir] TL
yatırım indirimi hakkının cari dönem kullanılan kısmı olan [Tutar]
TL kurumlar vergisi matrahından indirilmiştir. Kullanılan tutar
üzerinden %19,8 oranında [Stopaj] TL gelir vergisi stopajı
hesaplanmış ve muhtasar beyanname ile beyan edilmiştir.'
KULLANMAYIN:
'...2003 sonrası teşvik belgesi kapsamında 406 uygulandı.' (Kapsam dışı)
'...Yatırım indirimi matrahı aştığından tamamı kullanıldı.' (MIN kontrolü atlandı)
'...Stopaj hesaplanmadı.' (Zorunlu yükümlülük)
KRİTİK RİSKLER:
(1) 24/4/2003 sonrası belgeye 406 uygulamak.
(2) KV matrahını aşan tutarı kullanmak (MIN kontrolü).
(3) %19,8 stopajı beyan etmemek.
(4) Devir bakiyesini yanlış tutmak.</t>
  </si>
  <si>
    <t>49 No.lu Tebliğ | GVK Geç. Md.61 | SM-SMMM-YMM K. Md.12</t>
  </si>
  <si>
    <t xml:space="preserve">  GİB KV BEYAN REHBERİ MART 2026 (No:606/607) KAPANIŞ (406): GVK Geç. Md.61 — 24/4/2003 öncesi yatırım teşvik belgesi. MIN(Devir Bakiyesi, KV Matrahı) kullanım. %19,8 GV Stopajı muhtasar beyanname zorunlu. ✗ YİAKV E.11 (GİB Reh. No:607 kesin): Normal KV matrahını sıfırlasa bile %10 YİAKV uygulanır. YMM: SM-SMMM-YMM K. Md.12.</t>
  </si>
  <si>
    <t>406 – YATIRIM İNDİRİMİ İSTİSNASI GVK Geç. Md.61 | BELGE LİSTESİ | YMM TASDİK</t>
  </si>
  <si>
    <t>Teşvik Belgesi | Devir Hesabı | Muhtasar/Stopaj | Önceki Beyanname | YİAKV Teyidi</t>
  </si>
  <si>
    <t>KATEGORİ 1 — ZORUNLU BELGELER</t>
  </si>
  <si>
    <t>No</t>
  </si>
  <si>
    <t>Belge</t>
  </si>
  <si>
    <t>Temin</t>
  </si>
  <si>
    <t>1</t>
  </si>
  <si>
    <t>★ 24/4/2003 Öncesi Yatırım Teşvik Belgesi</t>
  </si>
  <si>
    <t>Yatırım teşvik belgesinin aslı veya onaylı kopyası. Belge tarihinin 24/4/2003 öncesi olduğu açıkça görülmeli. Hazine ve Maliye Bakanlığı tarafından verilmiş. Zorunlu.</t>
  </si>
  <si>
    <t>Şirket Arşivi / Hazine ve Maliye Bakanlığı</t>
  </si>
  <si>
    <t>2</t>
  </si>
  <si>
    <t>★ Yatırım İndirimi Devir Hesabı (Dönem Başı/Sonu)</t>
  </si>
  <si>
    <t>Dönem başı devir bakiyesi, cari dönem kullanım ve dönem sonu bakiyesini gösteren detaylı hesap özeti. Önceki dönem beyannamesindeki 406 son tutar ile mutabık. Zorunlu.</t>
  </si>
  <si>
    <t>YMM Hesaplama Notu / Muhasebe</t>
  </si>
  <si>
    <t>3</t>
  </si>
  <si>
    <t>★ Önceki KV Beyannameleri — 406 Geçmişi</t>
  </si>
  <si>
    <t>Yatırım indirimi hakkının kullanım geçmişini gösteren önceki dönem KV beyannameleri. Devir bakiyesinin doğrulanması için. Zorunlu.</t>
  </si>
  <si>
    <t>GİB e-Beyanname Arşivi</t>
  </si>
  <si>
    <t>4</t>
  </si>
  <si>
    <t>★ Muhtasar Beyanname — %19,8 Stopaj Beyanı</t>
  </si>
  <si>
    <t>Kullanılan yatırım indirimi tutarı üzerinden hesaplanan %19,8 GV stopajının muhtasar beyannamede gösterildiği belge. Stopaj ödeme dekontu.</t>
  </si>
  <si>
    <t>Muhtasar Beyanname / Banka Dekontu</t>
  </si>
  <si>
    <t>5</t>
  </si>
  <si>
    <t>KV Beyannamesi 406 Satırı + YİAKV Durumu</t>
  </si>
  <si>
    <t>Beyanname 406 = C.2 (MIN tutarı). YİAKV ilişkisi için GİB Rehberi No:607 kapsamında YMM değerlendirme notu.</t>
  </si>
  <si>
    <t>GİB e-Beyanname + YMM Değerlendirme Notu</t>
  </si>
  <si>
    <t>KATEGORİ 2 — YMM TASDİK KONTROL SORULARI</t>
  </si>
  <si>
    <t>Beklenen Sonuç</t>
  </si>
  <si>
    <t>YMM Aksiyonu</t>
  </si>
  <si>
    <t>S1</t>
  </si>
  <si>
    <t>★ Teşvik belgesi tarihi 24/4/2003 öncesi mi?</t>
  </si>
  <si>
    <t>Belge tarihi teyit.</t>
  </si>
  <si>
    <t>YMM kontrolü</t>
  </si>
  <si>
    <t>S2</t>
  </si>
  <si>
    <t>★ Devir bakiyesi önceki beyanname ile mutabık mı?</t>
  </si>
  <si>
    <t>Önceki yıl 406 son tutarı.</t>
  </si>
  <si>
    <t>S3</t>
  </si>
  <si>
    <t>★ Kullanılan tutar MIN(Bakiye, Matrah) doğru mu?</t>
  </si>
  <si>
    <t>MIN formülü kontrol.</t>
  </si>
  <si>
    <t>S4</t>
  </si>
  <si>
    <t>★ %19,8 stopaj muhtasar beyannamede gösterildi mi?</t>
  </si>
  <si>
    <t>Stopaj beyanı zorunlu.</t>
  </si>
  <si>
    <t>S5</t>
  </si>
  <si>
    <t>★ Sonraki döneme devir bakiyesi doğru hesaplandı mı?</t>
  </si>
  <si>
    <t>Döngü tutarlılığı.</t>
  </si>
  <si>
    <t>S6</t>
  </si>
  <si>
    <t>GİB Rehberi No:607 incelendi.</t>
  </si>
  <si>
    <t>S7</t>
  </si>
  <si>
    <t>Beyanname 406 'Kazancın Bulunması Halinde'?</t>
  </si>
  <si>
    <t>S8</t>
  </si>
  <si>
    <t>Ertelenmiş vergi hesaplandı mı? (TFRS şirketler için)</t>
  </si>
  <si>
    <t>TMS 12 değerlendirmesi.</t>
  </si>
  <si>
    <t>S9</t>
  </si>
  <si>
    <t>&gt;=500.000 TL → Rapor.</t>
  </si>
  <si>
    <t xml:space="preserve">  GİB KV BEYAN REHBERİ MART 2026 (No:606) &amp; YİAKV REHBERİ (No:607) | 406 YATIRIM İNDİRİMİ:
  24/4/2003 öncesi yatırım teşvik belgesi zorunludur. 2003 sonrası belge → Kapsam dışı.
  Kullanılan tutar = MIN(Devir Bakiyesi, Cari KV Matrahı). Aşan kısım devredilir.
  %19,8 GV Stopajı — muhtasar beyanname ile beyan ve ödeme zorunlu (en çok atlanan!).
  ✗ YİAKV E.11 (GİB Reh. No:607 KESİN): Normal KV matrahını sıfırlasa bile %10 YİAKV uygulanır.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</si>
</sst>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D47A1"/>
      <name val="Arial"/>
    </font>
    <font>
      <b/>
      <sz val="10"/>
      <color rgb="FF0D47A1"/>
      <name val="Arial"/>
    </font>
    <font>
      <b/>
      <sz val="12"/>
      <color rgb="FF1B5E20"/>
      <name val="Arial"/>
    </font>
    <font>
      <b/>
      <sz val="10"/>
      <color rgb="FFE65100"/>
      <name val="Arial"/>
    </font>
    <font>
      <b/>
      <sz val="9"/>
      <color rgb="FF1B5E20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E65100"/>
      <name val="Arial"/>
    </font>
    <font>
      <i/>
      <sz val="8"/>
      <color rgb="FFE65100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8"/>
      <color rgb="FF1F3864"/>
      <name val="Arial"/>
    </font>
    <font>
      <sz val="8"/>
      <color rgb="FFE65100"/>
      <name val="Arial"/>
    </font>
    <font>
      <sz val="8"/>
      <color rgb="FF333333"/>
      <name val="Arial"/>
    </font>
    <font>
      <sz val="9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BDEFB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EF4FF"/>
      </patternFill>
    </fill>
    <fill>
      <patternFill patternType="solid">
        <fgColor rgb="FFFFF0F0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4" xfId="0" applyNumberFormat="1" applyFont="1" applyFill="1" applyBorder="1" applyAlignment="1">
      <alignment horizontal="right" vertical="center"/>
    </xf>
    <xf numFmtId="3" fontId="13" fillId="13" borderId="7" xfId="0" applyNumberFormat="1" applyFont="1" applyFill="1" applyBorder="1" applyAlignment="1">
      <alignment horizontal="right" vertical="center"/>
    </xf>
    <xf numFmtId="3" fontId="14" fillId="15" borderId="4" xfId="0" applyNumberFormat="1" applyFont="1" applyFill="1" applyBorder="1" applyAlignment="1">
      <alignment horizontal="right" vertical="center"/>
    </xf>
    <xf numFmtId="3" fontId="12" fillId="11" borderId="4" xfId="0" applyNumberFormat="1" applyFont="1" applyFill="1" applyBorder="1" applyAlignment="1">
      <alignment horizontal="right" vertical="center"/>
    </xf>
    <xf numFmtId="3" fontId="16" fillId="13" borderId="7" xfId="0" applyNumberFormat="1" applyFont="1" applyFill="1" applyBorder="1" applyAlignment="1">
      <alignment horizontal="right" vertical="center"/>
    </xf>
    <xf numFmtId="3" fontId="12" fillId="15" borderId="4" xfId="0" applyNumberFormat="1" applyFont="1" applyFill="1" applyBorder="1" applyAlignment="1">
      <alignment horizontal="right" vertical="center"/>
    </xf>
    <xf numFmtId="0" fontId="14" fillId="15" borderId="8" xfId="0" applyFont="1" applyFill="1" applyBorder="1" applyAlignment="1">
      <alignment horizontal="center" vertical="center"/>
    </xf>
    <xf numFmtId="3" fontId="18" fillId="13" borderId="7" xfId="0" applyNumberFormat="1" applyFont="1" applyFill="1" applyBorder="1" applyAlignment="1">
      <alignment horizontal="right" vertical="center" wrapText="1"/>
    </xf>
    <xf numFmtId="3" fontId="20" fillId="15" borderId="8" xfId="0" applyNumberFormat="1" applyFont="1" applyFill="1" applyBorder="1" applyAlignment="1">
      <alignment horizontal="right" vertical="center" wrapText="1"/>
    </xf>
    <xf numFmtId="3" fontId="23" fillId="11" borderId="4" xfId="0" applyNumberFormat="1" applyFont="1" applyFill="1" applyBorder="1" applyAlignment="1">
      <alignment horizontal="center" vertical="center"/>
    </xf>
    <xf numFmtId="3" fontId="23" fillId="11" borderId="4" xfId="0" applyNumberFormat="1" applyFont="1" applyFill="1" applyBorder="1" applyAlignment="1">
      <alignment horizontal="right" vertical="center"/>
    </xf>
    <xf numFmtId="3" fontId="13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24" fillId="10" borderId="4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8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30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1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2" fillId="21" borderId="4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left" vertical="top" wrapText="1"/>
    </xf>
    <xf numFmtId="0" fontId="26" fillId="23" borderId="4" xfId="0" applyFont="1" applyFill="1" applyBorder="1" applyAlignment="1">
      <alignment horizontal="left" vertical="top" wrapText="1"/>
    </xf>
    <xf numFmtId="0" fontId="32" fillId="11" borderId="4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left" vertical="top" wrapText="1"/>
    </xf>
    <xf numFmtId="0" fontId="28" fillId="17" borderId="4" xfId="0" applyFont="1" applyFill="1" applyBorder="1" applyAlignment="1">
      <alignment horizontal="left" vertical="top" wrapText="1"/>
    </xf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7" fillId="15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6" fillId="24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5" fillId="13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21" fillId="1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4" fillId="15" borderId="4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19" fillId="13" borderId="4" xfId="0" applyFont="1" applyFill="1" applyBorder="1" applyAlignment="1">
      <alignment horizontal="left" vertical="center" wrapText="1"/>
    </xf>
    <xf numFmtId="0" fontId="24" fillId="14" borderId="4" xfId="0" applyFont="1" applyFill="1" applyBorder="1" applyAlignment="1">
      <alignment horizontal="left" vertical="center" wrapText="1"/>
    </xf>
    <xf numFmtId="0" fontId="25" fillId="15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center"/>
    </xf>
    <xf numFmtId="0" fontId="29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36324F-3B95-4E4C-8843-9ABCB5C6BE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992c18-3622-46b2-8d87-bf1c06c4fc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4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77" t="s">
        <v>0</v>
      </c>
      <c r="B1" s="69"/>
      <c r="C1" s="69"/>
      <c r="D1" s="69"/>
      <c r="E1" s="69"/>
      <c r="F1" s="69"/>
      <c r="G1" s="70"/>
    </row>
    <row r="2" spans="1:7" ht="22" customHeight="1" x14ac:dyDescent="0.55000000000000004">
      <c r="A2" s="85" t="s">
        <v>1</v>
      </c>
      <c r="B2" s="69"/>
      <c r="C2" s="69"/>
      <c r="D2" s="69"/>
      <c r="E2" s="69"/>
      <c r="F2" s="69"/>
      <c r="G2" s="70"/>
    </row>
    <row r="3" spans="1:7" ht="54" customHeight="1" x14ac:dyDescent="0.55000000000000004">
      <c r="A3" s="80" t="s">
        <v>2</v>
      </c>
      <c r="B3" s="60"/>
      <c r="C3" s="60"/>
      <c r="D3" s="60"/>
      <c r="E3" s="60"/>
      <c r="F3" s="60"/>
      <c r="G3" s="58"/>
    </row>
    <row r="4" spans="1:7" ht="32.049999999999997" customHeight="1" x14ac:dyDescent="0.55000000000000004">
      <c r="A4" s="82" t="s">
        <v>3</v>
      </c>
      <c r="B4" s="69"/>
      <c r="C4" s="69"/>
      <c r="D4" s="69"/>
      <c r="E4" s="69"/>
      <c r="F4" s="69"/>
      <c r="G4" s="70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4" t="s">
        <v>4</v>
      </c>
      <c r="B6" s="69"/>
      <c r="C6" s="69"/>
      <c r="D6" s="69"/>
      <c r="E6" s="69"/>
      <c r="F6" s="69"/>
      <c r="G6" s="70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5" t="s">
        <v>8</v>
      </c>
      <c r="B8" s="60"/>
      <c r="C8" s="60"/>
      <c r="D8" s="58"/>
      <c r="E8" s="3" t="s">
        <v>9</v>
      </c>
      <c r="F8" s="72" t="s">
        <v>10</v>
      </c>
      <c r="G8" s="58"/>
    </row>
    <row r="9" spans="1:7" ht="28" customHeight="1" x14ac:dyDescent="0.55000000000000004">
      <c r="A9" s="75" t="s">
        <v>11</v>
      </c>
      <c r="B9" s="60"/>
      <c r="C9" s="60"/>
      <c r="D9" s="58"/>
      <c r="E9" s="3" t="s">
        <v>9</v>
      </c>
      <c r="F9" s="72" t="s">
        <v>12</v>
      </c>
      <c r="G9" s="58"/>
    </row>
    <row r="10" spans="1:7" ht="28" customHeight="1" x14ac:dyDescent="0.55000000000000004">
      <c r="A10" s="75" t="s">
        <v>13</v>
      </c>
      <c r="B10" s="60"/>
      <c r="C10" s="60"/>
      <c r="D10" s="58"/>
      <c r="E10" s="3" t="s">
        <v>9</v>
      </c>
      <c r="F10" s="72" t="s">
        <v>14</v>
      </c>
      <c r="G10" s="58"/>
    </row>
    <row r="11" spans="1:7" ht="28" customHeight="1" x14ac:dyDescent="0.55000000000000004">
      <c r="A11" s="75" t="s">
        <v>15</v>
      </c>
      <c r="B11" s="60"/>
      <c r="C11" s="60"/>
      <c r="D11" s="58"/>
      <c r="E11" s="3" t="s">
        <v>9</v>
      </c>
      <c r="F11" s="72" t="s">
        <v>16</v>
      </c>
      <c r="G11" s="58"/>
    </row>
    <row r="12" spans="1:7" ht="28" customHeight="1" x14ac:dyDescent="0.55000000000000004">
      <c r="A12" s="81" t="s">
        <v>17</v>
      </c>
      <c r="B12" s="60"/>
      <c r="C12" s="60"/>
      <c r="D12" s="58"/>
      <c r="E12" s="3" t="s">
        <v>9</v>
      </c>
      <c r="F12" s="88" t="s">
        <v>18</v>
      </c>
      <c r="G12" s="58"/>
    </row>
    <row r="13" spans="1:7" ht="28" customHeight="1" x14ac:dyDescent="0.55000000000000004">
      <c r="A13" s="62" t="s">
        <v>19</v>
      </c>
      <c r="B13" s="60"/>
      <c r="C13" s="60"/>
      <c r="D13" s="58"/>
      <c r="E13" s="3" t="s">
        <v>9</v>
      </c>
      <c r="F13" s="65" t="s">
        <v>20</v>
      </c>
      <c r="G13" s="58"/>
    </row>
    <row r="14" spans="1:7" ht="24" customHeight="1" x14ac:dyDescent="0.55000000000000004">
      <c r="A14" s="87" t="s">
        <v>21</v>
      </c>
      <c r="B14" s="60"/>
      <c r="C14" s="60"/>
      <c r="D14" s="58"/>
      <c r="E14" s="4" t="str">
        <f>IF(AND(E8="EVET",E9="EVET",E10="EVET",E11="EVET"),"OK - Hesaplanabilir","HATA - Ön koşul eksik")</f>
        <v>OK - Hesaplanabilir</v>
      </c>
      <c r="F14" s="86" t="s">
        <v>22</v>
      </c>
      <c r="G14" s="58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8" t="s">
        <v>23</v>
      </c>
      <c r="B16" s="69"/>
      <c r="C16" s="69"/>
      <c r="D16" s="69"/>
      <c r="E16" s="69"/>
      <c r="F16" s="69"/>
      <c r="G16" s="70"/>
    </row>
    <row r="17" spans="1:7" ht="22" customHeight="1" x14ac:dyDescent="0.55000000000000004">
      <c r="A17" s="62" t="s">
        <v>24</v>
      </c>
      <c r="B17" s="58"/>
      <c r="C17" s="59"/>
      <c r="D17" s="60"/>
      <c r="E17" s="58"/>
      <c r="F17" s="61" t="s">
        <v>25</v>
      </c>
      <c r="G17" s="58"/>
    </row>
    <row r="18" spans="1:7" ht="22" customHeight="1" x14ac:dyDescent="0.55000000000000004">
      <c r="A18" s="66" t="s">
        <v>26</v>
      </c>
      <c r="B18" s="58"/>
      <c r="C18" s="59"/>
      <c r="D18" s="60"/>
      <c r="E18" s="58"/>
      <c r="F18" s="73" t="s">
        <v>27</v>
      </c>
      <c r="G18" s="58"/>
    </row>
    <row r="19" spans="1:7" ht="22" customHeight="1" x14ac:dyDescent="0.55000000000000004">
      <c r="A19" s="62" t="s">
        <v>28</v>
      </c>
      <c r="B19" s="58"/>
      <c r="C19" s="59"/>
      <c r="D19" s="60"/>
      <c r="E19" s="58"/>
      <c r="F19" s="61" t="s">
        <v>29</v>
      </c>
      <c r="G19" s="58"/>
    </row>
    <row r="20" spans="1:7" ht="22" customHeight="1" x14ac:dyDescent="0.55000000000000004">
      <c r="A20" s="66" t="s">
        <v>30</v>
      </c>
      <c r="B20" s="58"/>
      <c r="C20" s="59"/>
      <c r="D20" s="60"/>
      <c r="E20" s="58"/>
      <c r="F20" s="73" t="s">
        <v>31</v>
      </c>
      <c r="G20" s="58"/>
    </row>
    <row r="21" spans="1:7" ht="22" customHeight="1" x14ac:dyDescent="0.55000000000000004">
      <c r="A21" s="62" t="s">
        <v>32</v>
      </c>
      <c r="B21" s="58"/>
      <c r="C21" s="59"/>
      <c r="D21" s="60"/>
      <c r="E21" s="58"/>
      <c r="F21" s="61" t="s">
        <v>33</v>
      </c>
      <c r="G21" s="58"/>
    </row>
    <row r="22" spans="1:7" ht="22" customHeight="1" x14ac:dyDescent="0.55000000000000004">
      <c r="A22" s="66" t="s">
        <v>34</v>
      </c>
      <c r="B22" s="58"/>
      <c r="C22" s="59"/>
      <c r="D22" s="60"/>
      <c r="E22" s="58"/>
      <c r="F22" s="73" t="s">
        <v>35</v>
      </c>
      <c r="G22" s="58"/>
    </row>
    <row r="23" spans="1:7" ht="22" customHeight="1" x14ac:dyDescent="0.55000000000000004">
      <c r="A23" s="62" t="s">
        <v>36</v>
      </c>
      <c r="B23" s="58"/>
      <c r="C23" s="59"/>
      <c r="D23" s="60"/>
      <c r="E23" s="58"/>
      <c r="F23" s="61" t="s">
        <v>37</v>
      </c>
      <c r="G23" s="58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68" t="s">
        <v>38</v>
      </c>
      <c r="B26" s="69"/>
      <c r="C26" s="69"/>
      <c r="D26" s="69"/>
      <c r="E26" s="69"/>
      <c r="F26" s="69"/>
      <c r="G26" s="70"/>
    </row>
    <row r="27" spans="1:7" ht="18" customHeight="1" x14ac:dyDescent="0.55000000000000004">
      <c r="A27" s="2"/>
      <c r="B27" s="2" t="s">
        <v>39</v>
      </c>
      <c r="C27" s="2"/>
      <c r="D27" s="2" t="s">
        <v>40</v>
      </c>
      <c r="E27" s="2"/>
      <c r="F27" s="2" t="s">
        <v>41</v>
      </c>
      <c r="G27" s="2" t="s">
        <v>42</v>
      </c>
    </row>
    <row r="28" spans="1:7" ht="26.05" customHeight="1" x14ac:dyDescent="0.55000000000000004">
      <c r="A28" s="66" t="s">
        <v>43</v>
      </c>
      <c r="B28" s="58"/>
      <c r="C28" s="5"/>
      <c r="D28" s="73" t="s">
        <v>44</v>
      </c>
      <c r="E28" s="58"/>
      <c r="F28" s="74" t="s">
        <v>45</v>
      </c>
      <c r="G28" s="58"/>
    </row>
    <row r="29" spans="1:7" ht="26.05" customHeight="1" x14ac:dyDescent="0.55000000000000004">
      <c r="A29" s="62" t="s">
        <v>46</v>
      </c>
      <c r="B29" s="58"/>
      <c r="C29" s="5"/>
      <c r="D29" s="61" t="s">
        <v>47</v>
      </c>
      <c r="E29" s="58"/>
      <c r="F29" s="57" t="s">
        <v>48</v>
      </c>
      <c r="G29" s="58"/>
    </row>
    <row r="30" spans="1:7" ht="26.05" customHeight="1" x14ac:dyDescent="0.55000000000000004">
      <c r="A30" s="66" t="s">
        <v>49</v>
      </c>
      <c r="B30" s="58"/>
      <c r="C30" s="6">
        <f>C28+C29</f>
        <v>0</v>
      </c>
      <c r="D30" s="73" t="s">
        <v>50</v>
      </c>
      <c r="E30" s="58"/>
      <c r="F30" s="74" t="s">
        <v>51</v>
      </c>
      <c r="G30" s="58"/>
    </row>
    <row r="31" spans="1:7" ht="26.05" customHeight="1" x14ac:dyDescent="0.55000000000000004">
      <c r="A31" s="91" t="s">
        <v>52</v>
      </c>
      <c r="B31" s="58"/>
      <c r="C31" s="5"/>
      <c r="D31" s="61" t="s">
        <v>53</v>
      </c>
      <c r="E31" s="58"/>
      <c r="F31" s="57" t="s">
        <v>54</v>
      </c>
      <c r="G31" s="58"/>
    </row>
    <row r="32" spans="1:7" ht="26.05" customHeight="1" x14ac:dyDescent="0.55000000000000004">
      <c r="A32" s="81" t="s">
        <v>55</v>
      </c>
      <c r="B32" s="58"/>
      <c r="C32" s="7">
        <f>MIN(C30,C31)</f>
        <v>0</v>
      </c>
      <c r="D32" s="73" t="s">
        <v>56</v>
      </c>
      <c r="E32" s="58"/>
      <c r="F32" s="74" t="s">
        <v>51</v>
      </c>
      <c r="G32" s="58"/>
    </row>
    <row r="33" spans="1:7" ht="26.05" customHeight="1" x14ac:dyDescent="0.55000000000000004">
      <c r="A33" s="62" t="s">
        <v>57</v>
      </c>
      <c r="B33" s="58"/>
      <c r="C33" s="8">
        <f>MAX(0,C30-C32)</f>
        <v>0</v>
      </c>
      <c r="D33" s="61" t="s">
        <v>58</v>
      </c>
      <c r="E33" s="58"/>
      <c r="F33" s="57" t="s">
        <v>51</v>
      </c>
      <c r="G33" s="58"/>
    </row>
    <row r="34" spans="1:7" ht="26.05" customHeight="1" x14ac:dyDescent="0.55000000000000004">
      <c r="A34" s="81" t="s">
        <v>59</v>
      </c>
      <c r="B34" s="58"/>
      <c r="C34" s="7">
        <f>C32*0.198</f>
        <v>0</v>
      </c>
      <c r="D34" s="73" t="s">
        <v>60</v>
      </c>
      <c r="E34" s="58"/>
      <c r="F34" s="74" t="s">
        <v>51</v>
      </c>
      <c r="G34" s="58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68" t="s">
        <v>61</v>
      </c>
      <c r="B36" s="69"/>
      <c r="C36" s="69"/>
      <c r="D36" s="69"/>
      <c r="E36" s="69"/>
      <c r="F36" s="69"/>
      <c r="G36" s="70"/>
    </row>
    <row r="37" spans="1:7" ht="18" customHeight="1" x14ac:dyDescent="0.55000000000000004">
      <c r="A37" s="2"/>
      <c r="B37" s="2" t="s">
        <v>62</v>
      </c>
      <c r="C37" s="2"/>
      <c r="D37" s="2" t="s">
        <v>63</v>
      </c>
      <c r="E37" s="2"/>
      <c r="F37" s="2" t="s">
        <v>41</v>
      </c>
      <c r="G37" s="2" t="s">
        <v>64</v>
      </c>
    </row>
    <row r="38" spans="1:7" ht="28" customHeight="1" x14ac:dyDescent="0.55000000000000004">
      <c r="A38" s="66" t="s">
        <v>65</v>
      </c>
      <c r="B38" s="58"/>
      <c r="C38" s="9">
        <f>C30</f>
        <v>0</v>
      </c>
      <c r="D38" s="73" t="s">
        <v>66</v>
      </c>
      <c r="E38" s="58"/>
      <c r="F38" s="88"/>
      <c r="G38" s="58"/>
    </row>
    <row r="39" spans="1:7" ht="28" customHeight="1" x14ac:dyDescent="0.55000000000000004">
      <c r="A39" s="71" t="s">
        <v>67</v>
      </c>
      <c r="B39" s="58"/>
      <c r="C39" s="10">
        <f>C32</f>
        <v>0</v>
      </c>
      <c r="D39" s="78" t="s">
        <v>68</v>
      </c>
      <c r="E39" s="58"/>
      <c r="F39" s="79" t="s">
        <v>69</v>
      </c>
      <c r="G39" s="58"/>
    </row>
    <row r="40" spans="1:7" ht="28" customHeight="1" x14ac:dyDescent="0.55000000000000004">
      <c r="A40" s="66" t="s">
        <v>70</v>
      </c>
      <c r="B40" s="58"/>
      <c r="C40" s="11">
        <f>C33</f>
        <v>0</v>
      </c>
      <c r="D40" s="73" t="s">
        <v>71</v>
      </c>
      <c r="E40" s="58"/>
      <c r="F40" s="88" t="s">
        <v>72</v>
      </c>
      <c r="G40" s="58"/>
    </row>
    <row r="41" spans="1:7" ht="28" customHeight="1" x14ac:dyDescent="0.55000000000000004">
      <c r="A41" s="64" t="s">
        <v>73</v>
      </c>
      <c r="B41" s="58"/>
      <c r="C41" s="8">
        <f>C34</f>
        <v>0</v>
      </c>
      <c r="D41" s="89" t="s">
        <v>74</v>
      </c>
      <c r="E41" s="58"/>
      <c r="F41" s="90" t="s">
        <v>75</v>
      </c>
      <c r="G41" s="58"/>
    </row>
    <row r="42" spans="1:7" ht="28" customHeight="1" x14ac:dyDescent="0.55000000000000004">
      <c r="A42" s="64" t="s">
        <v>76</v>
      </c>
      <c r="B42" s="58"/>
      <c r="C42" s="12" t="s">
        <v>77</v>
      </c>
      <c r="D42" s="76" t="s">
        <v>78</v>
      </c>
      <c r="E42" s="58"/>
      <c r="F42" s="76" t="s">
        <v>79</v>
      </c>
      <c r="G42" s="58"/>
    </row>
    <row r="43" spans="1:7" ht="5.05" customHeight="1" x14ac:dyDescent="0.55000000000000004">
      <c r="A43" s="1"/>
      <c r="B43" s="1"/>
      <c r="C43" s="1"/>
      <c r="D43" s="1"/>
      <c r="E43" s="1"/>
      <c r="F43" s="1"/>
      <c r="G43" s="1"/>
    </row>
    <row r="44" spans="1:7" ht="32.049999999999997" customHeight="1" x14ac:dyDescent="0.55000000000000004">
      <c r="A44" s="63" t="s">
        <v>80</v>
      </c>
      <c r="B44" s="60"/>
      <c r="C44" s="60"/>
      <c r="D44" s="58"/>
      <c r="E44" s="13">
        <f>C32</f>
        <v>0</v>
      </c>
      <c r="F44" s="92" t="s">
        <v>81</v>
      </c>
      <c r="G44" s="58"/>
    </row>
    <row r="45" spans="1:7" ht="28" customHeight="1" x14ac:dyDescent="0.55000000000000004">
      <c r="A45" s="83" t="s">
        <v>82</v>
      </c>
      <c r="B45" s="60"/>
      <c r="C45" s="60"/>
      <c r="D45" s="58"/>
      <c r="E45" s="14">
        <f>C34</f>
        <v>0</v>
      </c>
      <c r="F45" s="76"/>
      <c r="G45" s="58"/>
    </row>
    <row r="46" spans="1:7" ht="30" customHeight="1" x14ac:dyDescent="0.55000000000000004">
      <c r="A46" s="67" t="s">
        <v>83</v>
      </c>
      <c r="B46" s="60"/>
      <c r="C46" s="60"/>
      <c r="D46" s="60"/>
      <c r="E46" s="60"/>
      <c r="F46" s="60"/>
      <c r="G46" s="58"/>
    </row>
  </sheetData>
  <mergeCells count="84">
    <mergeCell ref="A2:G2"/>
    <mergeCell ref="F14:G14"/>
    <mergeCell ref="A40:B40"/>
    <mergeCell ref="A14:D14"/>
    <mergeCell ref="F11:G11"/>
    <mergeCell ref="D40:E40"/>
    <mergeCell ref="F40:G40"/>
    <mergeCell ref="F12:G12"/>
    <mergeCell ref="C17:E17"/>
    <mergeCell ref="D32:E32"/>
    <mergeCell ref="F32:G32"/>
    <mergeCell ref="A18:B18"/>
    <mergeCell ref="C19:E19"/>
    <mergeCell ref="F38:G38"/>
    <mergeCell ref="A20:B20"/>
    <mergeCell ref="A29:B29"/>
    <mergeCell ref="A6:G6"/>
    <mergeCell ref="A32:B32"/>
    <mergeCell ref="D28:E28"/>
    <mergeCell ref="A16:G16"/>
    <mergeCell ref="F22:G22"/>
    <mergeCell ref="A23:B23"/>
    <mergeCell ref="D30:E30"/>
    <mergeCell ref="A12:D12"/>
    <mergeCell ref="A31:B31"/>
    <mergeCell ref="A1:G1"/>
    <mergeCell ref="F31:G31"/>
    <mergeCell ref="F28:G28"/>
    <mergeCell ref="F9:G9"/>
    <mergeCell ref="D39:E39"/>
    <mergeCell ref="F39:G39"/>
    <mergeCell ref="A3:G3"/>
    <mergeCell ref="D29:E29"/>
    <mergeCell ref="D38:E38"/>
    <mergeCell ref="A34:B34"/>
    <mergeCell ref="A8:D8"/>
    <mergeCell ref="A4:G4"/>
    <mergeCell ref="A10:D10"/>
    <mergeCell ref="F21:G21"/>
    <mergeCell ref="F8:G8"/>
    <mergeCell ref="A21:B21"/>
    <mergeCell ref="A9:D9"/>
    <mergeCell ref="F30:G30"/>
    <mergeCell ref="F20:G20"/>
    <mergeCell ref="F18:G18"/>
    <mergeCell ref="F33:G33"/>
    <mergeCell ref="A11:D11"/>
    <mergeCell ref="F17:G17"/>
    <mergeCell ref="F10:G10"/>
    <mergeCell ref="D34:E34"/>
    <mergeCell ref="F19:G19"/>
    <mergeCell ref="C22:E22"/>
    <mergeCell ref="F34:G34"/>
    <mergeCell ref="A46:G46"/>
    <mergeCell ref="D33:E33"/>
    <mergeCell ref="A19:B19"/>
    <mergeCell ref="A28:B28"/>
    <mergeCell ref="A26:G26"/>
    <mergeCell ref="C20:E20"/>
    <mergeCell ref="A39:B39"/>
    <mergeCell ref="A30:B30"/>
    <mergeCell ref="F45:G45"/>
    <mergeCell ref="F42:G42"/>
    <mergeCell ref="A36:G36"/>
    <mergeCell ref="A45:D45"/>
    <mergeCell ref="A38:B38"/>
    <mergeCell ref="D41:E41"/>
    <mergeCell ref="F41:G41"/>
    <mergeCell ref="D42:E42"/>
    <mergeCell ref="F29:G29"/>
    <mergeCell ref="C21:E21"/>
    <mergeCell ref="D31:E31"/>
    <mergeCell ref="A13:D13"/>
    <mergeCell ref="A44:D44"/>
    <mergeCell ref="A41:B41"/>
    <mergeCell ref="C23:E23"/>
    <mergeCell ref="A33:B33"/>
    <mergeCell ref="F23:G23"/>
    <mergeCell ref="A42:B42"/>
    <mergeCell ref="C18:E18"/>
    <mergeCell ref="F13:G13"/>
    <mergeCell ref="A17:B17"/>
    <mergeCell ref="A22:B22"/>
    <mergeCell ref="F44:G44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6">
    <dataValidation type="list" sqref="E8" xr:uid="{00000000-0002-0000-0000-000000000000}">
      <formula1>"EVET,HAYIR-2003 Sonrası Belge"</formula1>
    </dataValidation>
    <dataValidation type="list" sqref="E9" xr:uid="{00000000-0002-0000-0000-000001000000}">
      <formula1>"EVET,HAYIR-Belge/Hesap Eksik"</formula1>
    </dataValidation>
    <dataValidation type="list" sqref="E10" xr:uid="{00000000-0002-0000-0000-000002000000}">
      <formula1>"EVET,HAYIR-Hesap Eksik"</formula1>
    </dataValidation>
    <dataValidation type="list" sqref="E11" xr:uid="{00000000-0002-0000-0000-000003000000}">
      <formula1>"EVET,HAYIR-Stopaj Hesaplanmadı"</formula1>
    </dataValidation>
    <dataValidation type="list" sqref="E12" xr:uid="{00000000-0002-0000-0000-000004000000}">
      <formula1>"EVET,HAYIR-Değerlendirilmedi"</formula1>
    </dataValidation>
    <dataValidation type="list" sqref="E13" xr:uid="{00000000-0002-0000-0000-000005000000}">
      <formula1>"EVET,Tam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2" t="s">
        <v>84</v>
      </c>
      <c r="B1" s="69"/>
      <c r="C1" s="69"/>
      <c r="D1" s="69"/>
      <c r="E1" s="69"/>
      <c r="F1" s="69"/>
      <c r="G1" s="70"/>
    </row>
    <row r="2" spans="1:7" ht="20.05" customHeight="1" x14ac:dyDescent="0.55000000000000004">
      <c r="A2" s="106" t="s">
        <v>85</v>
      </c>
      <c r="B2" s="60"/>
      <c r="C2" s="60"/>
      <c r="D2" s="60"/>
      <c r="E2" s="60"/>
      <c r="F2" s="60"/>
      <c r="G2" s="58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6" t="s">
        <v>86</v>
      </c>
      <c r="B4" s="69"/>
      <c r="C4" s="69"/>
      <c r="D4" s="69"/>
      <c r="E4" s="69"/>
      <c r="F4" s="69"/>
      <c r="G4" s="70"/>
    </row>
    <row r="5" spans="1:7" ht="22" customHeight="1" x14ac:dyDescent="0.55000000000000004">
      <c r="A5" s="99" t="s">
        <v>87</v>
      </c>
      <c r="B5" s="60"/>
      <c r="C5" s="58"/>
      <c r="D5" s="15" t="str">
        <f>'VERİ GİRİŞİ'!E14</f>
        <v>OK - Hesaplanabilir</v>
      </c>
      <c r="E5" s="65" t="s">
        <v>88</v>
      </c>
      <c r="F5" s="60"/>
      <c r="G5" s="58"/>
    </row>
    <row r="6" spans="1:7" ht="22" customHeight="1" x14ac:dyDescent="0.55000000000000004">
      <c r="A6" s="104" t="s">
        <v>89</v>
      </c>
      <c r="B6" s="60"/>
      <c r="C6" s="58"/>
      <c r="D6" s="16">
        <f>'VERİ GİRİŞİ'!E21</f>
        <v>0</v>
      </c>
      <c r="E6" s="88" t="s">
        <v>90</v>
      </c>
      <c r="F6" s="60"/>
      <c r="G6" s="58"/>
    </row>
    <row r="7" spans="1:7" ht="22" customHeight="1" x14ac:dyDescent="0.55000000000000004">
      <c r="A7" s="99" t="s">
        <v>91</v>
      </c>
      <c r="B7" s="60"/>
      <c r="C7" s="58"/>
      <c r="D7" s="15">
        <f>'VERİ GİRİŞİ'!C38</f>
        <v>0</v>
      </c>
      <c r="E7" s="65" t="s">
        <v>92</v>
      </c>
      <c r="F7" s="60"/>
      <c r="G7" s="58"/>
    </row>
    <row r="8" spans="1:7" ht="22" customHeight="1" x14ac:dyDescent="0.55000000000000004">
      <c r="A8" s="87" t="s">
        <v>93</v>
      </c>
      <c r="B8" s="60"/>
      <c r="C8" s="58"/>
      <c r="D8" s="17">
        <f>'VERİ GİRİŞİ'!C39</f>
        <v>0</v>
      </c>
      <c r="E8" s="79">
        <f>'VERİ GİRİŞİ'!C39</f>
        <v>0</v>
      </c>
      <c r="F8" s="60"/>
      <c r="G8" s="58"/>
    </row>
    <row r="9" spans="1:7" ht="22" customHeight="1" x14ac:dyDescent="0.55000000000000004">
      <c r="A9" s="104" t="s">
        <v>94</v>
      </c>
      <c r="B9" s="60"/>
      <c r="C9" s="58"/>
      <c r="D9" s="16">
        <f>'VERİ GİRİŞİ'!C40</f>
        <v>0</v>
      </c>
      <c r="E9" s="88" t="s">
        <v>95</v>
      </c>
      <c r="F9" s="60"/>
      <c r="G9" s="58"/>
    </row>
    <row r="10" spans="1:7" ht="22" customHeight="1" x14ac:dyDescent="0.55000000000000004">
      <c r="A10" s="101" t="s">
        <v>96</v>
      </c>
      <c r="B10" s="60"/>
      <c r="C10" s="58"/>
      <c r="D10" s="8">
        <f>'VERİ GİRİŞİ'!C41</f>
        <v>0</v>
      </c>
      <c r="E10" s="90" t="s">
        <v>97</v>
      </c>
      <c r="F10" s="60"/>
      <c r="G10" s="58"/>
    </row>
    <row r="11" spans="1:7" ht="22" customHeight="1" x14ac:dyDescent="0.55000000000000004">
      <c r="A11" s="101" t="s">
        <v>98</v>
      </c>
      <c r="B11" s="60"/>
      <c r="C11" s="58"/>
      <c r="D11" s="53" t="s">
        <v>99</v>
      </c>
      <c r="E11" s="76" t="s">
        <v>100</v>
      </c>
      <c r="F11" s="60"/>
      <c r="G11" s="5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68" t="s">
        <v>101</v>
      </c>
      <c r="B13" s="69"/>
      <c r="C13" s="69"/>
      <c r="D13" s="69"/>
      <c r="E13" s="69"/>
      <c r="F13" s="69"/>
      <c r="G13" s="70"/>
    </row>
    <row r="14" spans="1:7" ht="80.05" customHeight="1" x14ac:dyDescent="0.55000000000000004">
      <c r="A14" s="93" t="s">
        <v>102</v>
      </c>
      <c r="B14" s="60"/>
      <c r="C14" s="60"/>
      <c r="D14" s="60"/>
      <c r="E14" s="60"/>
      <c r="F14" s="60"/>
      <c r="G14" s="58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8" t="s">
        <v>103</v>
      </c>
      <c r="B16" s="69"/>
      <c r="C16" s="69"/>
      <c r="D16" s="69"/>
      <c r="E16" s="69"/>
      <c r="F16" s="69"/>
      <c r="G16" s="70"/>
    </row>
    <row r="17" spans="1:7" ht="60" customHeight="1" x14ac:dyDescent="0.55000000000000004">
      <c r="A17" s="94" t="s">
        <v>104</v>
      </c>
      <c r="B17" s="60"/>
      <c r="C17" s="60"/>
      <c r="D17" s="60"/>
      <c r="E17" s="60"/>
      <c r="F17" s="60"/>
      <c r="G17" s="58"/>
    </row>
    <row r="18" spans="1:7" ht="5.05" customHeight="1" x14ac:dyDescent="0.55000000000000004">
      <c r="A18" s="1"/>
      <c r="B18" s="1"/>
      <c r="C18" s="1"/>
      <c r="D18" s="1"/>
      <c r="E18" s="1"/>
      <c r="F18" s="1"/>
      <c r="G18" s="1"/>
    </row>
    <row r="19" spans="1:7" ht="22" customHeight="1" x14ac:dyDescent="0.55000000000000004">
      <c r="A19" s="68" t="s">
        <v>105</v>
      </c>
      <c r="B19" s="69"/>
      <c r="C19" s="69"/>
      <c r="D19" s="69"/>
      <c r="E19" s="69"/>
      <c r="F19" s="69"/>
      <c r="G19" s="70"/>
    </row>
    <row r="20" spans="1:7" ht="18" customHeight="1" x14ac:dyDescent="0.55000000000000004">
      <c r="A20" s="2"/>
      <c r="B20" s="2" t="s">
        <v>106</v>
      </c>
      <c r="C20" s="2"/>
      <c r="D20" s="2" t="s">
        <v>41</v>
      </c>
      <c r="E20" s="2"/>
      <c r="F20" s="2" t="s">
        <v>107</v>
      </c>
      <c r="G20" s="2"/>
    </row>
    <row r="21" spans="1:7" ht="20.05" customHeight="1" x14ac:dyDescent="0.55000000000000004">
      <c r="A21" s="18" t="s">
        <v>108</v>
      </c>
      <c r="B21" s="95" t="s">
        <v>109</v>
      </c>
      <c r="C21" s="58"/>
      <c r="D21" s="97" t="s">
        <v>110</v>
      </c>
      <c r="E21" s="58"/>
      <c r="F21" s="21" t="s">
        <v>111</v>
      </c>
      <c r="G21" s="22"/>
    </row>
    <row r="22" spans="1:7" ht="20.05" customHeight="1" x14ac:dyDescent="0.55000000000000004">
      <c r="A22" s="18" t="s">
        <v>112</v>
      </c>
      <c r="B22" s="95" t="s">
        <v>113</v>
      </c>
      <c r="C22" s="58"/>
      <c r="D22" s="97" t="s">
        <v>114</v>
      </c>
      <c r="E22" s="58"/>
      <c r="F22" s="21" t="s">
        <v>111</v>
      </c>
      <c r="G22" s="23"/>
    </row>
    <row r="23" spans="1:7" ht="20.05" customHeight="1" x14ac:dyDescent="0.55000000000000004">
      <c r="A23" s="18" t="s">
        <v>115</v>
      </c>
      <c r="B23" s="95" t="s">
        <v>116</v>
      </c>
      <c r="C23" s="58"/>
      <c r="D23" s="97" t="s">
        <v>117</v>
      </c>
      <c r="E23" s="58"/>
      <c r="F23" s="21" t="s">
        <v>111</v>
      </c>
      <c r="G23" s="22"/>
    </row>
    <row r="24" spans="1:7" ht="20.05" customHeight="1" x14ac:dyDescent="0.55000000000000004">
      <c r="A24" s="18" t="s">
        <v>118</v>
      </c>
      <c r="B24" s="95" t="s">
        <v>119</v>
      </c>
      <c r="C24" s="58"/>
      <c r="D24" s="97" t="s">
        <v>120</v>
      </c>
      <c r="E24" s="58"/>
      <c r="F24" s="21" t="s">
        <v>111</v>
      </c>
      <c r="G24" s="23"/>
    </row>
    <row r="25" spans="1:7" ht="20.05" customHeight="1" x14ac:dyDescent="0.55000000000000004">
      <c r="A25" s="18" t="s">
        <v>121</v>
      </c>
      <c r="B25" s="95" t="s">
        <v>122</v>
      </c>
      <c r="C25" s="58"/>
      <c r="D25" s="97" t="s">
        <v>123</v>
      </c>
      <c r="E25" s="58"/>
      <c r="F25" s="21" t="s">
        <v>111</v>
      </c>
      <c r="G25" s="22"/>
    </row>
    <row r="26" spans="1:7" ht="20.05" customHeight="1" x14ac:dyDescent="0.55000000000000004">
      <c r="A26" s="18" t="s">
        <v>124</v>
      </c>
      <c r="B26" s="103" t="s">
        <v>125</v>
      </c>
      <c r="C26" s="58"/>
      <c r="D26" s="105" t="s">
        <v>126</v>
      </c>
      <c r="E26" s="58"/>
      <c r="F26" s="21" t="s">
        <v>111</v>
      </c>
      <c r="G26" s="23"/>
    </row>
    <row r="27" spans="1:7" ht="20.05" customHeight="1" x14ac:dyDescent="0.55000000000000004">
      <c r="A27" s="18" t="s">
        <v>127</v>
      </c>
      <c r="B27" s="98" t="s">
        <v>128</v>
      </c>
      <c r="C27" s="58"/>
      <c r="D27" s="100" t="s">
        <v>129</v>
      </c>
      <c r="E27" s="58"/>
      <c r="F27" s="21" t="s">
        <v>111</v>
      </c>
      <c r="G27" s="22"/>
    </row>
    <row r="28" spans="1:7" ht="20.05" customHeight="1" x14ac:dyDescent="0.55000000000000004">
      <c r="A28" s="18" t="s">
        <v>130</v>
      </c>
      <c r="B28" s="103" t="s">
        <v>131</v>
      </c>
      <c r="C28" s="58"/>
      <c r="D28" s="105" t="s">
        <v>132</v>
      </c>
      <c r="E28" s="58"/>
      <c r="F28" s="21" t="s">
        <v>111</v>
      </c>
      <c r="G28" s="23"/>
    </row>
    <row r="29" spans="1:7" ht="20.05" customHeight="1" x14ac:dyDescent="0.55000000000000004">
      <c r="A29" s="18" t="s">
        <v>133</v>
      </c>
      <c r="B29" s="98" t="s">
        <v>134</v>
      </c>
      <c r="C29" s="58"/>
      <c r="D29" s="100" t="s">
        <v>135</v>
      </c>
      <c r="E29" s="58"/>
      <c r="F29" s="21" t="s">
        <v>111</v>
      </c>
      <c r="G29" s="22"/>
    </row>
    <row r="30" spans="1:7" ht="20.05" customHeight="1" x14ac:dyDescent="0.55000000000000004">
      <c r="A30" s="18" t="s">
        <v>136</v>
      </c>
      <c r="B30" s="103" t="s">
        <v>137</v>
      </c>
      <c r="C30" s="58"/>
      <c r="D30" s="105" t="s">
        <v>20</v>
      </c>
      <c r="E30" s="58"/>
      <c r="F30" s="21" t="s">
        <v>111</v>
      </c>
      <c r="G30" s="23"/>
    </row>
  </sheetData>
  <mergeCells count="42">
    <mergeCell ref="B30:C30"/>
    <mergeCell ref="A11:C11"/>
    <mergeCell ref="D24:E24"/>
    <mergeCell ref="D30:E30"/>
    <mergeCell ref="E5:G5"/>
    <mergeCell ref="D29:E29"/>
    <mergeCell ref="A6:C6"/>
    <mergeCell ref="E8:G8"/>
    <mergeCell ref="D23:E23"/>
    <mergeCell ref="B26:C26"/>
    <mergeCell ref="A7:C7"/>
    <mergeCell ref="D26:E26"/>
    <mergeCell ref="A1:G1"/>
    <mergeCell ref="B29:C29"/>
    <mergeCell ref="B28:C28"/>
    <mergeCell ref="A9:C9"/>
    <mergeCell ref="D28:E28"/>
    <mergeCell ref="A16:G16"/>
    <mergeCell ref="D25:E25"/>
    <mergeCell ref="B24:C24"/>
    <mergeCell ref="A2:G2"/>
    <mergeCell ref="B27:C27"/>
    <mergeCell ref="A19:G19"/>
    <mergeCell ref="E6:G6"/>
    <mergeCell ref="D21:E21"/>
    <mergeCell ref="A13:G13"/>
    <mergeCell ref="B21:C21"/>
    <mergeCell ref="E11:G11"/>
    <mergeCell ref="A8:C8"/>
    <mergeCell ref="D27:E27"/>
    <mergeCell ref="B23:C23"/>
    <mergeCell ref="E7:G7"/>
    <mergeCell ref="A10:C10"/>
    <mergeCell ref="E10:G10"/>
    <mergeCell ref="A14:G14"/>
    <mergeCell ref="A17:G17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8" t="s">
        <v>138</v>
      </c>
      <c r="B1" s="69"/>
      <c r="C1" s="69"/>
      <c r="D1" s="69"/>
      <c r="E1" s="69"/>
      <c r="F1" s="69"/>
      <c r="G1" s="70"/>
    </row>
    <row r="2" spans="1:7" ht="22" customHeight="1" x14ac:dyDescent="0.55000000000000004">
      <c r="A2" s="108" t="s">
        <v>139</v>
      </c>
      <c r="B2" s="60"/>
      <c r="C2" s="60"/>
      <c r="D2" s="60"/>
      <c r="E2" s="60"/>
      <c r="F2" s="60"/>
      <c r="G2" s="58"/>
    </row>
    <row r="3" spans="1:7" ht="18" customHeight="1" x14ac:dyDescent="0.55000000000000004">
      <c r="A3" s="26"/>
      <c r="B3" s="26" t="s">
        <v>140</v>
      </c>
      <c r="C3" s="26" t="s">
        <v>141</v>
      </c>
      <c r="D3" s="26" t="s">
        <v>64</v>
      </c>
      <c r="E3" s="26" t="s">
        <v>142</v>
      </c>
      <c r="F3" s="26" t="s">
        <v>143</v>
      </c>
      <c r="G3" s="26" t="s">
        <v>144</v>
      </c>
    </row>
    <row r="4" spans="1:7" ht="22" customHeight="1" x14ac:dyDescent="0.55000000000000004">
      <c r="A4" s="27" t="s">
        <v>64</v>
      </c>
      <c r="B4" s="27" t="s">
        <v>145</v>
      </c>
      <c r="C4" s="27" t="s">
        <v>146</v>
      </c>
      <c r="D4" s="27" t="s">
        <v>147</v>
      </c>
      <c r="E4" s="27" t="s">
        <v>148</v>
      </c>
      <c r="F4" s="27" t="s">
        <v>149</v>
      </c>
      <c r="G4" s="27" t="s">
        <v>150</v>
      </c>
    </row>
    <row r="5" spans="1:7" ht="22" customHeight="1" x14ac:dyDescent="0.55000000000000004">
      <c r="A5" s="110" t="s">
        <v>151</v>
      </c>
      <c r="B5" s="60"/>
      <c r="C5" s="60"/>
      <c r="D5" s="60"/>
      <c r="E5" s="60"/>
      <c r="F5" s="60"/>
      <c r="G5" s="58"/>
    </row>
    <row r="6" spans="1:7" ht="18" customHeight="1" x14ac:dyDescent="0.55000000000000004">
      <c r="A6" s="26"/>
      <c r="B6" s="26" t="s">
        <v>140</v>
      </c>
      <c r="C6" s="26" t="s">
        <v>141</v>
      </c>
      <c r="D6" s="26" t="s">
        <v>64</v>
      </c>
      <c r="E6" s="26" t="s">
        <v>142</v>
      </c>
      <c r="F6" s="26" t="s">
        <v>143</v>
      </c>
      <c r="G6" s="26" t="s">
        <v>144</v>
      </c>
    </row>
    <row r="7" spans="1:7" ht="22" customHeight="1" x14ac:dyDescent="0.55000000000000004">
      <c r="A7" s="27" t="s">
        <v>142</v>
      </c>
      <c r="B7" s="27" t="s">
        <v>152</v>
      </c>
      <c r="C7" s="27" t="s">
        <v>153</v>
      </c>
      <c r="D7" s="27" t="s">
        <v>154</v>
      </c>
      <c r="E7" s="27" t="s">
        <v>155</v>
      </c>
      <c r="F7" s="27" t="s">
        <v>149</v>
      </c>
      <c r="G7" s="27" t="s">
        <v>156</v>
      </c>
    </row>
    <row r="8" spans="1:7" ht="22" customHeight="1" x14ac:dyDescent="0.55000000000000004">
      <c r="A8" s="107" t="s">
        <v>157</v>
      </c>
      <c r="B8" s="60"/>
      <c r="C8" s="60"/>
      <c r="D8" s="60"/>
      <c r="E8" s="60"/>
      <c r="F8" s="60"/>
      <c r="G8" s="58"/>
    </row>
    <row r="9" spans="1:7" ht="18" customHeight="1" x14ac:dyDescent="0.55000000000000004">
      <c r="A9" s="26"/>
      <c r="B9" s="26" t="s">
        <v>140</v>
      </c>
      <c r="C9" s="26" t="s">
        <v>141</v>
      </c>
      <c r="D9" s="26" t="s">
        <v>64</v>
      </c>
      <c r="E9" s="26" t="s">
        <v>142</v>
      </c>
      <c r="F9" s="26" t="s">
        <v>143</v>
      </c>
      <c r="G9" s="26" t="s">
        <v>144</v>
      </c>
    </row>
    <row r="10" spans="1:7" ht="22" customHeight="1" x14ac:dyDescent="0.55000000000000004">
      <c r="A10" s="27" t="s">
        <v>142</v>
      </c>
      <c r="B10" s="27" t="s">
        <v>145</v>
      </c>
      <c r="C10" s="27" t="s">
        <v>158</v>
      </c>
      <c r="D10" s="27" t="s">
        <v>159</v>
      </c>
      <c r="E10" s="27" t="s">
        <v>160</v>
      </c>
      <c r="F10" s="27" t="s">
        <v>149</v>
      </c>
      <c r="G10" s="27" t="s">
        <v>161</v>
      </c>
    </row>
    <row r="11" spans="1:7" ht="44.05" customHeight="1" x14ac:dyDescent="0.55000000000000004">
      <c r="A11" s="109" t="s">
        <v>162</v>
      </c>
      <c r="B11" s="60"/>
      <c r="C11" s="60"/>
      <c r="D11" s="60"/>
      <c r="E11" s="60"/>
      <c r="F11" s="60"/>
      <c r="G11" s="58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8" t="s">
        <v>163</v>
      </c>
      <c r="B1" s="69"/>
      <c r="C1" s="69"/>
      <c r="D1" s="69"/>
      <c r="E1" s="69"/>
      <c r="F1" s="69"/>
      <c r="G1" s="70"/>
    </row>
    <row r="2" spans="1:7" ht="20.05" customHeight="1" x14ac:dyDescent="0.55000000000000004">
      <c r="A2" s="85" t="s">
        <v>164</v>
      </c>
      <c r="B2" s="69"/>
      <c r="C2" s="69"/>
      <c r="D2" s="69"/>
      <c r="E2" s="69"/>
      <c r="F2" s="69"/>
      <c r="G2" s="70"/>
    </row>
    <row r="3" spans="1:7" ht="18" customHeight="1" x14ac:dyDescent="0.55000000000000004">
      <c r="A3" s="26" t="s">
        <v>165</v>
      </c>
      <c r="B3" s="26" t="s">
        <v>166</v>
      </c>
      <c r="C3" s="26" t="s">
        <v>167</v>
      </c>
      <c r="D3" s="26" t="s">
        <v>168</v>
      </c>
    </row>
    <row r="4" spans="1:7" ht="68.05" customHeight="1" x14ac:dyDescent="0.55000000000000004">
      <c r="A4" s="18" t="s">
        <v>169</v>
      </c>
      <c r="B4" s="24" t="s">
        <v>170</v>
      </c>
      <c r="C4" s="28" t="s">
        <v>171</v>
      </c>
      <c r="D4" s="29" t="s">
        <v>172</v>
      </c>
    </row>
    <row r="5" spans="1:7" ht="56.05" customHeight="1" x14ac:dyDescent="0.55000000000000004">
      <c r="A5" s="30" t="s">
        <v>173</v>
      </c>
      <c r="B5" s="19" t="s">
        <v>174</v>
      </c>
      <c r="C5" s="20" t="s">
        <v>175</v>
      </c>
      <c r="D5" s="31" t="s">
        <v>176</v>
      </c>
    </row>
    <row r="6" spans="1:7" ht="52" customHeight="1" x14ac:dyDescent="0.55000000000000004">
      <c r="A6" s="18" t="s">
        <v>177</v>
      </c>
      <c r="B6" s="24" t="s">
        <v>178</v>
      </c>
      <c r="C6" s="28" t="s">
        <v>179</v>
      </c>
      <c r="D6" s="29" t="s">
        <v>180</v>
      </c>
    </row>
    <row r="7" spans="1:7" ht="56.05" customHeight="1" x14ac:dyDescent="0.55000000000000004">
      <c r="A7" s="54" t="s">
        <v>181</v>
      </c>
      <c r="B7" s="55" t="s">
        <v>182</v>
      </c>
      <c r="C7" s="20" t="s">
        <v>183</v>
      </c>
      <c r="D7" s="56" t="s">
        <v>184</v>
      </c>
    </row>
    <row r="8" spans="1:7" ht="64" customHeight="1" x14ac:dyDescent="0.55000000000000004">
      <c r="A8" s="18" t="s">
        <v>185</v>
      </c>
      <c r="B8" s="25" t="s">
        <v>186</v>
      </c>
      <c r="C8" s="28" t="s">
        <v>187</v>
      </c>
      <c r="D8" s="32" t="s">
        <v>188</v>
      </c>
    </row>
    <row r="9" spans="1:7" ht="36" customHeight="1" x14ac:dyDescent="0.55000000000000004">
      <c r="A9" s="111" t="s">
        <v>189</v>
      </c>
      <c r="B9" s="60"/>
      <c r="C9" s="60"/>
      <c r="D9" s="58"/>
      <c r="E9" s="33"/>
      <c r="F9" s="33"/>
      <c r="G9" s="33"/>
    </row>
  </sheetData>
  <mergeCells count="3">
    <mergeCell ref="A1:G1"/>
    <mergeCell ref="A2:G2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8" t="s">
        <v>190</v>
      </c>
      <c r="B1" s="69"/>
      <c r="C1" s="69"/>
      <c r="D1" s="69"/>
      <c r="E1" s="69"/>
      <c r="F1" s="69"/>
      <c r="G1" s="70"/>
    </row>
    <row r="2" spans="1:7" ht="20.05" customHeight="1" x14ac:dyDescent="0.55000000000000004">
      <c r="A2" s="85" t="s">
        <v>191</v>
      </c>
      <c r="B2" s="69"/>
      <c r="C2" s="69"/>
      <c r="D2" s="69"/>
      <c r="E2" s="69"/>
      <c r="F2" s="69"/>
      <c r="G2" s="70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3" t="s">
        <v>192</v>
      </c>
      <c r="B4" s="69"/>
      <c r="C4" s="69"/>
      <c r="D4" s="69"/>
      <c r="E4" s="69"/>
      <c r="F4" s="69"/>
      <c r="G4" s="70"/>
    </row>
    <row r="5" spans="1:7" ht="18" customHeight="1" x14ac:dyDescent="0.55000000000000004">
      <c r="A5" s="26"/>
      <c r="B5" s="26" t="s">
        <v>193</v>
      </c>
      <c r="C5" s="26" t="s">
        <v>194</v>
      </c>
      <c r="D5" s="26" t="s">
        <v>41</v>
      </c>
      <c r="E5" s="26" t="s">
        <v>195</v>
      </c>
      <c r="F5" s="26"/>
    </row>
    <row r="6" spans="1:7" ht="36" customHeight="1" x14ac:dyDescent="0.55000000000000004">
      <c r="A6" s="34"/>
      <c r="B6" s="35" t="s">
        <v>196</v>
      </c>
      <c r="C6" s="36" t="s">
        <v>197</v>
      </c>
      <c r="D6" s="37" t="s">
        <v>198</v>
      </c>
      <c r="E6" s="38" t="s">
        <v>199</v>
      </c>
      <c r="F6" s="34"/>
    </row>
    <row r="7" spans="1:7" ht="36" customHeight="1" x14ac:dyDescent="0.55000000000000004">
      <c r="A7" s="22"/>
      <c r="B7" s="39" t="s">
        <v>200</v>
      </c>
      <c r="C7" s="40" t="s">
        <v>201</v>
      </c>
      <c r="D7" s="37" t="s">
        <v>202</v>
      </c>
      <c r="E7" s="41" t="s">
        <v>203</v>
      </c>
      <c r="F7" s="22"/>
    </row>
    <row r="8" spans="1:7" ht="36" customHeight="1" x14ac:dyDescent="0.55000000000000004">
      <c r="A8" s="34"/>
      <c r="B8" s="35" t="s">
        <v>204</v>
      </c>
      <c r="C8" s="36" t="s">
        <v>205</v>
      </c>
      <c r="D8" s="37" t="s">
        <v>206</v>
      </c>
      <c r="E8" s="38" t="s">
        <v>207</v>
      </c>
      <c r="F8" s="34"/>
    </row>
    <row r="9" spans="1:7" ht="36" customHeight="1" x14ac:dyDescent="0.55000000000000004">
      <c r="A9" s="22"/>
      <c r="B9" s="39" t="s">
        <v>208</v>
      </c>
      <c r="C9" s="40" t="s">
        <v>209</v>
      </c>
      <c r="D9" s="37" t="s">
        <v>210</v>
      </c>
      <c r="E9" s="41" t="s">
        <v>211</v>
      </c>
      <c r="F9" s="22"/>
    </row>
    <row r="10" spans="1:7" ht="36" customHeight="1" x14ac:dyDescent="0.55000000000000004">
      <c r="A10" s="34"/>
      <c r="B10" s="35" t="s">
        <v>212</v>
      </c>
      <c r="C10" s="42" t="s">
        <v>213</v>
      </c>
      <c r="D10" s="37" t="s">
        <v>214</v>
      </c>
      <c r="E10" s="38" t="s">
        <v>215</v>
      </c>
      <c r="F10" s="3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2" t="s">
        <v>216</v>
      </c>
      <c r="B12" s="69"/>
      <c r="C12" s="69"/>
      <c r="D12" s="69"/>
      <c r="E12" s="69"/>
      <c r="F12" s="69"/>
      <c r="G12" s="70"/>
    </row>
    <row r="13" spans="1:7" ht="18" customHeight="1" x14ac:dyDescent="0.55000000000000004">
      <c r="A13" s="43"/>
      <c r="B13" s="43" t="s">
        <v>193</v>
      </c>
      <c r="C13" s="43" t="s">
        <v>5</v>
      </c>
      <c r="D13" s="43" t="s">
        <v>217</v>
      </c>
      <c r="E13" s="43" t="s">
        <v>218</v>
      </c>
      <c r="F13" s="43"/>
    </row>
    <row r="14" spans="1:7" ht="28" customHeight="1" x14ac:dyDescent="0.55000000000000004">
      <c r="A14" s="44"/>
      <c r="B14" s="45" t="s">
        <v>219</v>
      </c>
      <c r="C14" s="46" t="s">
        <v>220</v>
      </c>
      <c r="D14" s="47" t="s">
        <v>221</v>
      </c>
      <c r="E14" s="48" t="s">
        <v>222</v>
      </c>
      <c r="F14" s="44"/>
    </row>
    <row r="15" spans="1:7" ht="28" customHeight="1" x14ac:dyDescent="0.55000000000000004">
      <c r="A15" s="44"/>
      <c r="B15" s="45" t="s">
        <v>223</v>
      </c>
      <c r="C15" s="46" t="s">
        <v>224</v>
      </c>
      <c r="D15" s="47" t="s">
        <v>225</v>
      </c>
      <c r="E15" s="48" t="s">
        <v>222</v>
      </c>
      <c r="F15" s="44"/>
    </row>
    <row r="16" spans="1:7" ht="28" customHeight="1" x14ac:dyDescent="0.55000000000000004">
      <c r="A16" s="44"/>
      <c r="B16" s="45" t="s">
        <v>226</v>
      </c>
      <c r="C16" s="46" t="s">
        <v>227</v>
      </c>
      <c r="D16" s="47" t="s">
        <v>228</v>
      </c>
      <c r="E16" s="48" t="s">
        <v>222</v>
      </c>
      <c r="F16" s="44"/>
    </row>
    <row r="17" spans="1:7" ht="28" customHeight="1" x14ac:dyDescent="0.55000000000000004">
      <c r="A17" s="44"/>
      <c r="B17" s="45" t="s">
        <v>229</v>
      </c>
      <c r="C17" s="46" t="s">
        <v>230</v>
      </c>
      <c r="D17" s="47" t="s">
        <v>231</v>
      </c>
      <c r="E17" s="48" t="s">
        <v>222</v>
      </c>
      <c r="F17" s="44"/>
    </row>
    <row r="18" spans="1:7" ht="28" customHeight="1" x14ac:dyDescent="0.55000000000000004">
      <c r="A18" s="44"/>
      <c r="B18" s="45" t="s">
        <v>232</v>
      </c>
      <c r="C18" s="46" t="s">
        <v>233</v>
      </c>
      <c r="D18" s="47" t="s">
        <v>234</v>
      </c>
      <c r="E18" s="48" t="s">
        <v>222</v>
      </c>
      <c r="F18" s="44"/>
    </row>
    <row r="19" spans="1:7" ht="28" customHeight="1" x14ac:dyDescent="0.55000000000000004">
      <c r="A19" s="23"/>
      <c r="B19" s="49" t="s">
        <v>235</v>
      </c>
      <c r="C19" s="50" t="s">
        <v>128</v>
      </c>
      <c r="D19" s="51" t="s">
        <v>236</v>
      </c>
      <c r="E19" s="52" t="s">
        <v>222</v>
      </c>
      <c r="F19" s="23"/>
    </row>
    <row r="20" spans="1:7" ht="28" customHeight="1" x14ac:dyDescent="0.55000000000000004">
      <c r="A20" s="23"/>
      <c r="B20" s="49" t="s">
        <v>237</v>
      </c>
      <c r="C20" s="50" t="s">
        <v>238</v>
      </c>
      <c r="D20" s="51" t="s">
        <v>126</v>
      </c>
      <c r="E20" s="52" t="s">
        <v>222</v>
      </c>
      <c r="F20" s="23"/>
    </row>
    <row r="21" spans="1:7" ht="28" customHeight="1" x14ac:dyDescent="0.55000000000000004">
      <c r="A21" s="23"/>
      <c r="B21" s="49" t="s">
        <v>239</v>
      </c>
      <c r="C21" s="50" t="s">
        <v>240</v>
      </c>
      <c r="D21" s="51" t="s">
        <v>241</v>
      </c>
      <c r="E21" s="52" t="s">
        <v>222</v>
      </c>
      <c r="F21" s="23"/>
    </row>
    <row r="22" spans="1:7" ht="28" customHeight="1" x14ac:dyDescent="0.55000000000000004">
      <c r="A22" s="23"/>
      <c r="B22" s="49" t="s">
        <v>242</v>
      </c>
      <c r="C22" s="50" t="s">
        <v>137</v>
      </c>
      <c r="D22" s="51" t="s">
        <v>243</v>
      </c>
      <c r="E22" s="52" t="s">
        <v>222</v>
      </c>
      <c r="F22" s="23"/>
    </row>
    <row r="23" spans="1:7" ht="5.05" customHeight="1" x14ac:dyDescent="0.55000000000000004">
      <c r="A23" s="1"/>
      <c r="B23" s="1"/>
      <c r="C23" s="1"/>
      <c r="D23" s="1"/>
      <c r="E23" s="1"/>
      <c r="F23" s="1"/>
      <c r="G23" s="1"/>
    </row>
    <row r="24" spans="1:7" ht="52" customHeight="1" x14ac:dyDescent="0.55000000000000004">
      <c r="A24" s="111" t="s">
        <v>244</v>
      </c>
      <c r="B24" s="60"/>
      <c r="C24" s="60"/>
      <c r="D24" s="60"/>
      <c r="E24" s="60"/>
      <c r="F24" s="58"/>
      <c r="G24" s="33"/>
    </row>
  </sheetData>
  <mergeCells count="5">
    <mergeCell ref="A24:F24"/>
    <mergeCell ref="A1:G1"/>
    <mergeCell ref="A12:G1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2026-04-07T09:31:31Z</dcterms:created>
  <dcterms:modified xsi:type="dcterms:W3CDTF">2026-04-07T09:45:44Z</dcterms:modified>
</cp:coreProperties>
</file>