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3D8008A2-0E6D-4ED8-A7FA-48C6B789E10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D8" i="2"/>
  <c r="D7" i="2"/>
  <c r="D6" i="2"/>
  <c r="C47" i="1"/>
  <c r="C51" i="1" s="1"/>
  <c r="F46" i="1"/>
  <c r="F45" i="1"/>
  <c r="F44" i="1"/>
  <c r="F43" i="1"/>
  <c r="F42" i="1"/>
  <c r="F41" i="1"/>
  <c r="F47" i="1" s="1"/>
  <c r="C54" i="1" s="1"/>
  <c r="C35" i="1"/>
  <c r="E15" i="1"/>
  <c r="D5" i="2" s="1"/>
</calcChain>
</file>

<file path=xl/sharedStrings.xml><?xml version="1.0" encoding="utf-8"?>
<sst xmlns="http://schemas.openxmlformats.org/spreadsheetml/2006/main" count="339" uniqueCount="267">
  <si>
    <t>462 – TÜRKİYE KIZILAY DERNEĞİNE YAPILAN NAKDİ BAĞIŞ VE YARDIMLAR | KVK Mad. 10/1-f | YMM TASDİK</t>
  </si>
  <si>
    <t>Beyanname 462 | GİB KV Beyan Rehberi Mart 2026 (No:606) | ✗ YİAKV MATRAHINDA DÜŞÜLEMEZ</t>
  </si>
  <si>
    <t xml:space="preserve">  KVK Md.10/1-f KAPSAMI — TÜRKİYE KIZILAY DERNEĞİNE NAKDİ BAĞIŞ VE YARDIMLAR:
  Türkiye Kızılay Derneği'ne makbuz karşılığında yapılan nakdi bağış ve yardımların TAMAMI kurumlar vergisi matrahından indirilir.
  ★ EN KRİTİK KISITLAMA: YALNIZCA NAKDİ BAĞIŞ indirim konusu olabilir.
  Kızılay'a yapılan AYNİ bağış ve yardımlar (gıda, giyim, ekipman, ilaç vb.) KVK Md.10/1-f kapsamında İNDİRİLEMEZ — kapsam dışıdır.
  ★ DOĞRUDAN KIZILAY'A: Bağışın Türkiye Kızılay Derneği'nin banka hesabına doğrudan yatırılması gerekir. Üçüncü kişi aracılığıyla → Kapsam riski.
  İNDİRİM: TAMAMININ İNDİRİMİ — matrahı aşan kısım devredilemez.
  ★ YİAKV: DÜŞÜLEMEZ — E.11 bilgi satırı.</t>
  </si>
  <si>
    <t xml:space="preserve">  ✗ YİAKV: 462 DÜŞÜLEMEZ — E.11. ★ AYNİ BAĞIŞ UYARISI: Kızılay'a yapılan ayni bağış (gıda/giyim/ilaç/ekipman) 462 kapsamında İNDİRİLEMEZ. Ayni bağış KKEG'e alınır ve matrahtan düşülemez — net KV yükü doğurur. Kızılay'a yardım planlanıyorsa nakdi tercih edilmeli.</t>
  </si>
  <si>
    <t>A0. KAPSAM VE NİTELİK UYGUNLUK ÖN KONTROLÜ — KVK Md.10/1-f KIZILAY BAĞIŞI</t>
  </si>
  <si>
    <t>Kontrol Sorusu</t>
  </si>
  <si>
    <t>Yanıt</t>
  </si>
  <si>
    <t>YMM Tasdik Notu</t>
  </si>
  <si>
    <t>A0.1  ★ Bağış Türkiye Kızılay Derneği'ne mi yapıldı?</t>
  </si>
  <si>
    <t>EVET</t>
  </si>
  <si>
    <t>Alıcı: Türkiye Kızılay Derneği (Kızılay). Türk Kızılay'ın yurt dışı birimleri, bağlı vakıf veya şirketler → Teyit gerekli. Başka yardım kuruluşu (Kızılhaç, UNICEF vb.) → Kapsam dışı.</t>
  </si>
  <si>
    <t>A0.2  ★ BAĞIŞ NAKDİ Mİ? (Ayni bağış = Kapsam dışı!)</t>
  </si>
  <si>
    <t>EVET — Nakdi (Banka)</t>
  </si>
  <si>
    <t>★ EN KRİTİK KONTROL: Nakdi bağış → 462 kapsamı. Ayni bağış (gıda, giyim, ilaç, ekipman) → KVK Md.10/1-f KAPSAMI DIŞI. Ayni bağış KKEG'e alınır, matrahtan düşülemez.</t>
  </si>
  <si>
    <t>A0.3  ★ Ödeme Kızılay'ın banka hesabına doğrudan yapıldı mı?</t>
  </si>
  <si>
    <t>Kızılay'ın resmi banka hesabına EFT/havale. Üçüncü şahıs hesabına ödeme → Kapsam riski. Nakit ödeme → Banka kaydı olmadan risk.</t>
  </si>
  <si>
    <t>A0.4  Kızılay'dan resmi bağış makbuzu alındı mı?</t>
  </si>
  <si>
    <t>Türkiye Kızılay Derneği tarafından düzenlenen resmi makbuz zorunludur. Makbuz olmadan 462 uygulanması riski.</t>
  </si>
  <si>
    <t>A0.5  Bağış FİİLEN dönem içinde yapıldı mı?</t>
  </si>
  <si>
    <t>İndirim hakkı fiili ödemenin yapıldığı döneme aittir.</t>
  </si>
  <si>
    <t>A0.6  ✗ YİAKV E.11'de bilgi satırı olarak gösterildi mi?</t>
  </si>
  <si>
    <t>462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</si>
  <si>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</si>
  <si>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</si>
  <si>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</si>
  <si>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Kızılay | A0.2 NAKDİ (ayni = hata!) | A0.3 banka hesabı | A0.4 makbuz.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</si>
  <si>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</si>
  <si>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</si>
  <si>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</si>
  <si>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</si>
  <si>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</si>
  <si>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</si>
  <si>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</si>
  <si>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</si>
  <si>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</si>
  <si>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</si>
  <si>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Türkiye Kızılay Derneği</t>
  </si>
  <si>
    <t>Bağış Niteliği</t>
  </si>
  <si>
    <t>★ YALNIZCA NAKDİ — Ayni bağış kapsam dışıdır</t>
  </si>
  <si>
    <t>Dosya Referansı</t>
  </si>
  <si>
    <t>YMM-2025/462-01</t>
  </si>
  <si>
    <t>B. BAĞIŞ VE YARDIM DETAYLARI — KVK Md.10/1-f / TÜRKİYE KIZILAY DERNEĞİ</t>
  </si>
  <si>
    <t>Parametre</t>
  </si>
  <si>
    <t>Değer</t>
  </si>
  <si>
    <t>Açıklama</t>
  </si>
  <si>
    <t>Kaynak</t>
  </si>
  <si>
    <t>B.1  ★ Bağış Niteliği — YALNIZCA NAKDİ</t>
  </si>
  <si>
    <t>Nakdi (Banka EFT/Havale — Kızılay Hesabına)</t>
  </si>
  <si>
    <t>★ KVK Md.10/1-f YALNIZCA NAKDİ bağışı kapsar. Ayni bağış (gıda/giyim/ilaç/ekipman) → İndirim uygulanamaz.</t>
  </si>
  <si>
    <t>Kanun</t>
  </si>
  <si>
    <t>B.2  Bağışın Amacı</t>
  </si>
  <si>
    <t>Genel Kızılay Faaliyetleri Desteği</t>
  </si>
  <si>
    <t>Kızılay'ın faaliyet alanlarına göre amaç belirtin.</t>
  </si>
  <si>
    <t>Makbuz</t>
  </si>
  <si>
    <t>B.3  Kızılay Banka Hesabı (IBAN)</t>
  </si>
  <si>
    <t>Kızılay'ın resmi banka hesap numarası/IBAN. Dekontla örtüşmeli.</t>
  </si>
  <si>
    <t>Kızılay</t>
  </si>
  <si>
    <t>B.4  Bağış Tarihi</t>
  </si>
  <si>
    <t>Fiilen yapılan bağışın tarihi (dönem içinde olmalı).</t>
  </si>
  <si>
    <t>Banka dekontu</t>
  </si>
  <si>
    <t>B.5  ★ Nakdi Bağış Tutarı (TL)</t>
  </si>
  <si>
    <t>★ YALNIZCA NAKDİ — Banka EFT/havale tutarı.</t>
  </si>
  <si>
    <t>B.6  AYNİ BAĞIŞ → KAPSAM DIŞI (0 giriniz)</t>
  </si>
  <si>
    <t>★ Kızılay'a ayni bağış 462 kapsamında İNDİRİLEMEZ. Bu satır sıfır olmalı.</t>
  </si>
  <si>
    <t>KVK Md.10/1-f</t>
  </si>
  <si>
    <t>B.7  ★ BEYANNAME 462 = B.5 (Sadece Nakdi)</t>
  </si>
  <si>
    <t>Sadece nakdi bağış tutarı — ayni dahil edilemez.</t>
  </si>
  <si>
    <t>Formül</t>
  </si>
  <si>
    <t>B.8  ★ Kızılay Resmi Bağış Makbuzu</t>
  </si>
  <si>
    <t>Türkiye Kızılay Derneği tarafından düzenlenen resmi makbuz — zorunlu.</t>
  </si>
  <si>
    <t>C. NAKDİ BAĞIŞ TABLOSU — TÜRKİYE KIZILAY DERNEĞİ (BEYANNAME 462)</t>
  </si>
  <si>
    <t xml:space="preserve">  ★ YALNIZCA NAKDİ BAĞIŞ SATIRLARI: Kızılay'a banka yoluyla yapılan ödemeler. AYNİ BAĞIŞ SATIRLARI EKLEMEYIN — Kızılay'a ayni bağış KVK Md.10/1-f kapsamı dışındadır. Ayni bağış varsa ayrı KKEG kaydı yapılır, beyanname 462'ye dahil edilmez.</t>
  </si>
  <si>
    <t>Bağış Tarihi</t>
  </si>
  <si>
    <t>Bağışın Amacı / Açıklama</t>
  </si>
  <si>
    <t>Nakdi Tutar (TL)</t>
  </si>
  <si>
    <t>AYNİ → KAPSAM DIŞI</t>
  </si>
  <si>
    <t>(Ayni bağış = 0)</t>
  </si>
  <si>
    <t>İndirim (TL)</t>
  </si>
  <si>
    <t>Kızılay Makbuz No</t>
  </si>
  <si>
    <t>AYNİ=DIŞI</t>
  </si>
  <si>
    <t>TOPLAM (YALNIZCA NAKDİ)</t>
  </si>
  <si>
    <t>AYNİ = 0 (Kapsam Dışı)</t>
  </si>
  <si>
    <t>← Beyanname 462 (Nakdi Tamamının İndirimi)</t>
  </si>
  <si>
    <t>D. BAĞIŞ VE YARDIM İNDİRİMİ ÖZET — BEYANNAME 462 (KVK Md.10/1-f)</t>
  </si>
  <si>
    <t>Hesap Kalemi</t>
  </si>
  <si>
    <t>Tutar (TL)</t>
  </si>
  <si>
    <t>Not</t>
  </si>
  <si>
    <t>D.1  ★ TOPLAM NAKDİ BAĞIŞ (C Sütun 3 Toplamı)</t>
  </si>
  <si>
    <t>★ Yalnızca nakdi — beyanname 462 tabanı</t>
  </si>
  <si>
    <t>D.2  Ayni Bağış</t>
  </si>
  <si>
    <t>0 (Kapsam Dışı)</t>
  </si>
  <si>
    <t>★ Kızılay'a ayni bağış KVK Md.10/1-f kapsamında İNDİRİLEMEZ</t>
  </si>
  <si>
    <t>D.3  İndirim Oranı / Sınır</t>
  </si>
  <si>
    <t>TAMAMININ İNDİRİMİ — Sadece Nakdi — Devredilmez</t>
  </si>
  <si>
    <t>KVK Md.10/1-f: Nakdinin tamamı — matrahı aşan devredilmez</t>
  </si>
  <si>
    <t>D.4  ★ BEYANNAME 462 = D.1 (Toplam Nakdi Bağış)</t>
  </si>
  <si>
    <t>→ Beyanname 462 | Kazancın Bulunması Halinde</t>
  </si>
  <si>
    <t>D.5  YİAKV DURUMU — DÜŞÜLEMEZ</t>
  </si>
  <si>
    <t>YİAKV E.11 Bilgi ✗</t>
  </si>
  <si>
    <t>Tüm bağış/yardım kodları YİAKV matrahından düşülemez</t>
  </si>
  <si>
    <t>KVK Md.32/C</t>
  </si>
  <si>
    <t>D.6  AYNİ BAĞIŞ NET KV ETKİSİ</t>
  </si>
  <si>
    <t>Ayni Bağış → KKEG → Net KV Yükü</t>
  </si>
  <si>
    <t>Kızılay'a ayni bağış KKEG'e alınır — matrahtan indirilemez — net KV yükü doğurur</t>
  </si>
  <si>
    <t>E.1  KIZILAY NAKDİ BAĞIŞI → Beyanname Satır 462 (Kazancın Bulunması Halinde)</t>
  </si>
  <si>
    <t>D.4 = Nakdi Toplam | KVK Md.10/1-f | AYNİ DAHİL EDİLEMEZ</t>
  </si>
  <si>
    <t xml:space="preserve">  ★ KRİTİK ÖZETİ: (1) 462 = YALNIZCA NAKDİ — Kızılay'a ayni bağış indirilEmez. (2) ÖDEME: Kızılay'ın resmi banka hesabına doğrudan. (3) MAKBUZ: Kızılay'dan resmi makbuz zorunlu. (4) AYNİ BAĞIŞ NET ETKİSİ: KKEG → Net KV yükü. (5) DEVREDEN YOK. (6) YİAKV ✗: E.11.</t>
  </si>
  <si>
    <t>462 – TÜRKİYE KIZILAY DERNEĞİ NAKDİ BAĞIŞ KVK Md.10/1-f | HESAPLAMALAR VE DENETİM</t>
  </si>
  <si>
    <t>★ YALNIZCA NAKDİ | KVK Md.10/1-f | Ayni Bağış Kapsam Dışı | Beyanname 462 | ✗ YİAKV E.11</t>
  </si>
  <si>
    <t>A. TASDİK ÖZETİ</t>
  </si>
  <si>
    <t>A0 Uygunluğu</t>
  </si>
  <si>
    <t>OK → Nakdi bağış var</t>
  </si>
  <si>
    <t>Bağış Niteliği (B.1)</t>
  </si>
  <si>
    <t>YALNIZCA NAKDİ olmalı</t>
  </si>
  <si>
    <t>Toplam Nakdi Bağış (D.1)</t>
  </si>
  <si>
    <t>C tablosu nakdi toplamı</t>
  </si>
  <si>
    <t>462 İNDİRİM (D.4)</t>
  </si>
  <si>
    <t>Ayni Bağış Durumu</t>
  </si>
  <si>
    <t>Kızılay ayni bağış → İndirilemez</t>
  </si>
  <si>
    <t>YİAKV</t>
  </si>
  <si>
    <t>✗ DÜŞÜLEMEZ (E.11 Bilgi)</t>
  </si>
  <si>
    <t>Bağış/yardım tümü YİAKV dışı</t>
  </si>
  <si>
    <t>B. KVK Md.10/1-f KAPSAMI — NAKDİ SINIRLAMASI VE AYNİ BAĞIŞ NET ETKİSİ</t>
  </si>
  <si>
    <t xml:space="preserve">  KVK MADDE 10/1-f — TÜRKİYE KIZILAY DERNEĞİ:
  KAPSAM: Türkiye Kızılay Derneği'ne makbuz karşılığında yapılan NAKDİ bağış ve yardımların tamamı kurumlar vergisi matrahından indirilir.
  ★ YALNIZCA NAKDİ:
  KVK Md.10/1-f yalnızca nakdi bağışları kapsar. Kanun metni 'nakdi bağış ve yardımlar' olarak açıkça belirtmiştir.
  AYNİ BAĞIŞIN NET ETKİSİ (SAYISAL ÖRNEK — 100.000 TL Gıda Bağışı):
  • Ayni bağış → 689 (Gider) kaydı → KKEG → Matrahı artırır
  • 462'ye dahil edilemez → Matrahtan indirilemiyor
  • Net KV: 100.000 × %25 = 25.000 TL ek KV yükü
  KARŞILAŞTIRMA (100.000 TL Nakdi Bağış):
  • Nakdi bağış → 689 (Gider) → KKEG → Matrahı artırır
  • 462'ye dahil edilir → Matrahtan indirilir
  • Net KV: 0 TL (KKEG = İndirim)
  SONUÇ: Kızılay'a yardım planlanıyorsa nakdi bağış vergisel açıdan avantajlı.</t>
  </si>
  <si>
    <t>C. DENETİM KONTROL LİSTESİ (K1–K11)</t>
  </si>
  <si>
    <t>Kontrol</t>
  </si>
  <si>
    <t>Sonuç</t>
  </si>
  <si>
    <t>K1</t>
  </si>
  <si>
    <t>★ Alıcı Türkiye Kızılay Derneği mi?</t>
  </si>
  <si>
    <t>Başka yardım kuruluşu → Bu kod değil.</t>
  </si>
  <si>
    <t>Uygun/Eksik/Risk</t>
  </si>
  <si>
    <t>K2</t>
  </si>
  <si>
    <t>★ BAĞIŞ NAKDİ Mİ? (Ayni → Kapsam dışı!)</t>
  </si>
  <si>
    <t>Ayni bağış C tablosuna eklenemez.</t>
  </si>
  <si>
    <t>K3</t>
  </si>
  <si>
    <t>★ Ödeme Kızılay banka hesabına mı yapıldı?</t>
  </si>
  <si>
    <t>Başka hesap → Risk.</t>
  </si>
  <si>
    <t>K4</t>
  </si>
  <si>
    <t>★ Kızılay'dan resmi makbuz alındı mı?</t>
  </si>
  <si>
    <t>Makbuz zorunlu.</t>
  </si>
  <si>
    <t>K5</t>
  </si>
  <si>
    <t>★ Bağış dönem içinde fiilen yapıldı mı?</t>
  </si>
  <si>
    <t>Taahhüt → Kapsam dışı.</t>
  </si>
  <si>
    <t>K6</t>
  </si>
  <si>
    <t>D.2 (Ayni) = 0 mu? (C tablosunda ayni yok)</t>
  </si>
  <si>
    <t>Ayni dahil edilmişse düzelt.</t>
  </si>
  <si>
    <t>K7</t>
  </si>
  <si>
    <t>C tablosu nakdi toplamı D.1 ile mutabık mı?</t>
  </si>
  <si>
    <t>F47 = D.1 eşitliği.</t>
  </si>
  <si>
    <t>K8</t>
  </si>
  <si>
    <t>★ İndirim matrahı aşıyor mu? (Devredilemez!)</t>
  </si>
  <si>
    <t>Aşan kısım beyanname notu.</t>
  </si>
  <si>
    <t>K9</t>
  </si>
  <si>
    <t>✗ YİAKV E.11'de bilgi satırı olarak gösterildi mi?</t>
  </si>
  <si>
    <t>462 DÜŞÜLEMEZ — E.11 bilgi.</t>
  </si>
  <si>
    <t>K10</t>
  </si>
  <si>
    <t>Beyanname 462 'Kazancın Bulunması Halinde' bölümünde mi?</t>
  </si>
  <si>
    <t>Zarar döneminde uygulanamaz.</t>
  </si>
  <si>
    <t>K11</t>
  </si>
  <si>
    <t>YMM Tasdik Raporu (49 No.lu Tebliğ) değerlendirildi mi?</t>
  </si>
  <si>
    <t>462 – TÜRKİYE KIZILAY DERNEĞİ NAKDİ BAĞIŞ KVK Md.10/1-f | MUHASEBE KAYITLARI</t>
  </si>
  <si>
    <t>KAYIT 1 — NAKDİ BAĞIŞ (EFT/HAVALE — KIZILAY HESABI) — 462 KAPSAMINDA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</si>
  <si>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</si>
  <si>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</si>
  <si>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</si>
  <si>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</si>
  <si>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</si>
  <si>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</si>
  <si>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</si>
  <si>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Kızılay nakdi bağışı (KVK Md.10/1-f) — gider kaydı</t>
  </si>
  <si>
    <t>[Tutar]</t>
  </si>
  <si>
    <t>—</t>
  </si>
  <si>
    <t>Kızılay Makbuzu</t>
  </si>
  <si>
    <t>KAYIT 2 — AYNİ BAĞIŞ (GIDA/GİYİM vb.) — 462 KAPSAMI DIŞI — NET KV YÜKÜ!</t>
  </si>
  <si>
    <t>[Teslim]</t>
  </si>
  <si>
    <t>689 Diğer Olağan Dışı Gid.</t>
  </si>
  <si>
    <t>Kızılay ayni bağışı — KKEG — 462'ye dahil EDİLEMEZ</t>
  </si>
  <si>
    <t>[Maliyet]</t>
  </si>
  <si>
    <t>Teslim tutanağı</t>
  </si>
  <si>
    <t>KAYIT 3 — DÖNEM SONU: KKEG + BEYANNAME 462 İNDİRİMİ</t>
  </si>
  <si>
    <t>[Dönem Sonu]</t>
  </si>
  <si>
    <t>951 KKEG</t>
  </si>
  <si>
    <t>Kızılay bağışı (nakdi+ayni brüt) KKEG'e — 462 sadece nakdi indiriyor</t>
  </si>
  <si>
    <t>[Brüt]</t>
  </si>
  <si>
    <t>Beyanname</t>
  </si>
  <si>
    <t xml:space="preserve">  DÖNEM SONU NET ETKİ — BEYANNAME 462:
  NAKDİ BAĞIŞ: 689 (Gider) → KKEG → Matrahı artırır → Beyanname 462 (tamamı) → Matrahtan düşülür. Net KV: 0 TL.
  AYNİ BAĞIŞ: 689 (Gider) → KKEG → Matrahı artırır → 462'ye dahil edilemez → Matrahtan indirilemiyor → Net KV: [Ayni × %25] TL!
  YİAKV: ✗ DÜŞÜLEMEZ — E.11.
  SONUÇ: Kızılay'a ayni bağış yapılacaksa vergisel yük hesaplanarak karar verilmeli.</t>
  </si>
  <si>
    <t>462 – TÜRKİYE KIZILAY DERNEĞİ NAKDİ BAĞIŞ KVK Md.10/1-f | DENETÇİ NOTLARI</t>
  </si>
  <si>
    <t>GİB KV Beyan Rehberi 2026 | KVK Md.10/1-f | YALNIZCA NAKDİ | Ayni Dışı | YİAKV E.11</t>
  </si>
  <si>
    <t>Kod</t>
  </si>
  <si>
    <t>Konu</t>
  </si>
  <si>
    <t>Mesleki Değerlendirme / Tasdik Standardı</t>
  </si>
  <si>
    <t>Mevzuat / Kaynak</t>
  </si>
  <si>
    <t>N1</t>
  </si>
  <si>
    <t>KVK Md.10/1-f — Kızılay Nakdi Bağış Kapsamı</t>
  </si>
  <si>
    <t>KVK MADDE 10/1-f — TÜRKİYE KIZILAY DERNEĞİ:
Türkiye Kızılay Derneği'ne makbuz karşılığında yapılan
NAKDİ bağış ve yardımların tamamı kurumlar vergisi matrahından indirilir.
KAPSAM: Yalnızca nakdi (banka EFT/havale) bağışlar.
KAPSAM DIŞI: Ayni bağışlar (gıda, giyim, ilaç, ekipman vb.)
KOŞULLAR:
① Alıcı: Türkiye Kızılay Derneği (resmi unvan)
② Kızılay'ın banka hesabına doğrudan ödeme
③ Kızılay'dan resmi makbuz
④ Dönem içinde fiili ödeme
YİAKV: ✗ DÜŞÜLEMEZ (E.11 bilgi) | BEYANNAME: 462</t>
  </si>
  <si>
    <t>KVK Md.10/1-f | GİB KV Beyan Reh. 2026 (No:606)</t>
  </si>
  <si>
    <t>N2</t>
  </si>
  <si>
    <t>★ Ayni Bağış Yasağı — Net KV Yükü Hesabı</t>
  </si>
  <si>
    <t>KVK Md.10/1-f'NİN EN KRİTİK KISITLAMASI — AYNİ BAĞIŞ:
KANUN: '...nakdi bağış ve yardımlar' ifadesi açıkça ayni bağışı dışlar.
AYNİ BAĞIŞ VARSA NE OLUR?
• 689 Gider olarak kaydedilir (muhasebe doğru)
• 951 KKEG'e alınır (ayni bağış KKEG)
• KVK Md.10/1-f'ye dahil edilemez (kapsam dışı)
• Beyanname 462'ye yazılamaz
• Matrahtan indirilemez
• Net KV: [Ayni Bağış] × %25 = Ek vergi yükü
SAYISAL ÖRNEK (200.000 TL Gıda Bağışı Kızılay'a):
KKEG: +200.000 TL → 462 yok → İndirilemiyor
Net KV: 200.000 × %25 = 50.000 TL ek vergi!
TAVSİYE: Kızılay'a yardım planlanıyorsa vergisel avantaj için
nakdi bağış tercih edilmeli.</t>
  </si>
  <si>
    <t>KVK Md.10/1-f | GİB Özelge | Danıştay</t>
  </si>
  <si>
    <t>N3</t>
  </si>
  <si>
    <t>471 (2828 s.K.) ile 462 (Md.10/1-f) Karşılaştırması</t>
  </si>
  <si>
    <t>KIZILAY BAĞIŞINDA KOD SEÇİMİ:
471 — 2828 SAYILI SOSYAL HİZMETLER KANUNU:
Sosyal Hizmetler ve Çocuk Esirgeme Kurumu kapsamı.
Kızılay bu kanun kapsamında da faaliyetleri olabilir.
Kapsam: Sosyal hizmet odaklı — nakdi veya ayni olabilir.
İndirim: Tamamı.
462 — KVK MADDE 10/1-f:
Doğrudan Türkiye Kızılay Derneği'ne yapılan bağış.
Kapsam: YALNIZCA NAKDİ — ayni bağış kapsam dışı.
İndirim: Nakdinin tamamı.
UYGULAMADAKİ GENEL YAKLAŞIM:
Kızılay'a nakdi bağış → 462 (doğrudan, daha spesifik)
Kızılay aracılı sosyal hizmet bağışı → 471 değerlendirin
Her iki kod da aynı dönemde uygulanabilir (farklı nitelikteyse).
Aynı tutara iki kodu birden yazmak → Mükerrerlik riski.</t>
  </si>
  <si>
    <t>KVK Md.10/1-f | 2828 s.K. | GİB Özelge</t>
  </si>
  <si>
    <t>N4</t>
  </si>
  <si>
    <t>YİAKV ile İlişki — E.11 Kapsamlı Tablo</t>
  </si>
  <si>
    <t>YİAKV (KVK Md.32/C) VE 462 NAKDİ BAĞIŞ:
✗ 462 (KVK Md.10/1-f): DÜŞÜLEMEZ → YİAKV E.11
YİAKV E.11 — GÜNCEL KODLAR:
✗ 402 | ✗ 403 | ✗ 404 | ✗ 417 | ✗ 451 | ✗ 460/461
✗ 462 | ✗ 464 | ✗ 465 | ✗ 466 | ✗ 469–483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</si>
  <si>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</si>
  <si>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</si>
  <si>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</si>
  <si>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'...Kurumlar Vergisi Kanunu'nun 10. maddesinin (f) bendi kapsamında
Türkiye Kızılay Derneği'ne [Tarih] tarihinde banka yoluyla
ödenen [Tutar] TL nakdi bağışın tamamı, kurumlar vergisi
matrahından indirilmiştir. Söz konusu tutar YİAKV matrahından
indirilmemiştir.'
(Matrahı aşıyorsa:)
'[Aşan TL] TL'lik kısım matrahı aşması nedeniyle
devredilmemiştir.'
KULLANMAYIN:
'...Kızılay'a ayni bağış 462 kapsamında indirilmiştir.' (YANLIŞ)
'...Kızılay'a yapılan gıda bağışı 462'ye dahil edilmiştir.' (YANLIŞ)
'...462 YİAKV matrahından düşülmüştür.' (YANLIŞ)
KRİTİK RİSKLER:
(1) Ayni bağışı 462'ye dahil etmek.
(2) Nakdi olmayan ödemeleri (çek, nakit) 462'ye yazmak.
(3) Kızılay dışı kuruluş bağışını 462'ye dahil etmek.
(4) Matrahı aşan kısmı devretmeye çalışmak.</t>
  </si>
  <si>
    <t>49 No.lu Tebliğ | KVK Md.10/1-f | SM-SMMM-YMM K. Md.12</t>
  </si>
  <si>
    <t xml:space="preserve">  GİB KV BEYAN REHBERİ MART 2026 (No:606) KAPANIŞ (462): KVK Md.10/1-f — Türkiye Kızılay Derneği'ne YALNIZCA NAKDİ bağış. Ayni bağış (gıda/giyim/ekipman) kapsam dışı — net KV yükü doğurur. Kızılay banka hesabına doğrudan + resmi makbuz. Tamamının indirimi. ✗ YİAKV E.11. YMM: SM-SMMM-YMM K. Md.12.</t>
  </si>
  <si>
    <t>462 – TÜRKİYE KIZILAY DERNEĞİ NAKDİ BAĞIŞ KVK Md.10/1-f | BELGE LİSTESİ | YMM TASDİK</t>
  </si>
  <si>
    <t>Kızılay Makbuzu | Banka Dekontu | NAKDİ ZORUNLU | Ayni Dışı | YİAKV E.11</t>
  </si>
  <si>
    <t>KATEGORİ 1 — ZORUNLU BELGELER</t>
  </si>
  <si>
    <t>No</t>
  </si>
  <si>
    <t>Belge</t>
  </si>
  <si>
    <t>Temin</t>
  </si>
  <si>
    <t>1</t>
  </si>
  <si>
    <t>★ Türkiye Kızılay Derneği Resmi Bağış Makbuzu</t>
  </si>
  <si>
    <t>Türkiye Kızılay Derneği tarafından düzenlenen resmi bağış makbuzu. Tutarın nakdi olduğu ve Kızılay'a ait olduğu belirtilmeli. Zorunlu.</t>
  </si>
  <si>
    <t>2</t>
  </si>
  <si>
    <t>★ Nakdi Bağış — Banka EFT/Havale Dekontu</t>
  </si>
  <si>
    <t>★ YALNIZCA NAKDİ: Kızılay'ın resmi banka hesabına (IBAN) yapılan EFT/havale dekonu. Nakit ödeme → Kapsam riski. Her ödeme için ayrı dekont.</t>
  </si>
  <si>
    <t>Banka / Şirket hesabı</t>
  </si>
  <si>
    <t>3</t>
  </si>
  <si>
    <t>Kızılay Hesap Bilgisi (IBAN Teyidi)</t>
  </si>
  <si>
    <t>Ödemenin yapıldığı banka hesabının gerçekten Kızılay'a ait olduğunun teyidi. IBAN bilgisi Kızılay'ın resmi web sitesinden veya yazışmasından doğrulanmalı.</t>
  </si>
  <si>
    <t>4</t>
  </si>
  <si>
    <t>KV Beyannamesi 462 Satırı + YİAKV E.11 Bilgi</t>
  </si>
  <si>
    <t>Beyanname 462 = D.4 (nakdi bağış toplamı). Ayni bağış 462'ye dahil edilmez. YİAKV E.11 = 402+403+...+462+... tüm bağış kodları dönem toplamı.</t>
  </si>
  <si>
    <t>GİB e-Beyanname + YİAKV ÇK</t>
  </si>
  <si>
    <t>5</t>
  </si>
  <si>
    <t>AYNİ BAĞIŞ VARSA — Ayrı KKEG Kaydı (462'ye Dahil Değil)</t>
  </si>
  <si>
    <t>Kızılay'a ayni bağış yapılmışsa bu bağış 462'ye dahil edilmez. 689/770 gider → 951 KKEG → Beyanname 462 dışı tutulur. Teslim tutanağı ve maliyet notu KKEG belgesi olarak dosyalanır.</t>
  </si>
  <si>
    <t>Muhasebe / KKEG Belgesi</t>
  </si>
  <si>
    <t>KATEGORİ 2 — YMM TASDİK KONTROL SORULARI</t>
  </si>
  <si>
    <t>Beklenen Sonuç</t>
  </si>
  <si>
    <t>YMM Aksiyonu</t>
  </si>
  <si>
    <t>S1</t>
  </si>
  <si>
    <t>Başka kuruluş → Bu kod değil.</t>
  </si>
  <si>
    <t>YMM kontrolü</t>
  </si>
  <si>
    <t>S2</t>
  </si>
  <si>
    <t>★ BAĞIŞ NAKDİ Mİ? (Ayni → Kapsam Dışı!)</t>
  </si>
  <si>
    <t>Ayni bağış 462'ye dahil edilemez.</t>
  </si>
  <si>
    <t>S3</t>
  </si>
  <si>
    <t>★ Ödeme Kızılay banka hesabına mı?</t>
  </si>
  <si>
    <t>IBAN teyit edildi.</t>
  </si>
  <si>
    <t>S4</t>
  </si>
  <si>
    <t>S5</t>
  </si>
  <si>
    <t>Dönem dışı ödeme → Sonraki döneme.</t>
  </si>
  <si>
    <t>S6</t>
  </si>
  <si>
    <t>C tablosunda ayni bağış satırı var mı? (Olmamalı!)</t>
  </si>
  <si>
    <t>Ayni varsa çıkar — 462 dışı.</t>
  </si>
  <si>
    <t>S7</t>
  </si>
  <si>
    <t>★ İndirim matrahı aşıyor mu? (Devredilmez!)</t>
  </si>
  <si>
    <t>S8</t>
  </si>
  <si>
    <t>✗ YİAKV E.11'de bilgi satırı var mı?</t>
  </si>
  <si>
    <t>462 DÜŞÜLEMEZ — E.11.</t>
  </si>
  <si>
    <t>S9</t>
  </si>
  <si>
    <t>Ayni bağış varsa KKEG kaydı ayrı tutuldu mu?</t>
  </si>
  <si>
    <t>Ayni → KKEG — 462 dışı.</t>
  </si>
  <si>
    <t>S10</t>
  </si>
  <si>
    <t>YMM Tasdik Raporu değerlendirildi mi?</t>
  </si>
  <si>
    <t>&gt;=500.000 TL → Rapor.</t>
  </si>
  <si>
    <t xml:space="preserve">  GİB KV BEYAN REHBERİ MART 2026 (No:606) | 462 KVK Md.10/1-f SON NOT:
  Türkiye Kızılay Derneği'ne YALNIZCA NAKDİ bağış indirim konusu olabilir.
  Ayni bağış (gıda/giyim/ilaç/ekipman) → KVK Md.10/1-f kapsam dışı → Net KV yükü doğurur.
  Kızılay resmi banka hesabına EFT/havale + Kızılay makbuzu zorunlu.
  Tamamının indirimi — matrahı aşan kısım devredilemez. ✗ YİAKV E.11.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</si>
</sst>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b/>
      <sz val="10"/>
      <color rgb="FFC0392B"/>
      <name val="Arial"/>
    </font>
    <font>
      <sz val="9"/>
      <color rgb="FF1F3864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9"/>
      <color rgb="FFFFFF00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0"/>
      <color rgb="FF1F3864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3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5F5"/>
      </patternFill>
    </fill>
    <fill>
      <patternFill patternType="solid">
        <fgColor rgb="FFC6EFCE"/>
      </patternFill>
    </fill>
    <fill>
      <patternFill patternType="solid">
        <fgColor rgb="FFFFD5D0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6" borderId="4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0" fillId="9" borderId="4" xfId="0" applyFill="1" applyBorder="1"/>
    <xf numFmtId="3" fontId="11" fillId="8" borderId="7" xfId="0" applyNumberFormat="1" applyFont="1" applyFill="1" applyBorder="1" applyAlignment="1">
      <alignment horizontal="right" vertical="center"/>
    </xf>
    <xf numFmtId="3" fontId="11" fillId="13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left" vertical="center" wrapText="1"/>
    </xf>
    <xf numFmtId="3" fontId="4" fillId="13" borderId="7" xfId="0" applyNumberFormat="1" applyFont="1" applyFill="1" applyBorder="1" applyAlignment="1">
      <alignment horizontal="right" vertical="center" wrapText="1"/>
    </xf>
    <xf numFmtId="0" fontId="4" fillId="8" borderId="7" xfId="0" applyFont="1" applyFill="1" applyBorder="1" applyAlignment="1">
      <alignment horizontal="center" vertical="center"/>
    </xf>
    <xf numFmtId="3" fontId="13" fillId="12" borderId="8" xfId="0" applyNumberFormat="1" applyFont="1" applyFill="1" applyBorder="1" applyAlignment="1">
      <alignment horizontal="right" vertical="center" wrapText="1"/>
    </xf>
    <xf numFmtId="0" fontId="14" fillId="9" borderId="4" xfId="0" applyFont="1" applyFill="1" applyBorder="1" applyAlignment="1">
      <alignment horizontal="center" vertical="center" wrapText="1"/>
    </xf>
    <xf numFmtId="3" fontId="15" fillId="2" borderId="4" xfId="0" applyNumberFormat="1" applyFont="1" applyFill="1" applyBorder="1" applyAlignment="1">
      <alignment horizontal="right" vertical="center" wrapText="1"/>
    </xf>
    <xf numFmtId="3" fontId="17" fillId="2" borderId="8" xfId="0" applyNumberFormat="1" applyFont="1" applyFill="1" applyBorder="1" applyAlignment="1">
      <alignment horizontal="right" vertical="center" wrapText="1"/>
    </xf>
    <xf numFmtId="3" fontId="11" fillId="11" borderId="4" xfId="0" applyNumberFormat="1" applyFont="1" applyFill="1" applyBorder="1" applyAlignment="1">
      <alignment horizontal="right" vertical="center"/>
    </xf>
    <xf numFmtId="0" fontId="11" fillId="8" borderId="7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3" fontId="18" fillId="12" borderId="8" xfId="0" applyNumberFormat="1" applyFont="1" applyFill="1" applyBorder="1" applyAlignment="1">
      <alignment horizontal="right" vertical="center"/>
    </xf>
    <xf numFmtId="0" fontId="20" fillId="14" borderId="4" xfId="0" applyFont="1" applyFill="1" applyBorder="1" applyAlignment="1">
      <alignment horizontal="center" vertical="center"/>
    </xf>
    <xf numFmtId="3" fontId="21" fillId="12" borderId="8" xfId="0" applyNumberFormat="1" applyFont="1" applyFill="1" applyBorder="1" applyAlignment="1">
      <alignment horizontal="right" vertical="center" wrapText="1"/>
    </xf>
    <xf numFmtId="3" fontId="24" fillId="11" borderId="4" xfId="0" applyNumberFormat="1" applyFont="1" applyFill="1" applyBorder="1" applyAlignment="1">
      <alignment horizontal="center" vertical="center"/>
    </xf>
    <xf numFmtId="3" fontId="25" fillId="12" borderId="4" xfId="0" applyNumberFormat="1" applyFont="1" applyFill="1" applyBorder="1" applyAlignment="1">
      <alignment horizontal="right" vertical="center"/>
    </xf>
    <xf numFmtId="3" fontId="11" fillId="8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top" wrapText="1"/>
    </xf>
    <xf numFmtId="0" fontId="26" fillId="11" borderId="4" xfId="0" applyFont="1" applyFill="1" applyBorder="1" applyAlignment="1">
      <alignment horizontal="left" vertical="top" wrapText="1"/>
    </xf>
    <xf numFmtId="0" fontId="0" fillId="10" borderId="4" xfId="0" applyFill="1" applyBorder="1"/>
    <xf numFmtId="0" fontId="0" fillId="11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0" borderId="4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 wrapText="1"/>
    </xf>
    <xf numFmtId="0" fontId="26" fillId="16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27" fillId="8" borderId="4" xfId="0" applyFont="1" applyFill="1" applyBorder="1" applyAlignment="1">
      <alignment horizontal="left" vertical="top" wrapText="1"/>
    </xf>
    <xf numFmtId="0" fontId="27" fillId="10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2" borderId="4" xfId="0" applyFill="1" applyBorder="1"/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left" vertical="top" wrapText="1"/>
    </xf>
    <xf numFmtId="0" fontId="29" fillId="10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0" fillId="19" borderId="4" xfId="0" applyFill="1" applyBorder="1"/>
    <xf numFmtId="0" fontId="30" fillId="19" borderId="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left" vertical="top" wrapText="1"/>
    </xf>
    <xf numFmtId="0" fontId="26" fillId="20" borderId="4" xfId="0" applyFont="1" applyFill="1" applyBorder="1" applyAlignment="1">
      <alignment horizontal="left" vertical="top" wrapText="1"/>
    </xf>
    <xf numFmtId="0" fontId="31" fillId="19" borderId="4" xfId="0" applyFont="1" applyFill="1" applyBorder="1" applyAlignment="1">
      <alignment horizontal="center" vertical="center" wrapText="1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30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6" fillId="10" borderId="4" xfId="0" applyFont="1" applyFill="1" applyBorder="1" applyAlignment="1">
      <alignment horizontal="left" vertical="center" wrapText="1"/>
    </xf>
    <xf numFmtId="0" fontId="0" fillId="0" borderId="6" xfId="0" applyBorder="1"/>
    <xf numFmtId="0" fontId="4" fillId="10" borderId="4" xfId="0" applyFont="1" applyFill="1" applyBorder="1" applyAlignment="1">
      <alignment horizontal="left" vertical="center" wrapText="1"/>
    </xf>
    <xf numFmtId="0" fontId="0" fillId="9" borderId="4" xfId="0" applyFill="1" applyBorder="1"/>
    <xf numFmtId="0" fontId="0" fillId="0" borderId="5" xfId="0" applyBorder="1"/>
    <xf numFmtId="0" fontId="10" fillId="10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left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/>
    </xf>
    <xf numFmtId="0" fontId="23" fillId="8" borderId="4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9" fillId="14" borderId="4" xfId="0" applyFont="1" applyFill="1" applyBorder="1" applyAlignment="1">
      <alignment horizontal="left" vertical="center" wrapText="1"/>
    </xf>
    <xf numFmtId="0" fontId="10" fillId="14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left" vertical="center" wrapText="1"/>
    </xf>
    <xf numFmtId="0" fontId="26" fillId="11" borderId="4" xfId="0" applyFont="1" applyFill="1" applyBorder="1" applyAlignment="1">
      <alignment horizontal="left" vertical="top" wrapText="1"/>
    </xf>
    <xf numFmtId="0" fontId="7" fillId="10" borderId="4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4" fillId="8" borderId="4" xfId="0" applyFont="1" applyFill="1" applyBorder="1" applyAlignment="1">
      <alignment horizontal="left" vertical="top" wrapText="1"/>
    </xf>
    <xf numFmtId="0" fontId="14" fillId="13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left" vertical="center"/>
    </xf>
    <xf numFmtId="0" fontId="26" fillId="10" borderId="4" xfId="0" applyFont="1" applyFill="1" applyBorder="1" applyAlignment="1">
      <alignment horizontal="left" vertical="top" wrapText="1"/>
    </xf>
    <xf numFmtId="0" fontId="7" fillId="14" borderId="4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4" borderId="4" xfId="0" applyFont="1" applyFill="1" applyBorder="1" applyAlignment="1">
      <alignment horizontal="left" vertical="top" wrapText="1"/>
    </xf>
    <xf numFmtId="0" fontId="3" fillId="8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2113A4-65C7-4C27-9C8C-E5040056C45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d915e5d-40e3-48d2-9ad6-f4143e7d0fa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F10" sqref="F10:G10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4" t="s">
        <v>0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91" t="s">
        <v>1</v>
      </c>
      <c r="B2" s="61"/>
      <c r="C2" s="61"/>
      <c r="D2" s="61"/>
      <c r="E2" s="61"/>
      <c r="F2" s="61"/>
      <c r="G2" s="62"/>
    </row>
    <row r="3" spans="1:7" ht="52" customHeight="1" x14ac:dyDescent="0.55000000000000004">
      <c r="A3" s="85" t="s">
        <v>2</v>
      </c>
      <c r="B3" s="67"/>
      <c r="C3" s="67"/>
      <c r="D3" s="67"/>
      <c r="E3" s="67"/>
      <c r="F3" s="67"/>
      <c r="G3" s="64"/>
    </row>
    <row r="4" spans="1:7" ht="28" customHeight="1" x14ac:dyDescent="0.55000000000000004">
      <c r="A4" s="86" t="s">
        <v>3</v>
      </c>
      <c r="B4" s="67"/>
      <c r="C4" s="67"/>
      <c r="D4" s="67"/>
      <c r="E4" s="67"/>
      <c r="F4" s="67"/>
      <c r="G4" s="64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60" t="s">
        <v>4</v>
      </c>
      <c r="B6" s="61"/>
      <c r="C6" s="61"/>
      <c r="D6" s="61"/>
      <c r="E6" s="61"/>
      <c r="F6" s="61"/>
      <c r="G6" s="62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74" t="s">
        <v>8</v>
      </c>
      <c r="B8" s="67"/>
      <c r="C8" s="67"/>
      <c r="D8" s="64"/>
      <c r="E8" s="3" t="s">
        <v>9</v>
      </c>
      <c r="F8" s="78" t="s">
        <v>10</v>
      </c>
      <c r="G8" s="64"/>
    </row>
    <row r="9" spans="1:7" ht="28" customHeight="1" x14ac:dyDescent="0.55000000000000004">
      <c r="A9" s="74" t="s">
        <v>11</v>
      </c>
      <c r="B9" s="67"/>
      <c r="C9" s="67"/>
      <c r="D9" s="64"/>
      <c r="E9" s="3" t="s">
        <v>12</v>
      </c>
      <c r="F9" s="78" t="s">
        <v>13</v>
      </c>
      <c r="G9" s="64"/>
    </row>
    <row r="10" spans="1:7" ht="28" customHeight="1" x14ac:dyDescent="0.55000000000000004">
      <c r="A10" s="74" t="s">
        <v>14</v>
      </c>
      <c r="B10" s="67"/>
      <c r="C10" s="67"/>
      <c r="D10" s="64"/>
      <c r="E10" s="3" t="s">
        <v>9</v>
      </c>
      <c r="F10" s="78" t="s">
        <v>15</v>
      </c>
      <c r="G10" s="64"/>
    </row>
    <row r="11" spans="1:7" ht="28" customHeight="1" x14ac:dyDescent="0.55000000000000004">
      <c r="A11" s="70" t="s">
        <v>16</v>
      </c>
      <c r="B11" s="67"/>
      <c r="C11" s="67"/>
      <c r="D11" s="64"/>
      <c r="E11" s="3" t="s">
        <v>9</v>
      </c>
      <c r="F11" s="77" t="s">
        <v>17</v>
      </c>
      <c r="G11" s="64"/>
    </row>
    <row r="12" spans="1:7" ht="28" customHeight="1" x14ac:dyDescent="0.55000000000000004">
      <c r="A12" s="80" t="s">
        <v>18</v>
      </c>
      <c r="B12" s="67"/>
      <c r="C12" s="67"/>
      <c r="D12" s="64"/>
      <c r="E12" s="3" t="s">
        <v>9</v>
      </c>
      <c r="F12" s="92" t="s">
        <v>19</v>
      </c>
      <c r="G12" s="64"/>
    </row>
    <row r="13" spans="1:7" ht="28" customHeight="1" x14ac:dyDescent="0.55000000000000004">
      <c r="A13" s="70" t="s">
        <v>20</v>
      </c>
      <c r="B13" s="67"/>
      <c r="C13" s="67"/>
      <c r="D13" s="64"/>
      <c r="E13" s="3" t="s">
        <v>9</v>
      </c>
      <c r="F13" s="77" t="s">
        <v>21</v>
      </c>
      <c r="G13" s="64"/>
    </row>
    <row r="14" spans="1:7" ht="28" customHeight="1" x14ac:dyDescent="0.55000000000000004">
      <c r="A14" s="80" t="s">
        <v>22</v>
      </c>
      <c r="B14" s="67"/>
      <c r="C14" s="67"/>
      <c r="D14" s="64"/>
      <c r="E14" s="3" t="s">
        <v>9</v>
      </c>
      <c r="F14" s="92" t="s">
        <v>23</v>
      </c>
      <c r="G14" s="64"/>
    </row>
    <row r="15" spans="1:7" ht="24" customHeight="1" x14ac:dyDescent="0.55000000000000004">
      <c r="A15" s="75" t="s">
        <v>24</v>
      </c>
      <c r="B15" s="67"/>
      <c r="C15" s="67"/>
      <c r="D15" s="64"/>
      <c r="E15" s="4" t="str">
        <f>IF(AND(E8="EVET",E9="EVET — Nakdi (Banka)",E10="EVET",E11="EVET"),"OK - Hesaplanabilir","HATA - Ön koşul eksik veya Ayni Bağış")</f>
        <v>OK - Hesaplanabilir</v>
      </c>
      <c r="F15" s="73" t="s">
        <v>25</v>
      </c>
      <c r="G15" s="64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0" t="s">
        <v>26</v>
      </c>
      <c r="B17" s="61"/>
      <c r="C17" s="61"/>
      <c r="D17" s="61"/>
      <c r="E17" s="61"/>
      <c r="F17" s="61"/>
      <c r="G17" s="62"/>
    </row>
    <row r="18" spans="1:7" ht="22" customHeight="1" x14ac:dyDescent="0.55000000000000004">
      <c r="A18" s="80" t="s">
        <v>27</v>
      </c>
      <c r="B18" s="64"/>
      <c r="C18" s="66"/>
      <c r="D18" s="67"/>
      <c r="E18" s="64"/>
      <c r="F18" s="69" t="s">
        <v>28</v>
      </c>
      <c r="G18" s="64"/>
    </row>
    <row r="19" spans="1:7" ht="22" customHeight="1" x14ac:dyDescent="0.55000000000000004">
      <c r="A19" s="70" t="s">
        <v>29</v>
      </c>
      <c r="B19" s="64"/>
      <c r="C19" s="66"/>
      <c r="D19" s="67"/>
      <c r="E19" s="64"/>
      <c r="F19" s="68" t="s">
        <v>30</v>
      </c>
      <c r="G19" s="64"/>
    </row>
    <row r="20" spans="1:7" ht="22" customHeight="1" x14ac:dyDescent="0.55000000000000004">
      <c r="A20" s="80" t="s">
        <v>31</v>
      </c>
      <c r="B20" s="64"/>
      <c r="C20" s="66"/>
      <c r="D20" s="67"/>
      <c r="E20" s="64"/>
      <c r="F20" s="69" t="s">
        <v>32</v>
      </c>
      <c r="G20" s="64"/>
    </row>
    <row r="21" spans="1:7" ht="22" customHeight="1" x14ac:dyDescent="0.55000000000000004">
      <c r="A21" s="70" t="s">
        <v>33</v>
      </c>
      <c r="B21" s="64"/>
      <c r="C21" s="66"/>
      <c r="D21" s="67"/>
      <c r="E21" s="64"/>
      <c r="F21" s="68" t="s">
        <v>34</v>
      </c>
      <c r="G21" s="64"/>
    </row>
    <row r="22" spans="1:7" ht="22" customHeight="1" x14ac:dyDescent="0.55000000000000004">
      <c r="A22" s="80" t="s">
        <v>35</v>
      </c>
      <c r="B22" s="64"/>
      <c r="C22" s="66"/>
      <c r="D22" s="67"/>
      <c r="E22" s="64"/>
      <c r="F22" s="69" t="s">
        <v>36</v>
      </c>
      <c r="G22" s="64"/>
    </row>
    <row r="23" spans="1:7" ht="22" customHeight="1" x14ac:dyDescent="0.55000000000000004">
      <c r="A23" s="70" t="s">
        <v>37</v>
      </c>
      <c r="B23" s="64"/>
      <c r="C23" s="66"/>
      <c r="D23" s="67"/>
      <c r="E23" s="64"/>
      <c r="F23" s="68" t="s">
        <v>38</v>
      </c>
      <c r="G23" s="64"/>
    </row>
    <row r="24" spans="1:7" ht="22" customHeight="1" x14ac:dyDescent="0.55000000000000004">
      <c r="A24" s="80" t="s">
        <v>39</v>
      </c>
      <c r="B24" s="64"/>
      <c r="C24" s="66"/>
      <c r="D24" s="67"/>
      <c r="E24" s="64"/>
      <c r="F24" s="69" t="s">
        <v>40</v>
      </c>
      <c r="G24" s="64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0" t="s">
        <v>41</v>
      </c>
      <c r="B27" s="61"/>
      <c r="C27" s="61"/>
      <c r="D27" s="61"/>
      <c r="E27" s="61"/>
      <c r="F27" s="61"/>
      <c r="G27" s="62"/>
    </row>
    <row r="28" spans="1:7" ht="18" customHeight="1" x14ac:dyDescent="0.55000000000000004">
      <c r="A28" s="2"/>
      <c r="B28" s="2" t="s">
        <v>42</v>
      </c>
      <c r="C28" s="2"/>
      <c r="D28" s="2" t="s">
        <v>43</v>
      </c>
      <c r="E28" s="2"/>
      <c r="F28" s="2" t="s">
        <v>44</v>
      </c>
      <c r="G28" s="2" t="s">
        <v>45</v>
      </c>
    </row>
    <row r="29" spans="1:7" ht="26.05" customHeight="1" x14ac:dyDescent="0.55000000000000004">
      <c r="A29" s="65" t="s">
        <v>46</v>
      </c>
      <c r="B29" s="64"/>
      <c r="C29" s="3" t="s">
        <v>47</v>
      </c>
      <c r="D29" s="68" t="s">
        <v>48</v>
      </c>
      <c r="E29" s="64"/>
      <c r="F29" s="63" t="s">
        <v>49</v>
      </c>
      <c r="G29" s="64"/>
    </row>
    <row r="30" spans="1:7" ht="26.05" customHeight="1" x14ac:dyDescent="0.55000000000000004">
      <c r="A30" s="80" t="s">
        <v>50</v>
      </c>
      <c r="B30" s="64"/>
      <c r="C30" s="3" t="s">
        <v>51</v>
      </c>
      <c r="D30" s="69" t="s">
        <v>52</v>
      </c>
      <c r="E30" s="64"/>
      <c r="F30" s="82" t="s">
        <v>53</v>
      </c>
      <c r="G30" s="64"/>
    </row>
    <row r="31" spans="1:7" ht="26.05" customHeight="1" x14ac:dyDescent="0.55000000000000004">
      <c r="A31" s="70" t="s">
        <v>54</v>
      </c>
      <c r="B31" s="64"/>
      <c r="C31" s="5"/>
      <c r="D31" s="68" t="s">
        <v>55</v>
      </c>
      <c r="E31" s="64"/>
      <c r="F31" s="63" t="s">
        <v>56</v>
      </c>
      <c r="G31" s="64"/>
    </row>
    <row r="32" spans="1:7" ht="26.05" customHeight="1" x14ac:dyDescent="0.55000000000000004">
      <c r="A32" s="80" t="s">
        <v>57</v>
      </c>
      <c r="B32" s="64"/>
      <c r="C32" s="5"/>
      <c r="D32" s="69" t="s">
        <v>58</v>
      </c>
      <c r="E32" s="64"/>
      <c r="F32" s="82" t="s">
        <v>59</v>
      </c>
      <c r="G32" s="64"/>
    </row>
    <row r="33" spans="1:7" ht="26.05" customHeight="1" x14ac:dyDescent="0.55000000000000004">
      <c r="A33" s="65" t="s">
        <v>60</v>
      </c>
      <c r="B33" s="64"/>
      <c r="C33" s="5"/>
      <c r="D33" s="68" t="s">
        <v>61</v>
      </c>
      <c r="E33" s="64"/>
      <c r="F33" s="63" t="s">
        <v>59</v>
      </c>
      <c r="G33" s="64"/>
    </row>
    <row r="34" spans="1:7" ht="26.05" customHeight="1" x14ac:dyDescent="0.55000000000000004">
      <c r="A34" s="74" t="s">
        <v>62</v>
      </c>
      <c r="B34" s="64"/>
      <c r="C34" s="6">
        <v>0</v>
      </c>
      <c r="D34" s="78" t="s">
        <v>63</v>
      </c>
      <c r="E34" s="64"/>
      <c r="F34" s="78" t="s">
        <v>64</v>
      </c>
      <c r="G34" s="64"/>
    </row>
    <row r="35" spans="1:7" ht="26.05" customHeight="1" x14ac:dyDescent="0.55000000000000004">
      <c r="A35" s="65" t="s">
        <v>65</v>
      </c>
      <c r="B35" s="64"/>
      <c r="C35" s="7">
        <f>C33</f>
        <v>0</v>
      </c>
      <c r="D35" s="68" t="s">
        <v>66</v>
      </c>
      <c r="E35" s="64"/>
      <c r="F35" s="63" t="s">
        <v>67</v>
      </c>
      <c r="G35" s="64"/>
    </row>
    <row r="36" spans="1:7" ht="26.05" customHeight="1" x14ac:dyDescent="0.55000000000000004">
      <c r="A36" s="87" t="s">
        <v>68</v>
      </c>
      <c r="B36" s="64"/>
      <c r="C36" s="5"/>
      <c r="D36" s="69" t="s">
        <v>69</v>
      </c>
      <c r="E36" s="64"/>
      <c r="F36" s="82" t="s">
        <v>56</v>
      </c>
      <c r="G36" s="64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6.05" customHeight="1" x14ac:dyDescent="0.55000000000000004">
      <c r="A38" s="60" t="s">
        <v>70</v>
      </c>
      <c r="B38" s="61"/>
      <c r="C38" s="61"/>
      <c r="D38" s="61"/>
      <c r="E38" s="61"/>
      <c r="F38" s="61"/>
      <c r="G38" s="62"/>
    </row>
    <row r="39" spans="1:7" ht="28" customHeight="1" x14ac:dyDescent="0.55000000000000004">
      <c r="A39" s="74" t="s">
        <v>71</v>
      </c>
      <c r="B39" s="67"/>
      <c r="C39" s="67"/>
      <c r="D39" s="67"/>
      <c r="E39" s="67"/>
      <c r="F39" s="67"/>
      <c r="G39" s="64"/>
    </row>
    <row r="40" spans="1:7" ht="18" customHeight="1" x14ac:dyDescent="0.55000000000000004">
      <c r="A40" s="8" t="s">
        <v>72</v>
      </c>
      <c r="B40" s="8" t="s">
        <v>73</v>
      </c>
      <c r="C40" s="8" t="s">
        <v>74</v>
      </c>
      <c r="D40" s="8" t="s">
        <v>75</v>
      </c>
      <c r="E40" s="8" t="s">
        <v>76</v>
      </c>
      <c r="F40" s="8" t="s">
        <v>77</v>
      </c>
      <c r="G40" s="8" t="s">
        <v>78</v>
      </c>
    </row>
    <row r="41" spans="1:7" ht="26.05" customHeight="1" x14ac:dyDescent="0.55000000000000004">
      <c r="A41" s="9"/>
      <c r="B41" s="10"/>
      <c r="C41" s="11"/>
      <c r="D41" s="12" t="s">
        <v>79</v>
      </c>
      <c r="E41" s="12" t="s">
        <v>79</v>
      </c>
      <c r="F41" s="13">
        <f t="shared" ref="F41:F46" si="0">C41</f>
        <v>0</v>
      </c>
      <c r="G41" s="14"/>
    </row>
    <row r="42" spans="1:7" ht="26.05" customHeight="1" x14ac:dyDescent="0.55000000000000004">
      <c r="A42" s="9"/>
      <c r="B42" s="10"/>
      <c r="C42" s="11"/>
      <c r="D42" s="12" t="s">
        <v>79</v>
      </c>
      <c r="E42" s="12" t="s">
        <v>79</v>
      </c>
      <c r="F42" s="13">
        <f t="shared" si="0"/>
        <v>0</v>
      </c>
      <c r="G42" s="14"/>
    </row>
    <row r="43" spans="1:7" ht="26.05" customHeight="1" x14ac:dyDescent="0.55000000000000004">
      <c r="A43" s="9"/>
      <c r="B43" s="10"/>
      <c r="C43" s="11"/>
      <c r="D43" s="12" t="s">
        <v>79</v>
      </c>
      <c r="E43" s="12" t="s">
        <v>79</v>
      </c>
      <c r="F43" s="13">
        <f t="shared" si="0"/>
        <v>0</v>
      </c>
      <c r="G43" s="14"/>
    </row>
    <row r="44" spans="1:7" ht="26.05" customHeight="1" x14ac:dyDescent="0.55000000000000004">
      <c r="A44" s="9"/>
      <c r="B44" s="10"/>
      <c r="C44" s="11"/>
      <c r="D44" s="12" t="s">
        <v>79</v>
      </c>
      <c r="E44" s="12" t="s">
        <v>79</v>
      </c>
      <c r="F44" s="13">
        <f t="shared" si="0"/>
        <v>0</v>
      </c>
      <c r="G44" s="14"/>
    </row>
    <row r="45" spans="1:7" ht="26.05" customHeight="1" x14ac:dyDescent="0.55000000000000004">
      <c r="A45" s="9"/>
      <c r="B45" s="10"/>
      <c r="C45" s="11"/>
      <c r="D45" s="12" t="s">
        <v>79</v>
      </c>
      <c r="E45" s="12" t="s">
        <v>79</v>
      </c>
      <c r="F45" s="13">
        <f t="shared" si="0"/>
        <v>0</v>
      </c>
      <c r="G45" s="14"/>
    </row>
    <row r="46" spans="1:7" ht="26.05" customHeight="1" x14ac:dyDescent="0.55000000000000004">
      <c r="A46" s="9"/>
      <c r="B46" s="10"/>
      <c r="C46" s="11"/>
      <c r="D46" s="12" t="s">
        <v>79</v>
      </c>
      <c r="E46" s="12" t="s">
        <v>79</v>
      </c>
      <c r="F46" s="13">
        <f t="shared" si="0"/>
        <v>0</v>
      </c>
      <c r="G46" s="14"/>
    </row>
    <row r="47" spans="1:7" ht="30" customHeight="1" x14ac:dyDescent="0.55000000000000004">
      <c r="A47" s="95" t="s">
        <v>80</v>
      </c>
      <c r="B47" s="64"/>
      <c r="C47" s="15">
        <f>SUM(C41:C46)</f>
        <v>0</v>
      </c>
      <c r="D47" s="83" t="s">
        <v>81</v>
      </c>
      <c r="E47" s="64"/>
      <c r="F47" s="16">
        <f>SUM(F41:F46)</f>
        <v>0</v>
      </c>
      <c r="G47" s="88" t="s">
        <v>82</v>
      </c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60" t="s">
        <v>83</v>
      </c>
      <c r="B49" s="61"/>
      <c r="C49" s="61"/>
      <c r="D49" s="61"/>
      <c r="E49" s="61"/>
      <c r="F49" s="61"/>
      <c r="G49" s="62"/>
    </row>
    <row r="50" spans="1:7" ht="18" customHeight="1" x14ac:dyDescent="0.55000000000000004">
      <c r="A50" s="2"/>
      <c r="B50" s="2" t="s">
        <v>84</v>
      </c>
      <c r="C50" s="2"/>
      <c r="D50" s="2" t="s">
        <v>85</v>
      </c>
      <c r="E50" s="2"/>
      <c r="F50" s="2" t="s">
        <v>44</v>
      </c>
      <c r="G50" s="2" t="s">
        <v>86</v>
      </c>
    </row>
    <row r="51" spans="1:7" ht="28" customHeight="1" x14ac:dyDescent="0.55000000000000004">
      <c r="A51" s="65" t="s">
        <v>87</v>
      </c>
      <c r="B51" s="64"/>
      <c r="C51" s="17">
        <f>C47</f>
        <v>0</v>
      </c>
      <c r="D51" s="68" t="s">
        <v>88</v>
      </c>
      <c r="E51" s="64"/>
      <c r="F51" s="77"/>
      <c r="G51" s="64"/>
    </row>
    <row r="52" spans="1:7" ht="28" customHeight="1" x14ac:dyDescent="0.55000000000000004">
      <c r="A52" s="74" t="s">
        <v>89</v>
      </c>
      <c r="B52" s="64"/>
      <c r="C52" s="18" t="s">
        <v>90</v>
      </c>
      <c r="D52" s="78" t="s">
        <v>91</v>
      </c>
      <c r="E52" s="64"/>
      <c r="F52" s="79" t="s">
        <v>64</v>
      </c>
      <c r="G52" s="64"/>
    </row>
    <row r="53" spans="1:7" ht="28" customHeight="1" x14ac:dyDescent="0.55000000000000004">
      <c r="A53" s="70" t="s">
        <v>92</v>
      </c>
      <c r="B53" s="64"/>
      <c r="C53" s="19" t="s">
        <v>93</v>
      </c>
      <c r="D53" s="68" t="s">
        <v>94</v>
      </c>
      <c r="E53" s="64"/>
      <c r="F53" s="77" t="s">
        <v>64</v>
      </c>
      <c r="G53" s="64"/>
    </row>
    <row r="54" spans="1:7" ht="28" customHeight="1" x14ac:dyDescent="0.55000000000000004">
      <c r="A54" s="71" t="s">
        <v>95</v>
      </c>
      <c r="B54" s="64"/>
      <c r="C54" s="20">
        <f>F47</f>
        <v>0</v>
      </c>
      <c r="D54" s="93" t="s">
        <v>96</v>
      </c>
      <c r="E54" s="64"/>
      <c r="F54" s="81" t="s">
        <v>64</v>
      </c>
      <c r="G54" s="64"/>
    </row>
    <row r="55" spans="1:7" ht="28" customHeight="1" x14ac:dyDescent="0.55000000000000004">
      <c r="A55" s="89" t="s">
        <v>97</v>
      </c>
      <c r="B55" s="64"/>
      <c r="C55" s="21" t="s">
        <v>98</v>
      </c>
      <c r="D55" s="90" t="s">
        <v>99</v>
      </c>
      <c r="E55" s="64"/>
      <c r="F55" s="94" t="s">
        <v>100</v>
      </c>
      <c r="G55" s="64"/>
    </row>
    <row r="56" spans="1:7" ht="28" customHeight="1" x14ac:dyDescent="0.55000000000000004">
      <c r="A56" s="74" t="s">
        <v>101</v>
      </c>
      <c r="B56" s="64"/>
      <c r="C56" s="18" t="s">
        <v>102</v>
      </c>
      <c r="D56" s="78" t="s">
        <v>103</v>
      </c>
      <c r="E56" s="64"/>
      <c r="F56" s="79" t="s">
        <v>64</v>
      </c>
      <c r="G56" s="64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72" t="s">
        <v>104</v>
      </c>
      <c r="B58" s="67"/>
      <c r="C58" s="67"/>
      <c r="D58" s="64"/>
      <c r="E58" s="22">
        <f>C54</f>
        <v>0</v>
      </c>
      <c r="F58" s="96" t="s">
        <v>105</v>
      </c>
      <c r="G58" s="64"/>
    </row>
    <row r="59" spans="1:7" ht="30" customHeight="1" x14ac:dyDescent="0.55000000000000004">
      <c r="A59" s="76" t="s">
        <v>106</v>
      </c>
      <c r="B59" s="67"/>
      <c r="C59" s="67"/>
      <c r="D59" s="67"/>
      <c r="E59" s="67"/>
      <c r="F59" s="67"/>
      <c r="G59" s="64"/>
    </row>
  </sheetData>
  <mergeCells count="95">
    <mergeCell ref="A2:G2"/>
    <mergeCell ref="F14:G14"/>
    <mergeCell ref="D54:E54"/>
    <mergeCell ref="A14:D14"/>
    <mergeCell ref="F11:G11"/>
    <mergeCell ref="A24:B24"/>
    <mergeCell ref="F12:G12"/>
    <mergeCell ref="F24:G24"/>
    <mergeCell ref="F51:G51"/>
    <mergeCell ref="D32:E32"/>
    <mergeCell ref="F32:G32"/>
    <mergeCell ref="A18:B18"/>
    <mergeCell ref="F35:G35"/>
    <mergeCell ref="C19:E19"/>
    <mergeCell ref="A47:B47"/>
    <mergeCell ref="F52:G52"/>
    <mergeCell ref="F8:G8"/>
    <mergeCell ref="A21:B21"/>
    <mergeCell ref="A6:G6"/>
    <mergeCell ref="A32:B32"/>
    <mergeCell ref="F22:G22"/>
    <mergeCell ref="A23:B23"/>
    <mergeCell ref="D30:E30"/>
    <mergeCell ref="A12:D12"/>
    <mergeCell ref="A20:B20"/>
    <mergeCell ref="A29:B29"/>
    <mergeCell ref="A27:G27"/>
    <mergeCell ref="A31:B31"/>
    <mergeCell ref="A1:G1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6:B36"/>
    <mergeCell ref="A38:G38"/>
    <mergeCell ref="G47"/>
    <mergeCell ref="A10:D10"/>
    <mergeCell ref="F21:G21"/>
    <mergeCell ref="D52:E52"/>
    <mergeCell ref="A9:D9"/>
    <mergeCell ref="F30:G30"/>
    <mergeCell ref="F20:G20"/>
    <mergeCell ref="F18:G18"/>
    <mergeCell ref="F33:G33"/>
    <mergeCell ref="A11:D11"/>
    <mergeCell ref="F10:G10"/>
    <mergeCell ref="F54:G54"/>
    <mergeCell ref="D34:E34"/>
    <mergeCell ref="F19:G19"/>
    <mergeCell ref="C22:E22"/>
    <mergeCell ref="F34:G34"/>
    <mergeCell ref="A49:G49"/>
    <mergeCell ref="D53:E53"/>
    <mergeCell ref="D47:E47"/>
    <mergeCell ref="F36:G36"/>
    <mergeCell ref="F53:G53"/>
    <mergeCell ref="A59:G59"/>
    <mergeCell ref="A56:B56"/>
    <mergeCell ref="A33:B33"/>
    <mergeCell ref="F23:G23"/>
    <mergeCell ref="C18:E18"/>
    <mergeCell ref="D56:E56"/>
    <mergeCell ref="F56:G56"/>
    <mergeCell ref="A22:B22"/>
    <mergeCell ref="A53:B53"/>
    <mergeCell ref="A35:B35"/>
    <mergeCell ref="D33:E33"/>
    <mergeCell ref="A19:B19"/>
    <mergeCell ref="D51:E51"/>
    <mergeCell ref="C20:E20"/>
    <mergeCell ref="D35:E35"/>
    <mergeCell ref="A30:B30"/>
    <mergeCell ref="A13:D13"/>
    <mergeCell ref="A54:B54"/>
    <mergeCell ref="A58:D58"/>
    <mergeCell ref="F15:G15"/>
    <mergeCell ref="C23:E23"/>
    <mergeCell ref="A39:G39"/>
    <mergeCell ref="A15:D15"/>
    <mergeCell ref="F13:G13"/>
    <mergeCell ref="A55:B55"/>
    <mergeCell ref="D55:E55"/>
    <mergeCell ref="F55:G55"/>
    <mergeCell ref="F58:G58"/>
    <mergeCell ref="A17:G17"/>
    <mergeCell ref="F29:G29"/>
    <mergeCell ref="A51:B51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9">
    <dataValidation type="list" sqref="E8" xr:uid="{00000000-0002-0000-0000-000000000000}">
      <formula1>"EVET,HAYIR-Başka Kurum"</formula1>
    </dataValidation>
    <dataValidation type="list" sqref="E9" xr:uid="{00000000-0002-0000-0000-000001000000}">
      <formula1>"EVET — Nakdi (Banka),HAYIR — Ayni (Gıda/Giyim/Ekipman vb.)"</formula1>
    </dataValidation>
    <dataValidation type="list" sqref="E10" xr:uid="{00000000-0002-0000-0000-000002000000}">
      <formula1>"EVET,HAYIR-Farklı Hesap/Aracı"</formula1>
    </dataValidation>
    <dataValidation type="list" sqref="E11" xr:uid="{00000000-0002-0000-0000-000003000000}">
      <formula1>"EVET,HAYIR-Makbuz Eksik"</formula1>
    </dataValidation>
    <dataValidation type="list" sqref="E12" xr:uid="{00000000-0002-0000-0000-000004000000}">
      <formula1>"EVET,HAYIR-Henüz Ödenmedi"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"Nakdi (Banka EFT/Havale — Kızılay Hesabına),Ayni (KAPSAM DIŞI!)"</formula1>
    </dataValidation>
    <dataValidation type="list" sqref="C30" xr:uid="{00000000-0002-0000-0000-000008000000}">
      <formula1>"Genel Kızılay Faaliyetleri Desteği,Kan Bağışı Kampanyası Desteği,Afet/Acil Yardım Desteği,Sağlık Hizmetleri Desteği,İnsani Yardım Programları Desteği,Diğer KVK Md.10/1-f Kapsamı"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6" t="s">
        <v>107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109" t="s">
        <v>108</v>
      </c>
      <c r="B2" s="67"/>
      <c r="C2" s="67"/>
      <c r="D2" s="67"/>
      <c r="E2" s="67"/>
      <c r="F2" s="67"/>
      <c r="G2" s="6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9" t="s">
        <v>109</v>
      </c>
      <c r="B4" s="61"/>
      <c r="C4" s="61"/>
      <c r="D4" s="61"/>
      <c r="E4" s="61"/>
      <c r="F4" s="61"/>
      <c r="G4" s="62"/>
    </row>
    <row r="5" spans="1:7" ht="22" customHeight="1" x14ac:dyDescent="0.55000000000000004">
      <c r="A5" s="103" t="s">
        <v>110</v>
      </c>
      <c r="B5" s="67"/>
      <c r="C5" s="64"/>
      <c r="D5" s="23" t="str">
        <f>'VERİ GİRİŞİ'!E15</f>
        <v>OK - Hesaplanabilir</v>
      </c>
      <c r="E5" s="77" t="s">
        <v>111</v>
      </c>
      <c r="F5" s="67"/>
      <c r="G5" s="64"/>
    </row>
    <row r="6" spans="1:7" ht="22" customHeight="1" x14ac:dyDescent="0.55000000000000004">
      <c r="A6" s="108" t="s">
        <v>112</v>
      </c>
      <c r="B6" s="67"/>
      <c r="C6" s="64"/>
      <c r="D6" s="23" t="str">
        <f>'VERİ GİRİŞİ'!C29</f>
        <v>Nakdi (Banka EFT/Havale — Kızılay Hesabına)</v>
      </c>
      <c r="E6" s="92" t="s">
        <v>113</v>
      </c>
      <c r="F6" s="67"/>
      <c r="G6" s="64"/>
    </row>
    <row r="7" spans="1:7" ht="22" customHeight="1" x14ac:dyDescent="0.55000000000000004">
      <c r="A7" s="103" t="s">
        <v>114</v>
      </c>
      <c r="B7" s="67"/>
      <c r="C7" s="64"/>
      <c r="D7" s="23">
        <f>'VERİ GİRİŞİ'!C51</f>
        <v>0</v>
      </c>
      <c r="E7" s="77" t="s">
        <v>115</v>
      </c>
      <c r="F7" s="67"/>
      <c r="G7" s="64"/>
    </row>
    <row r="8" spans="1:7" ht="22" customHeight="1" x14ac:dyDescent="0.55000000000000004">
      <c r="A8" s="75" t="s">
        <v>116</v>
      </c>
      <c r="B8" s="67"/>
      <c r="C8" s="64"/>
      <c r="D8" s="24">
        <f>'VERİ GİRİŞİ'!C54</f>
        <v>0</v>
      </c>
      <c r="E8" s="81"/>
      <c r="F8" s="67"/>
      <c r="G8" s="64"/>
    </row>
    <row r="9" spans="1:7" ht="22" customHeight="1" x14ac:dyDescent="0.55000000000000004">
      <c r="A9" s="107" t="s">
        <v>117</v>
      </c>
      <c r="B9" s="67"/>
      <c r="C9" s="64"/>
      <c r="D9" s="25"/>
      <c r="E9" s="79" t="s">
        <v>118</v>
      </c>
      <c r="F9" s="67"/>
      <c r="G9" s="64"/>
    </row>
    <row r="10" spans="1:7" ht="22" customHeight="1" x14ac:dyDescent="0.55000000000000004">
      <c r="A10" s="105" t="s">
        <v>119</v>
      </c>
      <c r="B10" s="67"/>
      <c r="C10" s="64"/>
      <c r="D10" s="21" t="s">
        <v>120</v>
      </c>
      <c r="E10" s="94" t="s">
        <v>121</v>
      </c>
      <c r="F10" s="67"/>
      <c r="G10" s="64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60" t="s">
        <v>122</v>
      </c>
      <c r="B12" s="61"/>
      <c r="C12" s="61"/>
      <c r="D12" s="61"/>
      <c r="E12" s="61"/>
      <c r="F12" s="61"/>
      <c r="G12" s="62"/>
    </row>
    <row r="13" spans="1:7" ht="72" customHeight="1" x14ac:dyDescent="0.55000000000000004">
      <c r="A13" s="102" t="s">
        <v>123</v>
      </c>
      <c r="B13" s="67"/>
      <c r="C13" s="67"/>
      <c r="D13" s="67"/>
      <c r="E13" s="67"/>
      <c r="F13" s="67"/>
      <c r="G13" s="64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60" t="s">
        <v>124</v>
      </c>
      <c r="B15" s="61"/>
      <c r="C15" s="61"/>
      <c r="D15" s="61"/>
      <c r="E15" s="61"/>
      <c r="F15" s="61"/>
      <c r="G15" s="62"/>
    </row>
    <row r="16" spans="1:7" ht="18" customHeight="1" x14ac:dyDescent="0.55000000000000004">
      <c r="A16" s="2"/>
      <c r="B16" s="2" t="s">
        <v>125</v>
      </c>
      <c r="C16" s="2"/>
      <c r="D16" s="2" t="s">
        <v>44</v>
      </c>
      <c r="E16" s="2"/>
      <c r="F16" s="2" t="s">
        <v>126</v>
      </c>
      <c r="G16" s="2"/>
    </row>
    <row r="17" spans="1:7" ht="20.05" customHeight="1" x14ac:dyDescent="0.55000000000000004">
      <c r="A17" s="26" t="s">
        <v>127</v>
      </c>
      <c r="B17" s="101" t="s">
        <v>128</v>
      </c>
      <c r="C17" s="64"/>
      <c r="D17" s="97" t="s">
        <v>129</v>
      </c>
      <c r="E17" s="64"/>
      <c r="F17" s="14" t="s">
        <v>130</v>
      </c>
      <c r="G17" s="29"/>
    </row>
    <row r="18" spans="1:7" ht="20.05" customHeight="1" x14ac:dyDescent="0.55000000000000004">
      <c r="A18" s="26" t="s">
        <v>131</v>
      </c>
      <c r="B18" s="101" t="s">
        <v>132</v>
      </c>
      <c r="C18" s="64"/>
      <c r="D18" s="97" t="s">
        <v>133</v>
      </c>
      <c r="E18" s="64"/>
      <c r="F18" s="14" t="s">
        <v>130</v>
      </c>
      <c r="G18" s="30"/>
    </row>
    <row r="19" spans="1:7" ht="20.05" customHeight="1" x14ac:dyDescent="0.55000000000000004">
      <c r="A19" s="26" t="s">
        <v>134</v>
      </c>
      <c r="B19" s="101" t="s">
        <v>135</v>
      </c>
      <c r="C19" s="64"/>
      <c r="D19" s="97" t="s">
        <v>136</v>
      </c>
      <c r="E19" s="64"/>
      <c r="F19" s="14" t="s">
        <v>130</v>
      </c>
      <c r="G19" s="29"/>
    </row>
    <row r="20" spans="1:7" ht="20.05" customHeight="1" x14ac:dyDescent="0.55000000000000004">
      <c r="A20" s="26" t="s">
        <v>137</v>
      </c>
      <c r="B20" s="101" t="s">
        <v>138</v>
      </c>
      <c r="C20" s="64"/>
      <c r="D20" s="97" t="s">
        <v>139</v>
      </c>
      <c r="E20" s="64"/>
      <c r="F20" s="14" t="s">
        <v>130</v>
      </c>
      <c r="G20" s="30"/>
    </row>
    <row r="21" spans="1:7" ht="20.05" customHeight="1" x14ac:dyDescent="0.55000000000000004">
      <c r="A21" s="26" t="s">
        <v>140</v>
      </c>
      <c r="B21" s="101" t="s">
        <v>141</v>
      </c>
      <c r="C21" s="64"/>
      <c r="D21" s="97" t="s">
        <v>142</v>
      </c>
      <c r="E21" s="64"/>
      <c r="F21" s="14" t="s">
        <v>130</v>
      </c>
      <c r="G21" s="29"/>
    </row>
    <row r="22" spans="1:7" ht="20.05" customHeight="1" x14ac:dyDescent="0.55000000000000004">
      <c r="A22" s="26" t="s">
        <v>143</v>
      </c>
      <c r="B22" s="100" t="s">
        <v>144</v>
      </c>
      <c r="C22" s="64"/>
      <c r="D22" s="97" t="s">
        <v>145</v>
      </c>
      <c r="E22" s="64"/>
      <c r="F22" s="14" t="s">
        <v>130</v>
      </c>
      <c r="G22" s="30"/>
    </row>
    <row r="23" spans="1:7" ht="20.05" customHeight="1" x14ac:dyDescent="0.55000000000000004">
      <c r="A23" s="26" t="s">
        <v>146</v>
      </c>
      <c r="B23" s="98" t="s">
        <v>147</v>
      </c>
      <c r="C23" s="64"/>
      <c r="D23" s="104" t="s">
        <v>148</v>
      </c>
      <c r="E23" s="64"/>
      <c r="F23" s="14" t="s">
        <v>130</v>
      </c>
      <c r="G23" s="29"/>
    </row>
    <row r="24" spans="1:7" ht="20.05" customHeight="1" x14ac:dyDescent="0.55000000000000004">
      <c r="A24" s="26" t="s">
        <v>149</v>
      </c>
      <c r="B24" s="101" t="s">
        <v>150</v>
      </c>
      <c r="C24" s="64"/>
      <c r="D24" s="97" t="s">
        <v>151</v>
      </c>
      <c r="E24" s="64"/>
      <c r="F24" s="14" t="s">
        <v>130</v>
      </c>
      <c r="G24" s="30"/>
    </row>
    <row r="25" spans="1:7" ht="20.05" customHeight="1" x14ac:dyDescent="0.55000000000000004">
      <c r="A25" s="26" t="s">
        <v>152</v>
      </c>
      <c r="B25" s="98" t="s">
        <v>153</v>
      </c>
      <c r="C25" s="64"/>
      <c r="D25" s="104" t="s">
        <v>154</v>
      </c>
      <c r="E25" s="64"/>
      <c r="F25" s="14" t="s">
        <v>130</v>
      </c>
      <c r="G25" s="29"/>
    </row>
    <row r="26" spans="1:7" ht="20.05" customHeight="1" x14ac:dyDescent="0.55000000000000004">
      <c r="A26" s="26" t="s">
        <v>155</v>
      </c>
      <c r="B26" s="100" t="s">
        <v>156</v>
      </c>
      <c r="C26" s="64"/>
      <c r="D26" s="97" t="s">
        <v>157</v>
      </c>
      <c r="E26" s="64"/>
      <c r="F26" s="14" t="s">
        <v>130</v>
      </c>
      <c r="G26" s="30"/>
    </row>
    <row r="27" spans="1:7" ht="20.05" customHeight="1" x14ac:dyDescent="0.55000000000000004">
      <c r="A27" s="26" t="s">
        <v>158</v>
      </c>
      <c r="B27" s="98" t="s">
        <v>159</v>
      </c>
      <c r="C27" s="64"/>
      <c r="D27" s="104" t="s">
        <v>23</v>
      </c>
      <c r="E27" s="64"/>
      <c r="F27" s="14" t="s">
        <v>130</v>
      </c>
      <c r="G27" s="29"/>
    </row>
  </sheetData>
  <mergeCells count="40">
    <mergeCell ref="A1:G1"/>
    <mergeCell ref="B19:C19"/>
    <mergeCell ref="A9:C9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A7:C7"/>
    <mergeCell ref="B27:C27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B26:C26"/>
    <mergeCell ref="D26:E26"/>
    <mergeCell ref="D20:E20"/>
    <mergeCell ref="E10:G10"/>
    <mergeCell ref="B25:C25"/>
    <mergeCell ref="D19:E19"/>
    <mergeCell ref="A4:G4"/>
    <mergeCell ref="B22:C22"/>
    <mergeCell ref="E9:G9"/>
    <mergeCell ref="D22:E22"/>
    <mergeCell ref="B18:C18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0" t="s">
        <v>160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111" t="s">
        <v>161</v>
      </c>
      <c r="B2" s="67"/>
      <c r="C2" s="67"/>
      <c r="D2" s="67"/>
      <c r="E2" s="67"/>
      <c r="F2" s="67"/>
      <c r="G2" s="64"/>
    </row>
    <row r="3" spans="1:7" ht="18" customHeight="1" x14ac:dyDescent="0.55000000000000004">
      <c r="A3" s="33"/>
      <c r="B3" s="33" t="s">
        <v>162</v>
      </c>
      <c r="C3" s="33" t="s">
        <v>163</v>
      </c>
      <c r="D3" s="33" t="s">
        <v>86</v>
      </c>
      <c r="E3" s="33" t="s">
        <v>164</v>
      </c>
      <c r="F3" s="33" t="s">
        <v>165</v>
      </c>
      <c r="G3" s="33" t="s">
        <v>166</v>
      </c>
    </row>
    <row r="4" spans="1:7" ht="22" customHeight="1" x14ac:dyDescent="0.55000000000000004">
      <c r="A4" s="34" t="s">
        <v>164</v>
      </c>
      <c r="B4" s="34" t="s">
        <v>167</v>
      </c>
      <c r="C4" s="34" t="s">
        <v>168</v>
      </c>
      <c r="D4" s="34" t="s">
        <v>169</v>
      </c>
      <c r="E4" s="34" t="s">
        <v>170</v>
      </c>
      <c r="F4" s="34" t="s">
        <v>171</v>
      </c>
      <c r="G4" s="34" t="s">
        <v>172</v>
      </c>
    </row>
    <row r="5" spans="1:7" ht="22" customHeight="1" x14ac:dyDescent="0.55000000000000004">
      <c r="A5" s="113" t="s">
        <v>173</v>
      </c>
      <c r="B5" s="67"/>
      <c r="C5" s="67"/>
      <c r="D5" s="67"/>
      <c r="E5" s="67"/>
      <c r="F5" s="67"/>
      <c r="G5" s="64"/>
    </row>
    <row r="6" spans="1:7" ht="18" customHeight="1" x14ac:dyDescent="0.55000000000000004">
      <c r="A6" s="33"/>
      <c r="B6" s="33" t="s">
        <v>162</v>
      </c>
      <c r="C6" s="33" t="s">
        <v>163</v>
      </c>
      <c r="D6" s="33" t="s">
        <v>86</v>
      </c>
      <c r="E6" s="33" t="s">
        <v>164</v>
      </c>
      <c r="F6" s="33" t="s">
        <v>165</v>
      </c>
      <c r="G6" s="33" t="s">
        <v>166</v>
      </c>
    </row>
    <row r="7" spans="1:7" ht="22" customHeight="1" x14ac:dyDescent="0.55000000000000004">
      <c r="A7" s="34" t="s">
        <v>164</v>
      </c>
      <c r="B7" s="34" t="s">
        <v>174</v>
      </c>
      <c r="C7" s="34" t="s">
        <v>175</v>
      </c>
      <c r="D7" s="34" t="s">
        <v>176</v>
      </c>
      <c r="E7" s="34" t="s">
        <v>177</v>
      </c>
      <c r="F7" s="34" t="s">
        <v>171</v>
      </c>
      <c r="G7" s="34" t="s">
        <v>178</v>
      </c>
    </row>
    <row r="8" spans="1:7" ht="22" customHeight="1" x14ac:dyDescent="0.55000000000000004">
      <c r="A8" s="110" t="s">
        <v>179</v>
      </c>
      <c r="B8" s="67"/>
      <c r="C8" s="67"/>
      <c r="D8" s="67"/>
      <c r="E8" s="67"/>
      <c r="F8" s="67"/>
      <c r="G8" s="64"/>
    </row>
    <row r="9" spans="1:7" ht="18" customHeight="1" x14ac:dyDescent="0.55000000000000004">
      <c r="A9" s="33"/>
      <c r="B9" s="33" t="s">
        <v>162</v>
      </c>
      <c r="C9" s="33" t="s">
        <v>163</v>
      </c>
      <c r="D9" s="33" t="s">
        <v>86</v>
      </c>
      <c r="E9" s="33" t="s">
        <v>164</v>
      </c>
      <c r="F9" s="33" t="s">
        <v>165</v>
      </c>
      <c r="G9" s="33" t="s">
        <v>166</v>
      </c>
    </row>
    <row r="10" spans="1:7" ht="22" customHeight="1" x14ac:dyDescent="0.55000000000000004">
      <c r="A10" s="34" t="s">
        <v>164</v>
      </c>
      <c r="B10" s="34" t="s">
        <v>180</v>
      </c>
      <c r="C10" s="34" t="s">
        <v>181</v>
      </c>
      <c r="D10" s="34" t="s">
        <v>182</v>
      </c>
      <c r="E10" s="34" t="s">
        <v>183</v>
      </c>
      <c r="F10" s="34" t="s">
        <v>171</v>
      </c>
      <c r="G10" s="34" t="s">
        <v>184</v>
      </c>
    </row>
    <row r="11" spans="1:7" ht="44.05" customHeight="1" x14ac:dyDescent="0.55000000000000004">
      <c r="A11" s="112" t="s">
        <v>185</v>
      </c>
      <c r="B11" s="67"/>
      <c r="C11" s="67"/>
      <c r="D11" s="67"/>
      <c r="E11" s="67"/>
      <c r="F11" s="67"/>
      <c r="G11" s="64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0" t="s">
        <v>186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1" t="s">
        <v>187</v>
      </c>
      <c r="B2" s="61"/>
      <c r="C2" s="61"/>
      <c r="D2" s="61"/>
      <c r="E2" s="61"/>
      <c r="F2" s="61"/>
      <c r="G2" s="62"/>
    </row>
    <row r="3" spans="1:7" ht="18" customHeight="1" x14ac:dyDescent="0.55000000000000004">
      <c r="A3" s="33" t="s">
        <v>188</v>
      </c>
      <c r="B3" s="33" t="s">
        <v>189</v>
      </c>
      <c r="C3" s="33" t="s">
        <v>190</v>
      </c>
      <c r="D3" s="33" t="s">
        <v>191</v>
      </c>
    </row>
    <row r="4" spans="1:7" ht="60" customHeight="1" x14ac:dyDescent="0.55000000000000004">
      <c r="A4" s="26" t="s">
        <v>192</v>
      </c>
      <c r="B4" s="31" t="s">
        <v>193</v>
      </c>
      <c r="C4" s="35" t="s">
        <v>194</v>
      </c>
      <c r="D4" s="36" t="s">
        <v>195</v>
      </c>
    </row>
    <row r="5" spans="1:7" ht="56.05" customHeight="1" x14ac:dyDescent="0.55000000000000004">
      <c r="A5" s="26" t="s">
        <v>196</v>
      </c>
      <c r="B5" s="27" t="s">
        <v>197</v>
      </c>
      <c r="C5" s="28" t="s">
        <v>198</v>
      </c>
      <c r="D5" s="37" t="s">
        <v>199</v>
      </c>
    </row>
    <row r="6" spans="1:7" ht="52" customHeight="1" x14ac:dyDescent="0.55000000000000004">
      <c r="A6" s="26" t="s">
        <v>200</v>
      </c>
      <c r="B6" s="31" t="s">
        <v>201</v>
      </c>
      <c r="C6" s="35" t="s">
        <v>202</v>
      </c>
      <c r="D6" s="36" t="s">
        <v>203</v>
      </c>
    </row>
    <row r="7" spans="1:7" ht="48" customHeight="1" x14ac:dyDescent="0.55000000000000004">
      <c r="A7" s="26" t="s">
        <v>204</v>
      </c>
      <c r="B7" s="31" t="s">
        <v>205</v>
      </c>
      <c r="C7" s="35" t="s">
        <v>206</v>
      </c>
      <c r="D7" s="36" t="s">
        <v>207</v>
      </c>
    </row>
    <row r="8" spans="1:7" ht="64" customHeight="1" x14ac:dyDescent="0.55000000000000004">
      <c r="A8" s="26" t="s">
        <v>208</v>
      </c>
      <c r="B8" s="32" t="s">
        <v>209</v>
      </c>
      <c r="C8" s="35" t="s">
        <v>210</v>
      </c>
      <c r="D8" s="38" t="s">
        <v>211</v>
      </c>
    </row>
    <row r="9" spans="1:7" ht="36" customHeight="1" x14ac:dyDescent="0.55000000000000004">
      <c r="A9" s="114" t="s">
        <v>212</v>
      </c>
      <c r="B9" s="67"/>
      <c r="C9" s="67"/>
      <c r="D9" s="64"/>
      <c r="E9" s="39"/>
      <c r="F9" s="39"/>
      <c r="G9" s="3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0" t="s">
        <v>213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1" t="s">
        <v>214</v>
      </c>
      <c r="B2" s="61"/>
      <c r="C2" s="61"/>
      <c r="D2" s="61"/>
      <c r="E2" s="61"/>
      <c r="F2" s="61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6" t="s">
        <v>215</v>
      </c>
      <c r="B4" s="61"/>
      <c r="C4" s="61"/>
      <c r="D4" s="61"/>
      <c r="E4" s="61"/>
      <c r="F4" s="61"/>
      <c r="G4" s="62"/>
    </row>
    <row r="5" spans="1:7" ht="18" customHeight="1" x14ac:dyDescent="0.55000000000000004">
      <c r="A5" s="33"/>
      <c r="B5" s="33" t="s">
        <v>216</v>
      </c>
      <c r="C5" s="33" t="s">
        <v>217</v>
      </c>
      <c r="D5" s="33" t="s">
        <v>44</v>
      </c>
      <c r="E5" s="33" t="s">
        <v>218</v>
      </c>
      <c r="F5" s="33"/>
    </row>
    <row r="6" spans="1:7" ht="36" customHeight="1" x14ac:dyDescent="0.55000000000000004">
      <c r="A6" s="40"/>
      <c r="B6" s="41" t="s">
        <v>219</v>
      </c>
      <c r="C6" s="42" t="s">
        <v>220</v>
      </c>
      <c r="D6" s="43" t="s">
        <v>221</v>
      </c>
      <c r="E6" s="44" t="s">
        <v>36</v>
      </c>
      <c r="F6" s="40"/>
    </row>
    <row r="7" spans="1:7" ht="36" customHeight="1" x14ac:dyDescent="0.55000000000000004">
      <c r="A7" s="29"/>
      <c r="B7" s="45" t="s">
        <v>222</v>
      </c>
      <c r="C7" s="46" t="s">
        <v>223</v>
      </c>
      <c r="D7" s="43" t="s">
        <v>224</v>
      </c>
      <c r="E7" s="47" t="s">
        <v>225</v>
      </c>
      <c r="F7" s="29"/>
    </row>
    <row r="8" spans="1:7" ht="36" customHeight="1" x14ac:dyDescent="0.55000000000000004">
      <c r="A8" s="40"/>
      <c r="B8" s="41" t="s">
        <v>226</v>
      </c>
      <c r="C8" s="48" t="s">
        <v>227</v>
      </c>
      <c r="D8" s="43" t="s">
        <v>228</v>
      </c>
      <c r="E8" s="44" t="s">
        <v>36</v>
      </c>
      <c r="F8" s="40"/>
    </row>
    <row r="9" spans="1:7" ht="36" customHeight="1" x14ac:dyDescent="0.55000000000000004">
      <c r="A9" s="29"/>
      <c r="B9" s="45" t="s">
        <v>229</v>
      </c>
      <c r="C9" s="32" t="s">
        <v>230</v>
      </c>
      <c r="D9" s="43" t="s">
        <v>231</v>
      </c>
      <c r="E9" s="47" t="s">
        <v>232</v>
      </c>
      <c r="F9" s="29"/>
    </row>
    <row r="10" spans="1:7" ht="36" customHeight="1" x14ac:dyDescent="0.55000000000000004">
      <c r="A10" s="40"/>
      <c r="B10" s="41" t="s">
        <v>233</v>
      </c>
      <c r="C10" s="48" t="s">
        <v>234</v>
      </c>
      <c r="D10" s="43" t="s">
        <v>235</v>
      </c>
      <c r="E10" s="44" t="s">
        <v>236</v>
      </c>
      <c r="F10" s="40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5" t="s">
        <v>237</v>
      </c>
      <c r="B12" s="61"/>
      <c r="C12" s="61"/>
      <c r="D12" s="61"/>
      <c r="E12" s="61"/>
      <c r="F12" s="61"/>
      <c r="G12" s="62"/>
    </row>
    <row r="13" spans="1:7" ht="18" customHeight="1" x14ac:dyDescent="0.55000000000000004">
      <c r="A13" s="49"/>
      <c r="B13" s="49" t="s">
        <v>216</v>
      </c>
      <c r="C13" s="49" t="s">
        <v>5</v>
      </c>
      <c r="D13" s="49" t="s">
        <v>238</v>
      </c>
      <c r="E13" s="49" t="s">
        <v>239</v>
      </c>
      <c r="F13" s="49"/>
    </row>
    <row r="14" spans="1:7" ht="28" customHeight="1" x14ac:dyDescent="0.55000000000000004">
      <c r="A14" s="50"/>
      <c r="B14" s="51" t="s">
        <v>240</v>
      </c>
      <c r="C14" s="52" t="s">
        <v>128</v>
      </c>
      <c r="D14" s="53" t="s">
        <v>241</v>
      </c>
      <c r="E14" s="54" t="s">
        <v>242</v>
      </c>
      <c r="F14" s="50"/>
    </row>
    <row r="15" spans="1:7" ht="28" customHeight="1" x14ac:dyDescent="0.55000000000000004">
      <c r="A15" s="50"/>
      <c r="B15" s="51" t="s">
        <v>243</v>
      </c>
      <c r="C15" s="52" t="s">
        <v>244</v>
      </c>
      <c r="D15" s="53" t="s">
        <v>245</v>
      </c>
      <c r="E15" s="54" t="s">
        <v>242</v>
      </c>
      <c r="F15" s="50"/>
    </row>
    <row r="16" spans="1:7" ht="28" customHeight="1" x14ac:dyDescent="0.55000000000000004">
      <c r="A16" s="50"/>
      <c r="B16" s="51" t="s">
        <v>246</v>
      </c>
      <c r="C16" s="52" t="s">
        <v>247</v>
      </c>
      <c r="D16" s="53" t="s">
        <v>248</v>
      </c>
      <c r="E16" s="54" t="s">
        <v>242</v>
      </c>
      <c r="F16" s="50"/>
    </row>
    <row r="17" spans="1:7" ht="28" customHeight="1" x14ac:dyDescent="0.55000000000000004">
      <c r="A17" s="50"/>
      <c r="B17" s="51" t="s">
        <v>249</v>
      </c>
      <c r="C17" s="52" t="s">
        <v>138</v>
      </c>
      <c r="D17" s="53" t="s">
        <v>139</v>
      </c>
      <c r="E17" s="54" t="s">
        <v>242</v>
      </c>
      <c r="F17" s="50"/>
    </row>
    <row r="18" spans="1:7" ht="28" customHeight="1" x14ac:dyDescent="0.55000000000000004">
      <c r="A18" s="50"/>
      <c r="B18" s="51" t="s">
        <v>250</v>
      </c>
      <c r="C18" s="52" t="s">
        <v>141</v>
      </c>
      <c r="D18" s="53" t="s">
        <v>251</v>
      </c>
      <c r="E18" s="54" t="s">
        <v>242</v>
      </c>
      <c r="F18" s="50"/>
    </row>
    <row r="19" spans="1:7" ht="28" customHeight="1" x14ac:dyDescent="0.55000000000000004">
      <c r="A19" s="55"/>
      <c r="B19" s="56" t="s">
        <v>252</v>
      </c>
      <c r="C19" s="57" t="s">
        <v>253</v>
      </c>
      <c r="D19" s="58" t="s">
        <v>254</v>
      </c>
      <c r="E19" s="59" t="s">
        <v>242</v>
      </c>
      <c r="F19" s="55"/>
    </row>
    <row r="20" spans="1:7" ht="28" customHeight="1" x14ac:dyDescent="0.55000000000000004">
      <c r="A20" s="50"/>
      <c r="B20" s="51" t="s">
        <v>255</v>
      </c>
      <c r="C20" s="52" t="s">
        <v>256</v>
      </c>
      <c r="D20" s="53" t="s">
        <v>151</v>
      </c>
      <c r="E20" s="54" t="s">
        <v>242</v>
      </c>
      <c r="F20" s="50"/>
    </row>
    <row r="21" spans="1:7" ht="28" customHeight="1" x14ac:dyDescent="0.55000000000000004">
      <c r="A21" s="55"/>
      <c r="B21" s="56" t="s">
        <v>257</v>
      </c>
      <c r="C21" s="57" t="s">
        <v>258</v>
      </c>
      <c r="D21" s="58" t="s">
        <v>259</v>
      </c>
      <c r="E21" s="59" t="s">
        <v>242</v>
      </c>
      <c r="F21" s="55"/>
    </row>
    <row r="22" spans="1:7" ht="28" customHeight="1" x14ac:dyDescent="0.55000000000000004">
      <c r="A22" s="55"/>
      <c r="B22" s="56" t="s">
        <v>260</v>
      </c>
      <c r="C22" s="57" t="s">
        <v>261</v>
      </c>
      <c r="D22" s="58" t="s">
        <v>262</v>
      </c>
      <c r="E22" s="59" t="s">
        <v>242</v>
      </c>
      <c r="F22" s="55"/>
    </row>
    <row r="23" spans="1:7" ht="28" customHeight="1" x14ac:dyDescent="0.55000000000000004">
      <c r="A23" s="55"/>
      <c r="B23" s="56" t="s">
        <v>263</v>
      </c>
      <c r="C23" s="57" t="s">
        <v>264</v>
      </c>
      <c r="D23" s="58" t="s">
        <v>265</v>
      </c>
      <c r="E23" s="59" t="s">
        <v>242</v>
      </c>
      <c r="F23" s="55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4" t="s">
        <v>266</v>
      </c>
      <c r="B25" s="67"/>
      <c r="C25" s="67"/>
      <c r="D25" s="67"/>
      <c r="E25" s="67"/>
      <c r="F25" s="64"/>
      <c r="G25" s="39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2026-04-06T18:54:29Z</dcterms:created>
  <dcterms:modified xsi:type="dcterms:W3CDTF">2026-04-06T19:01:14Z</dcterms:modified>
</cp:coreProperties>
</file>