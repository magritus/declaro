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4456DFBF-B41E-46C4-A6B0-18A108E5E5B8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9" i="1" l="1"/>
  <c r="D9" i="2"/>
  <c r="D8" i="2"/>
  <c r="D7" i="2"/>
  <c r="D6" i="2"/>
  <c r="E48" i="1"/>
  <c r="C53" i="1" s="1"/>
  <c r="D48" i="1"/>
  <c r="C52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F48" i="1" s="1"/>
  <c r="C54" i="1" s="1"/>
  <c r="E15" i="1"/>
  <c r="D5" i="2" s="1"/>
  <c r="G40" i="1" l="1"/>
  <c r="G48" i="1" s="1"/>
  <c r="C56" i="1" s="1"/>
</calcChain>
</file>

<file path=xl/sharedStrings.xml><?xml version="1.0" encoding="utf-8"?>
<sst xmlns="http://schemas.openxmlformats.org/spreadsheetml/2006/main" count="357" uniqueCount="287">
  <si>
    <t>402 – BAĞIŞ VE YARDIMLAR | KVK MADDE 10/1-c | KAMU İDARELERİNE OKUL/SAĞLIK/YURT/HUZUREVİ İNŞASI | TAMAMININ İNDİRİMİ</t>
  </si>
  <si>
    <t>Beyanname 402 | GİB KV Beyan Rehberi Mart 2026 (No:606) | ✗ YİAKV MATRAHINDA DÜŞÜLEMEZ</t>
  </si>
  <si>
    <t xml:space="preserve">  KVK Md.10/1-c KAPSAMI:
  ★ ALICI: Genel/özel bütçeli kamu idareleri, il özel idareleri, belediyeler, köyler VEYA kamu yararına çalışan dernekler (KYD) VEYA Cumhurbaşkanlığı kararıyla vergi muafiyeti tanınan vakıflar.
  ★ AMAÇ: Okul / Sağlık Tesisi / Öğrenci Yurdu (≥100 yatak veya öncelikli yöre ≥50 yatak) / Çocuk Yuvası / Yetiştirme Yurdu / Huzurevi / Bakım ve Rehabilitasyon Merkezi
  ★ İnşa dolayısıyla yapılan harcamalar, inşaat için yapılan bağışlar VEYA mevcut tesislerin faaliyetlerine destek.
  ★ İNDİRİM: TAMAMININ İNDİRİMİ — sınır yok (matrahı aşan kısım devredilemez).</t>
  </si>
  <si>
    <t xml:space="preserve">  ✗ YİAKV (KVK Md.32/C): 402 Bağış ve Yardımı YİAKV MATRAHINDA DÜŞÜLEMEZ. YİAKV Çalışma Kâğıdı E.11 bilgi satırında gösterilir. Diğer bağış/yardım kodları (403-410 vb.) ile karıştırmayın.</t>
  </si>
  <si>
    <t>A0. KAPSAM VE NİTELİK UYGUNLUK ÖN KONTROLÜ — KVK Md.10/1-c KOŞULLARI</t>
  </si>
  <si>
    <t>Kontrol Sorusu</t>
  </si>
  <si>
    <t>Yanıt</t>
  </si>
  <si>
    <t>YMM Tasdik Notu</t>
  </si>
  <si>
    <t>A0.1  ★ Alıcı KVK Md.10/1-c kapsamında mı? (Kamu idaresi / KYD / Muafiyet vakıf)</t>
  </si>
  <si>
    <t>EVET</t>
  </si>
  <si>
    <t>Alıcı: Genel/özel bütçeli kamu idaresi, il özel idaresi, belediye, köy VEYA kamu yararına çalışan dernek (KYD) VEYA CB kararıyla vergi muafiyeti tanınan vakıf. Özel kuruluş, ticari şirket veya kapsam dışı dernek/vakıf → 402 değil, başka kod.</t>
  </si>
  <si>
    <t>A0.2  ★ Bağışın AMACI KVK Md.10/1-c kapsamında mı?</t>
  </si>
  <si>
    <t>Kapsam: Okul / Sağlık Tesisi / Öğrenci Yurdu (≥100 yatak) / Çocuk Yuvası / Yetiştirme Yurdu / Huzurevi / Bakım-Rehabilitasyon Merkezi İNŞASI veya mevcut TESİSLERİN FAALİYETLERİNE destek.</t>
  </si>
  <si>
    <t>A0.3  ★ Öğrenci yurdu ise ≥100 yatak (veya öncelikli yörede ≥50 yatak) koşulu sağlandı mı?</t>
  </si>
  <si>
    <t>Öğrenci yurdu bağışı için yatak kapasitesi şartı zorunludur. Kalkınmada öncelikli yörelerde ≥50 yatak yeterli. Diğer amaçlarda bu kontrol uygulanmaz.</t>
  </si>
  <si>
    <t>A0.4  ★ Bağış/yardım FİİLEN yapıldı mı? (Nakdi: Banka — Ayni: Teslim belgesi)</t>
  </si>
  <si>
    <t>Taahhüt edilen ama yapılmayan bağış indirime konu edilemez. Nakdi: Banka EFT/havale. Ayni: Teslim tutanağı veya fatura.</t>
  </si>
  <si>
    <t>A0.5  KYD veya muafiyet vakfı ise güncel statü belgesi temin edildi mi?</t>
  </si>
  <si>
    <t>KYD dernekler → İçişleri Bakanlığı veya Cumhurbaşkanlığı KYD kararı. Muafiyet vakıf → Cumhurbaşkanlığı vergi muafiyeti kararı. Statü değişebilir — bağış tarihindeki statü geçerlidir.</t>
  </si>
  <si>
    <t>A0.6  Alıcı kamu idaresi bağışı kabul belgesi (makbuz/protokol) verildi mi?</t>
  </si>
  <si>
    <t>Kamu idareleri için bağış kabul yazısı veya protokol. KYD/Vakıf için resmi makbuz/alındı belgesi.</t>
  </si>
  <si>
    <t>A0.7  YMM Tasdik Raporu gereksinimi değerlendirildi mi? (49 No.lu Tebliğ)</t>
  </si>
  <si>
    <t>&gt;=500.000 TL → YMM raporu.</t>
  </si>
  <si>
    <t>A0.8  Tasdik Uygunluk Sonucu</t>
  </si>
  <si>
    <t>★ A0.1 alıcı niteliği | A0.2 amaç kapsamı | A0.4 fiili ödeme — üçü kritik.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</si>
  <si>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</si>
  <si>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</si>
  <si>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</si>
  <si>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</si>
  <si>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</si>
  <si>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</si>
  <si>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</si>
  <si>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</si>
  <si>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</si>
  <si>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Dosya Referansı</t>
  </si>
  <si>
    <t>YMM-2025/402-01</t>
  </si>
  <si>
    <t>İndirim Oranı</t>
  </si>
  <si>
    <t>KVK Md.10/1-c: TAMAMININ İNDİRİMİ — Matrahı aşan kısım devredilemez</t>
  </si>
  <si>
    <t>B. BAĞIŞ VE YARDIM DETAYLARI — KVK Md.10/1-c KAPSAM ANALİZİ</t>
  </si>
  <si>
    <t>Parametre</t>
  </si>
  <si>
    <t>Değer</t>
  </si>
  <si>
    <t>Açıklama</t>
  </si>
  <si>
    <t>Kaynak</t>
  </si>
  <si>
    <t>B.1  Alıcı Adı / Ünvanı</t>
  </si>
  <si>
    <t>Tam adı — Bakanlık, Belediye, KYD Derneği, Vakıf vb.</t>
  </si>
  <si>
    <t>Bağış protokolü</t>
  </si>
  <si>
    <t>B.2  Alıcı Türü</t>
  </si>
  <si>
    <t>Genel Bütçeli Kamu İdaresi (MEB/Sağlık Bak./Üniversite vb.)</t>
  </si>
  <si>
    <t>Nitelik: Kamu idaresi / KYD / Muafiyet Vakıf.</t>
  </si>
  <si>
    <t>Alıcı belgesi</t>
  </si>
  <si>
    <t>B.3  Bağışın Amacı / Tesise İlişkin Bilgi</t>
  </si>
  <si>
    <t>Okul İnşası / Yapım</t>
  </si>
  <si>
    <t>Spesifik amaç belirtilmeli — 10/1-c listesinden biri.</t>
  </si>
  <si>
    <t>Protokol</t>
  </si>
  <si>
    <t>B.4  ★ Öğrenci Yurdu İse Yatak Kapasitesi</t>
  </si>
  <si>
    <t>≥100 yatak (normal) / ≥50 yatak (kalkınmada öncelikli yöre). Diğer amaçlar için boş bırakın.</t>
  </si>
  <si>
    <t>Proje belgesi</t>
  </si>
  <si>
    <t>B.5  Bağış/Yardım Şekli</t>
  </si>
  <si>
    <t>Nakdi (Banka Transferi/EFT)</t>
  </si>
  <si>
    <t>Nakdi → Banka belgesi. Ayni → Teslim tutanağı + fatura değeri.</t>
  </si>
  <si>
    <t>Belge</t>
  </si>
  <si>
    <t>B.6  Bağış/Yardım Tarihi</t>
  </si>
  <si>
    <t>Fiilen gerçekleştiği tarih (nakdi: ödeme, ayni: teslim).</t>
  </si>
  <si>
    <t>Banka/Tutanak</t>
  </si>
  <si>
    <t>B.7  ★ Alıcı Statü Belgesi (KYD/Muafiyet Vakıf İçin)</t>
  </si>
  <si>
    <t>Kamu İdaresi — Statü Belgesi Gerekmez</t>
  </si>
  <si>
    <t>Kamu idaresi için gerekmez. KYD ve Vakıf için güncel statü belgesi zorunludur.</t>
  </si>
  <si>
    <t>Alıcı kurumdan</t>
  </si>
  <si>
    <t>B.8  Bağış Kabul Belgesi (Makbuz/Protokol)</t>
  </si>
  <si>
    <t>Kamu idaresi: Bağış kabul yazısı veya protokol. KYD/Vakıf: Resmi makbuz.</t>
  </si>
  <si>
    <t>Alıcıdan</t>
  </si>
  <si>
    <t>C. BAĞIŞ VE YARDIM TABLOSU — BİRDEN FAZLA ALICI / AMAÇ (BEYANNAME 402)</t>
  </si>
  <si>
    <t xml:space="preserve">  Her bağış kalemi için ayrı satır. SÜTUN 4 (mor çerçeve): Nakdi bağış tutarı. SÜTUN 5: Ayni bağış değeri (maliyet veya piyasa değeri). SÜTUN 6: Toplam (4+5). SÜTUN 7: İndirim = Tam tutar.</t>
  </si>
  <si>
    <t>Alıcı Adı</t>
  </si>
  <si>
    <t>Amaç/Tesis</t>
  </si>
  <si>
    <t>Bağış Şekli</t>
  </si>
  <si>
    <t>Nakdi Tutar (TL)</t>
  </si>
  <si>
    <t>Ayni Değer (TL)</t>
  </si>
  <si>
    <t>Toplam (TL)</t>
  </si>
  <si>
    <t>İndirim (TL)</t>
  </si>
  <si>
    <t>TOPLAM — KVK Md.10/1-c Bağış / İndirim</t>
  </si>
  <si>
    <t>D. BAĞIŞ VE YARDIM İNDİRİMİ ÖZET — BEYANNAME 402 (KVK Md.10/1-c — TAMAMININ İNDİRİMİ)</t>
  </si>
  <si>
    <t>Hesap Kalemi</t>
  </si>
  <si>
    <t>Tutar (TL)</t>
  </si>
  <si>
    <t>Not</t>
  </si>
  <si>
    <t>D.1  Toplam Nakdi Bağış (C Sütun 4)</t>
  </si>
  <si>
    <t>Banka kaydıyla teyit</t>
  </si>
  <si>
    <t>D.2  Toplam Ayni Bağış Değeri (C Sütun 5)</t>
  </si>
  <si>
    <t>Maliyet veya piyasa değeri</t>
  </si>
  <si>
    <t>D.3  TOPLAM BAĞIŞ / YARDIM (D.1 + D.2)</t>
  </si>
  <si>
    <t>C tablosu toplam</t>
  </si>
  <si>
    <t>D.4  İndirim Oranı</t>
  </si>
  <si>
    <t>TAMAMININ İNDİRİMİ (%100)</t>
  </si>
  <si>
    <t>Sınır yok — matrahı aşamaz, devredilmez</t>
  </si>
  <si>
    <t>KVK Md.10/1-c</t>
  </si>
  <si>
    <t>D.5  ★ NET 402 İNDİRİMİ → BEYANNAME 402</t>
  </si>
  <si>
    <t>Kazancın Bulunması Halinde — tam tutar</t>
  </si>
  <si>
    <t>D.6  YİAKV DURUMU — DÜŞÜLEMEZ</t>
  </si>
  <si>
    <t>YİAKV E.11 Bilgi ✗</t>
  </si>
  <si>
    <t>Tüm bağış/yardım kodları YİAKV dışı</t>
  </si>
  <si>
    <t>KVK Md.32/C</t>
  </si>
  <si>
    <t>E.1  BAĞIŞ VE YARDIM İNDİRİMİ → Beyanname Satır 402 (Kazancın Bulunması Halinde)</t>
  </si>
  <si>
    <t>D.5 = Toplam Bağış Tamamı | KVK Md.10/1-c — Matrahı aşan kısım devredilemez</t>
  </si>
  <si>
    <t xml:space="preserve">  ★ KRİTİK UYARILAR:
(1) ALICI NİTELİĞİ: Kamu idaresi / KYD Derneği / Muafiyet Vakıf. Özel kuruluş → 402 değil.
(2) AMAÇ: Okul/Sağlık/Yurt/Huzurevi inşası veya faaliyetleri. Amaç dışı bağış → Başka madde.
(3) YURT KAPASİTESİ: Öğrenci yurdu için ≥100 yatak (öncelikli yöre ≥50). Altı → Kapsam dışı.
(4) DEVREDEN YOK: Matrahı aşan kısım sonraki dönemlere devredilmez.
(5) YİAKV ✗: DÜŞÜLEMEZ — E.11 bilgi satırı.</t>
  </si>
  <si>
    <t>402 – BAĞIŞ VE YARDIMLAR KVK Md.10/1-c | HESAPLAMALAR VE DENETİM</t>
  </si>
  <si>
    <t>Tamamının İndirimi | Kamu İdaresi/KYD/Muafiyet Vakıf | Beyanname 402 | ✗ YİAKV</t>
  </si>
  <si>
    <t>A. TASDİK ÖZETİ</t>
  </si>
  <si>
    <t>A0 Uygunluğu</t>
  </si>
  <si>
    <t>OK ise devam</t>
  </si>
  <si>
    <t>Alıcı Türü (B.2)</t>
  </si>
  <si>
    <t>Kamu idaresi/KYD/Vakıf</t>
  </si>
  <si>
    <t>Bağışın Amacı (B.3)</t>
  </si>
  <si>
    <t>10/1-c kapsamı tesis</t>
  </si>
  <si>
    <t>Toplam Bağış (D.3)</t>
  </si>
  <si>
    <t>Nakdi + Ayni toplam</t>
  </si>
  <si>
    <t>402 İndirim (D.5)</t>
  </si>
  <si>
    <t>YİAKV</t>
  </si>
  <si>
    <t>✗ DÜŞÜLEMEZ (E.11 Bilgi)</t>
  </si>
  <si>
    <t>B. KVK Md.10/1-c KAPSAM ANALİZİ — ALICI × AMAÇ MATRİSİ</t>
  </si>
  <si>
    <t xml:space="preserve">  ÜÇ ALICI KATEGORİSİ:
  ① KAMU İDARELERİ: Genel bütçeli (MEB, Sağlık Bakanlığı, üniversiteler, TSK vb.) | Özel bütçeli | İl Özel İdaresi | Belediye (büyükşehir/ilçe) | Köy/Muhtarlık
  ② KYD DERNEKLER: İçişleri Bakanlığı veya Cumhurbaşkanlığı tarafından 'Kamu Yararına Çalışan Dernek' statüsü verilmiş dernekler. Güncel statü belgesi şart.
  ③ MUAFİYET VAKIFLAR: Cumhurbaşkanlığı kararıyla vergi muafiyeti tanınan vakıflar. Güncel muafiyet belgesi şart.
  ÜÇ AMAÇ KATEGORİSİ:
  A) İNŞA/YAPIM: Okul, sağlık tesisi, öğrenci yurdu (≥100 yatak/≥50 öncelikli), çocuk yuvası, yetiştirme yurdu, huzurevi, bakım-rehab merkezi
  B) ONARIM/TADİLAT: Mevcut tesislerin onarımı — yeniden inşa kapsamında
  C) FAALİYET DESTEĞİ: 'Mevcut tesislerin faaliyetlerini devam ettirebilmeleri için'
  KAPSAM DIŞI: Özel okul, özel hastane, ticari amaçlı yurt, kapsam dışı dernek/vakıf bağışı → Başka madde.</t>
  </si>
  <si>
    <t>C. AYNİ BAĞIŞ DEĞERLEMESİ — FATURA VE MALİYET ESASI</t>
  </si>
  <si>
    <t xml:space="preserve">  AYNİ BAĞIŞIN DEĞERİ:
  Bağışlayan tarafından: Maliyet bedeli veya kayıtlı değer (amortismanlar düşülmüş net defter değeri).
  Teslim belgesi: İmzalı teslim-tesellüm tutanağı + fatura (varsa).
  KDV: Ayni bağışlarda KDV hesaplanmaz (KDVK Md.17/2-b istisna).
  AYNİ BAĞIŞ YEMEĞİ/HİZMET: Hizmet olarak bağışlarda maliyet bedeli esastır (piyasa değeri değil).
  KAYIT: Ayni bağış → 689 Diğer Olağan Dışı Gid. veya 770/680 → KKEG + Beyanname 402 indirim.</t>
  </si>
  <si>
    <t>D. DENETİM KONTROL LİSTESİ (K1–K13)</t>
  </si>
  <si>
    <t>Kontrol</t>
  </si>
  <si>
    <t>Sonuç</t>
  </si>
  <si>
    <t>K1</t>
  </si>
  <si>
    <t>★ Alıcı kamu idaresi, KYD derneği veya muafiyet vakfı mı?</t>
  </si>
  <si>
    <t>Özel kuruluş → 402 değil. Nitelik belgesiyle doğrulama.</t>
  </si>
  <si>
    <t>Uygun/Eksik/Risk</t>
  </si>
  <si>
    <t>K2</t>
  </si>
  <si>
    <t>★ Bağışın amacı 10/1-c listesinde mi?</t>
  </si>
  <si>
    <t>Okul/Sağlık/Yurt/Huzurevi/Çocuk Yuvası/Rehab.</t>
  </si>
  <si>
    <t>K3</t>
  </si>
  <si>
    <t>★ Öğrenci yurdu ise yatak kapasitesi ≥100 (normal) veya ≥50 (öncelikli yöre) mi?</t>
  </si>
  <si>
    <t>Kapasite kısıtı — gerekirse mimari proje incelenmeli.</t>
  </si>
  <si>
    <t>K4</t>
  </si>
  <si>
    <t>★ Bağış fiilen yapıldı mı? (Nakdi: Banka — Ayni: Teslim tutanağı)</t>
  </si>
  <si>
    <t>Taahhüt değil — fiili yapım zorunlu.</t>
  </si>
  <si>
    <t>K5</t>
  </si>
  <si>
    <t>KYD/Vakıf ise güncel statü belgesi temin edildi mi?</t>
  </si>
  <si>
    <t>Statü değişebilir — bağış anındaki statü geçerli.</t>
  </si>
  <si>
    <t>K6</t>
  </si>
  <si>
    <t>Bağış kabul belgesi (protokol/makbuz) mevcut mu?</t>
  </si>
  <si>
    <t>Her bağış için alındı/makbuz zorunludur.</t>
  </si>
  <si>
    <t>K7</t>
  </si>
  <si>
    <t>Ayni bağış varsa değerleme doğru mu? (Maliyet/net defter değeri)</t>
  </si>
  <si>
    <t>Piyasa değeri değil — maliyet esas.</t>
  </si>
  <si>
    <t>K8</t>
  </si>
  <si>
    <t>C tablosu toplamı D.3 ile mutabık mı?</t>
  </si>
  <si>
    <t>F48 = D.3 eşitliği.</t>
  </si>
  <si>
    <t>K9</t>
  </si>
  <si>
    <t>★ İndirim matrahı aşıyor mu? (Devreden bağış yok — kısıtlama var)</t>
  </si>
  <si>
    <t>Matrahı aşan kısım devredilmez — beyanname düzenleme.</t>
  </si>
  <si>
    <t>K10</t>
  </si>
  <si>
    <t>✗ YİAKV E.11'de bilgi amaçlı gösterildi mi?</t>
  </si>
  <si>
    <t>402 YİAKV matrahından düşülmüyor.</t>
  </si>
  <si>
    <t>K11</t>
  </si>
  <si>
    <t>Beyanname 402 'Kazancın Bulunması Halinde' bölümünde mi?</t>
  </si>
  <si>
    <t>Zarar döneminde uygulanamaz.</t>
  </si>
  <si>
    <t>K12</t>
  </si>
  <si>
    <t>Diğer bağış kodları (403-410 vb.) ile kapsam karışıklığı yok mu?</t>
  </si>
  <si>
    <t>Her madde ayrı değerlendirilmeli.</t>
  </si>
  <si>
    <t>K13</t>
  </si>
  <si>
    <t>YMM Tasdik Raporu (49 No.lu Tebliğ) değerlendirildi mi?</t>
  </si>
  <si>
    <t>402 – BAĞIŞ VE YARDIMLAR KVK Md.10/1-c | MUHASEBE KAYITLARI</t>
  </si>
  <si>
    <t>KAYIT 1 — NAKDİ BAĞIŞ (EFT/HAVALE)</t>
  </si>
  <si>
    <t>Tarih</t>
  </si>
  <si>
    <t>Hesap</t>
  </si>
  <si>
    <t>Dr</t>
  </si>
  <si>
    <t>Kr</t>
  </si>
  <si>
    <t>Ref</t>
  </si>
  <si>
    <t>[Tarih]</t>
  </si>
  <si>
    <t>689 Diğer Olağan Dışı Gider. / 770 Genel Yön.</t>
  </si>
  <si>
    <t>10/1-c bağışı — gider kaydı</t>
  </si>
  <si>
    <t>[Tutar]</t>
  </si>
  <si>
    <t>—</t>
  </si>
  <si>
    <t>Protokol/Makbuz</t>
  </si>
  <si>
    <t>102 Bankalar</t>
  </si>
  <si>
    <t>EFT/Havale ile bağış ödemesi</t>
  </si>
  <si>
    <t>Banka ekstresi</t>
  </si>
  <si>
    <t>DÖNEM SONU BEYANNAME İŞLEMİ</t>
  </si>
  <si>
    <t xml:space="preserve">  DÖNEM SONU İŞLEM AKIŞI — KVK Md.10/1-c:
  ① Bağış yapıldığında → GİDER kaydedildi (689 veya 770).
  ② Dönem sonu → Gider KKEG'e alınır → KV matrahı artar.
  ③ Beyanname 402 → Toplam bağış tutarının TAMAMININ İNDİRİMİ → Matrahtan düşülür.
  ④ NET ETKİ: 402 kapsamı bağışın tamamı matrahtan düşülmüş olur (tam avantaj).
  ⑤ SINIR: Bağış toplamı KV matrahını aşamaz — aşan kısım devredilmez.
  ⑥ YİAKV: Matrah hesabında bu indirim kullanılmaz → ✗ DÜŞÜLEMEZ.</t>
  </si>
  <si>
    <t>KAYIT 2 — AYNİ BAĞIŞ (MAL/EKİPMAN TESLİMİ)</t>
  </si>
  <si>
    <t>[Teslim Tarihi]</t>
  </si>
  <si>
    <t>689 Diğer Olağan Dışı Gider.</t>
  </si>
  <si>
    <t>Ayni bağış — Net defter değeri üzerinden gider</t>
  </si>
  <si>
    <t>[Maliyet]</t>
  </si>
  <si>
    <t>Teslim tutanağı</t>
  </si>
  <si>
    <t>150/255/257 vb.</t>
  </si>
  <si>
    <t>Bağışlanan varlık hesabı (net defter değeri)</t>
  </si>
  <si>
    <t>Stok/Sabit kıymet</t>
  </si>
  <si>
    <t>KAYIT 3 — DÖNEM SONU: KKEG + BEYANNAME 402</t>
  </si>
  <si>
    <t>[Dönem Sonu]</t>
  </si>
  <si>
    <t>951 KKEG (Vergi Matrahı Farkları)</t>
  </si>
  <si>
    <t>Bağış gideri KKEG'e alınır (matrahı artırır)</t>
  </si>
  <si>
    <t>Beyanname eki</t>
  </si>
  <si>
    <t>952 KKEG Karşılığı</t>
  </si>
  <si>
    <t>KKEG karşılığı kaydı</t>
  </si>
  <si>
    <t>402 – BAĞIŞ VE YARDIMLAR KVK Md.10/1-c | DENETÇİ NOTLARI</t>
  </si>
  <si>
    <t>GİB KV Beyan Rehberi 2026 (No:606) | Alıcı Niteliği | Amaç Kapsamı | Ayni Bağış | YİAKV E.11</t>
  </si>
  <si>
    <t>Kod</t>
  </si>
  <si>
    <t>Konu</t>
  </si>
  <si>
    <t>Mesleki Değerlendirme / Tasdik Standardı</t>
  </si>
  <si>
    <t>Mevzuat / Kaynak</t>
  </si>
  <si>
    <t>N1</t>
  </si>
  <si>
    <t>KVK Md.10/1-c — Tanım, Kapsam ve Koşullar</t>
  </si>
  <si>
    <t>KVK Md.10/1-c BAĞIŞ VE YARDIM İNDİRİMİ:
ALICILAR (3 Kategori):
① Genel/özel bütçeli kamu idareleri, il özel idareleri, belediyeler, köyler
② Kamu yararına çalışan dernekler (İçişleri/CB kararıyla)
③ CB kararıyla vergi muafiyeti tanınan vakıflar
AMAÇ (Kapsam Listesi):
① Okul inşası/onarımı/faaliyetleri
② Sağlık tesisi inşası/onarımı/faaliyetleri
③ Öğrenci yurdu (≥100 yatak — öncelikli yöre ≥50 yatak)
④ Çocuk yuvası / yetiştirme yurdu
⑤ Huzurevi
⑥ Bakım ve rehabilitasyon merkezi
İNDİRİM: TAMAMININ İNDİRİMİ (matrahı aşan kısım devredilmez)
YİAKV: ✗ DÜŞÜLEMEZ (E.11) | BEYANNAME: 402</t>
  </si>
  <si>
    <t>KVK Md.10/1-c | GİB KV Beyan Reh. 2026 (No:606)</t>
  </si>
  <si>
    <t>N2</t>
  </si>
  <si>
    <t>★ Alıcı Niteliği ve KYD/Muafiyet Vakıf Belgesi — Kritik Koşul</t>
  </si>
  <si>
    <t>ALICI NİTELİK SORUNU — EN BÜYÜK RİSK:
KAMU İDARESİ: Devlet kurumu, bakanlık bağlantılı kurum, belediye → Statü belgesi gerekmez.
KYD DERNEK:
• Sadece İçişleri Bakanlığı veya Cumhurbaşkanlığı kararıyla 'kamu yararına çalışan dernek'
  statüsü kazanmış derneklere yapılan bağışlar kapsama girer.
• Güncel statü belgesi zorunlu — statü kaldırılmış olabilir.
• Sıradan dernekler → 10/1-c kapsamında değil.
MUAFİYET VAKIF:
• Sadece Cumhurbaşkanlığı kararıyla vergi muafiyeti tanınmış vakıflar.
• Güncel muafiyet belgesi zorunlu — muafiyet sona ermiş olabilir.
YMM: Bağış tarihindeki statüyü belgele — statü değişikliği geçmişe dönük etki etmez.</t>
  </si>
  <si>
    <t>KVK Md.10/1-c | Dernekler Kanunu | Vakıflar Genel Müdürlüğü</t>
  </si>
  <si>
    <t>N3</t>
  </si>
  <si>
    <t>★ Öğrenci Yurdu Yatak Kapasitesi Koşulu ve Diğer Amaç Koşulları</t>
  </si>
  <si>
    <t>ÖĞRENCI YURDU YATAK KAPASİTESİ:
Normal: ≥100 yatak
Kalkınmada öncelikli yöre: ≥50 yatak (CB kararıyla belirlenen yöreler)
Altında kalan yurt yapımı → KVK 10/1-c kapsamına GİRMEZ.
FAAALİYET DESTEĞİ:
'Mevcut tesislerin faaliyetlerini devam ettirebilmeleri için' yapılan bağışlar da kapsama girer.
Örnek: Okul kütüphanesi için kitap bağışı, huzurevi için ilaç/malzeme bağışı.
AMAÇ KANITI:
Bağış protokolünde / makbuzda tesisin adı ve amacı açıkça belirtilmeli.
Genel amaçlı nakit bağış → Amaç belirsizliği → KDV tartışması → YMM yazılı kapsam analizi.</t>
  </si>
  <si>
    <t>KVK Md.10/1-c | GİB Özelge | Danıştay Kararları</t>
  </si>
  <si>
    <t>N4</t>
  </si>
  <si>
    <t>Matrah Sınırı ve Devreden Bağış Problemi</t>
  </si>
  <si>
    <t>MATRAH SINIRI — DEVREDİLMEZ:
KVK 10/1-c: 'Beyan edilen gelirin...' → Kazancın bulunması halinde matrahı aşamaz.
Matrahı aşan kısım sonraki dönemlere devredilmez.
KARŞILAŞTIRMA:
• KVK 10/1-c: Tam indirim, matrahla sınırlı, DEVREDILMEZ.
• Ar-Ge İndirimi (283): Tam indirim, matrahla sınırlı, devredilir.
• Tasarım İndirimi (455): Tam indirim, matrahla sınırlı, devredilir.
YMM YAKLAŞIMI:
Bağış toplamı &gt; KV matrahı → İndirim matrahla sınırlandır.
Aşan kısım için 'Matrahı aşan kısım devredilemez' açıklaması beyanname notuna ekle.</t>
  </si>
  <si>
    <t>KVK Md.10/1-c | GİB KV Beyan Reh. No:606</t>
  </si>
  <si>
    <t>N5</t>
  </si>
  <si>
    <t>YİAKV + Tasdik Dili</t>
  </si>
  <si>
    <t>YİAKV (KVK Md.32/C) VE BAĞIŞ/YARDIM:
✗ 402 (10/1-c): DÜŞÜLEMEZ | ✗ Tüm bağış/yardım kodları (260-270, 402-410 vb.): DÜŞÜLEMEZ
✓ Risturn (401): DÜŞÜLEBILIR | ✓ Ar-Ge (283)/Tasarım (455): DÜŞÜLEBILIR
YMM TASDİK DİLİ — KULLANIN:
'...[Alıcı] adına [Tarih] tarihinde yapılan ve [Tesis Adı/Amacı] inşası/faaliyetleri
için kullanılmak üzere aktarılan [Nakdi Tutar] TL nakdi bağış ile [Ayni Değer] TL
değerindeki ayni bağışın tamamı, KVK Madde 10/1-c kapsamında kurumlar vergisi
matrahından indirilmiştir. Söz konusu tutar YİAKV matrahından indirilmemiştir.'
KULLANMAYIN:
'...Bağış YİAKV matrahından düşülmüştür.' (YANLIŞ)
'...Kapsam belgesi olmaksızın 402 uygulanmıştır.' (Geçersiz)
'...Matrahı aşan kısım sonraki yıla devredilmiştir.' (Yanlış — devredilmez)</t>
  </si>
  <si>
    <t>49 No.lu Tebliğ | KVK Md.10/1-c | SM-SMMM-YMM K. Md.12</t>
  </si>
  <si>
    <t xml:space="preserve">  GİB KV BEYAN REHBERİ MART 2026 (No:606) KAPANIŞ (402 — KVK Md.10/1-c): Kamu idaresi/KYD/Muafiyet Vakıf + Okul/Sağlık/Yurt/Huzurevi amaç = 402 tamamı. Matrahı aşan kısım devredilmez. ✗ YİAKV E.11. YMM: SM-SMMM-YMM K. Md.12.</t>
  </si>
  <si>
    <t>402 – BAĞIŞ VE YARDIMLAR KVK Md.10/1-c | BELGE LİSTESİ | YMM TASDİK</t>
  </si>
  <si>
    <t>GİB KV Beyan Rehberi 2026 | Bağış Kab. Belgesi | Alıcı Statü | Amaç Protokolü | Ödeme</t>
  </si>
  <si>
    <t>KATEGORİ 1 — ZORUNLU BELGELER</t>
  </si>
  <si>
    <t>No</t>
  </si>
  <si>
    <t>Temin</t>
  </si>
  <si>
    <t>1</t>
  </si>
  <si>
    <t>★ Bağış Kabulü/Protokolü (Kamu İdaresinden) veya Makbuz (KYD/Vakıf'tan)</t>
  </si>
  <si>
    <t>Kamu idaresi → Bağış kabul yazısı veya resmi protokol (imzalı). KYD/Vakıf → Resmi makbuz veya alındı belgesi. YMM bu belge olmadan 402 uygulayamaz.</t>
  </si>
  <si>
    <t>2</t>
  </si>
  <si>
    <t>★ Alıcı Statü Belgesi (KYD/Muafiyet Vakıf İçin — Kamu İdaresi Hariç)</t>
  </si>
  <si>
    <t>KYD Dernek → İçişleri/CB 'Kamu Yararına Çalışan Dernek' kararı (güncel). Muafiyet Vakıf → CB vergi muafiyeti kararı (güncel). Kamu idaresi için bu belge gerekmez.</t>
  </si>
  <si>
    <t>İçişleri Bakanlığı / CB Cumhurbaşkanlığı</t>
  </si>
  <si>
    <t>3</t>
  </si>
  <si>
    <t>★ Ödeme Belgesi — Nakdi Bağış (Banka EFT/Havale Dekontu)</t>
  </si>
  <si>
    <t>Nakdi bağış için banka kaydı. Nakit ödeme riskli. Her transfer için ayrı dekont.</t>
  </si>
  <si>
    <t>Banka ekstresi / EFT dekontu</t>
  </si>
  <si>
    <t>4</t>
  </si>
  <si>
    <t>Teslim Tutanağı — Ayni Bağış (İmzalı Teslim-Tesellüm)</t>
  </si>
  <si>
    <t>Mal/ekipman/malzeme bağışı için imzalı teslim tutanağı. Teslim edilen varlıkların listesi ve maliyet bedeli.</t>
  </si>
  <si>
    <t>Teslim sırasında düzenlenir</t>
  </si>
  <si>
    <t>5</t>
  </si>
  <si>
    <t>Bağış Amaç Belgesi (Tesis Adı, Yeri, Kapasitesi)</t>
  </si>
  <si>
    <t>Protokol veya başvuru belgesinde tesisin adı, yeri ve öğrenci yurdu ise yatak kapasitesi açık. Amaç belirsizse ek yazı alınmalı.</t>
  </si>
  <si>
    <t>Alıcı kurum / Proje belgesi</t>
  </si>
  <si>
    <t>6</t>
  </si>
  <si>
    <t>KV Beyannamesi 402 Satırı + YİAKV E.11 Bilgi</t>
  </si>
  <si>
    <t>Beyanname 402 = D.5 tutarı. YİAKV E.11'de bilgi (matrahı etkilemez).</t>
  </si>
  <si>
    <t>GİB e-Beyanname + YİAKV ÇK</t>
  </si>
  <si>
    <t>KATEGORİ 2 — YMM TASDİK KONTROL SORULARI</t>
  </si>
  <si>
    <t>Beklenen Sonuç</t>
  </si>
  <si>
    <t>YMM Aksiyonu</t>
  </si>
  <si>
    <t>S1</t>
  </si>
  <si>
    <t>Nitelik belgesiyle doğrulandı.</t>
  </si>
  <si>
    <t>YMM kontrolü</t>
  </si>
  <si>
    <t>S2</t>
  </si>
  <si>
    <t>★ Bağışın amacı 10/1-c kapsamında mı?</t>
  </si>
  <si>
    <t>Okul/Sağlık/Yurt/Huzurevi vb.</t>
  </si>
  <si>
    <t>S3</t>
  </si>
  <si>
    <t>★ Öğrenci yurdu ise ≥100 (veya ≥50 öncelikli yöre) yatak mı?</t>
  </si>
  <si>
    <t>Kapasite belgesi mevcut.</t>
  </si>
  <si>
    <t>S4</t>
  </si>
  <si>
    <t>★ Bağış fiilen yapıldı mı? Banka/teslim belgesi var mı?</t>
  </si>
  <si>
    <t>Nakdi: Banka | Ayni: Tutanak.</t>
  </si>
  <si>
    <t>S5</t>
  </si>
  <si>
    <t>KYD/Vakıf için güncel statü belgesi alındı mı?</t>
  </si>
  <si>
    <t>Bağış anındaki statü geçerli.</t>
  </si>
  <si>
    <t>S6</t>
  </si>
  <si>
    <t>Bağış kabul belgesi/makbuz mevcut mu?</t>
  </si>
  <si>
    <t>Her bağış için ayrı belge.</t>
  </si>
  <si>
    <t>S7</t>
  </si>
  <si>
    <t>Ayni bağış varsa maliyet bedeli esas alındı mı?</t>
  </si>
  <si>
    <t>Piyasa değeri değil — maliyet.</t>
  </si>
  <si>
    <t>S8</t>
  </si>
  <si>
    <t>★ Bağış toplamı matrahı aşıyor mu? (Devredilmez — dikkat)</t>
  </si>
  <si>
    <t>Aşan kısım beyanname notu.</t>
  </si>
  <si>
    <t>S9</t>
  </si>
  <si>
    <t>✗ YİAKV E.11'de bilgi satırı olarak gösterildi mi?</t>
  </si>
  <si>
    <t>DÜŞÜLEMEZ — sadece bilgi.</t>
  </si>
  <si>
    <t>S10</t>
  </si>
  <si>
    <t>YMM Tasdik Raporu değerlendirildi mi?</t>
  </si>
  <si>
    <t>&gt;=500.000 TL → Rapor.</t>
  </si>
  <si>
    <t xml:space="preserve">  GİB KV BEYAN REHBERİ MART 2026 (No:606) | 402 KVK Md.10/1-c SON NOT:
  Alıcı: Kamu idaresi / KYD derneği / Muafiyet vakfı. Amaç: Okul/Sağlık/Yurt/Huzurevi/Rehab.
  Öğrenci yurdu: ≥100 yatak (normal) / ≥50 yatak (öncelikli yöre). Ayni bağış: Maliyet bedeli.
  İndirim: TAMAMININ İNDİRİMİ — Matrahı aşan kısım devredilemez. ✗ YİAKV E.11.
  Alıcı niteliği (KYD/Vakıf statüsü) YMM'nin birincil denetim odağıdır.
  YMM müteselsil sorumluluk: SM-SMMM-YMM Kanunu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</si>
</sst>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8"/>
      <color rgb="FFFFFFFF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i/>
      <sz val="8"/>
      <color rgb="FF5B2C6F"/>
      <name val="Arial"/>
    </font>
    <font>
      <sz val="9"/>
      <color rgb="FF1F3864"/>
      <name val="Arial"/>
    </font>
    <font>
      <b/>
      <sz val="9"/>
      <color rgb="FF5B2C6F"/>
      <name val="Arial"/>
    </font>
    <font>
      <b/>
      <sz val="9"/>
      <color rgb="FF1B5E2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10"/>
      <color rgb="FF5B2C6F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12"/>
      <color rgb="FF1B5E20"/>
      <name val="Arial"/>
    </font>
    <font>
      <sz val="8"/>
      <color rgb="FF333333"/>
      <name val="Arial"/>
    </font>
    <font>
      <sz val="8"/>
      <color rgb="FF1F3864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5">
    <fill>
      <patternFill patternType="none"/>
    </fill>
    <fill>
      <patternFill patternType="gray125"/>
    </fill>
    <fill>
      <patternFill patternType="solid">
        <fgColor rgb="FF5B2C6F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5EEF8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BD9F7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5B2C6F"/>
      </left>
      <right style="thin">
        <color rgb="FF5B2C6F"/>
      </right>
      <top style="thin">
        <color rgb="FF5B2C6F"/>
      </top>
      <bottom style="thin">
        <color rgb="FF5B2C6F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0" fillId="10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13" fillId="10" borderId="4" xfId="0" applyFont="1" applyFill="1" applyBorder="1"/>
    <xf numFmtId="3" fontId="14" fillId="14" borderId="7" xfId="0" applyNumberFormat="1" applyFont="1" applyFill="1" applyBorder="1" applyAlignment="1">
      <alignment horizontal="right" vertical="center" wrapText="1"/>
    </xf>
    <xf numFmtId="3" fontId="14" fillId="11" borderId="4" xfId="0" applyNumberFormat="1" applyFont="1" applyFill="1" applyBorder="1" applyAlignment="1">
      <alignment horizontal="right" vertical="center" wrapText="1"/>
    </xf>
    <xf numFmtId="3" fontId="15" fillId="13" borderId="8" xfId="0" applyNumberFormat="1" applyFont="1" applyFill="1" applyBorder="1" applyAlignment="1">
      <alignment horizontal="right" vertical="center" wrapText="1"/>
    </xf>
    <xf numFmtId="3" fontId="14" fillId="12" borderId="4" xfId="0" applyNumberFormat="1" applyFont="1" applyFill="1" applyBorder="1" applyAlignment="1">
      <alignment horizontal="right" vertical="center" wrapText="1"/>
    </xf>
    <xf numFmtId="3" fontId="4" fillId="2" borderId="4" xfId="0" applyNumberFormat="1" applyFont="1" applyFill="1" applyBorder="1" applyAlignment="1">
      <alignment horizontal="right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8" fillId="11" borderId="4" xfId="0" applyNumberFormat="1" applyFont="1" applyFill="1" applyBorder="1" applyAlignment="1">
      <alignment horizontal="right" vertical="center"/>
    </xf>
    <xf numFmtId="0" fontId="18" fillId="14" borderId="4" xfId="0" applyFont="1" applyFill="1" applyBorder="1" applyAlignment="1">
      <alignment horizontal="center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21" fillId="15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10" fillId="11" borderId="4" xfId="0" applyNumberFormat="1" applyFont="1" applyFill="1" applyBorder="1" applyAlignment="1">
      <alignment horizontal="center" vertical="center"/>
    </xf>
    <xf numFmtId="3" fontId="24" fillId="13" borderId="4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 vertical="top" wrapText="1"/>
    </xf>
    <xf numFmtId="0" fontId="25" fillId="17" borderId="4" xfId="0" applyFont="1" applyFill="1" applyBorder="1" applyAlignment="1">
      <alignment horizontal="left" vertical="top" wrapText="1"/>
    </xf>
    <xf numFmtId="0" fontId="26" fillId="10" borderId="4" xfId="0" applyFont="1" applyFill="1" applyBorder="1" applyAlignment="1">
      <alignment horizontal="center" vertical="center" wrapText="1"/>
    </xf>
    <xf numFmtId="0" fontId="0" fillId="11" borderId="4" xfId="0" applyFill="1" applyBorder="1"/>
    <xf numFmtId="0" fontId="0" fillId="12" borderId="4" xfId="0" applyFill="1" applyBorder="1"/>
    <xf numFmtId="0" fontId="8" fillId="11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horizontal="center" vertical="center" wrapText="1"/>
    </xf>
    <xf numFmtId="0" fontId="13" fillId="12" borderId="4" xfId="0" applyFont="1" applyFill="1" applyBorder="1" applyAlignment="1">
      <alignment horizontal="center" vertical="center" wrapText="1"/>
    </xf>
    <xf numFmtId="0" fontId="25" fillId="18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5" fillId="11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0" fillId="13" borderId="4" xfId="0" applyFill="1" applyBorder="1"/>
    <xf numFmtId="0" fontId="8" fillId="13" borderId="4" xfId="0" applyFont="1" applyFill="1" applyBorder="1" applyAlignment="1">
      <alignment horizontal="center" vertical="center" wrapText="1"/>
    </xf>
    <xf numFmtId="0" fontId="5" fillId="13" borderId="4" xfId="0" applyFont="1" applyFill="1" applyBorder="1" applyAlignment="1">
      <alignment horizontal="left" vertical="top" wrapText="1"/>
    </xf>
    <xf numFmtId="0" fontId="25" fillId="19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left" vertical="top" wrapText="1"/>
    </xf>
    <xf numFmtId="0" fontId="29" fillId="12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top" wrapText="1"/>
    </xf>
    <xf numFmtId="0" fontId="1" fillId="20" borderId="1" xfId="0" applyFont="1" applyFill="1" applyBorder="1" applyAlignment="1">
      <alignment horizontal="center" vertical="center"/>
    </xf>
    <xf numFmtId="0" fontId="0" fillId="21" borderId="4" xfId="0" applyFill="1" applyBorder="1"/>
    <xf numFmtId="0" fontId="30" fillId="21" borderId="4" xfId="0" applyFont="1" applyFill="1" applyBorder="1" applyAlignment="1">
      <alignment horizontal="center" vertical="center" wrapText="1"/>
    </xf>
    <xf numFmtId="0" fontId="5" fillId="21" borderId="4" xfId="0" applyFont="1" applyFill="1" applyBorder="1" applyAlignment="1">
      <alignment horizontal="left" vertical="top" wrapText="1"/>
    </xf>
    <xf numFmtId="0" fontId="25" fillId="22" borderId="4" xfId="0" applyFont="1" applyFill="1" applyBorder="1" applyAlignment="1">
      <alignment horizontal="left" vertical="top" wrapText="1"/>
    </xf>
    <xf numFmtId="0" fontId="31" fillId="21" borderId="4" xfId="0" applyFont="1" applyFill="1" applyBorder="1" applyAlignment="1">
      <alignment horizontal="center" vertical="center" wrapText="1"/>
    </xf>
    <xf numFmtId="0" fontId="0" fillId="23" borderId="4" xfId="0" applyFill="1" applyBorder="1"/>
    <xf numFmtId="0" fontId="30" fillId="23" borderId="4" xfId="0" applyFont="1" applyFill="1" applyBorder="1" applyAlignment="1">
      <alignment horizontal="center" vertical="center" wrapText="1"/>
    </xf>
    <xf numFmtId="0" fontId="30" fillId="23" borderId="4" xfId="0" applyFont="1" applyFill="1" applyBorder="1" applyAlignment="1">
      <alignment horizontal="left" vertical="top" wrapText="1"/>
    </xf>
    <xf numFmtId="0" fontId="25" fillId="24" borderId="4" xfId="0" applyFont="1" applyFill="1" applyBorder="1" applyAlignment="1">
      <alignment horizontal="left" vertical="top" wrapText="1"/>
    </xf>
    <xf numFmtId="0" fontId="31" fillId="23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2" fillId="12" borderId="4" xfId="0" applyFont="1" applyFill="1" applyBorder="1" applyAlignment="1">
      <alignment horizontal="left" vertical="center" wrapText="1"/>
    </xf>
    <xf numFmtId="0" fontId="0" fillId="0" borderId="6" xfId="0" applyBorder="1"/>
    <xf numFmtId="0" fontId="0" fillId="10" borderId="4" xfId="0" applyFill="1" applyBorder="1"/>
    <xf numFmtId="0" fontId="0" fillId="0" borderId="5" xfId="0" applyBorder="1"/>
    <xf numFmtId="0" fontId="11" fillId="12" borderId="4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/>
    </xf>
    <xf numFmtId="0" fontId="15" fillId="13" borderId="4" xfId="0" applyFont="1" applyFill="1" applyBorder="1" applyAlignment="1">
      <alignment horizontal="left" vertical="center" wrapText="1"/>
    </xf>
    <xf numFmtId="0" fontId="9" fillId="12" borderId="4" xfId="0" applyFont="1" applyFill="1" applyBorder="1" applyAlignment="1">
      <alignment horizontal="left" vertical="center" wrapText="1"/>
    </xf>
    <xf numFmtId="0" fontId="11" fillId="13" borderId="4" xfId="0" applyFont="1" applyFill="1" applyBorder="1" applyAlignment="1">
      <alignment horizontal="left" vertical="center" wrapText="1"/>
    </xf>
    <xf numFmtId="0" fontId="9" fillId="13" borderId="4" xfId="0" applyFont="1" applyFill="1" applyBorder="1" applyAlignment="1">
      <alignment horizontal="left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9" fillId="11" borderId="4" xfId="0" applyFont="1" applyFill="1" applyBorder="1" applyAlignment="1">
      <alignment horizontal="left" vertical="center" wrapText="1"/>
    </xf>
    <xf numFmtId="0" fontId="11" fillId="11" borderId="4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13" fillId="11" borderId="4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4" fillId="14" borderId="4" xfId="0" applyFont="1" applyFill="1" applyBorder="1" applyAlignment="1">
      <alignment horizontal="left" vertical="center" wrapText="1"/>
    </xf>
    <xf numFmtId="0" fontId="20" fillId="15" borderId="4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/>
    </xf>
    <xf numFmtId="0" fontId="11" fillId="1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9" fillId="14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/>
    </xf>
    <xf numFmtId="0" fontId="5" fillId="12" borderId="4" xfId="0" applyFont="1" applyFill="1" applyBorder="1" applyAlignment="1">
      <alignment horizontal="left" vertical="center" wrapText="1"/>
    </xf>
    <xf numFmtId="0" fontId="25" fillId="17" borderId="4" xfId="0" applyFont="1" applyFill="1" applyBorder="1" applyAlignment="1">
      <alignment horizontal="left" vertical="top" wrapText="1"/>
    </xf>
    <xf numFmtId="0" fontId="8" fillId="12" borderId="4" xfId="0" applyFont="1" applyFill="1" applyBorder="1" applyAlignment="1">
      <alignment horizontal="left" vertical="top" wrapText="1"/>
    </xf>
    <xf numFmtId="0" fontId="4" fillId="16" borderId="1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top" wrapText="1"/>
    </xf>
    <xf numFmtId="0" fontId="25" fillId="12" borderId="4" xfId="0" applyFont="1" applyFill="1" applyBorder="1" applyAlignment="1">
      <alignment horizontal="left" vertical="top" wrapText="1"/>
    </xf>
    <xf numFmtId="0" fontId="25" fillId="14" borderId="1" xfId="0" applyFont="1" applyFill="1" applyBorder="1" applyAlignment="1">
      <alignment horizontal="left" vertical="center" wrapText="1"/>
    </xf>
    <xf numFmtId="0" fontId="8" fillId="12" borderId="4" xfId="0" applyFont="1" applyFill="1" applyBorder="1" applyAlignment="1">
      <alignment horizontal="left" vertical="center"/>
    </xf>
    <xf numFmtId="0" fontId="8" fillId="11" borderId="4" xfId="0" applyFont="1" applyFill="1" applyBorder="1" applyAlignment="1">
      <alignment horizontal="left" vertical="center"/>
    </xf>
    <xf numFmtId="0" fontId="25" fillId="11" borderId="4" xfId="0" applyFont="1" applyFill="1" applyBorder="1" applyAlignment="1">
      <alignment horizontal="left" vertical="top" wrapText="1"/>
    </xf>
    <xf numFmtId="0" fontId="8" fillId="15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25" fillId="11" borderId="1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16" borderId="1" xfId="0" applyFont="1" applyFill="1" applyBorder="1" applyAlignment="1">
      <alignment horizontal="left" vertical="center"/>
    </xf>
    <xf numFmtId="0" fontId="25" fillId="14" borderId="4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1" fillId="20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0468696-8662-4928-9D41-419DBDD6C63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deb454d-ddd2-49b3-8688-edd1f24ccdd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selection sqref="A1:G1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5" width="15" customWidth="1"/>
    <col min="6" max="6" width="14" customWidth="1"/>
    <col min="7" max="7" width="22" customWidth="1"/>
  </cols>
  <sheetData>
    <row r="1" spans="1:7" ht="44.05" customHeight="1" x14ac:dyDescent="0.55000000000000004">
      <c r="A1" s="83" t="s">
        <v>0</v>
      </c>
      <c r="B1" s="61"/>
      <c r="C1" s="61"/>
      <c r="D1" s="61"/>
      <c r="E1" s="61"/>
      <c r="F1" s="61"/>
      <c r="G1" s="62"/>
    </row>
    <row r="2" spans="1:7" ht="22" customHeight="1" x14ac:dyDescent="0.55000000000000004">
      <c r="A2" s="93" t="s">
        <v>1</v>
      </c>
      <c r="B2" s="61"/>
      <c r="C2" s="61"/>
      <c r="D2" s="61"/>
      <c r="E2" s="61"/>
      <c r="F2" s="61"/>
      <c r="G2" s="62"/>
    </row>
    <row r="3" spans="1:7" ht="44.05" customHeight="1" x14ac:dyDescent="0.55000000000000004">
      <c r="A3" s="84" t="s">
        <v>2</v>
      </c>
      <c r="B3" s="61"/>
      <c r="C3" s="61"/>
      <c r="D3" s="61"/>
      <c r="E3" s="61"/>
      <c r="F3" s="61"/>
      <c r="G3" s="62"/>
    </row>
    <row r="4" spans="1:7" ht="22" customHeight="1" x14ac:dyDescent="0.55000000000000004">
      <c r="A4" s="86" t="s">
        <v>3</v>
      </c>
      <c r="B4" s="61"/>
      <c r="C4" s="61"/>
      <c r="D4" s="61"/>
      <c r="E4" s="61"/>
      <c r="F4" s="61"/>
      <c r="G4" s="62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91" t="s">
        <v>4</v>
      </c>
      <c r="B6" s="61"/>
      <c r="C6" s="61"/>
      <c r="D6" s="61"/>
      <c r="E6" s="61"/>
      <c r="F6" s="61"/>
      <c r="G6" s="6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81" t="s">
        <v>8</v>
      </c>
      <c r="B8" s="66"/>
      <c r="C8" s="66"/>
      <c r="D8" s="64"/>
      <c r="E8" s="3" t="s">
        <v>9</v>
      </c>
      <c r="F8" s="77" t="s">
        <v>10</v>
      </c>
      <c r="G8" s="64"/>
    </row>
    <row r="9" spans="1:7" ht="28" customHeight="1" x14ac:dyDescent="0.55000000000000004">
      <c r="A9" s="81" t="s">
        <v>11</v>
      </c>
      <c r="B9" s="66"/>
      <c r="C9" s="66"/>
      <c r="D9" s="64"/>
      <c r="E9" s="3" t="s">
        <v>9</v>
      </c>
      <c r="F9" s="77" t="s">
        <v>12</v>
      </c>
      <c r="G9" s="64"/>
    </row>
    <row r="10" spans="1:7" ht="28" customHeight="1" x14ac:dyDescent="0.55000000000000004">
      <c r="A10" s="81" t="s">
        <v>13</v>
      </c>
      <c r="B10" s="66"/>
      <c r="C10" s="66"/>
      <c r="D10" s="64"/>
      <c r="E10" s="3" t="s">
        <v>9</v>
      </c>
      <c r="F10" s="77" t="s">
        <v>14</v>
      </c>
      <c r="G10" s="64"/>
    </row>
    <row r="11" spans="1:7" ht="28" customHeight="1" x14ac:dyDescent="0.55000000000000004">
      <c r="A11" s="81" t="s">
        <v>15</v>
      </c>
      <c r="B11" s="66"/>
      <c r="C11" s="66"/>
      <c r="D11" s="64"/>
      <c r="E11" s="3" t="s">
        <v>9</v>
      </c>
      <c r="F11" s="77" t="s">
        <v>16</v>
      </c>
      <c r="G11" s="64"/>
    </row>
    <row r="12" spans="1:7" ht="28" customHeight="1" x14ac:dyDescent="0.55000000000000004">
      <c r="A12" s="69" t="s">
        <v>17</v>
      </c>
      <c r="B12" s="66"/>
      <c r="C12" s="66"/>
      <c r="D12" s="64"/>
      <c r="E12" s="3" t="s">
        <v>9</v>
      </c>
      <c r="F12" s="78" t="s">
        <v>18</v>
      </c>
      <c r="G12" s="64"/>
    </row>
    <row r="13" spans="1:7" ht="28" customHeight="1" x14ac:dyDescent="0.55000000000000004">
      <c r="A13" s="68" t="s">
        <v>19</v>
      </c>
      <c r="B13" s="66"/>
      <c r="C13" s="66"/>
      <c r="D13" s="64"/>
      <c r="E13" s="3" t="s">
        <v>9</v>
      </c>
      <c r="F13" s="73" t="s">
        <v>20</v>
      </c>
      <c r="G13" s="64"/>
    </row>
    <row r="14" spans="1:7" ht="28" customHeight="1" x14ac:dyDescent="0.55000000000000004">
      <c r="A14" s="69" t="s">
        <v>21</v>
      </c>
      <c r="B14" s="66"/>
      <c r="C14" s="66"/>
      <c r="D14" s="64"/>
      <c r="E14" s="3" t="s">
        <v>9</v>
      </c>
      <c r="F14" s="78" t="s">
        <v>22</v>
      </c>
      <c r="G14" s="64"/>
    </row>
    <row r="15" spans="1:7" ht="24" customHeight="1" x14ac:dyDescent="0.55000000000000004">
      <c r="A15" s="71" t="s">
        <v>23</v>
      </c>
      <c r="B15" s="66"/>
      <c r="C15" s="66"/>
      <c r="D15" s="64"/>
      <c r="E15" s="4" t="str">
        <f>IF(AND(E8="EVET",E9="EVET",E11="EVET",E13="EVET"),"OK - Hesaplanabilir","HATA - Ön koşul eksik")</f>
        <v>OK - Hesaplanabilir</v>
      </c>
      <c r="F15" s="70" t="s">
        <v>24</v>
      </c>
      <c r="G15" s="64"/>
    </row>
    <row r="16" spans="1:7" ht="5.05" customHeight="1" x14ac:dyDescent="0.55000000000000004">
      <c r="A16" s="1"/>
      <c r="B16" s="1"/>
      <c r="C16" s="1"/>
      <c r="D16" s="1"/>
      <c r="E16" s="1"/>
      <c r="F16" s="1"/>
      <c r="G16" s="1"/>
    </row>
    <row r="17" spans="1:7" ht="22" customHeight="1" x14ac:dyDescent="0.55000000000000004">
      <c r="A17" s="60" t="s">
        <v>25</v>
      </c>
      <c r="B17" s="61"/>
      <c r="C17" s="61"/>
      <c r="D17" s="61"/>
      <c r="E17" s="61"/>
      <c r="F17" s="61"/>
      <c r="G17" s="62"/>
    </row>
    <row r="18" spans="1:7" ht="22" customHeight="1" x14ac:dyDescent="0.55000000000000004">
      <c r="A18" s="69" t="s">
        <v>26</v>
      </c>
      <c r="B18" s="64"/>
      <c r="C18" s="65"/>
      <c r="D18" s="66"/>
      <c r="E18" s="64"/>
      <c r="F18" s="79" t="s">
        <v>27</v>
      </c>
      <c r="G18" s="64"/>
    </row>
    <row r="19" spans="1:7" ht="22" customHeight="1" x14ac:dyDescent="0.55000000000000004">
      <c r="A19" s="68" t="s">
        <v>28</v>
      </c>
      <c r="B19" s="64"/>
      <c r="C19" s="65"/>
      <c r="D19" s="66"/>
      <c r="E19" s="64"/>
      <c r="F19" s="67" t="s">
        <v>29</v>
      </c>
      <c r="G19" s="64"/>
    </row>
    <row r="20" spans="1:7" ht="22" customHeight="1" x14ac:dyDescent="0.55000000000000004">
      <c r="A20" s="69" t="s">
        <v>30</v>
      </c>
      <c r="B20" s="64"/>
      <c r="C20" s="65"/>
      <c r="D20" s="66"/>
      <c r="E20" s="64"/>
      <c r="F20" s="79" t="s">
        <v>31</v>
      </c>
      <c r="G20" s="64"/>
    </row>
    <row r="21" spans="1:7" ht="22" customHeight="1" x14ac:dyDescent="0.55000000000000004">
      <c r="A21" s="68" t="s">
        <v>32</v>
      </c>
      <c r="B21" s="64"/>
      <c r="C21" s="65"/>
      <c r="D21" s="66"/>
      <c r="E21" s="64"/>
      <c r="F21" s="67" t="s">
        <v>33</v>
      </c>
      <c r="G21" s="64"/>
    </row>
    <row r="22" spans="1:7" ht="22" customHeight="1" x14ac:dyDescent="0.55000000000000004">
      <c r="A22" s="69" t="s">
        <v>34</v>
      </c>
      <c r="B22" s="64"/>
      <c r="C22" s="65"/>
      <c r="D22" s="66"/>
      <c r="E22" s="64"/>
      <c r="F22" s="79" t="s">
        <v>35</v>
      </c>
      <c r="G22" s="64"/>
    </row>
    <row r="23" spans="1:7" ht="22" customHeight="1" x14ac:dyDescent="0.55000000000000004">
      <c r="A23" s="68" t="s">
        <v>36</v>
      </c>
      <c r="B23" s="64"/>
      <c r="C23" s="65"/>
      <c r="D23" s="66"/>
      <c r="E23" s="64"/>
      <c r="F23" s="67" t="s">
        <v>37</v>
      </c>
      <c r="G23" s="64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4" customHeight="1" x14ac:dyDescent="0.55000000000000004">
      <c r="A26" s="60" t="s">
        <v>38</v>
      </c>
      <c r="B26" s="61"/>
      <c r="C26" s="61"/>
      <c r="D26" s="61"/>
      <c r="E26" s="61"/>
      <c r="F26" s="61"/>
      <c r="G26" s="62"/>
    </row>
    <row r="27" spans="1:7" ht="18" customHeight="1" x14ac:dyDescent="0.55000000000000004">
      <c r="A27" s="2"/>
      <c r="B27" s="2" t="s">
        <v>39</v>
      </c>
      <c r="C27" s="2"/>
      <c r="D27" s="2" t="s">
        <v>40</v>
      </c>
      <c r="E27" s="2"/>
      <c r="F27" s="2" t="s">
        <v>41</v>
      </c>
      <c r="G27" s="2" t="s">
        <v>42</v>
      </c>
    </row>
    <row r="28" spans="1:7" ht="26.05" customHeight="1" x14ac:dyDescent="0.55000000000000004">
      <c r="A28" s="69" t="s">
        <v>43</v>
      </c>
      <c r="B28" s="64"/>
      <c r="C28" s="5"/>
      <c r="D28" s="79" t="s">
        <v>44</v>
      </c>
      <c r="E28" s="64"/>
      <c r="F28" s="80" t="s">
        <v>45</v>
      </c>
      <c r="G28" s="64"/>
    </row>
    <row r="29" spans="1:7" ht="26.05" customHeight="1" x14ac:dyDescent="0.55000000000000004">
      <c r="A29" s="68" t="s">
        <v>46</v>
      </c>
      <c r="B29" s="64"/>
      <c r="C29" s="3" t="s">
        <v>47</v>
      </c>
      <c r="D29" s="67" t="s">
        <v>48</v>
      </c>
      <c r="E29" s="64"/>
      <c r="F29" s="63" t="s">
        <v>49</v>
      </c>
      <c r="G29" s="64"/>
    </row>
    <row r="30" spans="1:7" ht="26.05" customHeight="1" x14ac:dyDescent="0.55000000000000004">
      <c r="A30" s="69" t="s">
        <v>50</v>
      </c>
      <c r="B30" s="64"/>
      <c r="C30" s="3" t="s">
        <v>51</v>
      </c>
      <c r="D30" s="79" t="s">
        <v>52</v>
      </c>
      <c r="E30" s="64"/>
      <c r="F30" s="80" t="s">
        <v>53</v>
      </c>
      <c r="G30" s="64"/>
    </row>
    <row r="31" spans="1:7" ht="26.05" customHeight="1" x14ac:dyDescent="0.55000000000000004">
      <c r="A31" s="98" t="s">
        <v>54</v>
      </c>
      <c r="B31" s="64"/>
      <c r="C31" s="5"/>
      <c r="D31" s="67" t="s">
        <v>55</v>
      </c>
      <c r="E31" s="64"/>
      <c r="F31" s="63" t="s">
        <v>56</v>
      </c>
      <c r="G31" s="64"/>
    </row>
    <row r="32" spans="1:7" ht="26.05" customHeight="1" x14ac:dyDescent="0.55000000000000004">
      <c r="A32" s="69" t="s">
        <v>57</v>
      </c>
      <c r="B32" s="64"/>
      <c r="C32" s="3" t="s">
        <v>58</v>
      </c>
      <c r="D32" s="79" t="s">
        <v>59</v>
      </c>
      <c r="E32" s="64"/>
      <c r="F32" s="80" t="s">
        <v>60</v>
      </c>
      <c r="G32" s="64"/>
    </row>
    <row r="33" spans="1:7" ht="26.05" customHeight="1" x14ac:dyDescent="0.55000000000000004">
      <c r="A33" s="68" t="s">
        <v>61</v>
      </c>
      <c r="B33" s="64"/>
      <c r="C33" s="5"/>
      <c r="D33" s="67" t="s">
        <v>62</v>
      </c>
      <c r="E33" s="64"/>
      <c r="F33" s="63" t="s">
        <v>63</v>
      </c>
      <c r="G33" s="64"/>
    </row>
    <row r="34" spans="1:7" ht="26.05" customHeight="1" x14ac:dyDescent="0.55000000000000004">
      <c r="A34" s="85" t="s">
        <v>64</v>
      </c>
      <c r="B34" s="64"/>
      <c r="C34" s="3" t="s">
        <v>65</v>
      </c>
      <c r="D34" s="79" t="s">
        <v>66</v>
      </c>
      <c r="E34" s="64"/>
      <c r="F34" s="80" t="s">
        <v>67</v>
      </c>
      <c r="G34" s="64"/>
    </row>
    <row r="35" spans="1:7" ht="26.05" customHeight="1" x14ac:dyDescent="0.55000000000000004">
      <c r="A35" s="68" t="s">
        <v>68</v>
      </c>
      <c r="B35" s="64"/>
      <c r="C35" s="5"/>
      <c r="D35" s="67" t="s">
        <v>69</v>
      </c>
      <c r="E35" s="64"/>
      <c r="F35" s="63" t="s">
        <v>70</v>
      </c>
      <c r="G35" s="64"/>
    </row>
    <row r="36" spans="1:7" ht="5.05" customHeight="1" x14ac:dyDescent="0.55000000000000004">
      <c r="A36" s="1"/>
      <c r="B36" s="1"/>
      <c r="C36" s="1"/>
      <c r="D36" s="1"/>
      <c r="E36" s="1"/>
      <c r="F36" s="1"/>
      <c r="G36" s="1"/>
    </row>
    <row r="37" spans="1:7" ht="24" customHeight="1" x14ac:dyDescent="0.55000000000000004">
      <c r="A37" s="60" t="s">
        <v>71</v>
      </c>
      <c r="B37" s="61"/>
      <c r="C37" s="61"/>
      <c r="D37" s="61"/>
      <c r="E37" s="61"/>
      <c r="F37" s="61"/>
      <c r="G37" s="62"/>
    </row>
    <row r="38" spans="1:7" ht="24" customHeight="1" x14ac:dyDescent="0.55000000000000004">
      <c r="A38" s="87" t="s">
        <v>72</v>
      </c>
      <c r="B38" s="66"/>
      <c r="C38" s="66"/>
      <c r="D38" s="66"/>
      <c r="E38" s="66"/>
      <c r="F38" s="66"/>
      <c r="G38" s="64"/>
    </row>
    <row r="39" spans="1:7" ht="18" customHeight="1" x14ac:dyDescent="0.55000000000000004">
      <c r="A39" s="6" t="s">
        <v>73</v>
      </c>
      <c r="B39" s="6" t="s">
        <v>74</v>
      </c>
      <c r="C39" s="6" t="s">
        <v>75</v>
      </c>
      <c r="D39" s="6" t="s">
        <v>76</v>
      </c>
      <c r="E39" s="6" t="s">
        <v>77</v>
      </c>
      <c r="F39" s="6" t="s">
        <v>78</v>
      </c>
      <c r="G39" s="6" t="s">
        <v>79</v>
      </c>
    </row>
    <row r="40" spans="1:7" ht="24" customHeight="1" x14ac:dyDescent="0.55000000000000004">
      <c r="A40" s="7"/>
      <c r="B40" s="8"/>
      <c r="C40" s="5"/>
      <c r="D40" s="9"/>
      <c r="E40" s="9"/>
      <c r="F40" s="10">
        <f t="shared" ref="F40:F47" si="0">IF(OR(D40&gt;0,E40&gt;0),D40+E40,0)</f>
        <v>0</v>
      </c>
      <c r="G40" s="11">
        <f t="shared" ref="G40:G47" si="1">F40</f>
        <v>0</v>
      </c>
    </row>
    <row r="41" spans="1:7" ht="24" customHeight="1" x14ac:dyDescent="0.55000000000000004">
      <c r="A41" s="7"/>
      <c r="B41" s="8"/>
      <c r="C41" s="5"/>
      <c r="D41" s="9"/>
      <c r="E41" s="9"/>
      <c r="F41" s="12">
        <f t="shared" si="0"/>
        <v>0</v>
      </c>
      <c r="G41" s="11">
        <f t="shared" si="1"/>
        <v>0</v>
      </c>
    </row>
    <row r="42" spans="1:7" ht="24" customHeight="1" x14ac:dyDescent="0.55000000000000004">
      <c r="A42" s="7"/>
      <c r="B42" s="8"/>
      <c r="C42" s="5"/>
      <c r="D42" s="9"/>
      <c r="E42" s="9"/>
      <c r="F42" s="10">
        <f t="shared" si="0"/>
        <v>0</v>
      </c>
      <c r="G42" s="11">
        <f t="shared" si="1"/>
        <v>0</v>
      </c>
    </row>
    <row r="43" spans="1:7" ht="24" customHeight="1" x14ac:dyDescent="0.55000000000000004">
      <c r="A43" s="7"/>
      <c r="B43" s="8"/>
      <c r="C43" s="5"/>
      <c r="D43" s="9"/>
      <c r="E43" s="9"/>
      <c r="F43" s="12">
        <f t="shared" si="0"/>
        <v>0</v>
      </c>
      <c r="G43" s="11">
        <f t="shared" si="1"/>
        <v>0</v>
      </c>
    </row>
    <row r="44" spans="1:7" ht="24" customHeight="1" x14ac:dyDescent="0.55000000000000004">
      <c r="A44" s="7"/>
      <c r="B44" s="8"/>
      <c r="C44" s="5"/>
      <c r="D44" s="9"/>
      <c r="E44" s="9"/>
      <c r="F44" s="10">
        <f t="shared" si="0"/>
        <v>0</v>
      </c>
      <c r="G44" s="11">
        <f t="shared" si="1"/>
        <v>0</v>
      </c>
    </row>
    <row r="45" spans="1:7" ht="24" customHeight="1" x14ac:dyDescent="0.55000000000000004">
      <c r="A45" s="7"/>
      <c r="B45" s="8"/>
      <c r="C45" s="5"/>
      <c r="D45" s="9"/>
      <c r="E45" s="9"/>
      <c r="F45" s="12">
        <f t="shared" si="0"/>
        <v>0</v>
      </c>
      <c r="G45" s="11">
        <f t="shared" si="1"/>
        <v>0</v>
      </c>
    </row>
    <row r="46" spans="1:7" ht="24" customHeight="1" x14ac:dyDescent="0.55000000000000004">
      <c r="A46" s="7"/>
      <c r="B46" s="8"/>
      <c r="C46" s="5"/>
      <c r="D46" s="9"/>
      <c r="E46" s="9"/>
      <c r="F46" s="10">
        <f t="shared" si="0"/>
        <v>0</v>
      </c>
      <c r="G46" s="11">
        <f t="shared" si="1"/>
        <v>0</v>
      </c>
    </row>
    <row r="47" spans="1:7" ht="24" customHeight="1" x14ac:dyDescent="0.55000000000000004">
      <c r="A47" s="7"/>
      <c r="B47" s="8"/>
      <c r="C47" s="5"/>
      <c r="D47" s="9"/>
      <c r="E47" s="9"/>
      <c r="F47" s="12">
        <f t="shared" si="0"/>
        <v>0</v>
      </c>
      <c r="G47" s="11">
        <f t="shared" si="1"/>
        <v>0</v>
      </c>
    </row>
    <row r="48" spans="1:7" ht="30" customHeight="1" x14ac:dyDescent="0.55000000000000004">
      <c r="A48" s="97" t="s">
        <v>80</v>
      </c>
      <c r="B48" s="66"/>
      <c r="C48" s="64"/>
      <c r="D48" s="13">
        <f>SUM(D40:D47)</f>
        <v>0</v>
      </c>
      <c r="E48" s="13">
        <f>SUM(E40:E47)</f>
        <v>0</v>
      </c>
      <c r="F48" s="14">
        <f>SUM(F40:F47)</f>
        <v>0</v>
      </c>
      <c r="G48" s="15">
        <f>SUM(G40:G47)</f>
        <v>0</v>
      </c>
    </row>
    <row r="49" spans="1:7" ht="5.05" customHeight="1" x14ac:dyDescent="0.55000000000000004">
      <c r="A49" s="1"/>
      <c r="B49" s="1"/>
      <c r="C49" s="1"/>
      <c r="D49" s="1"/>
      <c r="E49" s="1"/>
      <c r="F49" s="1"/>
      <c r="G49" s="1"/>
    </row>
    <row r="50" spans="1:7" ht="24" customHeight="1" x14ac:dyDescent="0.55000000000000004">
      <c r="A50" s="60" t="s">
        <v>81</v>
      </c>
      <c r="B50" s="61"/>
      <c r="C50" s="61"/>
      <c r="D50" s="61"/>
      <c r="E50" s="61"/>
      <c r="F50" s="61"/>
      <c r="G50" s="62"/>
    </row>
    <row r="51" spans="1:7" ht="18" customHeight="1" x14ac:dyDescent="0.55000000000000004">
      <c r="A51" s="2"/>
      <c r="B51" s="2" t="s">
        <v>82</v>
      </c>
      <c r="C51" s="2"/>
      <c r="D51" s="2" t="s">
        <v>83</v>
      </c>
      <c r="E51" s="2"/>
      <c r="F51" s="2" t="s">
        <v>41</v>
      </c>
      <c r="G51" s="2" t="s">
        <v>84</v>
      </c>
    </row>
    <row r="52" spans="1:7" ht="28" customHeight="1" x14ac:dyDescent="0.55000000000000004">
      <c r="A52" s="69" t="s">
        <v>85</v>
      </c>
      <c r="B52" s="64"/>
      <c r="C52" s="16">
        <f>D48</f>
        <v>0</v>
      </c>
      <c r="D52" s="79" t="s">
        <v>86</v>
      </c>
      <c r="E52" s="64"/>
      <c r="F52" s="78"/>
      <c r="G52" s="64"/>
    </row>
    <row r="53" spans="1:7" ht="28" customHeight="1" x14ac:dyDescent="0.55000000000000004">
      <c r="A53" s="69" t="s">
        <v>87</v>
      </c>
      <c r="B53" s="64"/>
      <c r="C53" s="16">
        <f>E48</f>
        <v>0</v>
      </c>
      <c r="D53" s="79" t="s">
        <v>88</v>
      </c>
      <c r="E53" s="64"/>
      <c r="F53" s="78"/>
      <c r="G53" s="64"/>
    </row>
    <row r="54" spans="1:7" ht="28" customHeight="1" x14ac:dyDescent="0.55000000000000004">
      <c r="A54" s="69" t="s">
        <v>89</v>
      </c>
      <c r="B54" s="64"/>
      <c r="C54" s="16">
        <f>F48</f>
        <v>0</v>
      </c>
      <c r="D54" s="79" t="s">
        <v>90</v>
      </c>
      <c r="E54" s="64"/>
      <c r="F54" s="78"/>
      <c r="G54" s="64"/>
    </row>
    <row r="55" spans="1:7" ht="28" customHeight="1" x14ac:dyDescent="0.55000000000000004">
      <c r="A55" s="89" t="s">
        <v>91</v>
      </c>
      <c r="B55" s="64"/>
      <c r="C55" s="17" t="s">
        <v>92</v>
      </c>
      <c r="D55" s="92" t="s">
        <v>93</v>
      </c>
      <c r="E55" s="64"/>
      <c r="F55" s="95" t="s">
        <v>94</v>
      </c>
      <c r="G55" s="64"/>
    </row>
    <row r="56" spans="1:7" ht="28" customHeight="1" x14ac:dyDescent="0.55000000000000004">
      <c r="A56" s="72" t="s">
        <v>95</v>
      </c>
      <c r="B56" s="64"/>
      <c r="C56" s="18">
        <f>G48</f>
        <v>0</v>
      </c>
      <c r="D56" s="74" t="s">
        <v>96</v>
      </c>
      <c r="E56" s="64"/>
      <c r="F56" s="75" t="s">
        <v>94</v>
      </c>
      <c r="G56" s="64"/>
    </row>
    <row r="57" spans="1:7" ht="28" customHeight="1" x14ac:dyDescent="0.55000000000000004">
      <c r="A57" s="90" t="s">
        <v>97</v>
      </c>
      <c r="B57" s="64"/>
      <c r="C57" s="19" t="s">
        <v>98</v>
      </c>
      <c r="D57" s="96" t="s">
        <v>99</v>
      </c>
      <c r="E57" s="64"/>
      <c r="F57" s="76" t="s">
        <v>100</v>
      </c>
      <c r="G57" s="64"/>
    </row>
    <row r="58" spans="1:7" ht="5.05" customHeight="1" x14ac:dyDescent="0.55000000000000004">
      <c r="A58" s="1"/>
      <c r="B58" s="1"/>
      <c r="C58" s="1"/>
      <c r="D58" s="1"/>
      <c r="E58" s="1"/>
      <c r="F58" s="1"/>
      <c r="G58" s="1"/>
    </row>
    <row r="59" spans="1:7" ht="32.049999999999997" customHeight="1" x14ac:dyDescent="0.55000000000000004">
      <c r="A59" s="82" t="s">
        <v>101</v>
      </c>
      <c r="B59" s="66"/>
      <c r="C59" s="66"/>
      <c r="D59" s="64"/>
      <c r="E59" s="20">
        <f>C56</f>
        <v>0</v>
      </c>
      <c r="F59" s="94" t="s">
        <v>102</v>
      </c>
      <c r="G59" s="64"/>
    </row>
    <row r="60" spans="1:7" ht="44.05" customHeight="1" x14ac:dyDescent="0.55000000000000004">
      <c r="A60" s="88" t="s">
        <v>103</v>
      </c>
      <c r="B60" s="61"/>
      <c r="C60" s="61"/>
      <c r="D60" s="61"/>
      <c r="E60" s="61"/>
      <c r="F60" s="61"/>
      <c r="G60" s="62"/>
    </row>
  </sheetData>
  <mergeCells count="90">
    <mergeCell ref="A2:G2"/>
    <mergeCell ref="F14:G14"/>
    <mergeCell ref="D54:E54"/>
    <mergeCell ref="A14:D14"/>
    <mergeCell ref="F11:G11"/>
    <mergeCell ref="F12:G12"/>
    <mergeCell ref="D32:E32"/>
    <mergeCell ref="F32:G32"/>
    <mergeCell ref="A18:B18"/>
    <mergeCell ref="F35:G35"/>
    <mergeCell ref="C19:E19"/>
    <mergeCell ref="A48:C48"/>
    <mergeCell ref="F52:G52"/>
    <mergeCell ref="A20:B20"/>
    <mergeCell ref="A29:B29"/>
    <mergeCell ref="A31:B31"/>
    <mergeCell ref="A6:G6"/>
    <mergeCell ref="A32:B32"/>
    <mergeCell ref="D28:E28"/>
    <mergeCell ref="F22:G22"/>
    <mergeCell ref="A23:B23"/>
    <mergeCell ref="D30:E30"/>
    <mergeCell ref="A12:D12"/>
    <mergeCell ref="A60:G60"/>
    <mergeCell ref="A55:B55"/>
    <mergeCell ref="F8:G8"/>
    <mergeCell ref="A21:B21"/>
    <mergeCell ref="A57:B57"/>
    <mergeCell ref="D55:E55"/>
    <mergeCell ref="A50:G50"/>
    <mergeCell ref="F59:G59"/>
    <mergeCell ref="F55:G55"/>
    <mergeCell ref="D57:E57"/>
    <mergeCell ref="F53:G53"/>
    <mergeCell ref="A59:D59"/>
    <mergeCell ref="A11:D11"/>
    <mergeCell ref="D53:E53"/>
    <mergeCell ref="A1:G1"/>
    <mergeCell ref="F31:G31"/>
    <mergeCell ref="F28:G28"/>
    <mergeCell ref="F9:G9"/>
    <mergeCell ref="A52:B52"/>
    <mergeCell ref="A3:G3"/>
    <mergeCell ref="D29:E29"/>
    <mergeCell ref="A34:B34"/>
    <mergeCell ref="A8:D8"/>
    <mergeCell ref="A4:G4"/>
    <mergeCell ref="A38:G38"/>
    <mergeCell ref="A10:D10"/>
    <mergeCell ref="F21:G21"/>
    <mergeCell ref="A9:D9"/>
    <mergeCell ref="F30:G30"/>
    <mergeCell ref="F20:G20"/>
    <mergeCell ref="F18:G18"/>
    <mergeCell ref="F33:G33"/>
    <mergeCell ref="F57:G57"/>
    <mergeCell ref="D35:E35"/>
    <mergeCell ref="A30:B30"/>
    <mergeCell ref="F10:G10"/>
    <mergeCell ref="F54:G54"/>
    <mergeCell ref="D34:E34"/>
    <mergeCell ref="F19:G19"/>
    <mergeCell ref="C22:E22"/>
    <mergeCell ref="F34:G34"/>
    <mergeCell ref="D52:E52"/>
    <mergeCell ref="A54:B54"/>
    <mergeCell ref="F15:G15"/>
    <mergeCell ref="C23:E23"/>
    <mergeCell ref="A15:D15"/>
    <mergeCell ref="A56:B56"/>
    <mergeCell ref="A33:B33"/>
    <mergeCell ref="F23:G23"/>
    <mergeCell ref="C18:E18"/>
    <mergeCell ref="D56:E56"/>
    <mergeCell ref="F56:G56"/>
    <mergeCell ref="A22:B22"/>
    <mergeCell ref="A53:B53"/>
    <mergeCell ref="A35:B35"/>
    <mergeCell ref="A37:G37"/>
    <mergeCell ref="D33:E33"/>
    <mergeCell ref="A19:B19"/>
    <mergeCell ref="A17:G17"/>
    <mergeCell ref="F29:G29"/>
    <mergeCell ref="C21:E21"/>
    <mergeCell ref="D31:E31"/>
    <mergeCell ref="A13:D13"/>
    <mergeCell ref="F13:G13"/>
    <mergeCell ref="A28:B28"/>
    <mergeCell ref="A26:G26"/>
    <mergeCell ref="C20:E20"/>
  </mergeCells>
  <conditionalFormatting sqref="E15">
    <cfRule type="containsText" dxfId="3" priority="1" operator="containsText" text="OK">
      <formula>NOT(ISERROR(SEARCH("OK",E15)))</formula>
    </cfRule>
    <cfRule type="containsText" dxfId="2" priority="2" operator="containsText" text="HATA">
      <formula>NOT(ISERROR(SEARCH("HATA",E15)))</formula>
    </cfRule>
  </conditionalFormatting>
  <dataValidations count="11">
    <dataValidation type="list" sqref="E8" xr:uid="{00000000-0002-0000-0000-000000000000}">
      <formula1>"EVET,HAYIR-Kapsam Dışı Alıcı"</formula1>
    </dataValidation>
    <dataValidation type="list" sqref="E9" xr:uid="{00000000-0002-0000-0000-000001000000}">
      <formula1>"EVET,HAYIR-Amaç Dışı"</formula1>
    </dataValidation>
    <dataValidation type="list" sqref="E10" xr:uid="{00000000-0002-0000-0000-000002000000}">
      <formula1>"EVET,HAYIR-Kapasite Yetersiz,Uygulanmaz-Farklı Amaç"</formula1>
    </dataValidation>
    <dataValidation type="list" sqref="E11" xr:uid="{00000000-0002-0000-0000-000003000000}">
      <formula1>"EVET,HAYIR-Yapılmadı"</formula1>
    </dataValidation>
    <dataValidation type="list" sqref="E12" xr:uid="{00000000-0002-0000-0000-000004000000}">
      <formula1>"EVET,HAYIR-Belge Eksik,Uygulanmaz-Kamu İdaresi"</formula1>
    </dataValidation>
    <dataValidation type="list" sqref="E13" xr:uid="{00000000-0002-0000-0000-000005000000}">
      <formula1>"EVET,HAYIR-Belge Eksik"</formula1>
    </dataValidation>
    <dataValidation type="list" sqref="E14" xr:uid="{00000000-0002-0000-0000-000006000000}">
      <formula1>"EVET,Tam Tasdik"</formula1>
    </dataValidation>
    <dataValidation type="list" sqref="C29" xr:uid="{00000000-0002-0000-0000-000007000000}">
      <formula1>_xlfn._LONGTEXT("Genel Bütçeli Kamu İdaresi (MEB/Sağlık Bak./Üniversite vb.),Özel Bütçeli Kamu İdaresi (Düzenleyici Kurum/Kurul vb.),İl Özel İdaresi,Belediye (Büyükşehir/İlçe),Köy/Muhtarlık,Kamu Yararına Çalışan Dernek (KYD - İçişleri/Cumhurbaşk. kararıyla),Vergi Muafiyet","i Tanınan Vakıf (Cumhurbaşkanlığı Kararıyla)")</formula1>
    </dataValidation>
    <dataValidation type="list" sqref="C30" xr:uid="{00000000-0002-0000-0000-000008000000}">
      <formula1>_xlfn._LONGTEXT("Okul İnşası / Yapım,Okul Onarım ve Tadilat,Okul Faaliyetlerine Destek,Sağlık Tesisi İnşası (Hastane/Klinik/Sağlık Evi),Sağlık Tesisi Onarım,Sağlık Tesisi Faaliyetlerine Destek,Öğrenci Yurdu İnşası (≥100 Yatak),Çocuk Yuvası / Yetiştirme Yurdu,Huzurevi İnşa","sı/Faaliyetleri,Bakım ve Rehabilitasyon Merkezi,Diğer KVK 10/1-c Kapsamı Amaç")</formula1>
    </dataValidation>
    <dataValidation type="list" sqref="C32 C40:C47" xr:uid="{00000000-0002-0000-0000-000009000000}">
      <formula1>"Nakdi (Banka Transferi/EFT),Ayni (Mal/Ekipman/Malzeme),Hizmet Olarak (İnşaat/Onarım Hizmeti),Karma (Nakdi + Ayni)"</formula1>
    </dataValidation>
    <dataValidation type="list" sqref="C34" xr:uid="{00000000-0002-0000-0000-00000A000000}">
      <formula1>"Kamu İdaresi — Statü Belgesi Gerekmez,KYD Karar Belgesi (İçişleri/Cumhurbaşk.),Vergi Muafiyeti Kararı (Cumhurbaşkanlığı)"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9" t="s">
        <v>104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112" t="s">
        <v>105</v>
      </c>
      <c r="B2" s="66"/>
      <c r="C2" s="66"/>
      <c r="D2" s="66"/>
      <c r="E2" s="66"/>
      <c r="F2" s="66"/>
      <c r="G2" s="64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01" t="s">
        <v>106</v>
      </c>
      <c r="B4" s="61"/>
      <c r="C4" s="61"/>
      <c r="D4" s="61"/>
      <c r="E4" s="61"/>
      <c r="F4" s="61"/>
      <c r="G4" s="62"/>
    </row>
    <row r="5" spans="1:7" ht="22" customHeight="1" x14ac:dyDescent="0.55000000000000004">
      <c r="A5" s="105" t="s">
        <v>107</v>
      </c>
      <c r="B5" s="66"/>
      <c r="C5" s="64"/>
      <c r="D5" s="21" t="str">
        <f>'VERİ GİRİŞİ'!E15</f>
        <v>OK - Hesaplanabilir</v>
      </c>
      <c r="E5" s="73" t="s">
        <v>108</v>
      </c>
      <c r="F5" s="66"/>
      <c r="G5" s="64"/>
    </row>
    <row r="6" spans="1:7" ht="22" customHeight="1" x14ac:dyDescent="0.55000000000000004">
      <c r="A6" s="106" t="s">
        <v>109</v>
      </c>
      <c r="B6" s="66"/>
      <c r="C6" s="64"/>
      <c r="D6" s="21" t="str">
        <f>'VERİ GİRİŞİ'!C29</f>
        <v>Genel Bütçeli Kamu İdaresi (MEB/Sağlık Bak./Üniversite vb.)</v>
      </c>
      <c r="E6" s="78" t="s">
        <v>110</v>
      </c>
      <c r="F6" s="66"/>
      <c r="G6" s="64"/>
    </row>
    <row r="7" spans="1:7" ht="22" customHeight="1" x14ac:dyDescent="0.55000000000000004">
      <c r="A7" s="105" t="s">
        <v>111</v>
      </c>
      <c r="B7" s="66"/>
      <c r="C7" s="64"/>
      <c r="D7" s="21" t="str">
        <f>'VERİ GİRİŞİ'!C30</f>
        <v>Okul İnşası / Yapım</v>
      </c>
      <c r="E7" s="73" t="s">
        <v>112</v>
      </c>
      <c r="F7" s="66"/>
      <c r="G7" s="64"/>
    </row>
    <row r="8" spans="1:7" ht="22" customHeight="1" x14ac:dyDescent="0.55000000000000004">
      <c r="A8" s="106" t="s">
        <v>113</v>
      </c>
      <c r="B8" s="66"/>
      <c r="C8" s="64"/>
      <c r="D8" s="21">
        <f>'VERİ GİRİŞİ'!C54</f>
        <v>0</v>
      </c>
      <c r="E8" s="78" t="s">
        <v>114</v>
      </c>
      <c r="F8" s="66"/>
      <c r="G8" s="64"/>
    </row>
    <row r="9" spans="1:7" ht="22" customHeight="1" x14ac:dyDescent="0.55000000000000004">
      <c r="A9" s="71" t="s">
        <v>115</v>
      </c>
      <c r="B9" s="66"/>
      <c r="C9" s="64"/>
      <c r="D9" s="22">
        <f>'VERİ GİRİŞİ'!C56</f>
        <v>0</v>
      </c>
      <c r="E9" s="75"/>
      <c r="F9" s="66"/>
      <c r="G9" s="64"/>
    </row>
    <row r="10" spans="1:7" ht="22" customHeight="1" x14ac:dyDescent="0.55000000000000004">
      <c r="A10" s="108" t="s">
        <v>116</v>
      </c>
      <c r="B10" s="66"/>
      <c r="C10" s="64"/>
      <c r="D10" s="19" t="s">
        <v>117</v>
      </c>
      <c r="E10" s="76" t="s">
        <v>99</v>
      </c>
      <c r="F10" s="66"/>
      <c r="G10" s="64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60" t="s">
        <v>118</v>
      </c>
      <c r="B12" s="61"/>
      <c r="C12" s="61"/>
      <c r="D12" s="61"/>
      <c r="E12" s="61"/>
      <c r="F12" s="61"/>
      <c r="G12" s="62"/>
    </row>
    <row r="13" spans="1:7" ht="80.05" customHeight="1" x14ac:dyDescent="0.55000000000000004">
      <c r="A13" s="104" t="s">
        <v>119</v>
      </c>
      <c r="B13" s="61"/>
      <c r="C13" s="61"/>
      <c r="D13" s="61"/>
      <c r="E13" s="61"/>
      <c r="F13" s="61"/>
      <c r="G13" s="62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60" t="s">
        <v>120</v>
      </c>
      <c r="B15" s="61"/>
      <c r="C15" s="61"/>
      <c r="D15" s="61"/>
      <c r="E15" s="61"/>
      <c r="F15" s="61"/>
      <c r="G15" s="62"/>
    </row>
    <row r="16" spans="1:7" ht="52" customHeight="1" x14ac:dyDescent="0.55000000000000004">
      <c r="A16" s="110" t="s">
        <v>121</v>
      </c>
      <c r="B16" s="61"/>
      <c r="C16" s="61"/>
      <c r="D16" s="61"/>
      <c r="E16" s="61"/>
      <c r="F16" s="61"/>
      <c r="G16" s="62"/>
    </row>
    <row r="17" spans="1:7" ht="5.05" customHeight="1" x14ac:dyDescent="0.55000000000000004">
      <c r="A17" s="1"/>
      <c r="B17" s="1"/>
      <c r="C17" s="1"/>
      <c r="D17" s="1"/>
      <c r="E17" s="1"/>
      <c r="F17" s="1"/>
      <c r="G17" s="1"/>
    </row>
    <row r="18" spans="1:7" ht="22" customHeight="1" x14ac:dyDescent="0.55000000000000004">
      <c r="A18" s="60" t="s">
        <v>122</v>
      </c>
      <c r="B18" s="61"/>
      <c r="C18" s="61"/>
      <c r="D18" s="61"/>
      <c r="E18" s="61"/>
      <c r="F18" s="61"/>
      <c r="G18" s="62"/>
    </row>
    <row r="19" spans="1:7" ht="18" customHeight="1" x14ac:dyDescent="0.55000000000000004">
      <c r="A19" s="2"/>
      <c r="B19" s="2" t="s">
        <v>123</v>
      </c>
      <c r="C19" s="2"/>
      <c r="D19" s="2" t="s">
        <v>41</v>
      </c>
      <c r="E19" s="2"/>
      <c r="F19" s="2" t="s">
        <v>124</v>
      </c>
      <c r="G19" s="2"/>
    </row>
    <row r="20" spans="1:7" ht="20.05" customHeight="1" x14ac:dyDescent="0.55000000000000004">
      <c r="A20" s="23" t="s">
        <v>125</v>
      </c>
      <c r="B20" s="102" t="s">
        <v>126</v>
      </c>
      <c r="C20" s="64"/>
      <c r="D20" s="99" t="s">
        <v>127</v>
      </c>
      <c r="E20" s="64"/>
      <c r="F20" s="26" t="s">
        <v>128</v>
      </c>
      <c r="G20" s="27"/>
    </row>
    <row r="21" spans="1:7" ht="20.05" customHeight="1" x14ac:dyDescent="0.55000000000000004">
      <c r="A21" s="23" t="s">
        <v>129</v>
      </c>
      <c r="B21" s="102" t="s">
        <v>130</v>
      </c>
      <c r="C21" s="64"/>
      <c r="D21" s="99" t="s">
        <v>131</v>
      </c>
      <c r="E21" s="64"/>
      <c r="F21" s="26" t="s">
        <v>128</v>
      </c>
      <c r="G21" s="28"/>
    </row>
    <row r="22" spans="1:7" ht="20.05" customHeight="1" x14ac:dyDescent="0.55000000000000004">
      <c r="A22" s="23" t="s">
        <v>132</v>
      </c>
      <c r="B22" s="102" t="s">
        <v>133</v>
      </c>
      <c r="C22" s="64"/>
      <c r="D22" s="99" t="s">
        <v>134</v>
      </c>
      <c r="E22" s="64"/>
      <c r="F22" s="26" t="s">
        <v>128</v>
      </c>
      <c r="G22" s="27"/>
    </row>
    <row r="23" spans="1:7" ht="20.05" customHeight="1" x14ac:dyDescent="0.55000000000000004">
      <c r="A23" s="23" t="s">
        <v>135</v>
      </c>
      <c r="B23" s="102" t="s">
        <v>136</v>
      </c>
      <c r="C23" s="64"/>
      <c r="D23" s="99" t="s">
        <v>137</v>
      </c>
      <c r="E23" s="64"/>
      <c r="F23" s="26" t="s">
        <v>128</v>
      </c>
      <c r="G23" s="28"/>
    </row>
    <row r="24" spans="1:7" ht="20.05" customHeight="1" x14ac:dyDescent="0.55000000000000004">
      <c r="A24" s="23" t="s">
        <v>138</v>
      </c>
      <c r="B24" s="111" t="s">
        <v>139</v>
      </c>
      <c r="C24" s="64"/>
      <c r="D24" s="107" t="s">
        <v>140</v>
      </c>
      <c r="E24" s="64"/>
      <c r="F24" s="26" t="s">
        <v>128</v>
      </c>
      <c r="G24" s="27"/>
    </row>
    <row r="25" spans="1:7" ht="20.05" customHeight="1" x14ac:dyDescent="0.55000000000000004">
      <c r="A25" s="23" t="s">
        <v>141</v>
      </c>
      <c r="B25" s="100" t="s">
        <v>142</v>
      </c>
      <c r="C25" s="64"/>
      <c r="D25" s="103" t="s">
        <v>143</v>
      </c>
      <c r="E25" s="64"/>
      <c r="F25" s="26" t="s">
        <v>128</v>
      </c>
      <c r="G25" s="28"/>
    </row>
    <row r="26" spans="1:7" ht="20.05" customHeight="1" x14ac:dyDescent="0.55000000000000004">
      <c r="A26" s="23" t="s">
        <v>144</v>
      </c>
      <c r="B26" s="111" t="s">
        <v>145</v>
      </c>
      <c r="C26" s="64"/>
      <c r="D26" s="107" t="s">
        <v>146</v>
      </c>
      <c r="E26" s="64"/>
      <c r="F26" s="26" t="s">
        <v>128</v>
      </c>
      <c r="G26" s="27"/>
    </row>
    <row r="27" spans="1:7" ht="20.05" customHeight="1" x14ac:dyDescent="0.55000000000000004">
      <c r="A27" s="23" t="s">
        <v>147</v>
      </c>
      <c r="B27" s="100" t="s">
        <v>148</v>
      </c>
      <c r="C27" s="64"/>
      <c r="D27" s="103" t="s">
        <v>149</v>
      </c>
      <c r="E27" s="64"/>
      <c r="F27" s="26" t="s">
        <v>128</v>
      </c>
      <c r="G27" s="28"/>
    </row>
    <row r="28" spans="1:7" ht="20.05" customHeight="1" x14ac:dyDescent="0.55000000000000004">
      <c r="A28" s="23" t="s">
        <v>150</v>
      </c>
      <c r="B28" s="102" t="s">
        <v>151</v>
      </c>
      <c r="C28" s="64"/>
      <c r="D28" s="99" t="s">
        <v>152</v>
      </c>
      <c r="E28" s="64"/>
      <c r="F28" s="26" t="s">
        <v>128</v>
      </c>
      <c r="G28" s="27"/>
    </row>
    <row r="29" spans="1:7" ht="20.05" customHeight="1" x14ac:dyDescent="0.55000000000000004">
      <c r="A29" s="23" t="s">
        <v>153</v>
      </c>
      <c r="B29" s="100" t="s">
        <v>154</v>
      </c>
      <c r="C29" s="64"/>
      <c r="D29" s="103" t="s">
        <v>155</v>
      </c>
      <c r="E29" s="64"/>
      <c r="F29" s="26" t="s">
        <v>128</v>
      </c>
      <c r="G29" s="28"/>
    </row>
    <row r="30" spans="1:7" ht="20.05" customHeight="1" x14ac:dyDescent="0.55000000000000004">
      <c r="A30" s="23" t="s">
        <v>156</v>
      </c>
      <c r="B30" s="111" t="s">
        <v>157</v>
      </c>
      <c r="C30" s="64"/>
      <c r="D30" s="107" t="s">
        <v>158</v>
      </c>
      <c r="E30" s="64"/>
      <c r="F30" s="26" t="s">
        <v>128</v>
      </c>
      <c r="G30" s="27"/>
    </row>
    <row r="31" spans="1:7" ht="20.05" customHeight="1" x14ac:dyDescent="0.55000000000000004">
      <c r="A31" s="23" t="s">
        <v>159</v>
      </c>
      <c r="B31" s="100" t="s">
        <v>160</v>
      </c>
      <c r="C31" s="64"/>
      <c r="D31" s="103" t="s">
        <v>161</v>
      </c>
      <c r="E31" s="64"/>
      <c r="F31" s="26" t="s">
        <v>128</v>
      </c>
      <c r="G31" s="28"/>
    </row>
    <row r="32" spans="1:7" ht="20.05" customHeight="1" x14ac:dyDescent="0.55000000000000004">
      <c r="A32" s="23" t="s">
        <v>162</v>
      </c>
      <c r="B32" s="111" t="s">
        <v>163</v>
      </c>
      <c r="C32" s="64"/>
      <c r="D32" s="107" t="s">
        <v>22</v>
      </c>
      <c r="E32" s="64"/>
      <c r="F32" s="26" t="s">
        <v>128</v>
      </c>
      <c r="G32" s="27"/>
    </row>
  </sheetData>
  <mergeCells count="46">
    <mergeCell ref="A2:G2"/>
    <mergeCell ref="B32:C32"/>
    <mergeCell ref="B26:C26"/>
    <mergeCell ref="A7:C7"/>
    <mergeCell ref="D26:E26"/>
    <mergeCell ref="D32:E32"/>
    <mergeCell ref="A15:G15"/>
    <mergeCell ref="E7:G7"/>
    <mergeCell ref="A10:C10"/>
    <mergeCell ref="A1:G1"/>
    <mergeCell ref="B29:C29"/>
    <mergeCell ref="B28:C28"/>
    <mergeCell ref="A9:C9"/>
    <mergeCell ref="D28:E28"/>
    <mergeCell ref="A16:G16"/>
    <mergeCell ref="D25:E25"/>
    <mergeCell ref="B24:C24"/>
    <mergeCell ref="B30:C30"/>
    <mergeCell ref="D24:E24"/>
    <mergeCell ref="A18:G18"/>
    <mergeCell ref="D30:E30"/>
    <mergeCell ref="B31:C31"/>
    <mergeCell ref="B27:C27"/>
    <mergeCell ref="D31:E31"/>
    <mergeCell ref="E6:G6"/>
    <mergeCell ref="D21:E21"/>
    <mergeCell ref="A13:G13"/>
    <mergeCell ref="B21:C21"/>
    <mergeCell ref="A8:C8"/>
    <mergeCell ref="D27:E27"/>
    <mergeCell ref="B23:C23"/>
    <mergeCell ref="B20:C20"/>
    <mergeCell ref="D29:E29"/>
    <mergeCell ref="A6:C6"/>
    <mergeCell ref="E8:G8"/>
    <mergeCell ref="A12:G12"/>
    <mergeCell ref="D23:E23"/>
    <mergeCell ref="D20:E20"/>
    <mergeCell ref="E10:G10"/>
    <mergeCell ref="B25:C25"/>
    <mergeCell ref="A4:G4"/>
    <mergeCell ref="B22:C22"/>
    <mergeCell ref="E9:G9"/>
    <mergeCell ref="D22:E22"/>
    <mergeCell ref="A5:C5"/>
    <mergeCell ref="E5:G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60" t="s">
        <v>164</v>
      </c>
      <c r="B1" s="61"/>
      <c r="C1" s="61"/>
      <c r="D1" s="61"/>
      <c r="E1" s="61"/>
      <c r="F1" s="61"/>
      <c r="G1" s="62"/>
    </row>
    <row r="2" spans="1:7" ht="24" customHeight="1" x14ac:dyDescent="0.55000000000000004">
      <c r="A2" s="83" t="s">
        <v>165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1"/>
      <c r="B3" s="31" t="s">
        <v>166</v>
      </c>
      <c r="C3" s="31" t="s">
        <v>167</v>
      </c>
      <c r="D3" s="31" t="s">
        <v>84</v>
      </c>
      <c r="E3" s="31" t="s">
        <v>168</v>
      </c>
      <c r="F3" s="31" t="s">
        <v>169</v>
      </c>
      <c r="G3" s="31" t="s">
        <v>170</v>
      </c>
    </row>
    <row r="4" spans="1:7" ht="24" customHeight="1" x14ac:dyDescent="0.55000000000000004">
      <c r="A4" s="32" t="s">
        <v>168</v>
      </c>
      <c r="B4" s="32" t="s">
        <v>171</v>
      </c>
      <c r="C4" s="32" t="s">
        <v>172</v>
      </c>
      <c r="D4" s="32" t="s">
        <v>173</v>
      </c>
      <c r="E4" s="32" t="s">
        <v>174</v>
      </c>
      <c r="F4" s="32" t="s">
        <v>175</v>
      </c>
      <c r="G4" s="32" t="s">
        <v>176</v>
      </c>
    </row>
    <row r="5" spans="1:7" ht="24" customHeight="1" x14ac:dyDescent="0.55000000000000004">
      <c r="A5" s="33" t="s">
        <v>169</v>
      </c>
      <c r="B5" s="33" t="s">
        <v>171</v>
      </c>
      <c r="C5" s="33" t="s">
        <v>177</v>
      </c>
      <c r="D5" s="33" t="s">
        <v>178</v>
      </c>
      <c r="E5" s="33" t="s">
        <v>175</v>
      </c>
      <c r="F5" s="33" t="s">
        <v>174</v>
      </c>
      <c r="G5" s="33" t="s">
        <v>179</v>
      </c>
    </row>
    <row r="6" spans="1:7" ht="24" customHeight="1" x14ac:dyDescent="0.55000000000000004">
      <c r="A6" s="114" t="s">
        <v>180</v>
      </c>
      <c r="B6" s="61"/>
      <c r="C6" s="61"/>
      <c r="D6" s="61"/>
      <c r="E6" s="61"/>
      <c r="F6" s="61"/>
      <c r="G6" s="62"/>
    </row>
    <row r="7" spans="1:7" ht="52" customHeight="1" x14ac:dyDescent="0.55000000000000004">
      <c r="A7" s="116" t="s">
        <v>181</v>
      </c>
      <c r="B7" s="66"/>
      <c r="C7" s="66"/>
      <c r="D7" s="66"/>
      <c r="E7" s="66"/>
      <c r="F7" s="66"/>
      <c r="G7" s="64"/>
    </row>
    <row r="8" spans="1:7" ht="24" customHeight="1" x14ac:dyDescent="0.55000000000000004">
      <c r="A8" s="113" t="s">
        <v>182</v>
      </c>
      <c r="B8" s="61"/>
      <c r="C8" s="61"/>
      <c r="D8" s="61"/>
      <c r="E8" s="61"/>
      <c r="F8" s="61"/>
      <c r="G8" s="62"/>
    </row>
    <row r="9" spans="1:7" ht="18" customHeight="1" x14ac:dyDescent="0.55000000000000004">
      <c r="A9" s="31"/>
      <c r="B9" s="31" t="s">
        <v>166</v>
      </c>
      <c r="C9" s="31" t="s">
        <v>167</v>
      </c>
      <c r="D9" s="31" t="s">
        <v>84</v>
      </c>
      <c r="E9" s="31" t="s">
        <v>168</v>
      </c>
      <c r="F9" s="31" t="s">
        <v>169</v>
      </c>
      <c r="G9" s="31" t="s">
        <v>170</v>
      </c>
    </row>
    <row r="10" spans="1:7" ht="24" customHeight="1" x14ac:dyDescent="0.55000000000000004">
      <c r="A10" s="32" t="s">
        <v>168</v>
      </c>
      <c r="B10" s="32" t="s">
        <v>183</v>
      </c>
      <c r="C10" s="32" t="s">
        <v>184</v>
      </c>
      <c r="D10" s="32" t="s">
        <v>185</v>
      </c>
      <c r="E10" s="32" t="s">
        <v>186</v>
      </c>
      <c r="F10" s="32" t="s">
        <v>175</v>
      </c>
      <c r="G10" s="32" t="s">
        <v>187</v>
      </c>
    </row>
    <row r="11" spans="1:7" ht="24" customHeight="1" x14ac:dyDescent="0.55000000000000004">
      <c r="A11" s="33" t="s">
        <v>169</v>
      </c>
      <c r="B11" s="33" t="s">
        <v>183</v>
      </c>
      <c r="C11" s="33" t="s">
        <v>188</v>
      </c>
      <c r="D11" s="33" t="s">
        <v>189</v>
      </c>
      <c r="E11" s="33" t="s">
        <v>175</v>
      </c>
      <c r="F11" s="33" t="s">
        <v>186</v>
      </c>
      <c r="G11" s="33" t="s">
        <v>190</v>
      </c>
    </row>
    <row r="12" spans="1:7" ht="24" customHeight="1" x14ac:dyDescent="0.55000000000000004">
      <c r="A12" s="115" t="s">
        <v>191</v>
      </c>
      <c r="B12" s="61"/>
      <c r="C12" s="61"/>
      <c r="D12" s="61"/>
      <c r="E12" s="61"/>
      <c r="F12" s="61"/>
      <c r="G12" s="62"/>
    </row>
    <row r="13" spans="1:7" ht="18" customHeight="1" x14ac:dyDescent="0.55000000000000004">
      <c r="A13" s="31"/>
      <c r="B13" s="31" t="s">
        <v>166</v>
      </c>
      <c r="C13" s="31" t="s">
        <v>167</v>
      </c>
      <c r="D13" s="31" t="s">
        <v>84</v>
      </c>
      <c r="E13" s="31" t="s">
        <v>168</v>
      </c>
      <c r="F13" s="31" t="s">
        <v>169</v>
      </c>
      <c r="G13" s="31" t="s">
        <v>170</v>
      </c>
    </row>
    <row r="14" spans="1:7" ht="24" customHeight="1" x14ac:dyDescent="0.55000000000000004">
      <c r="A14" s="32" t="s">
        <v>168</v>
      </c>
      <c r="B14" s="32" t="s">
        <v>192</v>
      </c>
      <c r="C14" s="32" t="s">
        <v>193</v>
      </c>
      <c r="D14" s="32" t="s">
        <v>194</v>
      </c>
      <c r="E14" s="32" t="s">
        <v>174</v>
      </c>
      <c r="F14" s="32" t="s">
        <v>175</v>
      </c>
      <c r="G14" s="32" t="s">
        <v>195</v>
      </c>
    </row>
    <row r="15" spans="1:7" ht="24" customHeight="1" x14ac:dyDescent="0.55000000000000004">
      <c r="A15" s="33" t="s">
        <v>169</v>
      </c>
      <c r="B15" s="33" t="s">
        <v>192</v>
      </c>
      <c r="C15" s="33" t="s">
        <v>196</v>
      </c>
      <c r="D15" s="33" t="s">
        <v>197</v>
      </c>
      <c r="E15" s="33" t="s">
        <v>175</v>
      </c>
      <c r="F15" s="33" t="s">
        <v>174</v>
      </c>
      <c r="G15" s="33" t="s">
        <v>195</v>
      </c>
    </row>
  </sheetData>
  <mergeCells count="6">
    <mergeCell ref="A1:G1"/>
    <mergeCell ref="A8:G8"/>
    <mergeCell ref="A6:G6"/>
    <mergeCell ref="A12:G12"/>
    <mergeCell ref="A2:G2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60" t="s">
        <v>198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199</v>
      </c>
      <c r="B2" s="61"/>
      <c r="C2" s="61"/>
      <c r="D2" s="61"/>
      <c r="E2" s="61"/>
      <c r="F2" s="61"/>
      <c r="G2" s="62"/>
    </row>
    <row r="3" spans="1:7" ht="18" customHeight="1" x14ac:dyDescent="0.55000000000000004">
      <c r="A3" s="31" t="s">
        <v>200</v>
      </c>
      <c r="B3" s="31" t="s">
        <v>201</v>
      </c>
      <c r="C3" s="31" t="s">
        <v>202</v>
      </c>
      <c r="D3" s="31" t="s">
        <v>203</v>
      </c>
    </row>
    <row r="4" spans="1:7" ht="80.05" customHeight="1" x14ac:dyDescent="0.55000000000000004">
      <c r="A4" s="23" t="s">
        <v>204</v>
      </c>
      <c r="B4" s="29" t="s">
        <v>205</v>
      </c>
      <c r="C4" s="34" t="s">
        <v>206</v>
      </c>
      <c r="D4" s="35" t="s">
        <v>207</v>
      </c>
    </row>
    <row r="5" spans="1:7" ht="64" customHeight="1" x14ac:dyDescent="0.55000000000000004">
      <c r="A5" s="36" t="s">
        <v>208</v>
      </c>
      <c r="B5" s="24" t="s">
        <v>209</v>
      </c>
      <c r="C5" s="25" t="s">
        <v>210</v>
      </c>
      <c r="D5" s="37" t="s">
        <v>211</v>
      </c>
    </row>
    <row r="6" spans="1:7" ht="56.05" customHeight="1" x14ac:dyDescent="0.55000000000000004">
      <c r="A6" s="23" t="s">
        <v>212</v>
      </c>
      <c r="B6" s="38" t="s">
        <v>213</v>
      </c>
      <c r="C6" s="34" t="s">
        <v>214</v>
      </c>
      <c r="D6" s="35" t="s">
        <v>215</v>
      </c>
    </row>
    <row r="7" spans="1:7" ht="52" customHeight="1" x14ac:dyDescent="0.55000000000000004">
      <c r="A7" s="23" t="s">
        <v>216</v>
      </c>
      <c r="B7" s="29" t="s">
        <v>217</v>
      </c>
      <c r="C7" s="34" t="s">
        <v>218</v>
      </c>
      <c r="D7" s="35" t="s">
        <v>219</v>
      </c>
    </row>
    <row r="8" spans="1:7" ht="68.05" customHeight="1" x14ac:dyDescent="0.55000000000000004">
      <c r="A8" s="23" t="s">
        <v>220</v>
      </c>
      <c r="B8" s="30" t="s">
        <v>221</v>
      </c>
      <c r="C8" s="34" t="s">
        <v>222</v>
      </c>
      <c r="D8" s="39" t="s">
        <v>223</v>
      </c>
    </row>
    <row r="9" spans="1:7" ht="40" customHeight="1" x14ac:dyDescent="0.55000000000000004">
      <c r="A9" s="117" t="s">
        <v>224</v>
      </c>
      <c r="B9" s="61"/>
      <c r="C9" s="61"/>
      <c r="D9" s="62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60" t="s">
        <v>225</v>
      </c>
      <c r="B1" s="61"/>
      <c r="C1" s="61"/>
      <c r="D1" s="61"/>
      <c r="E1" s="61"/>
      <c r="F1" s="61"/>
      <c r="G1" s="62"/>
    </row>
    <row r="2" spans="1:7" ht="20.05" customHeight="1" x14ac:dyDescent="0.55000000000000004">
      <c r="A2" s="93" t="s">
        <v>226</v>
      </c>
      <c r="B2" s="61"/>
      <c r="C2" s="61"/>
      <c r="D2" s="61"/>
      <c r="E2" s="61"/>
      <c r="F2" s="61"/>
      <c r="G2" s="6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5" t="s">
        <v>227</v>
      </c>
      <c r="B4" s="61"/>
      <c r="C4" s="61"/>
      <c r="D4" s="61"/>
      <c r="E4" s="61"/>
      <c r="F4" s="61"/>
      <c r="G4" s="62"/>
    </row>
    <row r="5" spans="1:7" ht="18" customHeight="1" x14ac:dyDescent="0.55000000000000004">
      <c r="A5" s="31"/>
      <c r="B5" s="31" t="s">
        <v>228</v>
      </c>
      <c r="C5" s="31" t="s">
        <v>60</v>
      </c>
      <c r="D5" s="31" t="s">
        <v>41</v>
      </c>
      <c r="E5" s="31" t="s">
        <v>229</v>
      </c>
      <c r="F5" s="31"/>
    </row>
    <row r="6" spans="1:7" ht="38.049999999999997" customHeight="1" x14ac:dyDescent="0.55000000000000004">
      <c r="A6" s="40"/>
      <c r="B6" s="41" t="s">
        <v>230</v>
      </c>
      <c r="C6" s="42" t="s">
        <v>231</v>
      </c>
      <c r="D6" s="43" t="s">
        <v>232</v>
      </c>
      <c r="E6" s="44" t="s">
        <v>67</v>
      </c>
      <c r="F6" s="40"/>
    </row>
    <row r="7" spans="1:7" ht="38.049999999999997" customHeight="1" x14ac:dyDescent="0.55000000000000004">
      <c r="A7" s="28"/>
      <c r="B7" s="45" t="s">
        <v>233</v>
      </c>
      <c r="C7" s="46" t="s">
        <v>234</v>
      </c>
      <c r="D7" s="43" t="s">
        <v>235</v>
      </c>
      <c r="E7" s="47" t="s">
        <v>236</v>
      </c>
      <c r="F7" s="28"/>
    </row>
    <row r="8" spans="1:7" ht="38.049999999999997" customHeight="1" x14ac:dyDescent="0.55000000000000004">
      <c r="A8" s="40"/>
      <c r="B8" s="41" t="s">
        <v>237</v>
      </c>
      <c r="C8" s="42" t="s">
        <v>238</v>
      </c>
      <c r="D8" s="43" t="s">
        <v>239</v>
      </c>
      <c r="E8" s="44" t="s">
        <v>240</v>
      </c>
      <c r="F8" s="40"/>
    </row>
    <row r="9" spans="1:7" ht="38.049999999999997" customHeight="1" x14ac:dyDescent="0.55000000000000004">
      <c r="A9" s="28"/>
      <c r="B9" s="45" t="s">
        <v>241</v>
      </c>
      <c r="C9" s="30" t="s">
        <v>242</v>
      </c>
      <c r="D9" s="43" t="s">
        <v>243</v>
      </c>
      <c r="E9" s="47" t="s">
        <v>244</v>
      </c>
      <c r="F9" s="28"/>
    </row>
    <row r="10" spans="1:7" ht="38.049999999999997" customHeight="1" x14ac:dyDescent="0.55000000000000004">
      <c r="A10" s="40"/>
      <c r="B10" s="41" t="s">
        <v>245</v>
      </c>
      <c r="C10" s="48" t="s">
        <v>246</v>
      </c>
      <c r="D10" s="43" t="s">
        <v>247</v>
      </c>
      <c r="E10" s="44" t="s">
        <v>248</v>
      </c>
      <c r="F10" s="40"/>
    </row>
    <row r="11" spans="1:7" ht="38.049999999999997" customHeight="1" x14ac:dyDescent="0.55000000000000004">
      <c r="A11" s="28"/>
      <c r="B11" s="45" t="s">
        <v>249</v>
      </c>
      <c r="C11" s="30" t="s">
        <v>250</v>
      </c>
      <c r="D11" s="43" t="s">
        <v>251</v>
      </c>
      <c r="E11" s="47" t="s">
        <v>252</v>
      </c>
      <c r="F11" s="28"/>
    </row>
    <row r="12" spans="1:7" ht="5.05" customHeight="1" x14ac:dyDescent="0.55000000000000004">
      <c r="A12" s="1"/>
      <c r="B12" s="1"/>
      <c r="C12" s="1"/>
      <c r="D12" s="1"/>
      <c r="E12" s="1"/>
      <c r="F12" s="1"/>
      <c r="G12" s="1"/>
    </row>
    <row r="13" spans="1:7" ht="22" customHeight="1" x14ac:dyDescent="0.55000000000000004">
      <c r="A13" s="118" t="s">
        <v>253</v>
      </c>
      <c r="B13" s="61"/>
      <c r="C13" s="61"/>
      <c r="D13" s="61"/>
      <c r="E13" s="61"/>
      <c r="F13" s="61"/>
      <c r="G13" s="62"/>
    </row>
    <row r="14" spans="1:7" ht="18" customHeight="1" x14ac:dyDescent="0.55000000000000004">
      <c r="A14" s="49"/>
      <c r="B14" s="49" t="s">
        <v>228</v>
      </c>
      <c r="C14" s="49" t="s">
        <v>5</v>
      </c>
      <c r="D14" s="49" t="s">
        <v>254</v>
      </c>
      <c r="E14" s="49" t="s">
        <v>255</v>
      </c>
      <c r="F14" s="49"/>
    </row>
    <row r="15" spans="1:7" ht="28" customHeight="1" x14ac:dyDescent="0.55000000000000004">
      <c r="A15" s="50"/>
      <c r="B15" s="51" t="s">
        <v>256</v>
      </c>
      <c r="C15" s="52" t="s">
        <v>126</v>
      </c>
      <c r="D15" s="53" t="s">
        <v>257</v>
      </c>
      <c r="E15" s="54" t="s">
        <v>258</v>
      </c>
      <c r="F15" s="50"/>
    </row>
    <row r="16" spans="1:7" ht="28" customHeight="1" x14ac:dyDescent="0.55000000000000004">
      <c r="A16" s="50"/>
      <c r="B16" s="51" t="s">
        <v>259</v>
      </c>
      <c r="C16" s="52" t="s">
        <v>260</v>
      </c>
      <c r="D16" s="53" t="s">
        <v>261</v>
      </c>
      <c r="E16" s="54" t="s">
        <v>258</v>
      </c>
      <c r="F16" s="50"/>
    </row>
    <row r="17" spans="1:7" ht="28" customHeight="1" x14ac:dyDescent="0.55000000000000004">
      <c r="A17" s="50"/>
      <c r="B17" s="51" t="s">
        <v>262</v>
      </c>
      <c r="C17" s="52" t="s">
        <v>263</v>
      </c>
      <c r="D17" s="53" t="s">
        <v>264</v>
      </c>
      <c r="E17" s="54" t="s">
        <v>258</v>
      </c>
      <c r="F17" s="50"/>
    </row>
    <row r="18" spans="1:7" ht="28" customHeight="1" x14ac:dyDescent="0.55000000000000004">
      <c r="A18" s="50"/>
      <c r="B18" s="51" t="s">
        <v>265</v>
      </c>
      <c r="C18" s="52" t="s">
        <v>266</v>
      </c>
      <c r="D18" s="53" t="s">
        <v>267</v>
      </c>
      <c r="E18" s="54" t="s">
        <v>258</v>
      </c>
      <c r="F18" s="50"/>
    </row>
    <row r="19" spans="1:7" ht="28" customHeight="1" x14ac:dyDescent="0.55000000000000004">
      <c r="A19" s="55"/>
      <c r="B19" s="56" t="s">
        <v>268</v>
      </c>
      <c r="C19" s="57" t="s">
        <v>269</v>
      </c>
      <c r="D19" s="58" t="s">
        <v>270</v>
      </c>
      <c r="E19" s="59" t="s">
        <v>258</v>
      </c>
      <c r="F19" s="55"/>
    </row>
    <row r="20" spans="1:7" ht="28" customHeight="1" x14ac:dyDescent="0.55000000000000004">
      <c r="A20" s="55"/>
      <c r="B20" s="56" t="s">
        <v>271</v>
      </c>
      <c r="C20" s="57" t="s">
        <v>272</v>
      </c>
      <c r="D20" s="58" t="s">
        <v>273</v>
      </c>
      <c r="E20" s="59" t="s">
        <v>258</v>
      </c>
      <c r="F20" s="55"/>
    </row>
    <row r="21" spans="1:7" ht="28" customHeight="1" x14ac:dyDescent="0.55000000000000004">
      <c r="A21" s="55"/>
      <c r="B21" s="56" t="s">
        <v>274</v>
      </c>
      <c r="C21" s="57" t="s">
        <v>275</v>
      </c>
      <c r="D21" s="58" t="s">
        <v>276</v>
      </c>
      <c r="E21" s="59" t="s">
        <v>258</v>
      </c>
      <c r="F21" s="55"/>
    </row>
    <row r="22" spans="1:7" ht="28" customHeight="1" x14ac:dyDescent="0.55000000000000004">
      <c r="A22" s="50"/>
      <c r="B22" s="51" t="s">
        <v>277</v>
      </c>
      <c r="C22" s="52" t="s">
        <v>278</v>
      </c>
      <c r="D22" s="53" t="s">
        <v>279</v>
      </c>
      <c r="E22" s="54" t="s">
        <v>258</v>
      </c>
      <c r="F22" s="50"/>
    </row>
    <row r="23" spans="1:7" ht="28" customHeight="1" x14ac:dyDescent="0.55000000000000004">
      <c r="A23" s="55"/>
      <c r="B23" s="56" t="s">
        <v>280</v>
      </c>
      <c r="C23" s="57" t="s">
        <v>281</v>
      </c>
      <c r="D23" s="58" t="s">
        <v>282</v>
      </c>
      <c r="E23" s="59" t="s">
        <v>258</v>
      </c>
      <c r="F23" s="55"/>
    </row>
    <row r="24" spans="1:7" ht="28" customHeight="1" x14ac:dyDescent="0.55000000000000004">
      <c r="A24" s="55"/>
      <c r="B24" s="56" t="s">
        <v>283</v>
      </c>
      <c r="C24" s="57" t="s">
        <v>284</v>
      </c>
      <c r="D24" s="58" t="s">
        <v>285</v>
      </c>
      <c r="E24" s="59" t="s">
        <v>258</v>
      </c>
      <c r="F24" s="55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60" customHeight="1" x14ac:dyDescent="0.55000000000000004">
      <c r="A26" s="117" t="s">
        <v>286</v>
      </c>
      <c r="B26" s="61"/>
      <c r="C26" s="61"/>
      <c r="D26" s="61"/>
      <c r="E26" s="61"/>
      <c r="F26" s="62"/>
    </row>
  </sheetData>
  <mergeCells count="5">
    <mergeCell ref="A13:G13"/>
    <mergeCell ref="A1:G1"/>
    <mergeCell ref="A4:G4"/>
    <mergeCell ref="A2:G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2026-04-05T18:52:30Z</dcterms:created>
  <dcterms:modified xsi:type="dcterms:W3CDTF">2026-04-05T18:57:10Z</dcterms:modified>
</cp:coreProperties>
</file>