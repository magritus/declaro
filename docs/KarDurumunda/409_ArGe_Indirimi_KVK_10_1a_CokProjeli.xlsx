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BFD741E8-F294-49EF-85E7-55422A2D337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KONSOLIDASYON &amp; BEYANNAME" sheetId="2" r:id="rId2"/>
    <sheet name="HESAPLAMALAR &amp; KONTROL" sheetId="3" r:id="rId3"/>
    <sheet name="DENETCI NOTLARI" sheetId="4" r:id="rId4"/>
    <sheet name="BELGE LISTESI" sheetId="5" r:id="rId5"/>
    <sheet name="MUHASEBE KAYITLAR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A2" i="3"/>
  <c r="G8" i="2"/>
  <c r="F8" i="2"/>
  <c r="E8" i="2"/>
  <c r="H8" i="2" s="1"/>
  <c r="D8" i="2"/>
  <c r="C8" i="2"/>
  <c r="C7" i="2"/>
  <c r="A3" i="2"/>
  <c r="C56" i="1"/>
  <c r="H55" i="1"/>
  <c r="C54" i="1"/>
  <c r="G52" i="1"/>
  <c r="G54" i="1" s="1"/>
  <c r="C52" i="1"/>
  <c r="G47" i="1"/>
  <c r="F47" i="1"/>
  <c r="F52" i="1" s="1"/>
  <c r="F54" i="1" s="1"/>
  <c r="E47" i="1"/>
  <c r="E52" i="1" s="1"/>
  <c r="E54" i="1" s="1"/>
  <c r="D47" i="1"/>
  <c r="D52" i="1" s="1"/>
  <c r="D54" i="1" s="1"/>
  <c r="C47" i="1"/>
  <c r="H45" i="1"/>
  <c r="H44" i="1"/>
  <c r="H43" i="1"/>
  <c r="H42" i="1"/>
  <c r="H41" i="1"/>
  <c r="H40" i="1"/>
  <c r="C20" i="1"/>
  <c r="C21" i="1" s="1"/>
  <c r="G56" i="1" l="1"/>
  <c r="G9" i="2" s="1"/>
  <c r="G7" i="2"/>
  <c r="E7" i="2"/>
  <c r="E56" i="1"/>
  <c r="E9" i="2" s="1"/>
  <c r="F56" i="1"/>
  <c r="F9" i="2" s="1"/>
  <c r="F7" i="2"/>
  <c r="H54" i="1"/>
  <c r="D56" i="1"/>
  <c r="D9" i="2" s="1"/>
  <c r="D7" i="2"/>
  <c r="H7" i="2" s="1"/>
  <c r="D5" i="3"/>
  <c r="H47" i="1"/>
  <c r="C9" i="2"/>
  <c r="H56" i="1" l="1"/>
  <c r="H9" i="2"/>
  <c r="D6" i="3"/>
  <c r="H52" i="1"/>
  <c r="D7" i="3" l="1"/>
  <c r="C14" i="2"/>
  <c r="C16" i="2" l="1"/>
  <c r="D8" i="3" l="1"/>
  <c r="C26" i="2"/>
  <c r="H26" i="2" s="1"/>
  <c r="C22" i="2"/>
  <c r="C25" i="2"/>
  <c r="H25" i="2" s="1"/>
  <c r="C23" i="2"/>
  <c r="H23" i="2" s="1"/>
  <c r="C24" i="2"/>
  <c r="H24" i="2" s="1"/>
  <c r="C17" i="2"/>
  <c r="D9" i="3" s="1"/>
  <c r="C27" i="2" l="1"/>
  <c r="H27" i="2" s="1"/>
  <c r="H22" i="2"/>
</calcChain>
</file>

<file path=xl/sharedStrings.xml><?xml version="1.0" encoding="utf-8"?>
<sst xmlns="http://schemas.openxmlformats.org/spreadsheetml/2006/main" count="253" uniqueCount="216">
  <si>
    <t>409 - AR-GE INDIRIMI (KVK Md. 10/1-a) | COK PROJELI | TEK/COK PROJE UNIFIED | YMM TASDIK CALISMA KAGIDI</t>
  </si>
  <si>
    <t>KVK Md. 10/1-a | Ar-Ge Merkezi belgesi gerekmez | Devreden indirim: YDO artisi YOK (410'dan fark) | Beyanname Satir 409 | Maks. 5 Proje | C8 = Aktif Proje Sayisi</t>
  </si>
  <si>
    <t xml:space="preserve">  KULLANIM: C8 = 1 -&gt; Tek Proje (sadece C sutunu). C8 = 2-5 -&gt; Cok Proje (C-G sutunlari). Kullanilmayan proje sutunlari gri olur. Beyanname 409 tutari KONSOLIDASYON sayfasi B.3 satirindan alinir.</t>
  </si>
  <si>
    <t>MODUL KIMLIGI VE VERSIYON</t>
  </si>
  <si>
    <t>Modul Kodu</t>
  </si>
  <si>
    <t>409 - KVK Md. 10/1-a Ar-Ge Indirimi | Cok Projeli Unified Versiyon</t>
  </si>
  <si>
    <t>KVK 10/1-a | 5746 Md.3 (410) ve Md.3/A (454)'ten farkli rejim</t>
  </si>
  <si>
    <t>Calisma Kagidi Versiyonu</t>
  </si>
  <si>
    <t>v1.0 | 1 No.lu KV GT | 49 No.lu Teblig (30.12.2025)</t>
  </si>
  <si>
    <t>Devreden indirim YDO artisi YOK</t>
  </si>
  <si>
    <t>Aktif Proje Sayisi (1-5)</t>
  </si>
  <si>
    <t>1=Tek Proje (C sutunu) | 2-5=Cok Proje (C-G)</t>
  </si>
  <si>
    <t>C8 = 1 Tek Proje | C8 = 2-5 Cok Proje</t>
  </si>
  <si>
    <t>A0. KAPSAM VE NITELIK UYGUNLUK KONTROLU - TUM PROJELER ICIN ORTAK</t>
  </si>
  <si>
    <t>UYARI: KVK Md. 10/1-a kapsaminda Ar-Ge Merkezi belgesi veya STB proje onayi GEREKMEZ. Ancak faaliyetlerin isletme bunyesinde ve muhasiren yeni teknoloji/bilgi arayisina yonelik olmasi sarttir. KRITIK FARK (410'a gore): Devreden indirim YDO ile artirilmaz - artirimsiz devredilir. Ayni harcama icin hem 409 hem de 410/454 birlikte kullanilamaz.</t>
  </si>
  <si>
    <t>Kontrol Sorusu</t>
  </si>
  <si>
    <t>Yanit</t>
  </si>
  <si>
    <t>Aciklama / YMM Tasdik Notu</t>
  </si>
  <si>
    <t>A0.1  Ar-Ge faaliyetleri munhasiran yeni teknoloji ve bilgi arayisina yonelik mi?</t>
  </si>
  <si>
    <t>EVET</t>
  </si>
  <si>
    <t>Mevcut bilgi veya tekniklerle cozulebilir faaliyetler kapsam disindir. Rutin gelistirme, pazarlanabilir urun testleri kapsama girmez.</t>
  </si>
  <si>
    <t>A0.2  Ar-Ge faaliyetleri ISLETME BUNYESINDE mi gerceklestiriliyor?</t>
  </si>
  <si>
    <t>KVK 10/1-a kapsaminda faaliyetlerin isletme bunyesinde yurutulmesi zorunludur. Disaridan alinan hizmetler sinirli olabilir. 5746 Md. 3/A (454) ise proje bazli-ozkaynakla yapilana uygulanir - bu farkldir.</t>
  </si>
  <si>
    <t>A0.3  Harcamalar diger faaliyetlerden ayri muhasebeleştiriliyor mu?</t>
  </si>
  <si>
    <t>KVK 10/1-a kapsaminda Ar-Ge harcamalari, diger faaliyetlerden ayristirilarak muhasebeleştirilmeli ve indirim tutarinin dogru hesaplanmasina imkan verilmelidir. 1 No.lu KV GT'de bu ayirim zorunlu tutulmustur.</t>
  </si>
  <si>
    <t>A0.4  Ayni harcamalar icin 5746 Md. 3 (410) veya Md. 3/A (454) uygulanmakta mi?</t>
  </si>
  <si>
    <t>HAYIR</t>
  </si>
  <si>
    <t>CIFTE INDIRIM YASAGI: Ayni Ar-Ge harcamasi icin hem KVK 10/1-a (409) hem de 5746 (410 veya 454) birlikte kullanilamaz. Mükellef hangi kanun kapsaminda yararlanacagini secmeli ve tutarli sekilde uygulamalidir.</t>
  </si>
  <si>
    <t>A0.5  Devreden Ar-Ge indirimi var mi? (YDO artisi YOK - artirimsiz devredilir)</t>
  </si>
  <si>
    <t>KVK 10/1-a'da devreden indirim YDO ile artIRILMAZ - aynen devredilir. 410 (5746) ve ayni kodun farklidir. Onceki yildan gelen tutar D.4 satirina dogrudan yazilir.</t>
  </si>
  <si>
    <t>A0.6  YiAKV (KVK Md. 32/C) etkisi analiz edildi mi?</t>
  </si>
  <si>
    <t>409 kodlu Ar-Ge indirimi 'Kazancin Bulunmasi Halinde Indirilecek' bolumundedir. YiAKV matrahina etkisi donem mevzuati cercevesinde ayrica analiz edilmelidir.</t>
  </si>
  <si>
    <t>A0.7  49/41 No.lu Teblig: YMM tasdik raporu yukumlulugu var mi?</t>
  </si>
  <si>
    <t>49 No.lu Teblig: Tek satir &gt;=500.000 TL veya toplam &gt;=1.000.000 TL -&gt; YMM raporu zorunlu. 41 No.lu Teblig Ar-Ge indirimi tasdik sarti da ayrica degerlendirilmeli.</t>
  </si>
  <si>
    <t>A0.8  Tasdik Uygunluk Sonucu</t>
  </si>
  <si>
    <t>Zorunlu: A0.1/A0.2/A0.3 (EVET) + A0.4 (HAYIR - cifte indirim yok) + A0.6/A0.7 (EVET). A0.4=EVET ise cifte indirim riski - modulu kullanamazsiniz.</t>
  </si>
  <si>
    <t>Tasdik Engelleyici</t>
  </si>
  <si>
    <t>Hata giderildiginde uyari kalkar.</t>
  </si>
  <si>
    <t>A. MUKELLEF BİLGİLERİ (Tum Projeler Icin Ortaktir)</t>
  </si>
  <si>
    <t>Alan</t>
  </si>
  <si>
    <t>Bilgi</t>
  </si>
  <si>
    <t>Aciklama</t>
  </si>
  <si>
    <t>Mukellef Unvani</t>
  </si>
  <si>
    <t>Ticaret sicilindeki tam unvan</t>
  </si>
  <si>
    <t>Vergi Kimlik No</t>
  </si>
  <si>
    <t>10 haneli VKN</t>
  </si>
  <si>
    <t>Hesap Donemi</t>
  </si>
  <si>
    <t>01.01.…… - 31.12.……</t>
  </si>
  <si>
    <t>Uygulanan Rejim</t>
  </si>
  <si>
    <t>KVK 10/1-a - 5746 Md.3 (410) degil</t>
  </si>
  <si>
    <t>KV Orani (%)</t>
  </si>
  <si>
    <t>Genel: %25 (2025); Finans: %30</t>
  </si>
  <si>
    <t>B. PROJE BILGILERI (C-G: Proje 1-5 | Kullanilmayan sutunlar gri olur)</t>
  </si>
  <si>
    <t>Proje Bilgisi</t>
  </si>
  <si>
    <t>Proje 1</t>
  </si>
  <si>
    <t>Proje 2</t>
  </si>
  <si>
    <t>Proje 3</t>
  </si>
  <si>
    <t>Proje 4</t>
  </si>
  <si>
    <t>Proje 5</t>
  </si>
  <si>
    <t>Toplam</t>
  </si>
  <si>
    <t>Not</t>
  </si>
  <si>
    <t>P.1</t>
  </si>
  <si>
    <t>Proje Adi / Baslik</t>
  </si>
  <si>
    <t>Kisa tanimlayici</t>
  </si>
  <si>
    <t>P.2</t>
  </si>
  <si>
    <t>Ar-Ge Projesi Niteligi (KVK 10/1-a kapsami)</t>
  </si>
  <si>
    <t>Proje icerigi ve nitelik aciklamasi</t>
  </si>
  <si>
    <t>P.3</t>
  </si>
  <si>
    <t>Proje Baslangic - Bitis Tarihi</t>
  </si>
  <si>
    <t>GG.AA.YYYY - GG.AA.YYYY</t>
  </si>
  <si>
    <t>C. AR-GE HARCAMA TURLERI — KVK Md. 10/1-a (1 No.lu KV GT) | C-G: Proje 1-5 | H: Toplam</t>
  </si>
  <si>
    <t xml:space="preserve">  KVK 10/1-a kapsami: Muhasebede Ar-Ge hesabina atilan her tutar otomatik indirime girmez. Her harcama: (a) Muhasebede kayitli, (b) KVK 10/1-a kapsaminda uygun, (c) Proje ile dogrudan iliskili. Finansman giderleri (H.6) kapsam disidir. NOT: 5746'dan farkli olarak destek personeli %10 ve dis hizmet %20 limiti bu kapsam icin acikca belirlenmemistir.</t>
  </si>
  <si>
    <t>Kod</t>
  </si>
  <si>
    <t>Harcama Turu (KVK 10/1-a / 1 No.lu KV GT)</t>
  </si>
  <si>
    <t>Proje 1 (TL)</t>
  </si>
  <si>
    <t>Proje 2 (TL)</t>
  </si>
  <si>
    <t>Proje 3 (TL)</t>
  </si>
  <si>
    <t>Proje 4 (TL)</t>
  </si>
  <si>
    <t>Proje 5 (TL)</t>
  </si>
  <si>
    <t>Toplam (TL)</t>
  </si>
  <si>
    <t>KVK 10/1-a Kapsam Notu</t>
  </si>
  <si>
    <t>H.1</t>
  </si>
  <si>
    <t>Ar-Ge Personeli Ucret Giderleri (Ar-Ge faaliyetine dogrudan tahsis edilen)</t>
  </si>
  <si>
    <t>Ar-Ge personelininin Ar-Ge faaliyetine ayirilen surede tahakkuk eden ucretleri. Kismi calismada: Ar-Ge suresi/Toplam sure orani uygulanir. KVK 10/1-a'da 5746 gibi GV stopaj terkini yoktur.</t>
  </si>
  <si>
    <t>H.2</t>
  </si>
  <si>
    <t>Malzeme ve Hammadde Giderleri (Ar-Ge'ye ozgu tuketilen)</t>
  </si>
  <si>
    <t>Dogrudan Ar-Ge projesi icin tüketilen malzeme ve hammadde. Genel uretimdeki malzeme bu kapsamda yer almaz.</t>
  </si>
  <si>
    <t>H.3</t>
  </si>
  <si>
    <t>Amortisman Giderleri (Ar-Ge'de kullanilan ATiK'lere isabet eden)</t>
  </si>
  <si>
    <t>Tamamen Ar-Ge'de kullanilan ATiK'ler icin hesaplanan amortismanlar. Kismen kullanilanlar: gün sayisi oraninda dahil edilir.</t>
  </si>
  <si>
    <t>H.4</t>
  </si>
  <si>
    <t>Disaridan Alinan Fayda ve Hizmetler (Universite, Arastirma Kurumu vb.)</t>
  </si>
  <si>
    <t>Universite, arastirma merkezi vb. kuruluslardan alinan Ar-Ge hizmetleri. KVK 10/1-a'da 5746'daki gibi acik bir %20 siniri yoktur; ancak faaliyetlerin isletme bunyesinde oldugu ozunde korunmalidir.</t>
  </si>
  <si>
    <t>H.5</t>
  </si>
  <si>
    <t>Genel Giderler (Ar-Ge faaliyetine isabet eden orantili pay)</t>
  </si>
  <si>
    <t>Kira, enerji, su, haberlesme gibi genel giderlerin Ar-Ge'ye isabet eden payi. Makul ve belgelenebilir dagilim anahtari kullanilmalidir.</t>
  </si>
  <si>
    <t>H.6</t>
  </si>
  <si>
    <t>Vergi, Resim ve Harclara (Proje ile Dogrudan Iliskili)</t>
  </si>
  <si>
    <t>Ar-Ge projesiyle dogrudan ilgili vergi ve harclar.</t>
  </si>
  <si>
    <t>H.7</t>
  </si>
  <si>
    <t>KAPSAM DISI: Finansman Giderleri (Faiz - KVK 10/1-a'da Hariç)</t>
  </si>
  <si>
    <t>KVK 10/1-a kapsaminda finansman giderleri (faiz vb.) Ar-Ge harcamasi sayilmaz. Bu satir KAPSAM DISIDIR - indirim toplamina dahil edilmez.</t>
  </si>
  <si>
    <t>(A)</t>
  </si>
  <si>
    <t>PROJE BAZINDA INDIRIME ESAS TOPLAM HARCAMA (H.1-H.6, H.7 haric)</t>
  </si>
  <si>
    <t>H sutunu: Tum projelerin donem toplam kapsam ici harcamasi</t>
  </si>
  <si>
    <t>D. AR-GE INDIRIMI HESAP AKISI - KVK Md. 10/1-a | PROJE BAZINDA</t>
  </si>
  <si>
    <t xml:space="preserve">  KVK 10/1-a: %100 indirim. Devreden indirim YDO ile artirilmaz (410/5746'dan fark). Kazanc limiti KONSOLIDASYON sayfasinda toplu uygulanir.</t>
  </si>
  <si>
    <t>Hesap Akis Kalemi</t>
  </si>
  <si>
    <t>TOPLAM</t>
  </si>
  <si>
    <t>YMM Tasdik Notu</t>
  </si>
  <si>
    <t>D.1</t>
  </si>
  <si>
    <t>(+) Cari Donem Ar-Ge Harcamasi (C bölümü A toplamından)</t>
  </si>
  <si>
    <t>Her projenin H.1-H.6 toplami</t>
  </si>
  <si>
    <t>D.2</t>
  </si>
  <si>
    <t>(x) Temel Indirim Orani (%100)</t>
  </si>
  <si>
    <t>KVK 10/1-a: %100</t>
  </si>
  <si>
    <t>D.3</t>
  </si>
  <si>
    <t>(=) Temel Ar-Ge Indirimi (D.1 x D.2)</t>
  </si>
  <si>
    <t>Her proje harcamasinin %100'u</t>
  </si>
  <si>
    <t>D.4</t>
  </si>
  <si>
    <t>(+) Onceki Donemden Devreden Indirim (YDO artisi YOK - artirimsiz)</t>
  </si>
  <si>
    <t>KRITIK: KVK 10/1-a'da devreden indirim YDO ile artirilmaz. 410 (5746) ile temel fark budur. Onceki yil beyanname bakiyesini dogrudan yazin.</t>
  </si>
  <si>
    <t>D.5</t>
  </si>
  <si>
    <t>(=) PROJE BAZINDA TOPLAM KULLANILABİLİR INDIRIM (D.3 + D.4)</t>
  </si>
  <si>
    <t>KONSOLIDASYON sayfasina aktarilir. Kazanc limiti orada uygulanir.</t>
  </si>
  <si>
    <t>409 - AR-GE INDIRIMI (KVK Md. 10/1-a) | KONSOLIDASYON &amp; BEYANNAME SONUC SAYFASI</t>
  </si>
  <si>
    <t>Tum projelerin D.5 degerleri birlestirilir -&gt; Toplam kullanilabilir -&gt; Kazanc limiti -&gt; Beyanname 409 tutari ve devreden hesaplanir.</t>
  </si>
  <si>
    <t>BOLUM 1 — PROJE BAZINDA KULLANILABILIR INDIRIM (VERİ GİRİŞİ'nden)</t>
  </si>
  <si>
    <t>Kalem</t>
  </si>
  <si>
    <t>YMM Notu</t>
  </si>
  <si>
    <t>K.1</t>
  </si>
  <si>
    <t>D.3 - Temel Ar-Ge Indirimi (Cari Donem %100)</t>
  </si>
  <si>
    <t>Proje harcamasinin %100'u</t>
  </si>
  <si>
    <t>K.2</t>
  </si>
  <si>
    <t>D.4 - Devreden Indirim (Artirimsiz - YDO YOK)</t>
  </si>
  <si>
    <t>KVK 10/1-a: YDO artisi uygulanmaz</t>
  </si>
  <si>
    <t>K.3</t>
  </si>
  <si>
    <t>D.5 - PROJE KULLANILABILIR TOPLAM (K.1+K.2)</t>
  </si>
  <si>
    <t>Proje bazinda kullanilabilir azami tutar</t>
  </si>
  <si>
    <t>BOLUM 2 — DONEM KAZANC LIMITİ VE BU DONEM KULLANILACAK TOPLAM INDIRIM</t>
  </si>
  <si>
    <t xml:space="preserve">  KVK 10/1-a Ar-Ge indirimi 'Kazancin Bulunmasi Halinde Indirilecek' bolumudir. Tum projelerin kullnilabilir indirimi toplanir, donem kazanciyla sinirlandirilir. KRITIK: Devreden indirim YDO ile artirilmaz - bir sonraki yilda artirimsiz devredilir.</t>
  </si>
  <si>
    <t>Tutar (TL)</t>
  </si>
  <si>
    <t>B.1</t>
  </si>
  <si>
    <t>TOPLAM KULLANILABILIR INDIRIM (Tum Projelerin D.5 Toplami)</t>
  </si>
  <si>
    <t>Tum projelerin kumulatif kullanilabilir indirimi</t>
  </si>
  <si>
    <t>B.2</t>
  </si>
  <si>
    <t>Donem Kurum Kazanci (KKEG Sonrasi / Beyanname 409 Oncesi)</t>
  </si>
  <si>
    <t>ONEMLI: Ticari kar degil - KKEG+, gecmis yil zararlari sonrasi, 409 dusulmeden onceki tutari giriniz</t>
  </si>
  <si>
    <t>B.3</t>
  </si>
  <si>
    <t>BU DONEM TOPLAM KULLANILACAK INDIRIM (Min B.1, B.2)</t>
  </si>
  <si>
    <t>KV Beyannamesi Satir 409 - 'Kazancin Bulunmasi Halinde Indirilecek'</t>
  </si>
  <si>
    <t>B.4</t>
  </si>
  <si>
    <t>Sonraki Doneme Devreden TOPLAM (B.1 - B.3) - YDO artisi OLMAYACAK</t>
  </si>
  <si>
    <t>KVK 10/1-a: Bu tutar YDO ile artIRILMAZ - proje bazinda D.4 olarak aktarilir</t>
  </si>
  <si>
    <t>BOLUM 3 — PROJE BAZINDA INDIRIM KULLANIM DAGILIMI (Pro-Rata)</t>
  </si>
  <si>
    <t xml:space="preserve">  Kazanc yeterli ise her proje D.5 tutarini tam kullanir. Kazanc yetersiz ise dagitim pro-rata veya YMM tercihine gore belirlenir. Beyannamede yalnizca B.3 (toplam) gosterilir. H sutunu = sonraki yila devreden (YDO artisi OLMAYACAK - D.4 olarak aktarilir).</t>
  </si>
  <si>
    <t>Proje</t>
  </si>
  <si>
    <t>Kullanilan</t>
  </si>
  <si>
    <t>Sonraki Yil Devreden</t>
  </si>
  <si>
    <t>P1</t>
  </si>
  <si>
    <t>Proje 1 - Kullanilan ve Devreden</t>
  </si>
  <si>
    <t>Devreden = sonraki yil D.4 satirina yazilir. YDO ile artirilmaz - KVK 10/1-a kurali.</t>
  </si>
  <si>
    <t>P2</t>
  </si>
  <si>
    <t>Proje 2 - Kullanilan ve Devreden</t>
  </si>
  <si>
    <t>P3</t>
  </si>
  <si>
    <t>Proje 3 - Kullanilan ve Devreden</t>
  </si>
  <si>
    <t>P4</t>
  </si>
  <si>
    <t>Proje 4 - Kullanilan ve Devreden</t>
  </si>
  <si>
    <t>P5</t>
  </si>
  <si>
    <t>Proje 5 - Kullanilan ve Devreden</t>
  </si>
  <si>
    <t>CTR</t>
  </si>
  <si>
    <t>Dagilim Kontrol: Toplam Kullanilan = B.3 ile Uyumlu</t>
  </si>
  <si>
    <t>H sutunu 0 ise dagilim dogru</t>
  </si>
  <si>
    <t>409 - AR-GE INDIRIMI (KVK Md. 10/1-a) | HESAPLAMALAR VE DENETIM KONTROL PANELI</t>
  </si>
  <si>
    <t>TASDIK OZET - KONSOLIDASYON SAYFASINDAN</t>
  </si>
  <si>
    <t>A0 Tasdik Uygunlugu</t>
  </si>
  <si>
    <t>VERİ GİRİŞİ A0.8 - OK ise hesap kullanilabilir</t>
  </si>
  <si>
    <t>Toplam Kapsam Ici Harcama (TL)</t>
  </si>
  <si>
    <t>Tum projelerin H toplami</t>
  </si>
  <si>
    <t>Toplam Kullanilabilir Indirim (D.5)</t>
  </si>
  <si>
    <t>K.3 - Tum proje D.5 toplami</t>
  </si>
  <si>
    <t>Bu Donem Kullanilacak Indirim</t>
  </si>
  <si>
    <t>B.3 - Beyanname 409</t>
  </si>
  <si>
    <t>Sonraki Doneme Devreden (YDO ARTISI YOK)</t>
  </si>
  <si>
    <t>B.4 - Artirimsiz devreder</t>
  </si>
  <si>
    <t>DENETIM VE TASDIK KONTROL LISTESI (K1-K8) — KVK Md. 10/1-a</t>
  </si>
  <si>
    <t>Kontrol</t>
  </si>
  <si>
    <t>Yasal Dayanak</t>
  </si>
  <si>
    <t>Deg.</t>
  </si>
  <si>
    <t>Sonuc</t>
  </si>
  <si>
    <t>K1. Ar-Ge faaliyeti munhasiran yeni teknoloji/bilgi arayisina yonelik mi? Proje gerekliligi tevsik edildi mi?</t>
  </si>
  <si>
    <t>KVK Md. 10/1-a | 1 No.lu KV GT</t>
  </si>
  <si>
    <t>Mevcut bilgi veya tekniklerle cozulebilir faaliyetler kapsam disidir. Proje tanimi, teknik belgeler ve faaliyet icerigi tasdik dosyasinda bulunmalidir.</t>
  </si>
  <si>
    <t>Uygun / Eksik / Risk</t>
  </si>
  <si>
    <t>K2. Faaliyetler isletme bunyesinde mi? Disaridan alinan hizmetlerin orantisi makul mu?</t>
  </si>
  <si>
    <t>KVK 10/1-a'da faaliyetlerin isletme bunyesinde olmasi esastir. Disaridan alinan hizmetlerin orantisi ve niteligi belgelenmelidir.</t>
  </si>
  <si>
    <t>K3. Ayni harcama icin 5746 (410/454) ile cifte indirim uygulanmiyor mu?</t>
  </si>
  <si>
    <t>KVK Md. 10/1-a | 5746 Kanunu</t>
  </si>
  <si>
    <t>CIFTE INDIRIM YASAGI: Ayni Ar-Ge harcamasi icin hem 409 hem de 410/454 birlikte kullanilamaz. Secilen rejim tutarli sekilde uygulanmalidir.</t>
  </si>
  <si>
    <t>K4. Harcamalar diger faaliyetlerden ayri muhasebeleştirildi mi?</t>
  </si>
  <si>
    <t>1 No.lu KV GT Bolum 10.1</t>
  </si>
  <si>
    <t>Ar-Ge harcamalari, isletmenin diger faaliyetlerine ait harcamalardan ayristirilarak muhasebeleştirilmeli ve proje bazinda izlenmelidir.</t>
  </si>
  <si>
    <t>K5. D.4 Devreden indirim YDO ile artirilmadan kullanildi mi?</t>
  </si>
  <si>
    <t>KRITIK FARK: KVK 10/1-a'da devreden indirim YDO ile artirilmaz. 410 (5746) ile bu fark cok onemlidir. Onceki yil bakiyesi dogrudan kullanilir.</t>
  </si>
  <si>
    <t>K6. Finansman giderleri kapsam disinda tutuldu mu?</t>
  </si>
  <si>
    <t>Faiz ve diger finansman giderleri Ar-Ge harcamasi sayilmaz. H.7 satirinda yer alirlar ve indirim toplamina dahil edilmez.</t>
  </si>
  <si>
    <t>K7. YiAKV (KVK Md. 32/C) matrahina etkisi analiz edildi mi?</t>
  </si>
  <si>
    <t>KVK Md. 32/C</t>
  </si>
  <si>
    <t>409 kodu 'Kazancin Bulunmasi Halinde Indirilecek' bolumdedir. YiAKV matrahina etkisi donem mevzuati cercevesinde ayrica analiz edilmelidir.</t>
  </si>
  <si>
    <t>K8. 49/41 No.lu Teblig tasdik raporu yukumlulugu degerlendirildi mi?</t>
  </si>
  <si>
    <t>49 No.lu Teblig (30.12.2025) | 41 No.lu Teblig</t>
  </si>
  <si>
    <t>Tek satir &gt;=500.000 TL veya toplam &gt;=1.000.000 TL -&gt; YMM tasdik raporu zorunlu. Tam tasdik yaptIranlar ayrica rapor gerektirmez.</t>
  </si>
  <si>
    <t>409 - AR-GE INDIRIMI (KVK Md. 10/1-a) | YMM MESLEKI DEGERLENDIRME VE TASDIK NOTLARI</t>
  </si>
  <si>
    <t>-&gt; 409 KVK 10/1-a | Devreden indirim YDO artisi YOK | 410/5746 ile cifte indirim yasak</t>
  </si>
  <si>
    <t>409 - AR-GE INDIRIMI (KVK Md. 10/1-a) | TASDIK BELGE LISTESI VE DENETIM KANITI ENVANTER</t>
  </si>
  <si>
    <t>409 - AR-GE INDIRIMI (KVK Md. 10/1-a) | MUHASEBE KAYITLARI CALISMA KAGIDI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</si>
</sst>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1A5276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9"/>
      <color rgb="FF1F3864"/>
      <name val="Arial"/>
    </font>
    <font>
      <i/>
      <sz val="8"/>
      <color rgb="FF888888"/>
      <name val="Arial"/>
    </font>
    <font>
      <b/>
      <sz val="14"/>
      <color rgb="FF0000FF"/>
      <name val="Arial"/>
    </font>
    <font>
      <i/>
      <sz val="8"/>
      <color rgb="FF333333"/>
      <name val="Arial"/>
    </font>
    <font>
      <b/>
      <sz val="11"/>
      <color rgb="FFFFFFFF"/>
      <name val="Arial"/>
    </font>
    <font>
      <sz val="9"/>
      <color rgb="FFC0392B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C0392B"/>
      <name val="Arial"/>
    </font>
    <font>
      <b/>
      <sz val="9"/>
      <color rgb="FFC0392B"/>
      <name val="Arial"/>
    </font>
    <font>
      <b/>
      <sz val="10"/>
      <color rgb="FFC0392B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b/>
      <sz val="10"/>
      <color rgb="FF1F3864"/>
      <name val="Arial"/>
    </font>
    <font>
      <sz val="10"/>
      <color rgb="FF1F3864"/>
      <name val="Arial"/>
    </font>
    <font>
      <sz val="10"/>
      <color rgb="FF1B5E20"/>
      <name val="Arial"/>
    </font>
    <font>
      <sz val="10"/>
      <color rgb="FFC0392B"/>
      <name val="Arial"/>
    </font>
    <font>
      <b/>
      <sz val="13"/>
      <color rgb="FFFFFFFF"/>
      <name val="Arial"/>
    </font>
    <font>
      <b/>
      <sz val="9"/>
      <color rgb="FF1B5E20"/>
      <name val="Arial"/>
    </font>
    <font>
      <sz val="11"/>
      <color rgb="FF1B5E20"/>
      <name val="Arial"/>
    </font>
    <font>
      <i/>
      <sz val="8"/>
      <color rgb="FF1B5E20"/>
      <name val="Arial"/>
    </font>
    <font>
      <i/>
      <sz val="8"/>
      <color rgb="FF444444"/>
      <name val="Arial"/>
    </font>
    <font>
      <sz val="8"/>
      <color rgb="FF333333"/>
      <name val="Arial"/>
    </font>
    <font>
      <i/>
      <sz val="10"/>
      <color rgb="FF555555"/>
      <name val="Arial"/>
    </font>
  </fonts>
  <fills count="19">
    <fill>
      <patternFill patternType="none"/>
    </fill>
    <fill>
      <patternFill patternType="gray125"/>
    </fill>
    <fill>
      <patternFill patternType="solid">
        <fgColor rgb="FF117A65"/>
      </patternFill>
    </fill>
    <fill>
      <patternFill patternType="solid">
        <fgColor rgb="FF2E4057"/>
      </patternFill>
    </fill>
    <fill>
      <patternFill patternType="solid">
        <fgColor rgb="FFEBF5FB"/>
      </patternFill>
    </fill>
    <fill>
      <patternFill patternType="solid">
        <fgColor rgb="FFF0F0F0"/>
      </patternFill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2E5FA3"/>
      </patternFill>
    </fill>
    <fill>
      <patternFill patternType="solid">
        <fgColor rgb="FFC6EFCE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2196F3"/>
      </patternFill>
    </fill>
    <fill>
      <patternFill patternType="solid">
        <fgColor rgb="FF42A5F5"/>
      </patternFill>
    </fill>
    <fill>
      <patternFill patternType="solid">
        <fgColor rgb="FF90CAF9"/>
      </patternFill>
    </fill>
    <fill>
      <patternFill patternType="solid">
        <fgColor rgb="FF1B7A4E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5" borderId="2" xfId="0" applyFill="1" applyBorder="1"/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5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8" fillId="8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2" fillId="11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14" fillId="12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7" fillId="7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21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left" vertical="center"/>
    </xf>
    <xf numFmtId="0" fontId="27" fillId="12" borderId="2" xfId="0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left" vertical="top" wrapText="1"/>
    </xf>
    <xf numFmtId="0" fontId="29" fillId="7" borderId="2" xfId="0" applyFont="1" applyFill="1" applyBorder="1" applyAlignment="1">
      <alignment horizontal="left" vertical="top" wrapText="1"/>
    </xf>
    <xf numFmtId="0" fontId="28" fillId="6" borderId="2" xfId="0" applyFont="1" applyFill="1" applyBorder="1" applyAlignment="1">
      <alignment horizontal="left" vertical="top" wrapText="1"/>
    </xf>
    <xf numFmtId="0" fontId="29" fillId="6" borderId="2" xfId="0" applyFont="1" applyFill="1" applyBorder="1" applyAlignment="1">
      <alignment horizontal="left" vertical="top" wrapText="1"/>
    </xf>
    <xf numFmtId="0" fontId="30" fillId="0" borderId="0" xfId="0" applyFont="1"/>
    <xf numFmtId="0" fontId="0" fillId="8" borderId="2" xfId="0" applyFill="1" applyBorder="1"/>
    <xf numFmtId="0" fontId="5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13" fillId="7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6" fillId="6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3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11" fillId="10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7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3" fillId="6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7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5" fillId="12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5" fillId="10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1" fillId="10" borderId="2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0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19" fillId="12" borderId="2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left" vertical="center" wrapText="1"/>
    </xf>
    <xf numFmtId="0" fontId="26" fillId="8" borderId="2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26" fillId="10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i/>
        <sz val="9"/>
        <color rgb="FF999999"/>
        <name val="Arial"/>
      </font>
      <fill>
        <patternFill patternType="solid">
          <fgColor rgb="FFE0E0E0"/>
          <bgColor rgb="FFE0E0E0"/>
        </patternFill>
      </fill>
    </dxf>
    <dxf>
      <font>
        <i/>
        <sz val="9"/>
        <color rgb="FF999999"/>
        <name val="Arial"/>
      </font>
      <fill>
        <patternFill patternType="solid">
          <fgColor rgb="FFE0E0E0"/>
          <bgColor rgb="FFE0E0E0"/>
        </patternFill>
      </fill>
    </dxf>
    <dxf>
      <font>
        <i/>
        <sz val="9"/>
        <color rgb="FF999999"/>
        <name val="Arial"/>
      </font>
      <fill>
        <patternFill patternType="solid">
          <fgColor rgb="FFE0E0E0"/>
          <bgColor rgb="FFE0E0E0"/>
        </patternFill>
      </fill>
    </dxf>
    <dxf>
      <font>
        <i/>
        <sz val="9"/>
        <color rgb="FF999999"/>
        <name val="Arial"/>
      </font>
      <fill>
        <patternFill patternType="solid">
          <fgColor rgb="FFE0E0E0"/>
          <bgColor rgb="FFE0E0E0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AE8F87-7126-47E4-B9B1-F05CDED5709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d2331a-d42c-4646-b4dc-de2120a890b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A11" sqref="A11:I11"/>
    </sheetView>
  </sheetViews>
  <sheetFormatPr defaultRowHeight="14.4" x14ac:dyDescent="0.55000000000000004"/>
  <cols>
    <col min="1" max="1" width="4" customWidth="1"/>
    <col min="2" max="2" width="38" customWidth="1"/>
    <col min="3" max="7" width="16" customWidth="1"/>
    <col min="8" max="8" width="20" customWidth="1"/>
    <col min="9" max="9" width="26" customWidth="1"/>
  </cols>
  <sheetData>
    <row r="1" spans="1:9" ht="44.05" customHeight="1" x14ac:dyDescent="0.55000000000000004">
      <c r="A1" s="94" t="s">
        <v>0</v>
      </c>
      <c r="B1" s="68"/>
      <c r="C1" s="68"/>
      <c r="D1" s="68"/>
      <c r="E1" s="68"/>
      <c r="F1" s="68"/>
      <c r="G1" s="68"/>
      <c r="H1" s="68"/>
      <c r="I1" s="68"/>
    </row>
    <row r="2" spans="1:9" ht="20.05" customHeight="1" x14ac:dyDescent="0.55000000000000004">
      <c r="A2" s="77" t="s">
        <v>1</v>
      </c>
      <c r="B2" s="78"/>
      <c r="C2" s="78"/>
      <c r="D2" s="78"/>
      <c r="E2" s="78"/>
      <c r="F2" s="78"/>
      <c r="G2" s="78"/>
      <c r="H2" s="78"/>
      <c r="I2" s="78"/>
    </row>
    <row r="3" spans="1:9" ht="32.049999999999997" customHeight="1" x14ac:dyDescent="0.55000000000000004">
      <c r="A3" s="70" t="s">
        <v>2</v>
      </c>
      <c r="B3" s="71"/>
      <c r="C3" s="71"/>
      <c r="D3" s="71"/>
      <c r="E3" s="71"/>
      <c r="F3" s="71"/>
      <c r="G3" s="71"/>
      <c r="H3" s="71"/>
      <c r="I3" s="71"/>
    </row>
    <row r="4" spans="1:9" ht="5.05" customHeight="1" x14ac:dyDescent="0.55000000000000004">
      <c r="A4" s="1"/>
      <c r="B4" s="1"/>
      <c r="C4" s="1"/>
      <c r="D4" s="1"/>
      <c r="E4" s="1"/>
      <c r="F4" s="1"/>
      <c r="G4" s="1"/>
      <c r="H4" s="1"/>
      <c r="I4" s="1"/>
    </row>
    <row r="5" spans="1:9" ht="20.05" customHeight="1" x14ac:dyDescent="0.55000000000000004">
      <c r="A5" s="81" t="s">
        <v>3</v>
      </c>
      <c r="B5" s="82"/>
      <c r="C5" s="82"/>
      <c r="D5" s="82"/>
      <c r="E5" s="82"/>
      <c r="F5" s="82"/>
      <c r="G5" s="82"/>
      <c r="H5" s="82"/>
      <c r="I5" s="82"/>
    </row>
    <row r="6" spans="1:9" ht="20.05" customHeight="1" x14ac:dyDescent="0.55000000000000004">
      <c r="A6" s="75" t="s">
        <v>4</v>
      </c>
      <c r="B6" s="63"/>
      <c r="C6" s="66" t="s">
        <v>5</v>
      </c>
      <c r="D6" s="63"/>
      <c r="E6" s="63"/>
      <c r="F6" s="63"/>
      <c r="G6" s="63"/>
      <c r="H6" s="79" t="s">
        <v>6</v>
      </c>
      <c r="I6" s="63"/>
    </row>
    <row r="7" spans="1:9" ht="20.05" customHeight="1" x14ac:dyDescent="0.55000000000000004">
      <c r="A7" s="80" t="s">
        <v>7</v>
      </c>
      <c r="B7" s="65"/>
      <c r="C7" s="92" t="s">
        <v>8</v>
      </c>
      <c r="D7" s="65"/>
      <c r="E7" s="65"/>
      <c r="F7" s="65"/>
      <c r="G7" s="65"/>
      <c r="H7" s="87" t="s">
        <v>9</v>
      </c>
      <c r="I7" s="65"/>
    </row>
    <row r="8" spans="1:9" ht="20.05" customHeight="1" x14ac:dyDescent="0.55000000000000004">
      <c r="A8" s="75" t="s">
        <v>10</v>
      </c>
      <c r="B8" s="63"/>
      <c r="C8" s="6">
        <v>1</v>
      </c>
      <c r="D8" s="69" t="s">
        <v>11</v>
      </c>
      <c r="E8" s="63"/>
      <c r="F8" s="63"/>
      <c r="G8" s="63"/>
      <c r="H8" s="79" t="s">
        <v>12</v>
      </c>
      <c r="I8" s="63"/>
    </row>
    <row r="9" spans="1:9" ht="5.05" customHeight="1" x14ac:dyDescent="0.55000000000000004">
      <c r="A9" s="1"/>
      <c r="B9" s="1"/>
      <c r="C9" s="1"/>
      <c r="D9" s="1"/>
      <c r="E9" s="1"/>
      <c r="F9" s="1"/>
      <c r="G9" s="1"/>
      <c r="H9" s="1"/>
      <c r="I9" s="1"/>
    </row>
    <row r="10" spans="1:9" ht="28" customHeight="1" x14ac:dyDescent="0.55000000000000004">
      <c r="A10" s="85" t="s">
        <v>13</v>
      </c>
      <c r="B10" s="86"/>
      <c r="C10" s="86"/>
      <c r="D10" s="86"/>
      <c r="E10" s="86"/>
      <c r="F10" s="86"/>
      <c r="G10" s="86"/>
      <c r="H10" s="86"/>
      <c r="I10" s="86"/>
    </row>
    <row r="11" spans="1:9" ht="52" customHeight="1" x14ac:dyDescent="0.55000000000000004">
      <c r="A11" s="74" t="s">
        <v>14</v>
      </c>
      <c r="B11" s="73"/>
      <c r="C11" s="73"/>
      <c r="D11" s="73"/>
      <c r="E11" s="73"/>
      <c r="F11" s="73"/>
      <c r="G11" s="73"/>
      <c r="H11" s="73"/>
      <c r="I11" s="73"/>
    </row>
    <row r="12" spans="1:9" ht="18" customHeight="1" x14ac:dyDescent="0.55000000000000004">
      <c r="A12" s="9" t="s">
        <v>15</v>
      </c>
      <c r="B12" s="9"/>
      <c r="C12" s="9" t="s">
        <v>16</v>
      </c>
      <c r="D12" s="9" t="s">
        <v>17</v>
      </c>
      <c r="E12" s="9"/>
      <c r="F12" s="9"/>
      <c r="G12" s="9"/>
      <c r="H12" s="9"/>
      <c r="I12" s="9"/>
    </row>
    <row r="13" spans="1:9" ht="28" customHeight="1" x14ac:dyDescent="0.55000000000000004">
      <c r="A13" s="88" t="s">
        <v>18</v>
      </c>
      <c r="B13" s="65"/>
      <c r="C13" s="10" t="s">
        <v>19</v>
      </c>
      <c r="D13" s="64" t="s">
        <v>20</v>
      </c>
      <c r="E13" s="65"/>
      <c r="F13" s="65"/>
      <c r="G13" s="65"/>
      <c r="H13" s="65"/>
      <c r="I13" s="65"/>
    </row>
    <row r="14" spans="1:9" ht="28" customHeight="1" x14ac:dyDescent="0.55000000000000004">
      <c r="A14" s="76" t="s">
        <v>21</v>
      </c>
      <c r="B14" s="73"/>
      <c r="C14" s="10" t="s">
        <v>19</v>
      </c>
      <c r="D14" s="72" t="s">
        <v>22</v>
      </c>
      <c r="E14" s="73"/>
      <c r="F14" s="73"/>
      <c r="G14" s="73"/>
      <c r="H14" s="73"/>
      <c r="I14" s="73"/>
    </row>
    <row r="15" spans="1:9" ht="28" customHeight="1" x14ac:dyDescent="0.55000000000000004">
      <c r="A15" s="62" t="s">
        <v>23</v>
      </c>
      <c r="B15" s="63"/>
      <c r="C15" s="10" t="s">
        <v>19</v>
      </c>
      <c r="D15" s="83" t="s">
        <v>24</v>
      </c>
      <c r="E15" s="63"/>
      <c r="F15" s="63"/>
      <c r="G15" s="63"/>
      <c r="H15" s="63"/>
      <c r="I15" s="63"/>
    </row>
    <row r="16" spans="1:9" ht="28" customHeight="1" x14ac:dyDescent="0.55000000000000004">
      <c r="A16" s="76" t="s">
        <v>25</v>
      </c>
      <c r="B16" s="73"/>
      <c r="C16" s="10" t="s">
        <v>26</v>
      </c>
      <c r="D16" s="72" t="s">
        <v>27</v>
      </c>
      <c r="E16" s="73"/>
      <c r="F16" s="73"/>
      <c r="G16" s="73"/>
      <c r="H16" s="73"/>
      <c r="I16" s="73"/>
    </row>
    <row r="17" spans="1:9" ht="28" customHeight="1" x14ac:dyDescent="0.55000000000000004">
      <c r="A17" s="88" t="s">
        <v>28</v>
      </c>
      <c r="B17" s="65"/>
      <c r="C17" s="10" t="s">
        <v>26</v>
      </c>
      <c r="D17" s="64" t="s">
        <v>29</v>
      </c>
      <c r="E17" s="65"/>
      <c r="F17" s="65"/>
      <c r="G17" s="65"/>
      <c r="H17" s="65"/>
      <c r="I17" s="65"/>
    </row>
    <row r="18" spans="1:9" ht="28" customHeight="1" x14ac:dyDescent="0.55000000000000004">
      <c r="A18" s="62" t="s">
        <v>30</v>
      </c>
      <c r="B18" s="63"/>
      <c r="C18" s="10" t="s">
        <v>19</v>
      </c>
      <c r="D18" s="83" t="s">
        <v>31</v>
      </c>
      <c r="E18" s="63"/>
      <c r="F18" s="63"/>
      <c r="G18" s="63"/>
      <c r="H18" s="63"/>
      <c r="I18" s="63"/>
    </row>
    <row r="19" spans="1:9" ht="28" customHeight="1" x14ac:dyDescent="0.55000000000000004">
      <c r="A19" s="88" t="s">
        <v>32</v>
      </c>
      <c r="B19" s="65"/>
      <c r="C19" s="10" t="s">
        <v>19</v>
      </c>
      <c r="D19" s="64" t="s">
        <v>33</v>
      </c>
      <c r="E19" s="65"/>
      <c r="F19" s="65"/>
      <c r="G19" s="65"/>
      <c r="H19" s="65"/>
      <c r="I19" s="65"/>
    </row>
    <row r="20" spans="1:9" ht="24" customHeight="1" x14ac:dyDescent="0.55000000000000004">
      <c r="A20" s="91" t="s">
        <v>34</v>
      </c>
      <c r="B20" s="90"/>
      <c r="C20" s="14" t="str">
        <f>IF(AND(C13="EVET",C14="EVET",C15="EVET",C16="HAYIR",C18="EVET",C19="EVET"),"OK - Hesaplanabilir","HATA - On kosul eksik")</f>
        <v>OK - Hesaplanabilir</v>
      </c>
      <c r="D20" s="89" t="s">
        <v>35</v>
      </c>
      <c r="E20" s="90"/>
      <c r="F20" s="90"/>
      <c r="G20" s="90"/>
      <c r="H20" s="90"/>
      <c r="I20" s="90"/>
    </row>
    <row r="21" spans="1:9" ht="20.05" customHeight="1" x14ac:dyDescent="0.55000000000000004">
      <c r="A21" s="84" t="s">
        <v>36</v>
      </c>
      <c r="B21" s="73"/>
      <c r="C21" s="15" t="str">
        <f>IF(C20="HATA - On kosul eksik","BU MODUL KULLANILAMAZ - A0 kontrolunu tamamlayin","")</f>
        <v/>
      </c>
      <c r="D21" s="95" t="s">
        <v>37</v>
      </c>
      <c r="E21" s="73"/>
      <c r="F21" s="73"/>
      <c r="G21" s="73"/>
      <c r="H21" s="73"/>
      <c r="I21" s="73"/>
    </row>
    <row r="22" spans="1:9" ht="5.05" customHeight="1" x14ac:dyDescent="0.55000000000000004">
      <c r="A22" s="1"/>
      <c r="B22" s="1"/>
      <c r="C22" s="1"/>
      <c r="D22" s="1"/>
      <c r="E22" s="1"/>
      <c r="F22" s="1"/>
      <c r="G22" s="1"/>
      <c r="H22" s="1"/>
      <c r="I22" s="1"/>
    </row>
    <row r="23" spans="1:9" ht="22" customHeight="1" x14ac:dyDescent="0.55000000000000004">
      <c r="A23" s="67" t="s">
        <v>38</v>
      </c>
      <c r="B23" s="68"/>
      <c r="C23" s="68"/>
      <c r="D23" s="68"/>
      <c r="E23" s="68"/>
      <c r="F23" s="68"/>
      <c r="G23" s="68"/>
      <c r="H23" s="68"/>
      <c r="I23" s="68"/>
    </row>
    <row r="24" spans="1:9" ht="18" customHeight="1" x14ac:dyDescent="0.55000000000000004">
      <c r="A24" s="9" t="s">
        <v>39</v>
      </c>
      <c r="B24" s="9"/>
      <c r="C24" s="9" t="s">
        <v>40</v>
      </c>
      <c r="D24" s="9"/>
      <c r="E24" s="9"/>
      <c r="F24" s="9"/>
      <c r="G24" s="9"/>
      <c r="H24" s="9"/>
      <c r="I24" s="9" t="s">
        <v>41</v>
      </c>
    </row>
    <row r="25" spans="1:9" ht="20.05" customHeight="1" x14ac:dyDescent="0.55000000000000004">
      <c r="A25" s="80" t="s">
        <v>42</v>
      </c>
      <c r="B25" s="65"/>
      <c r="C25" s="61"/>
      <c r="D25" s="61"/>
      <c r="E25" s="61"/>
      <c r="F25" s="61"/>
      <c r="G25" s="61"/>
      <c r="H25" s="61"/>
      <c r="I25" s="18" t="s">
        <v>43</v>
      </c>
    </row>
    <row r="26" spans="1:9" ht="20.05" customHeight="1" x14ac:dyDescent="0.55000000000000004">
      <c r="A26" s="75" t="s">
        <v>44</v>
      </c>
      <c r="B26" s="63"/>
      <c r="C26" s="61"/>
      <c r="D26" s="61"/>
      <c r="E26" s="61"/>
      <c r="F26" s="61"/>
      <c r="G26" s="61"/>
      <c r="H26" s="61"/>
      <c r="I26" s="19" t="s">
        <v>45</v>
      </c>
    </row>
    <row r="27" spans="1:9" ht="20.05" customHeight="1" x14ac:dyDescent="0.55000000000000004">
      <c r="A27" s="80" t="s">
        <v>46</v>
      </c>
      <c r="B27" s="65"/>
      <c r="C27" s="61"/>
      <c r="D27" s="61"/>
      <c r="E27" s="61"/>
      <c r="F27" s="61"/>
      <c r="G27" s="61"/>
      <c r="H27" s="61"/>
      <c r="I27" s="18" t="s">
        <v>47</v>
      </c>
    </row>
    <row r="28" spans="1:9" ht="20.05" customHeight="1" x14ac:dyDescent="0.55000000000000004">
      <c r="A28" s="75" t="s">
        <v>48</v>
      </c>
      <c r="B28" s="63"/>
      <c r="C28" s="61"/>
      <c r="D28" s="61"/>
      <c r="E28" s="61"/>
      <c r="F28" s="61"/>
      <c r="G28" s="61"/>
      <c r="H28" s="61"/>
      <c r="I28" s="19" t="s">
        <v>49</v>
      </c>
    </row>
    <row r="29" spans="1:9" ht="20.05" customHeight="1" x14ac:dyDescent="0.55000000000000004">
      <c r="A29" s="80" t="s">
        <v>50</v>
      </c>
      <c r="B29" s="65"/>
      <c r="C29" s="61"/>
      <c r="D29" s="61"/>
      <c r="E29" s="61"/>
      <c r="F29" s="61"/>
      <c r="G29" s="61"/>
      <c r="H29" s="61"/>
      <c r="I29" s="18" t="s">
        <v>51</v>
      </c>
    </row>
    <row r="30" spans="1:9" ht="5.05" customHeight="1" x14ac:dyDescent="0.55000000000000004">
      <c r="A30" s="1"/>
      <c r="B30" s="1"/>
      <c r="C30" s="1"/>
      <c r="D30" s="1"/>
      <c r="E30" s="1"/>
      <c r="F30" s="1"/>
      <c r="G30" s="1"/>
      <c r="H30" s="1"/>
      <c r="I30" s="1"/>
    </row>
    <row r="31" spans="1:9" ht="22" customHeight="1" x14ac:dyDescent="0.55000000000000004">
      <c r="A31" s="67" t="s">
        <v>52</v>
      </c>
      <c r="B31" s="68"/>
      <c r="C31" s="68"/>
      <c r="D31" s="68"/>
      <c r="E31" s="68"/>
      <c r="F31" s="68"/>
      <c r="G31" s="68"/>
      <c r="H31" s="68"/>
      <c r="I31" s="68"/>
    </row>
    <row r="32" spans="1:9" ht="20.05" customHeight="1" x14ac:dyDescent="0.55000000000000004">
      <c r="A32" s="9"/>
      <c r="B32" s="9" t="s">
        <v>53</v>
      </c>
      <c r="C32" s="20" t="s">
        <v>54</v>
      </c>
      <c r="D32" s="21" t="s">
        <v>55</v>
      </c>
      <c r="E32" s="22" t="s">
        <v>56</v>
      </c>
      <c r="F32" s="23" t="s">
        <v>57</v>
      </c>
      <c r="G32" s="24" t="s">
        <v>58</v>
      </c>
      <c r="H32" s="25" t="s">
        <v>59</v>
      </c>
      <c r="I32" s="9" t="s">
        <v>60</v>
      </c>
    </row>
    <row r="33" spans="1:9" ht="22" customHeight="1" x14ac:dyDescent="0.55000000000000004">
      <c r="A33" s="26" t="s">
        <v>61</v>
      </c>
      <c r="B33" s="4" t="s">
        <v>62</v>
      </c>
      <c r="C33" s="17"/>
      <c r="D33" s="17"/>
      <c r="E33" s="17"/>
      <c r="F33" s="17"/>
      <c r="G33" s="17"/>
      <c r="H33" s="5"/>
      <c r="I33" s="18" t="s">
        <v>63</v>
      </c>
    </row>
    <row r="34" spans="1:9" ht="22" customHeight="1" x14ac:dyDescent="0.55000000000000004">
      <c r="A34" s="27" t="s">
        <v>64</v>
      </c>
      <c r="B34" s="2" t="s">
        <v>65</v>
      </c>
      <c r="C34" s="17"/>
      <c r="D34" s="17"/>
      <c r="E34" s="17"/>
      <c r="F34" s="17"/>
      <c r="G34" s="17"/>
      <c r="H34" s="3"/>
      <c r="I34" s="19" t="s">
        <v>66</v>
      </c>
    </row>
    <row r="35" spans="1:9" ht="22" customHeight="1" x14ac:dyDescent="0.55000000000000004">
      <c r="A35" s="26" t="s">
        <v>67</v>
      </c>
      <c r="B35" s="4" t="s">
        <v>68</v>
      </c>
      <c r="C35" s="17"/>
      <c r="D35" s="17"/>
      <c r="E35" s="17"/>
      <c r="F35" s="17"/>
      <c r="G35" s="17"/>
      <c r="H35" s="5"/>
      <c r="I35" s="18" t="s">
        <v>69</v>
      </c>
    </row>
    <row r="36" spans="1:9" ht="5.05" customHeight="1" x14ac:dyDescent="0.55000000000000004">
      <c r="A36" s="1"/>
      <c r="B36" s="1"/>
      <c r="C36" s="1"/>
      <c r="D36" s="1"/>
      <c r="E36" s="1"/>
      <c r="F36" s="1"/>
      <c r="G36" s="1"/>
      <c r="H36" s="1"/>
      <c r="I36" s="1"/>
    </row>
    <row r="37" spans="1:9" ht="28" customHeight="1" x14ac:dyDescent="0.55000000000000004">
      <c r="A37" s="67" t="s">
        <v>70</v>
      </c>
      <c r="B37" s="68"/>
      <c r="C37" s="68"/>
      <c r="D37" s="68"/>
      <c r="E37" s="68"/>
      <c r="F37" s="68"/>
      <c r="G37" s="68"/>
      <c r="H37" s="68"/>
      <c r="I37" s="68"/>
    </row>
    <row r="38" spans="1:9" ht="44.05" customHeight="1" x14ac:dyDescent="0.55000000000000004">
      <c r="A38" s="70" t="s">
        <v>71</v>
      </c>
      <c r="B38" s="71"/>
      <c r="C38" s="71"/>
      <c r="D38" s="71"/>
      <c r="E38" s="71"/>
      <c r="F38" s="71"/>
      <c r="G38" s="71"/>
      <c r="H38" s="71"/>
      <c r="I38" s="71"/>
    </row>
    <row r="39" spans="1:9" ht="18" customHeight="1" x14ac:dyDescent="0.55000000000000004">
      <c r="A39" s="9" t="s">
        <v>72</v>
      </c>
      <c r="B39" s="9" t="s">
        <v>73</v>
      </c>
      <c r="C39" s="20" t="s">
        <v>74</v>
      </c>
      <c r="D39" s="21" t="s">
        <v>75</v>
      </c>
      <c r="E39" s="22" t="s">
        <v>76</v>
      </c>
      <c r="F39" s="23" t="s">
        <v>77</v>
      </c>
      <c r="G39" s="24" t="s">
        <v>78</v>
      </c>
      <c r="H39" s="25" t="s">
        <v>79</v>
      </c>
      <c r="I39" s="9" t="s">
        <v>80</v>
      </c>
    </row>
    <row r="40" spans="1:9" ht="30" customHeight="1" x14ac:dyDescent="0.55000000000000004">
      <c r="A40" s="28" t="s">
        <v>81</v>
      </c>
      <c r="B40" s="29" t="s">
        <v>82</v>
      </c>
      <c r="C40" s="17"/>
      <c r="D40" s="17"/>
      <c r="E40" s="17"/>
      <c r="F40" s="17"/>
      <c r="G40" s="17"/>
      <c r="H40" s="14">
        <f t="shared" ref="H40:H45" si="0">SUM(C40:G40)</f>
        <v>0</v>
      </c>
      <c r="I40" s="30" t="s">
        <v>83</v>
      </c>
    </row>
    <row r="41" spans="1:9" ht="30" customHeight="1" x14ac:dyDescent="0.55000000000000004">
      <c r="A41" s="28" t="s">
        <v>84</v>
      </c>
      <c r="B41" s="29" t="s">
        <v>85</v>
      </c>
      <c r="C41" s="17"/>
      <c r="D41" s="17"/>
      <c r="E41" s="17"/>
      <c r="F41" s="17"/>
      <c r="G41" s="17"/>
      <c r="H41" s="14">
        <f t="shared" si="0"/>
        <v>0</v>
      </c>
      <c r="I41" s="30" t="s">
        <v>86</v>
      </c>
    </row>
    <row r="42" spans="1:9" ht="30" customHeight="1" x14ac:dyDescent="0.55000000000000004">
      <c r="A42" s="28" t="s">
        <v>87</v>
      </c>
      <c r="B42" s="29" t="s">
        <v>88</v>
      </c>
      <c r="C42" s="17"/>
      <c r="D42" s="17"/>
      <c r="E42" s="17"/>
      <c r="F42" s="17"/>
      <c r="G42" s="17"/>
      <c r="H42" s="14">
        <f t="shared" si="0"/>
        <v>0</v>
      </c>
      <c r="I42" s="30" t="s">
        <v>89</v>
      </c>
    </row>
    <row r="43" spans="1:9" ht="30" customHeight="1" x14ac:dyDescent="0.55000000000000004">
      <c r="A43" s="28" t="s">
        <v>90</v>
      </c>
      <c r="B43" s="29" t="s">
        <v>91</v>
      </c>
      <c r="C43" s="17"/>
      <c r="D43" s="17"/>
      <c r="E43" s="17"/>
      <c r="F43" s="17"/>
      <c r="G43" s="17"/>
      <c r="H43" s="14">
        <f t="shared" si="0"/>
        <v>0</v>
      </c>
      <c r="I43" s="30" t="s">
        <v>92</v>
      </c>
    </row>
    <row r="44" spans="1:9" ht="30" customHeight="1" x14ac:dyDescent="0.55000000000000004">
      <c r="A44" s="28" t="s">
        <v>93</v>
      </c>
      <c r="B44" s="29" t="s">
        <v>94</v>
      </c>
      <c r="C44" s="17"/>
      <c r="D44" s="17"/>
      <c r="E44" s="17"/>
      <c r="F44" s="17"/>
      <c r="G44" s="17"/>
      <c r="H44" s="14">
        <f t="shared" si="0"/>
        <v>0</v>
      </c>
      <c r="I44" s="30" t="s">
        <v>95</v>
      </c>
    </row>
    <row r="45" spans="1:9" ht="30" customHeight="1" x14ac:dyDescent="0.55000000000000004">
      <c r="A45" s="28" t="s">
        <v>96</v>
      </c>
      <c r="B45" s="29" t="s">
        <v>97</v>
      </c>
      <c r="C45" s="17"/>
      <c r="D45" s="17"/>
      <c r="E45" s="17"/>
      <c r="F45" s="17"/>
      <c r="G45" s="17"/>
      <c r="H45" s="14">
        <f t="shared" si="0"/>
        <v>0</v>
      </c>
      <c r="I45" s="30" t="s">
        <v>98</v>
      </c>
    </row>
    <row r="46" spans="1:9" ht="30" customHeight="1" x14ac:dyDescent="0.55000000000000004">
      <c r="A46" s="31" t="s">
        <v>99</v>
      </c>
      <c r="B46" s="7" t="s">
        <v>100</v>
      </c>
      <c r="C46" s="17"/>
      <c r="D46" s="17"/>
      <c r="E46" s="17"/>
      <c r="F46" s="17"/>
      <c r="G46" s="17"/>
      <c r="H46" s="8"/>
      <c r="I46" s="16" t="s">
        <v>101</v>
      </c>
    </row>
    <row r="47" spans="1:9" ht="26.05" customHeight="1" x14ac:dyDescent="0.55000000000000004">
      <c r="A47" s="32" t="s">
        <v>102</v>
      </c>
      <c r="B47" s="33" t="s">
        <v>103</v>
      </c>
      <c r="C47" s="34">
        <f>SUM(C40:C45)</f>
        <v>0</v>
      </c>
      <c r="D47" s="34">
        <f>SUM(D40:D45)</f>
        <v>0</v>
      </c>
      <c r="E47" s="34">
        <f>SUM(E40:E45)</f>
        <v>0</v>
      </c>
      <c r="F47" s="34">
        <f>SUM(F40:F45)</f>
        <v>0</v>
      </c>
      <c r="G47" s="34">
        <f>SUM(G40:G45)</f>
        <v>0</v>
      </c>
      <c r="H47" s="35">
        <f>SUM(C47:G47)</f>
        <v>0</v>
      </c>
      <c r="I47" s="30" t="s">
        <v>104</v>
      </c>
    </row>
    <row r="48" spans="1:9" ht="5.05" customHeight="1" x14ac:dyDescent="0.55000000000000004">
      <c r="A48" s="1"/>
      <c r="B48" s="1"/>
      <c r="C48" s="1"/>
      <c r="D48" s="1"/>
      <c r="E48" s="1"/>
      <c r="F48" s="1"/>
      <c r="G48" s="1"/>
      <c r="H48" s="1"/>
      <c r="I48" s="1"/>
    </row>
    <row r="49" spans="1:9" ht="30" customHeight="1" x14ac:dyDescent="0.55000000000000004">
      <c r="A49" s="93" t="s">
        <v>105</v>
      </c>
      <c r="B49" s="68"/>
      <c r="C49" s="68"/>
      <c r="D49" s="68"/>
      <c r="E49" s="68"/>
      <c r="F49" s="68"/>
      <c r="G49" s="68"/>
      <c r="H49" s="68"/>
      <c r="I49" s="68"/>
    </row>
    <row r="50" spans="1:9" ht="36" customHeight="1" x14ac:dyDescent="0.55000000000000004">
      <c r="A50" s="74" t="s">
        <v>106</v>
      </c>
      <c r="B50" s="73"/>
      <c r="C50" s="73"/>
      <c r="D50" s="73"/>
      <c r="E50" s="73"/>
      <c r="F50" s="73"/>
      <c r="G50" s="73"/>
      <c r="H50" s="73"/>
      <c r="I50" s="73"/>
    </row>
    <row r="51" spans="1:9" ht="18" customHeight="1" x14ac:dyDescent="0.55000000000000004">
      <c r="A51" s="9" t="s">
        <v>72</v>
      </c>
      <c r="B51" s="9" t="s">
        <v>107</v>
      </c>
      <c r="C51" s="20" t="s">
        <v>54</v>
      </c>
      <c r="D51" s="21" t="s">
        <v>55</v>
      </c>
      <c r="E51" s="22" t="s">
        <v>56</v>
      </c>
      <c r="F51" s="23" t="s">
        <v>57</v>
      </c>
      <c r="G51" s="24" t="s">
        <v>58</v>
      </c>
      <c r="H51" s="25" t="s">
        <v>108</v>
      </c>
      <c r="I51" s="9" t="s">
        <v>109</v>
      </c>
    </row>
    <row r="52" spans="1:9" ht="28" customHeight="1" x14ac:dyDescent="0.55000000000000004">
      <c r="A52" s="36" t="s">
        <v>110</v>
      </c>
      <c r="B52" s="37" t="s">
        <v>111</v>
      </c>
      <c r="C52" s="14">
        <f t="shared" ref="C52:H52" si="1">C47</f>
        <v>0</v>
      </c>
      <c r="D52" s="14">
        <f t="shared" si="1"/>
        <v>0</v>
      </c>
      <c r="E52" s="14">
        <f t="shared" si="1"/>
        <v>0</v>
      </c>
      <c r="F52" s="14">
        <f t="shared" si="1"/>
        <v>0</v>
      </c>
      <c r="G52" s="14">
        <f t="shared" si="1"/>
        <v>0</v>
      </c>
      <c r="H52" s="38">
        <f t="shared" si="1"/>
        <v>0</v>
      </c>
      <c r="I52" s="30" t="s">
        <v>112</v>
      </c>
    </row>
    <row r="53" spans="1:9" ht="28" customHeight="1" x14ac:dyDescent="0.55000000000000004">
      <c r="A53" s="39" t="s">
        <v>113</v>
      </c>
      <c r="B53" s="40" t="s">
        <v>114</v>
      </c>
      <c r="C53" s="41">
        <v>1</v>
      </c>
      <c r="D53" s="41">
        <v>1</v>
      </c>
      <c r="E53" s="41">
        <v>1</v>
      </c>
      <c r="F53" s="41">
        <v>1</v>
      </c>
      <c r="G53" s="41">
        <v>1</v>
      </c>
      <c r="H53" s="38">
        <f>SUM(C53:G53)</f>
        <v>5</v>
      </c>
      <c r="I53" s="12" t="s">
        <v>115</v>
      </c>
    </row>
    <row r="54" spans="1:9" ht="28" customHeight="1" x14ac:dyDescent="0.55000000000000004">
      <c r="A54" s="36" t="s">
        <v>116</v>
      </c>
      <c r="B54" s="37" t="s">
        <v>117</v>
      </c>
      <c r="C54" s="14">
        <f>C52*C53</f>
        <v>0</v>
      </c>
      <c r="D54" s="14">
        <f>D52*D53</f>
        <v>0</v>
      </c>
      <c r="E54" s="14">
        <f>E52*E53</f>
        <v>0</v>
      </c>
      <c r="F54" s="14">
        <f>F52*F53</f>
        <v>0</v>
      </c>
      <c r="G54" s="14">
        <f>G52*G53</f>
        <v>0</v>
      </c>
      <c r="H54" s="38">
        <f>SUM(C54:G54)</f>
        <v>0</v>
      </c>
      <c r="I54" s="30" t="s">
        <v>118</v>
      </c>
    </row>
    <row r="55" spans="1:9" ht="28" customHeight="1" x14ac:dyDescent="0.55000000000000004">
      <c r="A55" s="42" t="s">
        <v>119</v>
      </c>
      <c r="B55" s="43" t="s">
        <v>120</v>
      </c>
      <c r="C55" s="44"/>
      <c r="D55" s="44"/>
      <c r="E55" s="44"/>
      <c r="F55" s="44"/>
      <c r="G55" s="44"/>
      <c r="H55" s="38">
        <f>SUM(C55:G55)</f>
        <v>0</v>
      </c>
      <c r="I55" s="16" t="s">
        <v>121</v>
      </c>
    </row>
    <row r="56" spans="1:9" ht="28" customHeight="1" x14ac:dyDescent="0.55000000000000004">
      <c r="A56" s="32" t="s">
        <v>122</v>
      </c>
      <c r="B56" s="45" t="s">
        <v>123</v>
      </c>
      <c r="C56" s="14">
        <f>C54+C55</f>
        <v>0</v>
      </c>
      <c r="D56" s="14">
        <f>D54+D55</f>
        <v>0</v>
      </c>
      <c r="E56" s="14">
        <f>E54+E55</f>
        <v>0</v>
      </c>
      <c r="F56" s="14">
        <f>F54+F55</f>
        <v>0</v>
      </c>
      <c r="G56" s="14">
        <f>G54+G55</f>
        <v>0</v>
      </c>
      <c r="H56" s="34">
        <f>SUM(C56:G56)</f>
        <v>0</v>
      </c>
      <c r="I56" s="30" t="s">
        <v>124</v>
      </c>
    </row>
    <row r="57" spans="1:9" ht="5.05" customHeight="1" x14ac:dyDescent="0.55000000000000004">
      <c r="A57" s="1"/>
      <c r="B57" s="1"/>
      <c r="C57" s="1"/>
      <c r="D57" s="1"/>
      <c r="E57" s="1"/>
      <c r="F57" s="1"/>
      <c r="G57" s="1"/>
      <c r="H57" s="1"/>
      <c r="I57" s="1"/>
    </row>
  </sheetData>
  <mergeCells count="49">
    <mergeCell ref="A29:B29"/>
    <mergeCell ref="A49:I49"/>
    <mergeCell ref="A19:B19"/>
    <mergeCell ref="A28:B28"/>
    <mergeCell ref="A1:I1"/>
    <mergeCell ref="A13:B13"/>
    <mergeCell ref="H8:I8"/>
    <mergeCell ref="C29:H29"/>
    <mergeCell ref="D21:I21"/>
    <mergeCell ref="A50:I50"/>
    <mergeCell ref="A6:B6"/>
    <mergeCell ref="A16:B16"/>
    <mergeCell ref="A2:I2"/>
    <mergeCell ref="H6:I6"/>
    <mergeCell ref="A7:B7"/>
    <mergeCell ref="A25:B25"/>
    <mergeCell ref="A5:I5"/>
    <mergeCell ref="C27:H27"/>
    <mergeCell ref="D18:I18"/>
    <mergeCell ref="A23:I23"/>
    <mergeCell ref="A18:B18"/>
    <mergeCell ref="A27:B27"/>
    <mergeCell ref="A38:I38"/>
    <mergeCell ref="D15:I15"/>
    <mergeCell ref="A26:B26"/>
    <mergeCell ref="A37:I37"/>
    <mergeCell ref="D8:G8"/>
    <mergeCell ref="D17:I17"/>
    <mergeCell ref="A3:I3"/>
    <mergeCell ref="D16:I16"/>
    <mergeCell ref="A21:B21"/>
    <mergeCell ref="A10:I10"/>
    <mergeCell ref="D14:I14"/>
    <mergeCell ref="C28:H28"/>
    <mergeCell ref="H7:I7"/>
    <mergeCell ref="A14:B14"/>
    <mergeCell ref="A31:I31"/>
    <mergeCell ref="A17:B17"/>
    <mergeCell ref="D20:I20"/>
    <mergeCell ref="A8:B8"/>
    <mergeCell ref="D19:I19"/>
    <mergeCell ref="C25:H25"/>
    <mergeCell ref="C26:H26"/>
    <mergeCell ref="A15:B15"/>
    <mergeCell ref="D13:I13"/>
    <mergeCell ref="C6:G6"/>
    <mergeCell ref="A20:B20"/>
    <mergeCell ref="C7:G7"/>
    <mergeCell ref="A11:I11"/>
  </mergeCells>
  <conditionalFormatting sqref="C20">
    <cfRule type="containsText" dxfId="8" priority="1" operator="containsText" text="OK">
      <formula>NOT(ISERROR(SEARCH("OK",C20)))</formula>
    </cfRule>
    <cfRule type="containsText" dxfId="7" priority="2" operator="containsText" text="HATA">
      <formula>NOT(ISERROR(SEARCH("HATA",C20)))</formula>
    </cfRule>
  </conditionalFormatting>
  <conditionalFormatting sqref="C21">
    <cfRule type="containsText" dxfId="6" priority="3" operator="containsText" text="KULLANILAMAZ">
      <formula>NOT(ISERROR(SEARCH("KULLANILAMAZ",C21)))</formula>
    </cfRule>
  </conditionalFormatting>
  <conditionalFormatting sqref="D32:D100">
    <cfRule type="expression" dxfId="5" priority="4" stopIfTrue="1">
      <formula>$C$8&lt;=1</formula>
    </cfRule>
  </conditionalFormatting>
  <conditionalFormatting sqref="E32:E100">
    <cfRule type="expression" dxfId="4" priority="5" stopIfTrue="1">
      <formula>$C$8&lt;=2</formula>
    </cfRule>
  </conditionalFormatting>
  <conditionalFormatting sqref="F32:F100">
    <cfRule type="expression" dxfId="3" priority="6" stopIfTrue="1">
      <formula>$C$8&lt;=3</formula>
    </cfRule>
  </conditionalFormatting>
  <conditionalFormatting sqref="G32:G100">
    <cfRule type="expression" dxfId="2" priority="7" stopIfTrue="1">
      <formula>$C$8&lt;=4</formula>
    </cfRule>
  </conditionalFormatting>
  <dataValidations count="4">
    <dataValidation type="list" sqref="C8" xr:uid="{00000000-0002-0000-0000-000000000000}">
      <formula1>"1,2,3,4,5"</formula1>
    </dataValidation>
    <dataValidation type="list" sqref="C17:C18 C13:C15" xr:uid="{00000000-0002-0000-0000-000001000000}">
      <formula1>"EVET,HAYIR"</formula1>
    </dataValidation>
    <dataValidation type="list" sqref="C16" xr:uid="{00000000-0002-0000-0000-000004000000}">
      <formula1>"HAYIR,EVET"</formula1>
    </dataValidation>
    <dataValidation type="list" sqref="C19" xr:uid="{00000000-0002-0000-0000-000007000000}">
      <formula1>"EVET,HAYIR,Tam Tasdik"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7" width="18" customWidth="1"/>
    <col min="8" max="8" width="22" customWidth="1"/>
    <col min="9" max="9" width="26" customWidth="1"/>
  </cols>
  <sheetData>
    <row r="1" spans="1:9" ht="44.05" customHeight="1" x14ac:dyDescent="0.55000000000000004">
      <c r="A1" s="105" t="s">
        <v>125</v>
      </c>
      <c r="B1" s="68"/>
      <c r="C1" s="68"/>
      <c r="D1" s="68"/>
      <c r="E1" s="68"/>
      <c r="F1" s="68"/>
      <c r="G1" s="68"/>
      <c r="H1" s="68"/>
      <c r="I1" s="68"/>
    </row>
    <row r="2" spans="1:9" ht="22" customHeight="1" x14ac:dyDescent="0.55000000000000004">
      <c r="A2" s="96" t="s">
        <v>126</v>
      </c>
      <c r="B2" s="82"/>
      <c r="C2" s="82"/>
      <c r="D2" s="82"/>
      <c r="E2" s="82"/>
      <c r="F2" s="82"/>
      <c r="G2" s="82"/>
      <c r="H2" s="82"/>
      <c r="I2" s="82"/>
    </row>
    <row r="3" spans="1:9" ht="28" customHeight="1" x14ac:dyDescent="0.55000000000000004">
      <c r="A3" s="108" t="str">
        <f>IF('VERİ GİRİŞİ'!C8=1,"TEK PROJE MODU: Proje 1 (C sutunu). Beyanname 409 = B.3 = MIN(D.5 Proje1, Donem Kazanci).","COK PROJE MODU: "&amp;'VERİ GİRİŞİ'!C8&amp;" proje aktif. Tum D.5 toplami kazanc limitiyle sinirlandirilir.")</f>
        <v>TEK PROJE MODU: Proje 1 (C sutunu). Beyanname 409 = B.3 = MIN(D.5 Proje1, Donem Kazanci).</v>
      </c>
      <c r="B3" s="99"/>
      <c r="C3" s="99"/>
      <c r="D3" s="99"/>
      <c r="E3" s="99"/>
      <c r="F3" s="99"/>
      <c r="G3" s="99"/>
      <c r="H3" s="99"/>
      <c r="I3" s="99"/>
    </row>
    <row r="4" spans="1:9" ht="5.05" customHeight="1" x14ac:dyDescent="0.55000000000000004">
      <c r="A4" s="1"/>
      <c r="B4" s="1"/>
      <c r="C4" s="1"/>
      <c r="D4" s="1"/>
      <c r="E4" s="1"/>
      <c r="F4" s="1"/>
      <c r="G4" s="1"/>
      <c r="H4" s="1"/>
      <c r="I4" s="1"/>
    </row>
    <row r="5" spans="1:9" ht="26.05" customHeight="1" x14ac:dyDescent="0.55000000000000004">
      <c r="A5" s="100" t="s">
        <v>127</v>
      </c>
      <c r="B5" s="101"/>
      <c r="C5" s="101"/>
      <c r="D5" s="101"/>
      <c r="E5" s="101"/>
      <c r="F5" s="101"/>
      <c r="G5" s="101"/>
      <c r="H5" s="101"/>
      <c r="I5" s="101"/>
    </row>
    <row r="6" spans="1:9" ht="20.05" customHeight="1" x14ac:dyDescent="0.55000000000000004">
      <c r="A6" s="9"/>
      <c r="B6" s="9" t="s">
        <v>128</v>
      </c>
      <c r="C6" s="20" t="s">
        <v>54</v>
      </c>
      <c r="D6" s="21" t="s">
        <v>55</v>
      </c>
      <c r="E6" s="22" t="s">
        <v>56</v>
      </c>
      <c r="F6" s="23" t="s">
        <v>57</v>
      </c>
      <c r="G6" s="24" t="s">
        <v>58</v>
      </c>
      <c r="H6" s="25" t="s">
        <v>108</v>
      </c>
      <c r="I6" s="9" t="s">
        <v>129</v>
      </c>
    </row>
    <row r="7" spans="1:9" ht="26.05" customHeight="1" x14ac:dyDescent="0.55000000000000004">
      <c r="A7" s="28" t="s">
        <v>130</v>
      </c>
      <c r="B7" s="29" t="s">
        <v>131</v>
      </c>
      <c r="C7" s="46">
        <f>'VERİ GİRİŞİ'!C54</f>
        <v>0</v>
      </c>
      <c r="D7" s="46">
        <f>'VERİ GİRİŞİ'!D54</f>
        <v>0</v>
      </c>
      <c r="E7" s="46">
        <f>'VERİ GİRİŞİ'!E54</f>
        <v>0</v>
      </c>
      <c r="F7" s="46">
        <f>'VERİ GİRİŞİ'!F54</f>
        <v>0</v>
      </c>
      <c r="G7" s="46">
        <f>'VERİ GİRİŞİ'!G54</f>
        <v>0</v>
      </c>
      <c r="H7" s="14">
        <f>SUM(C7:G7)</f>
        <v>0</v>
      </c>
      <c r="I7" s="30" t="s">
        <v>132</v>
      </c>
    </row>
    <row r="8" spans="1:9" ht="26.05" customHeight="1" x14ac:dyDescent="0.55000000000000004">
      <c r="A8" s="26" t="s">
        <v>133</v>
      </c>
      <c r="B8" s="47" t="s">
        <v>134</v>
      </c>
      <c r="C8" s="46">
        <f>'VERİ GİRİŞİ'!C55</f>
        <v>0</v>
      </c>
      <c r="D8" s="46">
        <f>'VERİ GİRİŞİ'!D55</f>
        <v>0</v>
      </c>
      <c r="E8" s="46">
        <f>'VERİ GİRİŞİ'!E55</f>
        <v>0</v>
      </c>
      <c r="F8" s="46">
        <f>'VERİ GİRİŞİ'!F55</f>
        <v>0</v>
      </c>
      <c r="G8" s="46">
        <f>'VERİ GİRİŞİ'!G55</f>
        <v>0</v>
      </c>
      <c r="H8" s="14">
        <f>SUM(C8:G8)</f>
        <v>0</v>
      </c>
      <c r="I8" s="11" t="s">
        <v>135</v>
      </c>
    </row>
    <row r="9" spans="1:9" ht="26.05" customHeight="1" x14ac:dyDescent="0.55000000000000004">
      <c r="A9" s="48" t="s">
        <v>136</v>
      </c>
      <c r="B9" s="49" t="s">
        <v>137</v>
      </c>
      <c r="C9" s="14">
        <f>'VERİ GİRİŞİ'!C56</f>
        <v>0</v>
      </c>
      <c r="D9" s="14">
        <f>'VERİ GİRİŞİ'!D56</f>
        <v>0</v>
      </c>
      <c r="E9" s="14">
        <f>'VERİ GİRİŞİ'!E56</f>
        <v>0</v>
      </c>
      <c r="F9" s="14">
        <f>'VERİ GİRİŞİ'!F56</f>
        <v>0</v>
      </c>
      <c r="G9" s="14">
        <f>'VERİ GİRİŞİ'!G56</f>
        <v>0</v>
      </c>
      <c r="H9" s="34">
        <f>SUM(C9:G9)</f>
        <v>0</v>
      </c>
      <c r="I9" s="30" t="s">
        <v>138</v>
      </c>
    </row>
    <row r="10" spans="1:9" ht="5.05" customHeight="1" x14ac:dyDescent="0.55000000000000004">
      <c r="A10" s="1"/>
      <c r="B10" s="1"/>
      <c r="C10" s="1"/>
      <c r="D10" s="1"/>
      <c r="E10" s="1"/>
      <c r="F10" s="1"/>
      <c r="G10" s="1"/>
      <c r="H10" s="1"/>
      <c r="I10" s="1"/>
    </row>
    <row r="11" spans="1:9" ht="26.05" customHeight="1" x14ac:dyDescent="0.55000000000000004">
      <c r="A11" s="85" t="s">
        <v>139</v>
      </c>
      <c r="B11" s="86"/>
      <c r="C11" s="86"/>
      <c r="D11" s="86"/>
      <c r="E11" s="86"/>
      <c r="F11" s="86"/>
      <c r="G11" s="86"/>
      <c r="H11" s="86"/>
      <c r="I11" s="86"/>
    </row>
    <row r="12" spans="1:9" ht="36" customHeight="1" x14ac:dyDescent="0.55000000000000004">
      <c r="A12" s="74" t="s">
        <v>140</v>
      </c>
      <c r="B12" s="73"/>
      <c r="C12" s="73"/>
      <c r="D12" s="73"/>
      <c r="E12" s="73"/>
      <c r="F12" s="73"/>
      <c r="G12" s="73"/>
      <c r="H12" s="73"/>
      <c r="I12" s="73"/>
    </row>
    <row r="13" spans="1:9" ht="18" customHeight="1" x14ac:dyDescent="0.55000000000000004">
      <c r="A13" s="9" t="s">
        <v>128</v>
      </c>
      <c r="B13" s="9"/>
      <c r="C13" s="9" t="s">
        <v>141</v>
      </c>
      <c r="D13" s="9"/>
      <c r="E13" s="9"/>
      <c r="F13" s="9"/>
      <c r="G13" s="9"/>
      <c r="H13" s="9" t="s">
        <v>60</v>
      </c>
      <c r="I13" s="9"/>
    </row>
    <row r="14" spans="1:9" ht="30" customHeight="1" x14ac:dyDescent="0.55000000000000004">
      <c r="A14" s="36" t="s">
        <v>142</v>
      </c>
      <c r="B14" s="109" t="s">
        <v>143</v>
      </c>
      <c r="C14" s="106">
        <f>H9</f>
        <v>0</v>
      </c>
      <c r="D14" s="90"/>
      <c r="E14" s="90"/>
      <c r="F14" s="90"/>
      <c r="G14" s="90"/>
      <c r="H14" s="30" t="s">
        <v>144</v>
      </c>
      <c r="I14" s="13"/>
    </row>
    <row r="15" spans="1:9" ht="30" customHeight="1" x14ac:dyDescent="0.55000000000000004">
      <c r="A15" s="50" t="s">
        <v>145</v>
      </c>
      <c r="B15" s="103" t="s">
        <v>146</v>
      </c>
      <c r="C15" s="104"/>
      <c r="D15" s="61"/>
      <c r="E15" s="61"/>
      <c r="F15" s="61"/>
      <c r="G15" s="61"/>
      <c r="H15" s="51" t="s">
        <v>147</v>
      </c>
      <c r="I15" s="17"/>
    </row>
    <row r="16" spans="1:9" ht="30" customHeight="1" x14ac:dyDescent="0.55000000000000004">
      <c r="A16" s="32" t="s">
        <v>148</v>
      </c>
      <c r="B16" s="107" t="s">
        <v>149</v>
      </c>
      <c r="C16" s="102">
        <f>MIN(C14,C15)</f>
        <v>0</v>
      </c>
      <c r="D16" s="90"/>
      <c r="E16" s="90"/>
      <c r="F16" s="90"/>
      <c r="G16" s="90"/>
      <c r="H16" s="30" t="s">
        <v>150</v>
      </c>
      <c r="I16" s="13"/>
    </row>
    <row r="17" spans="1:9" ht="30" customHeight="1" x14ac:dyDescent="0.55000000000000004">
      <c r="A17" s="42" t="s">
        <v>151</v>
      </c>
      <c r="B17" s="97" t="s">
        <v>152</v>
      </c>
      <c r="C17" s="111">
        <f>MAX(0,C14-C16)</f>
        <v>0</v>
      </c>
      <c r="D17" s="73"/>
      <c r="E17" s="73"/>
      <c r="F17" s="73"/>
      <c r="G17" s="73"/>
      <c r="H17" s="16" t="s">
        <v>153</v>
      </c>
      <c r="I17" s="8"/>
    </row>
    <row r="18" spans="1:9" ht="5.05" customHeight="1" x14ac:dyDescent="0.55000000000000004">
      <c r="A18" s="1"/>
      <c r="B18" s="1"/>
      <c r="C18" s="1"/>
      <c r="D18" s="1"/>
      <c r="E18" s="1"/>
      <c r="F18" s="1"/>
      <c r="G18" s="1"/>
      <c r="H18" s="1"/>
      <c r="I18" s="1"/>
    </row>
    <row r="19" spans="1:9" ht="26.05" customHeight="1" x14ac:dyDescent="0.55000000000000004">
      <c r="A19" s="98" t="s">
        <v>154</v>
      </c>
      <c r="B19" s="99"/>
      <c r="C19" s="99"/>
      <c r="D19" s="99"/>
      <c r="E19" s="99"/>
      <c r="F19" s="99"/>
      <c r="G19" s="99"/>
      <c r="H19" s="99"/>
      <c r="I19" s="99"/>
    </row>
    <row r="20" spans="1:9" ht="32.049999999999997" customHeight="1" x14ac:dyDescent="0.55000000000000004">
      <c r="A20" s="110" t="s">
        <v>155</v>
      </c>
      <c r="B20" s="63"/>
      <c r="C20" s="63"/>
      <c r="D20" s="63"/>
      <c r="E20" s="63"/>
      <c r="F20" s="63"/>
      <c r="G20" s="63"/>
      <c r="H20" s="63"/>
      <c r="I20" s="63"/>
    </row>
    <row r="21" spans="1:9" ht="20.05" customHeight="1" x14ac:dyDescent="0.55000000000000004">
      <c r="A21" s="9"/>
      <c r="B21" s="9" t="s">
        <v>156</v>
      </c>
      <c r="C21" s="9" t="s">
        <v>157</v>
      </c>
      <c r="D21" s="9"/>
      <c r="E21" s="9"/>
      <c r="F21" s="9"/>
      <c r="G21" s="9"/>
      <c r="H21" s="25" t="s">
        <v>158</v>
      </c>
      <c r="I21" s="9" t="s">
        <v>60</v>
      </c>
    </row>
    <row r="22" spans="1:9" ht="24" customHeight="1" x14ac:dyDescent="0.55000000000000004">
      <c r="A22" s="27" t="s">
        <v>159</v>
      </c>
      <c r="B22" s="2" t="s">
        <v>160</v>
      </c>
      <c r="C22" s="14">
        <f>IFERROR(MIN(C9,C16*(C9/H9)),0)</f>
        <v>0</v>
      </c>
      <c r="D22" s="3"/>
      <c r="E22" s="3"/>
      <c r="F22" s="3"/>
      <c r="G22" s="3"/>
      <c r="H22" s="52">
        <f>MAX(0,C9-C22)</f>
        <v>0</v>
      </c>
      <c r="I22" s="53" t="s">
        <v>161</v>
      </c>
    </row>
    <row r="23" spans="1:9" ht="24" customHeight="1" x14ac:dyDescent="0.55000000000000004">
      <c r="A23" s="27" t="s">
        <v>162</v>
      </c>
      <c r="B23" s="2" t="s">
        <v>163</v>
      </c>
      <c r="C23" s="14">
        <f>IFERROR(MIN(D9,C16*(D9/H9)),0)</f>
        <v>0</v>
      </c>
      <c r="D23" s="3"/>
      <c r="E23" s="3"/>
      <c r="F23" s="3"/>
      <c r="G23" s="3"/>
      <c r="H23" s="52">
        <f>MAX(0,D9-C23)</f>
        <v>0</v>
      </c>
      <c r="I23" s="53" t="s">
        <v>161</v>
      </c>
    </row>
    <row r="24" spans="1:9" ht="24" customHeight="1" x14ac:dyDescent="0.55000000000000004">
      <c r="A24" s="27" t="s">
        <v>164</v>
      </c>
      <c r="B24" s="2" t="s">
        <v>165</v>
      </c>
      <c r="C24" s="14">
        <f>IFERROR(MIN(E9,C16*(E9/H9)),0)</f>
        <v>0</v>
      </c>
      <c r="D24" s="3"/>
      <c r="E24" s="3"/>
      <c r="F24" s="3"/>
      <c r="G24" s="3"/>
      <c r="H24" s="52">
        <f>MAX(0,E9-C24)</f>
        <v>0</v>
      </c>
      <c r="I24" s="53" t="s">
        <v>161</v>
      </c>
    </row>
    <row r="25" spans="1:9" ht="24" customHeight="1" x14ac:dyDescent="0.55000000000000004">
      <c r="A25" s="27" t="s">
        <v>166</v>
      </c>
      <c r="B25" s="2" t="s">
        <v>167</v>
      </c>
      <c r="C25" s="14">
        <f>IFERROR(MIN(F9,C16*(F9/H9)),0)</f>
        <v>0</v>
      </c>
      <c r="D25" s="3"/>
      <c r="E25" s="3"/>
      <c r="F25" s="3"/>
      <c r="G25" s="3"/>
      <c r="H25" s="52">
        <f>MAX(0,F9-C25)</f>
        <v>0</v>
      </c>
      <c r="I25" s="53" t="s">
        <v>161</v>
      </c>
    </row>
    <row r="26" spans="1:9" ht="24" customHeight="1" x14ac:dyDescent="0.55000000000000004">
      <c r="A26" s="27" t="s">
        <v>168</v>
      </c>
      <c r="B26" s="2" t="s">
        <v>169</v>
      </c>
      <c r="C26" s="14">
        <f>IFERROR(MIN(G9,C16*(G9/H9)),0)</f>
        <v>0</v>
      </c>
      <c r="D26" s="3"/>
      <c r="E26" s="3"/>
      <c r="F26" s="3"/>
      <c r="G26" s="3"/>
      <c r="H26" s="52">
        <f>MAX(0,G9-C26)</f>
        <v>0</v>
      </c>
      <c r="I26" s="53" t="s">
        <v>161</v>
      </c>
    </row>
    <row r="27" spans="1:9" ht="24" customHeight="1" x14ac:dyDescent="0.55000000000000004">
      <c r="A27" s="48" t="s">
        <v>170</v>
      </c>
      <c r="B27" s="54" t="s">
        <v>171</v>
      </c>
      <c r="C27" s="106">
        <f>SUM(C22:C26)</f>
        <v>0</v>
      </c>
      <c r="D27" s="90"/>
      <c r="E27" s="90"/>
      <c r="F27" s="90"/>
      <c r="G27" s="90"/>
      <c r="H27" s="14">
        <f>ROUND(C27-C16,0)</f>
        <v>0</v>
      </c>
      <c r="I27" s="55" t="s">
        <v>172</v>
      </c>
    </row>
  </sheetData>
  <mergeCells count="17">
    <mergeCell ref="A1:I1"/>
    <mergeCell ref="C27:G27"/>
    <mergeCell ref="B16"/>
    <mergeCell ref="A3:I3"/>
    <mergeCell ref="C14:G14"/>
    <mergeCell ref="A12:I12"/>
    <mergeCell ref="B14"/>
    <mergeCell ref="A20:I20"/>
    <mergeCell ref="C17:G17"/>
    <mergeCell ref="A2:I2"/>
    <mergeCell ref="A11:I11"/>
    <mergeCell ref="B17"/>
    <mergeCell ref="A19:I19"/>
    <mergeCell ref="A5:I5"/>
    <mergeCell ref="C16:G16"/>
    <mergeCell ref="B15"/>
    <mergeCell ref="C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7" width="18" customWidth="1"/>
    <col min="8" max="8" width="22" customWidth="1"/>
    <col min="9" max="9" width="26" customWidth="1"/>
  </cols>
  <sheetData>
    <row r="1" spans="1:9" ht="38.049999999999997" customHeight="1" x14ac:dyDescent="0.55000000000000004">
      <c r="A1" s="94" t="s">
        <v>173</v>
      </c>
      <c r="B1" s="68"/>
      <c r="C1" s="68"/>
      <c r="D1" s="68"/>
      <c r="E1" s="68"/>
      <c r="F1" s="68"/>
      <c r="G1" s="68"/>
      <c r="H1" s="68"/>
      <c r="I1" s="68"/>
    </row>
    <row r="2" spans="1:9" ht="20.05" customHeight="1" x14ac:dyDescent="0.55000000000000004">
      <c r="A2" s="96" t="str">
        <f>IF('VERİ GİRİŞİ'!C8=1,"TEK PROJE | Proje 1 C sutunu -&gt; KONSOLIDASYON B.3 = Beyanname 409","COK PROJE: "&amp;'VERİ GİRİŞİ'!C8&amp;" proje -&gt; D.5 toplami -&gt; KONSOLIDASYON B.3 = Beyanname 409")</f>
        <v>TEK PROJE | Proje 1 C sutunu -&gt; KONSOLIDASYON B.3 = Beyanname 409</v>
      </c>
      <c r="B2" s="82"/>
      <c r="C2" s="82"/>
      <c r="D2" s="82"/>
      <c r="E2" s="82"/>
      <c r="F2" s="82"/>
      <c r="G2" s="82"/>
      <c r="H2" s="82"/>
      <c r="I2" s="82"/>
    </row>
    <row r="4" spans="1:9" ht="24" customHeight="1" x14ac:dyDescent="0.55000000000000004">
      <c r="A4" s="114" t="s">
        <v>174</v>
      </c>
      <c r="B4" s="101"/>
      <c r="C4" s="101"/>
      <c r="D4" s="101"/>
      <c r="E4" s="101"/>
      <c r="F4" s="101"/>
      <c r="G4" s="101"/>
      <c r="H4" s="101"/>
      <c r="I4" s="101"/>
    </row>
    <row r="5" spans="1:9" ht="22" customHeight="1" x14ac:dyDescent="0.55000000000000004">
      <c r="A5" s="80" t="s">
        <v>175</v>
      </c>
      <c r="B5" s="65"/>
      <c r="C5" s="65"/>
      <c r="D5" s="112" t="str">
        <f>'VERİ GİRİŞİ'!C20</f>
        <v>OK - Hesaplanabilir</v>
      </c>
      <c r="E5" s="90"/>
      <c r="F5" s="90"/>
      <c r="G5" s="64" t="s">
        <v>176</v>
      </c>
      <c r="H5" s="65"/>
      <c r="I5" s="65"/>
    </row>
    <row r="6" spans="1:9" ht="22" customHeight="1" x14ac:dyDescent="0.55000000000000004">
      <c r="A6" s="75" t="s">
        <v>177</v>
      </c>
      <c r="B6" s="63"/>
      <c r="C6" s="63"/>
      <c r="D6" s="112">
        <f>'VERİ GİRİŞİ'!H47</f>
        <v>0</v>
      </c>
      <c r="E6" s="90"/>
      <c r="F6" s="90"/>
      <c r="G6" s="83" t="s">
        <v>178</v>
      </c>
      <c r="H6" s="63"/>
      <c r="I6" s="63"/>
    </row>
    <row r="7" spans="1:9" ht="22" customHeight="1" x14ac:dyDescent="0.55000000000000004">
      <c r="A7" s="80" t="s">
        <v>179</v>
      </c>
      <c r="B7" s="65"/>
      <c r="C7" s="65"/>
      <c r="D7" s="112">
        <f>'KONSOLIDASYON &amp; BEYANNAME'!H9</f>
        <v>0</v>
      </c>
      <c r="E7" s="90"/>
      <c r="F7" s="90"/>
      <c r="G7" s="64" t="s">
        <v>180</v>
      </c>
      <c r="H7" s="65"/>
      <c r="I7" s="65"/>
    </row>
    <row r="8" spans="1:9" ht="22" customHeight="1" x14ac:dyDescent="0.55000000000000004">
      <c r="A8" s="91" t="s">
        <v>181</v>
      </c>
      <c r="B8" s="90"/>
      <c r="C8" s="90"/>
      <c r="D8" s="112">
        <f>'KONSOLIDASYON &amp; BEYANNAME'!C16</f>
        <v>0</v>
      </c>
      <c r="E8" s="90"/>
      <c r="F8" s="90"/>
      <c r="G8" s="115" t="s">
        <v>182</v>
      </c>
      <c r="H8" s="90"/>
      <c r="I8" s="90"/>
    </row>
    <row r="9" spans="1:9" ht="22" customHeight="1" x14ac:dyDescent="0.55000000000000004">
      <c r="A9" s="84" t="s">
        <v>183</v>
      </c>
      <c r="B9" s="73"/>
      <c r="C9" s="73"/>
      <c r="D9" s="113">
        <f>'KONSOLIDASYON &amp; BEYANNAME'!C17</f>
        <v>0</v>
      </c>
      <c r="E9" s="73"/>
      <c r="F9" s="73"/>
      <c r="G9" s="72" t="s">
        <v>184</v>
      </c>
      <c r="H9" s="73"/>
      <c r="I9" s="73"/>
    </row>
    <row r="10" spans="1:9" ht="5.05" customHeight="1" x14ac:dyDescent="0.55000000000000004">
      <c r="A10" s="1"/>
      <c r="B10" s="1"/>
      <c r="C10" s="1"/>
      <c r="D10" s="1"/>
      <c r="E10" s="1"/>
      <c r="F10" s="1"/>
      <c r="G10" s="1"/>
      <c r="H10" s="1"/>
      <c r="I10" s="1"/>
    </row>
    <row r="11" spans="1:9" ht="22" customHeight="1" x14ac:dyDescent="0.55000000000000004">
      <c r="A11" s="67" t="s">
        <v>185</v>
      </c>
      <c r="B11" s="68"/>
      <c r="C11" s="68"/>
      <c r="D11" s="68"/>
      <c r="E11" s="68"/>
      <c r="F11" s="68"/>
      <c r="G11" s="68"/>
      <c r="H11" s="68"/>
      <c r="I11" s="68"/>
    </row>
    <row r="12" spans="1:9" ht="18" customHeight="1" x14ac:dyDescent="0.55000000000000004">
      <c r="A12" s="9" t="s">
        <v>186</v>
      </c>
      <c r="B12" s="9"/>
      <c r="C12" s="9" t="s">
        <v>187</v>
      </c>
      <c r="D12" s="9" t="s">
        <v>109</v>
      </c>
      <c r="E12" s="9" t="s">
        <v>188</v>
      </c>
      <c r="F12" s="9" t="s">
        <v>189</v>
      </c>
    </row>
    <row r="13" spans="1:9" ht="36" customHeight="1" x14ac:dyDescent="0.55000000000000004">
      <c r="A13" s="88" t="s">
        <v>190</v>
      </c>
      <c r="B13" s="65"/>
      <c r="C13" s="56" t="s">
        <v>191</v>
      </c>
      <c r="D13" s="57" t="s">
        <v>192</v>
      </c>
      <c r="E13" s="44" t="s">
        <v>193</v>
      </c>
      <c r="F13" s="5"/>
    </row>
    <row r="14" spans="1:9" ht="36" customHeight="1" x14ac:dyDescent="0.55000000000000004">
      <c r="A14" s="62" t="s">
        <v>194</v>
      </c>
      <c r="B14" s="63"/>
      <c r="C14" s="58" t="s">
        <v>191</v>
      </c>
      <c r="D14" s="59" t="s">
        <v>195</v>
      </c>
      <c r="E14" s="44" t="s">
        <v>193</v>
      </c>
      <c r="F14" s="3"/>
    </row>
    <row r="15" spans="1:9" ht="36" customHeight="1" x14ac:dyDescent="0.55000000000000004">
      <c r="A15" s="88" t="s">
        <v>196</v>
      </c>
      <c r="B15" s="65"/>
      <c r="C15" s="56" t="s">
        <v>197</v>
      </c>
      <c r="D15" s="57" t="s">
        <v>198</v>
      </c>
      <c r="E15" s="44" t="s">
        <v>193</v>
      </c>
      <c r="F15" s="5"/>
    </row>
    <row r="16" spans="1:9" ht="36" customHeight="1" x14ac:dyDescent="0.55000000000000004">
      <c r="A16" s="62" t="s">
        <v>199</v>
      </c>
      <c r="B16" s="63"/>
      <c r="C16" s="58" t="s">
        <v>200</v>
      </c>
      <c r="D16" s="59" t="s">
        <v>201</v>
      </c>
      <c r="E16" s="44" t="s">
        <v>193</v>
      </c>
      <c r="F16" s="3"/>
    </row>
    <row r="17" spans="1:6" ht="36" customHeight="1" x14ac:dyDescent="0.55000000000000004">
      <c r="A17" s="88" t="s">
        <v>202</v>
      </c>
      <c r="B17" s="65"/>
      <c r="C17" s="56" t="s">
        <v>191</v>
      </c>
      <c r="D17" s="57" t="s">
        <v>203</v>
      </c>
      <c r="E17" s="44" t="s">
        <v>193</v>
      </c>
      <c r="F17" s="5"/>
    </row>
    <row r="18" spans="1:6" ht="36" customHeight="1" x14ac:dyDescent="0.55000000000000004">
      <c r="A18" s="62" t="s">
        <v>204</v>
      </c>
      <c r="B18" s="63"/>
      <c r="C18" s="58" t="s">
        <v>191</v>
      </c>
      <c r="D18" s="59" t="s">
        <v>205</v>
      </c>
      <c r="E18" s="44" t="s">
        <v>193</v>
      </c>
      <c r="F18" s="3"/>
    </row>
    <row r="19" spans="1:6" ht="36" customHeight="1" x14ac:dyDescent="0.55000000000000004">
      <c r="A19" s="88" t="s">
        <v>206</v>
      </c>
      <c r="B19" s="65"/>
      <c r="C19" s="56" t="s">
        <v>207</v>
      </c>
      <c r="D19" s="57" t="s">
        <v>208</v>
      </c>
      <c r="E19" s="44" t="s">
        <v>193</v>
      </c>
      <c r="F19" s="5"/>
    </row>
    <row r="20" spans="1:6" ht="36" customHeight="1" x14ac:dyDescent="0.55000000000000004">
      <c r="A20" s="62" t="s">
        <v>209</v>
      </c>
      <c r="B20" s="63"/>
      <c r="C20" s="58" t="s">
        <v>210</v>
      </c>
      <c r="D20" s="59" t="s">
        <v>211</v>
      </c>
      <c r="E20" s="44" t="s">
        <v>193</v>
      </c>
      <c r="F20" s="3"/>
    </row>
  </sheetData>
  <mergeCells count="27">
    <mergeCell ref="A1:I1"/>
    <mergeCell ref="G8:I8"/>
    <mergeCell ref="A13:B13"/>
    <mergeCell ref="A7:C7"/>
    <mergeCell ref="D6:F6"/>
    <mergeCell ref="A20:B20"/>
    <mergeCell ref="A11:I11"/>
    <mergeCell ref="A19:B19"/>
    <mergeCell ref="A6:C6"/>
    <mergeCell ref="G7:I7"/>
    <mergeCell ref="A18:B18"/>
    <mergeCell ref="D8:F8"/>
    <mergeCell ref="A4:I4"/>
    <mergeCell ref="D5:F5"/>
    <mergeCell ref="A9:C9"/>
    <mergeCell ref="G9:I9"/>
    <mergeCell ref="A14:B14"/>
    <mergeCell ref="A17:B17"/>
    <mergeCell ref="A15:B15"/>
    <mergeCell ref="G6:I6"/>
    <mergeCell ref="D7:F7"/>
    <mergeCell ref="A16:B16"/>
    <mergeCell ref="A2:I2"/>
    <mergeCell ref="A5:C5"/>
    <mergeCell ref="G5:I5"/>
    <mergeCell ref="A8:C8"/>
    <mergeCell ref="D9:F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55000000000000004"/>
  <sheetData>
    <row r="1" spans="1:9" ht="38.049999999999997" customHeight="1" x14ac:dyDescent="0.55000000000000004">
      <c r="A1" s="93" t="s">
        <v>212</v>
      </c>
      <c r="B1" s="68"/>
      <c r="C1" s="68"/>
      <c r="D1" s="68"/>
      <c r="E1" s="68"/>
      <c r="F1" s="68"/>
      <c r="G1" s="68"/>
      <c r="H1" s="68"/>
      <c r="I1" s="68"/>
    </row>
    <row r="2" spans="1:9" ht="24" customHeight="1" x14ac:dyDescent="0.55000000000000004">
      <c r="A2" s="60" t="s">
        <v>213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.4" x14ac:dyDescent="0.55000000000000004"/>
  <sheetData>
    <row r="1" spans="1:9" ht="38.049999999999997" customHeight="1" x14ac:dyDescent="0.55000000000000004">
      <c r="A1" s="93" t="s">
        <v>214</v>
      </c>
      <c r="B1" s="68"/>
      <c r="C1" s="68"/>
      <c r="D1" s="68"/>
      <c r="E1" s="68"/>
      <c r="F1" s="68"/>
      <c r="G1" s="68"/>
      <c r="H1" s="68"/>
      <c r="I1" s="68"/>
    </row>
    <row r="2" spans="1:9" ht="24" customHeight="1" x14ac:dyDescent="0.55000000000000004">
      <c r="A2" s="60" t="s">
        <v>213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/>
  </sheetViews>
  <sheetFormatPr defaultRowHeight="14.4" x14ac:dyDescent="0.55000000000000004"/>
  <sheetData>
    <row r="1" spans="1:9" ht="38.049999999999997" customHeight="1" x14ac:dyDescent="0.55000000000000004">
      <c r="A1" s="93" t="s">
        <v>215</v>
      </c>
      <c r="B1" s="68"/>
      <c r="C1" s="68"/>
      <c r="D1" s="68"/>
      <c r="E1" s="68"/>
      <c r="F1" s="68"/>
      <c r="G1" s="68"/>
      <c r="H1" s="68"/>
      <c r="I1" s="68"/>
    </row>
    <row r="2" spans="1:9" ht="24" customHeight="1" x14ac:dyDescent="0.55000000000000004">
      <c r="A2" s="60" t="s">
        <v>213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VERİ GİRİŞİ</vt:lpstr>
      <vt:lpstr>KONSOLIDASYON &amp; BEYANNAME</vt:lpstr>
      <vt:lpstr>HESAPLAMALAR &amp; KONTROL</vt:lpstr>
      <vt:lpstr>DENETCI NOTLARI</vt:lpstr>
      <vt:lpstr>BELGE LISTESI</vt:lpstr>
      <vt:lpstr>MUHASEBE KAYITLARI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2026-04-03T12:03:14Z</dcterms:created>
  <dcterms:modified xsi:type="dcterms:W3CDTF">2026-04-03T12:22:20Z</dcterms:modified>
</cp:coreProperties>
</file>