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7E57C0DF-14D6-4492-A4EB-379740E9437C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E59" i="1"/>
  <c r="C53" i="1"/>
  <c r="D48" i="1"/>
  <c r="C48" i="1"/>
  <c r="C52" i="1" s="1"/>
  <c r="E47" i="1"/>
  <c r="F47" i="1" s="1"/>
  <c r="F46" i="1"/>
  <c r="E46" i="1"/>
  <c r="E45" i="1"/>
  <c r="F45" i="1" s="1"/>
  <c r="E44" i="1"/>
  <c r="F44" i="1" s="1"/>
  <c r="E43" i="1"/>
  <c r="F43" i="1" s="1"/>
  <c r="F42" i="1"/>
  <c r="E42" i="1"/>
  <c r="E48" i="1" s="1"/>
  <c r="C54" i="1" s="1"/>
  <c r="C36" i="1"/>
  <c r="E16" i="1"/>
  <c r="D5" i="2" s="1"/>
  <c r="F48" i="1" l="1"/>
  <c r="C56" i="1" s="1"/>
</calcChain>
</file>

<file path=xl/sharedStrings.xml><?xml version="1.0" encoding="utf-8"?>
<sst xmlns="http://schemas.openxmlformats.org/spreadsheetml/2006/main" count="336" uniqueCount="269">
  <si>
    <t>403 – EĞİTİM/SAĞLIK TESİSİ, GENÇLİK MERKEZİ, İZCİ KAMPI, YURT İNŞAATI BAĞIŞLARI | KVK Md.10/1-5</t>
  </si>
  <si>
    <t>Beyanname 403 | GİB KV Beyan Rehberi Mart 2026 (No:606) | ✗ YİAKV MATRAHINDA DÜŞÜLEMEZ</t>
  </si>
  <si>
    <t xml:space="preserve">  KVK Md.10/1-5 KAPSAMI — TESİS TÜRÜ VE ALICI KOŞULLAR:
  Kamu idare ve müesseseleri, KYD dernekler ve muafiyet tanınan vakıflara ① Eğitim tesisi, ② Sağlık tesisi, ③ Gençlik merkezi, ④ Gençlik kampı, ⑤ İzci kampı ve ⑥ Öğrenci yurdu inşaatı/onarımı/ekipmanı amacıyla yapılan bağış ve yardımların TAMAMI matrahtan indirilir.
  402 (KVK Md.10/1-c) ile FARK: 403 gençlik merkezi ve izci kampını ayrıca kapsar. Eğitim/sağlık/yurt için her iki bent de uygulanabilir — aynı tutara çift indirim yasak.
  İNDİRİM: TAMAMININ İNDİRİMİ — matrahı aşan kısım devredilemez.
  ★ YİAKV: DÜŞÜLEMEZ — E.11 bilgi satırı.</t>
  </si>
  <si>
    <t xml:space="preserve">  ✗ YİAKV (KVK Md.32/C): 403 Bağışı YİAKV MATRAHINDA DÜŞÜLEMEZ — E.11 bilgi satırı.</t>
  </si>
  <si>
    <t>A0. KAPSAM VE NİTELİK UYGUNLUK ÖN KONTROLÜ — KVK Md.10/1-5 BAĞIŞI</t>
  </si>
  <si>
    <t>Kontrol Sorusu</t>
  </si>
  <si>
    <t>Yanıt</t>
  </si>
  <si>
    <t>YMM Tasdik Notu</t>
  </si>
  <si>
    <t>A0.1  ★ Tesis türü KVK Md.10/1-5 kapsamında mı? (Eğitim/Sağlık/Gençlik/İzci/Yurt)</t>
  </si>
  <si>
    <t>EVET</t>
  </si>
  <si>
    <t>Kapsam: Eğitim/sağlık tesisi, gençlik merkezi, gençlik/izci kampı, öğrenci yurdu inşaat/onarım/ekipman. Salt işletme/faaliyet gideri → Kapsam dışı.</t>
  </si>
  <si>
    <t>A0.2  ★ Alıcı kamu idaresi, KYD dernek veya muafiyet vakfı mı?</t>
  </si>
  <si>
    <t>Uygun: Kamu idaresi, KYD dernek (bakanlık kararı), muafiyet vakfı (Cumhurbaşkanlığı kararı). Özel şirket/kurum → Kapsam dışı.</t>
  </si>
  <si>
    <t>A0.3  ★ KYD/muafiyet vakıfsa statü belgesi temin edildi mi?</t>
  </si>
  <si>
    <t>KYD: Bakanlık kararı/Resmî Gazete. Muafiyet vakfı: Cumhurbaşkanlığı kararı. Kamu idaresi için bu belge gerekmez.</t>
  </si>
  <si>
    <t>A0.4  ★ Bağış FİİLEN yapıldı mı? (Nakdi: Banka — Ayni: Teslim belgesi)</t>
  </si>
  <si>
    <t>Taahhüt aşamasındaki bağış indirime konu olamaz. Fiili ödeme/teslim zorunludur.</t>
  </si>
  <si>
    <t>A0.5  Alıcıdan resmi makbuz / protokol alındı mı?</t>
  </si>
  <si>
    <t>Makbuz veya inşaat/ekipman protokolü zorunludur.</t>
  </si>
  <si>
    <t>A0.6  402 ile çakışma (mükerrer indirim) riski var mı?</t>
  </si>
  <si>
    <t>HAYIR-Çakışma Yok</t>
  </si>
  <si>
    <t>Aynı bağış 402 ve 403 ile çift kez indirilemez. Tutarlı kod seçimi belgelenmeli.</t>
  </si>
  <si>
    <t>A0.7  ✗ YİAKV E.11'de bilgi satırı olarak gösterildi mi?</t>
  </si>
  <si>
    <t>403 YİAKV matrahından düşülemez — E.11 bilgi.</t>
  </si>
  <si>
    <t>A0.8  YMM Tasdik Raporu gereksinimi değerlendirildi mi?</t>
  </si>
  <si>
    <t>&gt;=500.000 TL → YMM raporu.</t>
  </si>
  <si>
    <t>A0.9  Tasdik Uygunluk Sonucu</t>
  </si>
  <si>
    <t>★ A0.1 tesis türü | A0.2 alıcı statüsü | A0.4 fiili yapım | A0.5 makbuz — dördü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</si>
  <si>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</si>
  <si>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</si>
  <si>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</si>
  <si>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</si>
  <si>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</si>
  <si>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</si>
  <si>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</si>
  <si>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</si>
  <si>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</si>
  <si>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Alıcı Kurum</t>
  </si>
  <si>
    <t>Kamu idaresi / KYD Dernek / Muafiyet Vakfı adı</t>
  </si>
  <si>
    <t>Alıcı Statüsü</t>
  </si>
  <si>
    <t>Kamu idaresi / KYD / Muafiyet vakfı</t>
  </si>
  <si>
    <t>Dosya Referansı</t>
  </si>
  <si>
    <t>YMM-2025/403-01</t>
  </si>
  <si>
    <t>B. BAĞIŞ VE YARDIM DETAYLARI — KVK Md.10/1-5</t>
  </si>
  <si>
    <t>Parametre</t>
  </si>
  <si>
    <t>Değer</t>
  </si>
  <si>
    <t>Açıklama</t>
  </si>
  <si>
    <t>Kaynak</t>
  </si>
  <si>
    <t>B.1  Tesis Türü</t>
  </si>
  <si>
    <t>Eğitim Tesisi İnşaatı/Onarımı/Ekipmanı</t>
  </si>
  <si>
    <t>Eğitim, sağlık, gençlik merkezi, gençlik/izci kampı, öğrenci yurdu.</t>
  </si>
  <si>
    <t>Proje/Protokol</t>
  </si>
  <si>
    <t>B.2  Alıcı Kurum Statüsü</t>
  </si>
  <si>
    <t>Kamu İdaresi (Bakanlık/İl-İlçe Müdürlüğü)</t>
  </si>
  <si>
    <t>Kamu idaresi, KYD dernek veya muafiyet kararı olan vakıf.</t>
  </si>
  <si>
    <t>Statü belgesi</t>
  </si>
  <si>
    <t>B.3  Bağış Şekli</t>
  </si>
  <si>
    <t>Nakdi (Banka Transferi/EFT/Havale)</t>
  </si>
  <si>
    <t>Nakdi: Banka dekontu. Ayni: Teslim tutanağı + değerleme.</t>
  </si>
  <si>
    <t>Belge</t>
  </si>
  <si>
    <t>B.4  Tesisin Adı / Projesi</t>
  </si>
  <si>
    <t>Bağış yapılan tesisin adı veya inşaat projesinin kısa açıklaması.</t>
  </si>
  <si>
    <t>Proje belgesi</t>
  </si>
  <si>
    <t>B.5  ★ Nakdi Bağış Tutarı (TL)</t>
  </si>
  <si>
    <t>Banka yoluyla yapılan nakdi bağış tutarı.</t>
  </si>
  <si>
    <t>Banka dekontu</t>
  </si>
  <si>
    <t>B.6  Ayni Bağış Değeri (TL — Maliyet/Net Defter Değeri)</t>
  </si>
  <si>
    <t>İnşaat malzemesi, ekipman, mobilya varsa maliyet/net defter değeri.</t>
  </si>
  <si>
    <t>Stok kayıtları</t>
  </si>
  <si>
    <t>B.7  ★ TOPLAM BAĞIŞ (B.5 + B.6)</t>
  </si>
  <si>
    <t>Nakdi + Ayni toplam — beyanname 403 tutarının dayanağı.</t>
  </si>
  <si>
    <t>Formül</t>
  </si>
  <si>
    <t>B.8  ★ Alıcıdan Resmi Makbuz / Protokol</t>
  </si>
  <si>
    <t>Bağış makbuzu veya inşaat/ekipman teslim protokolü — zorunlu.</t>
  </si>
  <si>
    <t>C. BAĞIŞ VE YARDIM TABLOSU — KVK Md.10/1-5 (BEYANNAME 403)</t>
  </si>
  <si>
    <t xml:space="preserve">  Her bağış kalemi için ayrı satır. Tesis türü ve alıcı her satırda belirtilmeli. SÜTUN 3: Nakdi. SÜTUN 4: Ayni. SÜTUN 5: Toplam. SÜTUN 6: İndirim = Tamamı.</t>
  </si>
  <si>
    <t>Bağış Tarihi</t>
  </si>
  <si>
    <t>Tesis Türü / Alıcı / Proje</t>
  </si>
  <si>
    <t>Nakdi (TL)</t>
  </si>
  <si>
    <t>Ayni Değer (TL)</t>
  </si>
  <si>
    <t>Toplam (TL)</t>
  </si>
  <si>
    <t>İndirim (TL)</t>
  </si>
  <si>
    <t>Makbuz/Belge No</t>
  </si>
  <si>
    <t>TOPLAM</t>
  </si>
  <si>
    <t>← Beyanname 403 (Tamamının İndirimi)</t>
  </si>
  <si>
    <t>D. BAĞIŞ VE YARDIM İNDİRİMİ ÖZET — BEYANNAME 403 (KVK Md.10/1-5)</t>
  </si>
  <si>
    <t>Hesap Kalemi</t>
  </si>
  <si>
    <t>Tutar (TL)</t>
  </si>
  <si>
    <t>Not</t>
  </si>
  <si>
    <t>D.1  Toplam Nakdi Bağış (C Sütun 3)</t>
  </si>
  <si>
    <t>Banka yoluyla yapılan nakdi toplam</t>
  </si>
  <si>
    <t>D.2  Toplam Ayni Bağış Değeri (C Sütun 4)</t>
  </si>
  <si>
    <t>Maliyet/net defter değeri toplam</t>
  </si>
  <si>
    <t>D.3  TOPLAM BAĞIŞ (D.1 + D.2)</t>
  </si>
  <si>
    <t>C tablosu toplam</t>
  </si>
  <si>
    <t>D.4  İndirim Oranı / Sınır</t>
  </si>
  <si>
    <t>TAMAMININ İNDİRİMİ — Devredilmez</t>
  </si>
  <si>
    <t>KVK Md.10/1-5: Tamamının indirimi — matrahı aşan devredilmez</t>
  </si>
  <si>
    <t>KVK Md.10/1-5</t>
  </si>
  <si>
    <t>D.5  ★ BEYANNAME 403 = TOPLAM BAĞIŞ (D.3)</t>
  </si>
  <si>
    <t>→ Beyanname 403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</si>
  <si>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</si>
  <si>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</si>
  <si>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</si>
  <si>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</si>
  <si>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EĞİTİM/SAĞLIK/GENÇLİK/YURT BAĞIŞI → Beyanname Satır 403</t>
  </si>
  <si>
    <t>D.5 = Toplam | KVK Md.10/1-5 — Matrahı aşan devredilmez</t>
  </si>
  <si>
    <t xml:space="preserve">  ★ KRİTİK: (1) TESİS TÜRÜ — Eğitim/sağlık/gençlik merkezi/izci kampı/yurt inşaatı (salt faaliyet değil). (2) ALICI — Kamu idaresi / KYD dernek / Muafiyet vakfı. Statü belgesi şart. (3) 402 ile MÜKERRER İNDİRİM — aynı tutara 402+403 çift yazılmamalı. (4) DEVREDEN YOK. (5) YİAKV ✗: E.11.</t>
  </si>
  <si>
    <t>403 – EĞİTİM/SAĞLIK/GENÇLİK/YURT İNŞAAT BAĞIŞLARI KVK Md.10/1-5 | HESAPLAMALAR</t>
  </si>
  <si>
    <t>Tamamının İndirimi | KVK Md.10/1-5 | Tesis İnşaatı | Beyanname 403 | ✗ YİAKV E.11</t>
  </si>
  <si>
    <t>A. TASDİK ÖZETİ</t>
  </si>
  <si>
    <t>A0 Uygunluğu</t>
  </si>
  <si>
    <t>OK ise devam</t>
  </si>
  <si>
    <t>Tesis Türü (B.1)</t>
  </si>
  <si>
    <t>KVK Md.10/1-5 kapsamı</t>
  </si>
  <si>
    <t>Alıcı Statüsü (B.2)</t>
  </si>
  <si>
    <t>Kamu/KYD/Muafiyet vakfı</t>
  </si>
  <si>
    <t>Toplam Bağış (D.3)</t>
  </si>
  <si>
    <t>C tablosu toplamı</t>
  </si>
  <si>
    <t>403 İNDİRİM (D.5)</t>
  </si>
  <si>
    <t>YİAKV</t>
  </si>
  <si>
    <t>✗ DÜŞÜLEMEZ (E.11 Bilgi)</t>
  </si>
  <si>
    <t>Bağış/yardım tümü YİAKV dışı</t>
  </si>
  <si>
    <t>B. KVK Md.10/1-5 KAPSAMI VE 402 (KVK Md.10/1-c) İLE KARŞILAŞTIRMA</t>
  </si>
  <si>
    <t xml:space="preserve">  KVK Md.10/1-5 TESİS TÜRLERİ:
  ① Eğitim tesisi ② Sağlık tesisi ③ Gençlik merkezi ④ Gençlik kampı ⑤ İzci kampı ⑥ Yurt
  Kapsam: İnşaat + onarım + ekipman/tefrişat. Salt işletme giderleri → Tartışmalı.
  402 (KVK Md.10/1-c) İLE KARŞILAŞTIRMA:
  402: Okul, sağlık tesisi, yurt inşaatı + işletilmesi için bağış. Daha geniş kapsam.
  403: 402 kapsamı + GENÇLİK MERKEZİ + GENÇLİK/İZCİ KAMPI (402'de yok).
  MÜKERRER İNDİRİM RİSKİ:
  Eğitim/sağlık/yurt bağışı hem 402 hem 403 kapsamında görünebilir.
  Aynı tutarı iki koda yazmak mükerrer indirim → Tarhiyat riski.
  YMM: Hangi kodu kullandığını tutarlı biçimde belgele — ikisi birlikte yazılmamalı.</t>
  </si>
  <si>
    <t>C. ALICI STATÜSÜ VE BELGE GEREKSİNİMİ</t>
  </si>
  <si>
    <t xml:space="preserve">  UYGUN ALICI TÜRÜ VE BELGE KOŞULLARI:
  ① KAMU İDARESİ: Bakanlık, müdürlük, belediye, özel idare — Belge gerekmez.
  ② KYD DERNEK: İlgili bakanlık KYD kararı veya Resmî Gazete ilanı zorunlu.
     KYD statüsünün bağış döneminde geçerli olduğu teyit edilmeli.
  ③ MUAFİYET VAKFI: Cumhurbaşkanlığı/Bakanlar Kurulu kararı zorunlu.
     Vakfın muafiyet kararı Resmî Gazete'de yayımlanmış olmalı.
  UYARI: Statü belgesi olmadan indirim uygulanırsa GİB tarhiyat riski doğar.
  Statüler her dönem için güncel olduğu doğrulanmalıdır.</t>
  </si>
  <si>
    <t>D. DENETİM KONTROL LİSTESİ (K1–K12)</t>
  </si>
  <si>
    <t>Kontrol</t>
  </si>
  <si>
    <t>Sonuç</t>
  </si>
  <si>
    <t>K1</t>
  </si>
  <si>
    <t>★ Tesis türü KVK Md.10/1-5 kapsamında mı?</t>
  </si>
  <si>
    <t>Eğitim/sağlık/gençlik/izci kampı/yurt — faaliyet değil.</t>
  </si>
  <si>
    <t>Uygun/Eksik/Risk</t>
  </si>
  <si>
    <t>K2</t>
  </si>
  <si>
    <t>★ Alıcı kamu/KYD/muafiyet vakfı mı?</t>
  </si>
  <si>
    <t>Özel kurum → Kapsam dışı.</t>
  </si>
  <si>
    <t>K3</t>
  </si>
  <si>
    <t>★ KYD/muafiyet belgesi temin edildi mi?</t>
  </si>
  <si>
    <t>Kamu idaresi için gerekmez — diğerleri zorunlu.</t>
  </si>
  <si>
    <t>K4</t>
  </si>
  <si>
    <t>★ Bağış fiilen yapıldı mı? (Banka / teslim)</t>
  </si>
  <si>
    <t>Taahhüt → Kapsam dışı.</t>
  </si>
  <si>
    <t>K5</t>
  </si>
  <si>
    <t>★ Alıcıdan makbuz/protokol alındı mı?</t>
  </si>
  <si>
    <t>Makbuz/protokol zorunlu.</t>
  </si>
  <si>
    <t>K6</t>
  </si>
  <si>
    <t>402 ile çakışma (mükerrer indirim) riski değerlendirildi mi?</t>
  </si>
  <si>
    <t>Aynı tutara 402+403 çift yazılmadı.</t>
  </si>
  <si>
    <t>K7</t>
  </si>
  <si>
    <t>Ayni bağış varsa maliyet/net defter değeri esas alındı mı?</t>
  </si>
  <si>
    <t>Piyasa değeri değil. KDV istisnası.</t>
  </si>
  <si>
    <t>K8</t>
  </si>
  <si>
    <t>C tablosu toplamı D.3 ile mutabık mı?</t>
  </si>
  <si>
    <t>E48 = D.3 eşitliği.</t>
  </si>
  <si>
    <t>K9</t>
  </si>
  <si>
    <t>★ İndirim matrahı aşıyor mu? (Devredilemez!)</t>
  </si>
  <si>
    <t>Aşan kısım beyanname notu.</t>
  </si>
  <si>
    <t>K10</t>
  </si>
  <si>
    <t>✗ YİAKV E.11'de bilgi satırı olarak gösterildi mi?</t>
  </si>
  <si>
    <t>403 DÜŞÜLEMEZ — E.11 bilgi.</t>
  </si>
  <si>
    <t>K11</t>
  </si>
  <si>
    <t>Beyanname 403 'Kazancın Bulunması Halinde' bölümünde mi?</t>
  </si>
  <si>
    <t>Zarar döneminde uygulanamaz.</t>
  </si>
  <si>
    <t>K12</t>
  </si>
  <si>
    <t>YMM Tasdik Raporu (49 No.lu Tebliğ) değerlendirildi mi?</t>
  </si>
  <si>
    <t>403 – EĞİTİM/SAĞLIK/GENÇLİK/YURT BAĞIŞLARI KVK Md.10/1-5 | MUHASEBE KAYITLARI</t>
  </si>
  <si>
    <t>KAYIT 1 — NAKDİ BAĞIŞ (EFT/HAVALE — TESİS İNŞAAT/EKİPMAN)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</si>
  <si>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</si>
  <si>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</si>
  <si>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</si>
  <si>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</si>
  <si>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</si>
  <si>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</si>
  <si>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</si>
  <si>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KVK Md.10/1-5 tesis bağışı — gider kaydı</t>
  </si>
  <si>
    <t>[Tutar]</t>
  </si>
  <si>
    <t>—</t>
  </si>
  <si>
    <t>Makbuz/Protokol</t>
  </si>
  <si>
    <t>KAYIT 2 — AYNİ BAĞIŞ (İNŞAAT MALZEMESİ / EKİPMAN / MOBİLYA)</t>
  </si>
  <si>
    <t>[Teslim]</t>
  </si>
  <si>
    <t>689 Diğer Olağan Dışı Gid.</t>
  </si>
  <si>
    <t>Ayni bağış — maliyet/net defter değeri</t>
  </si>
  <si>
    <t>[Maliyet]</t>
  </si>
  <si>
    <t>Teslim tutanağı</t>
  </si>
  <si>
    <t>KAYIT 3 — DÖNEM SONU: KKEG + BEYANNAME 403 İNDİRİMİ</t>
  </si>
  <si>
    <t>[Dönem Sonu]</t>
  </si>
  <si>
    <t>951 KKEG</t>
  </si>
  <si>
    <t>KVK Md.10/1-5 bağış gideri KKEG'e alınır</t>
  </si>
  <si>
    <t>Beyanname eki</t>
  </si>
  <si>
    <t xml:space="preserve">  DÖNEM SONU NET ETKİ — BEYANNAME 403:
  KVK Md.10/1-5 bağışı (689/770) → KKEG → Matrahı artırır → Beyanname 403 tamamının indirimi → Matrahtan düşülür.
  YİAKV: ✗ DÜŞÜLEMEZ — E.11. Ayni bağışta KDV istisnası (KDVK Md.17/2-b).
  Aynı bağış 402 kapsamında yazılmışsa 403'e tekrar yazılmamalı — mükerrerlik riski.</t>
  </si>
  <si>
    <t>403 – EĞİTİM/SAĞLIK/GENÇLİK/YURT BAĞIŞLARI KVK Md.10/1-5 | DENETÇİ NOTLARI</t>
  </si>
  <si>
    <t>GİB KV Beyan Rehberi 2026 | KVK Md.10/1-5 | 402 Farkı | KYD/Muafiyet | YİAKV E.11</t>
  </si>
  <si>
    <t>Kod</t>
  </si>
  <si>
    <t>Konu</t>
  </si>
  <si>
    <t>Mesleki Değerlendirme / Tasdik Standardı</t>
  </si>
  <si>
    <t>Mevzuat / Kaynak</t>
  </si>
  <si>
    <t>N1</t>
  </si>
  <si>
    <t>KVK Md.10/1-5 — Kapsam ve Tesis Türleri</t>
  </si>
  <si>
    <t>KVK MADDE 10/1-5 — TESİS İNŞAAT BAĞIŞLARI:
Kamu idare ve müesseseleri, KYD dernekler ve muafiyet tanınan vakıflara:
① Eğitim tesisi (okul, laboratuvar, kütüphane, dershane vb.)
② Sağlık tesisi (hastane, klinik, dispanser, ambulans vb.)
③ Gençlik merkezi inşaatı/onarımı/ekipmanı
④ Gençlik kampı inşaatı/onarımı/ekipmanı
⑤ İzci kampı inşaatı/onarımı/ekipmanı
⑥ Öğrenci yurdu (yurt) inşaatı/onarımı/ekipmanı
KAPSAM: İnşaat + onarım + ekipman/tefrişat dahil.
KAPSAM DIŞI: Salt işletme/faaliyet giderleri (tartışmalı — özelge tavsiyesi).
YİAKV: ✗ DÜŞÜLEMEZ (E.11 bilgi) | BEYANNAME: 403</t>
  </si>
  <si>
    <t>KVK Md.10/1-5 | GİB KV Beyan Reh. 2026 (No:606)</t>
  </si>
  <si>
    <t>N2</t>
  </si>
  <si>
    <t>★ 402 (KVK Md.10/1-c) ile 403 (KVK Md.10/1-5) Ayrımı ve Mükerrer Risk</t>
  </si>
  <si>
    <t>402 vs 403 KARŞILAŞTIRMASI VE MÜKERRER İNDİRİM UYARISI:
402 (KVK Md.10/1-c):
Okul, sağlık tesisi, yurt inşaatı + işletilmesi amacıyla yapılan bağış.
Alıcı: Kamu idaresi / KYD dernek / Muafiyet vakfı.
Faaliyet/işletme giderleri de kapsama dahil.
403 (KVK Md.10/1-5):
Eğitim + sağlık + GENÇLİK MERKEZİ + GENÇLİK/İZCİ KAMPI + yurt inşaatı.
402'de olmayan gençlik merkezi ve izci kampı burada.
Salt faaliyet/işletme giderleri tartışmalı → YMM özelge değerlendirmesi.
MÜKERRER İNDİRİM RİSKİ:
Eğitim/sağlık/yurt bağışları hem 402 hem 403 kapsamına giriyor.
Aynı tutarı iki koda birden yazmak yasak — tek kod kullanılmalı.
GİB rehberinde iki ayrı satır var; YMM tutarlı kodu seçip belgeler.</t>
  </si>
  <si>
    <t>KVK Md.10/1-c | KVK Md.10/1-5 | GİB KV Beyan Reh. 2026</t>
  </si>
  <si>
    <t>N3</t>
  </si>
  <si>
    <t>Alıcı Statüsü — KYD ve Muafiyet Vakfı Teyidi</t>
  </si>
  <si>
    <t>UYGUN ALICI VE BELGE KOŞULLARI:
① KAMU İDARESİ: Bakanlık, müdürlük, belediye, özel idare.
   Statü belgesi gerekmez — zaten kamu tüzel kişisi.
② KAMU YARARINA ÇALIŞAN DERNEK (KYD):
   Bakanlık kararı ile KYD statüsü tanınmış dernek.
   Belge: İlgili bakanlık kararı veya Resmî Gazete ilanı.
   Statünün bağış döneminde geçerli olduğu kontrol edilmeli.
③ MUAFİYET VAKFI:
   Cumhurbaşkanlığı/Bakanlar Kurulu kararıyla vergi muafiyeti tanınan vakıf.
   Belge: İlgili Cumhurbaşkanlığı kararı veya Resmî Gazete ilanı.
YMM UYARISI: Statü belgesi temin edilmeden indirim uygulanırsa
GİB tarhiyat riski doğar. Her dönem için statü güncelliği kontrol edilmeli.</t>
  </si>
  <si>
    <t>KVK Md.10/1-5 | GİB Özelge | Danıştay</t>
  </si>
  <si>
    <t>N4</t>
  </si>
  <si>
    <t>YİAKV ile İlişki — E.11 Kapsamlı Tablo</t>
  </si>
  <si>
    <t>YİAKV (KVK Md.32/C) VE KVK Md.10/1-5 BAĞIŞI:
✗ 403 (KVK Md.10/1-5): DÜŞÜLEMEZ → YİAKV E.11
YİAKV E.11 — TÜM BAĞIŞ/YARDIM/SPONSORLUK KODLARI:
✗ 402 | ✗ 403 | ✗ 460/461 | ✗ 464 | ✗ 465 | ✗ 466
✗ 469 | ✗ 470 | ✗ 471 | ✗ 472 | ✗ 473 | ✗ 474
✗ 475 | ✗ 476 | ✗ 477 | ✗ 478 | ✗ 479 | ✗ 480
✗ 481 | ✗ 482 | ✗ 483
→ YİAKV E.11 = Tüm bu kodların dönem toplamı
DÜŞÜLEBILIR: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</si>
  <si>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</si>
  <si>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</si>
  <si>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</si>
  <si>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KULLANIN:
'...Kurumlar Vergisi Kanunu'nun 10. maddesinin birinci fıkrasının (5)
numaralı bendi kapsamında [Alıcı Kurum Adı]'na [Tesis Türü] amacıyla
[Tarih] tarihinde banka yoluyla ödenen [Nakdi TL] TL nakdi bağış ile
[Ayni TL] TL maliyet bedelindeki ayni bağışın tamamı olan [Toplam TL]
TL, kurumlar vergisi matrahından indirilmiştir.
Söz konusu tutar YİAKV matrahından indirilmemiştir.'
KULLANMAYIN:
'...Aynı bağış hem 402 hem 403 kapsamında indirilmiştir.' (Mükerrerlik!)
'...Salt işletme gideri 403 kapsamında indirilmiştir.' (Risk)
'...KYD/muafiyet belgesi olmayan vakıf bağışı 403 kapsamında.'
'...403 YİAKV matrahından düşülmüştür.' (YANLIŞ)
KRİTİK RİSKLER:
(1) Aynı bağışı 402+403 ile çift kez indirmek.
(2) KYD/muafiyet belgesi olmadan indirim uygulamak.
(3) İşletme giderlerini tesis inşaat bağışı gibi göstermek.
(4) Matrahı aşan kısmı devretmeye çalışmak.</t>
  </si>
  <si>
    <t>49 No.lu Tebliğ | KVK Md.10/1-5 | SM-SMMM-YMM K. Md.12</t>
  </si>
  <si>
    <t xml:space="preserve">  GİB KV BEYAN REHBERİ MART 2026 (No:606) KAPANIŞ (403): KVK Md.10/1-5 — Eğitim, sağlık, gençlik merkezi, gençlik/izci kampı, öğrenci yurdu inşaatı. 402 ile örtüşen bağışlarda mükerrer indirimden kaçın. KYD/muafiyet vakfı statüsü belgelenmeli. Tamamının indirimi. ✗ YİAKV E.11.</t>
  </si>
  <si>
    <t>403 – EĞİTİM/SAĞLIK/GENÇLİK/YURT BAĞIŞLARI KVK Md.10/1-5 | BELGE LİSTESİ | YMM</t>
  </si>
  <si>
    <t>Makbuz/Protokol | KYD/Muafiyet Belgesi | Banka Dekontu | Teslim Tutanağı | YİAKV E.11</t>
  </si>
  <si>
    <t>KATEGORİ 1 — ZORUNLU BELGELER</t>
  </si>
  <si>
    <t>No</t>
  </si>
  <si>
    <t>Temin</t>
  </si>
  <si>
    <t>1</t>
  </si>
  <si>
    <t>★ Alıcı Kurumdan Resmi Makbuz / Bağış Protokolü</t>
  </si>
  <si>
    <t>Bağış yapılan kurum (kamu idaresi, KYD dernek, muafiyet vakfı) tarafından düzenlenen resmi makbuz veya protokol. Tesis türü ve amacı belirtilmeli. Zorunlu.</t>
  </si>
  <si>
    <t>2</t>
  </si>
  <si>
    <t>★ KYD Dernek veya Muafiyet Vakfı Statü Belgesi</t>
  </si>
  <si>
    <t>KYD: İlgili bakanlık kararı veya Resmî Gazete. Muafiyet vakfı: Cumhurbaşkanlığı/Bakanlar Kurulu kararı veya Resmî Gazete. Kamu idaresi için bu belge gerekmez.</t>
  </si>
  <si>
    <t>İlgili Bakanlık / Resmî Gazete</t>
  </si>
  <si>
    <t>3</t>
  </si>
  <si>
    <t>★ Nakdi Bağış — Banka EFT/Havale Dekontu</t>
  </si>
  <si>
    <t>Alıcı kurumun banka hesabına yapılan her nakdi ödeme için ayrı dekont.</t>
  </si>
  <si>
    <t>Banka / Şirket hesabı</t>
  </si>
  <si>
    <t>4</t>
  </si>
  <si>
    <t>Ayni Bağış — Teslim Tutanağı + Maliyet Notu</t>
  </si>
  <si>
    <t>İnşaat malzemesi/ekipman/mobilya için imzalı teslim tutanağı ve maliyet/net defter değeri notu. KDV istisnası (KDVK Md.17/2-b).</t>
  </si>
  <si>
    <t>Teslim sırasında</t>
  </si>
  <si>
    <t>5</t>
  </si>
  <si>
    <t>Tesis Projesi / Teknik Belge (Özellikle Gençlik Merkezi/İzci Kampı için)</t>
  </si>
  <si>
    <t>Tesisin türünü, amacını ve inşaat kapsamını gösteren proje veya teknik belge. Gençlik merkezi ve izci kampı bağışlarında özellikle tavsiye edilir.</t>
  </si>
  <si>
    <t>Alıcı Kurum / Proje Firması</t>
  </si>
  <si>
    <t>6</t>
  </si>
  <si>
    <t>KV Beyannamesi 403 Satırı + YİAKV E.11 Bilgi</t>
  </si>
  <si>
    <t>Beyanname 403 = D.5 tutarı. YİAKV E.11 = 402+403+diğer tüm bağış kodları dönem toplamı.</t>
  </si>
  <si>
    <t>GİB e-Beyanname + YİAKV ÇK</t>
  </si>
  <si>
    <t>KATEGORİ 2 — YMM TASDİK KONTROL SORULARI</t>
  </si>
  <si>
    <t>Beklenen Sonuç</t>
  </si>
  <si>
    <t>YMM Aksiyonu</t>
  </si>
  <si>
    <t>S1</t>
  </si>
  <si>
    <t>Eğitim/sağlık/gençlik/izci/yurt — faaliyet değil.</t>
  </si>
  <si>
    <t>YMM kontrolü</t>
  </si>
  <si>
    <t>S2</t>
  </si>
  <si>
    <t>S3</t>
  </si>
  <si>
    <t>Kamu idaresi hariç zorunlu.</t>
  </si>
  <si>
    <t>S4</t>
  </si>
  <si>
    <t>S5</t>
  </si>
  <si>
    <t>S6</t>
  </si>
  <si>
    <t>S7</t>
  </si>
  <si>
    <t>Ayni bağış varsa maliyet değeri ve KDV istisnası doğru mu?</t>
  </si>
  <si>
    <t>Maliyet esas, KDV yok.</t>
  </si>
  <si>
    <t>S8</t>
  </si>
  <si>
    <t>★ İndirim matrahı aşıyor mu? (Devredilmez!)</t>
  </si>
  <si>
    <t>S9</t>
  </si>
  <si>
    <t>✗ YİAKV E.11'de bilgi satırı var mı?</t>
  </si>
  <si>
    <t>S10</t>
  </si>
  <si>
    <t>YMM Tasdik Raporu değerlendirildi mi?</t>
  </si>
  <si>
    <t>&gt;=500.000 TL → Rapor.</t>
  </si>
  <si>
    <t xml:space="preserve">  GİB KV BEYAN REHBERİ MART 2026 (No:606) | 403 KVK Md.10/1-5 BAĞIŞI SON NOT:
  Eğitim, sağlık, gençlik merkezi, gençlik/izci kampı, öğrenci yurdu inşaat/onarım/ekipman.
  Alıcı: Kamu idaresi / KYD dernek (bakanlık kararı) / Muafiyet vakfı (CB kararı).
  402 ile örtüşen bağışlarda aynı tutara çift indirim uygulanmamalı — mükerrer risk.
  Tamamının indirimi — matrahı aşan kısım devredilemez. ✗ YİAKV E.11.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</si>
</sst>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1B6B3A"/>
      <name val="Arial"/>
    </font>
    <font>
      <b/>
      <sz val="10"/>
      <color rgb="FF1B6B3A"/>
      <name val="Arial"/>
    </font>
    <font>
      <sz val="9"/>
      <color rgb="FF1F3864"/>
      <name val="Arial"/>
    </font>
    <font>
      <b/>
      <sz val="9"/>
      <color rgb="FF1B6B3A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1B6B3A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C8E6C9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1B6B3A"/>
      </left>
      <right style="thin">
        <color rgb="FF1B6B3A"/>
      </right>
      <top style="thin">
        <color rgb="FF1B6B3A"/>
      </top>
      <bottom style="thin">
        <color rgb="FF1B6B3A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center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3" fontId="18" fillId="2" borderId="8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/>
    </xf>
    <xf numFmtId="0" fontId="12" fillId="11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1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0" fillId="12" borderId="4" xfId="0" applyFill="1" applyBorder="1"/>
    <xf numFmtId="0" fontId="7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0" fillId="0" borderId="6" xfId="0" applyBorder="1"/>
    <xf numFmtId="0" fontId="10" fillId="12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0" fillId="11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7" fillId="11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5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24" fillId="9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3" fillId="13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26" fillId="17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16" fillId="14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6" fillId="11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top" wrapText="1"/>
    </xf>
    <xf numFmtId="0" fontId="26" fillId="11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center" wrapText="1"/>
    </xf>
    <xf numFmtId="0" fontId="3" fillId="16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6" fillId="15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60FE98-DE26-43AE-B2AF-632949CC92E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6e9cd8d-1b18-451b-bfda-87697dbb3a0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6" t="s">
        <v>0</v>
      </c>
      <c r="B1" s="68"/>
      <c r="C1" s="68"/>
      <c r="D1" s="68"/>
      <c r="E1" s="68"/>
      <c r="F1" s="68"/>
      <c r="G1" s="69"/>
    </row>
    <row r="2" spans="1:7" ht="22" customHeight="1" x14ac:dyDescent="0.55000000000000004">
      <c r="A2" s="93" t="s">
        <v>1</v>
      </c>
      <c r="B2" s="68"/>
      <c r="C2" s="68"/>
      <c r="D2" s="68"/>
      <c r="E2" s="68"/>
      <c r="F2" s="68"/>
      <c r="G2" s="69"/>
    </row>
    <row r="3" spans="1:7" ht="50.05" customHeight="1" x14ac:dyDescent="0.55000000000000004">
      <c r="A3" s="87" t="s">
        <v>2</v>
      </c>
      <c r="B3" s="64"/>
      <c r="C3" s="64"/>
      <c r="D3" s="64"/>
      <c r="E3" s="64"/>
      <c r="F3" s="64"/>
      <c r="G3" s="61"/>
    </row>
    <row r="4" spans="1:7" ht="22" customHeight="1" x14ac:dyDescent="0.55000000000000004">
      <c r="A4" s="88" t="s">
        <v>3</v>
      </c>
      <c r="B4" s="64"/>
      <c r="C4" s="64"/>
      <c r="D4" s="64"/>
      <c r="E4" s="64"/>
      <c r="F4" s="64"/>
      <c r="G4" s="61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2" t="s">
        <v>4</v>
      </c>
      <c r="B6" s="68"/>
      <c r="C6" s="68"/>
      <c r="D6" s="68"/>
      <c r="E6" s="68"/>
      <c r="F6" s="68"/>
      <c r="G6" s="69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2" t="s">
        <v>8</v>
      </c>
      <c r="B8" s="64"/>
      <c r="C8" s="64"/>
      <c r="D8" s="61"/>
      <c r="E8" s="3" t="s">
        <v>9</v>
      </c>
      <c r="F8" s="79" t="s">
        <v>10</v>
      </c>
      <c r="G8" s="61"/>
    </row>
    <row r="9" spans="1:7" ht="28" customHeight="1" x14ac:dyDescent="0.55000000000000004">
      <c r="A9" s="82" t="s">
        <v>11</v>
      </c>
      <c r="B9" s="64"/>
      <c r="C9" s="64"/>
      <c r="D9" s="61"/>
      <c r="E9" s="3" t="s">
        <v>9</v>
      </c>
      <c r="F9" s="79" t="s">
        <v>12</v>
      </c>
      <c r="G9" s="61"/>
    </row>
    <row r="10" spans="1:7" ht="28" customHeight="1" x14ac:dyDescent="0.55000000000000004">
      <c r="A10" s="82" t="s">
        <v>13</v>
      </c>
      <c r="B10" s="64"/>
      <c r="C10" s="64"/>
      <c r="D10" s="61"/>
      <c r="E10" s="3" t="s">
        <v>9</v>
      </c>
      <c r="F10" s="79" t="s">
        <v>14</v>
      </c>
      <c r="G10" s="61"/>
    </row>
    <row r="11" spans="1:7" ht="28" customHeight="1" x14ac:dyDescent="0.55000000000000004">
      <c r="A11" s="82" t="s">
        <v>15</v>
      </c>
      <c r="B11" s="64"/>
      <c r="C11" s="64"/>
      <c r="D11" s="61"/>
      <c r="E11" s="3" t="s">
        <v>9</v>
      </c>
      <c r="F11" s="79" t="s">
        <v>16</v>
      </c>
      <c r="G11" s="61"/>
    </row>
    <row r="12" spans="1:7" ht="28" customHeight="1" x14ac:dyDescent="0.55000000000000004">
      <c r="A12" s="70" t="s">
        <v>17</v>
      </c>
      <c r="B12" s="64"/>
      <c r="C12" s="64"/>
      <c r="D12" s="61"/>
      <c r="E12" s="3" t="s">
        <v>9</v>
      </c>
      <c r="F12" s="80" t="s">
        <v>18</v>
      </c>
      <c r="G12" s="61"/>
    </row>
    <row r="13" spans="1:7" ht="28" customHeight="1" x14ac:dyDescent="0.55000000000000004">
      <c r="A13" s="66" t="s">
        <v>19</v>
      </c>
      <c r="B13" s="64"/>
      <c r="C13" s="64"/>
      <c r="D13" s="61"/>
      <c r="E13" s="3" t="s">
        <v>20</v>
      </c>
      <c r="F13" s="71" t="s">
        <v>21</v>
      </c>
      <c r="G13" s="61"/>
    </row>
    <row r="14" spans="1:7" ht="28" customHeight="1" x14ac:dyDescent="0.55000000000000004">
      <c r="A14" s="70" t="s">
        <v>22</v>
      </c>
      <c r="B14" s="64"/>
      <c r="C14" s="64"/>
      <c r="D14" s="61"/>
      <c r="E14" s="3" t="s">
        <v>9</v>
      </c>
      <c r="F14" s="80" t="s">
        <v>23</v>
      </c>
      <c r="G14" s="61"/>
    </row>
    <row r="15" spans="1:7" ht="28" customHeight="1" x14ac:dyDescent="0.55000000000000004">
      <c r="A15" s="66" t="s">
        <v>24</v>
      </c>
      <c r="B15" s="64"/>
      <c r="C15" s="64"/>
      <c r="D15" s="61"/>
      <c r="E15" s="3" t="s">
        <v>9</v>
      </c>
      <c r="F15" s="71" t="s">
        <v>25</v>
      </c>
      <c r="G15" s="61"/>
    </row>
    <row r="16" spans="1:7" ht="24" customHeight="1" x14ac:dyDescent="0.55000000000000004">
      <c r="A16" s="73" t="s">
        <v>26</v>
      </c>
      <c r="B16" s="64"/>
      <c r="C16" s="64"/>
      <c r="D16" s="61"/>
      <c r="E16" s="4" t="str">
        <f>IF(AND(E8="EVET",E9="EVET",E11="EVET",E12="EVET"),"OK - Hesaplanabilir","HATA - Ön koşul eksik")</f>
        <v>OK - Hesaplanabilir</v>
      </c>
      <c r="F16" s="60" t="s">
        <v>27</v>
      </c>
      <c r="G16" s="61"/>
    </row>
    <row r="17" spans="1:7" ht="5.05" customHeight="1" x14ac:dyDescent="0.55000000000000004">
      <c r="A17" s="1"/>
      <c r="B17" s="1"/>
      <c r="C17" s="1"/>
      <c r="D17" s="1"/>
      <c r="E17" s="1"/>
      <c r="F17" s="1"/>
      <c r="G17" s="1"/>
    </row>
    <row r="18" spans="1:7" ht="22" customHeight="1" x14ac:dyDescent="0.55000000000000004">
      <c r="A18" s="67" t="s">
        <v>28</v>
      </c>
      <c r="B18" s="68"/>
      <c r="C18" s="68"/>
      <c r="D18" s="68"/>
      <c r="E18" s="68"/>
      <c r="F18" s="68"/>
      <c r="G18" s="69"/>
    </row>
    <row r="19" spans="1:7" ht="22" customHeight="1" x14ac:dyDescent="0.55000000000000004">
      <c r="A19" s="66" t="s">
        <v>29</v>
      </c>
      <c r="B19" s="61"/>
      <c r="C19" s="63"/>
      <c r="D19" s="64"/>
      <c r="E19" s="61"/>
      <c r="F19" s="62" t="s">
        <v>30</v>
      </c>
      <c r="G19" s="61"/>
    </row>
    <row r="20" spans="1:7" ht="22" customHeight="1" x14ac:dyDescent="0.55000000000000004">
      <c r="A20" s="70" t="s">
        <v>31</v>
      </c>
      <c r="B20" s="61"/>
      <c r="C20" s="63"/>
      <c r="D20" s="64"/>
      <c r="E20" s="61"/>
      <c r="F20" s="65" t="s">
        <v>32</v>
      </c>
      <c r="G20" s="61"/>
    </row>
    <row r="21" spans="1:7" ht="22" customHeight="1" x14ac:dyDescent="0.55000000000000004">
      <c r="A21" s="66" t="s">
        <v>33</v>
      </c>
      <c r="B21" s="61"/>
      <c r="C21" s="63"/>
      <c r="D21" s="64"/>
      <c r="E21" s="61"/>
      <c r="F21" s="62" t="s">
        <v>34</v>
      </c>
      <c r="G21" s="61"/>
    </row>
    <row r="22" spans="1:7" ht="22" customHeight="1" x14ac:dyDescent="0.55000000000000004">
      <c r="A22" s="70" t="s">
        <v>35</v>
      </c>
      <c r="B22" s="61"/>
      <c r="C22" s="63"/>
      <c r="D22" s="64"/>
      <c r="E22" s="61"/>
      <c r="F22" s="65" t="s">
        <v>36</v>
      </c>
      <c r="G22" s="61"/>
    </row>
    <row r="23" spans="1:7" ht="22" customHeight="1" x14ac:dyDescent="0.55000000000000004">
      <c r="A23" s="66" t="s">
        <v>37</v>
      </c>
      <c r="B23" s="61"/>
      <c r="C23" s="63"/>
      <c r="D23" s="64"/>
      <c r="E23" s="61"/>
      <c r="F23" s="62" t="s">
        <v>38</v>
      </c>
      <c r="G23" s="61"/>
    </row>
    <row r="24" spans="1:7" ht="22" customHeight="1" x14ac:dyDescent="0.55000000000000004">
      <c r="A24" s="70" t="s">
        <v>39</v>
      </c>
      <c r="B24" s="61"/>
      <c r="C24" s="63"/>
      <c r="D24" s="64"/>
      <c r="E24" s="61"/>
      <c r="F24" s="65" t="s">
        <v>40</v>
      </c>
      <c r="G24" s="61"/>
    </row>
    <row r="25" spans="1:7" ht="22" customHeight="1" x14ac:dyDescent="0.55000000000000004">
      <c r="A25" s="66" t="s">
        <v>41</v>
      </c>
      <c r="B25" s="61"/>
      <c r="C25" s="63"/>
      <c r="D25" s="64"/>
      <c r="E25" s="61"/>
      <c r="F25" s="62" t="s">
        <v>42</v>
      </c>
      <c r="G25" s="61"/>
    </row>
    <row r="27" spans="1:7" ht="5.05" customHeight="1" x14ac:dyDescent="0.55000000000000004">
      <c r="A27" s="1"/>
      <c r="B27" s="1"/>
      <c r="C27" s="1"/>
      <c r="D27" s="1"/>
      <c r="E27" s="1"/>
      <c r="F27" s="1"/>
      <c r="G27" s="1"/>
    </row>
    <row r="28" spans="1:7" ht="24" customHeight="1" x14ac:dyDescent="0.55000000000000004">
      <c r="A28" s="67" t="s">
        <v>43</v>
      </c>
      <c r="B28" s="68"/>
      <c r="C28" s="68"/>
      <c r="D28" s="68"/>
      <c r="E28" s="68"/>
      <c r="F28" s="68"/>
      <c r="G28" s="69"/>
    </row>
    <row r="29" spans="1:7" ht="18" customHeight="1" x14ac:dyDescent="0.55000000000000004">
      <c r="A29" s="2"/>
      <c r="B29" s="2" t="s">
        <v>44</v>
      </c>
      <c r="C29" s="2"/>
      <c r="D29" s="2" t="s">
        <v>45</v>
      </c>
      <c r="E29" s="2"/>
      <c r="F29" s="2" t="s">
        <v>46</v>
      </c>
      <c r="G29" s="2" t="s">
        <v>47</v>
      </c>
    </row>
    <row r="30" spans="1:7" ht="26.05" customHeight="1" x14ac:dyDescent="0.55000000000000004">
      <c r="A30" s="78" t="s">
        <v>48</v>
      </c>
      <c r="B30" s="61"/>
      <c r="C30" s="3" t="s">
        <v>49</v>
      </c>
      <c r="D30" s="65" t="s">
        <v>50</v>
      </c>
      <c r="E30" s="61"/>
      <c r="F30" s="81" t="s">
        <v>51</v>
      </c>
      <c r="G30" s="61"/>
    </row>
    <row r="31" spans="1:7" ht="26.05" customHeight="1" x14ac:dyDescent="0.55000000000000004">
      <c r="A31" s="84" t="s">
        <v>52</v>
      </c>
      <c r="B31" s="61"/>
      <c r="C31" s="3" t="s">
        <v>53</v>
      </c>
      <c r="D31" s="62" t="s">
        <v>54</v>
      </c>
      <c r="E31" s="61"/>
      <c r="F31" s="83" t="s">
        <v>55</v>
      </c>
      <c r="G31" s="61"/>
    </row>
    <row r="32" spans="1:7" ht="26.05" customHeight="1" x14ac:dyDescent="0.55000000000000004">
      <c r="A32" s="70" t="s">
        <v>56</v>
      </c>
      <c r="B32" s="61"/>
      <c r="C32" s="3" t="s">
        <v>57</v>
      </c>
      <c r="D32" s="65" t="s">
        <v>58</v>
      </c>
      <c r="E32" s="61"/>
      <c r="F32" s="81" t="s">
        <v>59</v>
      </c>
      <c r="G32" s="61"/>
    </row>
    <row r="33" spans="1:7" ht="26.05" customHeight="1" x14ac:dyDescent="0.55000000000000004">
      <c r="A33" s="66" t="s">
        <v>60</v>
      </c>
      <c r="B33" s="61"/>
      <c r="C33" s="5"/>
      <c r="D33" s="62" t="s">
        <v>61</v>
      </c>
      <c r="E33" s="61"/>
      <c r="F33" s="83" t="s">
        <v>62</v>
      </c>
      <c r="G33" s="61"/>
    </row>
    <row r="34" spans="1:7" ht="26.05" customHeight="1" x14ac:dyDescent="0.55000000000000004">
      <c r="A34" s="78" t="s">
        <v>63</v>
      </c>
      <c r="B34" s="61"/>
      <c r="C34" s="5"/>
      <c r="D34" s="65" t="s">
        <v>64</v>
      </c>
      <c r="E34" s="61"/>
      <c r="F34" s="81" t="s">
        <v>65</v>
      </c>
      <c r="G34" s="61"/>
    </row>
    <row r="35" spans="1:7" ht="26.05" customHeight="1" x14ac:dyDescent="0.55000000000000004">
      <c r="A35" s="66" t="s">
        <v>66</v>
      </c>
      <c r="B35" s="61"/>
      <c r="C35" s="5"/>
      <c r="D35" s="62" t="s">
        <v>67</v>
      </c>
      <c r="E35" s="61"/>
      <c r="F35" s="83" t="s">
        <v>68</v>
      </c>
      <c r="G35" s="61"/>
    </row>
    <row r="36" spans="1:7" ht="26.05" customHeight="1" x14ac:dyDescent="0.55000000000000004">
      <c r="A36" s="78" t="s">
        <v>69</v>
      </c>
      <c r="B36" s="61"/>
      <c r="C36" s="6">
        <f>C34+C35</f>
        <v>0</v>
      </c>
      <c r="D36" s="65" t="s">
        <v>70</v>
      </c>
      <c r="E36" s="61"/>
      <c r="F36" s="81" t="s">
        <v>71</v>
      </c>
      <c r="G36" s="61"/>
    </row>
    <row r="37" spans="1:7" ht="26.05" customHeight="1" x14ac:dyDescent="0.55000000000000004">
      <c r="A37" s="84" t="s">
        <v>72</v>
      </c>
      <c r="B37" s="61"/>
      <c r="C37" s="5"/>
      <c r="D37" s="62" t="s">
        <v>73</v>
      </c>
      <c r="E37" s="61"/>
      <c r="F37" s="83" t="s">
        <v>37</v>
      </c>
      <c r="G37" s="61"/>
    </row>
    <row r="38" spans="1:7" ht="5.05" customHeight="1" x14ac:dyDescent="0.55000000000000004">
      <c r="A38" s="1"/>
      <c r="B38" s="1"/>
      <c r="C38" s="1"/>
      <c r="D38" s="1"/>
      <c r="E38" s="1"/>
      <c r="F38" s="1"/>
      <c r="G38" s="1"/>
    </row>
    <row r="39" spans="1:7" ht="24" customHeight="1" x14ac:dyDescent="0.55000000000000004">
      <c r="A39" s="67" t="s">
        <v>74</v>
      </c>
      <c r="B39" s="68"/>
      <c r="C39" s="68"/>
      <c r="D39" s="68"/>
      <c r="E39" s="68"/>
      <c r="F39" s="68"/>
      <c r="G39" s="69"/>
    </row>
    <row r="40" spans="1:7" ht="22" customHeight="1" x14ac:dyDescent="0.55000000000000004">
      <c r="A40" s="89" t="s">
        <v>75</v>
      </c>
      <c r="B40" s="64"/>
      <c r="C40" s="64"/>
      <c r="D40" s="64"/>
      <c r="E40" s="64"/>
      <c r="F40" s="64"/>
      <c r="G40" s="61"/>
    </row>
    <row r="41" spans="1:7" ht="18" customHeight="1" x14ac:dyDescent="0.55000000000000004">
      <c r="A41" s="7" t="s">
        <v>76</v>
      </c>
      <c r="B41" s="7" t="s">
        <v>77</v>
      </c>
      <c r="C41" s="7" t="s">
        <v>78</v>
      </c>
      <c r="D41" s="7" t="s">
        <v>79</v>
      </c>
      <c r="E41" s="7" t="s">
        <v>80</v>
      </c>
      <c r="F41" s="7" t="s">
        <v>81</v>
      </c>
      <c r="G41" s="7" t="s">
        <v>82</v>
      </c>
    </row>
    <row r="42" spans="1:7" ht="26.05" customHeight="1" x14ac:dyDescent="0.55000000000000004">
      <c r="A42" s="8"/>
      <c r="B42" s="9"/>
      <c r="C42" s="10"/>
      <c r="D42" s="10"/>
      <c r="E42" s="11">
        <f t="shared" ref="E42:E47" si="0">IF(OR(C42&gt;0,D42&gt;0),C42+D42,0)</f>
        <v>0</v>
      </c>
      <c r="F42" s="12">
        <f t="shared" ref="F42:F47" si="1">E42</f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4">
        <f t="shared" si="0"/>
        <v>0</v>
      </c>
      <c r="F43" s="12">
        <f t="shared" si="1"/>
        <v>0</v>
      </c>
      <c r="G43" s="13"/>
    </row>
    <row r="44" spans="1:7" ht="26.05" customHeight="1" x14ac:dyDescent="0.55000000000000004">
      <c r="A44" s="8"/>
      <c r="B44" s="9"/>
      <c r="C44" s="10"/>
      <c r="D44" s="10"/>
      <c r="E44" s="11">
        <f t="shared" si="0"/>
        <v>0</v>
      </c>
      <c r="F44" s="12">
        <f t="shared" si="1"/>
        <v>0</v>
      </c>
      <c r="G44" s="13"/>
    </row>
    <row r="45" spans="1:7" ht="26.05" customHeight="1" x14ac:dyDescent="0.55000000000000004">
      <c r="A45" s="8"/>
      <c r="B45" s="9"/>
      <c r="C45" s="10"/>
      <c r="D45" s="10"/>
      <c r="E45" s="14">
        <f t="shared" si="0"/>
        <v>0</v>
      </c>
      <c r="F45" s="12">
        <f t="shared" si="1"/>
        <v>0</v>
      </c>
      <c r="G45" s="13"/>
    </row>
    <row r="46" spans="1:7" ht="26.05" customHeight="1" x14ac:dyDescent="0.55000000000000004">
      <c r="A46" s="8"/>
      <c r="B46" s="9"/>
      <c r="C46" s="10"/>
      <c r="D46" s="10"/>
      <c r="E46" s="11">
        <f t="shared" si="0"/>
        <v>0</v>
      </c>
      <c r="F46" s="12">
        <f t="shared" si="1"/>
        <v>0</v>
      </c>
      <c r="G46" s="13"/>
    </row>
    <row r="47" spans="1:7" ht="26.05" customHeight="1" x14ac:dyDescent="0.55000000000000004">
      <c r="A47" s="8"/>
      <c r="B47" s="9"/>
      <c r="C47" s="10"/>
      <c r="D47" s="10"/>
      <c r="E47" s="14">
        <f t="shared" si="0"/>
        <v>0</v>
      </c>
      <c r="F47" s="12">
        <f t="shared" si="1"/>
        <v>0</v>
      </c>
      <c r="G47" s="13"/>
    </row>
    <row r="48" spans="1:7" ht="30" customHeight="1" x14ac:dyDescent="0.55000000000000004">
      <c r="A48" s="77" t="s">
        <v>83</v>
      </c>
      <c r="B48" s="61"/>
      <c r="C48" s="15">
        <f>SUM(C42:C47)</f>
        <v>0</v>
      </c>
      <c r="D48" s="15">
        <f>SUM(D42:D47)</f>
        <v>0</v>
      </c>
      <c r="E48" s="16">
        <f>SUM(E42:E47)</f>
        <v>0</v>
      </c>
      <c r="F48" s="17">
        <f>SUM(F42:F47)</f>
        <v>0</v>
      </c>
      <c r="G48" s="96" t="s">
        <v>84</v>
      </c>
    </row>
    <row r="49" spans="1:7" ht="5.05" customHeight="1" x14ac:dyDescent="0.55000000000000004">
      <c r="A49" s="1"/>
      <c r="B49" s="1"/>
      <c r="C49" s="1"/>
      <c r="D49" s="1"/>
      <c r="E49" s="1"/>
      <c r="F49" s="1"/>
      <c r="G49" s="1"/>
    </row>
    <row r="50" spans="1:7" ht="24" customHeight="1" x14ac:dyDescent="0.55000000000000004">
      <c r="A50" s="67" t="s">
        <v>85</v>
      </c>
      <c r="B50" s="68"/>
      <c r="C50" s="68"/>
      <c r="D50" s="68"/>
      <c r="E50" s="68"/>
      <c r="F50" s="68"/>
      <c r="G50" s="69"/>
    </row>
    <row r="51" spans="1:7" ht="18" customHeight="1" x14ac:dyDescent="0.55000000000000004">
      <c r="A51" s="2"/>
      <c r="B51" s="2" t="s">
        <v>86</v>
      </c>
      <c r="C51" s="2"/>
      <c r="D51" s="2" t="s">
        <v>87</v>
      </c>
      <c r="E51" s="2"/>
      <c r="F51" s="2" t="s">
        <v>46</v>
      </c>
      <c r="G51" s="2" t="s">
        <v>88</v>
      </c>
    </row>
    <row r="52" spans="1:7" ht="28" customHeight="1" x14ac:dyDescent="0.55000000000000004">
      <c r="A52" s="70" t="s">
        <v>89</v>
      </c>
      <c r="B52" s="61"/>
      <c r="C52" s="18">
        <f>C48</f>
        <v>0</v>
      </c>
      <c r="D52" s="65" t="s">
        <v>90</v>
      </c>
      <c r="E52" s="61"/>
      <c r="F52" s="80"/>
      <c r="G52" s="61"/>
    </row>
    <row r="53" spans="1:7" ht="28" customHeight="1" x14ac:dyDescent="0.55000000000000004">
      <c r="A53" s="66" t="s">
        <v>91</v>
      </c>
      <c r="B53" s="61"/>
      <c r="C53" s="18">
        <f>D48</f>
        <v>0</v>
      </c>
      <c r="D53" s="62" t="s">
        <v>92</v>
      </c>
      <c r="E53" s="61"/>
      <c r="F53" s="71"/>
      <c r="G53" s="61"/>
    </row>
    <row r="54" spans="1:7" ht="28" customHeight="1" x14ac:dyDescent="0.55000000000000004">
      <c r="A54" s="70" t="s">
        <v>93</v>
      </c>
      <c r="B54" s="61"/>
      <c r="C54" s="18">
        <f>E48</f>
        <v>0</v>
      </c>
      <c r="D54" s="65" t="s">
        <v>94</v>
      </c>
      <c r="E54" s="61"/>
      <c r="F54" s="80"/>
      <c r="G54" s="61"/>
    </row>
    <row r="55" spans="1:7" ht="28" customHeight="1" x14ac:dyDescent="0.55000000000000004">
      <c r="A55" s="66" t="s">
        <v>95</v>
      </c>
      <c r="B55" s="61"/>
      <c r="C55" s="19" t="s">
        <v>96</v>
      </c>
      <c r="D55" s="62" t="s">
        <v>97</v>
      </c>
      <c r="E55" s="61"/>
      <c r="F55" s="71" t="s">
        <v>98</v>
      </c>
      <c r="G55" s="61"/>
    </row>
    <row r="56" spans="1:7" ht="28" customHeight="1" x14ac:dyDescent="0.55000000000000004">
      <c r="A56" s="72" t="s">
        <v>99</v>
      </c>
      <c r="B56" s="61"/>
      <c r="C56" s="20">
        <f>F48</f>
        <v>0</v>
      </c>
      <c r="D56" s="74" t="s">
        <v>100</v>
      </c>
      <c r="E56" s="61"/>
      <c r="F56" s="75" t="s">
        <v>98</v>
      </c>
      <c r="G56" s="61"/>
    </row>
    <row r="57" spans="1:7" ht="28" customHeight="1" x14ac:dyDescent="0.55000000000000004">
      <c r="A57" s="91" t="s">
        <v>101</v>
      </c>
      <c r="B57" s="61"/>
      <c r="C57" s="21" t="s">
        <v>102</v>
      </c>
      <c r="D57" s="95" t="s">
        <v>103</v>
      </c>
      <c r="E57" s="61"/>
      <c r="F57" s="76" t="s">
        <v>104</v>
      </c>
      <c r="G57" s="61"/>
    </row>
    <row r="58" spans="1:7" ht="5.05" customHeight="1" x14ac:dyDescent="0.55000000000000004">
      <c r="A58" s="1"/>
      <c r="B58" s="1"/>
      <c r="C58" s="1"/>
      <c r="D58" s="1"/>
      <c r="E58" s="1"/>
      <c r="F58" s="1"/>
      <c r="G58" s="1"/>
    </row>
    <row r="59" spans="1:7" ht="32.049999999999997" customHeight="1" x14ac:dyDescent="0.55000000000000004">
      <c r="A59" s="85" t="s">
        <v>105</v>
      </c>
      <c r="B59" s="64"/>
      <c r="C59" s="64"/>
      <c r="D59" s="61"/>
      <c r="E59" s="22" t="str">
        <f>D56</f>
        <v>→ Beyanname 403 | Kazancın Bulunması Halinde</v>
      </c>
      <c r="F59" s="94" t="s">
        <v>106</v>
      </c>
      <c r="G59" s="61"/>
    </row>
    <row r="60" spans="1:7" ht="32.049999999999997" customHeight="1" x14ac:dyDescent="0.55000000000000004">
      <c r="A60" s="90" t="s">
        <v>107</v>
      </c>
      <c r="B60" s="64"/>
      <c r="C60" s="64"/>
      <c r="D60" s="64"/>
      <c r="E60" s="64"/>
      <c r="F60" s="64"/>
      <c r="G60" s="61"/>
    </row>
  </sheetData>
  <mergeCells count="96">
    <mergeCell ref="A2:G2"/>
    <mergeCell ref="F14:G14"/>
    <mergeCell ref="D54:E54"/>
    <mergeCell ref="A14:D14"/>
    <mergeCell ref="F11:G11"/>
    <mergeCell ref="A24:B24"/>
    <mergeCell ref="F12:G12"/>
    <mergeCell ref="F24:G24"/>
    <mergeCell ref="A25:B25"/>
    <mergeCell ref="D32:E32"/>
    <mergeCell ref="F32:G32"/>
    <mergeCell ref="F35:G35"/>
    <mergeCell ref="C19:E19"/>
    <mergeCell ref="G48"/>
    <mergeCell ref="F52:G52"/>
    <mergeCell ref="A20:B20"/>
    <mergeCell ref="A6:G6"/>
    <mergeCell ref="A32:B32"/>
    <mergeCell ref="F22:G22"/>
    <mergeCell ref="A23:B23"/>
    <mergeCell ref="D55:E55"/>
    <mergeCell ref="D30:E30"/>
    <mergeCell ref="A18:G18"/>
    <mergeCell ref="A12:D12"/>
    <mergeCell ref="A50:G50"/>
    <mergeCell ref="F55:G55"/>
    <mergeCell ref="F37:G37"/>
    <mergeCell ref="A31:B31"/>
    <mergeCell ref="F53:G53"/>
    <mergeCell ref="A60:G60"/>
    <mergeCell ref="A55:B55"/>
    <mergeCell ref="F8:G8"/>
    <mergeCell ref="A21:B21"/>
    <mergeCell ref="A57:B57"/>
    <mergeCell ref="F59:G59"/>
    <mergeCell ref="D57:E57"/>
    <mergeCell ref="A59:D59"/>
    <mergeCell ref="A11:D11"/>
    <mergeCell ref="D53:E53"/>
    <mergeCell ref="A1:G1"/>
    <mergeCell ref="D37:E37"/>
    <mergeCell ref="F31:G31"/>
    <mergeCell ref="F9:G9"/>
    <mergeCell ref="C24:E24"/>
    <mergeCell ref="A52:B52"/>
    <mergeCell ref="A3:G3"/>
    <mergeCell ref="A34:B34"/>
    <mergeCell ref="A8:D8"/>
    <mergeCell ref="A4:G4"/>
    <mergeCell ref="A36:B36"/>
    <mergeCell ref="A10:D10"/>
    <mergeCell ref="F21:G21"/>
    <mergeCell ref="A9:D9"/>
    <mergeCell ref="F30:G30"/>
    <mergeCell ref="F20:G20"/>
    <mergeCell ref="F33:G33"/>
    <mergeCell ref="A37:B37"/>
    <mergeCell ref="F36:G36"/>
    <mergeCell ref="F10:G10"/>
    <mergeCell ref="F54:G54"/>
    <mergeCell ref="D34:E34"/>
    <mergeCell ref="F19:G19"/>
    <mergeCell ref="C22:E22"/>
    <mergeCell ref="F34:G34"/>
    <mergeCell ref="D52:E52"/>
    <mergeCell ref="A40:G40"/>
    <mergeCell ref="F57:G57"/>
    <mergeCell ref="C25:E25"/>
    <mergeCell ref="D35:E35"/>
    <mergeCell ref="A48:B48"/>
    <mergeCell ref="A30:B30"/>
    <mergeCell ref="A56:B56"/>
    <mergeCell ref="A33:B33"/>
    <mergeCell ref="F23:G23"/>
    <mergeCell ref="A16:D16"/>
    <mergeCell ref="F13:G13"/>
    <mergeCell ref="D56:E56"/>
    <mergeCell ref="F56:G56"/>
    <mergeCell ref="A22:B22"/>
    <mergeCell ref="A53:B53"/>
    <mergeCell ref="A35:B35"/>
    <mergeCell ref="D33:E33"/>
    <mergeCell ref="A19:B19"/>
    <mergeCell ref="C20:E20"/>
    <mergeCell ref="A13:D13"/>
    <mergeCell ref="A28:G28"/>
    <mergeCell ref="A54:B54"/>
    <mergeCell ref="F15:G15"/>
    <mergeCell ref="C23:E23"/>
    <mergeCell ref="A39:G39"/>
    <mergeCell ref="A15:D15"/>
    <mergeCell ref="F16:G16"/>
    <mergeCell ref="F25:G25"/>
    <mergeCell ref="C21:E21"/>
    <mergeCell ref="D31:E31"/>
    <mergeCell ref="D36:E36"/>
  </mergeCells>
  <conditionalFormatting sqref="E16">
    <cfRule type="containsText" dxfId="3" priority="1" operator="containsText" text="OK">
      <formula>NOT(ISERROR(SEARCH("OK",E16)))</formula>
    </cfRule>
    <cfRule type="containsText" dxfId="2" priority="2" operator="containsText" text="HATA">
      <formula>NOT(ISERROR(SEARCH("HATA",E16)))</formula>
    </cfRule>
  </conditionalFormatting>
  <dataValidations count="11">
    <dataValidation type="list" sqref="E8" xr:uid="{00000000-0002-0000-0000-000000000000}">
      <formula1>"EVET,HAYIR-Tesis Türü Kapsam Dışı"</formula1>
    </dataValidation>
    <dataValidation type="list" sqref="E9" xr:uid="{00000000-0002-0000-0000-000001000000}">
      <formula1>"EVET,HAYIR-Alıcı Uygun Değil"</formula1>
    </dataValidation>
    <dataValidation type="list" sqref="E10" xr:uid="{00000000-0002-0000-0000-000002000000}">
      <formula1>"EVET,HAYIR-Statü Belgesi Eksik,Uygulanmaz-Kamu İdaresi"</formula1>
    </dataValidation>
    <dataValidation type="list" sqref="E11" xr:uid="{00000000-0002-0000-0000-000003000000}">
      <formula1>"EVET,HAYIR-Taahhüt Aşamasında"</formula1>
    </dataValidation>
    <dataValidation type="list" sqref="E12" xr:uid="{00000000-0002-0000-0000-000004000000}">
      <formula1>"EVET,HAYIR-Belge Eksik"</formula1>
    </dataValidation>
    <dataValidation type="list" sqref="E13" xr:uid="{00000000-0002-0000-0000-000005000000}">
      <formula1>"HAYIR-Çakışma Yok,EVET-Dikkat Edildi"</formula1>
    </dataValidation>
    <dataValidation type="list" sqref="E14" xr:uid="{00000000-0002-0000-0000-000006000000}">
      <formula1>"EVET,HAYIR-Eksik"</formula1>
    </dataValidation>
    <dataValidation type="list" sqref="E15" xr:uid="{00000000-0002-0000-0000-000007000000}">
      <formula1>"EVET,Tam Tasdik"</formula1>
    </dataValidation>
    <dataValidation type="list" sqref="C30" xr:uid="{00000000-0002-0000-0000-000008000000}">
      <formula1>_xlfn._LONGTEXT("Eğitim Tesisi İnşaatı/Onarımı/Ekipmanı,Sağlık Tesisi İnşaatı/Onarımı/Ekipmanı,Gençlik Merkezi İnşaatı/Onarımı/Ekipmanı,Gençlik Kampı İnşaatı/Onarımı/Ekipmanı,İzci Kampı İnşaatı/Onarımı/Ekipmanı,Öğrenci Yurdu İnşaatı/Onarımı/Ekipmanı,Diğer KVK Md.10/1-5 Ka","psamı Tesis")</formula1>
    </dataValidation>
    <dataValidation type="list" sqref="C31" xr:uid="{00000000-0002-0000-0000-000009000000}">
      <formula1>"Kamu İdaresi (Bakanlık/İl-İlçe Müdürlüğü),Kamu Yararına Çalışan Dernek (KYD Statüsü),Bakanlar Kurulu/Cumhurbaşkanlığı Karar Vakfı (Muafiyet Vakfı),Belediye / Özel İdare,Diğer Uygun Alıcı"</formula1>
    </dataValidation>
    <dataValidation type="list" sqref="C32" xr:uid="{00000000-0002-0000-0000-00000A000000}">
      <formula1>"Nakdi (Banka Transferi/EFT/Havale),Ayni (İnşaat Malzemesi/Ekipman/Mobilya),Nakdi + Ayni (Karma),Bizzat İnşaat/Hizmet (Bedelsiz İşçilik/Hizmet)"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6" t="s">
        <v>108</v>
      </c>
      <c r="B1" s="68"/>
      <c r="C1" s="68"/>
      <c r="D1" s="68"/>
      <c r="E1" s="68"/>
      <c r="F1" s="68"/>
      <c r="G1" s="69"/>
    </row>
    <row r="2" spans="1:7" ht="20.05" customHeight="1" x14ac:dyDescent="0.55000000000000004">
      <c r="A2" s="110" t="s">
        <v>109</v>
      </c>
      <c r="B2" s="64"/>
      <c r="C2" s="64"/>
      <c r="D2" s="64"/>
      <c r="E2" s="64"/>
      <c r="F2" s="64"/>
      <c r="G2" s="61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9" t="s">
        <v>110</v>
      </c>
      <c r="B4" s="68"/>
      <c r="C4" s="68"/>
      <c r="D4" s="68"/>
      <c r="E4" s="68"/>
      <c r="F4" s="68"/>
      <c r="G4" s="69"/>
    </row>
    <row r="5" spans="1:7" ht="22" customHeight="1" x14ac:dyDescent="0.55000000000000004">
      <c r="A5" s="103" t="s">
        <v>111</v>
      </c>
      <c r="B5" s="64"/>
      <c r="C5" s="61"/>
      <c r="D5" s="23" t="str">
        <f>'VERİ GİRİŞİ'!E16</f>
        <v>OK - Hesaplanabilir</v>
      </c>
      <c r="E5" s="71" t="s">
        <v>112</v>
      </c>
      <c r="F5" s="64"/>
      <c r="G5" s="61"/>
    </row>
    <row r="6" spans="1:7" ht="22" customHeight="1" x14ac:dyDescent="0.55000000000000004">
      <c r="A6" s="104" t="s">
        <v>113</v>
      </c>
      <c r="B6" s="64"/>
      <c r="C6" s="61"/>
      <c r="D6" s="23" t="str">
        <f>'VERİ GİRİŞİ'!C30</f>
        <v>Eğitim Tesisi İnşaatı/Onarımı/Ekipmanı</v>
      </c>
      <c r="E6" s="80" t="s">
        <v>114</v>
      </c>
      <c r="F6" s="64"/>
      <c r="G6" s="61"/>
    </row>
    <row r="7" spans="1:7" ht="22" customHeight="1" x14ac:dyDescent="0.55000000000000004">
      <c r="A7" s="103" t="s">
        <v>115</v>
      </c>
      <c r="B7" s="64"/>
      <c r="C7" s="61"/>
      <c r="D7" s="23" t="str">
        <f>'VERİ GİRİŞİ'!C31</f>
        <v>Kamu İdaresi (Bakanlık/İl-İlçe Müdürlüğü)</v>
      </c>
      <c r="E7" s="71" t="s">
        <v>116</v>
      </c>
      <c r="F7" s="64"/>
      <c r="G7" s="61"/>
    </row>
    <row r="8" spans="1:7" ht="22" customHeight="1" x14ac:dyDescent="0.55000000000000004">
      <c r="A8" s="104" t="s">
        <v>117</v>
      </c>
      <c r="B8" s="64"/>
      <c r="C8" s="61"/>
      <c r="D8" s="23">
        <f>'VERİ GİRİŞİ'!C54</f>
        <v>0</v>
      </c>
      <c r="E8" s="80" t="s">
        <v>118</v>
      </c>
      <c r="F8" s="64"/>
      <c r="G8" s="61"/>
    </row>
    <row r="9" spans="1:7" ht="22" customHeight="1" x14ac:dyDescent="0.55000000000000004">
      <c r="A9" s="73" t="s">
        <v>119</v>
      </c>
      <c r="B9" s="64"/>
      <c r="C9" s="61"/>
      <c r="D9" s="24">
        <f>'VERİ GİRİŞİ'!C56</f>
        <v>0</v>
      </c>
      <c r="E9" s="75"/>
      <c r="F9" s="64"/>
      <c r="G9" s="61"/>
    </row>
    <row r="10" spans="1:7" ht="22" customHeight="1" x14ac:dyDescent="0.55000000000000004">
      <c r="A10" s="105" t="s">
        <v>120</v>
      </c>
      <c r="B10" s="64"/>
      <c r="C10" s="61"/>
      <c r="D10" s="21" t="s">
        <v>121</v>
      </c>
      <c r="E10" s="76" t="s">
        <v>122</v>
      </c>
      <c r="F10" s="64"/>
      <c r="G10" s="61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67" t="s">
        <v>123</v>
      </c>
      <c r="B12" s="68"/>
      <c r="C12" s="68"/>
      <c r="D12" s="68"/>
      <c r="E12" s="68"/>
      <c r="F12" s="68"/>
      <c r="G12" s="69"/>
    </row>
    <row r="13" spans="1:7" ht="60" customHeight="1" x14ac:dyDescent="0.55000000000000004">
      <c r="A13" s="102" t="s">
        <v>124</v>
      </c>
      <c r="B13" s="64"/>
      <c r="C13" s="64"/>
      <c r="D13" s="64"/>
      <c r="E13" s="64"/>
      <c r="F13" s="64"/>
      <c r="G13" s="61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67" t="s">
        <v>125</v>
      </c>
      <c r="B15" s="68"/>
      <c r="C15" s="68"/>
      <c r="D15" s="68"/>
      <c r="E15" s="68"/>
      <c r="F15" s="68"/>
      <c r="G15" s="69"/>
    </row>
    <row r="16" spans="1:7" ht="48" customHeight="1" x14ac:dyDescent="0.55000000000000004">
      <c r="A16" s="107" t="s">
        <v>126</v>
      </c>
      <c r="B16" s="64"/>
      <c r="C16" s="64"/>
      <c r="D16" s="64"/>
      <c r="E16" s="64"/>
      <c r="F16" s="64"/>
      <c r="G16" s="61"/>
    </row>
    <row r="17" spans="1:7" ht="5.05" customHeight="1" x14ac:dyDescent="0.55000000000000004">
      <c r="A17" s="1"/>
      <c r="B17" s="1"/>
      <c r="C17" s="1"/>
      <c r="D17" s="1"/>
      <c r="E17" s="1"/>
      <c r="F17" s="1"/>
      <c r="G17" s="1"/>
    </row>
    <row r="18" spans="1:7" ht="22" customHeight="1" x14ac:dyDescent="0.55000000000000004">
      <c r="A18" s="67" t="s">
        <v>127</v>
      </c>
      <c r="B18" s="68"/>
      <c r="C18" s="68"/>
      <c r="D18" s="68"/>
      <c r="E18" s="68"/>
      <c r="F18" s="68"/>
      <c r="G18" s="69"/>
    </row>
    <row r="19" spans="1:7" ht="18" customHeight="1" x14ac:dyDescent="0.55000000000000004">
      <c r="A19" s="2"/>
      <c r="B19" s="2" t="s">
        <v>128</v>
      </c>
      <c r="C19" s="2"/>
      <c r="D19" s="2" t="s">
        <v>46</v>
      </c>
      <c r="E19" s="2"/>
      <c r="F19" s="2" t="s">
        <v>129</v>
      </c>
      <c r="G19" s="2"/>
    </row>
    <row r="20" spans="1:7" ht="20.05" customHeight="1" x14ac:dyDescent="0.55000000000000004">
      <c r="A20" s="25" t="s">
        <v>130</v>
      </c>
      <c r="B20" s="100" t="s">
        <v>131</v>
      </c>
      <c r="C20" s="61"/>
      <c r="D20" s="97" t="s">
        <v>132</v>
      </c>
      <c r="E20" s="61"/>
      <c r="F20" s="13" t="s">
        <v>133</v>
      </c>
      <c r="G20" s="28"/>
    </row>
    <row r="21" spans="1:7" ht="20.05" customHeight="1" x14ac:dyDescent="0.55000000000000004">
      <c r="A21" s="25" t="s">
        <v>134</v>
      </c>
      <c r="B21" s="100" t="s">
        <v>135</v>
      </c>
      <c r="C21" s="61"/>
      <c r="D21" s="97" t="s">
        <v>136</v>
      </c>
      <c r="E21" s="61"/>
      <c r="F21" s="13" t="s">
        <v>133</v>
      </c>
      <c r="G21" s="29"/>
    </row>
    <row r="22" spans="1:7" ht="20.05" customHeight="1" x14ac:dyDescent="0.55000000000000004">
      <c r="A22" s="25" t="s">
        <v>137</v>
      </c>
      <c r="B22" s="100" t="s">
        <v>138</v>
      </c>
      <c r="C22" s="61"/>
      <c r="D22" s="97" t="s">
        <v>139</v>
      </c>
      <c r="E22" s="61"/>
      <c r="F22" s="13" t="s">
        <v>133</v>
      </c>
      <c r="G22" s="28"/>
    </row>
    <row r="23" spans="1:7" ht="20.05" customHeight="1" x14ac:dyDescent="0.55000000000000004">
      <c r="A23" s="25" t="s">
        <v>140</v>
      </c>
      <c r="B23" s="100" t="s">
        <v>141</v>
      </c>
      <c r="C23" s="61"/>
      <c r="D23" s="97" t="s">
        <v>142</v>
      </c>
      <c r="E23" s="61"/>
      <c r="F23" s="13" t="s">
        <v>133</v>
      </c>
      <c r="G23" s="29"/>
    </row>
    <row r="24" spans="1:7" ht="20.05" customHeight="1" x14ac:dyDescent="0.55000000000000004">
      <c r="A24" s="25" t="s">
        <v>143</v>
      </c>
      <c r="B24" s="100" t="s">
        <v>144</v>
      </c>
      <c r="C24" s="61"/>
      <c r="D24" s="97" t="s">
        <v>145</v>
      </c>
      <c r="E24" s="61"/>
      <c r="F24" s="13" t="s">
        <v>133</v>
      </c>
      <c r="G24" s="28"/>
    </row>
    <row r="25" spans="1:7" ht="20.05" customHeight="1" x14ac:dyDescent="0.55000000000000004">
      <c r="A25" s="25" t="s">
        <v>146</v>
      </c>
      <c r="B25" s="98" t="s">
        <v>147</v>
      </c>
      <c r="C25" s="61"/>
      <c r="D25" s="101" t="s">
        <v>148</v>
      </c>
      <c r="E25" s="61"/>
      <c r="F25" s="13" t="s">
        <v>133</v>
      </c>
      <c r="G25" s="29"/>
    </row>
    <row r="26" spans="1:7" ht="20.05" customHeight="1" x14ac:dyDescent="0.55000000000000004">
      <c r="A26" s="25" t="s">
        <v>149</v>
      </c>
      <c r="B26" s="108" t="s">
        <v>150</v>
      </c>
      <c r="C26" s="61"/>
      <c r="D26" s="109" t="s">
        <v>151</v>
      </c>
      <c r="E26" s="61"/>
      <c r="F26" s="13" t="s">
        <v>133</v>
      </c>
      <c r="G26" s="28"/>
    </row>
    <row r="27" spans="1:7" ht="20.05" customHeight="1" x14ac:dyDescent="0.55000000000000004">
      <c r="A27" s="25" t="s">
        <v>152</v>
      </c>
      <c r="B27" s="98" t="s">
        <v>153</v>
      </c>
      <c r="C27" s="61"/>
      <c r="D27" s="101" t="s">
        <v>154</v>
      </c>
      <c r="E27" s="61"/>
      <c r="F27" s="13" t="s">
        <v>133</v>
      </c>
      <c r="G27" s="29"/>
    </row>
    <row r="28" spans="1:7" ht="20.05" customHeight="1" x14ac:dyDescent="0.55000000000000004">
      <c r="A28" s="25" t="s">
        <v>155</v>
      </c>
      <c r="B28" s="100" t="s">
        <v>156</v>
      </c>
      <c r="C28" s="61"/>
      <c r="D28" s="97" t="s">
        <v>157</v>
      </c>
      <c r="E28" s="61"/>
      <c r="F28" s="13" t="s">
        <v>133</v>
      </c>
      <c r="G28" s="28"/>
    </row>
    <row r="29" spans="1:7" ht="20.05" customHeight="1" x14ac:dyDescent="0.55000000000000004">
      <c r="A29" s="25" t="s">
        <v>158</v>
      </c>
      <c r="B29" s="98" t="s">
        <v>159</v>
      </c>
      <c r="C29" s="61"/>
      <c r="D29" s="101" t="s">
        <v>160</v>
      </c>
      <c r="E29" s="61"/>
      <c r="F29" s="13" t="s">
        <v>133</v>
      </c>
      <c r="G29" s="29"/>
    </row>
    <row r="30" spans="1:7" ht="20.05" customHeight="1" x14ac:dyDescent="0.55000000000000004">
      <c r="A30" s="25" t="s">
        <v>161</v>
      </c>
      <c r="B30" s="108" t="s">
        <v>162</v>
      </c>
      <c r="C30" s="61"/>
      <c r="D30" s="109" t="s">
        <v>163</v>
      </c>
      <c r="E30" s="61"/>
      <c r="F30" s="13" t="s">
        <v>133</v>
      </c>
      <c r="G30" s="28"/>
    </row>
    <row r="31" spans="1:7" ht="20.05" customHeight="1" x14ac:dyDescent="0.55000000000000004">
      <c r="A31" s="25" t="s">
        <v>164</v>
      </c>
      <c r="B31" s="98" t="s">
        <v>165</v>
      </c>
      <c r="C31" s="61"/>
      <c r="D31" s="101" t="s">
        <v>25</v>
      </c>
      <c r="E31" s="61"/>
      <c r="F31" s="13" t="s">
        <v>133</v>
      </c>
      <c r="G31" s="29"/>
    </row>
  </sheetData>
  <mergeCells count="44">
    <mergeCell ref="A2:G2"/>
    <mergeCell ref="B26:C26"/>
    <mergeCell ref="A7:C7"/>
    <mergeCell ref="D26:E26"/>
    <mergeCell ref="A1:G1"/>
    <mergeCell ref="B29:C29"/>
    <mergeCell ref="B28:C28"/>
    <mergeCell ref="A9:C9"/>
    <mergeCell ref="D28:E28"/>
    <mergeCell ref="A16:G16"/>
    <mergeCell ref="D25:E25"/>
    <mergeCell ref="B24:C24"/>
    <mergeCell ref="D24:E24"/>
    <mergeCell ref="A18:G18"/>
    <mergeCell ref="E5:G5"/>
    <mergeCell ref="B20:C20"/>
    <mergeCell ref="D29:E29"/>
    <mergeCell ref="A6:C6"/>
    <mergeCell ref="E8:G8"/>
    <mergeCell ref="A12:G12"/>
    <mergeCell ref="B31:C31"/>
    <mergeCell ref="B27:C27"/>
    <mergeCell ref="D31:E31"/>
    <mergeCell ref="E6:G6"/>
    <mergeCell ref="D21:E21"/>
    <mergeCell ref="A13:G13"/>
    <mergeCell ref="B21:C21"/>
    <mergeCell ref="A8:C8"/>
    <mergeCell ref="D27:E27"/>
    <mergeCell ref="B23:C23"/>
    <mergeCell ref="A15:G15"/>
    <mergeCell ref="E7:G7"/>
    <mergeCell ref="A10:C10"/>
    <mergeCell ref="B30:C30"/>
    <mergeCell ref="D30:E30"/>
    <mergeCell ref="D23:E23"/>
    <mergeCell ref="D20:E20"/>
    <mergeCell ref="E10:G10"/>
    <mergeCell ref="B25:C25"/>
    <mergeCell ref="A4:G4"/>
    <mergeCell ref="B22:C22"/>
    <mergeCell ref="E9:G9"/>
    <mergeCell ref="D22:E22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7" t="s">
        <v>166</v>
      </c>
      <c r="B1" s="68"/>
      <c r="C1" s="68"/>
      <c r="D1" s="68"/>
      <c r="E1" s="68"/>
      <c r="F1" s="68"/>
      <c r="G1" s="69"/>
    </row>
    <row r="2" spans="1:7" ht="22" customHeight="1" x14ac:dyDescent="0.55000000000000004">
      <c r="A2" s="112" t="s">
        <v>167</v>
      </c>
      <c r="B2" s="64"/>
      <c r="C2" s="64"/>
      <c r="D2" s="64"/>
      <c r="E2" s="64"/>
      <c r="F2" s="64"/>
      <c r="G2" s="61"/>
    </row>
    <row r="3" spans="1:7" ht="18" customHeight="1" x14ac:dyDescent="0.55000000000000004">
      <c r="A3" s="32"/>
      <c r="B3" s="32" t="s">
        <v>168</v>
      </c>
      <c r="C3" s="32" t="s">
        <v>169</v>
      </c>
      <c r="D3" s="32" t="s">
        <v>88</v>
      </c>
      <c r="E3" s="32" t="s">
        <v>170</v>
      </c>
      <c r="F3" s="32" t="s">
        <v>171</v>
      </c>
      <c r="G3" s="32" t="s">
        <v>172</v>
      </c>
    </row>
    <row r="4" spans="1:7" ht="22" customHeight="1" x14ac:dyDescent="0.55000000000000004">
      <c r="A4" s="33" t="s">
        <v>170</v>
      </c>
      <c r="B4" s="33" t="s">
        <v>173</v>
      </c>
      <c r="C4" s="33" t="s">
        <v>174</v>
      </c>
      <c r="D4" s="33" t="s">
        <v>175</v>
      </c>
      <c r="E4" s="33" t="s">
        <v>176</v>
      </c>
      <c r="F4" s="33" t="s">
        <v>177</v>
      </c>
      <c r="G4" s="33" t="s">
        <v>178</v>
      </c>
    </row>
    <row r="5" spans="1:7" ht="22" customHeight="1" x14ac:dyDescent="0.55000000000000004">
      <c r="A5" s="114" t="s">
        <v>179</v>
      </c>
      <c r="B5" s="64"/>
      <c r="C5" s="64"/>
      <c r="D5" s="64"/>
      <c r="E5" s="64"/>
      <c r="F5" s="64"/>
      <c r="G5" s="61"/>
    </row>
    <row r="6" spans="1:7" ht="18" customHeight="1" x14ac:dyDescent="0.55000000000000004">
      <c r="A6" s="32"/>
      <c r="B6" s="32" t="s">
        <v>168</v>
      </c>
      <c r="C6" s="32" t="s">
        <v>169</v>
      </c>
      <c r="D6" s="32" t="s">
        <v>88</v>
      </c>
      <c r="E6" s="32" t="s">
        <v>170</v>
      </c>
      <c r="F6" s="32" t="s">
        <v>171</v>
      </c>
      <c r="G6" s="32" t="s">
        <v>172</v>
      </c>
    </row>
    <row r="7" spans="1:7" ht="22" customHeight="1" x14ac:dyDescent="0.55000000000000004">
      <c r="A7" s="33" t="s">
        <v>170</v>
      </c>
      <c r="B7" s="33" t="s">
        <v>180</v>
      </c>
      <c r="C7" s="33" t="s">
        <v>181</v>
      </c>
      <c r="D7" s="33" t="s">
        <v>182</v>
      </c>
      <c r="E7" s="33" t="s">
        <v>183</v>
      </c>
      <c r="F7" s="33" t="s">
        <v>177</v>
      </c>
      <c r="G7" s="33" t="s">
        <v>184</v>
      </c>
    </row>
    <row r="8" spans="1:7" ht="22" customHeight="1" x14ac:dyDescent="0.55000000000000004">
      <c r="A8" s="111" t="s">
        <v>185</v>
      </c>
      <c r="B8" s="64"/>
      <c r="C8" s="64"/>
      <c r="D8" s="64"/>
      <c r="E8" s="64"/>
      <c r="F8" s="64"/>
      <c r="G8" s="61"/>
    </row>
    <row r="9" spans="1:7" ht="18" customHeight="1" x14ac:dyDescent="0.55000000000000004">
      <c r="A9" s="32"/>
      <c r="B9" s="32" t="s">
        <v>168</v>
      </c>
      <c r="C9" s="32" t="s">
        <v>169</v>
      </c>
      <c r="D9" s="32" t="s">
        <v>88</v>
      </c>
      <c r="E9" s="32" t="s">
        <v>170</v>
      </c>
      <c r="F9" s="32" t="s">
        <v>171</v>
      </c>
      <c r="G9" s="32" t="s">
        <v>172</v>
      </c>
    </row>
    <row r="10" spans="1:7" ht="22" customHeight="1" x14ac:dyDescent="0.55000000000000004">
      <c r="A10" s="33" t="s">
        <v>170</v>
      </c>
      <c r="B10" s="33" t="s">
        <v>186</v>
      </c>
      <c r="C10" s="33" t="s">
        <v>187</v>
      </c>
      <c r="D10" s="33" t="s">
        <v>188</v>
      </c>
      <c r="E10" s="33" t="s">
        <v>176</v>
      </c>
      <c r="F10" s="33" t="s">
        <v>177</v>
      </c>
      <c r="G10" s="33" t="s">
        <v>189</v>
      </c>
    </row>
    <row r="11" spans="1:7" ht="32.049999999999997" customHeight="1" x14ac:dyDescent="0.55000000000000004">
      <c r="A11" s="113" t="s">
        <v>190</v>
      </c>
      <c r="B11" s="64"/>
      <c r="C11" s="64"/>
      <c r="D11" s="64"/>
      <c r="E11" s="64"/>
      <c r="F11" s="64"/>
      <c r="G11" s="61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7" t="s">
        <v>191</v>
      </c>
      <c r="B1" s="68"/>
      <c r="C1" s="68"/>
      <c r="D1" s="68"/>
      <c r="E1" s="68"/>
      <c r="F1" s="68"/>
      <c r="G1" s="69"/>
    </row>
    <row r="2" spans="1:7" ht="20.05" customHeight="1" x14ac:dyDescent="0.55000000000000004">
      <c r="A2" s="93" t="s">
        <v>192</v>
      </c>
      <c r="B2" s="68"/>
      <c r="C2" s="68"/>
      <c r="D2" s="68"/>
      <c r="E2" s="68"/>
      <c r="F2" s="68"/>
      <c r="G2" s="69"/>
    </row>
    <row r="3" spans="1:7" ht="18" customHeight="1" x14ac:dyDescent="0.55000000000000004">
      <c r="A3" s="32" t="s">
        <v>193</v>
      </c>
      <c r="B3" s="32" t="s">
        <v>194</v>
      </c>
      <c r="C3" s="32" t="s">
        <v>195</v>
      </c>
      <c r="D3" s="32" t="s">
        <v>196</v>
      </c>
    </row>
    <row r="4" spans="1:7" ht="68.05" customHeight="1" x14ac:dyDescent="0.55000000000000004">
      <c r="A4" s="25" t="s">
        <v>197</v>
      </c>
      <c r="B4" s="31" t="s">
        <v>198</v>
      </c>
      <c r="C4" s="34" t="s">
        <v>199</v>
      </c>
      <c r="D4" s="35" t="s">
        <v>200</v>
      </c>
    </row>
    <row r="5" spans="1:7" ht="56.05" customHeight="1" x14ac:dyDescent="0.55000000000000004">
      <c r="A5" s="36" t="s">
        <v>201</v>
      </c>
      <c r="B5" s="26" t="s">
        <v>202</v>
      </c>
      <c r="C5" s="27" t="s">
        <v>203</v>
      </c>
      <c r="D5" s="37" t="s">
        <v>204</v>
      </c>
    </row>
    <row r="6" spans="1:7" ht="52" customHeight="1" x14ac:dyDescent="0.55000000000000004">
      <c r="A6" s="25" t="s">
        <v>205</v>
      </c>
      <c r="B6" s="31" t="s">
        <v>206</v>
      </c>
      <c r="C6" s="34" t="s">
        <v>207</v>
      </c>
      <c r="D6" s="35" t="s">
        <v>208</v>
      </c>
    </row>
    <row r="7" spans="1:7" ht="52" customHeight="1" x14ac:dyDescent="0.55000000000000004">
      <c r="A7" s="25" t="s">
        <v>209</v>
      </c>
      <c r="B7" s="31" t="s">
        <v>210</v>
      </c>
      <c r="C7" s="34" t="s">
        <v>211</v>
      </c>
      <c r="D7" s="35" t="s">
        <v>212</v>
      </c>
    </row>
    <row r="8" spans="1:7" ht="68.05" customHeight="1" x14ac:dyDescent="0.55000000000000004">
      <c r="A8" s="25" t="s">
        <v>213</v>
      </c>
      <c r="B8" s="30" t="s">
        <v>214</v>
      </c>
      <c r="C8" s="34" t="s">
        <v>215</v>
      </c>
      <c r="D8" s="38" t="s">
        <v>216</v>
      </c>
    </row>
    <row r="9" spans="1:7" ht="36" customHeight="1" x14ac:dyDescent="0.55000000000000004">
      <c r="A9" s="115" t="s">
        <v>217</v>
      </c>
      <c r="B9" s="64"/>
      <c r="C9" s="64"/>
      <c r="D9" s="61"/>
      <c r="E9" s="39"/>
      <c r="F9" s="39"/>
      <c r="G9" s="39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7" t="s">
        <v>218</v>
      </c>
      <c r="B1" s="68"/>
      <c r="C1" s="68"/>
      <c r="D1" s="68"/>
      <c r="E1" s="68"/>
      <c r="F1" s="68"/>
      <c r="G1" s="69"/>
    </row>
    <row r="2" spans="1:7" ht="20.05" customHeight="1" x14ac:dyDescent="0.55000000000000004">
      <c r="A2" s="93" t="s">
        <v>219</v>
      </c>
      <c r="B2" s="68"/>
      <c r="C2" s="68"/>
      <c r="D2" s="68"/>
      <c r="E2" s="68"/>
      <c r="F2" s="68"/>
      <c r="G2" s="69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7" t="s">
        <v>220</v>
      </c>
      <c r="B4" s="68"/>
      <c r="C4" s="68"/>
      <c r="D4" s="68"/>
      <c r="E4" s="68"/>
      <c r="F4" s="68"/>
      <c r="G4" s="69"/>
    </row>
    <row r="5" spans="1:7" ht="18" customHeight="1" x14ac:dyDescent="0.55000000000000004">
      <c r="A5" s="32"/>
      <c r="B5" s="32" t="s">
        <v>221</v>
      </c>
      <c r="C5" s="32" t="s">
        <v>59</v>
      </c>
      <c r="D5" s="32" t="s">
        <v>46</v>
      </c>
      <c r="E5" s="32" t="s">
        <v>222</v>
      </c>
      <c r="F5" s="32"/>
    </row>
    <row r="6" spans="1:7" ht="36" customHeight="1" x14ac:dyDescent="0.55000000000000004">
      <c r="A6" s="40"/>
      <c r="B6" s="41" t="s">
        <v>223</v>
      </c>
      <c r="C6" s="42" t="s">
        <v>224</v>
      </c>
      <c r="D6" s="43" t="s">
        <v>225</v>
      </c>
      <c r="E6" s="44" t="s">
        <v>37</v>
      </c>
      <c r="F6" s="40"/>
    </row>
    <row r="7" spans="1:7" ht="36" customHeight="1" x14ac:dyDescent="0.55000000000000004">
      <c r="A7" s="29"/>
      <c r="B7" s="45" t="s">
        <v>226</v>
      </c>
      <c r="C7" s="46" t="s">
        <v>227</v>
      </c>
      <c r="D7" s="43" t="s">
        <v>228</v>
      </c>
      <c r="E7" s="47" t="s">
        <v>229</v>
      </c>
      <c r="F7" s="29"/>
    </row>
    <row r="8" spans="1:7" ht="36" customHeight="1" x14ac:dyDescent="0.55000000000000004">
      <c r="A8" s="40"/>
      <c r="B8" s="41" t="s">
        <v>230</v>
      </c>
      <c r="C8" s="42" t="s">
        <v>231</v>
      </c>
      <c r="D8" s="43" t="s">
        <v>232</v>
      </c>
      <c r="E8" s="44" t="s">
        <v>233</v>
      </c>
      <c r="F8" s="40"/>
    </row>
    <row r="9" spans="1:7" ht="36" customHeight="1" x14ac:dyDescent="0.55000000000000004">
      <c r="A9" s="29"/>
      <c r="B9" s="45" t="s">
        <v>234</v>
      </c>
      <c r="C9" s="30" t="s">
        <v>235</v>
      </c>
      <c r="D9" s="43" t="s">
        <v>236</v>
      </c>
      <c r="E9" s="47" t="s">
        <v>237</v>
      </c>
      <c r="F9" s="29"/>
    </row>
    <row r="10" spans="1:7" ht="36" customHeight="1" x14ac:dyDescent="0.55000000000000004">
      <c r="A10" s="40"/>
      <c r="B10" s="41" t="s">
        <v>238</v>
      </c>
      <c r="C10" s="48" t="s">
        <v>239</v>
      </c>
      <c r="D10" s="43" t="s">
        <v>240</v>
      </c>
      <c r="E10" s="44" t="s">
        <v>241</v>
      </c>
      <c r="F10" s="40"/>
    </row>
    <row r="11" spans="1:7" ht="36" customHeight="1" x14ac:dyDescent="0.55000000000000004">
      <c r="A11" s="29"/>
      <c r="B11" s="45" t="s">
        <v>242</v>
      </c>
      <c r="C11" s="30" t="s">
        <v>243</v>
      </c>
      <c r="D11" s="43" t="s">
        <v>244</v>
      </c>
      <c r="E11" s="47" t="s">
        <v>245</v>
      </c>
      <c r="F11" s="29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116" t="s">
        <v>246</v>
      </c>
      <c r="B13" s="68"/>
      <c r="C13" s="68"/>
      <c r="D13" s="68"/>
      <c r="E13" s="68"/>
      <c r="F13" s="68"/>
      <c r="G13" s="69"/>
    </row>
    <row r="14" spans="1:7" ht="18" customHeight="1" x14ac:dyDescent="0.55000000000000004">
      <c r="A14" s="49"/>
      <c r="B14" s="49" t="s">
        <v>221</v>
      </c>
      <c r="C14" s="49" t="s">
        <v>5</v>
      </c>
      <c r="D14" s="49" t="s">
        <v>247</v>
      </c>
      <c r="E14" s="49" t="s">
        <v>248</v>
      </c>
      <c r="F14" s="49"/>
    </row>
    <row r="15" spans="1:7" ht="28" customHeight="1" x14ac:dyDescent="0.55000000000000004">
      <c r="A15" s="50"/>
      <c r="B15" s="51" t="s">
        <v>249</v>
      </c>
      <c r="C15" s="52" t="s">
        <v>131</v>
      </c>
      <c r="D15" s="53" t="s">
        <v>250</v>
      </c>
      <c r="E15" s="54" t="s">
        <v>251</v>
      </c>
      <c r="F15" s="50"/>
    </row>
    <row r="16" spans="1:7" ht="28" customHeight="1" x14ac:dyDescent="0.55000000000000004">
      <c r="A16" s="50"/>
      <c r="B16" s="51" t="s">
        <v>252</v>
      </c>
      <c r="C16" s="52" t="s">
        <v>135</v>
      </c>
      <c r="D16" s="53" t="s">
        <v>136</v>
      </c>
      <c r="E16" s="54" t="s">
        <v>251</v>
      </c>
      <c r="F16" s="50"/>
    </row>
    <row r="17" spans="1:7" ht="28" customHeight="1" x14ac:dyDescent="0.55000000000000004">
      <c r="A17" s="50"/>
      <c r="B17" s="51" t="s">
        <v>253</v>
      </c>
      <c r="C17" s="52" t="s">
        <v>138</v>
      </c>
      <c r="D17" s="53" t="s">
        <v>254</v>
      </c>
      <c r="E17" s="54" t="s">
        <v>251</v>
      </c>
      <c r="F17" s="50"/>
    </row>
    <row r="18" spans="1:7" ht="28" customHeight="1" x14ac:dyDescent="0.55000000000000004">
      <c r="A18" s="50"/>
      <c r="B18" s="51" t="s">
        <v>255</v>
      </c>
      <c r="C18" s="52" t="s">
        <v>141</v>
      </c>
      <c r="D18" s="53" t="s">
        <v>142</v>
      </c>
      <c r="E18" s="54" t="s">
        <v>251</v>
      </c>
      <c r="F18" s="50"/>
    </row>
    <row r="19" spans="1:7" ht="28" customHeight="1" x14ac:dyDescent="0.55000000000000004">
      <c r="A19" s="50"/>
      <c r="B19" s="51" t="s">
        <v>256</v>
      </c>
      <c r="C19" s="52" t="s">
        <v>144</v>
      </c>
      <c r="D19" s="53" t="s">
        <v>145</v>
      </c>
      <c r="E19" s="54" t="s">
        <v>251</v>
      </c>
      <c r="F19" s="50"/>
    </row>
    <row r="20" spans="1:7" ht="28" customHeight="1" x14ac:dyDescent="0.55000000000000004">
      <c r="A20" s="55"/>
      <c r="B20" s="56" t="s">
        <v>257</v>
      </c>
      <c r="C20" s="57" t="s">
        <v>147</v>
      </c>
      <c r="D20" s="58" t="s">
        <v>148</v>
      </c>
      <c r="E20" s="59" t="s">
        <v>251</v>
      </c>
      <c r="F20" s="55"/>
    </row>
    <row r="21" spans="1:7" ht="28" customHeight="1" x14ac:dyDescent="0.55000000000000004">
      <c r="A21" s="55"/>
      <c r="B21" s="56" t="s">
        <v>258</v>
      </c>
      <c r="C21" s="57" t="s">
        <v>259</v>
      </c>
      <c r="D21" s="58" t="s">
        <v>260</v>
      </c>
      <c r="E21" s="59" t="s">
        <v>251</v>
      </c>
      <c r="F21" s="55"/>
    </row>
    <row r="22" spans="1:7" ht="28" customHeight="1" x14ac:dyDescent="0.55000000000000004">
      <c r="A22" s="50"/>
      <c r="B22" s="51" t="s">
        <v>261</v>
      </c>
      <c r="C22" s="52" t="s">
        <v>262</v>
      </c>
      <c r="D22" s="53" t="s">
        <v>157</v>
      </c>
      <c r="E22" s="54" t="s">
        <v>251</v>
      </c>
      <c r="F22" s="50"/>
    </row>
    <row r="23" spans="1:7" ht="28" customHeight="1" x14ac:dyDescent="0.55000000000000004">
      <c r="A23" s="55"/>
      <c r="B23" s="56" t="s">
        <v>263</v>
      </c>
      <c r="C23" s="57" t="s">
        <v>264</v>
      </c>
      <c r="D23" s="58" t="s">
        <v>160</v>
      </c>
      <c r="E23" s="59" t="s">
        <v>251</v>
      </c>
      <c r="F23" s="55"/>
    </row>
    <row r="24" spans="1:7" ht="28" customHeight="1" x14ac:dyDescent="0.55000000000000004">
      <c r="A24" s="55"/>
      <c r="B24" s="56" t="s">
        <v>265</v>
      </c>
      <c r="C24" s="57" t="s">
        <v>266</v>
      </c>
      <c r="D24" s="58" t="s">
        <v>267</v>
      </c>
      <c r="E24" s="59" t="s">
        <v>251</v>
      </c>
      <c r="F24" s="55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52" customHeight="1" x14ac:dyDescent="0.55000000000000004">
      <c r="A26" s="115" t="s">
        <v>268</v>
      </c>
      <c r="B26" s="64"/>
      <c r="C26" s="64"/>
      <c r="D26" s="64"/>
      <c r="E26" s="64"/>
      <c r="F26" s="61"/>
      <c r="G26" s="39"/>
    </row>
  </sheetData>
  <mergeCells count="5">
    <mergeCell ref="A13:G13"/>
    <mergeCell ref="A1:G1"/>
    <mergeCell ref="A4:G4"/>
    <mergeCell ref="A2:G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2026-04-06T17:54:43Z</dcterms:created>
  <dcterms:modified xsi:type="dcterms:W3CDTF">2026-04-06T18:00:29Z</dcterms:modified>
</cp:coreProperties>
</file>