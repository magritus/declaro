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88313A8E-BD8F-46F1-A2FC-5980B5D6129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45" i="1"/>
  <c r="D10" i="2"/>
  <c r="D7" i="2"/>
  <c r="F60" i="1"/>
  <c r="E60" i="1"/>
  <c r="A61" i="1" s="1"/>
  <c r="D39" i="1"/>
  <c r="C39" i="1"/>
  <c r="E38" i="1"/>
  <c r="E37" i="1"/>
  <c r="E36" i="1"/>
  <c r="E35" i="1"/>
  <c r="E34" i="1"/>
  <c r="E33" i="1"/>
  <c r="E32" i="1"/>
  <c r="E31" i="1"/>
  <c r="E39" i="1" s="1"/>
  <c r="E15" i="1"/>
  <c r="D5" i="2" s="1"/>
  <c r="C44" i="1" l="1"/>
  <c r="C46" i="1" s="1"/>
  <c r="D8" i="2"/>
  <c r="C48" i="1" l="1"/>
  <c r="D9" i="2"/>
  <c r="C50" i="1" l="1"/>
  <c r="D11" i="2" l="1"/>
  <c r="E63" i="1"/>
  <c r="C51" i="1"/>
  <c r="D12" i="2" l="1"/>
  <c r="E65" i="1"/>
</calcChain>
</file>

<file path=xl/sharedStrings.xml><?xml version="1.0" encoding="utf-8"?>
<sst xmlns="http://schemas.openxmlformats.org/spreadsheetml/2006/main" count="364" uniqueCount="305">
  <si>
    <t>455 – TASARIM İNDİRİMİ | 5746 SAYILI KANUN MADDE 3/A | TASARIM MERKEZİ KAPSAMINDA TASARIM HARCAMASI İNDİRİMİ | YMM TASDİK ÇALIŞMA KÂĞIDI</t>
  </si>
  <si>
    <t>5746 s.K. Md.3/A | Tasarım Merkezi (STB Belgeli) | Tasarım Harcamaları × %100 İndirim | Beyanname 455 | GİB KV Beyan Rehberi Mart 2026 (No:606) | ✓ YİAKV'de Düşülebilir</t>
  </si>
  <si>
    <t xml:space="preserve">  TASARIM İNDİRİMİ NEDİR? Sanayi ve Teknoloji Bakanlığı'ndan (STB) Tasarım Merkezi Belgesi alan kurumların, merkez bünyesinde gerçekleştirdikleri tasarım faaliyetleri kapsamındaki harcamalarının %100'ünü (Cumhurbaşkanlığı Kararnamesiyle artırılabilir) kurumlar vergisi matrahından indirebildiği özel indirim.
  YASAL DAYANAK: 5746 s.K. Md.3/A + 6676 s.K. Md.15 (Ekleme) + 7033 s.K. Md.61 + Tasarım Merkezi Yönetmeliği
  ★ YİAKV (KVK Md.32/C): Tasarım İndirimi YİAKV matrahından DÜŞÜLEBİLİR — YİAKV Çalışma Kâğıdı D.10'a yazılır.
  AR-GE İNDİRİMİ (283) İLE FARK: Kapsam tasarım faaliyetleri; Ar-Ge ise araştırma-geliştirme.</t>
  </si>
  <si>
    <t xml:space="preserve">  ✓ YİAKV (KVK Md.32/C): 455 Tasarım İndirimi YİAKV matrahından DÜŞÜLEBİLİR. YİAKV Çalışma Kâğıdı D.10 satırına — 'Ar-Ge ve Tasarım İndirimi' — dahil edilir.</t>
  </si>
  <si>
    <t>A0. KAPSAM VE NİTELİK UYGUNLUK ÖN KONTROLÜ — 5746 s.K. Md.3/A KOŞULLARI</t>
  </si>
  <si>
    <t>Kontrol Sorusu</t>
  </si>
  <si>
    <t>Yanıt</t>
  </si>
  <si>
    <t>YMM Tasdik Notu</t>
  </si>
  <si>
    <t>A0.1  ★ Geçerli Tasarım Merkezi Belgesi (STB) mevcut mu? Dönem içinde geçerliliği sürdü mü?</t>
  </si>
  <si>
    <t>EVET</t>
  </si>
  <si>
    <t>Tasarım İndirimi yalnızca STB tarafından belgelenmiş Tasarım Merkezleri için geçerlidir. Belgesiz tasarım faaliyetleri bu indirimden yararlanamaz. Belge geçerlilik tarihi kontrol edilmeli.</t>
  </si>
  <si>
    <t>A0.2  ★ Tasarım faaliyeti, STB tarafından onaylanan tasarım alanı kapsamında mı?</t>
  </si>
  <si>
    <t>Belgeye yazılan tasarım alanları (endüstriyel, tekstil, grafik vb.) kapsamında gerçekleştirilen harcamalar indirilebilir. Kapsam dışı faaliyetler ayrıştırılmalı.</t>
  </si>
  <si>
    <t>A0.3  ★ Tasarım Merkezi'nin asgari personel koşulunu sağlıyor mu? (En az 10 tam zaman eşdeğer tasarımcı)</t>
  </si>
  <si>
    <t>5746 s.K. Md.3/A: Tasarım merkezi için en az 10 tam zaman eşdeğer tasarımcı koşulu. Koşul sağlanmadıysa dönem indirimden yararlanamaz. Personel listesi STB'ye bildirilmiş olmalı.</t>
  </si>
  <si>
    <t>A0.4  Tasarım harcamaları ayrı muhasebe hesaplarında izleniyor mu?</t>
  </si>
  <si>
    <t>Tasarım harcamalarının diğer giderlerden ayrı hesaplarda izlenmesi zorunludur. 760 Araştırma ve Geliştirme Giderleri (veya tasarıma özgü hesap) kullanılmalı.</t>
  </si>
  <si>
    <t>A0.5  Devreden tasarım indirimi var mı? (Önceki dönemlerden kullanılamayan)</t>
  </si>
  <si>
    <t>HAYIR</t>
  </si>
  <si>
    <t>Önceki dönemlerde matrah yetersizliği nedeniyle kullanılamayan tasarım indirimi sonraki dönemlere devredilir. Devreden tutar bu çalışma kâğıdında C bölümünde gösterilir.</t>
  </si>
  <si>
    <t>A0.6  ✓ YİAKV D.10 satırına (Ar-Ge ve Tasarım İndirimi) dahil edildi mi?</t>
  </si>
  <si>
    <t>Tasarım İndirimi YİAKV matrahından düşülebilir — YİAKV D.10'a aktarılmalı.</t>
  </si>
  <si>
    <t>A0.7  YMM Tasdik Raporu gereksinimi değerlendirildi mi? (49 No.lu Tebliğ / Özel Tebliğ)</t>
  </si>
  <si>
    <t>&gt;=500.000 TL → YMM raporu. Ar-Ge/Tasarım için özel tebliğ de incelenmeli.</t>
  </si>
  <si>
    <t>A0.8  Tasdik Uygunluk Sonucu</t>
  </si>
  <si>
    <t>★ A0.1 (STB belgesi), A0.2 (kapsam), A0.3 (10 personel) en kritik koşullar.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</si>
  <si>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</si>
  <si>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</si>
  <si>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</si>
  <si>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</si>
  <si>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</si>
  <si>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</si>
  <si>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</si>
  <si>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</si>
  <si>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</si>
  <si>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Tasarım Merkezi Belge No</t>
  </si>
  <si>
    <t>STB tarafından verilen belge numarası</t>
  </si>
  <si>
    <t>STB Belge Tarihi / Geçerlilik</t>
  </si>
  <si>
    <t>Veriliş tarihi ve son geçerlilik tarihi</t>
  </si>
  <si>
    <t>Tasarım Alanı</t>
  </si>
  <si>
    <t>Endüstriyel / Tekstil / Grafik vb. — belgeye yazılı</t>
  </si>
  <si>
    <t>İndirim Oranı (%)</t>
  </si>
  <si>
    <t>%100 — CB kararıyla artırılmışsa ilgili kararname no</t>
  </si>
  <si>
    <t>Dosya Referansı</t>
  </si>
  <si>
    <t>YMM-2025/455-01</t>
  </si>
  <si>
    <t>B. CARİ DÖNEM TASARIM HARCAMALARI — 5746 s.K. Md.3/A KAPSAMLI</t>
  </si>
  <si>
    <t xml:space="preserve">  Yalnızca Tasarım Merkezi bünyesinde, belgelenmiş tasarım faaliyetlerine ilişkin harcamalar. Kapsam dışı faaliyetlere atfedilen harcamalar ve genel yönetim giderleri ayrıştırılmalıdır. Fatura/muhasebe kayıtlarıyla mutabık.</t>
  </si>
  <si>
    <t>Harcama Türü</t>
  </si>
  <si>
    <t>Açıklama / Hesap</t>
  </si>
  <si>
    <t>Brüt Harcama (TL)</t>
  </si>
  <si>
    <t>Kapsam Dışı (TL)</t>
  </si>
  <si>
    <t>Tasarım Kap. Harcama (TL)</t>
  </si>
  <si>
    <t>Belge / Kaynak</t>
  </si>
  <si>
    <t>TOPLAM</t>
  </si>
  <si>
    <t>Cari Dönem Tasarım Harcamaları</t>
  </si>
  <si>
    <t>← Cari Dönem Tasarım Harcaması (C.1'e aktarılır)</t>
  </si>
  <si>
    <t>C. TASARIM İNDİRİMİ HESABI — CARİ DÖNEM + DEVREDEN (BEYANNAME 455)</t>
  </si>
  <si>
    <t xml:space="preserve">  ADIM 1: Cari dönem tasarım harcaması × İndirim oranı = Cari dönem indirim hakkı. ADIM 2: Devreden tasarım indirimi (varsa) eklenir. ADIM 3: Kullanılabilir toplam vs KV Matrahı — küçük olan kadar kullanılır. Kalan devredilir.</t>
  </si>
  <si>
    <t>Hesap Adımı</t>
  </si>
  <si>
    <t>Tutar (TL)</t>
  </si>
  <si>
    <t>Formül / Açıklama</t>
  </si>
  <si>
    <t>Beyanname</t>
  </si>
  <si>
    <t>C.1  Cari Dönem Tasarım Harcaması (B Tablosu Sütun 5)</t>
  </si>
  <si>
    <t>B tablosu toplam kapsam dahili harcama</t>
  </si>
  <si>
    <t>C.2  İndirim Oranı (%)</t>
  </si>
  <si>
    <t>Normalde %100. CB kararıyla artırılmışsa ilgili CB Karar No yazın. (A.8 referansı)</t>
  </si>
  <si>
    <t>C.3  Cari Dönem Tasarım İndirimi Hakkı (C.1 × C.2)</t>
  </si>
  <si>
    <t>Bu dönem oluşan tasarım indirimi tutarı</t>
  </si>
  <si>
    <t>C.4  Devreden Tasarım İndirimi (Önceki Dönemlerden)</t>
  </si>
  <si>
    <t>Önceki dönem beyannamesi / vergi inceleme raporundan — yoksa 0 girin</t>
  </si>
  <si>
    <t>Önceki dönem beyanname</t>
  </si>
  <si>
    <t>C.5  Kullanılabilir Toplam Tasarım İndirimi (C.3 + C.4)</t>
  </si>
  <si>
    <t>Bu dönem kullanılabilecek azami indirim</t>
  </si>
  <si>
    <t>C.6  KV Matrahı (Tasarım İndirimi Öncesi)</t>
  </si>
  <si>
    <t>Beyanname üzerindeki tasarım indirimi öncesi matrah</t>
  </si>
  <si>
    <t>C.7  ★ KULLANILAN TASARIM İNDİRİMİ → BEYANNAME 455</t>
  </si>
  <si>
    <t>Min(Toplam İndirim Hakkı, KV Matrahı) | 'Kazancın Bulunması Halinde'</t>
  </si>
  <si>
    <t>Beyanname 455</t>
  </si>
  <si>
    <t>C.8  Kullanılamayan — Devreden Tasarım İndirimi (C.5 − C.7)</t>
  </si>
  <si>
    <t>Sonraki dönemlere devreden kısım — ilave oranla güncellenir (yeniden değerleme)</t>
  </si>
  <si>
    <t>Devir</t>
  </si>
  <si>
    <t>D. TASARIM MERKEZİ PERSONEL DURUMU — ASGARİ KOŞUL DOĞRULAMASI</t>
  </si>
  <si>
    <t xml:space="preserve">  5746 s.K. Md.3/A: Tasarım Merkezi için en az 10 tam zaman eşdeğer (TZE) tasarımcı koşulu. Tüm dönem boyunca sağlanmalıdır. STB'ye bildirilen liste ile muhasebe kayıtları uyumlu olmalı.</t>
  </si>
  <si>
    <t>Personel Türü</t>
  </si>
  <si>
    <t>Dönem Başı</t>
  </si>
  <si>
    <t>Dönem Sonu</t>
  </si>
  <si>
    <t>Ortalama TZE</t>
  </si>
  <si>
    <t>Maliyet (TL)</t>
  </si>
  <si>
    <t>STB Bildirimi</t>
  </si>
  <si>
    <t>D.1</t>
  </si>
  <si>
    <t>Tam Zamanlı Tasarımcı (Mühendis/Mimar/Tasarımcı)</t>
  </si>
  <si>
    <t>D.2</t>
  </si>
  <si>
    <t>Kısmi Zamanlı Tasarımcı (Çalışma Oranı Ağırlıklı)</t>
  </si>
  <si>
    <t>D.3</t>
  </si>
  <si>
    <t>Lisansüstü Öğrenci Tasarımcı</t>
  </si>
  <si>
    <t>D.4</t>
  </si>
  <si>
    <t>Tasarım Destek Personeli (Varsa, Kapsam Dahiliyse)</t>
  </si>
  <si>
    <t>Toplam TZE Tasarımcı (≥10 olmalı)</t>
  </si>
  <si>
    <t>E.1  TASARIM İNDİRİMİ → Beyanname Satır 455 (Kazancın Bulunması Halinde)</t>
  </si>
  <si>
    <t>C.7 = MIN(Toplam İndirim Hakkı, KV Matrahı)</t>
  </si>
  <si>
    <t>E.2  YİAKV'de DURUM: Tasarım İndirimi (455) YİAKV MATRAHINDA DÜŞÜLEBİLİR → D.10 Satırına</t>
  </si>
  <si>
    <t>YİAKV D.10 — Ar-Ge ve Tasarım İndirimi</t>
  </si>
  <si>
    <t>E.3  Devreden Tasarım İndirimi (Sonraki Dönem Kullanımı — C.8)</t>
  </si>
  <si>
    <t>Sonraki dönem C.4'e aktarılacak</t>
  </si>
  <si>
    <t xml:space="preserve">  ★ KRİTİK UYARILAR:
(1) STB BELGESİ: Tasarım Merkezi belgesi olmadan 455 indirimi uygulanamaz. Belge yenilenmemişse veya askıya alınmışsa indirim hakkı doğmaz.
(2) ASGARİ PERSONEL: 10 TZE tasarımcı koşulu dönem boyunca sağlanmalı. Sağlanmayan dönem → İndirim yok.
(3) DEVREDEN: Kullanılamayan kısım sonraki dönemlere yeniden değerleme oranı (TÜFE/ÜFE) ile güncellenerek devredilir.
(4) YİAKV ✓: 455 DÜŞÜLEBILIR — 370-385 (KVK Geçici Md.14) DÜŞÜLEMEZ — karıştırmayın.</t>
  </si>
  <si>
    <t>455 – TASARIM İNDİRİMİ | HESAPLAMALAR, DEVREDEN VE DENETİM</t>
  </si>
  <si>
    <t>5746 s.K. Md.3/A | STB Belgeli Tasarım Merkezi | %100 İndirim | Beyanname 455 | YİAKV'de Düşülebilir</t>
  </si>
  <si>
    <t>A. TASDİK ÖZETİ</t>
  </si>
  <si>
    <t>A0 Uygunluğu</t>
  </si>
  <si>
    <t>OK ise devam</t>
  </si>
  <si>
    <t>STB Belge No (A.5)</t>
  </si>
  <si>
    <t>Geçerliliği kontrol edildi</t>
  </si>
  <si>
    <t>TZE Tasarımcı Sayısı (D tablosu)</t>
  </si>
  <si>
    <t>≥10 — Asgari koşul</t>
  </si>
  <si>
    <t>Cari Dönem Harcama (B tablosu)</t>
  </si>
  <si>
    <t>Kapsam dahili harcama</t>
  </si>
  <si>
    <t>Cari Dönem İndirim Hakkı (C.3)</t>
  </si>
  <si>
    <t>Harcama × Oran</t>
  </si>
  <si>
    <t>Devreden İndirim (C.4)</t>
  </si>
  <si>
    <t>Önceki dönemden</t>
  </si>
  <si>
    <t>455 KULLANILAN İNDİRİM (C.7)</t>
  </si>
  <si>
    <t>Devreden Yeni (C.8)</t>
  </si>
  <si>
    <t>Sonraki dönem C.4'e</t>
  </si>
  <si>
    <t>YİAKV Durumu</t>
  </si>
  <si>
    <t>✓ DÜŞÜLEBILIR — D.10 satırı</t>
  </si>
  <si>
    <t>Ar-Ge ve Tasarım İndirimi</t>
  </si>
  <si>
    <t>B. AR-GE İNDİRİMİ (283) vs TASARIM İNDİRİMİ (455) KARŞILAŞTIRMA</t>
  </si>
  <si>
    <t xml:space="preserve">  AR-GE İNDİRİMİ (Beyanname 283) — 5746 s.K. Md.3:
  • AR-GE Merkezi Belgesi (STB/Sanayi Bakanlığı)
  • Asgari personel: 30 TZE Ar-Ge personeli
  • Kapsam: Araştırma, teknolojik gelişme, ürün/süreç inovasyonu
  • İndirim oranı: %100 (Cumhurbaşkanı yetkisiyle 2x artırım = %200)
  TASARIM İNDİRİMİ (Beyanname 455) — 5746 s.K. Md.3/A:
  • Tasarım Merkezi Belgesi (STB)
  • Asgari personel: 10 TZE tasarım personeli
  • Kapsam: Endüstriyel tasarım, tekstil, grafik, ambalaj, moda, ürün tasarımı vb.
  • İndirim oranı: %100 (CB kararıyla artırılabilir)
  ORTAK: İkisi de %100 indirim, ikisi de YİAKV'de düşülebilir (D.10). Aynı proje hem Ar-Ge hem Tasarım olarak sınıflandırılmaz. Tasarım ve Ar-Ge Merkezi ayrı belgelerle aynı kuruluşta bulunabilir.</t>
  </si>
  <si>
    <t>C. DENETİM KONTROL LİSTESİ (K1–K14)</t>
  </si>
  <si>
    <t>Kontrol</t>
  </si>
  <si>
    <t>Açıklama</t>
  </si>
  <si>
    <t>Sonuç</t>
  </si>
  <si>
    <t>K1</t>
  </si>
  <si>
    <t>★ STB Tasarım Merkezi belgesi geçerli mi? Dönem boyunca geçerliliği devam etti mi?</t>
  </si>
  <si>
    <t>Belge tarihi ve son geçerlilik — askıya alınma durumu kontrol.</t>
  </si>
  <si>
    <t>Uygun/Eksik/Risk</t>
  </si>
  <si>
    <t>K2</t>
  </si>
  <si>
    <t>★ 10 TZE tasarımcı koşulu dönem boyunca sağlandı mı?</t>
  </si>
  <si>
    <t>D tablosu TZE toplamı ≥ 10. STB bildirimiyle mutabık.</t>
  </si>
  <si>
    <t>K3</t>
  </si>
  <si>
    <t>★ Tasarım faaliyetleri STB belgesindeki alanlarla uyumlu mu?</t>
  </si>
  <si>
    <t>Belgeye yazılı tasarım alanı vs gerçekleştirilen proje alanı.</t>
  </si>
  <si>
    <t>K4</t>
  </si>
  <si>
    <t>Tasarım harcamaları ayrı muhasebe hesaplarında izlenmiş mi?</t>
  </si>
  <si>
    <t>760 hesabı veya tasarıma özgü alt hesaplar.</t>
  </si>
  <si>
    <t>K5</t>
  </si>
  <si>
    <t>★ Kapsam dışı harcamalar (D.4 kapsam dışı sütunu) doğru ayrıştırıldı mı?</t>
  </si>
  <si>
    <t>Genel yönetim, satış-pazarlama, kapsam dışı proje harcamaları.</t>
  </si>
  <si>
    <t>K6</t>
  </si>
  <si>
    <t>B tablosu harcama toplamı muhasebe ekstresiyle mutabık mı?</t>
  </si>
  <si>
    <t>Her harcama türü için fatura/muhasebe belgesi mevcut.</t>
  </si>
  <si>
    <t>K7</t>
  </si>
  <si>
    <t>Devreden tasarım indirimi (C.4) önceki dönem beyannamesiyle uyumlu mu?</t>
  </si>
  <si>
    <t>Önceki dönem beyanname 455 satırı + devreden tutar.</t>
  </si>
  <si>
    <t>K8</t>
  </si>
  <si>
    <t>★ Devreden tutar yeniden değerleme (TÜFE/ÜFE oranı) ile güncellendi mi?</t>
  </si>
  <si>
    <t>5746 s.K. Md.3/A — Devreden kısım enflasyon oranıyla güncellenir.</t>
  </si>
  <si>
    <t>K9</t>
  </si>
  <si>
    <t>C.7 = MIN(C.5, C.6) formülü doğru uygulandı mı?</t>
  </si>
  <si>
    <t>Kullanılan indirim, matrahı aşamaz.</t>
  </si>
  <si>
    <t>K10</t>
  </si>
  <si>
    <t>✓ YİAKV D.10'a (Ar-Ge ve Tasarım İndirimi) tasarım tutarı dahil edildi mi?</t>
  </si>
  <si>
    <t>455 tutarı YİAKV D.10'a aktarılmış.</t>
  </si>
  <si>
    <t>K11</t>
  </si>
  <si>
    <t>Tasarım İndirimi Ar-Ge İndirimi (283) ile çakışmıyor mu?</t>
  </si>
  <si>
    <t>Aynı proje hem 283 hem 455'e yazılamaz.</t>
  </si>
  <si>
    <t>K12</t>
  </si>
  <si>
    <t>Beyanname 455 'Kazancın Bulunması Halinde' bölümünde mi?</t>
  </si>
  <si>
    <t>Zarar döneminde matrah olmasa da indirim hakkı doğar (devredilir).</t>
  </si>
  <si>
    <t>K13</t>
  </si>
  <si>
    <t>STB'ye Ar-Ge/Tasarım Merkezi yıllık raporu sunuldu mu?</t>
  </si>
  <si>
    <t>Destek kapsamında yıllık faaliyet raporu sunma yükümlülüğü.</t>
  </si>
  <si>
    <t>K14</t>
  </si>
  <si>
    <t>YMM Tasdik Raporu (49 No.lu Tebliğ) değerlendirildi mi?</t>
  </si>
  <si>
    <t>&gt;=500.000 TL → YMM raporu.</t>
  </si>
  <si>
    <t>455 – TASARIM İNDİRİMİ | MUHASEBE KAYITLARI</t>
  </si>
  <si>
    <t>Tasarım Harcaması Kaydı | Tasarım İndirimi Takip | 283 vs 455 Karşılaştırma</t>
  </si>
  <si>
    <t>KAYIT 1 — TASARIM HARCAMASI DÖNEM SONU KAYDI</t>
  </si>
  <si>
    <t>Tarih</t>
  </si>
  <si>
    <t>Hesap</t>
  </si>
  <si>
    <t>Not</t>
  </si>
  <si>
    <t>Dr</t>
  </si>
  <si>
    <t>Kr</t>
  </si>
  <si>
    <t>Ref</t>
  </si>
  <si>
    <t>[Dönem]</t>
  </si>
  <si>
    <t>760 Araştırma ve Geliştirme Giderleri (Tasarım Alt Hesabı)</t>
  </si>
  <si>
    <t>Dönem tasarım harcamaları (personel+genel+amort+dışarıdan)</t>
  </si>
  <si>
    <t>[Tutar]</t>
  </si>
  <si>
    <t>—</t>
  </si>
  <si>
    <t>Muavin defter</t>
  </si>
  <si>
    <t>102/320/257/360 vb.</t>
  </si>
  <si>
    <t>İlgili karşı hesaplar (banka/borç/amort./sgk)</t>
  </si>
  <si>
    <t>Belge</t>
  </si>
  <si>
    <t>KAYIT 2 — TASARIM MERKEZİ PERSONEL ÜCRET KAYDINDA ALT HESAP KULLANIMI</t>
  </si>
  <si>
    <t xml:space="preserve">  760.01 Tasarım Merkezi Personel | 760.02 Genel Giderler | 760.03 Amortisman | 760.04 Dışarıdan Sağlanan Hizmet</t>
  </si>
  <si>
    <t>760.01 Tasarım Merkezi Personel Gid.</t>
  </si>
  <si>
    <t>Tasarım merkezi personeli brüt ücret</t>
  </si>
  <si>
    <t>[Personel TL]</t>
  </si>
  <si>
    <t>Bordro</t>
  </si>
  <si>
    <t>335 Personele Borçlar / 361 SGK Borçları</t>
  </si>
  <si>
    <t>Personel ücret ve SGK borcu</t>
  </si>
  <si>
    <t>NOT: BEYANNAME 455 VE YİAKV — AR-GE (283) KARŞILAŞTIRMA</t>
  </si>
  <si>
    <t xml:space="preserve">  BEYANNAME VE YİAKV BAĞLANTISI:
  Ar-Ge İndirimi (283) — 5746 s.K. Md.3:
  Beyanname 283 + YİAKV D.10 (Ar-Ge ve Tasarım İndirimi) → ✓ DÜŞÜLEBILIR
  Tasarım İndirimi (455) — 5746 s.K. Md.3/A:
  Beyanname 455 + YİAKV D.10 (Ar-Ge ve Tasarım İndirimi) → ✓ DÜŞÜLEBILIR
  İKİSİ BİRLİKTE OLABİLİR: Aynı kuruluşun Ar-Ge Merkezi (283) ve Tasarım Merkezi (455) varsa her ikisi ayrı satırlarda beyan edilir. YİAKV D.10'da toplam yazar.
  ÖNEMLI: Aynı harcama hem 283 hem 455'e yazılamaz — proje bazında ayrıştırma zorunludur.</t>
  </si>
  <si>
    <t>455 – TASARIM İNDİRİMİ 5746 s.K. Md.3/A | DENETÇİ NOTLARI</t>
  </si>
  <si>
    <t>GİB KV Beyan Rehberi Mart 2026 (No:606) | STB Belgesi | 10 TZE | Devreden | YİAKV D.10</t>
  </si>
  <si>
    <t>Kod</t>
  </si>
  <si>
    <t>Konu</t>
  </si>
  <si>
    <t>Mesleki Değerlendirme / Tasdik Standardı</t>
  </si>
  <si>
    <t>Mevzuat / Kaynak</t>
  </si>
  <si>
    <t>N1</t>
  </si>
  <si>
    <t>5746 s.K. Md.3/A — Tasarım İndirimi Tanımı, Kapsam ve Koşullar</t>
  </si>
  <si>
    <t>TASARIM İNDİRİMİ (5746 s.K. Md.3/A) — TEMEL ÇERÇEVE:
Sanayi ve Teknoloji Bakanlığı'ndan Tasarım Merkezi Belgesi alan kurumlar,
merkez bünyesindeki tasarım faaliyetleri için yapılan harcamaların %100'ünü
(CB Kararıyla artırılabilir) kurumlar vergisi matrahından indirebilir.
TASARIM MERKEZİ KOŞULLARI:
① STB Tasarım Merkezi Belgesi (zorunlu)
② En az 10 tam zaman eşdeğer (TZE) tasarım personeli
③ Ayrı fiziksel mekan ve altyapı
④ Yıllık Ar-Ge/Tasarım harcama şartı
KAPSAM DAHİLİ HARCAMALAR:
Personel ücretleri | Genel giderler (oran) | Amortisman (kıst) |
Dışarıdan sağlanan hizmetler | Prototip/test giderleri
KAPSAM ALANLARI: Endüstriyel / Tekstil / Grafik / Ambalaj / Moda / Ürün / Dijital
BEYANNAME: 455 | YİAKV: ✓ DÜŞÜLEBILIR (D.10)</t>
  </si>
  <si>
    <t>5746 s.K. Md.3/A | 6676 s.K. Md.15 | Tasarım Merkezi Yönetmeliği | GİB No:606</t>
  </si>
  <si>
    <t>N2</t>
  </si>
  <si>
    <t>★ Devreden Tasarım İndirimi ve Yeniden Değerleme</t>
  </si>
  <si>
    <t>DEVREDEN TASARIM İNDİRİMİ KURALI:
Tasarım indirimi aşağıdaki hallerde kullanılamaz ve sonraki dönemlere devredilir:
• KV matrahı yetersizse (zarar durumu)
• Matrah indirimi karşılamıyorsa (kısmi kullanım)
YENİDEN DEĞERLEME:
5746 s.K. Md.3/A kapsamında devreden tasarım indirimi;
Vergi Usul Kanunu'ndaki yeniden değerleme oranında artırılarak ertesi yıla devredilir.
(Ar-Ge İndirimindeki ile aynı mekanizma)
ÖRNEK:
2024 Devreden: 500.000 TL
2024 Yeniden Değerleme Oranı: %44 (TÜFE/ÜFE ortalama)
2025'e Devir: 500.000 × 1.44 = 720.000 TL
YMM: Önceki dönem beyanname ve devreden tutarı doğrulayın (K7).</t>
  </si>
  <si>
    <t>5746 s.K. Md.3/A | VUK Mük.Md.298 | GİB KV Beyan Reh. No:606</t>
  </si>
  <si>
    <t>N3</t>
  </si>
  <si>
    <t>YİAKV (KVK Md.32/C) — Tasarım İndiriminin Konumu</t>
  </si>
  <si>
    <t>YİAKV VE TASARIM İNDİRİMİ (455) — DÜŞÜLEBILIR:
KVK Md.32/C YİAKV matrahı hesabında:
✓ Tasarım İndirimi (KVK 5746 s.K. Md.3/A — Beyanname 455) DÜŞÜLEBİLİR
→ YİAKV Çalışma Kâğıdı D.10: 'Ar-Ge ve Tasarım İndirimi (5746 s.K.; 6550 Geçici Md.1/c)'
KARŞILAŞTIRMA:
✓ Ar-Ge İndirimi (283): DÜŞÜLEBILIR (D.10)
✓ Tasarım İndirimi (455): DÜŞÜLEBILIR (D.10)
✗ KVK Geçici Md.14 (370-385): DÜŞÜLEMEZ (E.7)
YİAKV D.10 UYGULAMASI:
Aynı kuruluşta hem 283 (Ar-Ge) hem 455 (Tasarım) varsa:
D.10 = Beyanname 283 + Beyanname 455
YİAKV hesaplama tablosuna bu toplamla girilir.</t>
  </si>
  <si>
    <t>KVK Md.32/C | GİB Rehberi No:607 | No:606</t>
  </si>
  <si>
    <t>N4</t>
  </si>
  <si>
    <t>283 (Ar-Ge) ile 455 (Tasarım) — Ayrım ve Birlikte Uygulama</t>
  </si>
  <si>
    <t>AR-GE vs TASARIM — PROJE SINIFLANDIRMASI:
AR-GE (5746 s.K. Md.3 → Beyanname 283):
• Araştırma: Temel, uygulamalı, deneysel araştırma
• Geliştirme: Yeni/geliştirilmiş ürün, süreç, yöntem
• Bilimsel belirsizlik + sistematik süreç
TASARIM (5746 s.K. Md.3/A → Beyanname 455):
• Yaratıcı süreç: Ürün görünüm/fonksiyon tasarımı
• Endüstriyel, grafik, tekstil, moda, ambalaj vb.
• Çizim, prototip, tasarım belgesi üretimi
BİRLİKTE UYGULAMA (FARKLI PROJELER):
Aynı kuruluşta Ar-Ge Merkezi + Tasarım Merkezi belgeleri varsa:
Her proje kendi kategorisine ayrıştırılır.
Ar-Ge projesi → 283 | Tasarım projesi → 455
AYNI PROJE İÇİN İKİSİ BİRDEN UYGULANAMAZ.</t>
  </si>
  <si>
    <t>5746 s.K. Md.3 (Ar-Ge) | 5746 s.K. Md.3/A (Tasarım) | OECD Frascati</t>
  </si>
  <si>
    <t>N5</t>
  </si>
  <si>
    <t>49 No.lu Tebliğ + YMM Tasdik Dil Standardı</t>
  </si>
  <si>
    <t>KULLANIN:
'...5746 Sayılı Kanunun 3/A maddesi kapsamında Sanayi ve Teknoloji Bakanlığı'nca
verilen [Belge No] numaralı Tasarım Merkezi belgesiyle yürütülen tasarım faaliyetleri
kapsamında dönem içinde yapılan [Harcama Tutarı] TL harcama üzerinden [Oran]%
tasarım indirimi hakkı olan [İndirim Tutarı] TL'nin [Kullanılan TL]'si kurumlar vergisi
matrahından indirilmiş; [Devreden TL] tutarındaki kısım ise sonraki dönemlere devredilmiştir.'
KULLANMAYIN:
'...Tasarım İndirimi YİAKV'den düşülemez.' (YANLIŞ — 455 DÜŞÜLEBILIR)
'...Aynı harcama hem 283 hem 455 kapsamında indirilmiştir.' (Mükerrer)
'...STB belgesi olmadan tasarım indirimi uygulanmıştır.' (Geçersiz)
KRİTİK RİSKLER:
(1) STB belgesi sona ermiş/askıya alınmışken indirim uygulamak.
(2) 10 TZE personel koşulu sağlanmadan indirim uygulamak.
(3) Devreden tutarı yeniden değerlemeden aktarmak.
(4) YİAKV D.10'a eklemeyi unutmak (455 düşülebilir!).</t>
  </si>
  <si>
    <t>49 No.lu Tebliğ | 5746 s.K. Md.3/A | SM-SMMM-YMM K. Md.12</t>
  </si>
  <si>
    <t xml:space="preserve">  GİB KV BEYAN REHBERİ MART 2026 (No:606) KAPANIŞ (455 TASARIM İNDİRİMİ): STB Tasarım Merkezi belgesi + 10 TZE personel koşulu + kapsam dahili harcamalar × %100 (veya artırılmış oran). Devreden kısım yeniden değerleme oranıyla ertesi yıla devredilir. ✓ YİAKV D.10'a dahil edilir — DÜŞÜLEBILIR. Ar-Ge (283) ile proje bazında ayrıştırma zorunludur. YMM müteselsil sorumluluk: SM-SMMM-YMM Kanunu Md.12.</t>
  </si>
  <si>
    <t>455 – TASARIM İNDİRİMİ 5746 s.K. Md.3/A | BELGE LİSTESİ | YMM TASDİK</t>
  </si>
  <si>
    <t>GİB KV Beyan Rehberi Mart 2026 (No:606) | STB Belgesi | 10 TZE | Tasarım Harcamaları | Devreden</t>
  </si>
  <si>
    <t>KATEGORİ 1 — ZORUNLU BELGELER</t>
  </si>
  <si>
    <t>No</t>
  </si>
  <si>
    <t>Temin</t>
  </si>
  <si>
    <t>1</t>
  </si>
  <si>
    <t>★ STB Tasarım Merkezi Belgesi (Dönem İçin Geçerli)</t>
  </si>
  <si>
    <t>Sanayi ve Teknoloji Bakanlığı'nca verilmiş Tasarım Merkezi Belgesi.
Belge numarası, geçerlilik tarihi ve kapsam alanları. Dönem içinde askıya alındıysa — indirim yok.</t>
  </si>
  <si>
    <t>Sanayi ve Teknoloji Bakanlığı</t>
  </si>
  <si>
    <t>2</t>
  </si>
  <si>
    <t>★ Tasarım Merkezi Personel Listesi (STB'ye Bildirilen)</t>
  </si>
  <si>
    <t>10 TZE tasarım personeli koşulunu kanıtlayan dönem başı/sonu personel listesi.
STB'ye bildirilen liste ile ücret bordroları mutabık olmalıdır.</t>
  </si>
  <si>
    <t>STB / Kooperatif muhasebesi</t>
  </si>
  <si>
    <t>3</t>
  </si>
  <si>
    <t>★ Tasarım Harcamaları Muhasebe Dökümü (760 Hesabı)</t>
  </si>
  <si>
    <t>Dönem tasarım harcamalarını harcama türüne göre gösteren muhasebe ekstresi.
B tablosu ile mutabık. Her harcama türü için fatura mevcut.</t>
  </si>
  <si>
    <t>Muhasebe yazılımı / yevmiye</t>
  </si>
  <si>
    <t>4</t>
  </si>
  <si>
    <t>★ Tasarım Projeleri Listesi (STB Onaylı)</t>
  </si>
  <si>
    <t>Dönem içinde yürütülen tasarım projeleri ve her projeye atfedilen harcama dökümü.
Proje bazında ayrıştırma — kapsam dışı harcamalar bu listede görünmemeli.</t>
  </si>
  <si>
    <t>Tasarım Merkezi kayıtları / STB</t>
  </si>
  <si>
    <t>5</t>
  </si>
  <si>
    <t>Tasarım Merkezi Yıllık Faaliyet Raporu (STB'ye Sunulan)</t>
  </si>
  <si>
    <t>STB'ye sunulan veya sunulacak yıllık faaliyet raporu. YMM, raporun sunulduğunu teyit etmelidir.</t>
  </si>
  <si>
    <t>STB (Sanayi ve Teknoloji Bakanlığı)</t>
  </si>
  <si>
    <t>6</t>
  </si>
  <si>
    <t>KV Beyannamesi — 455. Satır + YİAKV D.10 + Devreden Takip Tablosu</t>
  </si>
  <si>
    <t>Beyanname 455 satırı = C.7. YİAKV D.10'a dahil. Devreden (C.8) sonraki dönem C.4'e.</t>
  </si>
  <si>
    <t>GİB e-Beyanname + YİAKV ÇK</t>
  </si>
  <si>
    <t>KATEGORİ 2 — EK BELGELER</t>
  </si>
  <si>
    <t>7</t>
  </si>
  <si>
    <t>Tasarım Harcaması Faturalar (Örnekleme)</t>
  </si>
  <si>
    <t>Dışarıdan sağlanan hizmet faturaları, prototip/test faturaları.</t>
  </si>
  <si>
    <t>Tedarikçi faturaları</t>
  </si>
  <si>
    <t>8</t>
  </si>
  <si>
    <t>Önceki Dönem Beyannamesi — Devreden 455 Tutarı</t>
  </si>
  <si>
    <t>Bir önceki dönem 455 satırı ve C.4 devreden tutarı için referans.</t>
  </si>
  <si>
    <t>Önceki dönem beyanname + YMM dosyası</t>
  </si>
  <si>
    <t>9</t>
  </si>
  <si>
    <t>Yeniden Değerleme Oranı Teyit Belgesi</t>
  </si>
  <si>
    <t>Devreden tasarım indirimi için uygulanan yeniden değerleme oranı (TÜFE/ÜFE) kaynağı.</t>
  </si>
  <si>
    <t>GİB duyurusu / VUK Mük.Md.298</t>
  </si>
  <si>
    <t>KATEGORİ 3 — YMM TASDİK KONTROL SORULARI</t>
  </si>
  <si>
    <t>Beklenen Sonuç</t>
  </si>
  <si>
    <t>YMM Aksiyonu</t>
  </si>
  <si>
    <t>S1</t>
  </si>
  <si>
    <t>★ STB Tasarım Merkezi belgesi dönem için geçerli mi?</t>
  </si>
  <si>
    <t>Belge tarihi ve son geçerlilik teyit.</t>
  </si>
  <si>
    <t>YMM kontrolü</t>
  </si>
  <si>
    <t>S2</t>
  </si>
  <si>
    <t>★ 10 TZE tasarım personeli koşulu dönem boyunca sağlandı mı?</t>
  </si>
  <si>
    <t>D tablosu TZE toplamı ≥ 10.</t>
  </si>
  <si>
    <t>S3</t>
  </si>
  <si>
    <t>★ Tasarım faaliyetleri STB belgesindeki alan kapsamında mı?</t>
  </si>
  <si>
    <t>Proje listesi vs belge kapsamı.</t>
  </si>
  <si>
    <t>S4</t>
  </si>
  <si>
    <t>★ Kapsam dışı harcamalar ayrıştırıldı mı? (B tablosu D sütunu)</t>
  </si>
  <si>
    <t>Genel yönetim, satış-paz., kapsam dışı proje.</t>
  </si>
  <si>
    <t>S5</t>
  </si>
  <si>
    <t>B tablosu harcamaları muhasebe dökümüyle mutabık mı?</t>
  </si>
  <si>
    <t>Fatura + muhasebe = B tablosu.</t>
  </si>
  <si>
    <t>S6</t>
  </si>
  <si>
    <t>Devreden tasarım indirimi (C.4) yeniden değerlemeyle güncellendi mi?</t>
  </si>
  <si>
    <t>VUK Mük.298 oranı uygulandı.</t>
  </si>
  <si>
    <t>S7</t>
  </si>
  <si>
    <t>★ Ar-Ge (283) ile çakışan harcama var mı? Proje ayrıştırması yapıldı mı?</t>
  </si>
  <si>
    <t>Aynı harcama 283+455 = mükerrer.</t>
  </si>
  <si>
    <t>S8</t>
  </si>
  <si>
    <t>✓ YİAKV D.10'a tasarım indirimi dahil edildi mi?</t>
  </si>
  <si>
    <t>455 tutarı YİAKV D.10'da — DÜŞÜLEBILIR.</t>
  </si>
  <si>
    <t>S9</t>
  </si>
  <si>
    <t>Beyanname 455 ve kalan devreden (C.8) tutarı doğru mu?</t>
  </si>
  <si>
    <t>C.7 = MIN(C.5,C.6). C.8 = C.5-C.7.</t>
  </si>
  <si>
    <t>S10</t>
  </si>
  <si>
    <t xml:space="preserve">  GİB KV BEYAN REHBERİ MART 2026 (No:606) | 455 TASARIM İNDİRİMİ SON NOT:
  5746 s.K. Md.3/A — STB Tasarım Merkezi Belgesi + 10 TZE personel + kapsam dahili harcamalar × %100.
  Devreden kısım yeniden değerleme (VUK Mük.298) oranıyla sonraki dönemlere aktarılır.
  ✓ YİAKV D.10'a dahil edilir — DÜŞÜLEBILIR (283 Ar-Ge ile aynı kategoride).
  283 (Ar-Ge) ile proje bazında ayrıştırma zorunludur — aynı harcama ikisine yazılamaz.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</si>
</sst>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F3864"/>
      <name val="Arial"/>
    </font>
    <font>
      <b/>
      <sz val="9"/>
      <color rgb="FF0277BD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0"/>
      <color rgb="FFE65100"/>
      <name val="Arial"/>
    </font>
    <font>
      <b/>
      <sz val="13"/>
      <color rgb="FFFFFFFF"/>
      <name val="Arial"/>
    </font>
    <font>
      <b/>
      <sz val="10"/>
      <color rgb="FF0277BD"/>
      <name val="Arial"/>
    </font>
    <font>
      <i/>
      <sz val="8"/>
      <color rgb="FF0277BD"/>
      <name val="Arial"/>
    </font>
    <font>
      <b/>
      <sz val="13"/>
      <color rgb="FF1B5E2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9"/>
      <color rgb="FF7B5E00"/>
      <name val="Arial"/>
    </font>
    <font>
      <b/>
      <sz val="10"/>
      <color rgb="FF7B5E00"/>
      <name val="Arial"/>
    </font>
    <font>
      <i/>
      <sz val="8"/>
      <color rgb="FF7B5E00"/>
      <name val="Arial"/>
    </font>
    <font>
      <b/>
      <sz val="12"/>
      <color rgb="FFFFFFFF"/>
      <name val="Arial"/>
    </font>
    <font>
      <b/>
      <sz val="12"/>
      <color rgb="FF1B5E20"/>
      <name val="Arial"/>
    </font>
    <font>
      <sz val="8"/>
      <color rgb="FF333333"/>
      <name val="Arial"/>
    </font>
    <font>
      <b/>
      <sz val="36"/>
      <color rgb="FFFFFFFF"/>
      <name val="Arial"/>
    </font>
    <font>
      <sz val="8"/>
      <color rgb="FFFFFFFF"/>
      <name val="Arial"/>
    </font>
    <font>
      <sz val="8"/>
      <color rgb="FF0277BD"/>
      <name val="Arial"/>
    </font>
    <font>
      <i/>
      <sz val="8"/>
      <color rgb="FF444444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24">
    <fill>
      <patternFill patternType="none"/>
    </fill>
    <fill>
      <patternFill patternType="gray125"/>
    </fill>
    <fill>
      <patternFill patternType="solid">
        <fgColor rgb="FF0277BD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C6EFCE"/>
      </patternFill>
    </fill>
    <fill>
      <patternFill patternType="solid">
        <fgColor rgb="FFE1F5FE"/>
      </patternFill>
    </fill>
    <fill>
      <patternFill patternType="solid">
        <fgColor rgb="FFFFF3E0"/>
      </patternFill>
    </fill>
    <fill>
      <patternFill patternType="solid">
        <fgColor rgb="FFFFF8E1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277BD"/>
      </left>
      <right style="thin">
        <color rgb="FF0277BD"/>
      </right>
      <top style="thin">
        <color rgb="FF0277BD"/>
      </top>
      <bottom style="thin">
        <color rgb="FF0277BD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8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/>
    </xf>
    <xf numFmtId="3" fontId="13" fillId="14" borderId="3" xfId="0" applyNumberFormat="1" applyFont="1" applyFill="1" applyBorder="1" applyAlignment="1">
      <alignment horizontal="right" vertical="center"/>
    </xf>
    <xf numFmtId="3" fontId="0" fillId="10" borderId="1" xfId="0" applyNumberFormat="1" applyFill="1" applyBorder="1" applyAlignment="1">
      <alignment horizontal="right" vertical="center"/>
    </xf>
    <xf numFmtId="3" fontId="14" fillId="13" borderId="4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right" vertical="center"/>
    </xf>
    <xf numFmtId="3" fontId="16" fillId="15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8" fillId="12" borderId="1" xfId="0" applyNumberFormat="1" applyFont="1" applyFill="1" applyBorder="1" applyAlignment="1">
      <alignment horizontal="right" vertical="center"/>
    </xf>
    <xf numFmtId="3" fontId="20" fillId="13" borderId="4" xfId="0" applyNumberFormat="1" applyFont="1" applyFill="1" applyBorder="1" applyAlignment="1">
      <alignment horizontal="right" vertical="center"/>
    </xf>
    <xf numFmtId="0" fontId="13" fillId="14" borderId="1" xfId="0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3" fontId="12" fillId="1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right" vertical="center"/>
    </xf>
    <xf numFmtId="3" fontId="21" fillId="13" borderId="4" xfId="0" applyNumberFormat="1" applyFont="1" applyFill="1" applyBorder="1" applyAlignment="1">
      <alignment horizontal="right" vertical="center"/>
    </xf>
    <xf numFmtId="3" fontId="24" fillId="16" borderId="2" xfId="0" applyNumberFormat="1" applyFont="1" applyFill="1" applyBorder="1" applyAlignment="1">
      <alignment horizontal="right" vertical="center"/>
    </xf>
    <xf numFmtId="3" fontId="10" fillId="12" borderId="1" xfId="0" applyNumberFormat="1" applyFont="1" applyFill="1" applyBorder="1" applyAlignment="1">
      <alignment horizontal="center" vertical="center"/>
    </xf>
    <xf numFmtId="3" fontId="27" fillId="13" borderId="1" xfId="0" applyNumberFormat="1" applyFont="1" applyFill="1" applyBorder="1" applyAlignment="1">
      <alignment horizontal="right" vertical="center"/>
    </xf>
    <xf numFmtId="3" fontId="10" fillId="16" borderId="1" xfId="0" applyNumberFormat="1" applyFont="1" applyFill="1" applyBorder="1" applyAlignment="1">
      <alignment horizontal="right" vertical="center"/>
    </xf>
    <xf numFmtId="0" fontId="10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28" fillId="17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left" vertical="top" wrapText="1"/>
    </xf>
    <xf numFmtId="0" fontId="32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32" fillId="9" borderId="1" xfId="0" applyFont="1" applyFill="1" applyBorder="1" applyAlignment="1">
      <alignment horizontal="left" vertical="top" wrapText="1"/>
    </xf>
    <xf numFmtId="0" fontId="32" fillId="11" borderId="1" xfId="0" applyFont="1" applyFill="1" applyBorder="1" applyAlignment="1">
      <alignment horizontal="left" vertical="top" wrapText="1"/>
    </xf>
    <xf numFmtId="0" fontId="8" fillId="13" borderId="1" xfId="0" applyFont="1" applyFill="1" applyBorder="1" applyAlignment="1">
      <alignment horizontal="center" vertical="top"/>
    </xf>
    <xf numFmtId="0" fontId="8" fillId="13" borderId="1" xfId="0" applyFont="1" applyFill="1" applyBorder="1" applyAlignment="1">
      <alignment horizontal="left" vertical="top" wrapText="1"/>
    </xf>
    <xf numFmtId="0" fontId="28" fillId="19" borderId="1" xfId="0" applyFont="1" applyFill="1" applyBorder="1" applyAlignment="1">
      <alignment horizontal="left" vertical="top" wrapText="1"/>
    </xf>
    <xf numFmtId="0" fontId="32" fillId="13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 vertical="top"/>
    </xf>
    <xf numFmtId="0" fontId="28" fillId="20" borderId="1" xfId="0" applyFont="1" applyFill="1" applyBorder="1" applyAlignment="1">
      <alignment horizontal="left" vertical="top" wrapText="1"/>
    </xf>
    <xf numFmtId="0" fontId="1" fillId="21" borderId="2" xfId="0" applyFont="1" applyFill="1" applyBorder="1" applyAlignment="1">
      <alignment horizontal="center" vertical="center"/>
    </xf>
    <xf numFmtId="0" fontId="0" fillId="22" borderId="1" xfId="0" applyFill="1" applyBorder="1"/>
    <xf numFmtId="0" fontId="33" fillId="22" borderId="1" xfId="0" applyFont="1" applyFill="1" applyBorder="1" applyAlignment="1">
      <alignment horizontal="center" vertical="top"/>
    </xf>
    <xf numFmtId="0" fontId="5" fillId="22" borderId="1" xfId="0" applyFont="1" applyFill="1" applyBorder="1" applyAlignment="1">
      <alignment horizontal="left" vertical="top" wrapText="1"/>
    </xf>
    <xf numFmtId="0" fontId="28" fillId="23" borderId="1" xfId="0" applyFont="1" applyFill="1" applyBorder="1" applyAlignment="1">
      <alignment horizontal="left" vertical="top" wrapText="1"/>
    </xf>
    <xf numFmtId="0" fontId="34" fillId="22" borderId="1" xfId="0" applyFont="1" applyFill="1" applyBorder="1" applyAlignment="1">
      <alignment horizontal="center" vertical="top"/>
    </xf>
    <xf numFmtId="0" fontId="33" fillId="12" borderId="1" xfId="0" applyFont="1" applyFill="1" applyBorder="1" applyAlignment="1">
      <alignment horizontal="center" vertical="top"/>
    </xf>
    <xf numFmtId="0" fontId="33" fillId="12" borderId="1" xfId="0" applyFont="1" applyFill="1" applyBorder="1" applyAlignment="1">
      <alignment horizontal="left" vertical="top" wrapText="1"/>
    </xf>
    <xf numFmtId="0" fontId="34" fillId="1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0" fillId="10" borderId="1" xfId="0" applyFill="1" applyBorder="1"/>
    <xf numFmtId="0" fontId="11" fillId="11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8" fillId="1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22" fillId="13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13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23" fillId="16" borderId="2" xfId="0" applyFont="1" applyFill="1" applyBorder="1" applyAlignment="1">
      <alignment horizontal="left" vertical="center"/>
    </xf>
    <xf numFmtId="0" fontId="0" fillId="16" borderId="1" xfId="0" applyFill="1" applyBorder="1"/>
    <xf numFmtId="0" fontId="5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center" vertical="center"/>
    </xf>
    <xf numFmtId="0" fontId="0" fillId="13" borderId="4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28" fillId="17" borderId="1" xfId="0" applyFont="1" applyFill="1" applyBorder="1" applyAlignment="1">
      <alignment horizontal="left" vertical="top" wrapText="1"/>
    </xf>
    <xf numFmtId="0" fontId="0" fillId="17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top" wrapText="1"/>
    </xf>
    <xf numFmtId="0" fontId="8" fillId="16" borderId="1" xfId="0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28" fillId="12" borderId="1" xfId="0" applyFont="1" applyFill="1" applyBorder="1" applyAlignment="1">
      <alignment horizontal="left" vertical="top" wrapText="1"/>
    </xf>
    <xf numFmtId="0" fontId="26" fillId="2" borderId="2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center" wrapText="1"/>
    </xf>
    <xf numFmtId="0" fontId="28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29" fillId="2" borderId="2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5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5" xfId="0" applyFill="1" applyBorder="1"/>
    <xf numFmtId="0" fontId="4" fillId="8" borderId="5" xfId="0" applyFont="1" applyFill="1" applyBorder="1" applyAlignment="1">
      <alignment horizontal="left" vertical="center"/>
    </xf>
    <xf numFmtId="0" fontId="0" fillId="8" borderId="5" xfId="0" applyFill="1" applyBorder="1"/>
    <xf numFmtId="0" fontId="4" fillId="21" borderId="5" xfId="0" applyFont="1" applyFill="1" applyBorder="1" applyAlignment="1">
      <alignment horizontal="left" vertical="center"/>
    </xf>
    <xf numFmtId="0" fontId="0" fillId="21" borderId="5" xfId="0" applyFill="1" applyBorder="1"/>
    <xf numFmtId="0" fontId="4" fillId="2" borderId="5" xfId="0" applyFont="1" applyFill="1" applyBorder="1" applyAlignment="1">
      <alignment horizontal="left" vertical="center"/>
    </xf>
    <xf numFmtId="0" fontId="0" fillId="2" borderId="5" xfId="0" applyFill="1" applyBorder="1"/>
    <xf numFmtId="0" fontId="4" fillId="5" borderId="5" xfId="0" applyFont="1" applyFill="1" applyBorder="1" applyAlignment="1">
      <alignment horizontal="left" vertical="center"/>
    </xf>
    <xf numFmtId="0" fontId="0" fillId="5" borderId="5" xfId="0" applyFill="1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4E7BF3-8199-459E-9E82-0473B075A0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36bdd53-0619-495d-87ce-f6c2b8cd156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6" width="14" customWidth="1"/>
    <col min="7" max="7" width="22" customWidth="1"/>
  </cols>
  <sheetData>
    <row r="1" spans="1:7" ht="52" customHeight="1" x14ac:dyDescent="0.55000000000000004">
      <c r="A1" s="64" t="s">
        <v>0</v>
      </c>
      <c r="B1" s="65"/>
      <c r="C1" s="65"/>
      <c r="D1" s="65"/>
      <c r="E1" s="65"/>
      <c r="F1" s="65"/>
      <c r="G1" s="65"/>
    </row>
    <row r="2" spans="1:7" ht="22" customHeight="1" x14ac:dyDescent="0.55000000000000004">
      <c r="A2" s="99" t="s">
        <v>1</v>
      </c>
      <c r="B2" s="100"/>
      <c r="C2" s="100"/>
      <c r="D2" s="100"/>
      <c r="E2" s="100"/>
      <c r="F2" s="100"/>
      <c r="G2" s="100"/>
    </row>
    <row r="3" spans="1:7" ht="44.05" customHeight="1" x14ac:dyDescent="0.55000000000000004">
      <c r="A3" s="87" t="s">
        <v>2</v>
      </c>
      <c r="B3" s="88"/>
      <c r="C3" s="88"/>
      <c r="D3" s="88"/>
      <c r="E3" s="88"/>
      <c r="F3" s="88"/>
      <c r="G3" s="88"/>
    </row>
    <row r="4" spans="1:7" ht="22" customHeight="1" x14ac:dyDescent="0.55000000000000004">
      <c r="A4" s="89" t="s">
        <v>3</v>
      </c>
      <c r="B4" s="90"/>
      <c r="C4" s="90"/>
      <c r="D4" s="90"/>
      <c r="E4" s="90"/>
      <c r="F4" s="90"/>
      <c r="G4" s="90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3" t="s">
        <v>4</v>
      </c>
      <c r="B6" s="94"/>
      <c r="C6" s="94"/>
      <c r="D6" s="94"/>
      <c r="E6" s="94"/>
      <c r="F6" s="94"/>
      <c r="G6" s="94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4" t="s">
        <v>8</v>
      </c>
      <c r="B8" s="82"/>
      <c r="C8" s="82"/>
      <c r="D8" s="82"/>
      <c r="E8" s="3" t="s">
        <v>9</v>
      </c>
      <c r="F8" s="81" t="s">
        <v>10</v>
      </c>
      <c r="G8" s="82"/>
    </row>
    <row r="9" spans="1:7" ht="28" customHeight="1" x14ac:dyDescent="0.55000000000000004">
      <c r="A9" s="84" t="s">
        <v>11</v>
      </c>
      <c r="B9" s="82"/>
      <c r="C9" s="82"/>
      <c r="D9" s="82"/>
      <c r="E9" s="3" t="s">
        <v>9</v>
      </c>
      <c r="F9" s="81" t="s">
        <v>12</v>
      </c>
      <c r="G9" s="82"/>
    </row>
    <row r="10" spans="1:7" ht="28" customHeight="1" x14ac:dyDescent="0.55000000000000004">
      <c r="A10" s="84" t="s">
        <v>13</v>
      </c>
      <c r="B10" s="82"/>
      <c r="C10" s="82"/>
      <c r="D10" s="82"/>
      <c r="E10" s="3" t="s">
        <v>9</v>
      </c>
      <c r="F10" s="81" t="s">
        <v>14</v>
      </c>
      <c r="G10" s="82"/>
    </row>
    <row r="11" spans="1:7" ht="28" customHeight="1" x14ac:dyDescent="0.55000000000000004">
      <c r="A11" s="68" t="s">
        <v>15</v>
      </c>
      <c r="B11" s="69"/>
      <c r="C11" s="69"/>
      <c r="D11" s="69"/>
      <c r="E11" s="3" t="s">
        <v>9</v>
      </c>
      <c r="F11" s="79" t="s">
        <v>16</v>
      </c>
      <c r="G11" s="69"/>
    </row>
    <row r="12" spans="1:7" ht="28" customHeight="1" x14ac:dyDescent="0.55000000000000004">
      <c r="A12" s="80" t="s">
        <v>17</v>
      </c>
      <c r="B12" s="78"/>
      <c r="C12" s="78"/>
      <c r="D12" s="78"/>
      <c r="E12" s="3" t="s">
        <v>18</v>
      </c>
      <c r="F12" s="86" t="s">
        <v>19</v>
      </c>
      <c r="G12" s="78"/>
    </row>
    <row r="13" spans="1:7" ht="28" customHeight="1" x14ac:dyDescent="0.55000000000000004">
      <c r="A13" s="68" t="s">
        <v>20</v>
      </c>
      <c r="B13" s="69"/>
      <c r="C13" s="69"/>
      <c r="D13" s="69"/>
      <c r="E13" s="3" t="s">
        <v>9</v>
      </c>
      <c r="F13" s="79" t="s">
        <v>21</v>
      </c>
      <c r="G13" s="69"/>
    </row>
    <row r="14" spans="1:7" ht="28" customHeight="1" x14ac:dyDescent="0.55000000000000004">
      <c r="A14" s="80" t="s">
        <v>22</v>
      </c>
      <c r="B14" s="78"/>
      <c r="C14" s="78"/>
      <c r="D14" s="78"/>
      <c r="E14" s="3" t="s">
        <v>9</v>
      </c>
      <c r="F14" s="86" t="s">
        <v>23</v>
      </c>
      <c r="G14" s="78"/>
    </row>
    <row r="15" spans="1:7" ht="24" customHeight="1" x14ac:dyDescent="0.55000000000000004">
      <c r="A15" s="74" t="s">
        <v>24</v>
      </c>
      <c r="B15" s="73"/>
      <c r="C15" s="73"/>
      <c r="D15" s="73"/>
      <c r="E15" s="9" t="str">
        <f>IF(AND(E8="EVET",E9="EVET",E10="EVET",E11="EVET"),"OK - Hesaplanabilir","HATA - Ön koşul eksik")</f>
        <v>OK - Hesaplanabilir</v>
      </c>
      <c r="F15" s="72" t="s">
        <v>25</v>
      </c>
      <c r="G15" s="7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6" t="s">
        <v>26</v>
      </c>
      <c r="B17" s="67"/>
      <c r="C17" s="67"/>
      <c r="D17" s="67"/>
      <c r="E17" s="67"/>
      <c r="F17" s="67"/>
      <c r="G17" s="67"/>
    </row>
    <row r="18" spans="1:7" ht="22" customHeight="1" x14ac:dyDescent="0.55000000000000004">
      <c r="A18" s="80" t="s">
        <v>27</v>
      </c>
      <c r="B18" s="78"/>
      <c r="C18" s="70"/>
      <c r="D18" s="70"/>
      <c r="E18" s="70"/>
      <c r="F18" s="10" t="s">
        <v>28</v>
      </c>
      <c r="G18" s="7"/>
    </row>
    <row r="19" spans="1:7" ht="22" customHeight="1" x14ac:dyDescent="0.55000000000000004">
      <c r="A19" s="68" t="s">
        <v>29</v>
      </c>
      <c r="B19" s="69"/>
      <c r="C19" s="70"/>
      <c r="D19" s="70"/>
      <c r="E19" s="70"/>
      <c r="F19" s="11" t="s">
        <v>30</v>
      </c>
      <c r="G19" s="5"/>
    </row>
    <row r="20" spans="1:7" ht="22" customHeight="1" x14ac:dyDescent="0.55000000000000004">
      <c r="A20" s="80" t="s">
        <v>31</v>
      </c>
      <c r="B20" s="78"/>
      <c r="C20" s="70"/>
      <c r="D20" s="70"/>
      <c r="E20" s="70"/>
      <c r="F20" s="10" t="s">
        <v>32</v>
      </c>
      <c r="G20" s="7"/>
    </row>
    <row r="21" spans="1:7" ht="22" customHeight="1" x14ac:dyDescent="0.55000000000000004">
      <c r="A21" s="68" t="s">
        <v>33</v>
      </c>
      <c r="B21" s="69"/>
      <c r="C21" s="70"/>
      <c r="D21" s="70"/>
      <c r="E21" s="70"/>
      <c r="F21" s="11" t="s">
        <v>34</v>
      </c>
      <c r="G21" s="5"/>
    </row>
    <row r="22" spans="1:7" ht="22" customHeight="1" x14ac:dyDescent="0.55000000000000004">
      <c r="A22" s="80" t="s">
        <v>35</v>
      </c>
      <c r="B22" s="78"/>
      <c r="C22" s="70"/>
      <c r="D22" s="70"/>
      <c r="E22" s="70"/>
      <c r="F22" s="10" t="s">
        <v>36</v>
      </c>
      <c r="G22" s="7"/>
    </row>
    <row r="23" spans="1:7" ht="22" customHeight="1" x14ac:dyDescent="0.55000000000000004">
      <c r="A23" s="68" t="s">
        <v>37</v>
      </c>
      <c r="B23" s="69"/>
      <c r="C23" s="70"/>
      <c r="D23" s="70"/>
      <c r="E23" s="70"/>
      <c r="F23" s="11" t="s">
        <v>38</v>
      </c>
      <c r="G23" s="5"/>
    </row>
    <row r="24" spans="1:7" ht="22" customHeight="1" x14ac:dyDescent="0.55000000000000004">
      <c r="A24" s="80" t="s">
        <v>39</v>
      </c>
      <c r="B24" s="78"/>
      <c r="C24" s="70"/>
      <c r="D24" s="70"/>
      <c r="E24" s="70"/>
      <c r="F24" s="10" t="s">
        <v>40</v>
      </c>
      <c r="G24" s="7"/>
    </row>
    <row r="25" spans="1:7" ht="22" customHeight="1" x14ac:dyDescent="0.55000000000000004">
      <c r="A25" s="68" t="s">
        <v>41</v>
      </c>
      <c r="B25" s="69"/>
      <c r="C25" s="70"/>
      <c r="D25" s="70"/>
      <c r="E25" s="70"/>
      <c r="F25" s="11" t="s">
        <v>42</v>
      </c>
      <c r="G25" s="5"/>
    </row>
    <row r="26" spans="1:7" ht="22" customHeight="1" x14ac:dyDescent="0.55000000000000004">
      <c r="A26" s="80" t="s">
        <v>43</v>
      </c>
      <c r="B26" s="78"/>
      <c r="C26" s="70"/>
      <c r="D26" s="70"/>
      <c r="E26" s="70"/>
      <c r="F26" s="10" t="s">
        <v>44</v>
      </c>
      <c r="G26" s="7"/>
    </row>
    <row r="27" spans="1:7" ht="5.05" customHeight="1" x14ac:dyDescent="0.55000000000000004">
      <c r="A27" s="1"/>
      <c r="B27" s="1"/>
      <c r="C27" s="1"/>
      <c r="D27" s="1"/>
      <c r="E27" s="1"/>
      <c r="F27" s="1"/>
      <c r="G27" s="1"/>
    </row>
    <row r="28" spans="1:7" ht="24" customHeight="1" x14ac:dyDescent="0.55000000000000004">
      <c r="A28" s="66" t="s">
        <v>45</v>
      </c>
      <c r="B28" s="67"/>
      <c r="C28" s="67"/>
      <c r="D28" s="67"/>
      <c r="E28" s="67"/>
      <c r="F28" s="67"/>
      <c r="G28" s="67"/>
    </row>
    <row r="29" spans="1:7" ht="24" customHeight="1" x14ac:dyDescent="0.55000000000000004">
      <c r="A29" s="103" t="s">
        <v>46</v>
      </c>
      <c r="B29" s="78"/>
      <c r="C29" s="78"/>
      <c r="D29" s="78"/>
      <c r="E29" s="78"/>
      <c r="F29" s="78"/>
      <c r="G29" s="78"/>
    </row>
    <row r="30" spans="1:7" ht="18" customHeight="1" x14ac:dyDescent="0.55000000000000004">
      <c r="A30" s="12" t="s">
        <v>47</v>
      </c>
      <c r="B30" s="12" t="s">
        <v>48</v>
      </c>
      <c r="C30" s="12" t="s">
        <v>49</v>
      </c>
      <c r="D30" s="12" t="s">
        <v>50</v>
      </c>
      <c r="E30" s="12" t="s">
        <v>51</v>
      </c>
      <c r="F30" s="12" t="s">
        <v>39</v>
      </c>
      <c r="G30" s="12" t="s">
        <v>52</v>
      </c>
    </row>
    <row r="31" spans="1:7" ht="26.05" customHeight="1" x14ac:dyDescent="0.55000000000000004">
      <c r="A31" s="13"/>
      <c r="B31" s="13"/>
      <c r="C31" s="14"/>
      <c r="D31" s="15"/>
      <c r="E31" s="16">
        <f t="shared" ref="E31:E38" si="0">IF(C31&gt;0,C31-D31,0)</f>
        <v>0</v>
      </c>
      <c r="F31" s="17"/>
      <c r="G31" s="17"/>
    </row>
    <row r="32" spans="1:7" ht="26.05" customHeight="1" x14ac:dyDescent="0.55000000000000004">
      <c r="A32" s="13"/>
      <c r="B32" s="13"/>
      <c r="C32" s="14"/>
      <c r="D32" s="15"/>
      <c r="E32" s="16">
        <f t="shared" si="0"/>
        <v>0</v>
      </c>
      <c r="F32" s="17"/>
      <c r="G32" s="17"/>
    </row>
    <row r="33" spans="1:7" ht="26.05" customHeight="1" x14ac:dyDescent="0.55000000000000004">
      <c r="A33" s="13"/>
      <c r="B33" s="13"/>
      <c r="C33" s="14"/>
      <c r="D33" s="15"/>
      <c r="E33" s="16">
        <f t="shared" si="0"/>
        <v>0</v>
      </c>
      <c r="F33" s="17"/>
      <c r="G33" s="17"/>
    </row>
    <row r="34" spans="1:7" ht="26.05" customHeight="1" x14ac:dyDescent="0.55000000000000004">
      <c r="A34" s="13"/>
      <c r="B34" s="13"/>
      <c r="C34" s="14"/>
      <c r="D34" s="15"/>
      <c r="E34" s="16">
        <f t="shared" si="0"/>
        <v>0</v>
      </c>
      <c r="F34" s="17"/>
      <c r="G34" s="17"/>
    </row>
    <row r="35" spans="1:7" ht="26.05" customHeight="1" x14ac:dyDescent="0.55000000000000004">
      <c r="A35" s="13"/>
      <c r="B35" s="13"/>
      <c r="C35" s="14"/>
      <c r="D35" s="15"/>
      <c r="E35" s="16">
        <f t="shared" si="0"/>
        <v>0</v>
      </c>
      <c r="F35" s="17"/>
      <c r="G35" s="17"/>
    </row>
    <row r="36" spans="1:7" ht="26.05" customHeight="1" x14ac:dyDescent="0.55000000000000004">
      <c r="A36" s="13"/>
      <c r="B36" s="13"/>
      <c r="C36" s="14"/>
      <c r="D36" s="15"/>
      <c r="E36" s="16">
        <f t="shared" si="0"/>
        <v>0</v>
      </c>
      <c r="F36" s="17"/>
      <c r="G36" s="17"/>
    </row>
    <row r="37" spans="1:7" ht="26.05" customHeight="1" x14ac:dyDescent="0.55000000000000004">
      <c r="A37" s="13"/>
      <c r="B37" s="13"/>
      <c r="C37" s="14"/>
      <c r="D37" s="15"/>
      <c r="E37" s="16">
        <f t="shared" si="0"/>
        <v>0</v>
      </c>
      <c r="F37" s="17"/>
      <c r="G37" s="17"/>
    </row>
    <row r="38" spans="1:7" ht="26.05" customHeight="1" x14ac:dyDescent="0.55000000000000004">
      <c r="A38" s="13"/>
      <c r="B38" s="13"/>
      <c r="C38" s="14"/>
      <c r="D38" s="15"/>
      <c r="E38" s="16">
        <f t="shared" si="0"/>
        <v>0</v>
      </c>
      <c r="F38" s="17"/>
      <c r="G38" s="17"/>
    </row>
    <row r="39" spans="1:7" ht="30" customHeight="1" x14ac:dyDescent="0.55000000000000004">
      <c r="A39" s="18" t="s">
        <v>53</v>
      </c>
      <c r="B39" s="64" t="s">
        <v>54</v>
      </c>
      <c r="C39" s="19">
        <f>SUM(C31:C38)</f>
        <v>0</v>
      </c>
      <c r="D39" s="20">
        <f>SUM(D31:D38)</f>
        <v>0</v>
      </c>
      <c r="E39" s="21">
        <f>SUM(E31:E38)</f>
        <v>0</v>
      </c>
      <c r="F39" s="64" t="s">
        <v>55</v>
      </c>
      <c r="G39" s="65"/>
    </row>
    <row r="40" spans="1:7" ht="5.05" customHeight="1" x14ac:dyDescent="0.55000000000000004">
      <c r="A40" s="1"/>
      <c r="B40" s="1"/>
      <c r="C40" s="1"/>
      <c r="D40" s="1"/>
      <c r="E40" s="1"/>
      <c r="F40" s="1"/>
      <c r="G40" s="1"/>
    </row>
    <row r="41" spans="1:7" ht="24" customHeight="1" x14ac:dyDescent="0.55000000000000004">
      <c r="A41" s="66" t="s">
        <v>56</v>
      </c>
      <c r="B41" s="67"/>
      <c r="C41" s="67"/>
      <c r="D41" s="67"/>
      <c r="E41" s="67"/>
      <c r="F41" s="67"/>
      <c r="G41" s="67"/>
    </row>
    <row r="42" spans="1:7" ht="26.05" customHeight="1" x14ac:dyDescent="0.55000000000000004">
      <c r="A42" s="103" t="s">
        <v>57</v>
      </c>
      <c r="B42" s="78"/>
      <c r="C42" s="78"/>
      <c r="D42" s="78"/>
      <c r="E42" s="78"/>
      <c r="F42" s="78"/>
      <c r="G42" s="78"/>
    </row>
    <row r="43" spans="1:7" ht="18" customHeight="1" x14ac:dyDescent="0.55000000000000004">
      <c r="A43" s="2"/>
      <c r="B43" s="2" t="s">
        <v>58</v>
      </c>
      <c r="C43" s="2"/>
      <c r="D43" s="2" t="s">
        <v>59</v>
      </c>
      <c r="E43" s="2"/>
      <c r="F43" s="2" t="s">
        <v>60</v>
      </c>
      <c r="G43" s="2" t="s">
        <v>61</v>
      </c>
    </row>
    <row r="44" spans="1:7" ht="28" customHeight="1" x14ac:dyDescent="0.55000000000000004">
      <c r="A44" s="80" t="s">
        <v>62</v>
      </c>
      <c r="B44" s="78"/>
      <c r="C44" s="22">
        <f>E39</f>
        <v>0</v>
      </c>
      <c r="D44" s="77" t="s">
        <v>63</v>
      </c>
      <c r="E44" s="78"/>
      <c r="F44" s="86"/>
      <c r="G44" s="78"/>
    </row>
    <row r="45" spans="1:7" ht="28" customHeight="1" x14ac:dyDescent="0.55000000000000004">
      <c r="A45" s="68" t="s">
        <v>64</v>
      </c>
      <c r="B45" s="69"/>
      <c r="C45" s="22">
        <f>C25</f>
        <v>0</v>
      </c>
      <c r="D45" s="71" t="s">
        <v>65</v>
      </c>
      <c r="E45" s="69"/>
      <c r="F45" s="79"/>
      <c r="G45" s="69"/>
    </row>
    <row r="46" spans="1:7" ht="28" customHeight="1" x14ac:dyDescent="0.55000000000000004">
      <c r="A46" s="80" t="s">
        <v>66</v>
      </c>
      <c r="B46" s="78"/>
      <c r="C46" s="22">
        <f>C44*C45/100</f>
        <v>0</v>
      </c>
      <c r="D46" s="77" t="s">
        <v>67</v>
      </c>
      <c r="E46" s="78"/>
      <c r="F46" s="86"/>
      <c r="G46" s="78"/>
    </row>
    <row r="47" spans="1:7" ht="28" customHeight="1" x14ac:dyDescent="0.55000000000000004">
      <c r="A47" s="68" t="s">
        <v>68</v>
      </c>
      <c r="B47" s="69"/>
      <c r="C47" s="15"/>
      <c r="D47" s="71" t="s">
        <v>69</v>
      </c>
      <c r="E47" s="69"/>
      <c r="F47" s="85" t="s">
        <v>70</v>
      </c>
      <c r="G47" s="69"/>
    </row>
    <row r="48" spans="1:7" ht="28" customHeight="1" x14ac:dyDescent="0.55000000000000004">
      <c r="A48" s="80" t="s">
        <v>71</v>
      </c>
      <c r="B48" s="78"/>
      <c r="C48" s="22">
        <f>C46+C47</f>
        <v>0</v>
      </c>
      <c r="D48" s="77" t="s">
        <v>72</v>
      </c>
      <c r="E48" s="78"/>
      <c r="F48" s="86"/>
      <c r="G48" s="78"/>
    </row>
    <row r="49" spans="1:7" ht="28" customHeight="1" x14ac:dyDescent="0.55000000000000004">
      <c r="A49" s="68" t="s">
        <v>73</v>
      </c>
      <c r="B49" s="69"/>
      <c r="C49" s="15"/>
      <c r="D49" s="71" t="s">
        <v>74</v>
      </c>
      <c r="E49" s="69"/>
      <c r="F49" s="85" t="s">
        <v>61</v>
      </c>
      <c r="G49" s="69"/>
    </row>
    <row r="50" spans="1:7" ht="28" customHeight="1" x14ac:dyDescent="0.55000000000000004">
      <c r="A50" s="104" t="s">
        <v>75</v>
      </c>
      <c r="B50" s="73"/>
      <c r="C50" s="23">
        <f>MIN(C48,C49)</f>
        <v>0</v>
      </c>
      <c r="D50" s="107" t="s">
        <v>76</v>
      </c>
      <c r="E50" s="73"/>
      <c r="F50" s="92" t="s">
        <v>77</v>
      </c>
      <c r="G50" s="73"/>
    </row>
    <row r="51" spans="1:7" ht="28" customHeight="1" x14ac:dyDescent="0.55000000000000004">
      <c r="A51" s="68" t="s">
        <v>78</v>
      </c>
      <c r="B51" s="69"/>
      <c r="C51" s="22">
        <f>C48-C50</f>
        <v>0</v>
      </c>
      <c r="D51" s="71" t="s">
        <v>79</v>
      </c>
      <c r="E51" s="69"/>
      <c r="F51" s="85" t="s">
        <v>80</v>
      </c>
      <c r="G51" s="69"/>
    </row>
    <row r="52" spans="1:7" ht="5.05" customHeight="1" x14ac:dyDescent="0.55000000000000004">
      <c r="A52" s="1"/>
      <c r="B52" s="1"/>
      <c r="C52" s="1"/>
      <c r="D52" s="1"/>
      <c r="E52" s="1"/>
      <c r="F52" s="1"/>
      <c r="G52" s="1"/>
    </row>
    <row r="53" spans="1:7" ht="22" customHeight="1" x14ac:dyDescent="0.55000000000000004">
      <c r="A53" s="66" t="s">
        <v>81</v>
      </c>
      <c r="B53" s="67"/>
      <c r="C53" s="67"/>
      <c r="D53" s="67"/>
      <c r="E53" s="67"/>
      <c r="F53" s="67"/>
      <c r="G53" s="67"/>
    </row>
    <row r="54" spans="1:7" ht="22" customHeight="1" x14ac:dyDescent="0.55000000000000004">
      <c r="A54" s="103" t="s">
        <v>82</v>
      </c>
      <c r="B54" s="78"/>
      <c r="C54" s="78"/>
      <c r="D54" s="78"/>
      <c r="E54" s="78"/>
      <c r="F54" s="78"/>
      <c r="G54" s="78"/>
    </row>
    <row r="55" spans="1:7" ht="18" customHeight="1" x14ac:dyDescent="0.55000000000000004">
      <c r="A55" s="12"/>
      <c r="B55" s="12" t="s">
        <v>83</v>
      </c>
      <c r="C55" s="12" t="s">
        <v>84</v>
      </c>
      <c r="D55" s="12" t="s">
        <v>85</v>
      </c>
      <c r="E55" s="12" t="s">
        <v>86</v>
      </c>
      <c r="F55" s="12" t="s">
        <v>87</v>
      </c>
      <c r="G55" s="12" t="s">
        <v>88</v>
      </c>
    </row>
    <row r="56" spans="1:7" ht="26.05" customHeight="1" x14ac:dyDescent="0.55000000000000004">
      <c r="A56" s="24" t="s">
        <v>89</v>
      </c>
      <c r="B56" s="6" t="s">
        <v>90</v>
      </c>
      <c r="C56" s="17"/>
      <c r="D56" s="17"/>
      <c r="E56" s="25"/>
      <c r="F56" s="26"/>
      <c r="G56" s="17"/>
    </row>
    <row r="57" spans="1:7" ht="26.05" customHeight="1" x14ac:dyDescent="0.55000000000000004">
      <c r="A57" s="24" t="s">
        <v>91</v>
      </c>
      <c r="B57" s="4" t="s">
        <v>92</v>
      </c>
      <c r="C57" s="17"/>
      <c r="D57" s="17"/>
      <c r="E57" s="25"/>
      <c r="F57" s="26"/>
      <c r="G57" s="17"/>
    </row>
    <row r="58" spans="1:7" ht="26.05" customHeight="1" x14ac:dyDescent="0.55000000000000004">
      <c r="A58" s="24" t="s">
        <v>93</v>
      </c>
      <c r="B58" s="6" t="s">
        <v>94</v>
      </c>
      <c r="C58" s="17"/>
      <c r="D58" s="17"/>
      <c r="E58" s="25"/>
      <c r="F58" s="26"/>
      <c r="G58" s="17"/>
    </row>
    <row r="59" spans="1:7" ht="26.05" customHeight="1" x14ac:dyDescent="0.55000000000000004">
      <c r="A59" s="24" t="s">
        <v>95</v>
      </c>
      <c r="B59" s="4" t="s">
        <v>96</v>
      </c>
      <c r="C59" s="17"/>
      <c r="D59" s="17"/>
      <c r="E59" s="25"/>
      <c r="F59" s="26"/>
      <c r="G59" s="17"/>
    </row>
    <row r="60" spans="1:7" ht="28" customHeight="1" x14ac:dyDescent="0.55000000000000004">
      <c r="A60" s="27" t="s">
        <v>53</v>
      </c>
      <c r="B60" s="64" t="s">
        <v>97</v>
      </c>
      <c r="C60" s="65"/>
      <c r="D60" s="65"/>
      <c r="E60" s="28">
        <f>SUM(E56:E59)</f>
        <v>0</v>
      </c>
      <c r="F60" s="19">
        <f>SUM(F56:F59)</f>
        <v>0</v>
      </c>
      <c r="G60" s="65"/>
    </row>
    <row r="61" spans="1:7" ht="22" customHeight="1" x14ac:dyDescent="0.55000000000000004">
      <c r="A61" s="105" t="str">
        <f>IF(E60&gt;=10,"✓ ASGARİ KOŞUL SAĞLANDI — TZE:"&amp;TEXT(E60,"#,##0.0")&amp;" ≥ 10","★ UYARI: TZE "&amp;TEXT(E60,"#,##0.0")&amp;" &lt; 10 — Koşul Sağlanmıyor!")</f>
        <v>★ UYARI: TZE ,00 &lt; 10 — Koşul Sağlanmıyor!</v>
      </c>
      <c r="B61" s="106"/>
      <c r="C61" s="106"/>
      <c r="D61" s="106"/>
      <c r="E61" s="106"/>
      <c r="F61" s="106"/>
      <c r="G61" s="106"/>
    </row>
    <row r="62" spans="1:7" ht="5.05" customHeight="1" x14ac:dyDescent="0.55000000000000004">
      <c r="A62" s="1"/>
      <c r="B62" s="1"/>
      <c r="C62" s="1"/>
      <c r="D62" s="1"/>
      <c r="E62" s="1"/>
      <c r="F62" s="1"/>
      <c r="G62" s="1"/>
    </row>
    <row r="63" spans="1:7" ht="32.049999999999997" customHeight="1" x14ac:dyDescent="0.55000000000000004">
      <c r="A63" s="91" t="s">
        <v>98</v>
      </c>
      <c r="B63" s="73"/>
      <c r="C63" s="73"/>
      <c r="D63" s="73"/>
      <c r="E63" s="29">
        <f>C50</f>
        <v>0</v>
      </c>
      <c r="F63" s="83" t="s">
        <v>99</v>
      </c>
      <c r="G63" s="73"/>
    </row>
    <row r="64" spans="1:7" ht="28" customHeight="1" x14ac:dyDescent="0.55000000000000004">
      <c r="A64" s="75" t="s">
        <v>100</v>
      </c>
      <c r="B64" s="76"/>
      <c r="C64" s="76"/>
      <c r="D64" s="76"/>
      <c r="E64" s="101" t="s">
        <v>101</v>
      </c>
      <c r="F64" s="76"/>
      <c r="G64" s="76"/>
    </row>
    <row r="65" spans="1:7" ht="28" customHeight="1" x14ac:dyDescent="0.55000000000000004">
      <c r="A65" s="95" t="s">
        <v>102</v>
      </c>
      <c r="B65" s="96"/>
      <c r="C65" s="96"/>
      <c r="D65" s="96"/>
      <c r="E65" s="30">
        <f>C51</f>
        <v>0</v>
      </c>
      <c r="F65" s="102" t="s">
        <v>103</v>
      </c>
      <c r="G65" s="96"/>
    </row>
    <row r="66" spans="1:7" ht="44.05" customHeight="1" x14ac:dyDescent="0.55000000000000004">
      <c r="A66" s="97" t="s">
        <v>104</v>
      </c>
      <c r="B66" s="98"/>
      <c r="C66" s="98"/>
      <c r="D66" s="98"/>
      <c r="E66" s="98"/>
      <c r="F66" s="98"/>
      <c r="G66" s="98"/>
    </row>
  </sheetData>
  <mergeCells count="82">
    <mergeCell ref="A2:G2"/>
    <mergeCell ref="F14:G14"/>
    <mergeCell ref="E64:G64"/>
    <mergeCell ref="A14:D14"/>
    <mergeCell ref="F11:G11"/>
    <mergeCell ref="A24:B24"/>
    <mergeCell ref="D46:E46"/>
    <mergeCell ref="A29:G29"/>
    <mergeCell ref="G60"/>
    <mergeCell ref="F12:G12"/>
    <mergeCell ref="A25:B25"/>
    <mergeCell ref="F51:G51"/>
    <mergeCell ref="A18:B18"/>
    <mergeCell ref="A50:B50"/>
    <mergeCell ref="A61:G61"/>
    <mergeCell ref="C19:E19"/>
    <mergeCell ref="A65:D65"/>
    <mergeCell ref="A23:B23"/>
    <mergeCell ref="A66:G66"/>
    <mergeCell ref="A12:D12"/>
    <mergeCell ref="F49:G49"/>
    <mergeCell ref="F65:G65"/>
    <mergeCell ref="A47:B47"/>
    <mergeCell ref="A54:G54"/>
    <mergeCell ref="A41:G41"/>
    <mergeCell ref="A20:B20"/>
    <mergeCell ref="A44:B44"/>
    <mergeCell ref="D50:E50"/>
    <mergeCell ref="D44:E44"/>
    <mergeCell ref="A42:G42"/>
    <mergeCell ref="A1:G1"/>
    <mergeCell ref="F47:G47"/>
    <mergeCell ref="B39"/>
    <mergeCell ref="F46:G46"/>
    <mergeCell ref="F9:G9"/>
    <mergeCell ref="C24:E24"/>
    <mergeCell ref="F39:G39"/>
    <mergeCell ref="A3:G3"/>
    <mergeCell ref="C26:E26"/>
    <mergeCell ref="F44:G44"/>
    <mergeCell ref="A8:D8"/>
    <mergeCell ref="A4:G4"/>
    <mergeCell ref="A10:D10"/>
    <mergeCell ref="F8:G8"/>
    <mergeCell ref="A21:B21"/>
    <mergeCell ref="A6:G6"/>
    <mergeCell ref="F10:G10"/>
    <mergeCell ref="F63:G63"/>
    <mergeCell ref="C22:E22"/>
    <mergeCell ref="A45:B45"/>
    <mergeCell ref="A9:D9"/>
    <mergeCell ref="A46:B46"/>
    <mergeCell ref="F45:G45"/>
    <mergeCell ref="A11:D11"/>
    <mergeCell ref="A26:B26"/>
    <mergeCell ref="D47:E47"/>
    <mergeCell ref="F48:G48"/>
    <mergeCell ref="A49:B49"/>
    <mergeCell ref="A63:D63"/>
    <mergeCell ref="D49:E49"/>
    <mergeCell ref="F50:G50"/>
    <mergeCell ref="A64:D64"/>
    <mergeCell ref="D48:E48"/>
    <mergeCell ref="C18:E18"/>
    <mergeCell ref="F13:G13"/>
    <mergeCell ref="A22:B22"/>
    <mergeCell ref="A19:B19"/>
    <mergeCell ref="D51:E51"/>
    <mergeCell ref="C20:E20"/>
    <mergeCell ref="C25:E25"/>
    <mergeCell ref="A48:B48"/>
    <mergeCell ref="A13:D13"/>
    <mergeCell ref="A28:G28"/>
    <mergeCell ref="F15:G15"/>
    <mergeCell ref="C23:E23"/>
    <mergeCell ref="A15:D15"/>
    <mergeCell ref="B60:D60"/>
    <mergeCell ref="A17:G17"/>
    <mergeCell ref="A51:B51"/>
    <mergeCell ref="A53:G53"/>
    <mergeCell ref="C21:E21"/>
    <mergeCell ref="D45:E45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9">
    <dataValidation type="list" sqref="E8" xr:uid="{00000000-0002-0000-0000-000000000000}">
      <formula1>"EVET,HAYIR-Belge Yok/Sona Erdi"</formula1>
    </dataValidation>
    <dataValidation type="list" sqref="E9" xr:uid="{00000000-0002-0000-0000-000001000000}">
      <formula1>"EVET,HAYIR-Kapsam Dışı"</formula1>
    </dataValidation>
    <dataValidation type="list" sqref="E10" xr:uid="{00000000-0002-0000-0000-000002000000}">
      <formula1>"EVET,HAYIR-Personel Yetersiz"</formula1>
    </dataValidation>
    <dataValidation type="list" sqref="E11" xr:uid="{00000000-0002-0000-0000-000003000000}">
      <formula1>"EVET,HAYIR-Ayrıştırma Eksik"</formula1>
    </dataValidation>
    <dataValidation type="list" sqref="E12" xr:uid="{00000000-0002-0000-0000-000004000000}">
      <formula1>"EVET,HAYIR"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A31:A38" xr:uid="{00000000-0002-0000-0000-000007000000}">
      <formula1>_xlfn._LONGTEXT("Tasarım Personeli Ücretleri (SGK Dahil),Kısmi Zamanlı Çalışan Personel (Kıst),Genel Giderler (Enerji/Su/Isıtma/Haberleşme/Kira),Amortisman Giderleri (Kıst),Dışarıdan Sağlanan Fayda ve Hizmetler,Prototip ve Test Giderleri,Seyahat ve Konaklama (Tasarıma Özg","ü),Diğer Tasarım Harcamaları")</formula1>
    </dataValidation>
    <dataValidation type="list" sqref="F31:F38" xr:uid="{00000000-0002-0000-0000-000008000000}">
      <formula1>"Endüstriyel Tasarım,Tekstil ve Konfeksiyon Tasarımı,Grafik Tasarım,Ambalaj Tasarımı,Moda Tasarımı,Ürün Tasarımı,Dijital Tasarım,Diğer"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19" t="s">
        <v>105</v>
      </c>
      <c r="B1" s="67"/>
      <c r="C1" s="67"/>
      <c r="D1" s="67"/>
      <c r="E1" s="67"/>
      <c r="F1" s="67"/>
      <c r="G1" s="67"/>
    </row>
    <row r="2" spans="1:7" ht="20.05" customHeight="1" x14ac:dyDescent="0.55000000000000004">
      <c r="A2" s="99" t="s">
        <v>106</v>
      </c>
      <c r="B2" s="100"/>
      <c r="C2" s="100"/>
      <c r="D2" s="100"/>
      <c r="E2" s="100"/>
      <c r="F2" s="100"/>
      <c r="G2" s="100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1" t="s">
        <v>107</v>
      </c>
      <c r="B4" s="90"/>
      <c r="C4" s="90"/>
      <c r="D4" s="90"/>
      <c r="E4" s="90"/>
      <c r="F4" s="90"/>
      <c r="G4" s="90"/>
    </row>
    <row r="5" spans="1:7" ht="22" customHeight="1" x14ac:dyDescent="0.55000000000000004">
      <c r="A5" s="116" t="s">
        <v>108</v>
      </c>
      <c r="B5" s="69"/>
      <c r="C5" s="69"/>
      <c r="D5" s="31" t="str">
        <f>'VERİ GİRİŞİ'!E15</f>
        <v>OK - Hesaplanabilir</v>
      </c>
      <c r="E5" s="79" t="s">
        <v>109</v>
      </c>
      <c r="F5" s="69"/>
      <c r="G5" s="69"/>
    </row>
    <row r="6" spans="1:7" ht="22" customHeight="1" x14ac:dyDescent="0.55000000000000004">
      <c r="A6" s="117" t="s">
        <v>110</v>
      </c>
      <c r="B6" s="78"/>
      <c r="C6" s="78"/>
      <c r="D6" s="31">
        <f>'VERİ GİRİŞİ'!C22</f>
        <v>0</v>
      </c>
      <c r="E6" s="86" t="s">
        <v>111</v>
      </c>
      <c r="F6" s="78"/>
      <c r="G6" s="78"/>
    </row>
    <row r="7" spans="1:7" ht="22" customHeight="1" x14ac:dyDescent="0.55000000000000004">
      <c r="A7" s="116" t="s">
        <v>112</v>
      </c>
      <c r="B7" s="69"/>
      <c r="C7" s="69"/>
      <c r="D7" s="31">
        <f>'VERİ GİRİŞİ'!E60</f>
        <v>0</v>
      </c>
      <c r="E7" s="79" t="s">
        <v>113</v>
      </c>
      <c r="F7" s="69"/>
      <c r="G7" s="69"/>
    </row>
    <row r="8" spans="1:7" ht="22" customHeight="1" x14ac:dyDescent="0.55000000000000004">
      <c r="A8" s="117" t="s">
        <v>114</v>
      </c>
      <c r="B8" s="78"/>
      <c r="C8" s="78"/>
      <c r="D8" s="31">
        <f>'VERİ GİRİŞİ'!E39</f>
        <v>0</v>
      </c>
      <c r="E8" s="86" t="s">
        <v>115</v>
      </c>
      <c r="F8" s="78"/>
      <c r="G8" s="78"/>
    </row>
    <row r="9" spans="1:7" ht="22" customHeight="1" x14ac:dyDescent="0.55000000000000004">
      <c r="A9" s="116" t="s">
        <v>116</v>
      </c>
      <c r="B9" s="69"/>
      <c r="C9" s="69"/>
      <c r="D9" s="31">
        <f>'VERİ GİRİŞİ'!C46</f>
        <v>0</v>
      </c>
      <c r="E9" s="79" t="s">
        <v>117</v>
      </c>
      <c r="F9" s="69"/>
      <c r="G9" s="69"/>
    </row>
    <row r="10" spans="1:7" ht="22" customHeight="1" x14ac:dyDescent="0.55000000000000004">
      <c r="A10" s="117" t="s">
        <v>118</v>
      </c>
      <c r="B10" s="78"/>
      <c r="C10" s="78"/>
      <c r="D10" s="31">
        <f>'VERİ GİRİŞİ'!C47</f>
        <v>0</v>
      </c>
      <c r="E10" s="86" t="s">
        <v>119</v>
      </c>
      <c r="F10" s="78"/>
      <c r="G10" s="78"/>
    </row>
    <row r="11" spans="1:7" ht="22" customHeight="1" x14ac:dyDescent="0.55000000000000004">
      <c r="A11" s="74" t="s">
        <v>120</v>
      </c>
      <c r="B11" s="73"/>
      <c r="C11" s="73"/>
      <c r="D11" s="32">
        <f>'VERİ GİRİŞİ'!C50</f>
        <v>0</v>
      </c>
      <c r="E11" s="115"/>
      <c r="F11" s="73"/>
      <c r="G11" s="73"/>
    </row>
    <row r="12" spans="1:7" ht="22" customHeight="1" x14ac:dyDescent="0.55000000000000004">
      <c r="A12" s="113" t="s">
        <v>121</v>
      </c>
      <c r="B12" s="96"/>
      <c r="C12" s="96"/>
      <c r="D12" s="33">
        <f>'VERİ GİRİŞİ'!C51</f>
        <v>0</v>
      </c>
      <c r="E12" s="121" t="s">
        <v>122</v>
      </c>
      <c r="F12" s="96"/>
      <c r="G12" s="96"/>
    </row>
    <row r="13" spans="1:7" ht="22" customHeight="1" x14ac:dyDescent="0.55000000000000004">
      <c r="A13" s="117" t="s">
        <v>123</v>
      </c>
      <c r="B13" s="78"/>
      <c r="C13" s="78"/>
      <c r="D13" s="34" t="s">
        <v>124</v>
      </c>
      <c r="E13" s="86" t="s">
        <v>125</v>
      </c>
      <c r="F13" s="78"/>
      <c r="G13" s="78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6" t="s">
        <v>126</v>
      </c>
      <c r="B15" s="67"/>
      <c r="C15" s="67"/>
      <c r="D15" s="67"/>
      <c r="E15" s="67"/>
      <c r="F15" s="67"/>
      <c r="G15" s="67"/>
    </row>
    <row r="16" spans="1:7" ht="68.05" customHeight="1" x14ac:dyDescent="0.55000000000000004">
      <c r="A16" s="122" t="s">
        <v>127</v>
      </c>
      <c r="B16" s="123"/>
      <c r="C16" s="123"/>
      <c r="D16" s="123"/>
      <c r="E16" s="123"/>
      <c r="F16" s="123"/>
      <c r="G16" s="123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66" t="s">
        <v>128</v>
      </c>
      <c r="B18" s="67"/>
      <c r="C18" s="67"/>
      <c r="D18" s="67"/>
      <c r="E18" s="67"/>
      <c r="F18" s="67"/>
      <c r="G18" s="67"/>
    </row>
    <row r="19" spans="1:7" ht="18" customHeight="1" x14ac:dyDescent="0.55000000000000004">
      <c r="A19" s="2"/>
      <c r="B19" s="2" t="s">
        <v>129</v>
      </c>
      <c r="C19" s="2"/>
      <c r="D19" s="2" t="s">
        <v>130</v>
      </c>
      <c r="E19" s="2"/>
      <c r="F19" s="2" t="s">
        <v>131</v>
      </c>
      <c r="G19" s="2"/>
    </row>
    <row r="20" spans="1:7" ht="22" customHeight="1" x14ac:dyDescent="0.55000000000000004">
      <c r="A20" s="35" t="s">
        <v>132</v>
      </c>
      <c r="B20" s="112" t="s">
        <v>133</v>
      </c>
      <c r="C20" s="82"/>
      <c r="D20" s="108" t="s">
        <v>134</v>
      </c>
      <c r="E20" s="109"/>
      <c r="F20" s="38" t="s">
        <v>135</v>
      </c>
      <c r="G20" s="7"/>
    </row>
    <row r="21" spans="1:7" ht="22" customHeight="1" x14ac:dyDescent="0.55000000000000004">
      <c r="A21" s="35" t="s">
        <v>136</v>
      </c>
      <c r="B21" s="112" t="s">
        <v>137</v>
      </c>
      <c r="C21" s="82"/>
      <c r="D21" s="108" t="s">
        <v>138</v>
      </c>
      <c r="E21" s="109"/>
      <c r="F21" s="38" t="s">
        <v>135</v>
      </c>
      <c r="G21" s="5"/>
    </row>
    <row r="22" spans="1:7" ht="22" customHeight="1" x14ac:dyDescent="0.55000000000000004">
      <c r="A22" s="35" t="s">
        <v>139</v>
      </c>
      <c r="B22" s="112" t="s">
        <v>140</v>
      </c>
      <c r="C22" s="82"/>
      <c r="D22" s="108" t="s">
        <v>141</v>
      </c>
      <c r="E22" s="109"/>
      <c r="F22" s="38" t="s">
        <v>135</v>
      </c>
      <c r="G22" s="7"/>
    </row>
    <row r="23" spans="1:7" ht="22" customHeight="1" x14ac:dyDescent="0.55000000000000004">
      <c r="A23" s="35" t="s">
        <v>142</v>
      </c>
      <c r="B23" s="110" t="s">
        <v>143</v>
      </c>
      <c r="C23" s="69"/>
      <c r="D23" s="114" t="s">
        <v>144</v>
      </c>
      <c r="E23" s="69"/>
      <c r="F23" s="38" t="s">
        <v>135</v>
      </c>
      <c r="G23" s="5"/>
    </row>
    <row r="24" spans="1:7" ht="22" customHeight="1" x14ac:dyDescent="0.55000000000000004">
      <c r="A24" s="35" t="s">
        <v>145</v>
      </c>
      <c r="B24" s="112" t="s">
        <v>146</v>
      </c>
      <c r="C24" s="82"/>
      <c r="D24" s="108" t="s">
        <v>147</v>
      </c>
      <c r="E24" s="109"/>
      <c r="F24" s="38" t="s">
        <v>135</v>
      </c>
      <c r="G24" s="7"/>
    </row>
    <row r="25" spans="1:7" ht="22" customHeight="1" x14ac:dyDescent="0.55000000000000004">
      <c r="A25" s="35" t="s">
        <v>148</v>
      </c>
      <c r="B25" s="110" t="s">
        <v>149</v>
      </c>
      <c r="C25" s="69"/>
      <c r="D25" s="114" t="s">
        <v>150</v>
      </c>
      <c r="E25" s="69"/>
      <c r="F25" s="38" t="s">
        <v>135</v>
      </c>
      <c r="G25" s="5"/>
    </row>
    <row r="26" spans="1:7" ht="22" customHeight="1" x14ac:dyDescent="0.55000000000000004">
      <c r="A26" s="35" t="s">
        <v>151</v>
      </c>
      <c r="B26" s="120" t="s">
        <v>152</v>
      </c>
      <c r="C26" s="78"/>
      <c r="D26" s="118" t="s">
        <v>153</v>
      </c>
      <c r="E26" s="78"/>
      <c r="F26" s="38" t="s">
        <v>135</v>
      </c>
      <c r="G26" s="7"/>
    </row>
    <row r="27" spans="1:7" ht="22" customHeight="1" x14ac:dyDescent="0.55000000000000004">
      <c r="A27" s="35" t="s">
        <v>154</v>
      </c>
      <c r="B27" s="112" t="s">
        <v>155</v>
      </c>
      <c r="C27" s="82"/>
      <c r="D27" s="108" t="s">
        <v>156</v>
      </c>
      <c r="E27" s="109"/>
      <c r="F27" s="38" t="s">
        <v>135</v>
      </c>
      <c r="G27" s="5"/>
    </row>
    <row r="28" spans="1:7" ht="22" customHeight="1" x14ac:dyDescent="0.55000000000000004">
      <c r="A28" s="35" t="s">
        <v>157</v>
      </c>
      <c r="B28" s="120" t="s">
        <v>158</v>
      </c>
      <c r="C28" s="78"/>
      <c r="D28" s="118" t="s">
        <v>159</v>
      </c>
      <c r="E28" s="78"/>
      <c r="F28" s="38" t="s">
        <v>135</v>
      </c>
      <c r="G28" s="7"/>
    </row>
    <row r="29" spans="1:7" ht="22" customHeight="1" x14ac:dyDescent="0.55000000000000004">
      <c r="A29" s="35" t="s">
        <v>160</v>
      </c>
      <c r="B29" s="110" t="s">
        <v>161</v>
      </c>
      <c r="C29" s="69"/>
      <c r="D29" s="114" t="s">
        <v>162</v>
      </c>
      <c r="E29" s="69"/>
      <c r="F29" s="38" t="s">
        <v>135</v>
      </c>
      <c r="G29" s="5"/>
    </row>
    <row r="30" spans="1:7" ht="22" customHeight="1" x14ac:dyDescent="0.55000000000000004">
      <c r="A30" s="35" t="s">
        <v>163</v>
      </c>
      <c r="B30" s="120" t="s">
        <v>164</v>
      </c>
      <c r="C30" s="78"/>
      <c r="D30" s="118" t="s">
        <v>165</v>
      </c>
      <c r="E30" s="78"/>
      <c r="F30" s="38" t="s">
        <v>135</v>
      </c>
      <c r="G30" s="7"/>
    </row>
    <row r="31" spans="1:7" ht="22" customHeight="1" x14ac:dyDescent="0.55000000000000004">
      <c r="A31" s="35" t="s">
        <v>166</v>
      </c>
      <c r="B31" s="110" t="s">
        <v>167</v>
      </c>
      <c r="C31" s="69"/>
      <c r="D31" s="114" t="s">
        <v>168</v>
      </c>
      <c r="E31" s="69"/>
      <c r="F31" s="38" t="s">
        <v>135</v>
      </c>
      <c r="G31" s="5"/>
    </row>
    <row r="32" spans="1:7" ht="22" customHeight="1" x14ac:dyDescent="0.55000000000000004">
      <c r="A32" s="35" t="s">
        <v>169</v>
      </c>
      <c r="B32" s="120" t="s">
        <v>170</v>
      </c>
      <c r="C32" s="78"/>
      <c r="D32" s="118" t="s">
        <v>171</v>
      </c>
      <c r="E32" s="78"/>
      <c r="F32" s="38" t="s">
        <v>135</v>
      </c>
      <c r="G32" s="7"/>
    </row>
    <row r="33" spans="1:7" ht="22" customHeight="1" x14ac:dyDescent="0.55000000000000004">
      <c r="A33" s="35" t="s">
        <v>172</v>
      </c>
      <c r="B33" s="110" t="s">
        <v>173</v>
      </c>
      <c r="C33" s="69"/>
      <c r="D33" s="114" t="s">
        <v>174</v>
      </c>
      <c r="E33" s="69"/>
      <c r="F33" s="38" t="s">
        <v>135</v>
      </c>
      <c r="G33" s="5"/>
    </row>
  </sheetData>
  <mergeCells count="52">
    <mergeCell ref="B33:C33"/>
    <mergeCell ref="E5:G5"/>
    <mergeCell ref="D33:E33"/>
    <mergeCell ref="B20:C20"/>
    <mergeCell ref="D29:E29"/>
    <mergeCell ref="A6:C6"/>
    <mergeCell ref="E8:G8"/>
    <mergeCell ref="D23:E23"/>
    <mergeCell ref="B32:C32"/>
    <mergeCell ref="B26:C26"/>
    <mergeCell ref="A7:C7"/>
    <mergeCell ref="D26:E26"/>
    <mergeCell ref="A1:G1"/>
    <mergeCell ref="B29:C29"/>
    <mergeCell ref="B28:C28"/>
    <mergeCell ref="A9:C9"/>
    <mergeCell ref="D28:E28"/>
    <mergeCell ref="E12:G12"/>
    <mergeCell ref="A16:G16"/>
    <mergeCell ref="D25:E25"/>
    <mergeCell ref="B24:C24"/>
    <mergeCell ref="A11:C11"/>
    <mergeCell ref="D24:E24"/>
    <mergeCell ref="A18:G18"/>
    <mergeCell ref="A2:G2"/>
    <mergeCell ref="D32:E32"/>
    <mergeCell ref="A15:G15"/>
    <mergeCell ref="E7:G7"/>
    <mergeCell ref="A10:C10"/>
    <mergeCell ref="A13:C13"/>
    <mergeCell ref="B30:C30"/>
    <mergeCell ref="D30:E30"/>
    <mergeCell ref="B31:C31"/>
    <mergeCell ref="A12:C12"/>
    <mergeCell ref="B27:C27"/>
    <mergeCell ref="D31:E31"/>
    <mergeCell ref="E6:G6"/>
    <mergeCell ref="D21:E21"/>
    <mergeCell ref="B21:C21"/>
    <mergeCell ref="E11:G11"/>
    <mergeCell ref="A8:C8"/>
    <mergeCell ref="D27:E27"/>
    <mergeCell ref="B23:C23"/>
    <mergeCell ref="D20:E20"/>
    <mergeCell ref="E10:G10"/>
    <mergeCell ref="E13:G13"/>
    <mergeCell ref="B25:C25"/>
    <mergeCell ref="A4:G4"/>
    <mergeCell ref="B22:C22"/>
    <mergeCell ref="E9:G9"/>
    <mergeCell ref="D22:E22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26" t="s">
        <v>175</v>
      </c>
      <c r="B1" s="67"/>
      <c r="C1" s="67"/>
      <c r="D1" s="67"/>
      <c r="E1" s="67"/>
      <c r="F1" s="67"/>
      <c r="G1" s="67"/>
    </row>
    <row r="2" spans="1:7" ht="20.05" customHeight="1" x14ac:dyDescent="0.55000000000000004">
      <c r="A2" s="128" t="s">
        <v>176</v>
      </c>
      <c r="B2" s="100"/>
      <c r="C2" s="100"/>
      <c r="D2" s="100"/>
      <c r="E2" s="100"/>
      <c r="F2" s="100"/>
      <c r="G2" s="100"/>
    </row>
    <row r="4" spans="1:7" ht="26.05" customHeight="1" x14ac:dyDescent="0.55000000000000004">
      <c r="A4" s="66" t="s">
        <v>177</v>
      </c>
      <c r="B4" s="67"/>
      <c r="C4" s="67"/>
      <c r="D4" s="67"/>
      <c r="E4" s="67"/>
      <c r="F4" s="67"/>
      <c r="G4" s="67"/>
    </row>
    <row r="5" spans="1:7" ht="18" customHeight="1" x14ac:dyDescent="0.55000000000000004">
      <c r="A5" s="41"/>
      <c r="B5" s="41" t="s">
        <v>178</v>
      </c>
      <c r="C5" s="41" t="s">
        <v>179</v>
      </c>
      <c r="D5" s="41" t="s">
        <v>180</v>
      </c>
      <c r="E5" s="41" t="s">
        <v>181</v>
      </c>
      <c r="F5" s="41" t="s">
        <v>182</v>
      </c>
      <c r="G5" s="41" t="s">
        <v>183</v>
      </c>
    </row>
    <row r="6" spans="1:7" ht="24" customHeight="1" x14ac:dyDescent="0.55000000000000004">
      <c r="A6" s="42" t="s">
        <v>181</v>
      </c>
      <c r="B6" s="42" t="s">
        <v>184</v>
      </c>
      <c r="C6" s="42" t="s">
        <v>185</v>
      </c>
      <c r="D6" s="42" t="s">
        <v>186</v>
      </c>
      <c r="E6" s="42" t="s">
        <v>187</v>
      </c>
      <c r="F6" s="42" t="s">
        <v>188</v>
      </c>
      <c r="G6" s="42" t="s">
        <v>189</v>
      </c>
    </row>
    <row r="7" spans="1:7" ht="24" customHeight="1" x14ac:dyDescent="0.55000000000000004">
      <c r="A7" s="43" t="s">
        <v>182</v>
      </c>
      <c r="B7" s="43" t="s">
        <v>184</v>
      </c>
      <c r="C7" s="43" t="s">
        <v>190</v>
      </c>
      <c r="D7" s="43" t="s">
        <v>191</v>
      </c>
      <c r="E7" s="43" t="s">
        <v>188</v>
      </c>
      <c r="F7" s="43" t="s">
        <v>187</v>
      </c>
      <c r="G7" s="43" t="s">
        <v>192</v>
      </c>
    </row>
    <row r="8" spans="1:7" ht="26.05" customHeight="1" x14ac:dyDescent="0.55000000000000004">
      <c r="A8" s="66" t="s">
        <v>193</v>
      </c>
      <c r="B8" s="67"/>
      <c r="C8" s="67"/>
      <c r="D8" s="67"/>
      <c r="E8" s="67"/>
      <c r="F8" s="67"/>
      <c r="G8" s="67"/>
    </row>
    <row r="9" spans="1:7" ht="22" customHeight="1" x14ac:dyDescent="0.55000000000000004">
      <c r="A9" s="127" t="s">
        <v>194</v>
      </c>
      <c r="B9" s="78"/>
      <c r="C9" s="78"/>
      <c r="D9" s="78"/>
      <c r="E9" s="78"/>
      <c r="F9" s="78"/>
      <c r="G9" s="78"/>
    </row>
    <row r="10" spans="1:7" ht="18" customHeight="1" x14ac:dyDescent="0.55000000000000004">
      <c r="A10" s="41"/>
      <c r="B10" s="41" t="s">
        <v>178</v>
      </c>
      <c r="C10" s="41" t="s">
        <v>179</v>
      </c>
      <c r="D10" s="41" t="s">
        <v>180</v>
      </c>
      <c r="E10" s="41" t="s">
        <v>181</v>
      </c>
      <c r="F10" s="41" t="s">
        <v>182</v>
      </c>
      <c r="G10" s="41" t="s">
        <v>183</v>
      </c>
    </row>
    <row r="11" spans="1:7" ht="22" customHeight="1" x14ac:dyDescent="0.55000000000000004">
      <c r="A11" s="42" t="s">
        <v>181</v>
      </c>
      <c r="B11" s="42" t="s">
        <v>184</v>
      </c>
      <c r="C11" s="42" t="s">
        <v>195</v>
      </c>
      <c r="D11" s="42" t="s">
        <v>196</v>
      </c>
      <c r="E11" s="42" t="s">
        <v>197</v>
      </c>
      <c r="F11" s="42" t="s">
        <v>188</v>
      </c>
      <c r="G11" s="42" t="s">
        <v>198</v>
      </c>
    </row>
    <row r="12" spans="1:7" ht="22" customHeight="1" x14ac:dyDescent="0.55000000000000004">
      <c r="A12" s="43" t="s">
        <v>182</v>
      </c>
      <c r="B12" s="43" t="s">
        <v>184</v>
      </c>
      <c r="C12" s="43" t="s">
        <v>199</v>
      </c>
      <c r="D12" s="43" t="s">
        <v>200</v>
      </c>
      <c r="E12" s="43" t="s">
        <v>188</v>
      </c>
      <c r="F12" s="43" t="s">
        <v>197</v>
      </c>
      <c r="G12" s="43" t="s">
        <v>198</v>
      </c>
    </row>
    <row r="13" spans="1:7" ht="26.05" customHeight="1" x14ac:dyDescent="0.55000000000000004">
      <c r="A13" s="124" t="s">
        <v>201</v>
      </c>
      <c r="B13" s="125"/>
      <c r="C13" s="125"/>
      <c r="D13" s="125"/>
      <c r="E13" s="125"/>
      <c r="F13" s="125"/>
      <c r="G13" s="125"/>
    </row>
    <row r="14" spans="1:7" ht="56.05" customHeight="1" x14ac:dyDescent="0.55000000000000004">
      <c r="A14" s="122" t="s">
        <v>202</v>
      </c>
      <c r="B14" s="123"/>
      <c r="C14" s="123"/>
      <c r="D14" s="123"/>
      <c r="E14" s="123"/>
      <c r="F14" s="123"/>
      <c r="G14" s="123"/>
    </row>
  </sheetData>
  <mergeCells count="7">
    <mergeCell ref="A13:G13"/>
    <mergeCell ref="A14:G14"/>
    <mergeCell ref="A1:G1"/>
    <mergeCell ref="A9:G9"/>
    <mergeCell ref="A8:G8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32" t="s">
        <v>203</v>
      </c>
      <c r="B1" s="67"/>
      <c r="C1" s="67"/>
      <c r="D1" s="67"/>
      <c r="E1" s="67"/>
      <c r="F1" s="67"/>
      <c r="G1" s="67"/>
    </row>
    <row r="2" spans="1:7" ht="22" customHeight="1" x14ac:dyDescent="0.55000000000000004">
      <c r="A2" s="130" t="s">
        <v>204</v>
      </c>
      <c r="B2" s="131"/>
      <c r="C2" s="131"/>
      <c r="D2" s="131"/>
      <c r="E2" s="131"/>
      <c r="F2" s="131"/>
      <c r="G2" s="131"/>
    </row>
    <row r="3" spans="1:7" ht="18" customHeight="1" x14ac:dyDescent="0.55000000000000004">
      <c r="A3" s="41" t="s">
        <v>205</v>
      </c>
      <c r="B3" s="41" t="s">
        <v>206</v>
      </c>
      <c r="C3" s="41" t="s">
        <v>207</v>
      </c>
      <c r="D3" s="41" t="s">
        <v>208</v>
      </c>
    </row>
    <row r="4" spans="1:7" ht="72" customHeight="1" x14ac:dyDescent="0.55000000000000004">
      <c r="A4" s="35" t="s">
        <v>209</v>
      </c>
      <c r="B4" s="40" t="s">
        <v>210</v>
      </c>
      <c r="C4" s="44" t="s">
        <v>211</v>
      </c>
      <c r="D4" s="45" t="s">
        <v>212</v>
      </c>
    </row>
    <row r="5" spans="1:7" ht="64" customHeight="1" x14ac:dyDescent="0.55000000000000004">
      <c r="A5" s="46" t="s">
        <v>213</v>
      </c>
      <c r="B5" s="36" t="s">
        <v>214</v>
      </c>
      <c r="C5" s="37" t="s">
        <v>215</v>
      </c>
      <c r="D5" s="47" t="s">
        <v>216</v>
      </c>
    </row>
    <row r="6" spans="1:7" ht="56.05" customHeight="1" x14ac:dyDescent="0.55000000000000004">
      <c r="A6" s="35" t="s">
        <v>217</v>
      </c>
      <c r="B6" s="40" t="s">
        <v>218</v>
      </c>
      <c r="C6" s="44" t="s">
        <v>219</v>
      </c>
      <c r="D6" s="45" t="s">
        <v>220</v>
      </c>
    </row>
    <row r="7" spans="1:7" ht="64" customHeight="1" x14ac:dyDescent="0.55000000000000004">
      <c r="A7" s="35" t="s">
        <v>221</v>
      </c>
      <c r="B7" s="40" t="s">
        <v>222</v>
      </c>
      <c r="C7" s="44" t="s">
        <v>223</v>
      </c>
      <c r="D7" s="45" t="s">
        <v>224</v>
      </c>
    </row>
    <row r="8" spans="1:7" ht="72" customHeight="1" x14ac:dyDescent="0.55000000000000004">
      <c r="A8" s="35" t="s">
        <v>225</v>
      </c>
      <c r="B8" s="39" t="s">
        <v>226</v>
      </c>
      <c r="C8" s="44" t="s">
        <v>227</v>
      </c>
      <c r="D8" s="48" t="s">
        <v>228</v>
      </c>
    </row>
    <row r="9" spans="1:7" ht="44.05" customHeight="1" x14ac:dyDescent="0.55000000000000004">
      <c r="A9" s="129" t="s">
        <v>229</v>
      </c>
      <c r="B9" s="88"/>
      <c r="C9" s="88"/>
      <c r="D9" s="88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39" t="s">
        <v>230</v>
      </c>
      <c r="B1" s="140"/>
      <c r="C1" s="140"/>
      <c r="D1" s="140"/>
      <c r="E1" s="140"/>
      <c r="F1" s="140"/>
    </row>
    <row r="2" spans="1:6" ht="22" customHeight="1" x14ac:dyDescent="0.55000000000000004">
      <c r="A2" s="133" t="s">
        <v>231</v>
      </c>
      <c r="B2" s="134"/>
      <c r="C2" s="134"/>
      <c r="D2" s="134"/>
      <c r="E2" s="134"/>
      <c r="F2" s="134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41" t="s">
        <v>232</v>
      </c>
      <c r="B4" s="142"/>
      <c r="C4" s="142"/>
      <c r="D4" s="142"/>
      <c r="E4" s="142"/>
      <c r="F4" s="142"/>
    </row>
    <row r="5" spans="1:6" ht="18" customHeight="1" x14ac:dyDescent="0.55000000000000004">
      <c r="A5" s="41"/>
      <c r="B5" s="41" t="s">
        <v>233</v>
      </c>
      <c r="C5" s="41" t="s">
        <v>192</v>
      </c>
      <c r="D5" s="41" t="s">
        <v>130</v>
      </c>
      <c r="E5" s="41" t="s">
        <v>234</v>
      </c>
      <c r="F5" s="41"/>
    </row>
    <row r="6" spans="1:6" ht="40" customHeight="1" x14ac:dyDescent="0.55000000000000004">
      <c r="A6" s="8"/>
      <c r="B6" s="49" t="s">
        <v>235</v>
      </c>
      <c r="C6" s="50" t="s">
        <v>236</v>
      </c>
      <c r="D6" s="51" t="s">
        <v>237</v>
      </c>
      <c r="E6" s="52" t="s">
        <v>238</v>
      </c>
      <c r="F6" s="8"/>
    </row>
    <row r="7" spans="1:6" ht="40" customHeight="1" x14ac:dyDescent="0.55000000000000004">
      <c r="A7" s="8"/>
      <c r="B7" s="49" t="s">
        <v>239</v>
      </c>
      <c r="C7" s="50" t="s">
        <v>240</v>
      </c>
      <c r="D7" s="51" t="s">
        <v>241</v>
      </c>
      <c r="E7" s="52" t="s">
        <v>242</v>
      </c>
      <c r="F7" s="8"/>
    </row>
    <row r="8" spans="1:6" ht="36" customHeight="1" x14ac:dyDescent="0.55000000000000004">
      <c r="A8" s="8"/>
      <c r="B8" s="49" t="s">
        <v>243</v>
      </c>
      <c r="C8" s="50" t="s">
        <v>244</v>
      </c>
      <c r="D8" s="51" t="s">
        <v>245</v>
      </c>
      <c r="E8" s="52" t="s">
        <v>246</v>
      </c>
      <c r="F8" s="8"/>
    </row>
    <row r="9" spans="1:6" ht="36" customHeight="1" x14ac:dyDescent="0.55000000000000004">
      <c r="A9" s="8"/>
      <c r="B9" s="49" t="s">
        <v>247</v>
      </c>
      <c r="C9" s="50" t="s">
        <v>248</v>
      </c>
      <c r="D9" s="51" t="s">
        <v>249</v>
      </c>
      <c r="E9" s="52" t="s">
        <v>250</v>
      </c>
      <c r="F9" s="8"/>
    </row>
    <row r="10" spans="1:6" ht="32.049999999999997" customHeight="1" x14ac:dyDescent="0.55000000000000004">
      <c r="A10" s="8"/>
      <c r="B10" s="49" t="s">
        <v>251</v>
      </c>
      <c r="C10" s="50" t="s">
        <v>252</v>
      </c>
      <c r="D10" s="51" t="s">
        <v>253</v>
      </c>
      <c r="E10" s="52" t="s">
        <v>254</v>
      </c>
      <c r="F10" s="8"/>
    </row>
    <row r="11" spans="1:6" ht="32.049999999999997" customHeight="1" x14ac:dyDescent="0.55000000000000004">
      <c r="A11" s="8"/>
      <c r="B11" s="49" t="s">
        <v>255</v>
      </c>
      <c r="C11" s="50" t="s">
        <v>256</v>
      </c>
      <c r="D11" s="51" t="s">
        <v>257</v>
      </c>
      <c r="E11" s="52" t="s">
        <v>258</v>
      </c>
      <c r="F11" s="8"/>
    </row>
    <row r="12" spans="1:6" ht="5.05" customHeight="1" x14ac:dyDescent="0.55000000000000004">
      <c r="A12" s="1"/>
      <c r="B12" s="1"/>
      <c r="C12" s="1"/>
      <c r="D12" s="1"/>
      <c r="E12" s="1"/>
      <c r="F12" s="1"/>
    </row>
    <row r="13" spans="1:6" ht="36" customHeight="1" x14ac:dyDescent="0.55000000000000004">
      <c r="A13" s="135" t="s">
        <v>259</v>
      </c>
      <c r="B13" s="136"/>
      <c r="C13" s="136"/>
      <c r="D13" s="136"/>
      <c r="E13" s="136"/>
      <c r="F13" s="136"/>
    </row>
    <row r="14" spans="1:6" ht="18" customHeight="1" x14ac:dyDescent="0.55000000000000004">
      <c r="A14" s="41"/>
      <c r="B14" s="41" t="s">
        <v>233</v>
      </c>
      <c r="C14" s="41" t="s">
        <v>192</v>
      </c>
      <c r="D14" s="41" t="s">
        <v>130</v>
      </c>
      <c r="E14" s="41" t="s">
        <v>234</v>
      </c>
      <c r="F14" s="41"/>
    </row>
    <row r="15" spans="1:6" ht="28" customHeight="1" x14ac:dyDescent="0.55000000000000004">
      <c r="A15" s="7"/>
      <c r="B15" s="53" t="s">
        <v>260</v>
      </c>
      <c r="C15" s="40" t="s">
        <v>261</v>
      </c>
      <c r="D15" s="54" t="s">
        <v>262</v>
      </c>
      <c r="E15" s="45" t="s">
        <v>263</v>
      </c>
      <c r="F15" s="7"/>
    </row>
    <row r="16" spans="1:6" ht="28" customHeight="1" x14ac:dyDescent="0.55000000000000004">
      <c r="A16" s="7"/>
      <c r="B16" s="53" t="s">
        <v>264</v>
      </c>
      <c r="C16" s="40" t="s">
        <v>265</v>
      </c>
      <c r="D16" s="54" t="s">
        <v>266</v>
      </c>
      <c r="E16" s="45" t="s">
        <v>267</v>
      </c>
      <c r="F16" s="7"/>
    </row>
    <row r="17" spans="1:6" ht="28" customHeight="1" x14ac:dyDescent="0.55000000000000004">
      <c r="A17" s="7"/>
      <c r="B17" s="53" t="s">
        <v>268</v>
      </c>
      <c r="C17" s="40" t="s">
        <v>269</v>
      </c>
      <c r="D17" s="54" t="s">
        <v>270</v>
      </c>
      <c r="E17" s="45" t="s">
        <v>271</v>
      </c>
      <c r="F17" s="7"/>
    </row>
    <row r="18" spans="1:6" ht="5.05" customHeight="1" x14ac:dyDescent="0.55000000000000004">
      <c r="A18" s="1"/>
      <c r="B18" s="1"/>
      <c r="C18" s="1"/>
      <c r="D18" s="1"/>
      <c r="E18" s="1"/>
      <c r="F18" s="1"/>
    </row>
    <row r="19" spans="1:6" ht="36" customHeight="1" x14ac:dyDescent="0.55000000000000004">
      <c r="A19" s="137" t="s">
        <v>272</v>
      </c>
      <c r="B19" s="138"/>
      <c r="C19" s="138"/>
      <c r="D19" s="138"/>
      <c r="E19" s="138"/>
      <c r="F19" s="138"/>
    </row>
    <row r="20" spans="1:6" ht="18" customHeight="1" x14ac:dyDescent="0.55000000000000004">
      <c r="A20" s="55"/>
      <c r="B20" s="55" t="s">
        <v>233</v>
      </c>
      <c r="C20" s="55" t="s">
        <v>5</v>
      </c>
      <c r="D20" s="55" t="s">
        <v>273</v>
      </c>
      <c r="E20" s="55" t="s">
        <v>274</v>
      </c>
      <c r="F20" s="55"/>
    </row>
    <row r="21" spans="1:6" ht="32.049999999999997" customHeight="1" x14ac:dyDescent="0.55000000000000004">
      <c r="A21" s="56"/>
      <c r="B21" s="57" t="s">
        <v>275</v>
      </c>
      <c r="C21" s="58" t="s">
        <v>276</v>
      </c>
      <c r="D21" s="59" t="s">
        <v>277</v>
      </c>
      <c r="E21" s="60" t="s">
        <v>278</v>
      </c>
      <c r="F21" s="56"/>
    </row>
    <row r="22" spans="1:6" ht="32.049999999999997" customHeight="1" x14ac:dyDescent="0.55000000000000004">
      <c r="A22" s="56"/>
      <c r="B22" s="57" t="s">
        <v>279</v>
      </c>
      <c r="C22" s="58" t="s">
        <v>280</v>
      </c>
      <c r="D22" s="59" t="s">
        <v>281</v>
      </c>
      <c r="E22" s="60" t="s">
        <v>278</v>
      </c>
      <c r="F22" s="56"/>
    </row>
    <row r="23" spans="1:6" ht="32.049999999999997" customHeight="1" x14ac:dyDescent="0.55000000000000004">
      <c r="A23" s="56"/>
      <c r="B23" s="57" t="s">
        <v>282</v>
      </c>
      <c r="C23" s="58" t="s">
        <v>283</v>
      </c>
      <c r="D23" s="59" t="s">
        <v>284</v>
      </c>
      <c r="E23" s="60" t="s">
        <v>278</v>
      </c>
      <c r="F23" s="56"/>
    </row>
    <row r="24" spans="1:6" ht="32.049999999999997" customHeight="1" x14ac:dyDescent="0.55000000000000004">
      <c r="A24" s="56"/>
      <c r="B24" s="57" t="s">
        <v>285</v>
      </c>
      <c r="C24" s="58" t="s">
        <v>286</v>
      </c>
      <c r="D24" s="59" t="s">
        <v>287</v>
      </c>
      <c r="E24" s="60" t="s">
        <v>278</v>
      </c>
      <c r="F24" s="56"/>
    </row>
    <row r="25" spans="1:6" ht="32.049999999999997" customHeight="1" x14ac:dyDescent="0.55000000000000004">
      <c r="A25" s="7"/>
      <c r="B25" s="61" t="s">
        <v>288</v>
      </c>
      <c r="C25" s="62" t="s">
        <v>289</v>
      </c>
      <c r="D25" s="54" t="s">
        <v>290</v>
      </c>
      <c r="E25" s="63" t="s">
        <v>278</v>
      </c>
      <c r="F25" s="7"/>
    </row>
    <row r="26" spans="1:6" ht="32.049999999999997" customHeight="1" x14ac:dyDescent="0.55000000000000004">
      <c r="A26" s="7"/>
      <c r="B26" s="61" t="s">
        <v>291</v>
      </c>
      <c r="C26" s="62" t="s">
        <v>292</v>
      </c>
      <c r="D26" s="54" t="s">
        <v>293</v>
      </c>
      <c r="E26" s="63" t="s">
        <v>278</v>
      </c>
      <c r="F26" s="7"/>
    </row>
    <row r="27" spans="1:6" ht="32.049999999999997" customHeight="1" x14ac:dyDescent="0.55000000000000004">
      <c r="A27" s="56"/>
      <c r="B27" s="57" t="s">
        <v>294</v>
      </c>
      <c r="C27" s="58" t="s">
        <v>295</v>
      </c>
      <c r="D27" s="59" t="s">
        <v>296</v>
      </c>
      <c r="E27" s="60" t="s">
        <v>278</v>
      </c>
      <c r="F27" s="56"/>
    </row>
    <row r="28" spans="1:6" ht="32.049999999999997" customHeight="1" x14ac:dyDescent="0.55000000000000004">
      <c r="A28" s="7"/>
      <c r="B28" s="61" t="s">
        <v>297</v>
      </c>
      <c r="C28" s="62" t="s">
        <v>298</v>
      </c>
      <c r="D28" s="54" t="s">
        <v>299</v>
      </c>
      <c r="E28" s="63" t="s">
        <v>278</v>
      </c>
      <c r="F28" s="7"/>
    </row>
    <row r="29" spans="1:6" ht="32.049999999999997" customHeight="1" x14ac:dyDescent="0.55000000000000004">
      <c r="A29" s="7"/>
      <c r="B29" s="61" t="s">
        <v>300</v>
      </c>
      <c r="C29" s="62" t="s">
        <v>301</v>
      </c>
      <c r="D29" s="54" t="s">
        <v>302</v>
      </c>
      <c r="E29" s="63" t="s">
        <v>278</v>
      </c>
      <c r="F29" s="7"/>
    </row>
    <row r="30" spans="1:6" ht="32.049999999999997" customHeight="1" x14ac:dyDescent="0.55000000000000004">
      <c r="A30" s="7"/>
      <c r="B30" s="61" t="s">
        <v>303</v>
      </c>
      <c r="C30" s="62" t="s">
        <v>173</v>
      </c>
      <c r="D30" s="54" t="s">
        <v>174</v>
      </c>
      <c r="E30" s="63" t="s">
        <v>278</v>
      </c>
      <c r="F30" s="7"/>
    </row>
    <row r="31" spans="1:6" ht="5.05" customHeight="1" x14ac:dyDescent="0.55000000000000004">
      <c r="A31" s="1"/>
      <c r="B31" s="1"/>
      <c r="C31" s="1"/>
      <c r="D31" s="1"/>
      <c r="E31" s="1"/>
      <c r="F31" s="1"/>
    </row>
    <row r="32" spans="1:6" ht="60" customHeight="1" x14ac:dyDescent="0.55000000000000004">
      <c r="A32" s="129" t="s">
        <v>304</v>
      </c>
      <c r="B32" s="88"/>
      <c r="C32" s="88"/>
      <c r="D32" s="88"/>
      <c r="E32" s="88"/>
      <c r="F32" s="88"/>
    </row>
  </sheetData>
  <mergeCells count="6">
    <mergeCell ref="A2:F2"/>
    <mergeCell ref="A13:F13"/>
    <mergeCell ref="A19:F19"/>
    <mergeCell ref="A1:F1"/>
    <mergeCell ref="A32:F3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2026-04-05T18:06:43Z</dcterms:created>
  <dcterms:modified xsi:type="dcterms:W3CDTF">2026-04-05T18:11:28Z</dcterms:modified>
</cp:coreProperties>
</file>