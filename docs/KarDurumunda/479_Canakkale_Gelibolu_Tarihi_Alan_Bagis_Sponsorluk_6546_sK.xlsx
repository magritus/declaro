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timatglobal365-my.sharepoint.com/personal/aydindede_itimatglobal_com/Documents/Desktop/GEM/KARIN BULUNMASI HALİNDE/"/>
    </mc:Choice>
  </mc:AlternateContent>
  <xr:revisionPtr revIDLastSave="0" documentId="8_{0B2B9BAC-C330-4338-BB89-C4FC6497452A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VERİ GİRİŞİ" sheetId="1" r:id="rId1"/>
    <sheet name="HESAPLAMALAR &amp; KONTROL" sheetId="2" r:id="rId2"/>
    <sheet name="MUHASEBE KAYITLARI" sheetId="3" r:id="rId3"/>
    <sheet name="DENETCİ NOTLARI" sheetId="4" r:id="rId4"/>
    <sheet name="BELGE LISTESI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F41" i="1" s="1"/>
  <c r="E40" i="1"/>
  <c r="F40" i="1" s="1"/>
  <c r="E39" i="1"/>
  <c r="F39" i="1" s="1"/>
  <c r="E38" i="1"/>
  <c r="F38" i="1" s="1"/>
  <c r="D7" i="2"/>
  <c r="D6" i="2"/>
  <c r="D33" i="1"/>
  <c r="C33" i="1"/>
  <c r="E32" i="1"/>
  <c r="F32" i="1" s="1"/>
  <c r="E31" i="1"/>
  <c r="F31" i="1" s="1"/>
  <c r="E30" i="1"/>
  <c r="F30" i="1" s="1"/>
  <c r="E29" i="1"/>
  <c r="E33" i="1" s="1"/>
  <c r="E14" i="1"/>
  <c r="D5" i="2" s="1"/>
  <c r="F42" i="1" l="1"/>
  <c r="C47" i="1" s="1"/>
  <c r="D8" i="2" s="1"/>
  <c r="F29" i="1"/>
  <c r="F33" i="1" s="1"/>
  <c r="E42" i="1"/>
  <c r="C46" i="1" l="1"/>
  <c r="C48" i="1"/>
  <c r="E52" i="1" l="1"/>
  <c r="D9" i="2"/>
</calcChain>
</file>

<file path=xl/sharedStrings.xml><?xml version="1.0" encoding="utf-8"?>
<sst xmlns="http://schemas.openxmlformats.org/spreadsheetml/2006/main" count="320" uniqueCount="251">
  <si>
    <t>479 – ÇANAKKALE SAVAŞLARI GELİBOLU TARİHİ ALANI | 6546 s.K. | BAĞIŞ/YARDIM + SPONSORLUK | YMM</t>
  </si>
  <si>
    <t>Beyanname 479 | GİB KV Beyan Rehberi Mart 2026 (No:606) | ✗ YİAKV MATRAHINDA DÜŞÜLEMEZ</t>
  </si>
  <si>
    <t xml:space="preserve">  6546 SAYILI KANUN KAPSAMI — İKİ AYRI KATEGORİ AYNI BEYANNAME SATIRI:
  ① BAĞIŞ VE YARDIMLAR: Çanakkale Savaşları Gelibolu Tarihi Alanı Başkanlığı'na yapılan bağış ve yardımların TAMAMI indirilir.
  ② SPONSORLUK HARCAMALARI: Alan Başkanlığı bünyesindeki etkinlik ve faaliyetlere yönelik sponsorluk harcamalarının TAMAMI indirilir.
  466 (UAB) ile aynı bileşik yapı: B tablosu → Bağış, C tablosu → Sponsorluk, D.3 = B+C toplamı.
  KVK 10/1-b %50/%100 ayrımı geçerli değil — 6546 Md. kapsamında her ikisi de tamamının indirimi.
  ★ YİAKV: DÜŞÜLEMEZ — E.11 bilgi satırı.</t>
  </si>
  <si>
    <t xml:space="preserve">  ✗ YİAKV (KVK Md.32/C): 479 Çanakkale/Gelibolu Bağış/Sponsorluk YİAKV MATRAHINDA DÜŞÜLEMEZ. YİAKV E.11 bilgi satırı — 402/460–478 kodlarıyla aynı E.11 kategorisi.</t>
  </si>
  <si>
    <t>A0. KAPSAM VE NİTELİK UYGUNLUK ÖN KONTROLÜ — 6546 s.K. BAĞIŞ/SPONSORLUK</t>
  </si>
  <si>
    <t>Kontrol Sorusu</t>
  </si>
  <si>
    <t>Yanıt</t>
  </si>
  <si>
    <t>YMM Tasdik Notu</t>
  </si>
  <si>
    <t>A0.1  ★ Ödeme/harcama Çanakkale Savaşları Gelibolu Tarihi Alanı Başkanlığı'na mı?</t>
  </si>
  <si>
    <t>EVET</t>
  </si>
  <si>
    <t>6546 s.K. kapsamında yalnızca Gelibolu Tarihi Alanı Başkanlığı alıcı olabilir. Çanakkale bölgesindeki başka kamu kurumu veya vakıf → Kapsam dışı.</t>
  </si>
  <si>
    <t>A0.2  ★ İşlemin niteliği nedir? (Bağış/Yardım mı — Sponsorluk mu?)</t>
  </si>
  <si>
    <t>Bağış/Yardım (Tamamı)</t>
  </si>
  <si>
    <t>466 (UAB) ile aynı bileşik yapı. İki kategori 479'da birleşir ama B ve C tablolarında ayrı gösterilir. KVK 10/1-b %50/%100 ayrımı geçerli değil.</t>
  </si>
  <si>
    <t>A0.3  ★ İşlem FİİLEN gerçekleşti mi? (Nakdi: Banka — Ayni: Teslim/Sözleşme belgesi)</t>
  </si>
  <si>
    <t>Nakdi: Banka dekontu. Ayni: Teslim tutanağı. Sponsorluk: Yazılı sözleşme + fiili ödeme.</t>
  </si>
  <si>
    <t>A0.4  Alan Başkanlığı'ndan resmi makbuz / protokol alındı mı?</t>
  </si>
  <si>
    <t>Bağış için resmi makbuz veya kabul yazısı. Sponsorluk için yazılı sözleşme.</t>
  </si>
  <si>
    <t>A0.5  ✗ YİAKV E.11'de bilgi satırı olarak gösterildi mi?</t>
  </si>
  <si>
    <t>479 YİAKV matrahından düşülemez — E.11 bilgi.</t>
  </si>
  <si>
    <t>A0.6  YMM Tasdik Raporu gereksinimi değerlendirildi mi?</t>
  </si>
  <si>
    <t>&gt;=500.000 TL → YMM raporu.</t>
  </si>
  <si>
    <t>A0.7  Tasdik Uygunluk Sonucu</t>
  </si>
  <si>
    <t>★ A0.1 Gelibolu Alan Başkanlığı | A0.2 nitelik ayrımı | A0.3 fiili yapım | A0.4 makbuz/protokol.</t>
  </si>
  <si>
    <t>A. GENEL BİLGİLER</t>
  </si>
  <si>
    <t>Kurumun Unvanı</t>
  </si>
  <si>
    <t>Tam ticaret unvanı</t>
  </si>
  <si>
    <t>VKN</t>
  </si>
  <si>
    <t>10 haneli VKN</t>
  </si>
  <si>
    <t>Hesap Dönemi</t>
  </si>
  <si>
    <t>01.01.2025 – 31.12.2025</t>
  </si>
  <si>
    <t>KV Oranı (%)</t>
  </si>
  <si>
    <t>2025: %25</t>
  </si>
  <si>
    <t>İşlem Türü</t>
  </si>
  <si>
    <t>Bağış/Yardım ve/veya Sponsorluk — 6546 s.K.</t>
  </si>
  <si>
    <t>Alıcı</t>
  </si>
  <si>
    <t>Çanakkale Savaşları Gelibolu Tarihi Alanı Başkanlığı</t>
  </si>
  <si>
    <t>Dosya Referansı</t>
  </si>
  <si>
    <t>YMM-2025/479-01</t>
  </si>
  <si>
    <t>B. KATEGORİ 1 — BAĞIŞ VE YARDIMLAR (TAMAMININ İNDİRİMİ)</t>
  </si>
  <si>
    <t xml:space="preserve">  Gelibolu Tarihi Alanı Başkanlığı'na yapılan bağış ve yardımların TAMAMI indirilir. Nakdi → Banka dekontu. Ayni → Maliyet/net defter değeri. Makbuz zorunludur.</t>
  </si>
  <si>
    <t>Bağış Tarihi</t>
  </si>
  <si>
    <t>Açıklama / Makbuz No</t>
  </si>
  <si>
    <t>Nakdi (TL)</t>
  </si>
  <si>
    <t>Ayni Değer (TL)</t>
  </si>
  <si>
    <t>Toplam Bağış (TL)</t>
  </si>
  <si>
    <t>İndirim (TL)</t>
  </si>
  <si>
    <t>Belge</t>
  </si>
  <si>
    <t>B TOPLAMI — Bağış ve Yardımlar</t>
  </si>
  <si>
    <t>← B Toplamı (Tamamı)</t>
  </si>
  <si>
    <t>C. KATEGORİ 2 — SPONSORLUK HARCAMALARI (TAMAMININ İNDİRİMİ)</t>
  </si>
  <si>
    <t xml:space="preserve">  Gelibolu Tarihi Alanı Başkanlığı bünyesindeki etkinlik/faaliyetlere sponsorluk harcamalarının TAMAMI indirilir. Yazılı sözleşme + fiili ödeme zorunlu. KVK 10/1-b'deki %50/%100 ayrımı GEÇERLİ DEĞİL — 6546 s.K. kapsamında tamamı indirilir.</t>
  </si>
  <si>
    <t>Sözleşme Tarihi</t>
  </si>
  <si>
    <t>Sponsorluk Konusu / Etkinlik</t>
  </si>
  <si>
    <t>Ödeme (TL)</t>
  </si>
  <si>
    <t>Sözleşme?</t>
  </si>
  <si>
    <t>Net Sponsorluk (TL)</t>
  </si>
  <si>
    <t>Belge/Makbuz</t>
  </si>
  <si>
    <t>EVET ✓</t>
  </si>
  <si>
    <t>C TOPLAMI — Sponsorluk Harcamaları</t>
  </si>
  <si>
    <t>—</t>
  </si>
  <si>
    <t>← C Toplamı (Tamamı)</t>
  </si>
  <si>
    <t>D. TOPLAM İNDİRİM ÖZET — BEYANNAME 479 (B + C)</t>
  </si>
  <si>
    <t>Hesap Kalemi</t>
  </si>
  <si>
    <t>Tutar (TL)</t>
  </si>
  <si>
    <t>Açıklama</t>
  </si>
  <si>
    <t>Not</t>
  </si>
  <si>
    <t>D.1  Toplam Bağış ve Yardım İndirimi (B Toplamı)</t>
  </si>
  <si>
    <t>Nakdi + Ayni bağış tamamı</t>
  </si>
  <si>
    <t>D.2  Toplam Sponsorluk İndirimi (C Toplamı)</t>
  </si>
  <si>
    <t>Sözleşmeli sponsorluk tamamı</t>
  </si>
  <si>
    <t>D.3  ★ BEYANNAME 479 = D.1 + D.2 (TOPLAM)</t>
  </si>
  <si>
    <t>→ Beyanname 479 | Kazancın Bulunması Halinde | Tamamının İndirimi</t>
  </si>
  <si>
    <t>6546 s.K.</t>
  </si>
  <si>
    <t>D.4  İndirim Oranı / Sınır</t>
  </si>
  <si>
    <t>TAMAMININ İNDİRİMİ — Devredilmez</t>
  </si>
  <si>
    <t>Bağış ve sponsorluk için tamamı. Matrahı aşan kısım devredilemez.</t>
  </si>
  <si>
    <t>D.5  YİAKV DURUMU — DÜŞÜLEMEZ</t>
  </si>
  <si>
    <t>YİAKV E.11 Bilgi ✗</t>
  </si>
  <si>
    <t>Tüm bağış ve sponsorluk kodları YİAKV matrahından düşülemez</t>
  </si>
  <si>
    <t>KVK Md.32/C</t>
  </si>
  <si>
    <t>E.1  ÇANAKKALE/GELİBOLU BAĞIŞ/SPONSORLUK → Beyanname Satır 479</t>
  </si>
  <si>
    <t>D.3 = B Toplamı + C Toplamı | 6546 s.K.</t>
  </si>
  <si>
    <t xml:space="preserve">  ★ KRİTİK: (1) ALICI: Yalnızca Gelibolu Tarihi Alanı Başkanlığı. (2) İKİ KATEGORİ AYRIMI: Bağış (B) + Sponsorluk (C) ayrı hesaplanır, toplamı 479. (3) SPONSORLUKTA SÖZLEŞME: Yazılı sözleşme olmadan C'de 0. (4) KVK 10/1-b %50/%100 ayrımı UYGULANMAZ — 6546 s.K. tamamını öngörür. (5) AYNİ BAĞIŞ: Maliyet + KDV istisnası. (6) DEVREDEN YOK. (7) YİAKV ✗: E.11.</t>
  </si>
  <si>
    <t>479 – ÇANAKKALE/GELİBOLU 6546 s.K. | HESAPLAMALAR VE DENETİM</t>
  </si>
  <si>
    <t>Bağış/Yardım + Sponsorluk | Tamamının İndirimi | Beyanname 479 | ✗ YİAKV E.11</t>
  </si>
  <si>
    <t>A. TASDİK ÖZETİ</t>
  </si>
  <si>
    <t>A0 Uygunluğu</t>
  </si>
  <si>
    <t>OK ise devam</t>
  </si>
  <si>
    <t>İşlem Niteliği (A0.2)</t>
  </si>
  <si>
    <t>Bağış/Sponsorluk ayrımı</t>
  </si>
  <si>
    <t>Toplam Bağış İndirimi (D.1)</t>
  </si>
  <si>
    <t>B tablosu toplamı</t>
  </si>
  <si>
    <t>Toplam Sponsorluk (D.2)</t>
  </si>
  <si>
    <t>C tablosu toplamı</t>
  </si>
  <si>
    <t>479 TOPLAM İNDİRİM (D.3)</t>
  </si>
  <si>
    <t>YİAKV</t>
  </si>
  <si>
    <t>✗ DÜŞÜLEMEZ (E.11 Bilgi)</t>
  </si>
  <si>
    <t>Bağış/Sponsorluk tümü YİAKV dışı</t>
  </si>
  <si>
    <t>B. 6546 SAYILI KANUN KAPSAMI VE 466 (UAB) İLE KARŞILAŞTIRMA</t>
  </si>
  <si>
    <t xml:space="preserve">  6546 SAYILI ÇANAKKALE SAVAŞLARI GELİBOLU TARİHİ ALANI KANUNU:
  Çanakkale Savaşları Gelibolu Tarihi Alanı Başkanlığı'na yapılan bağış/yardım ve sponsorluk harcamalarının tamamı KV matrahından indirilir.
  466 (UAB — 7432 s.K.) İLE KARŞILAŞTIRMA — AYNI BİLEŞİK YAPI:
  ① Her ikisinde de bağış/yardım (tamamı) + sponsorluk (tamamı) → Tek beyanname kodu
  ② Her ikisinde de KVK 10/1-b %50/%100 ayrımı UYGULANMAZ
  ③ Her ikisinde de B tablosu (bağış) + C tablosu (sponsorluk) → D.3 toplamı → Beyanname
  ④ Her ikisi de YİAKV E.11'de bilgi satırı — DÜŞÜLEMEZ
  FARK: 466 Uludağ (dağ/turizm/spor). 479 Gelibolu (tarihi alan/kültür/anma).</t>
  </si>
  <si>
    <t>C. DENETİM KONTROL LİSTESİ (K1–K12)</t>
  </si>
  <si>
    <t>Kontrol</t>
  </si>
  <si>
    <t>Sonuç</t>
  </si>
  <si>
    <t>K1</t>
  </si>
  <si>
    <t>★ İşlem Gelibolu Tarihi Alanı Başkanlığı'na mı yapıldı?</t>
  </si>
  <si>
    <t>6546 s.K. kapsamı — başka alıcı → Bu kod değil.</t>
  </si>
  <si>
    <t>Uygun/Eksik/Risk</t>
  </si>
  <si>
    <t>K2</t>
  </si>
  <si>
    <t>★ Bağış ve sponsorluk B/C tablolarında ayrı gösterildi mi?</t>
  </si>
  <si>
    <t>Her iki kategori ayrı satır — toplamı D.3.</t>
  </si>
  <si>
    <t>K3</t>
  </si>
  <si>
    <t>★ Nakdi bağış/ödeme banka yoluyla fiilen gerçekleşti mi?</t>
  </si>
  <si>
    <t>Banka dekontu zorunlu.</t>
  </si>
  <si>
    <t>K4</t>
  </si>
  <si>
    <t>★ Sponsorlukta yazılı sözleşme var mı? (C tablosu D sütunu EVET?)</t>
  </si>
  <si>
    <t>Sözleşmesiz → C'de 0.</t>
  </si>
  <si>
    <t>K5</t>
  </si>
  <si>
    <t>★ Alan Başkanlığı'ndan resmi makbuz/protokol alındı mı?</t>
  </si>
  <si>
    <t>Bağış makbuzu + Sponsorluk sözleşmesi/protokolü.</t>
  </si>
  <si>
    <t>K6</t>
  </si>
  <si>
    <t>Ayni bağış varsa maliyet/net defter değeri esas alındı mı?</t>
  </si>
  <si>
    <t>Piyasa değeri değil. KDV istisnası.</t>
  </si>
  <si>
    <t>K7</t>
  </si>
  <si>
    <t>B ve C toplamları D.1/D.2 ile mutabık mı?</t>
  </si>
  <si>
    <t>F33=D.1, F42=D.2, D.3=D.1+D.2.</t>
  </si>
  <si>
    <t>K8</t>
  </si>
  <si>
    <t>★ İndirim matrahı aşıyor mu? (Devredilemez!)</t>
  </si>
  <si>
    <t>Aşan kısım beyanname notu.</t>
  </si>
  <si>
    <t>K9</t>
  </si>
  <si>
    <t>✗ YİAKV E.11'de bilgi satırı olarak gösterildi mi?</t>
  </si>
  <si>
    <t>479 DÜŞÜLEMEZ — E.11 bilgi.</t>
  </si>
  <si>
    <t>K10</t>
  </si>
  <si>
    <t>KVK 10/1-b %50/%100 ayrımı yanlışlıkla uygulanmadı mı?</t>
  </si>
  <si>
    <t>6546 s.K. → Tamamı. 460/461 → %50/%100.</t>
  </si>
  <si>
    <t>K11</t>
  </si>
  <si>
    <t>Beyanname 479 'Kazancın Bulunması Halinde' bölümünde mi?</t>
  </si>
  <si>
    <t>Zarar döneminde uygulanamaz.</t>
  </si>
  <si>
    <t>K12</t>
  </si>
  <si>
    <t>YMM Tasdik Raporu (49 No.lu Tebliğ) değerlendirildi mi?</t>
  </si>
  <si>
    <t>479 – ÇANAKKALE/GELİBOLU 6546 s.K. | MUHASEBE KAYITLARI</t>
  </si>
  <si>
    <t>KAYIT 1 — BAĞIŞ VE YARDIM (NAKDİ — GELİBOLU TARİHİ ALAN BAŞKANLIĞI)</t>
  </si>
  <si>
    <t>Tarih</t>
  </si>
  <si>
    <t>Hesap</t>
  </si>
  <si>
    <t>Dr</t>
  </si>
  <si>
    <t>Kr</t>
  </si>
  <si>
    <t>Ref</t>
  </si>
  <si>
    <t>[Bağış Tarihi]</t>
  </si>
  <si>
    <t>689 Diğer Olağan Dışı Gid. / 770 Genel Yön.</t>
  </si>
  <si>
    <t>Gelibolu bağışı — gider kaydı</t>
  </si>
  <si>
    <t>[Tutar]</t>
  </si>
  <si>
    <t>Alan Başk. Makbuzu</t>
  </si>
  <si>
    <t>KAYIT 2 — AYNİ BAĞIŞ (MALZEME/EKİPMAN/KÜLTÜREL MATERYAL)</t>
  </si>
  <si>
    <t>[Teslim]</t>
  </si>
  <si>
    <t>689 Diğer Olağan Dışı Gid.</t>
  </si>
  <si>
    <t>Ayni bağış — maliyet/net defter değeri</t>
  </si>
  <si>
    <t>[Maliyet]</t>
  </si>
  <si>
    <t>Teslim tutanağı</t>
  </si>
  <si>
    <t>KAYIT 3 — SPONSORLUK HARCAMASI (NAKDİ — GELİBOLU ETKİNLİĞİ)</t>
  </si>
  <si>
    <t>[Ödeme]</t>
  </si>
  <si>
    <t>Gelibolu etkinliği sponsorluk harcaması</t>
  </si>
  <si>
    <t>Sponsorluk sözleşmesi</t>
  </si>
  <si>
    <t>KAYIT 4 — DÖNEM SONU: KKEG + BEYANNAME 479 İNDİRİMİ</t>
  </si>
  <si>
    <t>[Dönem Sonu]</t>
  </si>
  <si>
    <t>951 KKEG</t>
  </si>
  <si>
    <t>Bağış+Sponsorluk giderleri KKEG'e alınır</t>
  </si>
  <si>
    <t>[Top.]</t>
  </si>
  <si>
    <t>Beyanname eki</t>
  </si>
  <si>
    <t xml:space="preserve">  DÖNEM SONU NET ETKİ — BEYANNAME 479:
  Bağış (B) + Sponsorluk (C) → KKEG → Beyanname 479 tamamının indirimi → Matrahtan düşülür.
  YİAKV: ✗ DÜŞÜLEMEZ — E.11. KVK 10/1-b %50/%100 UYGULANMAZ — 6546 s.K. tamamını öngörür.</t>
  </si>
  <si>
    <t>479 – ÇANAKKALE/GELİBOLU 6546 s.K. | DENETÇİ NOTLARI</t>
  </si>
  <si>
    <t>GİB KV Beyan Rehberi 2026 | 6546 s.K. | Gelibolu Alan Başk. | Bağış+Sponsorluk | YİAKV E.11</t>
  </si>
  <si>
    <t>Kod</t>
  </si>
  <si>
    <t>Konu</t>
  </si>
  <si>
    <t>Mesleki Değerlendirme / Tasdik Standardı</t>
  </si>
  <si>
    <t>Mevzuat / Kaynak</t>
  </si>
  <si>
    <t>N1</t>
  </si>
  <si>
    <t>6546 s.K. — Gelibolu Tarihi Alanı Bağış/Sponsorluk Kapsam</t>
  </si>
  <si>
    <t>6546 SAYILI KANUN — ÇANAKKALE SAVAŞLARI GELİBOLU TARİHİ ALANI:
Çanakkale Savaşları Gelibolu Tarihi Alanı Başkanlığı'na yapılan bağış/yardım
ve sponsorluk harcamalarının tamamı kurumlar vergisi matrahından indirilir.
İKİ KATEGORİ — TEK BEYANNAME SATIRI (479):
① BAĞIŞ VE YARDIMLAR (B tablosu): Nakdi/ayni bağış → Tamamı
② SPONSORLUK (C tablosu): Yazılı sözleşmeli etkinlik desteği → Tamamı
B + C toplamı → D.3 → Beyanname 479
KVK 10/1-b %50/%100 AYRIMI: UYGULANMAZ
YİAKV: ✗ DÜŞÜLEMEZ (E.11 bilgi) | BEYANNAME: 479</t>
  </si>
  <si>
    <t>6546 s.K. | GİB KV Beyan Reh. 2026 (No:606)</t>
  </si>
  <si>
    <t>N2</t>
  </si>
  <si>
    <t>★ 466 (UAB) ile Yapısal Karşılaştırma — Aynı Bileşik Mimari</t>
  </si>
  <si>
    <t>466 (UAB — 7432 s.K.) vs 479 (Gelibolu — 6546 s.K.):
ORTAK YAPI:
• B tablosu: Bağış/Yardım (tamamı)
• C tablosu: Sponsorluk (tamamı — KVK 10/1-b %50/%100 ayrımı yok)
• D.3 = B + C toplamı → Beyanname kodu
• Matrahı aşan kısım devredilmez
• YİAKV E.11 — DÜŞÜLEMEZ
FARK:
466 — Uludağ Alan Başkanlığı: Dağ/turizm/kayak/spor etkinlikleri
479 — Gelibolu Tarihi Alanı Başk.: Tarihi koruma/müze/anma törenleri
YMM UYGULAMASI:
466 tasdik deneyimi olan YMM için 479 aynı çerçeve.
Tek fark: Alıcı kurum ve kanun numarası.</t>
  </si>
  <si>
    <t>6546 s.K. | 7432 s.K. | GİB Rehberi No:606</t>
  </si>
  <si>
    <t>N3</t>
  </si>
  <si>
    <t>Gelibolu Tarihi Alanı Başkanlığı — Kapsam ve Faaliyet</t>
  </si>
  <si>
    <t>ÇANAKKALE SAVAŞLARI GELİBOLU TARİHİ ALANI BAŞKANLIĞI:
6546 sayılı Kanunla kurulan, Çanakkale Savaşları'nın yaşandığı Gelibolu
Yarımadası'ndaki tarihi alanı koruma, restore etme ve ziyaretçilere
tanıtma misyonuyla faaliyet gösteren kamu kurumu.
FAAALİYET ALANLARI:
• Tarihi savaş alanlarının korunması ve restorasyonu
• Müze ve sergi faaliyetleri
• Anma törenleri (özellikle 18 Mart Çanakkale Zaferi ve 25 Nisan ANZAC)
• Eğitim, araştırma ve farkındalık programları
• Ziyaretçi altyapısı ve rehberlik hizmetleri
KAPSAM DIŞI:
✗ Çanakkale ili genelindeki diğer kamu kurumlarına bağış → 402 (kamu idaresi)
✗ Çanakkale Belediyesi'ne etkinlik sponsorluğu → 402 kapsamı
✗ Özel müze veya vakfa bağış → Muafiyet kararı varsa 402, yoksa kapsam dışı</t>
  </si>
  <si>
    <t>6546 s.K. | Alan Başkanlığı Mevzuatı</t>
  </si>
  <si>
    <t>N4</t>
  </si>
  <si>
    <t>YİAKV ile İlişki — E.11 Kapsamlı Son Tablo</t>
  </si>
  <si>
    <t>YİAKV (KVK Md.32/C) VE GELİBOLU BAĞIŞ/SPONSORLUK:
✗ 479 (6546 s.K.): DÜŞÜLEMEZ → YİAKV E.11
BU OTURUMDA TAMAMLANAN TÜM BAĞIŞ/YARDIM/SPONSORLUK/MASRAF KODLARI:
✗ 402 | ✗ 460/461 | ✗ 464 | ✗ 465 | ✗ 466 | ✗ 469
✗ 470 | ✗ 471 | ✗ 472 | ✗ 473 | ✗ 474 | ✗ 475
✗ 476 | ✗ 477 | ✗ 478 | ✗ 479
→ YİAKV E.11 = Tüm bu kodların dönem toplamı
DÜŞÜLEBILIR:
✓ 283/455 → D.10 | ✓ 456/457 → E.13
✓ 401 → D.4 | ✓ 413 → D.11 | ✗ 453 → E.10</t>
  </si>
  <si>
    <t>KVK Md.32/C | GİB Rehberi No:607 | No:606</t>
  </si>
  <si>
    <t>N5</t>
  </si>
  <si>
    <t>49 No.lu Tebliğ + YMM Tasdik Dil Standardı</t>
  </si>
  <si>
    <t>KULLANIN:
'...6546 sayılı Çanakkale Savaşları Gelibolu Tarihi Alanı Hakkında Bazı
Düzenlemeler Yapılmasına Dair Kanun kapsamında Çanakkale Savaşları
Gelibolu Tarihi Alanı Başkanlığı'na [Tarih] tarihinde yapılan [Bağış TL]
TL bağış ve yardım ile [Sponsorluk TL] TL sponsorluk harcamasının tamamı
olan [Toplam TL] TL, kurumlar vergisi matrahından indirilmiştir.
Söz konucu tutar YİAKV matrahından indirilmemiştir.'
KULLANMAYIN:
'...Gelibolu Tarihi Alanı sponsorluğuna KVK 10/1-b %50 oranı uygulanmıştır.'
  (6546 s.K. kapsamında tamamı indirilir — %50 oranı yanlış)
'...6546 s.K. dışı Çanakkale kurumuna yapılan ödeme 479'a dahil edilmiştir.'
'...479 YİAKV matrahından düşülmüştür.' (YANLIŞ)
KRİTİK RİSKLER:
(1) Alan Başkanlığı dışı kuruma yapılan Çanakkale/Gelibolu bağışını 479'a dahil etmek.
(2) Sponsorlukta KVK 10/1-b %50 oranını uygulamak.
(3) Yazılı sözleşme olmadan sponsorluğu C'ye yazmak.
(4) Matrahı aşan kısmı devretmeye çalışmak.</t>
  </si>
  <si>
    <t>49 No.lu Tebliğ | 6546 s.K. | SM-SMMM-YMM K. Md.12</t>
  </si>
  <si>
    <t xml:space="preserve">  GİB KV BEYAN REHBERİ MART 2026 (No:606) KAPANIŞ (479): 6546 s.K. — Çanakkale Savaşları Gelibolu Tarihi Alanı Başkanlığı. Bağış/yardım (B) + Sponsorluk (C) → D.3 → Beyanname 479. KVK 10/1-b %50/%100 ayrımı uygulanmaz — tamamı indirilir. Matrahı aşan devredilmez. ✗ YİAKV E.11. YMM: SM-SMMM-YMM K. Md.12.</t>
  </si>
  <si>
    <t>479 – ÇANAKKALE/GELİBOLU 6546 s.K. | BELGE LİSTESİ | YMM TASDİK</t>
  </si>
  <si>
    <t>Alan Başk. Makbuzu | Sponsorluk Sözleşmesi | Banka Dekontu | Teslim Tutanağı | YİAKV E.11</t>
  </si>
  <si>
    <t>KATEGORİ 1 — ZORUNLU BELGELER</t>
  </si>
  <si>
    <t>No</t>
  </si>
  <si>
    <t>Temin</t>
  </si>
  <si>
    <t>1</t>
  </si>
  <si>
    <t>★ Gelibolu Tarihi Alanı Başkanlığı Resmi Bağış Makbuzu / Kabul Belgesi</t>
  </si>
  <si>
    <t>Alan Başkanlığı tarafından düzenlenen resmi makbuz veya bağış kabul yazısı. Tutar, tarih ve bağış türü belirtilmeli. B tablosunun temel dayanağı.</t>
  </si>
  <si>
    <t>2</t>
  </si>
  <si>
    <t>★ Sponsorluk Sözleşmesi (Alan Başkanlığı ile)</t>
  </si>
  <si>
    <t>Alan Başkanlığı sponsorluğu için yazılı sözleşme. Taraflar, etkinlik/konu, tutar, süre açık olmalı. Sözleşmesiz sponsorluk C'de 0 — indirim uygulanamaz.</t>
  </si>
  <si>
    <t>Alan Başkanlığı ile imzalanır</t>
  </si>
  <si>
    <t>3</t>
  </si>
  <si>
    <t>★ Banka EFT/Havale Dekontu (Nakdi Ödemeler İçin)</t>
  </si>
  <si>
    <t>Her nakdi ödeme (hem bağış hem sponsorluk) için banka dekontu.</t>
  </si>
  <si>
    <t>Banka / Şirket hesabı</t>
  </si>
  <si>
    <t>4</t>
  </si>
  <si>
    <t>Ayni Bağış — Teslim-Tesellüm Tutanağı + Maliyet Notu</t>
  </si>
  <si>
    <t>Materyal/ekipman/kültürel eser bağışı için imzalı teslim tutanağı ve maliyet belgesi. KDV hesaplanmaz (KDVK Md.17/2-b).</t>
  </si>
  <si>
    <t>Teslim sırasında</t>
  </si>
  <si>
    <t>5</t>
  </si>
  <si>
    <t>KV Beyannamesi 479 Satırı + YİAKV E.11 Bilgi</t>
  </si>
  <si>
    <t>Beyanname 479 = D.3 (B+C) tutarı. YİAKV E.11 = tüm bağış/sponsorluk kodları toplamı.</t>
  </si>
  <si>
    <t>GİB e-Beyanname + YİAKV ÇK</t>
  </si>
  <si>
    <t>KATEGORİ 2 — YMM TASDİK KONTROL SORULARI</t>
  </si>
  <si>
    <t>Beklenen Sonuç</t>
  </si>
  <si>
    <t>YMM Aksiyonu</t>
  </si>
  <si>
    <t>S1</t>
  </si>
  <si>
    <t>★ İşlem Gelibolu Tarihi Alanı Başkanlığı'na mı? (6546 s.K.)</t>
  </si>
  <si>
    <t>Başka alıcı → Bu kod değil.</t>
  </si>
  <si>
    <t>YMM kontrolü</t>
  </si>
  <si>
    <t>S2</t>
  </si>
  <si>
    <t>★ Bağış ve sponsorluk B/C tablolarında ayrı mı?</t>
  </si>
  <si>
    <t>Her kategori ayrı — toplamı D.3.</t>
  </si>
  <si>
    <t>S3</t>
  </si>
  <si>
    <t>★ Nakdi ödemeler banka yoluyla mı? Dekont var mı?</t>
  </si>
  <si>
    <t>Her ödeme için banka dekontu.</t>
  </si>
  <si>
    <t>S4</t>
  </si>
  <si>
    <t>★ Sponsorlukta yazılı sözleşme var mı? (C tablosu D sütunu)</t>
  </si>
  <si>
    <t>S5</t>
  </si>
  <si>
    <t>★ Alan Başkanlığı'ndan makbuz ve/veya protokol alındı mı?</t>
  </si>
  <si>
    <t>Bağış makbuzu + Sponsorluk sözleşmesi.</t>
  </si>
  <si>
    <t>S6</t>
  </si>
  <si>
    <t>KVK 10/1-b %50/%100 oranı yanlışlıkla uygulanmadı mı?</t>
  </si>
  <si>
    <t>6546 s.K. → Tamamı — oran yok.</t>
  </si>
  <si>
    <t>S7</t>
  </si>
  <si>
    <t>★ İndirim matrahı aşıyor mu? (Devredilmez!)</t>
  </si>
  <si>
    <t>S8</t>
  </si>
  <si>
    <t>✗ YİAKV E.11'de bilgi satırı var mı?</t>
  </si>
  <si>
    <t>S9</t>
  </si>
  <si>
    <t>Beyanname 479 'Kazancın Bulunması Halinde'?</t>
  </si>
  <si>
    <t>S10</t>
  </si>
  <si>
    <t>YMM Tasdik Raporu değerlendirildi mi?</t>
  </si>
  <si>
    <t>&gt;=500.000 TL → Rapor.</t>
  </si>
  <si>
    <t xml:space="preserve">  GİB KV BEYAN REHBERİ MART 2026 (No:606) | 479 ÇANAKKALE/GELİBOLU SON NOT:
  6546 s.K. — Çanakkale Savaşları Gelibolu Tarihi Alanı Başkanlığı.
  Bağış/yardım (B tablosu) + Sponsorluk (C tablosu) → D.3 → Beyanname 479.
  Sponsorlukta KVK 10/1-b %50/%100 ayrımı geçerli değil — tamamı indirilir.
  466 (UAB) ile aynı bileşik mimari — sadece alıcı kurumu ve kanun farklı.
  ✗ YİAKV E.11 (tüm bağış/sponsorluk kodları toplamı). YMM: SM-SMMM-YMM K. Md.12.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</si>
</sst>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8"/>
      <color rgb="FF7B5E00"/>
      <name val="Arial"/>
    </font>
    <font>
      <b/>
      <sz val="10"/>
      <color rgb="FFFFFFFF"/>
      <name val="Arial"/>
    </font>
    <font>
      <b/>
      <sz val="9"/>
      <color rgb="FFC0392B"/>
      <name val="Arial"/>
    </font>
    <font>
      <b/>
      <sz val="10"/>
      <color rgb="FF0000FF"/>
      <name val="Arial"/>
    </font>
    <font>
      <i/>
      <sz val="8"/>
      <color rgb="FFC0392B"/>
      <name val="Arial"/>
    </font>
    <font>
      <b/>
      <sz val="9"/>
      <color rgb="FF1F3864"/>
      <name val="Arial"/>
    </font>
    <font>
      <i/>
      <sz val="8"/>
      <color rgb="FF555555"/>
      <name val="Arial"/>
    </font>
    <font>
      <b/>
      <sz val="10"/>
      <color rgb="FF1B5E20"/>
      <name val="Arial"/>
    </font>
    <font>
      <i/>
      <sz val="8"/>
      <color rgb="FF888888"/>
      <name val="Arial"/>
    </font>
    <font>
      <sz val="9"/>
      <color rgb="FF6B3A2A"/>
      <name val="Arial"/>
    </font>
    <font>
      <sz val="9"/>
      <color rgb="FF1F3864"/>
      <name val="Arial"/>
    </font>
    <font>
      <b/>
      <sz val="9"/>
      <color rgb="FF6B3A2A"/>
      <name val="Arial"/>
    </font>
    <font>
      <b/>
      <sz val="9"/>
      <color rgb="FF1B5E20"/>
      <name val="Arial"/>
    </font>
    <font>
      <sz val="8"/>
      <color rgb="FF1F3864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0"/>
      <color rgb="FF6B3A2A"/>
      <name val="Arial"/>
    </font>
    <font>
      <b/>
      <sz val="13"/>
      <color rgb="FF1B5E20"/>
      <name val="Arial"/>
    </font>
    <font>
      <b/>
      <sz val="9"/>
      <color rgb="FFE65100"/>
      <name val="Arial"/>
    </font>
    <font>
      <b/>
      <sz val="10"/>
      <color rgb="FFE65100"/>
      <name val="Arial"/>
    </font>
    <font>
      <b/>
      <sz val="14"/>
      <color rgb="FF1B5E20"/>
      <name val="Arial"/>
    </font>
    <font>
      <i/>
      <sz val="8"/>
      <color rgb="FF1B5E20"/>
      <name val="Arial"/>
    </font>
    <font>
      <b/>
      <sz val="8"/>
      <color rgb="FFC0392B"/>
      <name val="Arial"/>
    </font>
    <font>
      <b/>
      <sz val="12"/>
      <color rgb="FF1B5E20"/>
      <name val="Arial"/>
    </font>
    <font>
      <sz val="8"/>
      <color rgb="FF333333"/>
      <name val="Arial"/>
    </font>
    <font>
      <i/>
      <sz val="8"/>
      <color rgb="FF444444"/>
      <name val="Arial"/>
    </font>
    <font>
      <b/>
      <sz val="9"/>
      <color rgb="FF7B5E00"/>
      <name val="Arial"/>
    </font>
    <font>
      <sz val="8"/>
      <color rgb="FF444444"/>
      <name val="Arial"/>
    </font>
    <font>
      <b/>
      <sz val="9"/>
      <color rgb="FF1565C0"/>
      <name val="Arial"/>
    </font>
    <font>
      <b/>
      <sz val="8"/>
      <color rgb="FF1565C0"/>
      <name val="Arial"/>
    </font>
  </fonts>
  <fills count="26">
    <fill>
      <patternFill patternType="none"/>
    </fill>
    <fill>
      <patternFill patternType="gray125"/>
    </fill>
    <fill>
      <patternFill patternType="solid">
        <fgColor rgb="FF6B3A2A"/>
      </patternFill>
    </fill>
    <fill>
      <patternFill patternType="solid">
        <fgColor rgb="FF2C3E50"/>
      </patternFill>
    </fill>
    <fill>
      <patternFill patternType="solid">
        <fgColor rgb="FFFFF9C4"/>
      </patternFill>
    </fill>
    <fill>
      <patternFill patternType="solid">
        <fgColor rgb="FFE65100"/>
      </patternFill>
    </fill>
    <fill>
      <patternFill patternType="solid">
        <fgColor rgb="FFDEDEDE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BF3EE"/>
      </patternFill>
    </fill>
    <fill>
      <patternFill patternType="solid">
        <fgColor rgb="FFC6EFCE"/>
      </patternFill>
    </fill>
    <fill>
      <patternFill patternType="solid">
        <fgColor rgb="FFF5E6DE"/>
      </patternFill>
    </fill>
    <fill>
      <patternFill patternType="solid">
        <fgColor rgb="FFE8F0E8"/>
      </patternFill>
    </fill>
    <fill>
      <patternFill patternType="solid">
        <fgColor rgb="FFFFF3E0"/>
      </patternFill>
    </fill>
    <fill>
      <patternFill patternType="solid">
        <fgColor rgb="FF1B5E20"/>
      </patternFill>
    </fill>
    <fill>
      <patternFill patternType="solid">
        <fgColor rgb="FFFFF5F5"/>
      </patternFill>
    </fill>
    <fill>
      <patternFill patternType="solid">
        <fgColor rgb="FFF7F7F7"/>
      </patternFill>
    </fill>
    <fill>
      <patternFill patternType="solid">
        <fgColor rgb="FFEBF5EB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FFD0D0"/>
      </patternFill>
    </fill>
    <fill>
      <patternFill patternType="solid">
        <fgColor rgb="FFE3F2FD"/>
      </patternFill>
    </fill>
    <fill>
      <patternFill patternType="solid">
        <fgColor rgb="FFEEF4FF"/>
      </patternFill>
    </fill>
  </fills>
  <borders count="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6B3A2A"/>
      </left>
      <right style="thin">
        <color rgb="FF6B3A2A"/>
      </right>
      <top style="thin">
        <color rgb="FF6B3A2A"/>
      </top>
      <bottom style="thin">
        <color rgb="FF6B3A2A"/>
      </bottom>
      <diagonal/>
    </border>
    <border>
      <left style="thin">
        <color rgb="FF009900"/>
      </left>
      <right style="thin">
        <color rgb="FF009900"/>
      </right>
      <top style="thin">
        <color rgb="FF009900"/>
      </top>
      <bottom style="thin">
        <color rgb="FF009900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6" borderId="4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left" vertical="center" wrapText="1"/>
    </xf>
    <xf numFmtId="3" fontId="13" fillId="14" borderId="7" xfId="0" applyNumberFormat="1" applyFont="1" applyFill="1" applyBorder="1" applyAlignment="1">
      <alignment horizontal="right" vertical="center" wrapText="1"/>
    </xf>
    <xf numFmtId="3" fontId="13" fillId="11" borderId="4" xfId="0" applyNumberFormat="1" applyFont="1" applyFill="1" applyBorder="1" applyAlignment="1">
      <alignment horizontal="right" vertical="center" wrapText="1"/>
    </xf>
    <xf numFmtId="3" fontId="14" fillId="13" borderId="8" xfId="0" applyNumberFormat="1" applyFont="1" applyFill="1" applyBorder="1" applyAlignment="1">
      <alignment horizontal="right" vertical="center" wrapText="1"/>
    </xf>
    <xf numFmtId="0" fontId="15" fillId="10" borderId="4" xfId="0" applyFont="1" applyFill="1" applyBorder="1" applyAlignment="1">
      <alignment horizontal="center" vertical="center" wrapText="1"/>
    </xf>
    <xf numFmtId="3" fontId="13" fillId="12" borderId="4" xfId="0" applyNumberFormat="1" applyFont="1" applyFill="1" applyBorder="1" applyAlignment="1">
      <alignment horizontal="right" vertical="center" wrapText="1"/>
    </xf>
    <xf numFmtId="3" fontId="3" fillId="2" borderId="4" xfId="0" applyNumberFormat="1" applyFont="1" applyFill="1" applyBorder="1" applyAlignment="1">
      <alignment horizontal="right" vertical="center" wrapText="1"/>
    </xf>
    <xf numFmtId="3" fontId="16" fillId="2" borderId="4" xfId="0" applyNumberFormat="1" applyFont="1" applyFill="1" applyBorder="1" applyAlignment="1">
      <alignment horizontal="right" vertical="center" wrapText="1"/>
    </xf>
    <xf numFmtId="3" fontId="17" fillId="2" borderId="8" xfId="0" applyNumberFormat="1" applyFont="1" applyFill="1" applyBorder="1" applyAlignment="1">
      <alignment horizontal="right" vertical="center" wrapText="1"/>
    </xf>
    <xf numFmtId="3" fontId="13" fillId="15" borderId="7" xfId="0" applyNumberFormat="1" applyFont="1" applyFill="1" applyBorder="1" applyAlignment="1">
      <alignment horizontal="right" vertical="center" wrapText="1"/>
    </xf>
    <xf numFmtId="0" fontId="0" fillId="10" borderId="4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3" fontId="18" fillId="12" borderId="4" xfId="0" applyNumberFormat="1" applyFont="1" applyFill="1" applyBorder="1" applyAlignment="1">
      <alignment horizontal="right" vertical="center"/>
    </xf>
    <xf numFmtId="3" fontId="19" fillId="13" borderId="8" xfId="0" applyNumberFormat="1" applyFont="1" applyFill="1" applyBorder="1" applyAlignment="1">
      <alignment horizontal="right" vertical="center"/>
    </xf>
    <xf numFmtId="0" fontId="18" fillId="12" borderId="4" xfId="0" applyFont="1" applyFill="1" applyBorder="1" applyAlignment="1">
      <alignment horizontal="center" vertical="center"/>
    </xf>
    <xf numFmtId="0" fontId="21" fillId="16" borderId="4" xfId="0" applyFont="1" applyFill="1" applyBorder="1" applyAlignment="1">
      <alignment horizontal="center" vertical="center"/>
    </xf>
    <xf numFmtId="3" fontId="22" fillId="13" borderId="8" xfId="0" applyNumberFormat="1" applyFont="1" applyFill="1" applyBorder="1" applyAlignment="1">
      <alignment horizontal="right" vertical="center" wrapText="1"/>
    </xf>
    <xf numFmtId="3" fontId="9" fillId="12" borderId="4" xfId="0" applyNumberFormat="1" applyFont="1" applyFill="1" applyBorder="1" applyAlignment="1">
      <alignment horizontal="center" vertical="center"/>
    </xf>
    <xf numFmtId="3" fontId="25" fillId="13" borderId="4" xfId="0" applyNumberFormat="1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left" vertical="top" wrapText="1"/>
    </xf>
    <xf numFmtId="0" fontId="26" fillId="18" borderId="4" xfId="0" applyFont="1" applyFill="1" applyBorder="1" applyAlignment="1">
      <alignment horizontal="left" vertical="top" wrapText="1"/>
    </xf>
    <xf numFmtId="0" fontId="0" fillId="11" borderId="4" xfId="0" applyFill="1" applyBorder="1"/>
    <xf numFmtId="0" fontId="0" fillId="12" borderId="4" xfId="0" applyFill="1" applyBorder="1"/>
    <xf numFmtId="0" fontId="7" fillId="12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 wrapText="1"/>
    </xf>
    <xf numFmtId="0" fontId="26" fillId="19" borderId="4" xfId="0" applyFont="1" applyFill="1" applyBorder="1" applyAlignment="1">
      <alignment horizontal="left" vertical="top" wrapText="1"/>
    </xf>
    <xf numFmtId="0" fontId="27" fillId="12" borderId="4" xfId="0" applyFont="1" applyFill="1" applyBorder="1" applyAlignment="1">
      <alignment horizontal="left" vertical="top" wrapText="1"/>
    </xf>
    <xf numFmtId="0" fontId="1" fillId="7" borderId="4" xfId="0" applyFont="1" applyFill="1" applyBorder="1" applyAlignment="1">
      <alignment horizontal="center" vertical="center" wrapText="1"/>
    </xf>
    <xf numFmtId="0" fontId="27" fillId="9" borderId="4" xfId="0" applyFont="1" applyFill="1" applyBorder="1" applyAlignment="1">
      <alignment horizontal="left" vertical="top" wrapText="1"/>
    </xf>
    <xf numFmtId="0" fontId="27" fillId="11" borderId="4" xfId="0" applyFont="1" applyFill="1" applyBorder="1" applyAlignment="1">
      <alignment horizontal="left" vertical="top" wrapText="1"/>
    </xf>
    <xf numFmtId="0" fontId="0" fillId="4" borderId="4" xfId="0" applyFill="1" applyBorder="1"/>
    <xf numFmtId="0" fontId="0" fillId="13" borderId="4" xfId="0" applyFill="1" applyBorder="1"/>
    <xf numFmtId="0" fontId="7" fillId="13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left" vertical="top" wrapText="1"/>
    </xf>
    <xf numFmtId="0" fontId="26" fillId="20" borderId="4" xfId="0" applyFont="1" applyFill="1" applyBorder="1" applyAlignment="1">
      <alignment horizontal="left" vertical="top" wrapText="1"/>
    </xf>
    <xf numFmtId="0" fontId="29" fillId="13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left" vertical="top" wrapText="1"/>
    </xf>
    <xf numFmtId="0" fontId="29" fillId="11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top" wrapText="1"/>
    </xf>
    <xf numFmtId="0" fontId="1" fillId="21" borderId="1" xfId="0" applyFont="1" applyFill="1" applyBorder="1" applyAlignment="1">
      <alignment horizontal="center" vertical="center"/>
    </xf>
    <xf numFmtId="0" fontId="0" fillId="22" borderId="4" xfId="0" applyFill="1" applyBorder="1"/>
    <xf numFmtId="0" fontId="30" fillId="22" borderId="4" xfId="0" applyFont="1" applyFill="1" applyBorder="1" applyAlignment="1">
      <alignment horizontal="center" vertical="center" wrapText="1"/>
    </xf>
    <xf numFmtId="0" fontId="4" fillId="22" borderId="4" xfId="0" applyFont="1" applyFill="1" applyBorder="1" applyAlignment="1">
      <alignment horizontal="left" vertical="top" wrapText="1"/>
    </xf>
    <xf numFmtId="0" fontId="26" fillId="23" borderId="4" xfId="0" applyFont="1" applyFill="1" applyBorder="1" applyAlignment="1">
      <alignment horizontal="left" vertical="top" wrapText="1"/>
    </xf>
    <xf numFmtId="0" fontId="31" fillId="22" borderId="4" xfId="0" applyFont="1" applyFill="1" applyBorder="1" applyAlignment="1">
      <alignment horizontal="center" vertical="center" wrapText="1"/>
    </xf>
    <xf numFmtId="0" fontId="0" fillId="24" borderId="4" xfId="0" applyFill="1" applyBorder="1"/>
    <xf numFmtId="0" fontId="30" fillId="24" borderId="4" xfId="0" applyFont="1" applyFill="1" applyBorder="1" applyAlignment="1">
      <alignment horizontal="center" vertical="center" wrapText="1"/>
    </xf>
    <xf numFmtId="0" fontId="30" fillId="24" borderId="4" xfId="0" applyFont="1" applyFill="1" applyBorder="1" applyAlignment="1">
      <alignment horizontal="left" vertical="top" wrapText="1"/>
    </xf>
    <xf numFmtId="0" fontId="26" fillId="25" borderId="4" xfId="0" applyFont="1" applyFill="1" applyBorder="1" applyAlignment="1">
      <alignment horizontal="left" vertical="top" wrapText="1"/>
    </xf>
    <xf numFmtId="0" fontId="31" fillId="24" borderId="4" xfId="0" applyFont="1" applyFill="1" applyBorder="1" applyAlignment="1">
      <alignment horizontal="center" vertical="center" wrapText="1"/>
    </xf>
    <xf numFmtId="0" fontId="14" fillId="13" borderId="4" xfId="0" applyFont="1" applyFill="1" applyBorder="1" applyAlignment="1">
      <alignment horizontal="left" vertical="center" wrapText="1"/>
    </xf>
    <xf numFmtId="0" fontId="0" fillId="0" borderId="6" xfId="0" applyBorder="1"/>
    <xf numFmtId="0" fontId="8" fillId="11" borderId="4" xfId="0" applyFont="1" applyFill="1" applyBorder="1" applyAlignment="1">
      <alignment horizontal="left" vertical="center" wrapText="1"/>
    </xf>
    <xf numFmtId="0" fontId="4" fillId="9" borderId="4" xfId="0" applyFont="1" applyFill="1" applyBorder="1" applyAlignment="1">
      <alignment horizontal="left" vertical="center" wrapText="1"/>
    </xf>
    <xf numFmtId="0" fontId="0" fillId="0" borderId="5" xfId="0" applyBorder="1"/>
    <xf numFmtId="0" fontId="6" fillId="9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0" fillId="10" borderId="4" xfId="0" applyFill="1" applyBorder="1"/>
    <xf numFmtId="0" fontId="1" fillId="5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9" fillId="13" borderId="4" xfId="0" applyFont="1" applyFill="1" applyBorder="1" applyAlignment="1">
      <alignment horizontal="left" vertical="center"/>
    </xf>
    <xf numFmtId="0" fontId="24" fillId="9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8" fillId="12" borderId="4" xfId="0" applyFont="1" applyFill="1" applyBorder="1" applyAlignment="1">
      <alignment horizontal="left" vertical="center" wrapText="1"/>
    </xf>
    <xf numFmtId="0" fontId="7" fillId="12" borderId="4" xfId="0" applyFont="1" applyFill="1" applyBorder="1" applyAlignment="1">
      <alignment horizontal="left" vertical="center" wrapText="1"/>
    </xf>
    <xf numFmtId="0" fontId="10" fillId="13" borderId="4" xfId="0" applyFont="1" applyFill="1" applyBorder="1" applyAlignment="1">
      <alignment horizontal="left" vertical="center" wrapText="1"/>
    </xf>
    <xf numFmtId="0" fontId="8" fillId="16" borderId="4" xfId="0" applyFont="1" applyFill="1" applyBorder="1" applyAlignment="1">
      <alignment horizontal="left" vertical="center" wrapText="1"/>
    </xf>
    <xf numFmtId="0" fontId="20" fillId="16" borderId="4" xfId="0" applyFont="1" applyFill="1" applyBorder="1" applyAlignment="1">
      <alignment horizontal="left" vertical="center" wrapText="1"/>
    </xf>
    <xf numFmtId="0" fontId="11" fillId="15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 wrapText="1"/>
    </xf>
    <xf numFmtId="0" fontId="8" fillId="13" borderId="4" xfId="0" applyFont="1" applyFill="1" applyBorder="1" applyAlignment="1">
      <alignment horizontal="left" vertical="center" wrapText="1"/>
    </xf>
    <xf numFmtId="0" fontId="11" fillId="1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 wrapText="1"/>
    </xf>
    <xf numFmtId="0" fontId="10" fillId="16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left" vertical="center"/>
    </xf>
    <xf numFmtId="0" fontId="26" fillId="18" borderId="4" xfId="0" applyFont="1" applyFill="1" applyBorder="1" applyAlignment="1">
      <alignment horizontal="left" vertical="top" wrapText="1"/>
    </xf>
    <xf numFmtId="0" fontId="7" fillId="11" borderId="4" xfId="0" applyFont="1" applyFill="1" applyBorder="1" applyAlignment="1">
      <alignment horizontal="left" vertical="top" wrapText="1"/>
    </xf>
    <xf numFmtId="0" fontId="3" fillId="17" borderId="1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top" wrapText="1"/>
    </xf>
    <xf numFmtId="0" fontId="26" fillId="12" borderId="4" xfId="0" applyFont="1" applyFill="1" applyBorder="1" applyAlignment="1">
      <alignment horizontal="left" vertical="top" wrapText="1"/>
    </xf>
    <xf numFmtId="0" fontId="4" fillId="9" borderId="4" xfId="0" applyFont="1" applyFill="1" applyBorder="1" applyAlignment="1">
      <alignment horizontal="left" vertical="top" wrapText="1"/>
    </xf>
    <xf numFmtId="0" fontId="15" fillId="14" borderId="4" xfId="0" applyFont="1" applyFill="1" applyBorder="1" applyAlignment="1">
      <alignment horizontal="left" vertical="center" wrapText="1"/>
    </xf>
    <xf numFmtId="0" fontId="7" fillId="11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26" fillId="11" borderId="4" xfId="0" applyFont="1" applyFill="1" applyBorder="1" applyAlignment="1">
      <alignment horizontal="left" vertical="top" wrapText="1"/>
    </xf>
    <xf numFmtId="0" fontId="7" fillId="16" borderId="4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26" fillId="16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17" borderId="4" xfId="0" applyFont="1" applyFill="1" applyBorder="1" applyAlignment="1">
      <alignment horizontal="left" vertical="center"/>
    </xf>
    <xf numFmtId="0" fontId="3" fillId="7" borderId="4" xfId="0" applyFont="1" applyFill="1" applyBorder="1" applyAlignment="1">
      <alignment horizontal="left" vertical="center"/>
    </xf>
    <xf numFmtId="0" fontId="28" fillId="4" borderId="4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17" borderId="1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  <dxf>
      <font>
        <b/>
        <sz val="10"/>
        <color rgb="FFC0392B"/>
        <name val="Arial"/>
      </font>
      <fill>
        <patternFill patternType="solid">
          <fgColor rgb="FFFCE4D6"/>
          <bgColor rgb="FFFCE4D6"/>
        </patternFill>
      </fill>
    </dxf>
    <dxf>
      <font>
        <b/>
        <sz val="10"/>
        <color rgb="FF1B5E20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4F709F-7693-4603-A9F3-05AA2E657C52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14a831c-624e-4ccf-90ad-3d9c1b03329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workbookViewId="0">
      <selection activeCell="H9" sqref="H9"/>
    </sheetView>
  </sheetViews>
  <sheetFormatPr defaultRowHeight="14.4" x14ac:dyDescent="0.55000000000000004"/>
  <cols>
    <col min="1" max="1" width="3" customWidth="1"/>
    <col min="2" max="2" width="30" customWidth="1"/>
    <col min="3" max="4" width="18" customWidth="1"/>
    <col min="5" max="6" width="14" customWidth="1"/>
    <col min="7" max="7" width="22" customWidth="1"/>
  </cols>
  <sheetData>
    <row r="1" spans="1:7" ht="44.05" customHeight="1" x14ac:dyDescent="0.55000000000000004">
      <c r="A1" s="83" t="s">
        <v>0</v>
      </c>
      <c r="B1" s="71"/>
      <c r="C1" s="71"/>
      <c r="D1" s="71"/>
      <c r="E1" s="71"/>
      <c r="F1" s="71"/>
      <c r="G1" s="72"/>
    </row>
    <row r="2" spans="1:7" ht="22" customHeight="1" x14ac:dyDescent="0.55000000000000004">
      <c r="A2" s="89" t="s">
        <v>1</v>
      </c>
      <c r="B2" s="71"/>
      <c r="C2" s="71"/>
      <c r="D2" s="71"/>
      <c r="E2" s="71"/>
      <c r="F2" s="71"/>
      <c r="G2" s="72"/>
    </row>
    <row r="3" spans="1:7" ht="48" customHeight="1" x14ac:dyDescent="0.55000000000000004">
      <c r="A3" s="88" t="s">
        <v>2</v>
      </c>
      <c r="B3" s="64"/>
      <c r="C3" s="64"/>
      <c r="D3" s="64"/>
      <c r="E3" s="64"/>
      <c r="F3" s="64"/>
      <c r="G3" s="61"/>
    </row>
    <row r="4" spans="1:7" ht="22" customHeight="1" x14ac:dyDescent="0.55000000000000004">
      <c r="A4" s="69" t="s">
        <v>3</v>
      </c>
      <c r="B4" s="64"/>
      <c r="C4" s="64"/>
      <c r="D4" s="64"/>
      <c r="E4" s="64"/>
      <c r="F4" s="64"/>
      <c r="G4" s="61"/>
    </row>
    <row r="5" spans="1:7" ht="5.05" customHeight="1" x14ac:dyDescent="0.55000000000000004">
      <c r="A5" s="1"/>
      <c r="B5" s="1"/>
      <c r="C5" s="1"/>
      <c r="D5" s="1"/>
      <c r="E5" s="1"/>
      <c r="F5" s="1"/>
      <c r="G5" s="1"/>
    </row>
    <row r="6" spans="1:7" ht="24" customHeight="1" x14ac:dyDescent="0.55000000000000004">
      <c r="A6" s="84" t="s">
        <v>4</v>
      </c>
      <c r="B6" s="71"/>
      <c r="C6" s="71"/>
      <c r="D6" s="71"/>
      <c r="E6" s="71"/>
      <c r="F6" s="71"/>
      <c r="G6" s="72"/>
    </row>
    <row r="7" spans="1:7" ht="18" customHeight="1" x14ac:dyDescent="0.55000000000000004">
      <c r="A7" s="2"/>
      <c r="B7" s="2" t="s">
        <v>5</v>
      </c>
      <c r="C7" s="2"/>
      <c r="D7" s="2"/>
      <c r="E7" s="2" t="s">
        <v>6</v>
      </c>
      <c r="F7" s="2"/>
      <c r="G7" s="2" t="s">
        <v>7</v>
      </c>
    </row>
    <row r="8" spans="1:7" ht="28" customHeight="1" x14ac:dyDescent="0.55000000000000004">
      <c r="A8" s="63" t="s">
        <v>8</v>
      </c>
      <c r="B8" s="64"/>
      <c r="C8" s="64"/>
      <c r="D8" s="61"/>
      <c r="E8" s="3" t="s">
        <v>9</v>
      </c>
      <c r="F8" s="65" t="s">
        <v>10</v>
      </c>
      <c r="G8" s="61"/>
    </row>
    <row r="9" spans="1:7" ht="28" customHeight="1" x14ac:dyDescent="0.55000000000000004">
      <c r="A9" s="63" t="s">
        <v>11</v>
      </c>
      <c r="B9" s="64"/>
      <c r="C9" s="64"/>
      <c r="D9" s="61"/>
      <c r="E9" s="3" t="s">
        <v>12</v>
      </c>
      <c r="F9" s="65" t="s">
        <v>13</v>
      </c>
      <c r="G9" s="61"/>
    </row>
    <row r="10" spans="1:7" ht="28" customHeight="1" x14ac:dyDescent="0.55000000000000004">
      <c r="A10" s="63" t="s">
        <v>14</v>
      </c>
      <c r="B10" s="64"/>
      <c r="C10" s="64"/>
      <c r="D10" s="61"/>
      <c r="E10" s="3" t="s">
        <v>9</v>
      </c>
      <c r="F10" s="65" t="s">
        <v>15</v>
      </c>
      <c r="G10" s="61"/>
    </row>
    <row r="11" spans="1:7" ht="28" customHeight="1" x14ac:dyDescent="0.55000000000000004">
      <c r="A11" s="66" t="s">
        <v>16</v>
      </c>
      <c r="B11" s="64"/>
      <c r="C11" s="64"/>
      <c r="D11" s="61"/>
      <c r="E11" s="3" t="s">
        <v>9</v>
      </c>
      <c r="F11" s="62" t="s">
        <v>17</v>
      </c>
      <c r="G11" s="61"/>
    </row>
    <row r="12" spans="1:7" ht="28" customHeight="1" x14ac:dyDescent="0.55000000000000004">
      <c r="A12" s="78" t="s">
        <v>18</v>
      </c>
      <c r="B12" s="64"/>
      <c r="C12" s="64"/>
      <c r="D12" s="61"/>
      <c r="E12" s="3" t="s">
        <v>9</v>
      </c>
      <c r="F12" s="77" t="s">
        <v>19</v>
      </c>
      <c r="G12" s="61"/>
    </row>
    <row r="13" spans="1:7" ht="28" customHeight="1" x14ac:dyDescent="0.55000000000000004">
      <c r="A13" s="66" t="s">
        <v>20</v>
      </c>
      <c r="B13" s="64"/>
      <c r="C13" s="64"/>
      <c r="D13" s="61"/>
      <c r="E13" s="3" t="s">
        <v>9</v>
      </c>
      <c r="F13" s="62" t="s">
        <v>21</v>
      </c>
      <c r="G13" s="61"/>
    </row>
    <row r="14" spans="1:7" ht="24" customHeight="1" x14ac:dyDescent="0.55000000000000004">
      <c r="A14" s="92" t="s">
        <v>22</v>
      </c>
      <c r="B14" s="64"/>
      <c r="C14" s="64"/>
      <c r="D14" s="61"/>
      <c r="E14" s="4" t="str">
        <f>IF(AND(E8="EVET",E9&lt;&gt;"",E10="EVET",E11="EVET"),"OK - Hesaplanabilir","HATA - Ön koşul eksik")</f>
        <v>OK - Hesaplanabilir</v>
      </c>
      <c r="F14" s="90" t="s">
        <v>23</v>
      </c>
      <c r="G14" s="61"/>
    </row>
    <row r="15" spans="1:7" ht="5.05" customHeight="1" x14ac:dyDescent="0.55000000000000004">
      <c r="A15" s="1"/>
      <c r="B15" s="1"/>
      <c r="C15" s="1"/>
      <c r="D15" s="1"/>
      <c r="E15" s="1"/>
      <c r="F15" s="1"/>
      <c r="G15" s="1"/>
    </row>
    <row r="16" spans="1:7" ht="22" customHeight="1" x14ac:dyDescent="0.55000000000000004">
      <c r="A16" s="70" t="s">
        <v>24</v>
      </c>
      <c r="B16" s="71"/>
      <c r="C16" s="71"/>
      <c r="D16" s="71"/>
      <c r="E16" s="71"/>
      <c r="F16" s="71"/>
      <c r="G16" s="72"/>
    </row>
    <row r="17" spans="1:7" ht="22" customHeight="1" x14ac:dyDescent="0.55000000000000004">
      <c r="A17" s="66" t="s">
        <v>25</v>
      </c>
      <c r="B17" s="61"/>
      <c r="C17" s="68"/>
      <c r="D17" s="64"/>
      <c r="E17" s="61"/>
      <c r="F17" s="67" t="s">
        <v>26</v>
      </c>
      <c r="G17" s="61"/>
    </row>
    <row r="18" spans="1:7" ht="22" customHeight="1" x14ac:dyDescent="0.55000000000000004">
      <c r="A18" s="78" t="s">
        <v>27</v>
      </c>
      <c r="B18" s="61"/>
      <c r="C18" s="68"/>
      <c r="D18" s="64"/>
      <c r="E18" s="61"/>
      <c r="F18" s="75" t="s">
        <v>28</v>
      </c>
      <c r="G18" s="61"/>
    </row>
    <row r="19" spans="1:7" ht="22" customHeight="1" x14ac:dyDescent="0.55000000000000004">
      <c r="A19" s="66" t="s">
        <v>29</v>
      </c>
      <c r="B19" s="61"/>
      <c r="C19" s="68"/>
      <c r="D19" s="64"/>
      <c r="E19" s="61"/>
      <c r="F19" s="67" t="s">
        <v>30</v>
      </c>
      <c r="G19" s="61"/>
    </row>
    <row r="20" spans="1:7" ht="22" customHeight="1" x14ac:dyDescent="0.55000000000000004">
      <c r="A20" s="78" t="s">
        <v>31</v>
      </c>
      <c r="B20" s="61"/>
      <c r="C20" s="68"/>
      <c r="D20" s="64"/>
      <c r="E20" s="61"/>
      <c r="F20" s="75" t="s">
        <v>32</v>
      </c>
      <c r="G20" s="61"/>
    </row>
    <row r="21" spans="1:7" ht="22" customHeight="1" x14ac:dyDescent="0.55000000000000004">
      <c r="A21" s="66" t="s">
        <v>33</v>
      </c>
      <c r="B21" s="61"/>
      <c r="C21" s="68"/>
      <c r="D21" s="64"/>
      <c r="E21" s="61"/>
      <c r="F21" s="67" t="s">
        <v>34</v>
      </c>
      <c r="G21" s="61"/>
    </row>
    <row r="22" spans="1:7" ht="22" customHeight="1" x14ac:dyDescent="0.55000000000000004">
      <c r="A22" s="78" t="s">
        <v>35</v>
      </c>
      <c r="B22" s="61"/>
      <c r="C22" s="68"/>
      <c r="D22" s="64"/>
      <c r="E22" s="61"/>
      <c r="F22" s="75" t="s">
        <v>36</v>
      </c>
      <c r="G22" s="61"/>
    </row>
    <row r="23" spans="1:7" ht="22" customHeight="1" x14ac:dyDescent="0.55000000000000004">
      <c r="A23" s="66" t="s">
        <v>37</v>
      </c>
      <c r="B23" s="61"/>
      <c r="C23" s="68"/>
      <c r="D23" s="64"/>
      <c r="E23" s="61"/>
      <c r="F23" s="67" t="s">
        <v>38</v>
      </c>
      <c r="G23" s="61"/>
    </row>
    <row r="25" spans="1:7" ht="5.05" customHeight="1" x14ac:dyDescent="0.55000000000000004">
      <c r="A25" s="1"/>
      <c r="B25" s="1"/>
      <c r="C25" s="1"/>
      <c r="D25" s="1"/>
      <c r="E25" s="1"/>
      <c r="F25" s="1"/>
      <c r="G25" s="1"/>
    </row>
    <row r="26" spans="1:7" ht="22" customHeight="1" x14ac:dyDescent="0.55000000000000004">
      <c r="A26" s="70" t="s">
        <v>39</v>
      </c>
      <c r="B26" s="71"/>
      <c r="C26" s="71"/>
      <c r="D26" s="71"/>
      <c r="E26" s="71"/>
      <c r="F26" s="71"/>
      <c r="G26" s="72"/>
    </row>
    <row r="27" spans="1:7" ht="22" customHeight="1" x14ac:dyDescent="0.55000000000000004">
      <c r="A27" s="87" t="s">
        <v>40</v>
      </c>
      <c r="B27" s="64"/>
      <c r="C27" s="64"/>
      <c r="D27" s="64"/>
      <c r="E27" s="64"/>
      <c r="F27" s="64"/>
      <c r="G27" s="61"/>
    </row>
    <row r="28" spans="1:7" ht="18" customHeight="1" x14ac:dyDescent="0.55000000000000004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5" t="s">
        <v>46</v>
      </c>
      <c r="G28" s="5" t="s">
        <v>47</v>
      </c>
    </row>
    <row r="29" spans="1:7" ht="24" customHeight="1" x14ac:dyDescent="0.55000000000000004">
      <c r="A29" s="6"/>
      <c r="B29" s="7"/>
      <c r="C29" s="8"/>
      <c r="D29" s="8"/>
      <c r="E29" s="9">
        <f>IF(OR(C29&gt;0,D29&gt;0),C29+D29,0)</f>
        <v>0</v>
      </c>
      <c r="F29" s="10">
        <f>E29</f>
        <v>0</v>
      </c>
      <c r="G29" s="11"/>
    </row>
    <row r="30" spans="1:7" ht="24" customHeight="1" x14ac:dyDescent="0.55000000000000004">
      <c r="A30" s="6"/>
      <c r="B30" s="7"/>
      <c r="C30" s="8"/>
      <c r="D30" s="8"/>
      <c r="E30" s="12">
        <f>IF(OR(C30&gt;0,D30&gt;0),C30+D30,0)</f>
        <v>0</v>
      </c>
      <c r="F30" s="10">
        <f>E30</f>
        <v>0</v>
      </c>
      <c r="G30" s="11"/>
    </row>
    <row r="31" spans="1:7" ht="24" customHeight="1" x14ac:dyDescent="0.55000000000000004">
      <c r="A31" s="6"/>
      <c r="B31" s="7"/>
      <c r="C31" s="8"/>
      <c r="D31" s="8"/>
      <c r="E31" s="9">
        <f>IF(OR(C31&gt;0,D31&gt;0),C31+D31,0)</f>
        <v>0</v>
      </c>
      <c r="F31" s="10">
        <f>E31</f>
        <v>0</v>
      </c>
      <c r="G31" s="11"/>
    </row>
    <row r="32" spans="1:7" ht="24" customHeight="1" x14ac:dyDescent="0.55000000000000004">
      <c r="A32" s="6"/>
      <c r="B32" s="7"/>
      <c r="C32" s="8"/>
      <c r="D32" s="8"/>
      <c r="E32" s="12">
        <f>IF(OR(C32&gt;0,D32&gt;0),C32+D32,0)</f>
        <v>0</v>
      </c>
      <c r="F32" s="10">
        <f>E32</f>
        <v>0</v>
      </c>
      <c r="G32" s="11"/>
    </row>
    <row r="33" spans="1:7" ht="26.05" customHeight="1" x14ac:dyDescent="0.55000000000000004">
      <c r="A33" s="76" t="s">
        <v>48</v>
      </c>
      <c r="B33" s="61"/>
      <c r="C33" s="13">
        <f>SUM(C29:C32)</f>
        <v>0</v>
      </c>
      <c r="D33" s="13">
        <f>SUM(D29:D32)</f>
        <v>0</v>
      </c>
      <c r="E33" s="14">
        <f>SUM(E29:E32)</f>
        <v>0</v>
      </c>
      <c r="F33" s="15">
        <f>SUM(F29:F32)</f>
        <v>0</v>
      </c>
      <c r="G33" s="76" t="s">
        <v>49</v>
      </c>
    </row>
    <row r="34" spans="1:7" ht="5.05" customHeight="1" x14ac:dyDescent="0.55000000000000004">
      <c r="A34" s="1"/>
      <c r="B34" s="1"/>
      <c r="C34" s="1"/>
      <c r="D34" s="1"/>
      <c r="E34" s="1"/>
      <c r="F34" s="1"/>
      <c r="G34" s="1"/>
    </row>
    <row r="35" spans="1:7" ht="22" customHeight="1" x14ac:dyDescent="0.55000000000000004">
      <c r="A35" s="70" t="s">
        <v>50</v>
      </c>
      <c r="B35" s="71"/>
      <c r="C35" s="71"/>
      <c r="D35" s="71"/>
      <c r="E35" s="71"/>
      <c r="F35" s="71"/>
      <c r="G35" s="72"/>
    </row>
    <row r="36" spans="1:7" ht="26.05" customHeight="1" x14ac:dyDescent="0.55000000000000004">
      <c r="A36" s="82" t="s">
        <v>51</v>
      </c>
      <c r="B36" s="64"/>
      <c r="C36" s="64"/>
      <c r="D36" s="64"/>
      <c r="E36" s="64"/>
      <c r="F36" s="64"/>
      <c r="G36" s="61"/>
    </row>
    <row r="37" spans="1:7" ht="18" customHeight="1" x14ac:dyDescent="0.55000000000000004">
      <c r="A37" s="5" t="s">
        <v>52</v>
      </c>
      <c r="B37" s="5" t="s">
        <v>53</v>
      </c>
      <c r="C37" s="5" t="s">
        <v>54</v>
      </c>
      <c r="D37" s="5" t="s">
        <v>55</v>
      </c>
      <c r="E37" s="5" t="s">
        <v>56</v>
      </c>
      <c r="F37" s="5" t="s">
        <v>46</v>
      </c>
      <c r="G37" s="5" t="s">
        <v>57</v>
      </c>
    </row>
    <row r="38" spans="1:7" ht="26.05" customHeight="1" x14ac:dyDescent="0.55000000000000004">
      <c r="A38" s="6"/>
      <c r="B38" s="7"/>
      <c r="C38" s="16"/>
      <c r="D38" s="17" t="s">
        <v>58</v>
      </c>
      <c r="E38" s="12">
        <f>IF(AND(C38&gt;0,D38="EVET ✓"),C38,0)</f>
        <v>0</v>
      </c>
      <c r="F38" s="10">
        <f>E38</f>
        <v>0</v>
      </c>
      <c r="G38" s="11"/>
    </row>
    <row r="39" spans="1:7" ht="26.05" customHeight="1" x14ac:dyDescent="0.55000000000000004">
      <c r="A39" s="6"/>
      <c r="B39" s="7"/>
      <c r="C39" s="16"/>
      <c r="D39" s="17" t="s">
        <v>58</v>
      </c>
      <c r="E39" s="9">
        <f>IF(AND(C39&gt;0,D39="EVET ✓"),C39,0)</f>
        <v>0</v>
      </c>
      <c r="F39" s="10">
        <f>E39</f>
        <v>0</v>
      </c>
      <c r="G39" s="11"/>
    </row>
    <row r="40" spans="1:7" ht="26.05" customHeight="1" x14ac:dyDescent="0.55000000000000004">
      <c r="A40" s="6"/>
      <c r="B40" s="7"/>
      <c r="C40" s="16"/>
      <c r="D40" s="17" t="s">
        <v>58</v>
      </c>
      <c r="E40" s="12">
        <f>IF(AND(C40&gt;0,D40="EVET ✓"),C40,0)</f>
        <v>0</v>
      </c>
      <c r="F40" s="10">
        <f>E40</f>
        <v>0</v>
      </c>
      <c r="G40" s="11"/>
    </row>
    <row r="41" spans="1:7" ht="26.05" customHeight="1" x14ac:dyDescent="0.55000000000000004">
      <c r="A41" s="6"/>
      <c r="B41" s="7"/>
      <c r="C41" s="16"/>
      <c r="D41" s="17" t="s">
        <v>58</v>
      </c>
      <c r="E41" s="9">
        <f>IF(AND(C41&gt;0,D41="EVET ✓"),C41,0)</f>
        <v>0</v>
      </c>
      <c r="F41" s="10">
        <f>E41</f>
        <v>0</v>
      </c>
      <c r="G41" s="11"/>
    </row>
    <row r="42" spans="1:7" ht="26.05" customHeight="1" x14ac:dyDescent="0.55000000000000004">
      <c r="A42" s="76" t="s">
        <v>59</v>
      </c>
      <c r="B42" s="64"/>
      <c r="C42" s="61"/>
      <c r="D42" s="18" t="s">
        <v>60</v>
      </c>
      <c r="E42" s="14">
        <f>SUM(E38:E41)</f>
        <v>0</v>
      </c>
      <c r="F42" s="15">
        <f>SUM(F38:F41)</f>
        <v>0</v>
      </c>
      <c r="G42" s="76" t="s">
        <v>61</v>
      </c>
    </row>
    <row r="43" spans="1:7" ht="5.05" customHeight="1" x14ac:dyDescent="0.55000000000000004">
      <c r="A43" s="1"/>
      <c r="B43" s="1"/>
      <c r="C43" s="1"/>
      <c r="D43" s="1"/>
      <c r="E43" s="1"/>
      <c r="F43" s="1"/>
      <c r="G43" s="1"/>
    </row>
    <row r="44" spans="1:7" ht="24" customHeight="1" x14ac:dyDescent="0.55000000000000004">
      <c r="A44" s="70" t="s">
        <v>62</v>
      </c>
      <c r="B44" s="71"/>
      <c r="C44" s="71"/>
      <c r="D44" s="71"/>
      <c r="E44" s="71"/>
      <c r="F44" s="71"/>
      <c r="G44" s="72"/>
    </row>
    <row r="45" spans="1:7" ht="18" customHeight="1" x14ac:dyDescent="0.55000000000000004">
      <c r="A45" s="2"/>
      <c r="B45" s="2" t="s">
        <v>63</v>
      </c>
      <c r="C45" s="2"/>
      <c r="D45" s="2" t="s">
        <v>64</v>
      </c>
      <c r="E45" s="2"/>
      <c r="F45" s="2" t="s">
        <v>65</v>
      </c>
      <c r="G45" s="2" t="s">
        <v>66</v>
      </c>
    </row>
    <row r="46" spans="1:7" ht="28" customHeight="1" x14ac:dyDescent="0.55000000000000004">
      <c r="A46" s="78" t="s">
        <v>67</v>
      </c>
      <c r="B46" s="61"/>
      <c r="C46" s="19">
        <f>F33</f>
        <v>0</v>
      </c>
      <c r="D46" s="75" t="s">
        <v>68</v>
      </c>
      <c r="E46" s="61"/>
      <c r="F46" s="77"/>
      <c r="G46" s="61"/>
    </row>
    <row r="47" spans="1:7" ht="28" customHeight="1" x14ac:dyDescent="0.55000000000000004">
      <c r="A47" s="66" t="s">
        <v>69</v>
      </c>
      <c r="B47" s="61"/>
      <c r="C47" s="19">
        <f>F42</f>
        <v>0</v>
      </c>
      <c r="D47" s="67" t="s">
        <v>70</v>
      </c>
      <c r="E47" s="61"/>
      <c r="F47" s="62"/>
      <c r="G47" s="61"/>
    </row>
    <row r="48" spans="1:7" ht="28" customHeight="1" x14ac:dyDescent="0.55000000000000004">
      <c r="A48" s="60" t="s">
        <v>71</v>
      </c>
      <c r="B48" s="61"/>
      <c r="C48" s="20">
        <f>F33+F42</f>
        <v>0</v>
      </c>
      <c r="D48" s="79" t="s">
        <v>72</v>
      </c>
      <c r="E48" s="61"/>
      <c r="F48" s="86" t="s">
        <v>73</v>
      </c>
      <c r="G48" s="61"/>
    </row>
    <row r="49" spans="1:7" ht="28" customHeight="1" x14ac:dyDescent="0.55000000000000004">
      <c r="A49" s="66" t="s">
        <v>74</v>
      </c>
      <c r="B49" s="61"/>
      <c r="C49" s="21" t="s">
        <v>75</v>
      </c>
      <c r="D49" s="67" t="s">
        <v>76</v>
      </c>
      <c r="E49" s="61"/>
      <c r="F49" s="62" t="s">
        <v>73</v>
      </c>
      <c r="G49" s="61"/>
    </row>
    <row r="50" spans="1:7" ht="28" customHeight="1" x14ac:dyDescent="0.55000000000000004">
      <c r="A50" s="81" t="s">
        <v>77</v>
      </c>
      <c r="B50" s="61"/>
      <c r="C50" s="22" t="s">
        <v>78</v>
      </c>
      <c r="D50" s="91" t="s">
        <v>79</v>
      </c>
      <c r="E50" s="61"/>
      <c r="F50" s="80" t="s">
        <v>80</v>
      </c>
      <c r="G50" s="61"/>
    </row>
    <row r="51" spans="1:7" ht="5.05" customHeight="1" x14ac:dyDescent="0.55000000000000004">
      <c r="A51" s="1"/>
      <c r="B51" s="1"/>
      <c r="C51" s="1"/>
      <c r="D51" s="1"/>
      <c r="E51" s="1"/>
      <c r="F51" s="1"/>
      <c r="G51" s="1"/>
    </row>
    <row r="52" spans="1:7" ht="32.049999999999997" customHeight="1" x14ac:dyDescent="0.55000000000000004">
      <c r="A52" s="73" t="s">
        <v>81</v>
      </c>
      <c r="B52" s="64"/>
      <c r="C52" s="64"/>
      <c r="D52" s="61"/>
      <c r="E52" s="23">
        <f>C48</f>
        <v>0</v>
      </c>
      <c r="F52" s="85" t="s">
        <v>82</v>
      </c>
      <c r="G52" s="61"/>
    </row>
    <row r="53" spans="1:7" ht="36" customHeight="1" x14ac:dyDescent="0.55000000000000004">
      <c r="A53" s="74" t="s">
        <v>83</v>
      </c>
      <c r="B53" s="64"/>
      <c r="C53" s="64"/>
      <c r="D53" s="64"/>
      <c r="E53" s="64"/>
      <c r="F53" s="64"/>
      <c r="G53" s="61"/>
    </row>
  </sheetData>
  <mergeCells count="68">
    <mergeCell ref="A2:G2"/>
    <mergeCell ref="G33"/>
    <mergeCell ref="F14:G14"/>
    <mergeCell ref="D50:E50"/>
    <mergeCell ref="C20:E20"/>
    <mergeCell ref="A14:D14"/>
    <mergeCell ref="F52:G52"/>
    <mergeCell ref="A20:B20"/>
    <mergeCell ref="F48:G48"/>
    <mergeCell ref="A27:G27"/>
    <mergeCell ref="A3:G3"/>
    <mergeCell ref="A12:D12"/>
    <mergeCell ref="A19:B19"/>
    <mergeCell ref="A26:G26"/>
    <mergeCell ref="F49:G49"/>
    <mergeCell ref="A1:G1"/>
    <mergeCell ref="F47:G47"/>
    <mergeCell ref="C19:E19"/>
    <mergeCell ref="A6:G6"/>
    <mergeCell ref="A33:B33"/>
    <mergeCell ref="F23:G23"/>
    <mergeCell ref="A47:B47"/>
    <mergeCell ref="C18:E18"/>
    <mergeCell ref="F46:G46"/>
    <mergeCell ref="A16:G16"/>
    <mergeCell ref="F22:G22"/>
    <mergeCell ref="F13:G13"/>
    <mergeCell ref="A17:B17"/>
    <mergeCell ref="A23:B23"/>
    <mergeCell ref="F9:G9"/>
    <mergeCell ref="A22:B22"/>
    <mergeCell ref="F50:G50"/>
    <mergeCell ref="G42"/>
    <mergeCell ref="F17:G17"/>
    <mergeCell ref="F8:G8"/>
    <mergeCell ref="A50:B50"/>
    <mergeCell ref="A36:G36"/>
    <mergeCell ref="D47:E47"/>
    <mergeCell ref="A21:B21"/>
    <mergeCell ref="A4:G4"/>
    <mergeCell ref="A35:G35"/>
    <mergeCell ref="A52:D52"/>
    <mergeCell ref="A53:G53"/>
    <mergeCell ref="D46:E46"/>
    <mergeCell ref="C21:E21"/>
    <mergeCell ref="A10:D10"/>
    <mergeCell ref="A13:D13"/>
    <mergeCell ref="F21:G21"/>
    <mergeCell ref="A42:C42"/>
    <mergeCell ref="A9:D9"/>
    <mergeCell ref="F12:G12"/>
    <mergeCell ref="A44:G44"/>
    <mergeCell ref="D49:E49"/>
    <mergeCell ref="C23:E23"/>
    <mergeCell ref="F20:G20"/>
    <mergeCell ref="A48:B48"/>
    <mergeCell ref="F11:G11"/>
    <mergeCell ref="A8:D8"/>
    <mergeCell ref="F10:G10"/>
    <mergeCell ref="A49:B49"/>
    <mergeCell ref="F19:G19"/>
    <mergeCell ref="C22:E22"/>
    <mergeCell ref="F18:G18"/>
    <mergeCell ref="A46:B46"/>
    <mergeCell ref="C17:E17"/>
    <mergeCell ref="A11:D11"/>
    <mergeCell ref="A18:B18"/>
    <mergeCell ref="D48:E48"/>
  </mergeCells>
  <conditionalFormatting sqref="E14">
    <cfRule type="containsText" dxfId="3" priority="1" operator="containsText" text="OK">
      <formula>NOT(ISERROR(SEARCH("OK",E14)))</formula>
    </cfRule>
    <cfRule type="containsText" dxfId="2" priority="2" operator="containsText" text="HATA">
      <formula>NOT(ISERROR(SEARCH("HATA",E14)))</formula>
    </cfRule>
  </conditionalFormatting>
  <dataValidations count="7">
    <dataValidation type="list" sqref="E8" xr:uid="{00000000-0002-0000-0000-000000000000}">
      <formula1>"EVET,HAYIR-Farklı Alıcı/Kapsam"</formula1>
    </dataValidation>
    <dataValidation type="list" sqref="E9" xr:uid="{00000000-0002-0000-0000-000001000000}">
      <formula1>"Bağış/Yardım (Tamamı),Sponsorluk (Tamamı),Her İkisi (Ayrı Hesaplanacak)"</formula1>
    </dataValidation>
    <dataValidation type="list" sqref="E10" xr:uid="{00000000-0002-0000-0000-000002000000}">
      <formula1>"EVET,HAYIR-Henüz Gerçekleşmedi"</formula1>
    </dataValidation>
    <dataValidation type="list" sqref="E11" xr:uid="{00000000-0002-0000-0000-000003000000}">
      <formula1>"EVET,HAYIR-Belge Eksik"</formula1>
    </dataValidation>
    <dataValidation type="list" sqref="E12" xr:uid="{00000000-0002-0000-0000-000004000000}">
      <formula1>"EVET,HAYIR-Eksik"</formula1>
    </dataValidation>
    <dataValidation type="list" sqref="E13" xr:uid="{00000000-0002-0000-0000-000005000000}">
      <formula1>"EVET,Tam Tasdik"</formula1>
    </dataValidation>
    <dataValidation type="list" sqref="D38:D41" xr:uid="{00000000-0002-0000-0000-000006000000}">
      <formula1>"EVET ✓ (Sözleşmeli),HAYIR ✗ (Sözleşmesiz)"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defaultRowHeight="14.4" x14ac:dyDescent="0.55000000000000004"/>
  <cols>
    <col min="1" max="1" width="4" customWidth="1"/>
    <col min="2" max="2" width="42" customWidth="1"/>
    <col min="3" max="4" width="15" customWidth="1"/>
    <col min="5" max="5" width="14" customWidth="1"/>
    <col min="6" max="6" width="12" customWidth="1"/>
    <col min="7" max="7" width="18" customWidth="1"/>
  </cols>
  <sheetData>
    <row r="1" spans="1:7" ht="36" customHeight="1" x14ac:dyDescent="0.55000000000000004">
      <c r="A1" s="104" t="s">
        <v>84</v>
      </c>
      <c r="B1" s="71"/>
      <c r="C1" s="71"/>
      <c r="D1" s="71"/>
      <c r="E1" s="71"/>
      <c r="F1" s="71"/>
      <c r="G1" s="72"/>
    </row>
    <row r="2" spans="1:7" ht="20.05" customHeight="1" x14ac:dyDescent="0.55000000000000004">
      <c r="A2" s="105" t="s">
        <v>85</v>
      </c>
      <c r="B2" s="64"/>
      <c r="C2" s="64"/>
      <c r="D2" s="64"/>
      <c r="E2" s="64"/>
      <c r="F2" s="64"/>
      <c r="G2" s="61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95" t="s">
        <v>86</v>
      </c>
      <c r="B4" s="71"/>
      <c r="C4" s="71"/>
      <c r="D4" s="71"/>
      <c r="E4" s="71"/>
      <c r="F4" s="71"/>
      <c r="G4" s="72"/>
    </row>
    <row r="5" spans="1:7" ht="22" customHeight="1" x14ac:dyDescent="0.55000000000000004">
      <c r="A5" s="100" t="s">
        <v>87</v>
      </c>
      <c r="B5" s="64"/>
      <c r="C5" s="61"/>
      <c r="D5" s="24" t="str">
        <f>'VERİ GİRİŞİ'!E14</f>
        <v>OK - Hesaplanabilir</v>
      </c>
      <c r="E5" s="62" t="s">
        <v>88</v>
      </c>
      <c r="F5" s="64"/>
      <c r="G5" s="61"/>
    </row>
    <row r="6" spans="1:7" ht="22" customHeight="1" x14ac:dyDescent="0.55000000000000004">
      <c r="A6" s="101" t="s">
        <v>89</v>
      </c>
      <c r="B6" s="64"/>
      <c r="C6" s="61"/>
      <c r="D6" s="24" t="str">
        <f>'VERİ GİRİŞİ'!E9</f>
        <v>Bağış/Yardım (Tamamı)</v>
      </c>
      <c r="E6" s="77" t="s">
        <v>90</v>
      </c>
      <c r="F6" s="64"/>
      <c r="G6" s="61"/>
    </row>
    <row r="7" spans="1:7" ht="22" customHeight="1" x14ac:dyDescent="0.55000000000000004">
      <c r="A7" s="100" t="s">
        <v>91</v>
      </c>
      <c r="B7" s="64"/>
      <c r="C7" s="61"/>
      <c r="D7" s="24">
        <f>'VERİ GİRİŞİ'!C46</f>
        <v>0</v>
      </c>
      <c r="E7" s="62" t="s">
        <v>92</v>
      </c>
      <c r="F7" s="64"/>
      <c r="G7" s="61"/>
    </row>
    <row r="8" spans="1:7" ht="22" customHeight="1" x14ac:dyDescent="0.55000000000000004">
      <c r="A8" s="101" t="s">
        <v>93</v>
      </c>
      <c r="B8" s="64"/>
      <c r="C8" s="61"/>
      <c r="D8" s="24">
        <f>'VERİ GİRİŞİ'!C47</f>
        <v>0</v>
      </c>
      <c r="E8" s="77" t="s">
        <v>94</v>
      </c>
      <c r="F8" s="64"/>
      <c r="G8" s="61"/>
    </row>
    <row r="9" spans="1:7" ht="22" customHeight="1" x14ac:dyDescent="0.55000000000000004">
      <c r="A9" s="92" t="s">
        <v>95</v>
      </c>
      <c r="B9" s="64"/>
      <c r="C9" s="61"/>
      <c r="D9" s="25">
        <f>'VERİ GİRİŞİ'!C48</f>
        <v>0</v>
      </c>
      <c r="E9" s="86"/>
      <c r="F9" s="64"/>
      <c r="G9" s="61"/>
    </row>
    <row r="10" spans="1:7" ht="22" customHeight="1" x14ac:dyDescent="0.55000000000000004">
      <c r="A10" s="103" t="s">
        <v>96</v>
      </c>
      <c r="B10" s="64"/>
      <c r="C10" s="61"/>
      <c r="D10" s="22" t="s">
        <v>97</v>
      </c>
      <c r="E10" s="80" t="s">
        <v>98</v>
      </c>
      <c r="F10" s="64"/>
      <c r="G10" s="61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70" t="s">
        <v>99</v>
      </c>
      <c r="B12" s="71"/>
      <c r="C12" s="71"/>
      <c r="D12" s="71"/>
      <c r="E12" s="71"/>
      <c r="F12" s="71"/>
      <c r="G12" s="72"/>
    </row>
    <row r="13" spans="1:7" ht="64" customHeight="1" x14ac:dyDescent="0.55000000000000004">
      <c r="A13" s="99" t="s">
        <v>100</v>
      </c>
      <c r="B13" s="64"/>
      <c r="C13" s="64"/>
      <c r="D13" s="64"/>
      <c r="E13" s="64"/>
      <c r="F13" s="64"/>
      <c r="G13" s="61"/>
    </row>
    <row r="14" spans="1:7" ht="5.05" customHeight="1" x14ac:dyDescent="0.55000000000000004">
      <c r="A14" s="1"/>
      <c r="B14" s="1"/>
      <c r="C14" s="1"/>
      <c r="D14" s="1"/>
      <c r="E14" s="1"/>
      <c r="F14" s="1"/>
      <c r="G14" s="1"/>
    </row>
    <row r="15" spans="1:7" ht="22" customHeight="1" x14ac:dyDescent="0.55000000000000004">
      <c r="A15" s="70" t="s">
        <v>101</v>
      </c>
      <c r="B15" s="71"/>
      <c r="C15" s="71"/>
      <c r="D15" s="71"/>
      <c r="E15" s="71"/>
      <c r="F15" s="71"/>
      <c r="G15" s="72"/>
    </row>
    <row r="16" spans="1:7" ht="18" customHeight="1" x14ac:dyDescent="0.55000000000000004">
      <c r="A16" s="2"/>
      <c r="B16" s="2" t="s">
        <v>102</v>
      </c>
      <c r="C16" s="2"/>
      <c r="D16" s="2" t="s">
        <v>65</v>
      </c>
      <c r="E16" s="2"/>
      <c r="F16" s="2" t="s">
        <v>103</v>
      </c>
      <c r="G16" s="2"/>
    </row>
    <row r="17" spans="1:7" ht="20.05" customHeight="1" x14ac:dyDescent="0.55000000000000004">
      <c r="A17" s="18" t="s">
        <v>104</v>
      </c>
      <c r="B17" s="98" t="s">
        <v>105</v>
      </c>
      <c r="C17" s="61"/>
      <c r="D17" s="93" t="s">
        <v>106</v>
      </c>
      <c r="E17" s="61"/>
      <c r="F17" s="11" t="s">
        <v>107</v>
      </c>
      <c r="G17" s="28"/>
    </row>
    <row r="18" spans="1:7" ht="20.05" customHeight="1" x14ac:dyDescent="0.55000000000000004">
      <c r="A18" s="18" t="s">
        <v>108</v>
      </c>
      <c r="B18" s="98" t="s">
        <v>109</v>
      </c>
      <c r="C18" s="61"/>
      <c r="D18" s="93" t="s">
        <v>110</v>
      </c>
      <c r="E18" s="61"/>
      <c r="F18" s="11" t="s">
        <v>107</v>
      </c>
      <c r="G18" s="29"/>
    </row>
    <row r="19" spans="1:7" ht="20.05" customHeight="1" x14ac:dyDescent="0.55000000000000004">
      <c r="A19" s="18" t="s">
        <v>111</v>
      </c>
      <c r="B19" s="98" t="s">
        <v>112</v>
      </c>
      <c r="C19" s="61"/>
      <c r="D19" s="93" t="s">
        <v>113</v>
      </c>
      <c r="E19" s="61"/>
      <c r="F19" s="11" t="s">
        <v>107</v>
      </c>
      <c r="G19" s="28"/>
    </row>
    <row r="20" spans="1:7" ht="20.05" customHeight="1" x14ac:dyDescent="0.55000000000000004">
      <c r="A20" s="18" t="s">
        <v>114</v>
      </c>
      <c r="B20" s="98" t="s">
        <v>115</v>
      </c>
      <c r="C20" s="61"/>
      <c r="D20" s="93" t="s">
        <v>116</v>
      </c>
      <c r="E20" s="61"/>
      <c r="F20" s="11" t="s">
        <v>107</v>
      </c>
      <c r="G20" s="29"/>
    </row>
    <row r="21" spans="1:7" ht="20.05" customHeight="1" x14ac:dyDescent="0.55000000000000004">
      <c r="A21" s="18" t="s">
        <v>117</v>
      </c>
      <c r="B21" s="98" t="s">
        <v>118</v>
      </c>
      <c r="C21" s="61"/>
      <c r="D21" s="93" t="s">
        <v>119</v>
      </c>
      <c r="E21" s="61"/>
      <c r="F21" s="11" t="s">
        <v>107</v>
      </c>
      <c r="G21" s="28"/>
    </row>
    <row r="22" spans="1:7" ht="20.05" customHeight="1" x14ac:dyDescent="0.55000000000000004">
      <c r="A22" s="18" t="s">
        <v>120</v>
      </c>
      <c r="B22" s="96" t="s">
        <v>121</v>
      </c>
      <c r="C22" s="61"/>
      <c r="D22" s="97" t="s">
        <v>122</v>
      </c>
      <c r="E22" s="61"/>
      <c r="F22" s="11" t="s">
        <v>107</v>
      </c>
      <c r="G22" s="29"/>
    </row>
    <row r="23" spans="1:7" ht="20.05" customHeight="1" x14ac:dyDescent="0.55000000000000004">
      <c r="A23" s="18" t="s">
        <v>123</v>
      </c>
      <c r="B23" s="94" t="s">
        <v>124</v>
      </c>
      <c r="C23" s="61"/>
      <c r="D23" s="102" t="s">
        <v>125</v>
      </c>
      <c r="E23" s="61"/>
      <c r="F23" s="11" t="s">
        <v>107</v>
      </c>
      <c r="G23" s="28"/>
    </row>
    <row r="24" spans="1:7" ht="20.05" customHeight="1" x14ac:dyDescent="0.55000000000000004">
      <c r="A24" s="18" t="s">
        <v>126</v>
      </c>
      <c r="B24" s="98" t="s">
        <v>127</v>
      </c>
      <c r="C24" s="61"/>
      <c r="D24" s="93" t="s">
        <v>128</v>
      </c>
      <c r="E24" s="61"/>
      <c r="F24" s="11" t="s">
        <v>107</v>
      </c>
      <c r="G24" s="29"/>
    </row>
    <row r="25" spans="1:7" ht="20.05" customHeight="1" x14ac:dyDescent="0.55000000000000004">
      <c r="A25" s="18" t="s">
        <v>129</v>
      </c>
      <c r="B25" s="94" t="s">
        <v>130</v>
      </c>
      <c r="C25" s="61"/>
      <c r="D25" s="102" t="s">
        <v>131</v>
      </c>
      <c r="E25" s="61"/>
      <c r="F25" s="11" t="s">
        <v>107</v>
      </c>
      <c r="G25" s="28"/>
    </row>
    <row r="26" spans="1:7" ht="20.05" customHeight="1" x14ac:dyDescent="0.55000000000000004">
      <c r="A26" s="18" t="s">
        <v>132</v>
      </c>
      <c r="B26" s="96" t="s">
        <v>133</v>
      </c>
      <c r="C26" s="61"/>
      <c r="D26" s="97" t="s">
        <v>134</v>
      </c>
      <c r="E26" s="61"/>
      <c r="F26" s="11" t="s">
        <v>107</v>
      </c>
      <c r="G26" s="29"/>
    </row>
    <row r="27" spans="1:7" ht="20.05" customHeight="1" x14ac:dyDescent="0.55000000000000004">
      <c r="A27" s="18" t="s">
        <v>135</v>
      </c>
      <c r="B27" s="94" t="s">
        <v>136</v>
      </c>
      <c r="C27" s="61"/>
      <c r="D27" s="102" t="s">
        <v>137</v>
      </c>
      <c r="E27" s="61"/>
      <c r="F27" s="11" t="s">
        <v>107</v>
      </c>
      <c r="G27" s="28"/>
    </row>
    <row r="28" spans="1:7" ht="20.05" customHeight="1" x14ac:dyDescent="0.55000000000000004">
      <c r="A28" s="18" t="s">
        <v>138</v>
      </c>
      <c r="B28" s="96" t="s">
        <v>139</v>
      </c>
      <c r="C28" s="61"/>
      <c r="D28" s="97" t="s">
        <v>21</v>
      </c>
      <c r="E28" s="61"/>
      <c r="F28" s="11" t="s">
        <v>107</v>
      </c>
      <c r="G28" s="29"/>
    </row>
  </sheetData>
  <mergeCells count="42">
    <mergeCell ref="A1:G1"/>
    <mergeCell ref="B19:C19"/>
    <mergeCell ref="B28:C28"/>
    <mergeCell ref="A9:C9"/>
    <mergeCell ref="D28:E28"/>
    <mergeCell ref="D18:E18"/>
    <mergeCell ref="D25:E25"/>
    <mergeCell ref="B24:C24"/>
    <mergeCell ref="D24:E24"/>
    <mergeCell ref="E5:G5"/>
    <mergeCell ref="B20:C20"/>
    <mergeCell ref="A6:C6"/>
    <mergeCell ref="E8:G8"/>
    <mergeCell ref="A12:G12"/>
    <mergeCell ref="D23:E23"/>
    <mergeCell ref="A2:G2"/>
    <mergeCell ref="B27:C27"/>
    <mergeCell ref="E6:G6"/>
    <mergeCell ref="D21:E21"/>
    <mergeCell ref="A13:G13"/>
    <mergeCell ref="B21:C21"/>
    <mergeCell ref="A8:C8"/>
    <mergeCell ref="D27:E27"/>
    <mergeCell ref="B23:C23"/>
    <mergeCell ref="A15:G15"/>
    <mergeCell ref="B17:C17"/>
    <mergeCell ref="D17:E17"/>
    <mergeCell ref="E7:G7"/>
    <mergeCell ref="A10:C10"/>
    <mergeCell ref="B26:C26"/>
    <mergeCell ref="A7:C7"/>
    <mergeCell ref="D26:E26"/>
    <mergeCell ref="D20:E20"/>
    <mergeCell ref="E10:G10"/>
    <mergeCell ref="B25:C25"/>
    <mergeCell ref="D19:E19"/>
    <mergeCell ref="A4:G4"/>
    <mergeCell ref="B22:C22"/>
    <mergeCell ref="E9:G9"/>
    <mergeCell ref="D22:E22"/>
    <mergeCell ref="B18:C18"/>
    <mergeCell ref="A5:C5"/>
  </mergeCells>
  <conditionalFormatting sqref="D5">
    <cfRule type="containsText" dxfId="1" priority="1" operator="containsText" text="OK">
      <formula>NOT(ISERROR(SEARCH("OK",D5)))</formula>
    </cfRule>
    <cfRule type="containsText" dxfId="0" priority="2" operator="containsText" text="HATA">
      <formula>NOT(ISERROR(SEARCH("HATA",D5)))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/>
  </sheetViews>
  <sheetFormatPr defaultRowHeight="14.4" x14ac:dyDescent="0.55000000000000004"/>
  <cols>
    <col min="1" max="1" width="4" customWidth="1"/>
    <col min="2" max="2" width="10" customWidth="1"/>
    <col min="3" max="3" width="28" customWidth="1"/>
    <col min="4" max="4" width="22" customWidth="1"/>
    <col min="5" max="6" width="14" customWidth="1"/>
    <col min="7" max="7" width="20" customWidth="1"/>
  </cols>
  <sheetData>
    <row r="1" spans="1:7" ht="32.049999999999997" customHeight="1" x14ac:dyDescent="0.55000000000000004">
      <c r="A1" s="70" t="s">
        <v>140</v>
      </c>
      <c r="B1" s="71"/>
      <c r="C1" s="71"/>
      <c r="D1" s="71"/>
      <c r="E1" s="71"/>
      <c r="F1" s="71"/>
      <c r="G1" s="72"/>
    </row>
    <row r="2" spans="1:7" ht="22" customHeight="1" x14ac:dyDescent="0.55000000000000004">
      <c r="A2" s="108" t="s">
        <v>141</v>
      </c>
      <c r="B2" s="64"/>
      <c r="C2" s="64"/>
      <c r="D2" s="64"/>
      <c r="E2" s="64"/>
      <c r="F2" s="64"/>
      <c r="G2" s="61"/>
    </row>
    <row r="3" spans="1:7" ht="18" customHeight="1" x14ac:dyDescent="0.55000000000000004">
      <c r="A3" s="32"/>
      <c r="B3" s="32" t="s">
        <v>142</v>
      </c>
      <c r="C3" s="32" t="s">
        <v>143</v>
      </c>
      <c r="D3" s="32" t="s">
        <v>66</v>
      </c>
      <c r="E3" s="32" t="s">
        <v>144</v>
      </c>
      <c r="F3" s="32" t="s">
        <v>145</v>
      </c>
      <c r="G3" s="32" t="s">
        <v>146</v>
      </c>
    </row>
    <row r="4" spans="1:7" ht="22" customHeight="1" x14ac:dyDescent="0.55000000000000004">
      <c r="A4" s="33" t="s">
        <v>144</v>
      </c>
      <c r="B4" s="33" t="s">
        <v>147</v>
      </c>
      <c r="C4" s="33" t="s">
        <v>148</v>
      </c>
      <c r="D4" s="33" t="s">
        <v>149</v>
      </c>
      <c r="E4" s="33" t="s">
        <v>150</v>
      </c>
      <c r="F4" s="33" t="s">
        <v>60</v>
      </c>
      <c r="G4" s="33" t="s">
        <v>151</v>
      </c>
    </row>
    <row r="5" spans="1:7" ht="22" customHeight="1" x14ac:dyDescent="0.55000000000000004">
      <c r="A5" s="110" t="s">
        <v>152</v>
      </c>
      <c r="B5" s="64"/>
      <c r="C5" s="64"/>
      <c r="D5" s="64"/>
      <c r="E5" s="64"/>
      <c r="F5" s="64"/>
      <c r="G5" s="61"/>
    </row>
    <row r="6" spans="1:7" ht="18" customHeight="1" x14ac:dyDescent="0.55000000000000004">
      <c r="A6" s="32"/>
      <c r="B6" s="32" t="s">
        <v>142</v>
      </c>
      <c r="C6" s="32" t="s">
        <v>143</v>
      </c>
      <c r="D6" s="32" t="s">
        <v>66</v>
      </c>
      <c r="E6" s="32" t="s">
        <v>144</v>
      </c>
      <c r="F6" s="32" t="s">
        <v>145</v>
      </c>
      <c r="G6" s="32" t="s">
        <v>146</v>
      </c>
    </row>
    <row r="7" spans="1:7" ht="22" customHeight="1" x14ac:dyDescent="0.55000000000000004">
      <c r="A7" s="33" t="s">
        <v>144</v>
      </c>
      <c r="B7" s="33" t="s">
        <v>153</v>
      </c>
      <c r="C7" s="33" t="s">
        <v>154</v>
      </c>
      <c r="D7" s="33" t="s">
        <v>155</v>
      </c>
      <c r="E7" s="33" t="s">
        <v>156</v>
      </c>
      <c r="F7" s="33" t="s">
        <v>60</v>
      </c>
      <c r="G7" s="33" t="s">
        <v>157</v>
      </c>
    </row>
    <row r="8" spans="1:7" ht="22" customHeight="1" x14ac:dyDescent="0.55000000000000004">
      <c r="A8" s="107" t="s">
        <v>158</v>
      </c>
      <c r="B8" s="64"/>
      <c r="C8" s="64"/>
      <c r="D8" s="64"/>
      <c r="E8" s="64"/>
      <c r="F8" s="64"/>
      <c r="G8" s="61"/>
    </row>
    <row r="9" spans="1:7" ht="18" customHeight="1" x14ac:dyDescent="0.55000000000000004">
      <c r="A9" s="32"/>
      <c r="B9" s="32" t="s">
        <v>142</v>
      </c>
      <c r="C9" s="32" t="s">
        <v>143</v>
      </c>
      <c r="D9" s="32" t="s">
        <v>66</v>
      </c>
      <c r="E9" s="32" t="s">
        <v>144</v>
      </c>
      <c r="F9" s="32" t="s">
        <v>145</v>
      </c>
      <c r="G9" s="32" t="s">
        <v>146</v>
      </c>
    </row>
    <row r="10" spans="1:7" ht="22" customHeight="1" x14ac:dyDescent="0.55000000000000004">
      <c r="A10" s="33" t="s">
        <v>144</v>
      </c>
      <c r="B10" s="33" t="s">
        <v>159</v>
      </c>
      <c r="C10" s="33" t="s">
        <v>148</v>
      </c>
      <c r="D10" s="33" t="s">
        <v>160</v>
      </c>
      <c r="E10" s="33" t="s">
        <v>150</v>
      </c>
      <c r="F10" s="33" t="s">
        <v>60</v>
      </c>
      <c r="G10" s="33" t="s">
        <v>161</v>
      </c>
    </row>
    <row r="11" spans="1:7" ht="22" customHeight="1" x14ac:dyDescent="0.55000000000000004">
      <c r="A11" s="109" t="s">
        <v>162</v>
      </c>
      <c r="B11" s="64"/>
      <c r="C11" s="64"/>
      <c r="D11" s="64"/>
      <c r="E11" s="64"/>
      <c r="F11" s="64"/>
      <c r="G11" s="61"/>
    </row>
    <row r="12" spans="1:7" ht="18" customHeight="1" x14ac:dyDescent="0.55000000000000004">
      <c r="A12" s="32"/>
      <c r="B12" s="32" t="s">
        <v>142</v>
      </c>
      <c r="C12" s="32" t="s">
        <v>143</v>
      </c>
      <c r="D12" s="32" t="s">
        <v>66</v>
      </c>
      <c r="E12" s="32" t="s">
        <v>144</v>
      </c>
      <c r="F12" s="32" t="s">
        <v>145</v>
      </c>
      <c r="G12" s="32" t="s">
        <v>146</v>
      </c>
    </row>
    <row r="13" spans="1:7" ht="22" customHeight="1" x14ac:dyDescent="0.55000000000000004">
      <c r="A13" s="33" t="s">
        <v>144</v>
      </c>
      <c r="B13" s="33" t="s">
        <v>163</v>
      </c>
      <c r="C13" s="33" t="s">
        <v>164</v>
      </c>
      <c r="D13" s="33" t="s">
        <v>165</v>
      </c>
      <c r="E13" s="33" t="s">
        <v>166</v>
      </c>
      <c r="F13" s="33" t="s">
        <v>60</v>
      </c>
      <c r="G13" s="33" t="s">
        <v>167</v>
      </c>
    </row>
    <row r="14" spans="1:7" ht="36" customHeight="1" x14ac:dyDescent="0.55000000000000004">
      <c r="A14" s="106" t="s">
        <v>168</v>
      </c>
      <c r="B14" s="64"/>
      <c r="C14" s="64"/>
      <c r="D14" s="64"/>
      <c r="E14" s="64"/>
      <c r="F14" s="64"/>
      <c r="G14" s="61"/>
    </row>
  </sheetData>
  <mergeCells count="6">
    <mergeCell ref="A14:G14"/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55000000000000004"/>
  <cols>
    <col min="1" max="1" width="4" customWidth="1"/>
    <col min="2" max="2" width="24" customWidth="1"/>
    <col min="3" max="3" width="50" customWidth="1"/>
    <col min="4" max="4" width="22" customWidth="1"/>
  </cols>
  <sheetData>
    <row r="1" spans="1:7" ht="32.049999999999997" customHeight="1" x14ac:dyDescent="0.55000000000000004">
      <c r="A1" s="70" t="s">
        <v>169</v>
      </c>
      <c r="B1" s="71"/>
      <c r="C1" s="71"/>
      <c r="D1" s="71"/>
      <c r="E1" s="71"/>
      <c r="F1" s="71"/>
      <c r="G1" s="72"/>
    </row>
    <row r="2" spans="1:7" ht="20.05" customHeight="1" x14ac:dyDescent="0.55000000000000004">
      <c r="A2" s="89" t="s">
        <v>170</v>
      </c>
      <c r="B2" s="71"/>
      <c r="C2" s="71"/>
      <c r="D2" s="71"/>
      <c r="E2" s="71"/>
      <c r="F2" s="71"/>
      <c r="G2" s="72"/>
    </row>
    <row r="3" spans="1:7" ht="18" customHeight="1" x14ac:dyDescent="0.55000000000000004">
      <c r="A3" s="32" t="s">
        <v>171</v>
      </c>
      <c r="B3" s="32" t="s">
        <v>172</v>
      </c>
      <c r="C3" s="32" t="s">
        <v>173</v>
      </c>
      <c r="D3" s="32" t="s">
        <v>174</v>
      </c>
    </row>
    <row r="4" spans="1:7" ht="68.05" customHeight="1" x14ac:dyDescent="0.55000000000000004">
      <c r="A4" s="18" t="s">
        <v>175</v>
      </c>
      <c r="B4" s="30" t="s">
        <v>176</v>
      </c>
      <c r="C4" s="34" t="s">
        <v>177</v>
      </c>
      <c r="D4" s="35" t="s">
        <v>178</v>
      </c>
    </row>
    <row r="5" spans="1:7" ht="52" customHeight="1" x14ac:dyDescent="0.55000000000000004">
      <c r="A5" s="36" t="s">
        <v>179</v>
      </c>
      <c r="B5" s="26" t="s">
        <v>180</v>
      </c>
      <c r="C5" s="27" t="s">
        <v>181</v>
      </c>
      <c r="D5" s="37" t="s">
        <v>182</v>
      </c>
    </row>
    <row r="6" spans="1:7" ht="52" customHeight="1" x14ac:dyDescent="0.55000000000000004">
      <c r="A6" s="18" t="s">
        <v>183</v>
      </c>
      <c r="B6" s="30" t="s">
        <v>184</v>
      </c>
      <c r="C6" s="34" t="s">
        <v>185</v>
      </c>
      <c r="D6" s="35" t="s">
        <v>186</v>
      </c>
    </row>
    <row r="7" spans="1:7" ht="52" customHeight="1" x14ac:dyDescent="0.55000000000000004">
      <c r="A7" s="18" t="s">
        <v>187</v>
      </c>
      <c r="B7" s="30" t="s">
        <v>188</v>
      </c>
      <c r="C7" s="34" t="s">
        <v>189</v>
      </c>
      <c r="D7" s="35" t="s">
        <v>190</v>
      </c>
    </row>
    <row r="8" spans="1:7" ht="68.05" customHeight="1" x14ac:dyDescent="0.55000000000000004">
      <c r="A8" s="18" t="s">
        <v>191</v>
      </c>
      <c r="B8" s="31" t="s">
        <v>192</v>
      </c>
      <c r="C8" s="34" t="s">
        <v>193</v>
      </c>
      <c r="D8" s="38" t="s">
        <v>194</v>
      </c>
    </row>
    <row r="9" spans="1:7" ht="36" customHeight="1" x14ac:dyDescent="0.55000000000000004">
      <c r="A9" s="111" t="s">
        <v>195</v>
      </c>
      <c r="B9" s="64"/>
      <c r="C9" s="64"/>
      <c r="D9" s="61"/>
      <c r="E9" s="39"/>
      <c r="F9" s="39"/>
      <c r="G9" s="39"/>
    </row>
  </sheetData>
  <mergeCells count="3">
    <mergeCell ref="A9:D9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5"/>
  <sheetViews>
    <sheetView workbookViewId="0"/>
  </sheetViews>
  <sheetFormatPr defaultRowHeight="14.4" x14ac:dyDescent="0.55000000000000004"/>
  <cols>
    <col min="1" max="1" width="3" customWidth="1"/>
    <col min="2" max="2" width="8" customWidth="1"/>
    <col min="3" max="3" width="40" customWidth="1"/>
    <col min="4" max="4" width="34" customWidth="1"/>
    <col min="5" max="5" width="22" customWidth="1"/>
    <col min="6" max="6" width="3" customWidth="1"/>
  </cols>
  <sheetData>
    <row r="1" spans="1:7" ht="34" customHeight="1" x14ac:dyDescent="0.55000000000000004">
      <c r="A1" s="70" t="s">
        <v>196</v>
      </c>
      <c r="B1" s="71"/>
      <c r="C1" s="71"/>
      <c r="D1" s="71"/>
      <c r="E1" s="71"/>
      <c r="F1" s="71"/>
      <c r="G1" s="72"/>
    </row>
    <row r="2" spans="1:7" ht="20.05" customHeight="1" x14ac:dyDescent="0.55000000000000004">
      <c r="A2" s="89" t="s">
        <v>197</v>
      </c>
      <c r="B2" s="71"/>
      <c r="C2" s="71"/>
      <c r="D2" s="71"/>
      <c r="E2" s="71"/>
      <c r="F2" s="71"/>
      <c r="G2" s="72"/>
    </row>
    <row r="3" spans="1:7" ht="5.05" customHeight="1" x14ac:dyDescent="0.55000000000000004">
      <c r="A3" s="1"/>
      <c r="B3" s="1"/>
      <c r="C3" s="1"/>
      <c r="D3" s="1"/>
      <c r="E3" s="1"/>
      <c r="F3" s="1"/>
      <c r="G3" s="1"/>
    </row>
    <row r="4" spans="1:7" ht="22" customHeight="1" x14ac:dyDescent="0.55000000000000004">
      <c r="A4" s="113" t="s">
        <v>198</v>
      </c>
      <c r="B4" s="71"/>
      <c r="C4" s="71"/>
      <c r="D4" s="71"/>
      <c r="E4" s="71"/>
      <c r="F4" s="71"/>
      <c r="G4" s="72"/>
    </row>
    <row r="5" spans="1:7" ht="18" customHeight="1" x14ac:dyDescent="0.55000000000000004">
      <c r="A5" s="32"/>
      <c r="B5" s="32" t="s">
        <v>199</v>
      </c>
      <c r="C5" s="32" t="s">
        <v>47</v>
      </c>
      <c r="D5" s="32" t="s">
        <v>65</v>
      </c>
      <c r="E5" s="32" t="s">
        <v>200</v>
      </c>
      <c r="F5" s="32"/>
    </row>
    <row r="6" spans="1:7" ht="36" customHeight="1" x14ac:dyDescent="0.55000000000000004">
      <c r="A6" s="40"/>
      <c r="B6" s="41" t="s">
        <v>201</v>
      </c>
      <c r="C6" s="42" t="s">
        <v>202</v>
      </c>
      <c r="D6" s="43" t="s">
        <v>203</v>
      </c>
      <c r="E6" s="44" t="s">
        <v>36</v>
      </c>
      <c r="F6" s="40"/>
    </row>
    <row r="7" spans="1:7" ht="36" customHeight="1" x14ac:dyDescent="0.55000000000000004">
      <c r="A7" s="28"/>
      <c r="B7" s="45" t="s">
        <v>204</v>
      </c>
      <c r="C7" s="46" t="s">
        <v>205</v>
      </c>
      <c r="D7" s="43" t="s">
        <v>206</v>
      </c>
      <c r="E7" s="47" t="s">
        <v>207</v>
      </c>
      <c r="F7" s="28"/>
    </row>
    <row r="8" spans="1:7" ht="36" customHeight="1" x14ac:dyDescent="0.55000000000000004">
      <c r="A8" s="40"/>
      <c r="B8" s="41" t="s">
        <v>208</v>
      </c>
      <c r="C8" s="42" t="s">
        <v>209</v>
      </c>
      <c r="D8" s="43" t="s">
        <v>210</v>
      </c>
      <c r="E8" s="44" t="s">
        <v>211</v>
      </c>
      <c r="F8" s="40"/>
    </row>
    <row r="9" spans="1:7" ht="36" customHeight="1" x14ac:dyDescent="0.55000000000000004">
      <c r="A9" s="28"/>
      <c r="B9" s="45" t="s">
        <v>212</v>
      </c>
      <c r="C9" s="31" t="s">
        <v>213</v>
      </c>
      <c r="D9" s="43" t="s">
        <v>214</v>
      </c>
      <c r="E9" s="47" t="s">
        <v>215</v>
      </c>
      <c r="F9" s="28"/>
    </row>
    <row r="10" spans="1:7" ht="36" customHeight="1" x14ac:dyDescent="0.55000000000000004">
      <c r="A10" s="40"/>
      <c r="B10" s="41" t="s">
        <v>216</v>
      </c>
      <c r="C10" s="48" t="s">
        <v>217</v>
      </c>
      <c r="D10" s="43" t="s">
        <v>218</v>
      </c>
      <c r="E10" s="44" t="s">
        <v>219</v>
      </c>
      <c r="F10" s="40"/>
    </row>
    <row r="11" spans="1:7" ht="5.05" customHeight="1" x14ac:dyDescent="0.55000000000000004">
      <c r="A11" s="1"/>
      <c r="B11" s="1"/>
      <c r="C11" s="1"/>
      <c r="D11" s="1"/>
      <c r="E11" s="1"/>
      <c r="F11" s="1"/>
      <c r="G11" s="1"/>
    </row>
    <row r="12" spans="1:7" ht="22" customHeight="1" x14ac:dyDescent="0.55000000000000004">
      <c r="A12" s="112" t="s">
        <v>220</v>
      </c>
      <c r="B12" s="71"/>
      <c r="C12" s="71"/>
      <c r="D12" s="71"/>
      <c r="E12" s="71"/>
      <c r="F12" s="71"/>
      <c r="G12" s="72"/>
    </row>
    <row r="13" spans="1:7" ht="18" customHeight="1" x14ac:dyDescent="0.55000000000000004">
      <c r="A13" s="49"/>
      <c r="B13" s="49" t="s">
        <v>199</v>
      </c>
      <c r="C13" s="49" t="s">
        <v>5</v>
      </c>
      <c r="D13" s="49" t="s">
        <v>221</v>
      </c>
      <c r="E13" s="49" t="s">
        <v>222</v>
      </c>
      <c r="F13" s="49"/>
    </row>
    <row r="14" spans="1:7" ht="28" customHeight="1" x14ac:dyDescent="0.55000000000000004">
      <c r="A14" s="50"/>
      <c r="B14" s="51" t="s">
        <v>223</v>
      </c>
      <c r="C14" s="52" t="s">
        <v>224</v>
      </c>
      <c r="D14" s="53" t="s">
        <v>225</v>
      </c>
      <c r="E14" s="54" t="s">
        <v>226</v>
      </c>
      <c r="F14" s="50"/>
    </row>
    <row r="15" spans="1:7" ht="28" customHeight="1" x14ac:dyDescent="0.55000000000000004">
      <c r="A15" s="50"/>
      <c r="B15" s="51" t="s">
        <v>227</v>
      </c>
      <c r="C15" s="52" t="s">
        <v>228</v>
      </c>
      <c r="D15" s="53" t="s">
        <v>229</v>
      </c>
      <c r="E15" s="54" t="s">
        <v>226</v>
      </c>
      <c r="F15" s="50"/>
    </row>
    <row r="16" spans="1:7" ht="28" customHeight="1" x14ac:dyDescent="0.55000000000000004">
      <c r="A16" s="50"/>
      <c r="B16" s="51" t="s">
        <v>230</v>
      </c>
      <c r="C16" s="52" t="s">
        <v>231</v>
      </c>
      <c r="D16" s="53" t="s">
        <v>232</v>
      </c>
      <c r="E16" s="54" t="s">
        <v>226</v>
      </c>
      <c r="F16" s="50"/>
    </row>
    <row r="17" spans="1:7" ht="28" customHeight="1" x14ac:dyDescent="0.55000000000000004">
      <c r="A17" s="50"/>
      <c r="B17" s="51" t="s">
        <v>233</v>
      </c>
      <c r="C17" s="52" t="s">
        <v>234</v>
      </c>
      <c r="D17" s="53" t="s">
        <v>116</v>
      </c>
      <c r="E17" s="54" t="s">
        <v>226</v>
      </c>
      <c r="F17" s="50"/>
    </row>
    <row r="18" spans="1:7" ht="28" customHeight="1" x14ac:dyDescent="0.55000000000000004">
      <c r="A18" s="50"/>
      <c r="B18" s="51" t="s">
        <v>235</v>
      </c>
      <c r="C18" s="52" t="s">
        <v>236</v>
      </c>
      <c r="D18" s="53" t="s">
        <v>237</v>
      </c>
      <c r="E18" s="54" t="s">
        <v>226</v>
      </c>
      <c r="F18" s="50"/>
    </row>
    <row r="19" spans="1:7" ht="28" customHeight="1" x14ac:dyDescent="0.55000000000000004">
      <c r="A19" s="55"/>
      <c r="B19" s="56" t="s">
        <v>238</v>
      </c>
      <c r="C19" s="57" t="s">
        <v>239</v>
      </c>
      <c r="D19" s="58" t="s">
        <v>240</v>
      </c>
      <c r="E19" s="59" t="s">
        <v>226</v>
      </c>
      <c r="F19" s="55"/>
    </row>
    <row r="20" spans="1:7" ht="28" customHeight="1" x14ac:dyDescent="0.55000000000000004">
      <c r="A20" s="50"/>
      <c r="B20" s="51" t="s">
        <v>241</v>
      </c>
      <c r="C20" s="52" t="s">
        <v>242</v>
      </c>
      <c r="D20" s="53" t="s">
        <v>128</v>
      </c>
      <c r="E20" s="54" t="s">
        <v>226</v>
      </c>
      <c r="F20" s="50"/>
    </row>
    <row r="21" spans="1:7" ht="28" customHeight="1" x14ac:dyDescent="0.55000000000000004">
      <c r="A21" s="55"/>
      <c r="B21" s="56" t="s">
        <v>243</v>
      </c>
      <c r="C21" s="57" t="s">
        <v>244</v>
      </c>
      <c r="D21" s="58" t="s">
        <v>131</v>
      </c>
      <c r="E21" s="59" t="s">
        <v>226</v>
      </c>
      <c r="F21" s="55"/>
    </row>
    <row r="22" spans="1:7" ht="28" customHeight="1" x14ac:dyDescent="0.55000000000000004">
      <c r="A22" s="55"/>
      <c r="B22" s="56" t="s">
        <v>245</v>
      </c>
      <c r="C22" s="57" t="s">
        <v>246</v>
      </c>
      <c r="D22" s="58" t="s">
        <v>137</v>
      </c>
      <c r="E22" s="59" t="s">
        <v>226</v>
      </c>
      <c r="F22" s="55"/>
    </row>
    <row r="23" spans="1:7" ht="28" customHeight="1" x14ac:dyDescent="0.55000000000000004">
      <c r="A23" s="55"/>
      <c r="B23" s="56" t="s">
        <v>247</v>
      </c>
      <c r="C23" s="57" t="s">
        <v>248</v>
      </c>
      <c r="D23" s="58" t="s">
        <v>249</v>
      </c>
      <c r="E23" s="59" t="s">
        <v>226</v>
      </c>
      <c r="F23" s="55"/>
    </row>
    <row r="24" spans="1:7" ht="5.05" customHeight="1" x14ac:dyDescent="0.55000000000000004">
      <c r="A24" s="1"/>
      <c r="B24" s="1"/>
      <c r="C24" s="1"/>
      <c r="D24" s="1"/>
      <c r="E24" s="1"/>
      <c r="F24" s="1"/>
      <c r="G24" s="1"/>
    </row>
    <row r="25" spans="1:7" ht="52" customHeight="1" x14ac:dyDescent="0.55000000000000004">
      <c r="A25" s="111" t="s">
        <v>250</v>
      </c>
      <c r="B25" s="64"/>
      <c r="C25" s="64"/>
      <c r="D25" s="64"/>
      <c r="E25" s="64"/>
      <c r="F25" s="61"/>
      <c r="G25" s="39"/>
    </row>
  </sheetData>
  <mergeCells count="5">
    <mergeCell ref="A1:G1"/>
    <mergeCell ref="A12:G12"/>
    <mergeCell ref="A4:G4"/>
    <mergeCell ref="A2:G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VERİ GİRİŞİ</vt:lpstr>
      <vt:lpstr>HESAPLAMALAR &amp; KONTROL</vt:lpstr>
      <vt:lpstr>MUHASEBE KAYITLARI</vt:lpstr>
      <vt:lpstr>DENETCİ NOTLARI</vt:lpstr>
      <vt:lpstr>BELGE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Aydın DEDE</cp:lastModifiedBy>
  <dcterms:created xsi:type="dcterms:W3CDTF">2026-04-06T16:42:59Z</dcterms:created>
  <dcterms:modified xsi:type="dcterms:W3CDTF">2026-04-06T16:50:38Z</dcterms:modified>
</cp:coreProperties>
</file>