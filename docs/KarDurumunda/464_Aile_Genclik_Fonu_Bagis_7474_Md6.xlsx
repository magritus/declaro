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timatglobal365-my.sharepoint.com/personal/aydindede_itimatglobal_com/Documents/Desktop/GEM/KARIN BULUNMASI HALİNDE/"/>
    </mc:Choice>
  </mc:AlternateContent>
  <xr:revisionPtr revIDLastSave="0" documentId="8_{351544D6-28C2-4749-BCB6-DF2C25D4D5B8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VERİ GİRİŞİ" sheetId="1" r:id="rId1"/>
    <sheet name="HESAPLAMALAR &amp; KONTROL" sheetId="2" r:id="rId2"/>
    <sheet name="MUHASEBE KAYITLARI" sheetId="3" r:id="rId3"/>
    <sheet name="DENETCİ NOTLARI" sheetId="4" r:id="rId4"/>
    <sheet name="BELGE LISTESI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2" l="1"/>
  <c r="D7" i="2"/>
  <c r="D6" i="2"/>
  <c r="E55" i="1"/>
  <c r="D44" i="1"/>
  <c r="C49" i="1" s="1"/>
  <c r="C44" i="1"/>
  <c r="C48" i="1" s="1"/>
  <c r="E43" i="1"/>
  <c r="F43" i="1" s="1"/>
  <c r="E42" i="1"/>
  <c r="F42" i="1" s="1"/>
  <c r="E41" i="1"/>
  <c r="F41" i="1" s="1"/>
  <c r="E40" i="1"/>
  <c r="F40" i="1" s="1"/>
  <c r="E39" i="1"/>
  <c r="F39" i="1" s="1"/>
  <c r="E38" i="1"/>
  <c r="E44" i="1" s="1"/>
  <c r="C50" i="1" s="1"/>
  <c r="C31" i="1"/>
  <c r="E14" i="1"/>
  <c r="D5" i="2" s="1"/>
  <c r="F38" i="1" l="1"/>
  <c r="F44" i="1" s="1"/>
  <c r="C52" i="1" s="1"/>
</calcChain>
</file>

<file path=xl/sharedStrings.xml><?xml version="1.0" encoding="utf-8"?>
<sst xmlns="http://schemas.openxmlformats.org/spreadsheetml/2006/main" count="368" uniqueCount="283">
  <si>
    <t>464 – AİLE VE GENÇLİK FONUNA BAĞIŞ VE YARDIMLAR | 7474 s.K. MADDE 6 | TAMAMININ İNDİRİMİ | YMM TASDİK</t>
  </si>
  <si>
    <t>Beyanname 464 | GİB KV Beyan Rehberi Mart 2026 (No:606) | ✗ YİAKV MATRAHINDA DÜŞÜLEMEZ</t>
  </si>
  <si>
    <t xml:space="preserve">  7474 s.K. MADDE 6 KAPSAMI: Aile ve Gençlik Fonu'na yapılan bağış ve yardımların tamamı kurumlar vergisi matrahından indirilir.
  ALICI: Yalnızca Aile ve Gençlik Fonu (7474 sayılı Kanunla kurulan).
  İNDİRİM: TAMAMININ İNDİRİMİ — matrahı aşan kısım devredilemez.
  BAĞIŞ ŞEKLİ: Nakdi (banka transferi) veya ayni (mal/hizmet).
  KANUN: 7474 sayılı Kanun Madde 6 — KVK Md.10'a eklenen özel düzenleme.
  ★ YİAKV: DÜŞÜLEMEZ — Bağış/Yardım kodları gibi YİAKV E.11 bilgi satırı.</t>
  </si>
  <si>
    <t xml:space="preserve">  ✗ YİAKV (KVK Md.32/C): 464 Aile ve Gençlik Fonu Bağışı YİAKV MATRAHINDA DÜŞÜLEMEZ. YİAKV Çalışma Kâğıdı E.11 bilgi satırında gösterilir — diğer bağış/yardım kodlarıyla aynı kategori.</t>
  </si>
  <si>
    <t>A0. KAPSAM VE NİTELİK UYGUNLUK ÖN KONTROLÜ — 7474 s.K. Md.6</t>
  </si>
  <si>
    <t>Kontrol Sorusu</t>
  </si>
  <si>
    <t>Yanıt</t>
  </si>
  <si>
    <t>YMM Tasdik Notu</t>
  </si>
  <si>
    <t>A0.1  ★ Bağış/yardım Aile ve Gençlik Fonu'na mı yapıldı?</t>
  </si>
  <si>
    <t>EVET</t>
  </si>
  <si>
    <t>7474 s.K. Md.6 yalnızca Aile ve Gençlik Fonu'na yapılan bağış ve yardımları kapsar. Başka bir fon, dernek veya vakfa yapılan bağışlar bu kod kapsamında değildir.</t>
  </si>
  <si>
    <t>A0.2  ★ Bağış/yardım FİİLEN yapıldı mı? (Nakdi: Banka — Ayni: Teslim belgesi)</t>
  </si>
  <si>
    <t>Taahhüt edilen ama henüz yapılmayan bağış indirime konu edilemez. Nakdi bağışlarda banka EFT/havale dekontu zorunludur.</t>
  </si>
  <si>
    <t>A0.3  Bağış kabul belgesi / makbuz Aile ve Gençlik Fonu'ndan alındı mı?</t>
  </si>
  <si>
    <t>Aile ve Gençlik Fonu'ndan alınan resmi makbuz veya bağış kabul yazısı. Bu belge olmadan 464 indirimi belgelenemez.</t>
  </si>
  <si>
    <t>A0.4  Ayni bağış varsa değerleme (maliyet/defter değeri) doğru yapıldı mı?</t>
  </si>
  <si>
    <t>Ayni bağışlarda maliyet veya net defter değeri esas alınır (piyasa değeri değil). KDV hesaplanmaz — KDVK Md.17 istisna kapsamında.</t>
  </si>
  <si>
    <t>A0.5  ✗ YİAKV E.11'de bilgi satırı olarak gösterildi mi?</t>
  </si>
  <si>
    <t>464 YİAKV matrahından düşülemez — E.11 yalnızca bilgi amaçlıdır. Diğer bağış/yardım kodlarıyla (402, 460, 461 vb.) aynı E.11 kategorisi.</t>
  </si>
  <si>
    <t>A0.6  YMM Tasdik Raporu gereksinimi değerlendirildi mi?</t>
  </si>
  <si>
    <t>&gt;=500.000 TL → YMM raporu.</t>
  </si>
  <si>
    <t>A0.7  Tasdik Uygunluk Sonucu</t>
  </si>
  <si>
    <t>★ A0.1 alıcı (AGF) | A0.2 fiili yapım | A0.3 makbuz — üçü kritik.</t>
  </si>
  <si>
    <t>A. GENEL BİLGİLER</t>
  </si>
  <si>
    <t>Kurumun Unvanı</t>
  </si>
  <si>
    <t>Tam ticaret unvanı</t>
  </si>
  <si>
    <t>VKN</t>
  </si>
  <si>
    <t>10 haneli VKN</t>
  </si>
  <si>
    <t>Hesap Dönemi</t>
  </si>
  <si>
    <t>01.01.2025 – 31.12.2025</t>
  </si>
  <si>
    <t>KV Oranı (%)</t>
  </si>
  <si>
    <t>2025: %25</t>
  </si>
  <si>
    <t>Bağış Alıcısı</t>
  </si>
  <si>
    <t>Aile ve Gençlik Fonu (7474 s.K. ile kurulan)</t>
  </si>
  <si>
    <t>Dosya Referansı</t>
  </si>
  <si>
    <t>YMM-2025/464-01</t>
  </si>
  <si>
    <t>B. BAĞIŞ VE YARDIM DETAYLARI — 7474 s.K. Md.6 / AİLE VE GENÇLİK FONU</t>
  </si>
  <si>
    <t>Parametre</t>
  </si>
  <si>
    <t>Değer</t>
  </si>
  <si>
    <t>Açıklama</t>
  </si>
  <si>
    <t>Kaynak</t>
  </si>
  <si>
    <t>B.1  Bağış Şekli</t>
  </si>
  <si>
    <t>Nakdi (Banka Transferi/EFT/Havale)</t>
  </si>
  <si>
    <t>Nakdi → Banka EFT/havale. Ayni → Teslim tutanağı + Değerleme.</t>
  </si>
  <si>
    <t>Belge</t>
  </si>
  <si>
    <t>B.2  Bağış Tarihi</t>
  </si>
  <si>
    <t>Bağışın fiilen yapıldığı tarih (nakdi: ödeme, ayni: teslim).</t>
  </si>
  <si>
    <t>Banka/Tutanak</t>
  </si>
  <si>
    <t>B.3  ★ Nakdi Bağış Tutarı (TL)</t>
  </si>
  <si>
    <t>Banka yoluyla Aile ve Gençlik Fonu'na ödenen tutar.</t>
  </si>
  <si>
    <t>Banka dekontu</t>
  </si>
  <si>
    <t>B.4  Ayni Bağış Değeri (TL — Maliyet/Net Defter Değeri)</t>
  </si>
  <si>
    <t>Ayni bağış varsa maliyet veya net defter değeri — piyasa değeri değil.</t>
  </si>
  <si>
    <t>Stok/sabit kıymet</t>
  </si>
  <si>
    <t>B.5  ★ TOPLAM BAĞIŞ (B.3 + B.4)</t>
  </si>
  <si>
    <t>Nakdi + Ayni toplam — beyanname 464 tutarının dayanağı.</t>
  </si>
  <si>
    <t>Formül</t>
  </si>
  <si>
    <t>B.6  ★ Aile ve Gençlik Fonu Bağış Makbuzu / Kabul Belgesi</t>
  </si>
  <si>
    <t>AGF'den alınan resmi makbuz veya bağış kabul yazısı — zorunlu belge.</t>
  </si>
  <si>
    <t>AGF</t>
  </si>
  <si>
    <t>B.7  Birden Fazla Ödeme Varsa Son Ödeme Tarihi</t>
  </si>
  <si>
    <t>Taksitli bağışlarda son ödeme tarihi — tüm ödemeler aynı dönem içinde olmalı.</t>
  </si>
  <si>
    <t>Banka</t>
  </si>
  <si>
    <t>C. BAĞIŞ VE YARDIM TABLOSU — AİLE VE GENÇLİK FONU (BEYANNAME 464)</t>
  </si>
  <si>
    <t xml:space="preserve">  Her bağış kalemi için ayrı satır (taksitli ödemeler dahil). SÜTUN 3 (mor çerçeve): Nakdi bağış. SÜTUN 4: Ayni bağış değeri. SÜTUN 5: Toplam = 3+4 (otomatik). SÜTUN 6: İndirim = Toplam (tamamı — otomatik).</t>
  </si>
  <si>
    <t>Bağış Tarihi</t>
  </si>
  <si>
    <t>Açıklama / Makbuz No</t>
  </si>
  <si>
    <t>Nakdi (TL)</t>
  </si>
  <si>
    <t>Ayni Değer (TL)</t>
  </si>
  <si>
    <t>Toplam (TL)</t>
  </si>
  <si>
    <t>İndirim (TL)</t>
  </si>
  <si>
    <t>Ödeme Belgesi</t>
  </si>
  <si>
    <t>TOPLAM</t>
  </si>
  <si>
    <t>← Beyanname 464 (Tamamının İndirimi)</t>
  </si>
  <si>
    <t>D. BAĞIŞ VE YARDIM İNDİRİMİ ÖZET — BEYANNAME 464 (7474 s.K. Md.6)</t>
  </si>
  <si>
    <t>Hesap Kalemi</t>
  </si>
  <si>
    <t>Tutar (TL)</t>
  </si>
  <si>
    <t>Not</t>
  </si>
  <si>
    <t>D.1  Toplam Nakdi Bağış (C Sütun 3)</t>
  </si>
  <si>
    <t>Banka yoluyla yapılan nakdi toplam</t>
  </si>
  <si>
    <t>D.2  Toplam Ayni Bağış Değeri (C Sütun 4)</t>
  </si>
  <si>
    <t>Maliyet/net defter değeri</t>
  </si>
  <si>
    <t>D.3  TOPLAM BAĞIŞ (D.1 + D.2)</t>
  </si>
  <si>
    <t>C tablosu toplam</t>
  </si>
  <si>
    <t>D.4  İndirim Oranı</t>
  </si>
  <si>
    <t>TAMAMININ İNDİRİMİ — Matrahı aşan devredilmez</t>
  </si>
  <si>
    <t>7474 s.K. Md.6: Tamamının indirimi — 402 ile aynı mekanizma</t>
  </si>
  <si>
    <t>7474 s.K. Md.6</t>
  </si>
  <si>
    <t>D.5  ★ BEYANNAME 464 = TOPLAM BAĞIŞ (D.3)</t>
  </si>
  <si>
    <t>→ Beyanname 464 | Kazancın Bulunması Halinde</t>
  </si>
  <si>
    <t>D.6  YİAKV DURUMU — DÜŞÜLEMEZ</t>
  </si>
  <si>
    <t>YİAKV E.11 Bilgi ✗</t>
  </si>
  <si>
    <t>Tüm bağış/yardım kodları YİAKV matrahından düşülemez</t>
  </si>
  <si>
    <t>KVK Md.32/C</t>
  </si>
  <si>
    <t>E.1  AİLE VE GENÇLİK FONU BAĞIŞI → Beyanname Satır 464 (Kazancın Bulunması Halinde)</t>
  </si>
  <si>
    <t>D.5 = Toplam Bağış Tamamı | 7474 s.K. Md.6 — Matrahı aşan devredilmez</t>
  </si>
  <si>
    <t xml:space="preserve">  ★ KRİTİK UYARILAR:
(1) ALICI: Yalnızca Aile ve Gençlik Fonu — başka fon/dernek/vakıf → Bu kod değil.
(2) FİİLİ YAPIM: Banka dekontu zorunlu. Taahhüt edilen ama yapılmayan bağış kapsam dışı.
(3) MAKBUZ: AGF'den alınan resmi makbuz/kabul belgesi zorunludur.
(4) DEVRETMEYİN: Matrahı aşan kısım sonraki dönemlere devredilmez.
(5) YİAKV ✗: DÜŞÜLEMEZ — E.11 bilgi satırı (402, 460, 461 ile aynı kategori).</t>
  </si>
  <si>
    <t>464 – AİLE VE GENÇLİK FONU BAĞIŞI 7474 s.K. Md.6 | HESAPLAMALAR VE DENETİM</t>
  </si>
  <si>
    <t>Tamamının İndirimi | Yalnızca AGF | Banka Dekontu + Makbuz | Beyanname 464 | ✗ YİAKV E.11</t>
  </si>
  <si>
    <t>A. TASDİK ÖZETİ</t>
  </si>
  <si>
    <t>A0 Uygunluğu</t>
  </si>
  <si>
    <t>OK ise devam</t>
  </si>
  <si>
    <t>Toplam Nakdi Bağış (D.1)</t>
  </si>
  <si>
    <t>Banka yoluyla</t>
  </si>
  <si>
    <t>Toplam Ayni Bağış (D.2)</t>
  </si>
  <si>
    <t>Maliyet değeri</t>
  </si>
  <si>
    <t>464 İNDİRİM (D.5)</t>
  </si>
  <si>
    <t>YİAKV</t>
  </si>
  <si>
    <t>✗ DÜŞÜLEMEZ (E.11 Bilgi)</t>
  </si>
  <si>
    <t>402/460/461 ile aynı kategori</t>
  </si>
  <si>
    <t>B. 7474 SAYILI KANUN MADDE 6 — AİLE VE GENÇLİK FONU KAPSAMI</t>
  </si>
  <si>
    <t xml:space="preserve">  7474 SAYILI KANUN MADDE 6 KAPSAMI:
  Kurumlar vergisi mükellefleri tarafından Aile ve Gençlik Fonu'na yapılan bağış ve yardımların tamamı kurumlar vergisi beyannamesi üzerinden matrahtan indirilir.
  AİLE VE GENÇLİK FONU: 7474 sayılı Kanunla kurulan ve Aile ve Sosyal Hizmetler Bakanlığı koordinasyonunda yürütülen özel fon. Amaç: Aile ve gençlik odaklı sosyal hizmetlerin desteklenmesi.
  İNDİRİM KURALI:
  • Tamamının indirimi — sınır yok (matrah aşılana kadar)
  • Matrahı aşan kısım sonraki dönemlere devredilmez
  • Nakdi (banka) + Ayni (maliyet değeri) bağışlar kapsama girer
  402 (KVK Md.10/1-c) ile karşılaştırma:
  402: Kamu idarelerine okul/sağlık/yurt inşası amacıyla. 464: AGF'ye — özel fon.
  Her ikisi de 'tamamının indirimi' ve 'devredilemez' ve 'YİAKV E.11'.</t>
  </si>
  <si>
    <t>C. BAĞIŞ/YARDIM KODLARI KARŞILAŞTIRMA — 402/460/461/464</t>
  </si>
  <si>
    <t>Kod</t>
  </si>
  <si>
    <t>Konu</t>
  </si>
  <si>
    <t>Alıcı</t>
  </si>
  <si>
    <t>Oran</t>
  </si>
  <si>
    <t>Devreden</t>
  </si>
  <si>
    <t>Beyanname</t>
  </si>
  <si>
    <t>402</t>
  </si>
  <si>
    <t>KVK Md.10/1-c</t>
  </si>
  <si>
    <t>Kamu idaresi/KYD/Vakıf</t>
  </si>
  <si>
    <t>Tamamı</t>
  </si>
  <si>
    <t>Devredilmez</t>
  </si>
  <si>
    <t>E.11 ✗</t>
  </si>
  <si>
    <t>460</t>
  </si>
  <si>
    <t>KVK Md.10/1-b</t>
  </si>
  <si>
    <t>Profesyonel Spor</t>
  </si>
  <si>
    <t>%50</t>
  </si>
  <si>
    <t>461</t>
  </si>
  <si>
    <t>Amatör Spor</t>
  </si>
  <si>
    <t>Tamamı (%100)</t>
  </si>
  <si>
    <t>464</t>
  </si>
  <si>
    <t>7474 Md.6</t>
  </si>
  <si>
    <t>Aile ve Gençlik Fonu</t>
  </si>
  <si>
    <t>D. DENETİM KONTROL LİSTESİ (K1–K11)</t>
  </si>
  <si>
    <t>Kontrol</t>
  </si>
  <si>
    <t>Sonuç</t>
  </si>
  <si>
    <t>K1</t>
  </si>
  <si>
    <t>★ Bağış yalnızca Aile ve Gençlik Fonu'na mı yapıldı?</t>
  </si>
  <si>
    <t>Başka alıcı → Bu kod değil.</t>
  </si>
  <si>
    <t>Uygun/Eksik/Risk</t>
  </si>
  <si>
    <t>K2</t>
  </si>
  <si>
    <t>★ Bağış fiilen yapıldı mı? (Nakdi: Banka — Ayni: Teslim tutanağı)</t>
  </si>
  <si>
    <t>Banka dekontu/tutanak zorunlu.</t>
  </si>
  <si>
    <t>K3</t>
  </si>
  <si>
    <t>★ AGF'den resmi makbuz/bağış kabul belgesi alındı mı?</t>
  </si>
  <si>
    <t>Makbuz olmadan 464 belgelenemez.</t>
  </si>
  <si>
    <t>K4</t>
  </si>
  <si>
    <t>Ayni bağış varsa maliyet/net defter değeri esas alındı mı?</t>
  </si>
  <si>
    <t>Piyasa değeri değil — maliyet.</t>
  </si>
  <si>
    <t>K5</t>
  </si>
  <si>
    <t>C tablosu toplamı D.3 ile mutabık mı?</t>
  </si>
  <si>
    <t>E44 = D.3 eşitliği.</t>
  </si>
  <si>
    <t>K6</t>
  </si>
  <si>
    <t>★ İndirim matrahı aşıyor mu? (Devredilemez — dikkat!)</t>
  </si>
  <si>
    <t>Aşan kısım beyanname notu.</t>
  </si>
  <si>
    <t>K7</t>
  </si>
  <si>
    <t>✗ YİAKV E.11'de bilgi satırı olarak gösterildi mi?</t>
  </si>
  <si>
    <t>464 DÜŞÜLEMEZ — E.11 bilgi.</t>
  </si>
  <si>
    <t>K8</t>
  </si>
  <si>
    <t>Bağış muhasebede önce gider → KKEG → 464 indirimi zinciri doğru mu?</t>
  </si>
  <si>
    <t>İki adım: Gider + KKEG + Beyanname.</t>
  </si>
  <si>
    <t>K9</t>
  </si>
  <si>
    <t>Birden fazla ödeme varsa her biri C tablosunda ayrı satırda mı?</t>
  </si>
  <si>
    <t>Her ödeme ayrı banka dekontu.</t>
  </si>
  <si>
    <t>K10</t>
  </si>
  <si>
    <t>Beyanname 464 'Kazancın Bulunması Halinde' bölümünde mi?</t>
  </si>
  <si>
    <t>Zarar döneminde uygulanamaz.</t>
  </si>
  <si>
    <t>K11</t>
  </si>
  <si>
    <t>YMM Tasdik Raporu (49 No.lu Tebliğ) değerlendirildi mi?</t>
  </si>
  <si>
    <t>464 – AİLE VE GENÇLİK FONU BAĞIŞI 7474 s.K. Md.6 | MUHASEBE KAYITLARI</t>
  </si>
  <si>
    <t>KAYIT 1 — NAKDİ BAĞIŞ (EFT/HAVALE — AİLE VE GENÇLİK FONU)</t>
  </si>
  <si>
    <t>Tarih</t>
  </si>
  <si>
    <t>Hesap</t>
  </si>
  <si>
    <t>Dr</t>
  </si>
  <si>
    <t>Kr</t>
  </si>
  <si>
    <t>Ref</t>
  </si>
  <si>
    <t>[Bağış Tarihi]</t>
  </si>
  <si>
    <t>689 Diğer Olağan Dışı Gid. / 770 Genel Yön.</t>
  </si>
  <si>
    <t>AGF bağışı — gider kaydı</t>
  </si>
  <si>
    <t>[Tutar]</t>
  </si>
  <si>
    <t>—</t>
  </si>
  <si>
    <t>AGF Makbuzu</t>
  </si>
  <si>
    <t>102 Bankalar</t>
  </si>
  <si>
    <t>EFT/Havale ile AGF hesabına aktarım</t>
  </si>
  <si>
    <t>KAYIT 2 — AYNİ BAĞIŞ (MAL/EKİPMAN TESLİMİ)</t>
  </si>
  <si>
    <t>[Teslim]</t>
  </si>
  <si>
    <t>689 Diğer Olağan Dışı Gid.</t>
  </si>
  <si>
    <t>Ayni bağış — maliyet/net defter değeri</t>
  </si>
  <si>
    <t>[Maliyet]</t>
  </si>
  <si>
    <t>Teslim tutanağı</t>
  </si>
  <si>
    <t>150 İlk Madde / 255 Demirbaş vb.</t>
  </si>
  <si>
    <t>Bağışlanan varlık hesabından çıkış</t>
  </si>
  <si>
    <t>KAYIT 3 — DÖNEM SONU: KKEG + BEYANNAME 464 İNDİRİMİ</t>
  </si>
  <si>
    <t>[Dönem Sonu]</t>
  </si>
  <si>
    <t>951 KKEG</t>
  </si>
  <si>
    <t>Bağış gideri KKEG'e alınır (matrahı artırır)</t>
  </si>
  <si>
    <t>Beyanname eki</t>
  </si>
  <si>
    <t>952 KKEG Karşılığı</t>
  </si>
  <si>
    <t>KKEG karşılığı kaydı</t>
  </si>
  <si>
    <t xml:space="preserve">  DÖNEM SONU NET ETKİ — BEYANNAME 464:
  ① Bağış yapıldığında → GİDER (689/770) kaydedildi.
  ② Bağış KKEG'e alındı → KV matrahı artar.
  ③ Beyanname 464 → Bağış tutarının TAMAMININ İNDİRİMİ → Matrahtan düşülür.
  ④ NET ETKİ: AGF bağışının tamamı matrahtan düşülmüş olur.
  ⑤ SINIR: Matrahı aşan kısım devredilemez — beyanname notu eklenmelidir.
  ⑥ YİAKV: ✗ DÜŞÜLEMEZ — E.11 bilgi satırı.</t>
  </si>
  <si>
    <t>464 – AİLE VE GENÇLİK FONU BAĞIŞI 7474 s.K. Md.6 | DENETÇİ NOTLARI</t>
  </si>
  <si>
    <t>GİB KV Beyan Rehberi Mart 2026 (No:606) | 7474 s.K. Md.6 | AGF | Tamamının İndirimi | YİAKV E.11</t>
  </si>
  <si>
    <t>Mesleki Değerlendirme / Tasdik Standardı</t>
  </si>
  <si>
    <t>Mevzuat / Kaynak</t>
  </si>
  <si>
    <t>N1</t>
  </si>
  <si>
    <t>7474 s.K. Md.6 — Aile ve Gençlik Fonu Bağışı Tanım ve Kapsam</t>
  </si>
  <si>
    <t>AİLE VE GENÇLİK FONU BAĞIŞI — 7474 s.K. MADDE 6:
7474 sayılı Kanunla kurulan Aile ve Gençlik Fonu'na yapılan bağış ve yardımların
tamamı kurumlar vergisi matrahından indirilir.
ALICI: Yalnızca Aile ve Gençlik Fonu (AGF). Başka bir fon/kurum → Bu kod değil.
İNDİRİM KURALI:
• Tamamının indirimi (nakdi + ayni)
• Matrahı aşan kısım sonraki dönemlere devredilmez
• Nakdi: Banka EFT/havale dekontu zorunlu
• Ayni: Teslim tutanağı + maliyet/net defter değeri
YİAKV: ✗ DÜŞÜLEMEZ (E.11 bilgi) | BEYANNAME: 464</t>
  </si>
  <si>
    <t>7474 s.K. Md.6 | GİB KV Beyan Reh. 2026 (No:606)</t>
  </si>
  <si>
    <t>N2</t>
  </si>
  <si>
    <t>★ Aile ve Gençlik Fonu Kimliği ve Bağış Belgesi</t>
  </si>
  <si>
    <t>AİLE VE GENÇLİK FONU (AGF):
7474 sayılı Kanunla kurulan özel fon.
Aile ve Sosyal Hizmetler Bakanlığı koordinasyonunda yönetilir.
Aile ve gençlik odaklı sosyal hizmetlerin finansmanı için kullanılır.
BAĞIŞ BELGESİ:
AGF tarafından verilmiş resmi makbuz veya bağış kabul yazısı zorunludur.
Bu belge olmadan 464 indirimi belgelenemez.
DİKKAT: AGF'ye yapılan bağışları KVK Md.10/1-c (402) kapsamındaki
diğer fon/vakıf bağışlarıyla karıştırmayın.
7474 s.K. Md.6 → Beyanname 464 (özel düzenleme)
KVK Md.10/1-c → Beyanname 402 (genel bağış düzenlemesi)</t>
  </si>
  <si>
    <t>7474 s.K. | AGF Mevzuatı | GİB Rehberi No:606</t>
  </si>
  <si>
    <t>N3</t>
  </si>
  <si>
    <t>Matrah Sınırı — Devreden Bağış Yok</t>
  </si>
  <si>
    <t>MATRAH SINIRI:
Bağış toplamı KV matrahını aşamaz — aşan kısım indirilemez ve
sonraki dönemlere DEVREDİLEMEZ.
KARŞILAŞTIRMA:
• 464 (AGF Bağışı — 7474 Md.6): Tamamı, devredilmez.
• 402 (KVK Md.10/1-c Bağışı): Tamamı, devredilmez.
• 283 (Ar-Ge İndirimi): Tamamı, devredilir (YİAKV D.10 DÜŞÜLEBİLİR).
• 413 (GSF): %10/%20 sınırı, devredilmez.
YMM YAKLAŞIMI:
Bağış &gt; Matrah → İndirim matrahla sınırlandır.
'Matrahı aşan [X] TL kısım devredilemez.' notu beyanname ekine eklenmeli.</t>
  </si>
  <si>
    <t>7474 s.K. Md.6 | GİB KV Beyan Reh. No:606</t>
  </si>
  <si>
    <t>N4</t>
  </si>
  <si>
    <t>YİAKV ile İlişki — E.11 Kategorisi</t>
  </si>
  <si>
    <t>YİAKV (KVK Md.32/C) VE AGF BAĞIŞI:
✗ 464 (7474 Md.6 AGF Bağışı): DÜŞÜLEMEZ → YİAKV E.11
YİAKV E.11 KATEGORİSİ — TÜMÜ DÜŞÜLEMEZ:
✗ 402 KVK Md.10/1-c Bağışı → E.11
✗ 460 Profesyonel Spor Sponsorluğu → E.11
✗ 461 Amatör Spor Sponsorluğu → E.11
✗ 464 AGF Bağışı (7474 Md.6) → E.11
DÜŞÜLEBILIR OLANLAR (Karıştırılmasın):
✓ 283 Ar-Ge İndirimi → D.10
✓ 455 Tasarım İndirimi → D.10
✓ 401 Risturn → D.4
✓ 413 GSF → D.11
YMM: YİAKV E.11'e 402 + 460 + 461 + 464 toplamı yazılır.</t>
  </si>
  <si>
    <t>KVK Md.32/C | GİB Rehberi No:607 | No:606</t>
  </si>
  <si>
    <t>N5</t>
  </si>
  <si>
    <t>49 No.lu Tebliğ + YMM Tasdik Dil Standardı</t>
  </si>
  <si>
    <t>KULLANIN:
'...7474 sayılı Kanunun 6. Maddesi kapsamında Aile ve Gençlik Fonu'na
[Bağış Tarihi] tarihinde banka yoluyla ödenen [Nakdi TL] TL nakdi bağış
ile [Ayni TL] TL değerindeki ayni bağışın tamamı olan [Toplam TL] TL,
kurumlar vergisi matrahından indirilmiştir. Söz konusu tutarın [Aşan TL] TL'
lik kısmı matrahı aşması nedeniyle indirilememiş olup sonraki dönemlere
devredilmemiştir. 464 indirimi YİAKV matrahından indirilmemiştir.'
(Matrahı aşmıyorsa son cümleyi düşürün.)
KULLANMAYIN:
'...AGF dışı alıcıya yapılan bağış 464 kapsamında indirilmiştir.' (Yanlış alıcı)
'...464 YİAKV matrahından düşülmüştür.' (YANLIŞ)
'...Matrahı aşan kısım sonraki dönemlere devredilmiştir.' (Devredilmez!)
KRİTİK RİSKLER:
(1) AGF dışı alıcıya yapılan bağışı 464 kapsamında göstermek.
(2) Makbuz olmadan 464 uygulamak.
(3) Matrahı aşan kısmı devretmeye çalışmak.
(4) YİAKV E.11'e yazmayı unutmak.</t>
  </si>
  <si>
    <t>49 No.lu Tebliğ | 7474 s.K. Md.6 | SM-SMMM-YMM K. Md.12</t>
  </si>
  <si>
    <t xml:space="preserve">  GİB KV BEYAN REHBERİ MART 2026 (No:606) KAPANIŞ (464 — AGF): 7474 s.K. Md.6 — Yalnızca Aile ve Gençlik Fonu alıcısı. Tamamının indirimi, matrahı aşan kısım devredilmez. Nakdi: Banka dekontu + AGF makbuzu. Ayni: Teslim tutanağı + maliyet değeri. ✗ YİAKV E.11. YMM: SM-SMMM-YMM K. Md.12.</t>
  </si>
  <si>
    <t>464 – AİLE VE GENÇLİK FONU BAĞIŞI 7474 s.K. Md.6 | BELGE LİSTESİ | YMM TASDİK</t>
  </si>
  <si>
    <t>AGF Makbuzu | Banka Dekontu | Ayni Teslim Tutanağı | YİAKV E.11</t>
  </si>
  <si>
    <t>KATEGORİ 1 — ZORUNLU BELGELER</t>
  </si>
  <si>
    <t>No</t>
  </si>
  <si>
    <t>Temin</t>
  </si>
  <si>
    <t>1</t>
  </si>
  <si>
    <t>★ Aile ve Gençlik Fonu Resmi Makbuzu / Bağış Kabul Belgesi</t>
  </si>
  <si>
    <t>AGF tarafından düzenlenen resmi bağış makbuzu veya kabul yazısı. Bağış tutarı, tarihi ve şekli (nakdi/ayni) belirtilmeli. Bu belge olmadan 464 indirimi belgelenemez.</t>
  </si>
  <si>
    <t>Aile ve Gençlik Fonu (AGF)</t>
  </si>
  <si>
    <t>2</t>
  </si>
  <si>
    <t>★ Nakdi Bağış — Banka EFT/Havale Dekontu</t>
  </si>
  <si>
    <t>AGF'nin banka hesabına yapılan nakdi ödemenin dekont belgesi. Her ödeme için ayrı dekont. Nakit ödeme kabul görmeyebilir.</t>
  </si>
  <si>
    <t>Banka / Şirket hesabı</t>
  </si>
  <si>
    <t>3</t>
  </si>
  <si>
    <t>Ayni Bağış — Teslim-Tesellüm Tutanağı + Değerleme Notu</t>
  </si>
  <si>
    <t>Ayni bağış varsa imzalı teslim tutanağı. Teslim edilen varlıkların listesi ve maliyet/net defter değeri. KDV hesaplanmaz (KDVK Md.17 istisna).</t>
  </si>
  <si>
    <t>Teslim sırasında düzenlenir</t>
  </si>
  <si>
    <t>4</t>
  </si>
  <si>
    <t>KV Beyannamesi 464 Satırı + YİAKV E.11 Bilgi</t>
  </si>
  <si>
    <t>Beyanname 464 = D.5 tutarı. YİAKV E.11'de diğer bağış/yardım kodlarıyla birlikte bilgi satırı.</t>
  </si>
  <si>
    <t>GİB e-Beyanname + YİAKV ÇK</t>
  </si>
  <si>
    <t>5</t>
  </si>
  <si>
    <t>Matrahı Aşan Kısım Var İse Beyanname Notu</t>
  </si>
  <si>
    <t>Bağış &gt; KV matrahı durumunda: 'Matrahı aşan [X] TL kısım sonraki dönemlere devredilmemiştir.' beyanname notu.</t>
  </si>
  <si>
    <t>YMM tarafından hazırlanır</t>
  </si>
  <si>
    <t>KATEGORİ 2 — YMM TASDİK KONTROL SORULARI</t>
  </si>
  <si>
    <t>Beklenen Sonuç</t>
  </si>
  <si>
    <t>YMM Aksiyonu</t>
  </si>
  <si>
    <t>S1</t>
  </si>
  <si>
    <t>★ Bağış yalnızca AGF'ye mi yapıldı? (7474 s.K. Md.6)</t>
  </si>
  <si>
    <t>YMM kontrolü</t>
  </si>
  <si>
    <t>S2</t>
  </si>
  <si>
    <t>★ Bağış fiilen yapıldı mı? (Banka dekontu)</t>
  </si>
  <si>
    <t>Taahhüt değil — fiili ödeme.</t>
  </si>
  <si>
    <t>S3</t>
  </si>
  <si>
    <t>★ AGF'den resmi makbuz alındı mı?</t>
  </si>
  <si>
    <t>Makbuz zorunlu — belgesiz 464 uygulanamaz.</t>
  </si>
  <si>
    <t>S4</t>
  </si>
  <si>
    <t>Ayni bağış varsa maliyet değeri esas alındı mı?</t>
  </si>
  <si>
    <t>Piyasa değeri değil.</t>
  </si>
  <si>
    <t>S5</t>
  </si>
  <si>
    <t>★ İndirim matrahı aşıyor mu? (Devredilmez!)</t>
  </si>
  <si>
    <t>S6</t>
  </si>
  <si>
    <t>C tablosu toplamı D.5 ile mutabık mı?</t>
  </si>
  <si>
    <t>F44 = D.5 eşitliği.</t>
  </si>
  <si>
    <t>S7</t>
  </si>
  <si>
    <t>✗ YİAKV E.11'de bilgi satırı var mı?</t>
  </si>
  <si>
    <t>S8</t>
  </si>
  <si>
    <t>Bağış muhasebe zinciri doğru mu? (Gider → KKEG → 464)</t>
  </si>
  <si>
    <t>İki adım eksiksiz.</t>
  </si>
  <si>
    <t>S9</t>
  </si>
  <si>
    <t>Beyanname 464 'Kazancın Bulunması Halinde'?</t>
  </si>
  <si>
    <t>S10</t>
  </si>
  <si>
    <t>YMM Tasdik Raporu değerlendirildi mi?</t>
  </si>
  <si>
    <t>&gt;=500.000 TL → Rapor.</t>
  </si>
  <si>
    <t xml:space="preserve">  GİB KV BEYAN REHBERİ MART 2026 (No:606) | 464 AGF BAĞIŞI SON NOT:
  7474 s.K. Md.6 — Yalnızca Aile ve Gençlik Fonu alıcısı.
  Tamamının indirimi — nakdi (banka) + ayni (maliyet değeri).
  AGF resmi makbuzu zorunludur. Matrahı aşan kısım devredilemez.
  ✗ YİAKV E.11 bilgi satırı — 402/460/461 ile aynı kategori.
  YMM müteselsil sorumluluk: SM-SMMM-YMM Kanunu Md.12.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</si>
</sst>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8"/>
      <color rgb="FF7B5E00"/>
      <name val="Arial"/>
    </font>
    <font>
      <b/>
      <sz val="10"/>
      <color rgb="FFFFFFFF"/>
      <name val="Arial"/>
    </font>
    <font>
      <b/>
      <sz val="9"/>
      <color rgb="FFC0392B"/>
      <name val="Arial"/>
    </font>
    <font>
      <b/>
      <sz val="10"/>
      <color rgb="FF0000FF"/>
      <name val="Arial"/>
    </font>
    <font>
      <i/>
      <sz val="8"/>
      <color rgb="FFC0392B"/>
      <name val="Arial"/>
    </font>
    <font>
      <b/>
      <sz val="9"/>
      <color rgb="FF1F3864"/>
      <name val="Arial"/>
    </font>
    <font>
      <i/>
      <sz val="8"/>
      <color rgb="FF555555"/>
      <name val="Arial"/>
    </font>
    <font>
      <b/>
      <sz val="10"/>
      <color rgb="FF1B5E20"/>
      <name val="Arial"/>
    </font>
    <font>
      <i/>
      <sz val="8"/>
      <color rgb="FF888888"/>
      <name val="Arial"/>
    </font>
    <font>
      <i/>
      <sz val="8"/>
      <color rgb="FF6C3483"/>
      <name val="Arial"/>
    </font>
    <font>
      <b/>
      <sz val="10"/>
      <color rgb="FF6C3483"/>
      <name val="Arial"/>
    </font>
    <font>
      <sz val="9"/>
      <color rgb="FF1F3864"/>
      <name val="Arial"/>
    </font>
    <font>
      <b/>
      <sz val="9"/>
      <color rgb="FF6C3483"/>
      <name val="Arial"/>
    </font>
    <font>
      <b/>
      <sz val="9"/>
      <color rgb="FF1B5E20"/>
      <name val="Arial"/>
    </font>
    <font>
      <sz val="8"/>
      <color rgb="FF1F3864"/>
      <name val="Arial"/>
    </font>
    <font>
      <b/>
      <sz val="11"/>
      <color rgb="FFFFFFFF"/>
      <name val="Arial"/>
    </font>
    <font>
      <b/>
      <sz val="13"/>
      <color rgb="FFFFFFFF"/>
      <name val="Arial"/>
    </font>
    <font>
      <b/>
      <sz val="13"/>
      <color rgb="FF1B5E20"/>
      <name val="Arial"/>
    </font>
    <font>
      <b/>
      <sz val="9"/>
      <color rgb="FFE65100"/>
      <name val="Arial"/>
    </font>
    <font>
      <b/>
      <sz val="10"/>
      <color rgb="FFE65100"/>
      <name val="Arial"/>
    </font>
    <font>
      <b/>
      <sz val="14"/>
      <color rgb="FF1B5E20"/>
      <name val="Arial"/>
    </font>
    <font>
      <i/>
      <sz val="8"/>
      <color rgb="FF1B5E20"/>
      <name val="Arial"/>
    </font>
    <font>
      <b/>
      <sz val="12"/>
      <color rgb="FF1B5E20"/>
      <name val="Arial"/>
    </font>
    <font>
      <sz val="9"/>
      <color rgb="FFC0392B"/>
      <name val="Arial"/>
    </font>
    <font>
      <sz val="8"/>
      <color rgb="FF333333"/>
      <name val="Arial"/>
    </font>
    <font>
      <i/>
      <sz val="8"/>
      <color rgb="FF444444"/>
      <name val="Arial"/>
    </font>
    <font>
      <b/>
      <sz val="9"/>
      <color rgb="FF7B5E00"/>
      <name val="Arial"/>
    </font>
    <font>
      <sz val="8"/>
      <color rgb="FF444444"/>
      <name val="Arial"/>
    </font>
    <font>
      <b/>
      <sz val="9"/>
      <color rgb="FF1565C0"/>
      <name val="Arial"/>
    </font>
    <font>
      <b/>
      <sz val="8"/>
      <color rgb="FF1565C0"/>
      <name val="Arial"/>
    </font>
  </fonts>
  <fills count="25">
    <fill>
      <patternFill patternType="none"/>
    </fill>
    <fill>
      <patternFill patternType="gray125"/>
    </fill>
    <fill>
      <patternFill patternType="solid">
        <fgColor rgb="FF6C3483"/>
      </patternFill>
    </fill>
    <fill>
      <patternFill patternType="solid">
        <fgColor rgb="FF2C3E50"/>
      </patternFill>
    </fill>
    <fill>
      <patternFill patternType="solid">
        <fgColor rgb="FFFFF9C4"/>
      </patternFill>
    </fill>
    <fill>
      <patternFill patternType="solid">
        <fgColor rgb="FFE65100"/>
      </patternFill>
    </fill>
    <fill>
      <patternFill patternType="solid">
        <fgColor rgb="FFDEDEDE"/>
      </patternFill>
    </fill>
    <fill>
      <patternFill patternType="solid">
        <fgColor rgb="FFC0392B"/>
      </patternFill>
    </fill>
    <fill>
      <patternFill patternType="solid">
        <fgColor rgb="FF1565C0"/>
      </patternFill>
    </fill>
    <fill>
      <patternFill patternType="solid">
        <fgColor rgb="FFFCE4D6"/>
      </patternFill>
    </fill>
    <fill>
      <patternFill patternType="solid">
        <fgColor rgb="FFFFFF00"/>
      </patternFill>
    </fill>
    <fill>
      <patternFill patternType="solid">
        <fgColor rgb="FFF5EEF8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EDE0F7"/>
      </patternFill>
    </fill>
    <fill>
      <patternFill patternType="solid">
        <fgColor rgb="FFFFF3E0"/>
      </patternFill>
    </fill>
    <fill>
      <patternFill patternType="solid">
        <fgColor rgb="FF1B5E20"/>
      </patternFill>
    </fill>
    <fill>
      <patternFill patternType="solid">
        <fgColor rgb="FFFFF5F5"/>
      </patternFill>
    </fill>
    <fill>
      <patternFill patternType="solid">
        <fgColor rgb="FFF7F7F7"/>
      </patternFill>
    </fill>
    <fill>
      <patternFill patternType="solid">
        <fgColor rgb="FFEBF5EB"/>
      </patternFill>
    </fill>
    <fill>
      <patternFill patternType="solid">
        <fgColor rgb="FFB71C1C"/>
      </patternFill>
    </fill>
    <fill>
      <patternFill patternType="solid">
        <fgColor rgb="FFFFEBEE"/>
      </patternFill>
    </fill>
    <fill>
      <patternFill patternType="solid">
        <fgColor rgb="FFFFD0D0"/>
      </patternFill>
    </fill>
    <fill>
      <patternFill patternType="solid">
        <fgColor rgb="FFE3F2FD"/>
      </patternFill>
    </fill>
    <fill>
      <patternFill patternType="solid">
        <fgColor rgb="FFEEF4FF"/>
      </patternFill>
    </fill>
  </fills>
  <borders count="9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6C3483"/>
      </left>
      <right style="thin">
        <color rgb="FF6C3483"/>
      </right>
      <top style="thin">
        <color rgb="FF6C3483"/>
      </top>
      <bottom style="thin">
        <color rgb="FF6C3483"/>
      </bottom>
      <diagonal/>
    </border>
    <border>
      <left style="thin">
        <color rgb="FF009900"/>
      </left>
      <right style="thin">
        <color rgb="FF009900"/>
      </right>
      <top style="thin">
        <color rgb="FF009900"/>
      </top>
      <bottom style="thin">
        <color rgb="FF009900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0" fillId="6" borderId="4" xfId="0" applyFill="1" applyBorder="1"/>
    <xf numFmtId="0" fontId="1" fillId="8" borderId="1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/>
    </xf>
    <xf numFmtId="0" fontId="9" fillId="13" borderId="4" xfId="0" applyFont="1" applyFill="1" applyBorder="1" applyAlignment="1">
      <alignment horizontal="center" vertical="center"/>
    </xf>
    <xf numFmtId="0" fontId="0" fillId="10" borderId="4" xfId="0" applyFill="1" applyBorder="1"/>
    <xf numFmtId="3" fontId="12" fillId="14" borderId="7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0" fontId="13" fillId="10" borderId="4" xfId="0" applyFont="1" applyFill="1" applyBorder="1" applyAlignment="1">
      <alignment horizontal="center" vertical="center" wrapText="1"/>
    </xf>
    <xf numFmtId="0" fontId="13" fillId="10" borderId="4" xfId="0" applyFont="1" applyFill="1" applyBorder="1" applyAlignment="1">
      <alignment horizontal="left" vertical="center" wrapText="1"/>
    </xf>
    <xf numFmtId="3" fontId="14" fillId="14" borderId="7" xfId="0" applyNumberFormat="1" applyFont="1" applyFill="1" applyBorder="1" applyAlignment="1">
      <alignment horizontal="right" vertical="center" wrapText="1"/>
    </xf>
    <xf numFmtId="3" fontId="14" fillId="11" borderId="4" xfId="0" applyNumberFormat="1" applyFont="1" applyFill="1" applyBorder="1" applyAlignment="1">
      <alignment horizontal="right" vertical="center" wrapText="1"/>
    </xf>
    <xf numFmtId="3" fontId="15" fillId="13" borderId="8" xfId="0" applyNumberFormat="1" applyFont="1" applyFill="1" applyBorder="1" applyAlignment="1">
      <alignment horizontal="right" vertical="center" wrapText="1"/>
    </xf>
    <xf numFmtId="0" fontId="16" fillId="10" borderId="4" xfId="0" applyFont="1" applyFill="1" applyBorder="1" applyAlignment="1">
      <alignment horizontal="center" vertical="center" wrapText="1"/>
    </xf>
    <xf numFmtId="3" fontId="14" fillId="12" borderId="4" xfId="0" applyNumberFormat="1" applyFont="1" applyFill="1" applyBorder="1" applyAlignment="1">
      <alignment horizontal="right" vertical="center" wrapText="1"/>
    </xf>
    <xf numFmtId="3" fontId="3" fillId="2" borderId="4" xfId="0" applyNumberFormat="1" applyFont="1" applyFill="1" applyBorder="1" applyAlignment="1">
      <alignment horizontal="right" vertical="center" wrapText="1"/>
    </xf>
    <xf numFmtId="3" fontId="17" fillId="2" borderId="4" xfId="0" applyNumberFormat="1" applyFont="1" applyFill="1" applyBorder="1" applyAlignment="1">
      <alignment horizontal="right" vertical="center" wrapText="1"/>
    </xf>
    <xf numFmtId="3" fontId="18" fillId="2" borderId="8" xfId="0" applyNumberFormat="1" applyFont="1" applyFill="1" applyBorder="1" applyAlignment="1">
      <alignment horizontal="right" vertical="center" wrapText="1"/>
    </xf>
    <xf numFmtId="3" fontId="12" fillId="11" borderId="4" xfId="0" applyNumberFormat="1" applyFont="1" applyFill="1" applyBorder="1" applyAlignment="1">
      <alignment horizontal="right" vertical="center"/>
    </xf>
    <xf numFmtId="0" fontId="12" fillId="14" borderId="4" xfId="0" applyFont="1" applyFill="1" applyBorder="1" applyAlignment="1">
      <alignment horizontal="center" vertical="center"/>
    </xf>
    <xf numFmtId="3" fontId="19" fillId="13" borderId="8" xfId="0" applyNumberFormat="1" applyFont="1" applyFill="1" applyBorder="1" applyAlignment="1">
      <alignment horizontal="right" vertical="center"/>
    </xf>
    <xf numFmtId="0" fontId="21" fillId="15" borderId="4" xfId="0" applyFont="1" applyFill="1" applyBorder="1" applyAlignment="1">
      <alignment horizontal="center" vertical="center"/>
    </xf>
    <xf numFmtId="3" fontId="22" fillId="13" borderId="8" xfId="0" applyNumberFormat="1" applyFont="1" applyFill="1" applyBorder="1" applyAlignment="1">
      <alignment horizontal="right" vertical="center" wrapText="1"/>
    </xf>
    <xf numFmtId="3" fontId="9" fillId="11" borderId="4" xfId="0" applyNumberFormat="1" applyFont="1" applyFill="1" applyBorder="1" applyAlignment="1">
      <alignment horizontal="center" vertical="center"/>
    </xf>
    <xf numFmtId="3" fontId="24" fillId="13" borderId="4" xfId="0" applyNumberFormat="1" applyFont="1" applyFill="1" applyBorder="1" applyAlignment="1">
      <alignment horizontal="right" vertical="center"/>
    </xf>
    <xf numFmtId="0" fontId="13" fillId="11" borderId="4" xfId="0" applyFont="1" applyFill="1" applyBorder="1" applyAlignment="1">
      <alignment horizontal="center" vertical="center"/>
    </xf>
    <xf numFmtId="0" fontId="25" fillId="11" borderId="4" xfId="0" applyFont="1" applyFill="1" applyBorder="1" applyAlignment="1">
      <alignment horizontal="center" vertical="center"/>
    </xf>
    <xf numFmtId="0" fontId="13" fillId="12" borderId="4" xfId="0" applyFont="1" applyFill="1" applyBorder="1" applyAlignment="1">
      <alignment horizontal="center" vertical="center"/>
    </xf>
    <xf numFmtId="0" fontId="25" fillId="1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left" vertical="top" wrapText="1"/>
    </xf>
    <xf numFmtId="0" fontId="26" fillId="17" borderId="4" xfId="0" applyFont="1" applyFill="1" applyBorder="1" applyAlignment="1">
      <alignment horizontal="left" vertical="top" wrapText="1"/>
    </xf>
    <xf numFmtId="0" fontId="0" fillId="12" borderId="4" xfId="0" applyFill="1" applyBorder="1"/>
    <xf numFmtId="0" fontId="0" fillId="11" borderId="4" xfId="0" applyFill="1" applyBorder="1"/>
    <xf numFmtId="0" fontId="7" fillId="11" borderId="4" xfId="0" applyFont="1" applyFill="1" applyBorder="1" applyAlignment="1">
      <alignment horizontal="left" vertical="top" wrapText="1"/>
    </xf>
    <xf numFmtId="0" fontId="7" fillId="12" borderId="4" xfId="0" applyFont="1" applyFill="1" applyBorder="1" applyAlignment="1">
      <alignment horizontal="left" vertical="top" wrapText="1"/>
    </xf>
    <xf numFmtId="0" fontId="1" fillId="8" borderId="1" xfId="0" applyFont="1" applyFill="1" applyBorder="1" applyAlignment="1">
      <alignment horizontal="center" vertical="center"/>
    </xf>
    <xf numFmtId="0" fontId="13" fillId="11" borderId="4" xfId="0" applyFont="1" applyFill="1" applyBorder="1" applyAlignment="1">
      <alignment horizontal="center" vertical="center" wrapText="1"/>
    </xf>
    <xf numFmtId="0" fontId="13" fillId="12" borderId="4" xfId="0" applyFont="1" applyFill="1" applyBorder="1" applyAlignment="1">
      <alignment horizontal="center" vertical="center" wrapText="1"/>
    </xf>
    <xf numFmtId="0" fontId="26" fillId="18" borderId="4" xfId="0" applyFont="1" applyFill="1" applyBorder="1" applyAlignment="1">
      <alignment horizontal="left" vertical="top" wrapText="1"/>
    </xf>
    <xf numFmtId="0" fontId="27" fillId="11" borderId="4" xfId="0" applyFont="1" applyFill="1" applyBorder="1" applyAlignment="1">
      <alignment horizontal="left" vertical="top" wrapText="1"/>
    </xf>
    <xf numFmtId="0" fontId="1" fillId="7" borderId="4" xfId="0" applyFont="1" applyFill="1" applyBorder="1" applyAlignment="1">
      <alignment horizontal="center" vertical="center" wrapText="1"/>
    </xf>
    <xf numFmtId="0" fontId="27" fillId="9" borderId="4" xfId="0" applyFont="1" applyFill="1" applyBorder="1" applyAlignment="1">
      <alignment horizontal="left" vertical="top" wrapText="1"/>
    </xf>
    <xf numFmtId="0" fontId="27" fillId="12" borderId="4" xfId="0" applyFont="1" applyFill="1" applyBorder="1" applyAlignment="1">
      <alignment horizontal="left" vertical="top" wrapText="1"/>
    </xf>
    <xf numFmtId="0" fontId="0" fillId="4" borderId="4" xfId="0" applyFill="1" applyBorder="1"/>
    <xf numFmtId="0" fontId="0" fillId="13" borderId="4" xfId="0" applyFill="1" applyBorder="1"/>
    <xf numFmtId="0" fontId="7" fillId="13" borderId="4" xfId="0" applyFont="1" applyFill="1" applyBorder="1" applyAlignment="1">
      <alignment horizontal="center" vertical="center" wrapText="1"/>
    </xf>
    <xf numFmtId="0" fontId="4" fillId="13" borderId="4" xfId="0" applyFont="1" applyFill="1" applyBorder="1" applyAlignment="1">
      <alignment horizontal="left" vertical="top" wrapText="1"/>
    </xf>
    <xf numFmtId="0" fontId="26" fillId="19" borderId="4" xfId="0" applyFont="1" applyFill="1" applyBorder="1" applyAlignment="1">
      <alignment horizontal="left" vertical="top" wrapText="1"/>
    </xf>
    <xf numFmtId="0" fontId="29" fillId="13" borderId="4" xfId="0" applyFont="1" applyFill="1" applyBorder="1" applyAlignment="1">
      <alignment horizontal="left" vertical="center" wrapText="1"/>
    </xf>
    <xf numFmtId="0" fontId="7" fillId="12" borderId="4" xfId="0" applyFont="1" applyFill="1" applyBorder="1" applyAlignment="1">
      <alignment horizontal="center" vertical="center" wrapText="1"/>
    </xf>
    <xf numFmtId="0" fontId="4" fillId="12" borderId="4" xfId="0" applyFont="1" applyFill="1" applyBorder="1" applyAlignment="1">
      <alignment horizontal="left" vertical="top" wrapText="1"/>
    </xf>
    <xf numFmtId="0" fontId="29" fillId="12" borderId="4" xfId="0" applyFont="1" applyFill="1" applyBorder="1" applyAlignment="1">
      <alignment horizontal="left" vertical="center" wrapText="1"/>
    </xf>
    <xf numFmtId="0" fontId="7" fillId="13" borderId="4" xfId="0" applyFont="1" applyFill="1" applyBorder="1" applyAlignment="1">
      <alignment horizontal="left" vertical="top" wrapText="1"/>
    </xf>
    <xf numFmtId="0" fontId="1" fillId="20" borderId="1" xfId="0" applyFont="1" applyFill="1" applyBorder="1" applyAlignment="1">
      <alignment horizontal="center" vertical="center"/>
    </xf>
    <xf numFmtId="0" fontId="0" fillId="21" borderId="4" xfId="0" applyFill="1" applyBorder="1"/>
    <xf numFmtId="0" fontId="30" fillId="21" borderId="4" xfId="0" applyFont="1" applyFill="1" applyBorder="1" applyAlignment="1">
      <alignment horizontal="center" vertical="center" wrapText="1"/>
    </xf>
    <xf numFmtId="0" fontId="4" fillId="21" borderId="4" xfId="0" applyFont="1" applyFill="1" applyBorder="1" applyAlignment="1">
      <alignment horizontal="left" vertical="top" wrapText="1"/>
    </xf>
    <xf numFmtId="0" fontId="26" fillId="22" borderId="4" xfId="0" applyFont="1" applyFill="1" applyBorder="1" applyAlignment="1">
      <alignment horizontal="left" vertical="top" wrapText="1"/>
    </xf>
    <xf numFmtId="0" fontId="31" fillId="21" borderId="4" xfId="0" applyFont="1" applyFill="1" applyBorder="1" applyAlignment="1">
      <alignment horizontal="center" vertical="center" wrapText="1"/>
    </xf>
    <xf numFmtId="0" fontId="0" fillId="23" borderId="4" xfId="0" applyFill="1" applyBorder="1"/>
    <xf numFmtId="0" fontId="30" fillId="23" borderId="4" xfId="0" applyFont="1" applyFill="1" applyBorder="1" applyAlignment="1">
      <alignment horizontal="center" vertical="center" wrapText="1"/>
    </xf>
    <xf numFmtId="0" fontId="30" fillId="23" borderId="4" xfId="0" applyFont="1" applyFill="1" applyBorder="1" applyAlignment="1">
      <alignment horizontal="left" vertical="top" wrapText="1"/>
    </xf>
    <xf numFmtId="0" fontId="26" fillId="24" borderId="4" xfId="0" applyFont="1" applyFill="1" applyBorder="1" applyAlignment="1">
      <alignment horizontal="left" vertical="top" wrapText="1"/>
    </xf>
    <xf numFmtId="0" fontId="31" fillId="23" borderId="4" xfId="0" applyFont="1" applyFill="1" applyBorder="1" applyAlignment="1">
      <alignment horizontal="center" vertical="center" wrapText="1"/>
    </xf>
    <xf numFmtId="0" fontId="11" fillId="12" borderId="4" xfId="0" applyFont="1" applyFill="1" applyBorder="1" applyAlignment="1">
      <alignment horizontal="left" vertical="center" wrapText="1"/>
    </xf>
    <xf numFmtId="0" fontId="0" fillId="0" borderId="6" xfId="0" applyBorder="1"/>
    <xf numFmtId="0" fontId="14" fillId="14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10" borderId="4" xfId="0" applyFill="1" applyBorder="1"/>
    <xf numFmtId="0" fontId="0" fillId="0" borderId="5" xfId="0" applyBorder="1"/>
    <xf numFmtId="0" fontId="10" fillId="12" borderId="4" xfId="0" applyFont="1" applyFill="1" applyBorder="1" applyAlignment="1">
      <alignment horizontal="left" vertical="center" wrapText="1"/>
    </xf>
    <xf numFmtId="0" fontId="7" fillId="12" borderId="4" xfId="0" applyFont="1" applyFill="1" applyBorder="1" applyAlignment="1">
      <alignment horizontal="left" vertical="center" wrapText="1"/>
    </xf>
    <xf numFmtId="0" fontId="10" fillId="11" borderId="4" xfId="0" applyFont="1" applyFill="1" applyBorder="1" applyAlignment="1">
      <alignment horizontal="left" vertical="center" wrapText="1"/>
    </xf>
    <xf numFmtId="0" fontId="8" fillId="12" borderId="4" xfId="0" applyFont="1" applyFill="1" applyBorder="1" applyAlignment="1">
      <alignment horizontal="left" vertical="center" wrapText="1"/>
    </xf>
    <xf numFmtId="0" fontId="7" fillId="11" borderId="4" xfId="0" applyFont="1" applyFill="1" applyBorder="1" applyAlignment="1">
      <alignment horizontal="left" vertical="center" wrapText="1"/>
    </xf>
    <xf numFmtId="0" fontId="20" fillId="15" borderId="4" xfId="0" applyFont="1" applyFill="1" applyBorder="1" applyAlignment="1">
      <alignment horizontal="left" vertical="center" wrapText="1"/>
    </xf>
    <xf numFmtId="0" fontId="10" fillId="14" borderId="4" xfId="0" applyFont="1" applyFill="1" applyBorder="1" applyAlignment="1">
      <alignment horizontal="left" vertical="center" wrapText="1"/>
    </xf>
    <xf numFmtId="0" fontId="8" fillId="11" borderId="4" xfId="0" applyFont="1" applyFill="1" applyBorder="1" applyAlignment="1">
      <alignment horizontal="left" vertical="center" wrapText="1"/>
    </xf>
    <xf numFmtId="0" fontId="4" fillId="9" borderId="4" xfId="0" applyFont="1" applyFill="1" applyBorder="1" applyAlignment="1">
      <alignment horizontal="left" vertical="center" wrapText="1"/>
    </xf>
    <xf numFmtId="0" fontId="11" fillId="11" borderId="4" xfId="0" applyFont="1" applyFill="1" applyBorder="1" applyAlignment="1">
      <alignment horizontal="left" vertical="center" wrapText="1"/>
    </xf>
    <xf numFmtId="0" fontId="10" fillId="15" borderId="4" xfId="0" applyFont="1" applyFill="1" applyBorder="1" applyAlignment="1">
      <alignment horizontal="left" vertical="center" wrapText="1"/>
    </xf>
    <xf numFmtId="0" fontId="13" fillId="11" borderId="4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6" fillId="9" borderId="4" xfId="0" applyFont="1" applyFill="1" applyBorder="1" applyAlignment="1">
      <alignment horizontal="left" vertical="center" wrapText="1"/>
    </xf>
    <xf numFmtId="0" fontId="15" fillId="13" borderId="4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1" fillId="5" borderId="4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/>
    </xf>
    <xf numFmtId="0" fontId="10" fillId="13" borderId="4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/>
    </xf>
    <xf numFmtId="0" fontId="4" fillId="11" borderId="4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6" fillId="13" borderId="4" xfId="0" applyFont="1" applyFill="1" applyBorder="1" applyAlignment="1">
      <alignment horizontal="left" vertical="center" wrapText="1"/>
    </xf>
    <xf numFmtId="0" fontId="7" fillId="13" borderId="4" xfId="0" applyFont="1" applyFill="1" applyBorder="1" applyAlignment="1">
      <alignment horizontal="left" vertical="center"/>
    </xf>
    <xf numFmtId="0" fontId="23" fillId="13" borderId="4" xfId="0" applyFont="1" applyFill="1" applyBorder="1" applyAlignment="1">
      <alignment horizontal="left" vertical="center" wrapText="1"/>
    </xf>
    <xf numFmtId="0" fontId="8" fillId="14" borderId="4" xfId="0" applyFont="1" applyFill="1" applyBorder="1" applyAlignment="1">
      <alignment horizontal="left" vertical="center" wrapText="1"/>
    </xf>
    <xf numFmtId="0" fontId="8" fillId="13" borderId="4" xfId="0" applyFont="1" applyFill="1" applyBorder="1" applyAlignment="1">
      <alignment horizontal="left" vertical="center" wrapText="1"/>
    </xf>
    <xf numFmtId="0" fontId="4" fillId="12" borderId="4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9" fillId="13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8" fillId="15" borderId="4" xfId="0" applyFont="1" applyFill="1" applyBorder="1" applyAlignment="1">
      <alignment horizontal="left" vertical="center" wrapText="1"/>
    </xf>
    <xf numFmtId="0" fontId="4" fillId="9" borderId="4" xfId="0" applyFont="1" applyFill="1" applyBorder="1" applyAlignment="1">
      <alignment horizontal="left" vertical="top" wrapText="1"/>
    </xf>
    <xf numFmtId="0" fontId="3" fillId="16" borderId="1" xfId="0" applyFont="1" applyFill="1" applyBorder="1" applyAlignment="1">
      <alignment horizontal="left" vertical="center"/>
    </xf>
    <xf numFmtId="0" fontId="7" fillId="12" borderId="4" xfId="0" applyFont="1" applyFill="1" applyBorder="1" applyAlignment="1">
      <alignment horizontal="left" vertical="top" wrapText="1"/>
    </xf>
    <xf numFmtId="0" fontId="26" fillId="12" borderId="4" xfId="0" applyFont="1" applyFill="1" applyBorder="1" applyAlignment="1">
      <alignment horizontal="left" vertical="top" wrapText="1"/>
    </xf>
    <xf numFmtId="0" fontId="7" fillId="12" borderId="4" xfId="0" applyFont="1" applyFill="1" applyBorder="1" applyAlignment="1">
      <alignment horizontal="left" vertical="center"/>
    </xf>
    <xf numFmtId="0" fontId="26" fillId="11" borderId="4" xfId="0" applyFont="1" applyFill="1" applyBorder="1" applyAlignment="1">
      <alignment horizontal="left" vertical="top" wrapText="1"/>
    </xf>
    <xf numFmtId="0" fontId="17" fillId="2" borderId="1" xfId="0" applyFont="1" applyFill="1" applyBorder="1" applyAlignment="1">
      <alignment horizontal="left" vertical="center"/>
    </xf>
    <xf numFmtId="0" fontId="7" fillId="15" borderId="4" xfId="0" applyFont="1" applyFill="1" applyBorder="1" applyAlignment="1">
      <alignment horizontal="left" vertical="center"/>
    </xf>
    <xf numFmtId="0" fontId="26" fillId="17" borderId="4" xfId="0" applyFont="1" applyFill="1" applyBorder="1" applyAlignment="1">
      <alignment horizontal="left" vertical="top" wrapText="1"/>
    </xf>
    <xf numFmtId="0" fontId="7" fillId="11" borderId="4" xfId="0" applyFont="1" applyFill="1" applyBorder="1" applyAlignment="1">
      <alignment horizontal="left" vertical="top" wrapText="1"/>
    </xf>
    <xf numFmtId="0" fontId="7" fillId="11" borderId="4" xfId="0" applyFont="1" applyFill="1" applyBorder="1" applyAlignment="1">
      <alignment horizontal="left" vertical="center"/>
    </xf>
    <xf numFmtId="0" fontId="16" fillId="14" borderId="4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26" fillId="15" borderId="4" xfId="0" applyFont="1" applyFill="1" applyBorder="1" applyAlignment="1">
      <alignment horizontal="left" vertical="center" wrapText="1"/>
    </xf>
    <xf numFmtId="0" fontId="3" fillId="7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16" borderId="4" xfId="0" applyFont="1" applyFill="1" applyBorder="1" applyAlignment="1">
      <alignment horizontal="left" vertical="center"/>
    </xf>
    <xf numFmtId="0" fontId="28" fillId="4" borderId="4" xfId="0" applyFont="1" applyFill="1" applyBorder="1" applyAlignment="1">
      <alignment horizontal="left" vertical="center" wrapText="1"/>
    </xf>
    <xf numFmtId="0" fontId="1" fillId="20" borderId="1" xfId="0" applyFont="1" applyFill="1" applyBorder="1" applyAlignment="1">
      <alignment horizontal="left" vertical="center"/>
    </xf>
    <xf numFmtId="0" fontId="1" fillId="16" borderId="1" xfId="0" applyFont="1" applyFill="1" applyBorder="1" applyAlignment="1">
      <alignment horizontal="left" vertical="center"/>
    </xf>
  </cellXfs>
  <cellStyles count="1">
    <cellStyle name="Normal" xfId="0" builtinId="0"/>
  </cellStyles>
  <dxfs count="4"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E95A5B9-2582-4FA5-9D93-D2D673BC4F3C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5ba32179-c7e9-4755-9024-705ac1450a2a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abSelected="1" workbookViewId="0">
      <selection sqref="A1:G1"/>
    </sheetView>
  </sheetViews>
  <sheetFormatPr defaultRowHeight="14.4" x14ac:dyDescent="0.55000000000000004"/>
  <cols>
    <col min="1" max="1" width="3" customWidth="1"/>
    <col min="2" max="2" width="30" customWidth="1"/>
    <col min="3" max="4" width="18" customWidth="1"/>
    <col min="5" max="6" width="14" customWidth="1"/>
    <col min="7" max="7" width="22" customWidth="1"/>
  </cols>
  <sheetData>
    <row r="1" spans="1:7" ht="44.05" customHeight="1" x14ac:dyDescent="0.55000000000000004">
      <c r="A1" s="86" t="s">
        <v>0</v>
      </c>
      <c r="B1" s="70"/>
      <c r="C1" s="70"/>
      <c r="D1" s="70"/>
      <c r="E1" s="70"/>
      <c r="F1" s="70"/>
      <c r="G1" s="71"/>
    </row>
    <row r="2" spans="1:7" ht="22" customHeight="1" x14ac:dyDescent="0.55000000000000004">
      <c r="A2" s="95" t="s">
        <v>1</v>
      </c>
      <c r="B2" s="70"/>
      <c r="C2" s="70"/>
      <c r="D2" s="70"/>
      <c r="E2" s="70"/>
      <c r="F2" s="70"/>
      <c r="G2" s="71"/>
    </row>
    <row r="3" spans="1:7" ht="44.05" customHeight="1" x14ac:dyDescent="0.55000000000000004">
      <c r="A3" s="89" t="s">
        <v>2</v>
      </c>
      <c r="B3" s="73"/>
      <c r="C3" s="73"/>
      <c r="D3" s="73"/>
      <c r="E3" s="73"/>
      <c r="F3" s="73"/>
      <c r="G3" s="67"/>
    </row>
    <row r="4" spans="1:7" ht="22" customHeight="1" x14ac:dyDescent="0.55000000000000004">
      <c r="A4" s="90" t="s">
        <v>3</v>
      </c>
      <c r="B4" s="73"/>
      <c r="C4" s="73"/>
      <c r="D4" s="73"/>
      <c r="E4" s="73"/>
      <c r="F4" s="73"/>
      <c r="G4" s="67"/>
    </row>
    <row r="5" spans="1:7" ht="5.05" customHeight="1" x14ac:dyDescent="0.55000000000000004">
      <c r="A5" s="1"/>
      <c r="B5" s="1"/>
      <c r="C5" s="1"/>
      <c r="D5" s="1"/>
      <c r="E5" s="1"/>
      <c r="F5" s="1"/>
      <c r="G5" s="1"/>
    </row>
    <row r="6" spans="1:7" ht="24" customHeight="1" x14ac:dyDescent="0.55000000000000004">
      <c r="A6" s="93" t="s">
        <v>4</v>
      </c>
      <c r="B6" s="70"/>
      <c r="C6" s="70"/>
      <c r="D6" s="70"/>
      <c r="E6" s="70"/>
      <c r="F6" s="70"/>
      <c r="G6" s="71"/>
    </row>
    <row r="7" spans="1:7" ht="18" customHeight="1" x14ac:dyDescent="0.55000000000000004">
      <c r="A7" s="2"/>
      <c r="B7" s="2" t="s">
        <v>5</v>
      </c>
      <c r="C7" s="2"/>
      <c r="D7" s="2"/>
      <c r="E7" s="2" t="s">
        <v>6</v>
      </c>
      <c r="F7" s="2"/>
      <c r="G7" s="2" t="s">
        <v>7</v>
      </c>
    </row>
    <row r="8" spans="1:7" ht="28" customHeight="1" x14ac:dyDescent="0.55000000000000004">
      <c r="A8" s="82" t="s">
        <v>8</v>
      </c>
      <c r="B8" s="73"/>
      <c r="C8" s="73"/>
      <c r="D8" s="67"/>
      <c r="E8" s="3" t="s">
        <v>9</v>
      </c>
      <c r="F8" s="87" t="s">
        <v>10</v>
      </c>
      <c r="G8" s="67"/>
    </row>
    <row r="9" spans="1:7" ht="28" customHeight="1" x14ac:dyDescent="0.55000000000000004">
      <c r="A9" s="82" t="s">
        <v>11</v>
      </c>
      <c r="B9" s="73"/>
      <c r="C9" s="73"/>
      <c r="D9" s="67"/>
      <c r="E9" s="3" t="s">
        <v>9</v>
      </c>
      <c r="F9" s="87" t="s">
        <v>12</v>
      </c>
      <c r="G9" s="67"/>
    </row>
    <row r="10" spans="1:7" ht="28" customHeight="1" x14ac:dyDescent="0.55000000000000004">
      <c r="A10" s="78" t="s">
        <v>13</v>
      </c>
      <c r="B10" s="73"/>
      <c r="C10" s="73"/>
      <c r="D10" s="67"/>
      <c r="E10" s="3" t="s">
        <v>9</v>
      </c>
      <c r="F10" s="81" t="s">
        <v>14</v>
      </c>
      <c r="G10" s="67"/>
    </row>
    <row r="11" spans="1:7" ht="28" customHeight="1" x14ac:dyDescent="0.55000000000000004">
      <c r="A11" s="75" t="s">
        <v>15</v>
      </c>
      <c r="B11" s="73"/>
      <c r="C11" s="73"/>
      <c r="D11" s="67"/>
      <c r="E11" s="3" t="s">
        <v>9</v>
      </c>
      <c r="F11" s="77" t="s">
        <v>16</v>
      </c>
      <c r="G11" s="67"/>
    </row>
    <row r="12" spans="1:7" ht="28" customHeight="1" x14ac:dyDescent="0.55000000000000004">
      <c r="A12" s="78" t="s">
        <v>17</v>
      </c>
      <c r="B12" s="73"/>
      <c r="C12" s="73"/>
      <c r="D12" s="67"/>
      <c r="E12" s="3" t="s">
        <v>9</v>
      </c>
      <c r="F12" s="81" t="s">
        <v>18</v>
      </c>
      <c r="G12" s="67"/>
    </row>
    <row r="13" spans="1:7" ht="28" customHeight="1" x14ac:dyDescent="0.55000000000000004">
      <c r="A13" s="75" t="s">
        <v>19</v>
      </c>
      <c r="B13" s="73"/>
      <c r="C13" s="73"/>
      <c r="D13" s="67"/>
      <c r="E13" s="3" t="s">
        <v>9</v>
      </c>
      <c r="F13" s="77" t="s">
        <v>20</v>
      </c>
      <c r="G13" s="67"/>
    </row>
    <row r="14" spans="1:7" ht="24" customHeight="1" x14ac:dyDescent="0.55000000000000004">
      <c r="A14" s="97" t="s">
        <v>21</v>
      </c>
      <c r="B14" s="73"/>
      <c r="C14" s="73"/>
      <c r="D14" s="67"/>
      <c r="E14" s="4" t="str">
        <f>IF(AND(E8="EVET",E9="EVET",E10="EVET"),"OK - Hesaplanabilir","HATA - Ön koşul eksik")</f>
        <v>OK - Hesaplanabilir</v>
      </c>
      <c r="F14" s="96" t="s">
        <v>22</v>
      </c>
      <c r="G14" s="67"/>
    </row>
    <row r="15" spans="1:7" ht="5.05" customHeight="1" x14ac:dyDescent="0.55000000000000004">
      <c r="A15" s="1"/>
      <c r="B15" s="1"/>
      <c r="C15" s="1"/>
      <c r="D15" s="1"/>
      <c r="E15" s="1"/>
      <c r="F15" s="1"/>
      <c r="G15" s="1"/>
    </row>
    <row r="16" spans="1:7" ht="22" customHeight="1" x14ac:dyDescent="0.55000000000000004">
      <c r="A16" s="69" t="s">
        <v>23</v>
      </c>
      <c r="B16" s="70"/>
      <c r="C16" s="70"/>
      <c r="D16" s="70"/>
      <c r="E16" s="70"/>
      <c r="F16" s="70"/>
      <c r="G16" s="71"/>
    </row>
    <row r="17" spans="1:7" ht="22" customHeight="1" x14ac:dyDescent="0.55000000000000004">
      <c r="A17" s="75" t="s">
        <v>24</v>
      </c>
      <c r="B17" s="67"/>
      <c r="C17" s="72"/>
      <c r="D17" s="73"/>
      <c r="E17" s="67"/>
      <c r="F17" s="74" t="s">
        <v>25</v>
      </c>
      <c r="G17" s="67"/>
    </row>
    <row r="18" spans="1:7" ht="22" customHeight="1" x14ac:dyDescent="0.55000000000000004">
      <c r="A18" s="78" t="s">
        <v>26</v>
      </c>
      <c r="B18" s="67"/>
      <c r="C18" s="72"/>
      <c r="D18" s="73"/>
      <c r="E18" s="67"/>
      <c r="F18" s="76" t="s">
        <v>27</v>
      </c>
      <c r="G18" s="67"/>
    </row>
    <row r="19" spans="1:7" ht="22" customHeight="1" x14ac:dyDescent="0.55000000000000004">
      <c r="A19" s="75" t="s">
        <v>28</v>
      </c>
      <c r="B19" s="67"/>
      <c r="C19" s="72"/>
      <c r="D19" s="73"/>
      <c r="E19" s="67"/>
      <c r="F19" s="74" t="s">
        <v>29</v>
      </c>
      <c r="G19" s="67"/>
    </row>
    <row r="20" spans="1:7" ht="22" customHeight="1" x14ac:dyDescent="0.55000000000000004">
      <c r="A20" s="78" t="s">
        <v>30</v>
      </c>
      <c r="B20" s="67"/>
      <c r="C20" s="72"/>
      <c r="D20" s="73"/>
      <c r="E20" s="67"/>
      <c r="F20" s="76" t="s">
        <v>31</v>
      </c>
      <c r="G20" s="67"/>
    </row>
    <row r="21" spans="1:7" ht="22" customHeight="1" x14ac:dyDescent="0.55000000000000004">
      <c r="A21" s="75" t="s">
        <v>32</v>
      </c>
      <c r="B21" s="67"/>
      <c r="C21" s="72"/>
      <c r="D21" s="73"/>
      <c r="E21" s="67"/>
      <c r="F21" s="74" t="s">
        <v>33</v>
      </c>
      <c r="G21" s="67"/>
    </row>
    <row r="22" spans="1:7" ht="22" customHeight="1" x14ac:dyDescent="0.55000000000000004">
      <c r="A22" s="78" t="s">
        <v>34</v>
      </c>
      <c r="B22" s="67"/>
      <c r="C22" s="72"/>
      <c r="D22" s="73"/>
      <c r="E22" s="67"/>
      <c r="F22" s="76" t="s">
        <v>35</v>
      </c>
      <c r="G22" s="67"/>
    </row>
    <row r="24" spans="1:7" ht="5.05" customHeight="1" x14ac:dyDescent="0.55000000000000004">
      <c r="A24" s="1"/>
      <c r="B24" s="1"/>
      <c r="C24" s="1"/>
      <c r="D24" s="1"/>
      <c r="E24" s="1"/>
      <c r="F24" s="1"/>
      <c r="G24" s="1"/>
    </row>
    <row r="25" spans="1:7" ht="24" customHeight="1" x14ac:dyDescent="0.55000000000000004">
      <c r="A25" s="69" t="s">
        <v>36</v>
      </c>
      <c r="B25" s="70"/>
      <c r="C25" s="70"/>
      <c r="D25" s="70"/>
      <c r="E25" s="70"/>
      <c r="F25" s="70"/>
      <c r="G25" s="71"/>
    </row>
    <row r="26" spans="1:7" ht="18" customHeight="1" x14ac:dyDescent="0.55000000000000004">
      <c r="A26" s="2"/>
      <c r="B26" s="2" t="s">
        <v>37</v>
      </c>
      <c r="C26" s="2"/>
      <c r="D26" s="2" t="s">
        <v>38</v>
      </c>
      <c r="E26" s="2"/>
      <c r="F26" s="2" t="s">
        <v>39</v>
      </c>
      <c r="G26" s="2" t="s">
        <v>40</v>
      </c>
    </row>
    <row r="27" spans="1:7" ht="26.05" customHeight="1" x14ac:dyDescent="0.55000000000000004">
      <c r="A27" s="75" t="s">
        <v>41</v>
      </c>
      <c r="B27" s="67"/>
      <c r="C27" s="3" t="s">
        <v>42</v>
      </c>
      <c r="D27" s="74" t="s">
        <v>43</v>
      </c>
      <c r="E27" s="67"/>
      <c r="F27" s="66" t="s">
        <v>44</v>
      </c>
      <c r="G27" s="67"/>
    </row>
    <row r="28" spans="1:7" ht="26.05" customHeight="1" x14ac:dyDescent="0.55000000000000004">
      <c r="A28" s="78" t="s">
        <v>45</v>
      </c>
      <c r="B28" s="67"/>
      <c r="C28" s="5"/>
      <c r="D28" s="76" t="s">
        <v>46</v>
      </c>
      <c r="E28" s="67"/>
      <c r="F28" s="83" t="s">
        <v>47</v>
      </c>
      <c r="G28" s="67"/>
    </row>
    <row r="29" spans="1:7" ht="26.05" customHeight="1" x14ac:dyDescent="0.55000000000000004">
      <c r="A29" s="101" t="s">
        <v>48</v>
      </c>
      <c r="B29" s="67"/>
      <c r="C29" s="5"/>
      <c r="D29" s="74" t="s">
        <v>49</v>
      </c>
      <c r="E29" s="67"/>
      <c r="F29" s="66" t="s">
        <v>50</v>
      </c>
      <c r="G29" s="67"/>
    </row>
    <row r="30" spans="1:7" ht="26.05" customHeight="1" x14ac:dyDescent="0.55000000000000004">
      <c r="A30" s="78" t="s">
        <v>51</v>
      </c>
      <c r="B30" s="67"/>
      <c r="C30" s="5"/>
      <c r="D30" s="76" t="s">
        <v>52</v>
      </c>
      <c r="E30" s="67"/>
      <c r="F30" s="83" t="s">
        <v>53</v>
      </c>
      <c r="G30" s="67"/>
    </row>
    <row r="31" spans="1:7" ht="26.05" customHeight="1" x14ac:dyDescent="0.55000000000000004">
      <c r="A31" s="101" t="s">
        <v>54</v>
      </c>
      <c r="B31" s="67"/>
      <c r="C31" s="6">
        <f>C29+C30</f>
        <v>0</v>
      </c>
      <c r="D31" s="74" t="s">
        <v>55</v>
      </c>
      <c r="E31" s="67"/>
      <c r="F31" s="66" t="s">
        <v>56</v>
      </c>
      <c r="G31" s="67"/>
    </row>
    <row r="32" spans="1:7" ht="26.05" customHeight="1" x14ac:dyDescent="0.55000000000000004">
      <c r="A32" s="94" t="s">
        <v>57</v>
      </c>
      <c r="B32" s="67"/>
      <c r="C32" s="5"/>
      <c r="D32" s="76" t="s">
        <v>58</v>
      </c>
      <c r="E32" s="67"/>
      <c r="F32" s="83" t="s">
        <v>59</v>
      </c>
      <c r="G32" s="67"/>
    </row>
    <row r="33" spans="1:7" ht="26.05" customHeight="1" x14ac:dyDescent="0.55000000000000004">
      <c r="A33" s="75" t="s">
        <v>60</v>
      </c>
      <c r="B33" s="67"/>
      <c r="C33" s="5"/>
      <c r="D33" s="74" t="s">
        <v>61</v>
      </c>
      <c r="E33" s="67"/>
      <c r="F33" s="66" t="s">
        <v>62</v>
      </c>
      <c r="G33" s="67"/>
    </row>
    <row r="34" spans="1:7" ht="5.05" customHeight="1" x14ac:dyDescent="0.55000000000000004">
      <c r="A34" s="1"/>
      <c r="B34" s="1"/>
      <c r="C34" s="1"/>
      <c r="D34" s="1"/>
      <c r="E34" s="1"/>
      <c r="F34" s="1"/>
      <c r="G34" s="1"/>
    </row>
    <row r="35" spans="1:7" ht="24" customHeight="1" x14ac:dyDescent="0.55000000000000004">
      <c r="A35" s="69" t="s">
        <v>63</v>
      </c>
      <c r="B35" s="70"/>
      <c r="C35" s="70"/>
      <c r="D35" s="70"/>
      <c r="E35" s="70"/>
      <c r="F35" s="70"/>
      <c r="G35" s="71"/>
    </row>
    <row r="36" spans="1:7" ht="22" customHeight="1" x14ac:dyDescent="0.55000000000000004">
      <c r="A36" s="85" t="s">
        <v>64</v>
      </c>
      <c r="B36" s="73"/>
      <c r="C36" s="73"/>
      <c r="D36" s="73"/>
      <c r="E36" s="73"/>
      <c r="F36" s="73"/>
      <c r="G36" s="67"/>
    </row>
    <row r="37" spans="1:7" ht="18" customHeight="1" x14ac:dyDescent="0.55000000000000004">
      <c r="A37" s="7" t="s">
        <v>65</v>
      </c>
      <c r="B37" s="7" t="s">
        <v>66</v>
      </c>
      <c r="C37" s="7" t="s">
        <v>67</v>
      </c>
      <c r="D37" s="7" t="s">
        <v>68</v>
      </c>
      <c r="E37" s="7" t="s">
        <v>69</v>
      </c>
      <c r="F37" s="7" t="s">
        <v>70</v>
      </c>
      <c r="G37" s="7" t="s">
        <v>71</v>
      </c>
    </row>
    <row r="38" spans="1:7" ht="26.05" customHeight="1" x14ac:dyDescent="0.55000000000000004">
      <c r="A38" s="8"/>
      <c r="B38" s="9"/>
      <c r="C38" s="10"/>
      <c r="D38" s="10"/>
      <c r="E38" s="11">
        <f t="shared" ref="E38:E43" si="0">IF(OR(C38&gt;0,D38&gt;0),C38+D38,0)</f>
        <v>0</v>
      </c>
      <c r="F38" s="12">
        <f t="shared" ref="F38:F43" si="1">E38</f>
        <v>0</v>
      </c>
      <c r="G38" s="13"/>
    </row>
    <row r="39" spans="1:7" ht="26.05" customHeight="1" x14ac:dyDescent="0.55000000000000004">
      <c r="A39" s="8"/>
      <c r="B39" s="9"/>
      <c r="C39" s="10"/>
      <c r="D39" s="10"/>
      <c r="E39" s="14">
        <f t="shared" si="0"/>
        <v>0</v>
      </c>
      <c r="F39" s="12">
        <f t="shared" si="1"/>
        <v>0</v>
      </c>
      <c r="G39" s="13"/>
    </row>
    <row r="40" spans="1:7" ht="26.05" customHeight="1" x14ac:dyDescent="0.55000000000000004">
      <c r="A40" s="8"/>
      <c r="B40" s="9"/>
      <c r="C40" s="10"/>
      <c r="D40" s="10"/>
      <c r="E40" s="11">
        <f t="shared" si="0"/>
        <v>0</v>
      </c>
      <c r="F40" s="12">
        <f t="shared" si="1"/>
        <v>0</v>
      </c>
      <c r="G40" s="13"/>
    </row>
    <row r="41" spans="1:7" ht="26.05" customHeight="1" x14ac:dyDescent="0.55000000000000004">
      <c r="A41" s="8"/>
      <c r="B41" s="9"/>
      <c r="C41" s="10"/>
      <c r="D41" s="10"/>
      <c r="E41" s="14">
        <f t="shared" si="0"/>
        <v>0</v>
      </c>
      <c r="F41" s="12">
        <f t="shared" si="1"/>
        <v>0</v>
      </c>
      <c r="G41" s="13"/>
    </row>
    <row r="42" spans="1:7" ht="26.05" customHeight="1" x14ac:dyDescent="0.55000000000000004">
      <c r="A42" s="8"/>
      <c r="B42" s="9"/>
      <c r="C42" s="10"/>
      <c r="D42" s="10"/>
      <c r="E42" s="11">
        <f t="shared" si="0"/>
        <v>0</v>
      </c>
      <c r="F42" s="12">
        <f t="shared" si="1"/>
        <v>0</v>
      </c>
      <c r="G42" s="13"/>
    </row>
    <row r="43" spans="1:7" ht="26.05" customHeight="1" x14ac:dyDescent="0.55000000000000004">
      <c r="A43" s="8"/>
      <c r="B43" s="9"/>
      <c r="C43" s="10"/>
      <c r="D43" s="10"/>
      <c r="E43" s="14">
        <f t="shared" si="0"/>
        <v>0</v>
      </c>
      <c r="F43" s="12">
        <f t="shared" si="1"/>
        <v>0</v>
      </c>
      <c r="G43" s="13"/>
    </row>
    <row r="44" spans="1:7" ht="30" customHeight="1" x14ac:dyDescent="0.55000000000000004">
      <c r="A44" s="104" t="s">
        <v>72</v>
      </c>
      <c r="B44" s="67"/>
      <c r="C44" s="15">
        <f>SUM(C38:C43)</f>
        <v>0</v>
      </c>
      <c r="D44" s="15">
        <f>SUM(D38:D43)</f>
        <v>0</v>
      </c>
      <c r="E44" s="16">
        <f>SUM(E38:E43)</f>
        <v>0</v>
      </c>
      <c r="F44" s="17">
        <f>SUM(F38:F43)</f>
        <v>0</v>
      </c>
      <c r="G44" s="91" t="s">
        <v>73</v>
      </c>
    </row>
    <row r="45" spans="1:7" ht="5.05" customHeight="1" x14ac:dyDescent="0.55000000000000004">
      <c r="A45" s="1"/>
      <c r="B45" s="1"/>
      <c r="C45" s="1"/>
      <c r="D45" s="1"/>
      <c r="E45" s="1"/>
      <c r="F45" s="1"/>
      <c r="G45" s="1"/>
    </row>
    <row r="46" spans="1:7" ht="24" customHeight="1" x14ac:dyDescent="0.55000000000000004">
      <c r="A46" s="69" t="s">
        <v>74</v>
      </c>
      <c r="B46" s="70"/>
      <c r="C46" s="70"/>
      <c r="D46" s="70"/>
      <c r="E46" s="70"/>
      <c r="F46" s="70"/>
      <c r="G46" s="71"/>
    </row>
    <row r="47" spans="1:7" ht="18" customHeight="1" x14ac:dyDescent="0.55000000000000004">
      <c r="A47" s="2"/>
      <c r="B47" s="2" t="s">
        <v>75</v>
      </c>
      <c r="C47" s="2"/>
      <c r="D47" s="2" t="s">
        <v>76</v>
      </c>
      <c r="E47" s="2"/>
      <c r="F47" s="2" t="s">
        <v>39</v>
      </c>
      <c r="G47" s="2" t="s">
        <v>77</v>
      </c>
    </row>
    <row r="48" spans="1:7" ht="28" customHeight="1" x14ac:dyDescent="0.55000000000000004">
      <c r="A48" s="78" t="s">
        <v>78</v>
      </c>
      <c r="B48" s="67"/>
      <c r="C48" s="18">
        <f>C44</f>
        <v>0</v>
      </c>
      <c r="D48" s="76" t="s">
        <v>79</v>
      </c>
      <c r="E48" s="67"/>
      <c r="F48" s="81"/>
      <c r="G48" s="67"/>
    </row>
    <row r="49" spans="1:7" ht="28" customHeight="1" x14ac:dyDescent="0.55000000000000004">
      <c r="A49" s="75" t="s">
        <v>80</v>
      </c>
      <c r="B49" s="67"/>
      <c r="C49" s="18">
        <f>D44</f>
        <v>0</v>
      </c>
      <c r="D49" s="74" t="s">
        <v>81</v>
      </c>
      <c r="E49" s="67"/>
      <c r="F49" s="77"/>
      <c r="G49" s="67"/>
    </row>
    <row r="50" spans="1:7" ht="28" customHeight="1" x14ac:dyDescent="0.55000000000000004">
      <c r="A50" s="78" t="s">
        <v>82</v>
      </c>
      <c r="B50" s="67"/>
      <c r="C50" s="18">
        <f>E44</f>
        <v>0</v>
      </c>
      <c r="D50" s="76" t="s">
        <v>83</v>
      </c>
      <c r="E50" s="67"/>
      <c r="F50" s="81"/>
      <c r="G50" s="67"/>
    </row>
    <row r="51" spans="1:7" ht="28" customHeight="1" x14ac:dyDescent="0.55000000000000004">
      <c r="A51" s="68" t="s">
        <v>84</v>
      </c>
      <c r="B51" s="67"/>
      <c r="C51" s="19" t="s">
        <v>85</v>
      </c>
      <c r="D51" s="80" t="s">
        <v>86</v>
      </c>
      <c r="E51" s="67"/>
      <c r="F51" s="99" t="s">
        <v>87</v>
      </c>
      <c r="G51" s="67"/>
    </row>
    <row r="52" spans="1:7" ht="28" customHeight="1" x14ac:dyDescent="0.55000000000000004">
      <c r="A52" s="88" t="s">
        <v>88</v>
      </c>
      <c r="B52" s="67"/>
      <c r="C52" s="20">
        <f>F44</f>
        <v>0</v>
      </c>
      <c r="D52" s="92" t="s">
        <v>89</v>
      </c>
      <c r="E52" s="67"/>
      <c r="F52" s="100" t="s">
        <v>87</v>
      </c>
      <c r="G52" s="67"/>
    </row>
    <row r="53" spans="1:7" ht="28" customHeight="1" x14ac:dyDescent="0.55000000000000004">
      <c r="A53" s="79" t="s">
        <v>90</v>
      </c>
      <c r="B53" s="67"/>
      <c r="C53" s="21" t="s">
        <v>91</v>
      </c>
      <c r="D53" s="84" t="s">
        <v>92</v>
      </c>
      <c r="E53" s="67"/>
      <c r="F53" s="105" t="s">
        <v>93</v>
      </c>
      <c r="G53" s="67"/>
    </row>
    <row r="54" spans="1:7" ht="5.05" customHeight="1" x14ac:dyDescent="0.55000000000000004">
      <c r="A54" s="1"/>
      <c r="B54" s="1"/>
      <c r="C54" s="1"/>
      <c r="D54" s="1"/>
      <c r="E54" s="1"/>
      <c r="F54" s="1"/>
      <c r="G54" s="1"/>
    </row>
    <row r="55" spans="1:7" ht="32.049999999999997" customHeight="1" x14ac:dyDescent="0.55000000000000004">
      <c r="A55" s="103" t="s">
        <v>94</v>
      </c>
      <c r="B55" s="73"/>
      <c r="C55" s="73"/>
      <c r="D55" s="67"/>
      <c r="E55" s="22" t="str">
        <f>D52</f>
        <v>→ Beyanname 464 | Kazancın Bulunması Halinde</v>
      </c>
      <c r="F55" s="98" t="s">
        <v>95</v>
      </c>
      <c r="G55" s="67"/>
    </row>
    <row r="56" spans="1:7" ht="36" customHeight="1" x14ac:dyDescent="0.55000000000000004">
      <c r="A56" s="102" t="s">
        <v>96</v>
      </c>
      <c r="B56" s="70"/>
      <c r="C56" s="70"/>
      <c r="D56" s="70"/>
      <c r="E56" s="70"/>
      <c r="F56" s="70"/>
      <c r="G56" s="71"/>
    </row>
  </sheetData>
  <mergeCells count="86">
    <mergeCell ref="A56:G56"/>
    <mergeCell ref="A55:D55"/>
    <mergeCell ref="A44:B44"/>
    <mergeCell ref="D50:E50"/>
    <mergeCell ref="A31:B31"/>
    <mergeCell ref="F53:G53"/>
    <mergeCell ref="F55:G55"/>
    <mergeCell ref="F12:G12"/>
    <mergeCell ref="F51:G51"/>
    <mergeCell ref="C17:E17"/>
    <mergeCell ref="D32:E32"/>
    <mergeCell ref="F32:G32"/>
    <mergeCell ref="C19:E19"/>
    <mergeCell ref="F27:G27"/>
    <mergeCell ref="F52:G52"/>
    <mergeCell ref="D52:E52"/>
    <mergeCell ref="D49:E49"/>
    <mergeCell ref="D27:E27"/>
    <mergeCell ref="F50:G50"/>
    <mergeCell ref="F8:G8"/>
    <mergeCell ref="D28:E28"/>
    <mergeCell ref="A16:G16"/>
    <mergeCell ref="F22:G22"/>
    <mergeCell ref="A25:G25"/>
    <mergeCell ref="D30:E30"/>
    <mergeCell ref="A12:D12"/>
    <mergeCell ref="F49:G49"/>
    <mergeCell ref="F14:G14"/>
    <mergeCell ref="A14:D14"/>
    <mergeCell ref="F11:G11"/>
    <mergeCell ref="A18:B18"/>
    <mergeCell ref="A1:G1"/>
    <mergeCell ref="F31:G31"/>
    <mergeCell ref="F28:G28"/>
    <mergeCell ref="F9:G9"/>
    <mergeCell ref="F48:G48"/>
    <mergeCell ref="A3:G3"/>
    <mergeCell ref="D29:E29"/>
    <mergeCell ref="A8:D8"/>
    <mergeCell ref="A4:G4"/>
    <mergeCell ref="A10:D10"/>
    <mergeCell ref="G44"/>
    <mergeCell ref="F21:G21"/>
    <mergeCell ref="A21:B21"/>
    <mergeCell ref="A6:G6"/>
    <mergeCell ref="A32:B32"/>
    <mergeCell ref="A2:G2"/>
    <mergeCell ref="F10:G10"/>
    <mergeCell ref="F19:G19"/>
    <mergeCell ref="C22:E22"/>
    <mergeCell ref="A9:D9"/>
    <mergeCell ref="F30:G30"/>
    <mergeCell ref="F20:G20"/>
    <mergeCell ref="F18:G18"/>
    <mergeCell ref="A11:D11"/>
    <mergeCell ref="F17:G17"/>
    <mergeCell ref="A20:B20"/>
    <mergeCell ref="A29:B29"/>
    <mergeCell ref="F13:G13"/>
    <mergeCell ref="A17:B17"/>
    <mergeCell ref="A22:B22"/>
    <mergeCell ref="A53:B53"/>
    <mergeCell ref="A46:G46"/>
    <mergeCell ref="D33:E33"/>
    <mergeCell ref="A19:B19"/>
    <mergeCell ref="D51:E51"/>
    <mergeCell ref="A28:B28"/>
    <mergeCell ref="C20:E20"/>
    <mergeCell ref="A48:B48"/>
    <mergeCell ref="A30:B30"/>
    <mergeCell ref="F33:G33"/>
    <mergeCell ref="D53:E53"/>
    <mergeCell ref="A36:G36"/>
    <mergeCell ref="A52:B52"/>
    <mergeCell ref="A13:D13"/>
    <mergeCell ref="A27:B27"/>
    <mergeCell ref="D48:E48"/>
    <mergeCell ref="A33:B33"/>
    <mergeCell ref="C18:E18"/>
    <mergeCell ref="F29:G29"/>
    <mergeCell ref="A51:B51"/>
    <mergeCell ref="A35:G35"/>
    <mergeCell ref="C21:E21"/>
    <mergeCell ref="D31:E31"/>
    <mergeCell ref="A49:B49"/>
    <mergeCell ref="A50:B50"/>
  </mergeCells>
  <conditionalFormatting sqref="E14">
    <cfRule type="containsText" dxfId="3" priority="1" operator="containsText" text="OK">
      <formula>NOT(ISERROR(SEARCH("OK",E14)))</formula>
    </cfRule>
    <cfRule type="containsText" dxfId="2" priority="2" operator="containsText" text="HATA">
      <formula>NOT(ISERROR(SEARCH("HATA",E14)))</formula>
    </cfRule>
  </conditionalFormatting>
  <dataValidations count="7">
    <dataValidation type="list" sqref="E8" xr:uid="{00000000-0002-0000-0000-000000000000}">
      <formula1>"EVET,HAYIR-Farklı Alıcı"</formula1>
    </dataValidation>
    <dataValidation type="list" sqref="E9" xr:uid="{00000000-0002-0000-0000-000001000000}">
      <formula1>"EVET,HAYIR-Henüz Yapılmadı"</formula1>
    </dataValidation>
    <dataValidation type="list" sqref="E10" xr:uid="{00000000-0002-0000-0000-000002000000}">
      <formula1>"EVET,HAYIR-Belge Eksik"</formula1>
    </dataValidation>
    <dataValidation type="list" sqref="E11" xr:uid="{00000000-0002-0000-0000-000003000000}">
      <formula1>"EVET,HAYIR-Değerleme Eksik,Uygulanmaz-Yalnızca Nakdi"</formula1>
    </dataValidation>
    <dataValidation type="list" sqref="E12" xr:uid="{00000000-0002-0000-0000-000004000000}">
      <formula1>"EVET,HAYIR-Eksik"</formula1>
    </dataValidation>
    <dataValidation type="list" sqref="E13" xr:uid="{00000000-0002-0000-0000-000005000000}">
      <formula1>"EVET,Tam Tasdik"</formula1>
    </dataValidation>
    <dataValidation type="list" sqref="C27" xr:uid="{00000000-0002-0000-0000-000006000000}">
      <formula1>"Nakdi (Banka Transferi/EFT/Havale),Ayni (Mal/Ekipman/Hizmet Olarak),Karma (Nakdi + Ayni)"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3"/>
  <sheetViews>
    <sheetView workbookViewId="0"/>
  </sheetViews>
  <sheetFormatPr defaultRowHeight="14.4" x14ac:dyDescent="0.55000000000000004"/>
  <cols>
    <col min="1" max="1" width="4" customWidth="1"/>
    <col min="2" max="2" width="42" customWidth="1"/>
    <col min="3" max="4" width="15" customWidth="1"/>
    <col min="5" max="5" width="14" customWidth="1"/>
    <col min="6" max="6" width="12" customWidth="1"/>
    <col min="7" max="7" width="18" customWidth="1"/>
  </cols>
  <sheetData>
    <row r="1" spans="1:7" ht="36" customHeight="1" x14ac:dyDescent="0.55000000000000004">
      <c r="A1" s="112" t="s">
        <v>97</v>
      </c>
      <c r="B1" s="70"/>
      <c r="C1" s="70"/>
      <c r="D1" s="70"/>
      <c r="E1" s="70"/>
      <c r="F1" s="70"/>
      <c r="G1" s="71"/>
    </row>
    <row r="2" spans="1:7" ht="20.05" customHeight="1" x14ac:dyDescent="0.55000000000000004">
      <c r="A2" s="118" t="s">
        <v>98</v>
      </c>
      <c r="B2" s="73"/>
      <c r="C2" s="73"/>
      <c r="D2" s="73"/>
      <c r="E2" s="73"/>
      <c r="F2" s="73"/>
      <c r="G2" s="67"/>
    </row>
    <row r="3" spans="1:7" ht="5.05" customHeight="1" x14ac:dyDescent="0.55000000000000004">
      <c r="A3" s="1"/>
      <c r="B3" s="1"/>
      <c r="C3" s="1"/>
      <c r="D3" s="1"/>
      <c r="E3" s="1"/>
      <c r="F3" s="1"/>
      <c r="G3" s="1"/>
    </row>
    <row r="4" spans="1:7" ht="22" customHeight="1" x14ac:dyDescent="0.55000000000000004">
      <c r="A4" s="107" t="s">
        <v>99</v>
      </c>
      <c r="B4" s="70"/>
      <c r="C4" s="70"/>
      <c r="D4" s="70"/>
      <c r="E4" s="70"/>
      <c r="F4" s="70"/>
      <c r="G4" s="71"/>
    </row>
    <row r="5" spans="1:7" ht="22" customHeight="1" x14ac:dyDescent="0.55000000000000004">
      <c r="A5" s="110" t="s">
        <v>100</v>
      </c>
      <c r="B5" s="73"/>
      <c r="C5" s="67"/>
      <c r="D5" s="23" t="str">
        <f>'VERİ GİRİŞİ'!E14</f>
        <v>OK - Hesaplanabilir</v>
      </c>
      <c r="E5" s="77" t="s">
        <v>101</v>
      </c>
      <c r="F5" s="73"/>
      <c r="G5" s="67"/>
    </row>
    <row r="6" spans="1:7" ht="22" customHeight="1" x14ac:dyDescent="0.55000000000000004">
      <c r="A6" s="116" t="s">
        <v>102</v>
      </c>
      <c r="B6" s="73"/>
      <c r="C6" s="67"/>
      <c r="D6" s="23">
        <f>'VERİ GİRİŞİ'!C48</f>
        <v>0</v>
      </c>
      <c r="E6" s="81" t="s">
        <v>103</v>
      </c>
      <c r="F6" s="73"/>
      <c r="G6" s="67"/>
    </row>
    <row r="7" spans="1:7" ht="22" customHeight="1" x14ac:dyDescent="0.55000000000000004">
      <c r="A7" s="110" t="s">
        <v>104</v>
      </c>
      <c r="B7" s="73"/>
      <c r="C7" s="67"/>
      <c r="D7" s="23">
        <f>'VERİ GİRİŞİ'!C49</f>
        <v>0</v>
      </c>
      <c r="E7" s="77" t="s">
        <v>105</v>
      </c>
      <c r="F7" s="73"/>
      <c r="G7" s="67"/>
    </row>
    <row r="8" spans="1:7" ht="22" customHeight="1" x14ac:dyDescent="0.55000000000000004">
      <c r="A8" s="97" t="s">
        <v>106</v>
      </c>
      <c r="B8" s="73"/>
      <c r="C8" s="67"/>
      <c r="D8" s="24">
        <f>'VERİ GİRİŞİ'!C52</f>
        <v>0</v>
      </c>
      <c r="E8" s="100"/>
      <c r="F8" s="73"/>
      <c r="G8" s="67"/>
    </row>
    <row r="9" spans="1:7" ht="22" customHeight="1" x14ac:dyDescent="0.55000000000000004">
      <c r="A9" s="113" t="s">
        <v>107</v>
      </c>
      <c r="B9" s="73"/>
      <c r="C9" s="67"/>
      <c r="D9" s="21" t="s">
        <v>108</v>
      </c>
      <c r="E9" s="105" t="s">
        <v>109</v>
      </c>
      <c r="F9" s="73"/>
      <c r="G9" s="67"/>
    </row>
    <row r="10" spans="1:7" ht="5.05" customHeight="1" x14ac:dyDescent="0.55000000000000004">
      <c r="A10" s="1"/>
      <c r="B10" s="1"/>
      <c r="C10" s="1"/>
      <c r="D10" s="1"/>
      <c r="E10" s="1"/>
      <c r="F10" s="1"/>
      <c r="G10" s="1"/>
    </row>
    <row r="11" spans="1:7" ht="22" customHeight="1" x14ac:dyDescent="0.55000000000000004">
      <c r="A11" s="69" t="s">
        <v>110</v>
      </c>
      <c r="B11" s="70"/>
      <c r="C11" s="70"/>
      <c r="D11" s="70"/>
      <c r="E11" s="70"/>
      <c r="F11" s="70"/>
      <c r="G11" s="71"/>
    </row>
    <row r="12" spans="1:7" ht="80.05" customHeight="1" x14ac:dyDescent="0.55000000000000004">
      <c r="A12" s="117" t="s">
        <v>111</v>
      </c>
      <c r="B12" s="73"/>
      <c r="C12" s="73"/>
      <c r="D12" s="73"/>
      <c r="E12" s="73"/>
      <c r="F12" s="73"/>
      <c r="G12" s="67"/>
    </row>
    <row r="13" spans="1:7" ht="5.05" customHeight="1" x14ac:dyDescent="0.55000000000000004">
      <c r="A13" s="1"/>
      <c r="B13" s="1"/>
      <c r="C13" s="1"/>
      <c r="D13" s="1"/>
      <c r="E13" s="1"/>
      <c r="F13" s="1"/>
      <c r="G13" s="1"/>
    </row>
    <row r="14" spans="1:7" ht="22" customHeight="1" x14ac:dyDescent="0.55000000000000004">
      <c r="A14" s="69" t="s">
        <v>112</v>
      </c>
      <c r="B14" s="70"/>
      <c r="C14" s="70"/>
      <c r="D14" s="70"/>
      <c r="E14" s="70"/>
      <c r="F14" s="70"/>
      <c r="G14" s="71"/>
    </row>
    <row r="15" spans="1:7" ht="18" customHeight="1" x14ac:dyDescent="0.55000000000000004">
      <c r="A15" s="2" t="s">
        <v>113</v>
      </c>
      <c r="B15" s="2" t="s">
        <v>114</v>
      </c>
      <c r="C15" s="2" t="s">
        <v>115</v>
      </c>
      <c r="D15" s="2" t="s">
        <v>116</v>
      </c>
      <c r="E15" s="2" t="s">
        <v>117</v>
      </c>
      <c r="F15" s="2" t="s">
        <v>107</v>
      </c>
      <c r="G15" s="2" t="s">
        <v>118</v>
      </c>
    </row>
    <row r="16" spans="1:7" ht="22" customHeight="1" x14ac:dyDescent="0.55000000000000004">
      <c r="A16" s="25" t="s">
        <v>119</v>
      </c>
      <c r="B16" s="25" t="s">
        <v>120</v>
      </c>
      <c r="C16" s="25" t="s">
        <v>121</v>
      </c>
      <c r="D16" s="25" t="s">
        <v>122</v>
      </c>
      <c r="E16" s="25" t="s">
        <v>123</v>
      </c>
      <c r="F16" s="26" t="s">
        <v>124</v>
      </c>
      <c r="G16" s="25" t="s">
        <v>119</v>
      </c>
    </row>
    <row r="17" spans="1:7" ht="22" customHeight="1" x14ac:dyDescent="0.55000000000000004">
      <c r="A17" s="27" t="s">
        <v>125</v>
      </c>
      <c r="B17" s="27" t="s">
        <v>126</v>
      </c>
      <c r="C17" s="27" t="s">
        <v>127</v>
      </c>
      <c r="D17" s="27" t="s">
        <v>128</v>
      </c>
      <c r="E17" s="27" t="s">
        <v>123</v>
      </c>
      <c r="F17" s="28" t="s">
        <v>124</v>
      </c>
      <c r="G17" s="27" t="s">
        <v>125</v>
      </c>
    </row>
    <row r="18" spans="1:7" ht="22" customHeight="1" x14ac:dyDescent="0.55000000000000004">
      <c r="A18" s="25" t="s">
        <v>129</v>
      </c>
      <c r="B18" s="25" t="s">
        <v>126</v>
      </c>
      <c r="C18" s="25" t="s">
        <v>130</v>
      </c>
      <c r="D18" s="25" t="s">
        <v>131</v>
      </c>
      <c r="E18" s="25" t="s">
        <v>123</v>
      </c>
      <c r="F18" s="26" t="s">
        <v>124</v>
      </c>
      <c r="G18" s="25" t="s">
        <v>129</v>
      </c>
    </row>
    <row r="19" spans="1:7" ht="22" customHeight="1" x14ac:dyDescent="0.55000000000000004">
      <c r="A19" s="29" t="s">
        <v>132</v>
      </c>
      <c r="B19" s="29" t="s">
        <v>133</v>
      </c>
      <c r="C19" s="29" t="s">
        <v>134</v>
      </c>
      <c r="D19" s="29" t="s">
        <v>122</v>
      </c>
      <c r="E19" s="29" t="s">
        <v>123</v>
      </c>
      <c r="F19" s="29" t="s">
        <v>124</v>
      </c>
      <c r="G19" s="29" t="s">
        <v>132</v>
      </c>
    </row>
    <row r="20" spans="1:7" ht="5.05" customHeight="1" x14ac:dyDescent="0.55000000000000004">
      <c r="A20" s="1"/>
      <c r="B20" s="1"/>
      <c r="C20" s="1"/>
      <c r="D20" s="1"/>
      <c r="E20" s="1"/>
      <c r="F20" s="1"/>
      <c r="G20" s="1"/>
    </row>
    <row r="21" spans="1:7" ht="22" customHeight="1" x14ac:dyDescent="0.55000000000000004">
      <c r="A21" s="69" t="s">
        <v>135</v>
      </c>
      <c r="B21" s="70"/>
      <c r="C21" s="70"/>
      <c r="D21" s="70"/>
      <c r="E21" s="70"/>
      <c r="F21" s="70"/>
      <c r="G21" s="71"/>
    </row>
    <row r="22" spans="1:7" ht="18" customHeight="1" x14ac:dyDescent="0.55000000000000004">
      <c r="A22" s="2"/>
      <c r="B22" s="2" t="s">
        <v>136</v>
      </c>
      <c r="C22" s="2"/>
      <c r="D22" s="2" t="s">
        <v>39</v>
      </c>
      <c r="E22" s="2"/>
      <c r="F22" s="2" t="s">
        <v>137</v>
      </c>
      <c r="G22" s="2"/>
    </row>
    <row r="23" spans="1:7" ht="20.05" customHeight="1" x14ac:dyDescent="0.55000000000000004">
      <c r="A23" s="30" t="s">
        <v>138</v>
      </c>
      <c r="B23" s="106" t="s">
        <v>139</v>
      </c>
      <c r="C23" s="67"/>
      <c r="D23" s="114" t="s">
        <v>140</v>
      </c>
      <c r="E23" s="67"/>
      <c r="F23" s="13" t="s">
        <v>141</v>
      </c>
      <c r="G23" s="33"/>
    </row>
    <row r="24" spans="1:7" ht="20.05" customHeight="1" x14ac:dyDescent="0.55000000000000004">
      <c r="A24" s="30" t="s">
        <v>142</v>
      </c>
      <c r="B24" s="106" t="s">
        <v>143</v>
      </c>
      <c r="C24" s="67"/>
      <c r="D24" s="114" t="s">
        <v>144</v>
      </c>
      <c r="E24" s="67"/>
      <c r="F24" s="13" t="s">
        <v>141</v>
      </c>
      <c r="G24" s="34"/>
    </row>
    <row r="25" spans="1:7" ht="20.05" customHeight="1" x14ac:dyDescent="0.55000000000000004">
      <c r="A25" s="30" t="s">
        <v>145</v>
      </c>
      <c r="B25" s="106" t="s">
        <v>146</v>
      </c>
      <c r="C25" s="67"/>
      <c r="D25" s="114" t="s">
        <v>147</v>
      </c>
      <c r="E25" s="67"/>
      <c r="F25" s="13" t="s">
        <v>141</v>
      </c>
      <c r="G25" s="33"/>
    </row>
    <row r="26" spans="1:7" ht="20.05" customHeight="1" x14ac:dyDescent="0.55000000000000004">
      <c r="A26" s="30" t="s">
        <v>148</v>
      </c>
      <c r="B26" s="115" t="s">
        <v>149</v>
      </c>
      <c r="C26" s="67"/>
      <c r="D26" s="111" t="s">
        <v>150</v>
      </c>
      <c r="E26" s="67"/>
      <c r="F26" s="13" t="s">
        <v>141</v>
      </c>
      <c r="G26" s="34"/>
    </row>
    <row r="27" spans="1:7" ht="20.05" customHeight="1" x14ac:dyDescent="0.55000000000000004">
      <c r="A27" s="30" t="s">
        <v>151</v>
      </c>
      <c r="B27" s="108" t="s">
        <v>152</v>
      </c>
      <c r="C27" s="67"/>
      <c r="D27" s="109" t="s">
        <v>153</v>
      </c>
      <c r="E27" s="67"/>
      <c r="F27" s="13" t="s">
        <v>141</v>
      </c>
      <c r="G27" s="33"/>
    </row>
    <row r="28" spans="1:7" ht="20.05" customHeight="1" x14ac:dyDescent="0.55000000000000004">
      <c r="A28" s="30" t="s">
        <v>154</v>
      </c>
      <c r="B28" s="106" t="s">
        <v>155</v>
      </c>
      <c r="C28" s="67"/>
      <c r="D28" s="114" t="s">
        <v>156</v>
      </c>
      <c r="E28" s="67"/>
      <c r="F28" s="13" t="s">
        <v>141</v>
      </c>
      <c r="G28" s="34"/>
    </row>
    <row r="29" spans="1:7" ht="20.05" customHeight="1" x14ac:dyDescent="0.55000000000000004">
      <c r="A29" s="30" t="s">
        <v>157</v>
      </c>
      <c r="B29" s="108" t="s">
        <v>158</v>
      </c>
      <c r="C29" s="67"/>
      <c r="D29" s="109" t="s">
        <v>159</v>
      </c>
      <c r="E29" s="67"/>
      <c r="F29" s="13" t="s">
        <v>141</v>
      </c>
      <c r="G29" s="33"/>
    </row>
    <row r="30" spans="1:7" ht="20.05" customHeight="1" x14ac:dyDescent="0.55000000000000004">
      <c r="A30" s="30" t="s">
        <v>160</v>
      </c>
      <c r="B30" s="115" t="s">
        <v>161</v>
      </c>
      <c r="C30" s="67"/>
      <c r="D30" s="111" t="s">
        <v>162</v>
      </c>
      <c r="E30" s="67"/>
      <c r="F30" s="13" t="s">
        <v>141</v>
      </c>
      <c r="G30" s="34"/>
    </row>
    <row r="31" spans="1:7" ht="20.05" customHeight="1" x14ac:dyDescent="0.55000000000000004">
      <c r="A31" s="30" t="s">
        <v>163</v>
      </c>
      <c r="B31" s="108" t="s">
        <v>164</v>
      </c>
      <c r="C31" s="67"/>
      <c r="D31" s="109" t="s">
        <v>165</v>
      </c>
      <c r="E31" s="67"/>
      <c r="F31" s="13" t="s">
        <v>141</v>
      </c>
      <c r="G31" s="33"/>
    </row>
    <row r="32" spans="1:7" ht="20.05" customHeight="1" x14ac:dyDescent="0.55000000000000004">
      <c r="A32" s="30" t="s">
        <v>166</v>
      </c>
      <c r="B32" s="115" t="s">
        <v>167</v>
      </c>
      <c r="C32" s="67"/>
      <c r="D32" s="111" t="s">
        <v>168</v>
      </c>
      <c r="E32" s="67"/>
      <c r="F32" s="13" t="s">
        <v>141</v>
      </c>
      <c r="G32" s="34"/>
    </row>
    <row r="33" spans="1:7" ht="20.05" customHeight="1" x14ac:dyDescent="0.55000000000000004">
      <c r="A33" s="30" t="s">
        <v>169</v>
      </c>
      <c r="B33" s="108" t="s">
        <v>170</v>
      </c>
      <c r="C33" s="67"/>
      <c r="D33" s="109" t="s">
        <v>20</v>
      </c>
      <c r="E33" s="67"/>
      <c r="F33" s="13" t="s">
        <v>141</v>
      </c>
      <c r="G33" s="33"/>
    </row>
  </sheetData>
  <mergeCells count="39">
    <mergeCell ref="B33:C33"/>
    <mergeCell ref="E5:G5"/>
    <mergeCell ref="A21:G21"/>
    <mergeCell ref="D29:E29"/>
    <mergeCell ref="D33:E33"/>
    <mergeCell ref="A6:C6"/>
    <mergeCell ref="E8:G8"/>
    <mergeCell ref="A12:G12"/>
    <mergeCell ref="D23:E23"/>
    <mergeCell ref="B32:C32"/>
    <mergeCell ref="B26:C26"/>
    <mergeCell ref="A7:C7"/>
    <mergeCell ref="D26:E26"/>
    <mergeCell ref="D32:E32"/>
    <mergeCell ref="A11:G11"/>
    <mergeCell ref="E7:G7"/>
    <mergeCell ref="A1:G1"/>
    <mergeCell ref="B29:C29"/>
    <mergeCell ref="B28:C28"/>
    <mergeCell ref="A9:C9"/>
    <mergeCell ref="D28:E28"/>
    <mergeCell ref="D25:E25"/>
    <mergeCell ref="B24:C24"/>
    <mergeCell ref="B30:C30"/>
    <mergeCell ref="D24:E24"/>
    <mergeCell ref="D30:E30"/>
    <mergeCell ref="A2:G2"/>
    <mergeCell ref="A14:G14"/>
    <mergeCell ref="B25:C25"/>
    <mergeCell ref="A4:G4"/>
    <mergeCell ref="E9:G9"/>
    <mergeCell ref="B31:C31"/>
    <mergeCell ref="B27:C27"/>
    <mergeCell ref="D31:E31"/>
    <mergeCell ref="E6:G6"/>
    <mergeCell ref="A5:C5"/>
    <mergeCell ref="A8:C8"/>
    <mergeCell ref="D27:E27"/>
    <mergeCell ref="B23:C23"/>
  </mergeCells>
  <conditionalFormatting sqref="D5">
    <cfRule type="containsText" dxfId="1" priority="1" operator="containsText" text="OK">
      <formula>NOT(ISERROR(SEARCH("OK",D5)))</formula>
    </cfRule>
    <cfRule type="containsText" dxfId="0" priority="2" operator="containsText" text="HATA">
      <formula>NOT(ISERROR(SEARCH("HATA",D5)))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"/>
  <sheetViews>
    <sheetView workbookViewId="0"/>
  </sheetViews>
  <sheetFormatPr defaultRowHeight="14.4" x14ac:dyDescent="0.55000000000000004"/>
  <cols>
    <col min="1" max="1" width="4" customWidth="1"/>
    <col min="2" max="2" width="10" customWidth="1"/>
    <col min="3" max="3" width="28" customWidth="1"/>
    <col min="4" max="4" width="22" customWidth="1"/>
    <col min="5" max="6" width="14" customWidth="1"/>
    <col min="7" max="7" width="20" customWidth="1"/>
  </cols>
  <sheetData>
    <row r="1" spans="1:7" ht="32.049999999999997" customHeight="1" x14ac:dyDescent="0.55000000000000004">
      <c r="A1" s="69" t="s">
        <v>171</v>
      </c>
      <c r="B1" s="70"/>
      <c r="C1" s="70"/>
      <c r="D1" s="70"/>
      <c r="E1" s="70"/>
      <c r="F1" s="70"/>
      <c r="G1" s="71"/>
    </row>
    <row r="2" spans="1:7" ht="22" customHeight="1" x14ac:dyDescent="0.55000000000000004">
      <c r="A2" s="121" t="s">
        <v>172</v>
      </c>
      <c r="B2" s="73"/>
      <c r="C2" s="73"/>
      <c r="D2" s="73"/>
      <c r="E2" s="73"/>
      <c r="F2" s="73"/>
      <c r="G2" s="67"/>
    </row>
    <row r="3" spans="1:7" ht="18" customHeight="1" x14ac:dyDescent="0.55000000000000004">
      <c r="A3" s="37"/>
      <c r="B3" s="37" t="s">
        <v>173</v>
      </c>
      <c r="C3" s="37" t="s">
        <v>174</v>
      </c>
      <c r="D3" s="37" t="s">
        <v>77</v>
      </c>
      <c r="E3" s="37" t="s">
        <v>175</v>
      </c>
      <c r="F3" s="37" t="s">
        <v>176</v>
      </c>
      <c r="G3" s="37" t="s">
        <v>177</v>
      </c>
    </row>
    <row r="4" spans="1:7" ht="24" customHeight="1" x14ac:dyDescent="0.55000000000000004">
      <c r="A4" s="38" t="s">
        <v>175</v>
      </c>
      <c r="B4" s="38" t="s">
        <v>178</v>
      </c>
      <c r="C4" s="38" t="s">
        <v>179</v>
      </c>
      <c r="D4" s="38" t="s">
        <v>180</v>
      </c>
      <c r="E4" s="38" t="s">
        <v>181</v>
      </c>
      <c r="F4" s="38" t="s">
        <v>182</v>
      </c>
      <c r="G4" s="38" t="s">
        <v>183</v>
      </c>
    </row>
    <row r="5" spans="1:7" ht="24" customHeight="1" x14ac:dyDescent="0.55000000000000004">
      <c r="A5" s="39" t="s">
        <v>176</v>
      </c>
      <c r="B5" s="39" t="s">
        <v>178</v>
      </c>
      <c r="C5" s="39" t="s">
        <v>184</v>
      </c>
      <c r="D5" s="39" t="s">
        <v>185</v>
      </c>
      <c r="E5" s="39" t="s">
        <v>182</v>
      </c>
      <c r="F5" s="39" t="s">
        <v>181</v>
      </c>
      <c r="G5" s="39" t="s">
        <v>50</v>
      </c>
    </row>
    <row r="6" spans="1:7" ht="22" customHeight="1" x14ac:dyDescent="0.55000000000000004">
      <c r="A6" s="120" t="s">
        <v>186</v>
      </c>
      <c r="B6" s="73"/>
      <c r="C6" s="73"/>
      <c r="D6" s="73"/>
      <c r="E6" s="73"/>
      <c r="F6" s="73"/>
      <c r="G6" s="67"/>
    </row>
    <row r="7" spans="1:7" ht="18" customHeight="1" x14ac:dyDescent="0.55000000000000004">
      <c r="A7" s="37"/>
      <c r="B7" s="37" t="s">
        <v>173</v>
      </c>
      <c r="C7" s="37" t="s">
        <v>174</v>
      </c>
      <c r="D7" s="37" t="s">
        <v>77</v>
      </c>
      <c r="E7" s="37" t="s">
        <v>175</v>
      </c>
      <c r="F7" s="37" t="s">
        <v>176</v>
      </c>
      <c r="G7" s="37" t="s">
        <v>177</v>
      </c>
    </row>
    <row r="8" spans="1:7" ht="22" customHeight="1" x14ac:dyDescent="0.55000000000000004">
      <c r="A8" s="38" t="s">
        <v>175</v>
      </c>
      <c r="B8" s="38" t="s">
        <v>187</v>
      </c>
      <c r="C8" s="38" t="s">
        <v>188</v>
      </c>
      <c r="D8" s="38" t="s">
        <v>189</v>
      </c>
      <c r="E8" s="38" t="s">
        <v>190</v>
      </c>
      <c r="F8" s="38" t="s">
        <v>182</v>
      </c>
      <c r="G8" s="38" t="s">
        <v>191</v>
      </c>
    </row>
    <row r="9" spans="1:7" ht="22" customHeight="1" x14ac:dyDescent="0.55000000000000004">
      <c r="A9" s="39" t="s">
        <v>176</v>
      </c>
      <c r="B9" s="39" t="s">
        <v>187</v>
      </c>
      <c r="C9" s="39" t="s">
        <v>192</v>
      </c>
      <c r="D9" s="39" t="s">
        <v>193</v>
      </c>
      <c r="E9" s="39" t="s">
        <v>182</v>
      </c>
      <c r="F9" s="39" t="s">
        <v>190</v>
      </c>
      <c r="G9" s="39" t="s">
        <v>53</v>
      </c>
    </row>
    <row r="10" spans="1:7" ht="22" customHeight="1" x14ac:dyDescent="0.55000000000000004">
      <c r="A10" s="122" t="s">
        <v>194</v>
      </c>
      <c r="B10" s="73"/>
      <c r="C10" s="73"/>
      <c r="D10" s="73"/>
      <c r="E10" s="73"/>
      <c r="F10" s="73"/>
      <c r="G10" s="67"/>
    </row>
    <row r="11" spans="1:7" ht="18" customHeight="1" x14ac:dyDescent="0.55000000000000004">
      <c r="A11" s="37"/>
      <c r="B11" s="37" t="s">
        <v>173</v>
      </c>
      <c r="C11" s="37" t="s">
        <v>174</v>
      </c>
      <c r="D11" s="37" t="s">
        <v>77</v>
      </c>
      <c r="E11" s="37" t="s">
        <v>175</v>
      </c>
      <c r="F11" s="37" t="s">
        <v>176</v>
      </c>
      <c r="G11" s="37" t="s">
        <v>177</v>
      </c>
    </row>
    <row r="12" spans="1:7" ht="22" customHeight="1" x14ac:dyDescent="0.55000000000000004">
      <c r="A12" s="38" t="s">
        <v>175</v>
      </c>
      <c r="B12" s="38" t="s">
        <v>195</v>
      </c>
      <c r="C12" s="38" t="s">
        <v>196</v>
      </c>
      <c r="D12" s="38" t="s">
        <v>197</v>
      </c>
      <c r="E12" s="38" t="s">
        <v>181</v>
      </c>
      <c r="F12" s="38" t="s">
        <v>182</v>
      </c>
      <c r="G12" s="38" t="s">
        <v>198</v>
      </c>
    </row>
    <row r="13" spans="1:7" ht="22" customHeight="1" x14ac:dyDescent="0.55000000000000004">
      <c r="A13" s="39" t="s">
        <v>176</v>
      </c>
      <c r="B13" s="39" t="s">
        <v>195</v>
      </c>
      <c r="C13" s="39" t="s">
        <v>199</v>
      </c>
      <c r="D13" s="39" t="s">
        <v>200</v>
      </c>
      <c r="E13" s="39" t="s">
        <v>182</v>
      </c>
      <c r="F13" s="39" t="s">
        <v>181</v>
      </c>
      <c r="G13" s="39" t="s">
        <v>198</v>
      </c>
    </row>
    <row r="14" spans="1:7" ht="44.05" customHeight="1" x14ac:dyDescent="0.55000000000000004">
      <c r="A14" s="119" t="s">
        <v>201</v>
      </c>
      <c r="B14" s="73"/>
      <c r="C14" s="73"/>
      <c r="D14" s="73"/>
      <c r="E14" s="73"/>
      <c r="F14" s="73"/>
      <c r="G14" s="67"/>
    </row>
  </sheetData>
  <mergeCells count="5">
    <mergeCell ref="A14:G14"/>
    <mergeCell ref="A1:G1"/>
    <mergeCell ref="A6:G6"/>
    <mergeCell ref="A2:G2"/>
    <mergeCell ref="A10:G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/>
  </sheetViews>
  <sheetFormatPr defaultRowHeight="14.4" x14ac:dyDescent="0.55000000000000004"/>
  <cols>
    <col min="1" max="1" width="4" customWidth="1"/>
    <col min="2" max="2" width="24" customWidth="1"/>
    <col min="3" max="3" width="50" customWidth="1"/>
    <col min="4" max="4" width="22" customWidth="1"/>
  </cols>
  <sheetData>
    <row r="1" spans="1:7" ht="32.049999999999997" customHeight="1" x14ac:dyDescent="0.55000000000000004">
      <c r="A1" s="69" t="s">
        <v>202</v>
      </c>
      <c r="B1" s="70"/>
      <c r="C1" s="70"/>
      <c r="D1" s="70"/>
      <c r="E1" s="70"/>
      <c r="F1" s="70"/>
      <c r="G1" s="71"/>
    </row>
    <row r="2" spans="1:7" ht="20.05" customHeight="1" x14ac:dyDescent="0.55000000000000004">
      <c r="A2" s="95" t="s">
        <v>203</v>
      </c>
      <c r="B2" s="70"/>
      <c r="C2" s="70"/>
      <c r="D2" s="70"/>
      <c r="E2" s="70"/>
      <c r="F2" s="70"/>
      <c r="G2" s="71"/>
    </row>
    <row r="3" spans="1:7" ht="18" customHeight="1" x14ac:dyDescent="0.55000000000000004">
      <c r="A3" s="37" t="s">
        <v>113</v>
      </c>
      <c r="B3" s="37" t="s">
        <v>114</v>
      </c>
      <c r="C3" s="37" t="s">
        <v>204</v>
      </c>
      <c r="D3" s="37" t="s">
        <v>205</v>
      </c>
    </row>
    <row r="4" spans="1:7" ht="72" customHeight="1" x14ac:dyDescent="0.55000000000000004">
      <c r="A4" s="30" t="s">
        <v>206</v>
      </c>
      <c r="B4" s="35" t="s">
        <v>207</v>
      </c>
      <c r="C4" s="40" t="s">
        <v>208</v>
      </c>
      <c r="D4" s="41" t="s">
        <v>209</v>
      </c>
    </row>
    <row r="5" spans="1:7" ht="52" customHeight="1" x14ac:dyDescent="0.55000000000000004">
      <c r="A5" s="42" t="s">
        <v>210</v>
      </c>
      <c r="B5" s="31" t="s">
        <v>211</v>
      </c>
      <c r="C5" s="32" t="s">
        <v>212</v>
      </c>
      <c r="D5" s="43" t="s">
        <v>213</v>
      </c>
    </row>
    <row r="6" spans="1:7" ht="52" customHeight="1" x14ac:dyDescent="0.55000000000000004">
      <c r="A6" s="30" t="s">
        <v>214</v>
      </c>
      <c r="B6" s="35" t="s">
        <v>215</v>
      </c>
      <c r="C6" s="40" t="s">
        <v>216</v>
      </c>
      <c r="D6" s="41" t="s">
        <v>217</v>
      </c>
    </row>
    <row r="7" spans="1:7" ht="52" customHeight="1" x14ac:dyDescent="0.55000000000000004">
      <c r="A7" s="30" t="s">
        <v>218</v>
      </c>
      <c r="B7" s="35" t="s">
        <v>219</v>
      </c>
      <c r="C7" s="40" t="s">
        <v>220</v>
      </c>
      <c r="D7" s="41" t="s">
        <v>221</v>
      </c>
    </row>
    <row r="8" spans="1:7" ht="72" customHeight="1" x14ac:dyDescent="0.55000000000000004">
      <c r="A8" s="30" t="s">
        <v>222</v>
      </c>
      <c r="B8" s="36" t="s">
        <v>223</v>
      </c>
      <c r="C8" s="40" t="s">
        <v>224</v>
      </c>
      <c r="D8" s="44" t="s">
        <v>225</v>
      </c>
    </row>
    <row r="9" spans="1:7" ht="36" customHeight="1" x14ac:dyDescent="0.55000000000000004">
      <c r="A9" s="123" t="s">
        <v>226</v>
      </c>
      <c r="B9" s="73"/>
      <c r="C9" s="73"/>
      <c r="D9" s="67"/>
      <c r="E9" s="45"/>
      <c r="F9" s="45"/>
      <c r="G9" s="45"/>
    </row>
  </sheetData>
  <mergeCells count="3">
    <mergeCell ref="A9:D9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5"/>
  <sheetViews>
    <sheetView workbookViewId="0"/>
  </sheetViews>
  <sheetFormatPr defaultRowHeight="14.4" x14ac:dyDescent="0.55000000000000004"/>
  <cols>
    <col min="1" max="1" width="3" customWidth="1"/>
    <col min="2" max="2" width="8" customWidth="1"/>
    <col min="3" max="3" width="40" customWidth="1"/>
    <col min="4" max="4" width="34" customWidth="1"/>
    <col min="5" max="5" width="22" customWidth="1"/>
    <col min="6" max="6" width="3" customWidth="1"/>
  </cols>
  <sheetData>
    <row r="1" spans="1:7" ht="34" customHeight="1" x14ac:dyDescent="0.55000000000000004">
      <c r="A1" s="69" t="s">
        <v>227</v>
      </c>
      <c r="B1" s="70"/>
      <c r="C1" s="70"/>
      <c r="D1" s="70"/>
      <c r="E1" s="70"/>
      <c r="F1" s="70"/>
      <c r="G1" s="71"/>
    </row>
    <row r="2" spans="1:7" ht="20.05" customHeight="1" x14ac:dyDescent="0.55000000000000004">
      <c r="A2" s="95" t="s">
        <v>228</v>
      </c>
      <c r="B2" s="70"/>
      <c r="C2" s="70"/>
      <c r="D2" s="70"/>
      <c r="E2" s="70"/>
      <c r="F2" s="70"/>
      <c r="G2" s="71"/>
    </row>
    <row r="3" spans="1:7" ht="5.05" customHeight="1" x14ac:dyDescent="0.55000000000000004">
      <c r="A3" s="1"/>
      <c r="B3" s="1"/>
      <c r="C3" s="1"/>
      <c r="D3" s="1"/>
      <c r="E3" s="1"/>
      <c r="F3" s="1"/>
      <c r="G3" s="1"/>
    </row>
    <row r="4" spans="1:7" ht="22" customHeight="1" x14ac:dyDescent="0.55000000000000004">
      <c r="A4" s="125" t="s">
        <v>229</v>
      </c>
      <c r="B4" s="70"/>
      <c r="C4" s="70"/>
      <c r="D4" s="70"/>
      <c r="E4" s="70"/>
      <c r="F4" s="70"/>
      <c r="G4" s="71"/>
    </row>
    <row r="5" spans="1:7" ht="18" customHeight="1" x14ac:dyDescent="0.55000000000000004">
      <c r="A5" s="37"/>
      <c r="B5" s="37" t="s">
        <v>230</v>
      </c>
      <c r="C5" s="37" t="s">
        <v>44</v>
      </c>
      <c r="D5" s="37" t="s">
        <v>39</v>
      </c>
      <c r="E5" s="37" t="s">
        <v>231</v>
      </c>
      <c r="F5" s="37"/>
    </row>
    <row r="6" spans="1:7" ht="38.049999999999997" customHeight="1" x14ac:dyDescent="0.55000000000000004">
      <c r="A6" s="46"/>
      <c r="B6" s="47" t="s">
        <v>232</v>
      </c>
      <c r="C6" s="48" t="s">
        <v>233</v>
      </c>
      <c r="D6" s="49" t="s">
        <v>234</v>
      </c>
      <c r="E6" s="50" t="s">
        <v>235</v>
      </c>
      <c r="F6" s="46"/>
    </row>
    <row r="7" spans="1:7" ht="38.049999999999997" customHeight="1" x14ac:dyDescent="0.55000000000000004">
      <c r="A7" s="33"/>
      <c r="B7" s="51" t="s">
        <v>236</v>
      </c>
      <c r="C7" s="52" t="s">
        <v>237</v>
      </c>
      <c r="D7" s="49" t="s">
        <v>238</v>
      </c>
      <c r="E7" s="53" t="s">
        <v>239</v>
      </c>
      <c r="F7" s="33"/>
    </row>
    <row r="8" spans="1:7" ht="38.049999999999997" customHeight="1" x14ac:dyDescent="0.55000000000000004">
      <c r="A8" s="46"/>
      <c r="B8" s="47" t="s">
        <v>240</v>
      </c>
      <c r="C8" s="54" t="s">
        <v>241</v>
      </c>
      <c r="D8" s="49" t="s">
        <v>242</v>
      </c>
      <c r="E8" s="50" t="s">
        <v>243</v>
      </c>
      <c r="F8" s="46"/>
    </row>
    <row r="9" spans="1:7" ht="38.049999999999997" customHeight="1" x14ac:dyDescent="0.55000000000000004">
      <c r="A9" s="33"/>
      <c r="B9" s="51" t="s">
        <v>244</v>
      </c>
      <c r="C9" s="36" t="s">
        <v>245</v>
      </c>
      <c r="D9" s="49" t="s">
        <v>246</v>
      </c>
      <c r="E9" s="53" t="s">
        <v>247</v>
      </c>
      <c r="F9" s="33"/>
    </row>
    <row r="10" spans="1:7" ht="38.049999999999997" customHeight="1" x14ac:dyDescent="0.55000000000000004">
      <c r="A10" s="46"/>
      <c r="B10" s="47" t="s">
        <v>248</v>
      </c>
      <c r="C10" s="54" t="s">
        <v>249</v>
      </c>
      <c r="D10" s="49" t="s">
        <v>250</v>
      </c>
      <c r="E10" s="50" t="s">
        <v>251</v>
      </c>
      <c r="F10" s="46"/>
    </row>
    <row r="11" spans="1:7" ht="5.05" customHeight="1" x14ac:dyDescent="0.55000000000000004">
      <c r="A11" s="1"/>
      <c r="B11" s="1"/>
      <c r="C11" s="1"/>
      <c r="D11" s="1"/>
      <c r="E11" s="1"/>
      <c r="F11" s="1"/>
      <c r="G11" s="1"/>
    </row>
    <row r="12" spans="1:7" ht="22" customHeight="1" x14ac:dyDescent="0.55000000000000004">
      <c r="A12" s="124" t="s">
        <v>252</v>
      </c>
      <c r="B12" s="70"/>
      <c r="C12" s="70"/>
      <c r="D12" s="70"/>
      <c r="E12" s="70"/>
      <c r="F12" s="70"/>
      <c r="G12" s="71"/>
    </row>
    <row r="13" spans="1:7" ht="18" customHeight="1" x14ac:dyDescent="0.55000000000000004">
      <c r="A13" s="55"/>
      <c r="B13" s="55" t="s">
        <v>230</v>
      </c>
      <c r="C13" s="55" t="s">
        <v>5</v>
      </c>
      <c r="D13" s="55" t="s">
        <v>253</v>
      </c>
      <c r="E13" s="55" t="s">
        <v>254</v>
      </c>
      <c r="F13" s="55"/>
    </row>
    <row r="14" spans="1:7" ht="28" customHeight="1" x14ac:dyDescent="0.55000000000000004">
      <c r="A14" s="56"/>
      <c r="B14" s="57" t="s">
        <v>255</v>
      </c>
      <c r="C14" s="58" t="s">
        <v>256</v>
      </c>
      <c r="D14" s="59" t="s">
        <v>140</v>
      </c>
      <c r="E14" s="60" t="s">
        <v>257</v>
      </c>
      <c r="F14" s="56"/>
    </row>
    <row r="15" spans="1:7" ht="28" customHeight="1" x14ac:dyDescent="0.55000000000000004">
      <c r="A15" s="56"/>
      <c r="B15" s="57" t="s">
        <v>258</v>
      </c>
      <c r="C15" s="58" t="s">
        <v>259</v>
      </c>
      <c r="D15" s="59" t="s">
        <v>260</v>
      </c>
      <c r="E15" s="60" t="s">
        <v>257</v>
      </c>
      <c r="F15" s="56"/>
    </row>
    <row r="16" spans="1:7" ht="28" customHeight="1" x14ac:dyDescent="0.55000000000000004">
      <c r="A16" s="56"/>
      <c r="B16" s="57" t="s">
        <v>261</v>
      </c>
      <c r="C16" s="58" t="s">
        <v>262</v>
      </c>
      <c r="D16" s="59" t="s">
        <v>263</v>
      </c>
      <c r="E16" s="60" t="s">
        <v>257</v>
      </c>
      <c r="F16" s="56"/>
    </row>
    <row r="17" spans="1:7" ht="28" customHeight="1" x14ac:dyDescent="0.55000000000000004">
      <c r="A17" s="61"/>
      <c r="B17" s="62" t="s">
        <v>264</v>
      </c>
      <c r="C17" s="63" t="s">
        <v>265</v>
      </c>
      <c r="D17" s="64" t="s">
        <v>266</v>
      </c>
      <c r="E17" s="65" t="s">
        <v>257</v>
      </c>
      <c r="F17" s="61"/>
    </row>
    <row r="18" spans="1:7" ht="28" customHeight="1" x14ac:dyDescent="0.55000000000000004">
      <c r="A18" s="56"/>
      <c r="B18" s="57" t="s">
        <v>267</v>
      </c>
      <c r="C18" s="58" t="s">
        <v>268</v>
      </c>
      <c r="D18" s="59" t="s">
        <v>156</v>
      </c>
      <c r="E18" s="60" t="s">
        <v>257</v>
      </c>
      <c r="F18" s="56"/>
    </row>
    <row r="19" spans="1:7" ht="28" customHeight="1" x14ac:dyDescent="0.55000000000000004">
      <c r="A19" s="61"/>
      <c r="B19" s="62" t="s">
        <v>269</v>
      </c>
      <c r="C19" s="63" t="s">
        <v>270</v>
      </c>
      <c r="D19" s="64" t="s">
        <v>271</v>
      </c>
      <c r="E19" s="65" t="s">
        <v>257</v>
      </c>
      <c r="F19" s="61"/>
    </row>
    <row r="20" spans="1:7" ht="28" customHeight="1" x14ac:dyDescent="0.55000000000000004">
      <c r="A20" s="61"/>
      <c r="B20" s="62" t="s">
        <v>272</v>
      </c>
      <c r="C20" s="63" t="s">
        <v>273</v>
      </c>
      <c r="D20" s="64" t="s">
        <v>159</v>
      </c>
      <c r="E20" s="65" t="s">
        <v>257</v>
      </c>
      <c r="F20" s="61"/>
    </row>
    <row r="21" spans="1:7" ht="28" customHeight="1" x14ac:dyDescent="0.55000000000000004">
      <c r="A21" s="61"/>
      <c r="B21" s="62" t="s">
        <v>274</v>
      </c>
      <c r="C21" s="63" t="s">
        <v>275</v>
      </c>
      <c r="D21" s="64" t="s">
        <v>276</v>
      </c>
      <c r="E21" s="65" t="s">
        <v>257</v>
      </c>
      <c r="F21" s="61"/>
    </row>
    <row r="22" spans="1:7" ht="28" customHeight="1" x14ac:dyDescent="0.55000000000000004">
      <c r="A22" s="61"/>
      <c r="B22" s="62" t="s">
        <v>277</v>
      </c>
      <c r="C22" s="63" t="s">
        <v>278</v>
      </c>
      <c r="D22" s="64" t="s">
        <v>168</v>
      </c>
      <c r="E22" s="65" t="s">
        <v>257</v>
      </c>
      <c r="F22" s="61"/>
    </row>
    <row r="23" spans="1:7" ht="28" customHeight="1" x14ac:dyDescent="0.55000000000000004">
      <c r="A23" s="61"/>
      <c r="B23" s="62" t="s">
        <v>279</v>
      </c>
      <c r="C23" s="63" t="s">
        <v>280</v>
      </c>
      <c r="D23" s="64" t="s">
        <v>281</v>
      </c>
      <c r="E23" s="65" t="s">
        <v>257</v>
      </c>
      <c r="F23" s="61"/>
    </row>
    <row r="24" spans="1:7" ht="5.05" customHeight="1" x14ac:dyDescent="0.55000000000000004">
      <c r="A24" s="1"/>
      <c r="B24" s="1"/>
      <c r="C24" s="1"/>
      <c r="D24" s="1"/>
      <c r="E24" s="1"/>
      <c r="F24" s="1"/>
      <c r="G24" s="1"/>
    </row>
    <row r="25" spans="1:7" ht="56.05" customHeight="1" x14ac:dyDescent="0.55000000000000004">
      <c r="A25" s="123" t="s">
        <v>282</v>
      </c>
      <c r="B25" s="73"/>
      <c r="C25" s="73"/>
      <c r="D25" s="73"/>
      <c r="E25" s="73"/>
      <c r="F25" s="67"/>
      <c r="G25" s="45"/>
    </row>
  </sheetData>
  <mergeCells count="5">
    <mergeCell ref="A1:G1"/>
    <mergeCell ref="A12:G12"/>
    <mergeCell ref="A4:G4"/>
    <mergeCell ref="A2:G2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VERİ GİRİŞİ</vt:lpstr>
      <vt:lpstr>HESAPLAMALAR &amp; KONTROL</vt:lpstr>
      <vt:lpstr>MUHASEBE KAYITLARI</vt:lpstr>
      <vt:lpstr>DENETCİ NOTLARI</vt:lpstr>
      <vt:lpstr>BELGE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Aydın DEDE</cp:lastModifiedBy>
  <dcterms:created xsi:type="dcterms:W3CDTF">2026-04-06T06:42:54Z</dcterms:created>
  <dcterms:modified xsi:type="dcterms:W3CDTF">2026-04-06T07:03:53Z</dcterms:modified>
</cp:coreProperties>
</file>