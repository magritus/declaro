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CEABEC64-F601-42D6-9BED-5B9FAFDFC84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E6" i="2"/>
  <c r="E56" i="1"/>
  <c r="E57" i="1" s="1"/>
  <c r="E10" i="2" s="1"/>
  <c r="E52" i="1"/>
  <c r="E53" i="1" s="1"/>
  <c r="D47" i="1"/>
  <c r="C47" i="1"/>
  <c r="E46" i="1"/>
  <c r="G46" i="1" s="1"/>
  <c r="G45" i="1"/>
  <c r="E45" i="1"/>
  <c r="G44" i="1"/>
  <c r="E44" i="1"/>
  <c r="G43" i="1"/>
  <c r="E43" i="1"/>
  <c r="E42" i="1"/>
  <c r="G42" i="1" s="1"/>
  <c r="G41" i="1"/>
  <c r="E41" i="1"/>
  <c r="E47" i="1" s="1"/>
  <c r="E36" i="1"/>
  <c r="F16" i="1"/>
  <c r="E5" i="2" s="1"/>
  <c r="E59" i="1" l="1"/>
  <c r="E11" i="2" s="1"/>
  <c r="E8" i="2"/>
  <c r="G47" i="1"/>
  <c r="E7" i="2"/>
  <c r="E9" i="2"/>
</calcChain>
</file>

<file path=xl/sharedStrings.xml><?xml version="1.0" encoding="utf-8"?>
<sst xmlns="http://schemas.openxmlformats.org/spreadsheetml/2006/main" count="334" uniqueCount="274">
  <si>
    <t>404 – KÜLTÜR VE TURİZM AMAÇLI BAĞIŞ VE YARDIMLAR | KVK Mad. 10/1-d | YMM TASDİK</t>
  </si>
  <si>
    <t>Beyanname 404 | GİB KV Beyan Rehberi Mart 2026 (No:606) | ✗ YİAKV MATRAHINDA DÜŞÜLEMEZ</t>
  </si>
  <si>
    <t xml:space="preserve">  KVK Md.10/1-d KAPSAMI — KÜLTÜR VE TURİZM AMAÇLI BAĞIŞ VE YARDIMLAR:
  ★ İNDİRİM ORANI ALICIYA GÖRE DEĞİŞİR — En kritik özellik:
  %100: Kültür ve Turizm Bakanlığı'na doğrudan / diğer kamu idarelerine doğrudan / Bakanlık onaylı proje kapsamında yapılan bağış ve yardımlar.
  %50: Kamu yararına çalışan dernekler (KYD) veya Cumhurbaşkanlığı/Bakanlar Kurulu kararıyla vergi muafiyeti tanınan vakıflar aracılığıyla yapılan bağış ve yardımlar.
  402/403/417'den FARK: Orada KYD/muafiyet vakfı alıcı olsa da tamamı indirilir. 404'te KYD/vakıf alıcıda yalnızca %50 indirilir — en sık karıştırılan nokta.
  KAPSAM: Tarihi miras, müze, kütüphane, sanat, sinema/tiyatro/opera, turizm altyapısı.
  ★ YİAKV: DÜŞÜLEMEZ — E.11 bilgi satırı.</t>
  </si>
  <si>
    <t xml:space="preserve">  ✗ YİAKV: 404 DÜŞÜLEMEZ — E.11. ★ ORAN UYARISI: 460/461 (Sponsorluk %100/%50) ile karıştırılmamalı. 404 karşılıksız bağış; 460/461 ise karşılıklı sponsorluk. Karşılık varsa → Sponsorluk (460/461). Karşılık yoksa → 404.</t>
  </si>
  <si>
    <t>A0. KAPSAM VE NİTELİK UYGUNLUK ÖN KONTROLÜ — KVK Md.10/1-d KÜLTÜR/TURİZM BAĞIŞI</t>
  </si>
  <si>
    <t>Kontrol Sorusu</t>
  </si>
  <si>
    <t>Yanıt</t>
  </si>
  <si>
    <t>YMM Tasdik Notu</t>
  </si>
  <si>
    <t>A0.1  ★ Bağış KVK Md.10/1-d kapsamında kültür/turizm amaçlı mı?</t>
  </si>
  <si>
    <t>EVET</t>
  </si>
  <si>
    <t>Kapsam: Tarihi/kültürel miras, müze, kütüphane, güzel sanatlar, sinema/tiyatro/opera/bale/konser, turizm altyapısı. Genel eğlence veya ticari etkinlik → Kapsam dışı.</t>
  </si>
  <si>
    <t>A0.2  ★ İŞLEM KAŞILISIZ BAĞIŞ MI? (Sponsorluk değil)</t>
  </si>
  <si>
    <t>EVET-Karşılıksız Bağış</t>
  </si>
  <si>
    <t>Karşılıksız → 404. Karşılıklı (reklam/tanıtım/isim hakkı) → 460/461 (Sponsorluk). Bu ayrım hayati — hatalı kod tarhiyat riski doğurur.</t>
  </si>
  <si>
    <t>A0.3  ★ Alıcı ve indirim oranı belirlendi mi?</t>
  </si>
  <si>
    <t>%100 (Kültür ve Turizm Bakanlığı/Kamu)</t>
  </si>
  <si>
    <t>ORAN KRİTİK: Bakanlık/kamu idaresi → %100. KYD dernek/muafiyet vakfı → %50. 402/403'ten farklı — burada KYD/vakıf için %50 uygulanır.</t>
  </si>
  <si>
    <t>A0.4  ★ Bağış FİİLEN yapıldı mı? (Nakdi: Banka — Ayni: Teslim belgesi)</t>
  </si>
  <si>
    <t>Nakdi: Banka dekontu. Ayni: İmzalı teslim tutanağı.</t>
  </si>
  <si>
    <t>A0.5  Alıcıdan resmi makbuz alındı mı?</t>
  </si>
  <si>
    <t>Makbuz zorunludur.</t>
  </si>
  <si>
    <t>A0.6  KYD/Muafiyet vakıfsa (%50 oranı için) statü belgesi temin edildi mi?</t>
  </si>
  <si>
    <t>KYD: Bakanlık kararı. Muafiyet vakfı: CB/BK kararı. %100 için gerekmez.</t>
  </si>
  <si>
    <t>A0.7  ✗ YİAKV E.11'de bilgi satırı olarak gösterildi mi?</t>
  </si>
  <si>
    <t>404 YİAKV matrahından düşülemez — E.11 bilgi.</t>
  </si>
  <si>
    <t>A0.8  YMM Tasdik Raporu gereksinimi değerlendirildi mi?</t>
  </si>
  <si>
    <t>&gt;=500.000 TL → YMM raporu.</t>
  </si>
  <si>
    <t>A0.9  Tasdik Uygunluk Sonucu</t>
  </si>
  <si>
    <t>★ A0.1 kapsam | A0.2 karşılıksız | A0.3 oran (%100/%50) | A0.4 fiili | A0.5 makbuz.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</si>
  <si>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</si>
  <si>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</si>
  <si>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</si>
  <si>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</si>
  <si>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</si>
  <si>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</si>
  <si>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</si>
  <si>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</si>
  <si>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</si>
  <si>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Alıcı Kurum</t>
  </si>
  <si>
    <t>Kültür ve Turizm Bakanlığı / KYD Dernek / Muafiyet Vakfı</t>
  </si>
  <si>
    <t>Alıcı Statüsü ve Oran</t>
  </si>
  <si>
    <t>Kamu idaresi → %100 | KYD/Vakıf → %50</t>
  </si>
  <si>
    <t>Dosya Referansı</t>
  </si>
  <si>
    <t>YMM-2025/404-01</t>
  </si>
  <si>
    <t>B. BAĞIŞ ÖZET PARAMETRELERİ — KVK Md.10/1-d</t>
  </si>
  <si>
    <t>Parametre</t>
  </si>
  <si>
    <t>Değer</t>
  </si>
  <si>
    <t>Açıklama</t>
  </si>
  <si>
    <t>Kaynak</t>
  </si>
  <si>
    <t>B.1  Konu / Kapsam</t>
  </si>
  <si>
    <t>Tarihi Miras/Müze/Sanat/Turizm</t>
  </si>
  <si>
    <t>KVK Md.10/1-d kapsamında kültür/turizm faaliyeti alanı.</t>
  </si>
  <si>
    <t>Proje/Protokol</t>
  </si>
  <si>
    <t>B.2  ★ Alıcı Statüsü ve İndirim Oranı</t>
  </si>
  <si>
    <t>ORAN KRİTİK: Bakanlık/kamu → %100. KYD/muafiyet vakfı → %50.</t>
  </si>
  <si>
    <t>Statü belgesi</t>
  </si>
  <si>
    <t>B.3  Alıcı Kurum Adı</t>
  </si>
  <si>
    <t>Kültür ve Turizm Bakanlığı / Kamu idaresi / KYD dernek / Muafiyet vakfı.</t>
  </si>
  <si>
    <t>Belge</t>
  </si>
  <si>
    <t>B.4  Bağış Tarihi</t>
  </si>
  <si>
    <t>Fiilen yapılan bağışın tarihi.</t>
  </si>
  <si>
    <t>Banka/Tutanak</t>
  </si>
  <si>
    <t>B.5  ★ Nakdi Bağış Tutarı (TL)</t>
  </si>
  <si>
    <t>Banka yoluyla yapılan nakdi bağış.</t>
  </si>
  <si>
    <t>Banka dekontu</t>
  </si>
  <si>
    <t>B.6  Ayni Bağış Değeri (TL — Maliyet/Net Defter Değeri)</t>
  </si>
  <si>
    <t>Ayni bağış varsa maliyet/net defter değeri.</t>
  </si>
  <si>
    <t>Stok/sabit kıymet</t>
  </si>
  <si>
    <t>B.7  ★ BRÜT BAĞIŞ TOPLAMI (B.5 + B.6)</t>
  </si>
  <si>
    <t>Nakdi + Ayni brüt toplam.</t>
  </si>
  <si>
    <t>Formül</t>
  </si>
  <si>
    <t>C. BAĞIŞ TABLOSU — KVK Md.10/1-d | ★ SÜTUN 6: %100 veya %50 ORAN SEÇİNİZ</t>
  </si>
  <si>
    <t xml:space="preserve">  ★ SÜTUN 6 (ORAN) ZORUNLU: Her satır için alıcı statüsüne göre %100 veya %50 seçin. Bakanlık/kamu idaresi doğrudan → %100. KYD dernek / Muafiyet vakfı → %50. Sütun 7 (İndirim) orana göre otomatik hesaplanır.</t>
  </si>
  <si>
    <t>Bağış Tarihi</t>
  </si>
  <si>
    <t>Konu / Alıcı / Proje</t>
  </si>
  <si>
    <t>Nakdi (TL)</t>
  </si>
  <si>
    <t>Ayni Değer (TL)</t>
  </si>
  <si>
    <t>Brüt Toplam (TL)</t>
  </si>
  <si>
    <t>★ ORAN</t>
  </si>
  <si>
    <t>İndirim (TL)</t>
  </si>
  <si>
    <t>Makbuz/Belge No</t>
  </si>
  <si>
    <t>%100 (Bakanlık/Kamu İdaresi Doğrudan)</t>
  </si>
  <si>
    <t>%50 (KYD Dernek veya Muafiyet Vakfı)</t>
  </si>
  <si>
    <t>TOPLAM</t>
  </si>
  <si>
    <t>← ORAN SEÇİN ↑</t>
  </si>
  <si>
    <t>← Beyanname 404 (Oran: %100 veya %50)</t>
  </si>
  <si>
    <t>D. %100 VE %50 İNDİRİM AYRIMI VE ÖZET — BEYANNAME 404</t>
  </si>
  <si>
    <t>Hesap Kalemi</t>
  </si>
  <si>
    <t>Tutar (TL)</t>
  </si>
  <si>
    <t>Not</t>
  </si>
  <si>
    <t>D.1  %100 İNDİRİM — BAKANLIQ/KAMU İDARESİ DOĞRUDAN BAĞIŞLAR</t>
  </si>
  <si>
    <t>D.1.1  Brüt %100 Bağış Toplamı (C tablosu %100 satırları)</t>
  </si>
  <si>
    <t>%100 satırların brüt toplamı</t>
  </si>
  <si>
    <t>D.1.2  %100 İNDİRİM TUTARI (= D.1.1 × %100)</t>
  </si>
  <si>
    <t>Tamamı indirilir (kamu idaresine doğrudan)</t>
  </si>
  <si>
    <t>D.2  %50 İNDİRİM — KYD DERNEK veya MUAFİYET VAKFI ARACILIĞIYLA BAĞIŞLAR</t>
  </si>
  <si>
    <t>D.2.1  Brüt %50 Bağış Toplamı (C tablosu %50 satırları)</t>
  </si>
  <si>
    <t>%50 satırların brüt toplamı</t>
  </si>
  <si>
    <t>D.2.2  %50 İNDİRİM TUTARI (= D.2.1 × %50)</t>
  </si>
  <si>
    <t>Yarısı indirilir (KYD/vakıf aracılığıyla)</t>
  </si>
  <si>
    <t>D.3  ★ BEYANNAME 404 = D.1.2 + D.2.2 (TOPLAM İNDİRİM)</t>
  </si>
  <si>
    <t>→ Beyanname 404 | Kazancın Bulunması Halinde | ✗ YİAKV E.11</t>
  </si>
  <si>
    <t xml:space="preserve">  YİAKV: ✗ DÜŞÜLEMEZ (E.11 bilgi) | DEVRETME YOK (Matrahı aşan kısım devredilmez) | 460/461 SPONSORLUKTAN FARKI: 404 karşılıksız bağış, 460/461 karşılıklı sponsorluk.</t>
  </si>
  <si>
    <t>404 – KÜLTÜR/TURİZM BAĞIŞLARI KVK Md.10/1-d | HESAPLAMALAR VE DENETİM</t>
  </si>
  <si>
    <t>%100 Kamu / %50 KYD-Vakıf | KVK Md.10/1-d | Beyanname 404 | ✗ YİAKV E.11</t>
  </si>
  <si>
    <t>A. TASDİK ÖZETİ</t>
  </si>
  <si>
    <t>A0 Uygunluğu</t>
  </si>
  <si>
    <t>OK ise devam</t>
  </si>
  <si>
    <t>Alıcı Statüsü/Oran (B.2)</t>
  </si>
  <si>
    <t>Kamu %100 / KYD-Vakıf %50</t>
  </si>
  <si>
    <t>%100 Brüt Bağış (D.1.1)</t>
  </si>
  <si>
    <t>Bakanlık/kamu idaresi satırları</t>
  </si>
  <si>
    <t>%100 İndirim (D.1.2)</t>
  </si>
  <si>
    <t>%50 Brüt Bağış (D.2.1)</t>
  </si>
  <si>
    <t>KYD/muafiyet vakfı satırları</t>
  </si>
  <si>
    <t>%50 İndirim (D.2.2)</t>
  </si>
  <si>
    <t>%50 brüt × %50</t>
  </si>
  <si>
    <t>404 TOPLAM İNDİRİM (D.3)</t>
  </si>
  <si>
    <t>YİAKV</t>
  </si>
  <si>
    <t>✗ DÜŞÜLEMEZ (E.11 Bilgi)</t>
  </si>
  <si>
    <t>Bağış/yardım tümü YİAKV dışı</t>
  </si>
  <si>
    <t>B. KVK Md.10/1-d KAPSAMI VE %100/%50 İNDİRİM ORANI TABLOSU</t>
  </si>
  <si>
    <t xml:space="preserve">  KVK Md.10/1-d — KÜLTÜR VE TURİZM AMAÇLI BAĞIŞ VE YARDIMLAR:
  KAPSAM — FAAALİYET ALANLARI:
  • Kültürel miras koruma ve restorasyon (tarihi yapı, alan, eser)
  • Müze, kütüphane, arşiv kurulumu ve faaliyeti
  • Güzel sanatlar (resim, heykel, el sanatları, fotoğrafçılık)
  • Sinema, tiyatro, opera, bale, konser
  • Kültür/sanat yayıncılığı ve festivaller
  • Turizm altyapısı ve tanıtım faaliyetleri
  İNDİRİM ORANI TABLOSU (EN KRİTİK NOKTA):
  ┌─────────────────────────────────────────────────────────┐
  │ ALICI                              │ ORAN  │ AÇIKLAMA  │
  │ Kültür ve Turizm Bakanlığı         │ %100  │ Tamamı    │
  │ Diğer kamu idaresi (doğrudan)      │ %100  │ Tamamı    │
  │ Bakanlık onaylı proje              │ %100  │ Tamamı    │
  │ KYD Dernek                         │ %50   │ Yarısı    │
  │ Muafiyet Vakfı                     │ %50   │ Yarısı    │
  └─────────────────────────────────────────────────────────┘
  402/403/417'DEN FARKI: Orada KYD/vakıf için de %100. 404'te KYD/vakıf için sadece %50.</t>
  </si>
  <si>
    <t>C. 404 (KVK Md.10/1-d) ile 460/461 (SPONSORLUK) KARŞILAŞTIRMASI</t>
  </si>
  <si>
    <t xml:space="preserve">  404 (BAĞIŞ) vs 460/461 (SPONSORLUK) — EN KARIŞTIRILAN KOD ÇIFTI:
  404 — KVK Md.10/1-d (BAĞIŞ/YARDIM):
  Karşılıksız — reklam, tanıtım, isim hakkı, bilet vb. HİÇBİR KARŞILIK YOK.
  İndirim: Kamu/Bakanlık %100, KYD/vakıf %50.
  460/461 — KVK Md.10/1-b (SPONSORLUK):
  Karşılıklı — logodan isim hakkına, biletiyle katılıma kadar karşılık var.
  İndirim: Amatör spor %100, Profesyonel spor %50.
  460/461 kültür etkinlikleri için de uygulanabilir (karşılıklıysa).
  AYIRT EDİCİ TEST:
  'Bu ödemede karşılık (reklam/logo/bilet/isim hakkı) var mı?'
  EVET → 460/461 (Sponsorluk).
  HAYIR → 404 (Bağış/Yardım).
  Yanlış kod seçimi → Yanlış oran uygulaması → Tarhiyat riski.</t>
  </si>
  <si>
    <t>D. DENETİM KONTROL LİSTESİ (K1–K13)</t>
  </si>
  <si>
    <t>Kontrol</t>
  </si>
  <si>
    <t>K1</t>
  </si>
  <si>
    <t>★ Bağış KVK Md.10/1-d kapsamında kültür/turizm amaçlı mı?</t>
  </si>
  <si>
    <t>Tarihi miras/müze/sanat/turizm kapsamında.</t>
  </si>
  <si>
    <t>K2</t>
  </si>
  <si>
    <t>★ İşlem karşılıksız bağış mı? (Sponsorluk değil)</t>
  </si>
  <si>
    <t>Karşılıklıysa → 460/461.</t>
  </si>
  <si>
    <t>K3</t>
  </si>
  <si>
    <t>★ Her satır için %100 veya %50 oran seçildi mi?</t>
  </si>
  <si>
    <t>C tablosu F sütunu dolu olmalı.</t>
  </si>
  <si>
    <t>K4</t>
  </si>
  <si>
    <t>★ %100 satırlarda alıcı kamu idaresi/Bakanlık mı?</t>
  </si>
  <si>
    <t>KYD/vakıf için %100 uygulanamaz.</t>
  </si>
  <si>
    <t>K5</t>
  </si>
  <si>
    <t>★ %50 satırlarda KYD/muafiyet belgesi var mı?</t>
  </si>
  <si>
    <t>KYD: Bakanlık kararı. Vakıf: CB kararı.</t>
  </si>
  <si>
    <t>K6</t>
  </si>
  <si>
    <t>★ Bağış fiilen yapıldı mı? (Banka / teslim)</t>
  </si>
  <si>
    <t>Taahhüt → Kapsam dışı.</t>
  </si>
  <si>
    <t>K7</t>
  </si>
  <si>
    <t>★ Alıcıdan resmi makbuz alındı mı?</t>
  </si>
  <si>
    <t>Makbuz zorunlu.</t>
  </si>
  <si>
    <t>K8</t>
  </si>
  <si>
    <t>D.3 = D.1.2 + D.2.2 mutabık mı?</t>
  </si>
  <si>
    <t>İki oran toplamı beyanname 404.</t>
  </si>
  <si>
    <t>K9</t>
  </si>
  <si>
    <t>★ İndirim matrahı aşıyor mu? (Devredilemez!)</t>
  </si>
  <si>
    <t>Aşan kısım beyanname notu.</t>
  </si>
  <si>
    <t>K10</t>
  </si>
  <si>
    <t>✗ YİAKV E.11'de bilgi satırı olarak gösterildi mi?</t>
  </si>
  <si>
    <t>404 DÜŞÜLEMEZ — E.11 bilgi.</t>
  </si>
  <si>
    <t>K11</t>
  </si>
  <si>
    <t>Ayni bağış varsa maliyet/net defter değeri esas alındı mı?</t>
  </si>
  <si>
    <t>Piyasa değeri değil. KDV istisnası.</t>
  </si>
  <si>
    <t>K12</t>
  </si>
  <si>
    <t>Beyanname 404 'Kazancın Bulunması Halinde' bölümünde mi?</t>
  </si>
  <si>
    <t>Zarar döneminde uygulanamaz.</t>
  </si>
  <si>
    <t>K13</t>
  </si>
  <si>
    <t>YMM Tasdik Raporu (49 No.lu Tebliğ) değerlendirildi mi?</t>
  </si>
  <si>
    <t>404 – KÜLTÜR/TURİZM BAĞIŞLARI KVK Md.10/1-d | MUHASEBE KAYITLARI</t>
  </si>
  <si>
    <t>KAYIT 1 — NAKDİ BAĞIŞ %100 (KÜLTÜR VE TURİZM BAKANLIĞI'NA DOĞRUDAN)</t>
  </si>
  <si>
    <t>Tarih</t>
  </si>
  <si>
    <t>Hesap</t>
  </si>
  <si>
    <t>Dr</t>
  </si>
  <si>
    <t>Kr</t>
  </si>
  <si>
    <t>Ref</t>
  </si>
  <si>
    <t>[Tarih]</t>
  </si>
  <si>
    <t>689 Diğer Olağan Dışı Gid.</t>
  </si>
  <si>
    <t>KVK Md.10/1-d bağışı — Bakanlık/kamu — gider</t>
  </si>
  <si>
    <t>[Tutar]</t>
  </si>
  <si>
    <t>—</t>
  </si>
  <si>
    <t>Makbuz</t>
  </si>
  <si>
    <t>KAYIT 2 — NAKDİ BAĞIŞ %50 (KYD DERNEK veya MUAFİYET VAKFI ARACILIĞIYLA)</t>
  </si>
  <si>
    <t>KVK Md.10/1-d bağışı — KYD/vakıf — gider</t>
  </si>
  <si>
    <t>[Brüt]</t>
  </si>
  <si>
    <t>KAYIT 3 — DÖNEM SONU: KKEG + BEYANNAME 404 İNDİRİMİ</t>
  </si>
  <si>
    <t>[Dönem Sonu]</t>
  </si>
  <si>
    <t>951 KKEG</t>
  </si>
  <si>
    <t>404 bağış gideri KKEG'e (brüt) — indirim kısmı beyan</t>
  </si>
  <si>
    <t>Beyanname</t>
  </si>
  <si>
    <t xml:space="preserve">  DÖNEM SONU MUHASEBE NOTU — BEYANNAME 404:
  %100 BAĞIŞ (Bakanlık/Kamu): Bağış [Brüt] TL → KKEG → Matrahı artırır → Beyanname 404'te [Brüt] TL × %100 = [Brüt] TL indirim → Matrahtan düşülür.
  Net KV etkisi: Sıfır (indirim = KKEG).
  %50 BAĞIŞ (KYD/Vakıf): Bağış [Brüt] TL → KKEG → Matrahı artırır → Beyanname 404'te [Brüt] TL × %50 = [%50] TL indirim → Kalan %50'si kalıcı KKEG.
  Net KV etkisi: [Brüt × %50 × KV Oranı] TL ek KV yükü.
  YİAKV: ✗ DÜŞÜLEMEZ — E.11. Ayni bağışta KDV istisnası (KDVK Md.17/2-b).</t>
  </si>
  <si>
    <t>404 – KÜLTÜR/TURİZM BAĞIŞLARI KVK Md.10/1-d | DENETÇİ NOTLARI</t>
  </si>
  <si>
    <t>GİB KV Beyan Rehberi 2026 | KVK Md.10/1-d | %100/%50 Oran | 460/461 Farkı | YİAKV E.11</t>
  </si>
  <si>
    <t>Kod</t>
  </si>
  <si>
    <t>Konu</t>
  </si>
  <si>
    <t>Mesleki Değerlendirme / Tasdik Standardı</t>
  </si>
  <si>
    <t>Mevzuat / Kaynak</t>
  </si>
  <si>
    <t>N1</t>
  </si>
  <si>
    <t>KVK Md.10/1-d — Kapsam ve %100/%50 Oran Tablosu</t>
  </si>
  <si>
    <t>KVK MADDE 10/1-d — KÜLTÜR VE TURİZM AMAÇLI BAĞIŞ VE YARDIMLAR:
KAPSAM:
• Kültürel miras koruma ve restorasyon
• Müze, kütüphane, arşiv
• Güzel sanatlar, sinema, tiyatro, opera, bale, konser
• Kültür/sanat yayıncılığı ve festivaller
• Turizm altyapısı ve tanıtım
İNDİRİM ORANI:
%100 → Kültür ve Turizm Bakanlığı'na doğrudan
%100 → Diğer kamu idarelerine doğrudan
%100 → Bakanlık onaylı proje kapsamında
%50  → KYD dernek aracılığıyla
%50  → Muafiyet vakfı aracılığıyla
YİAKV: ✗ DÜŞÜLEMEZ (E.11) | BEYANNAME: 404</t>
  </si>
  <si>
    <t>KVK Md.10/1-d | GİB KV Beyan Reh. 2026 (No:606)</t>
  </si>
  <si>
    <t>N2</t>
  </si>
  <si>
    <t>★ %100 ile %50 Oran Uygulamasının Sayısal Etkisi</t>
  </si>
  <si>
    <t>ORAN UYGULAMASI — SAYISAL KARŞILAŞTIRMA (örnek 1.000.000 TL bağış):
SENARYO A — Kültür ve Turizm Bakanlığı'na 1.000.000 TL (%100):
KKEG: +1.000.000 TL (matrahı artırır)
404 İndirimi: -1.000.000 TL (%100)
Net etki: 0 TL ek KV yükü
SENARYO B — KYD Kültür Derneğine 1.000.000 TL (%50):
KKEG: +1.000.000 TL (matrahı artırır)
404 İndirimi: -500.000 TL (%50)
Kalıcı KKEG: +500.000 TL
Ek KV: 500.000 × %25 = 125.000 TL
YMM UYARISI: %50 yerine %100 uygulamak → Eksik tarhiyat riski.
%100 yerine %50 uygulamak → Mükellefi zarara uğratmak.
Alıcı statüsü makbuzla belgelenmeli.</t>
  </si>
  <si>
    <t>KVK Md.10/1-d | GİB Beyan Rehberi</t>
  </si>
  <si>
    <t>N3</t>
  </si>
  <si>
    <t>★ 460/461 (Sponsorluk) ile 404 (Bağış) Ayrımı — Karıştırma Riski</t>
  </si>
  <si>
    <t>EN KARIŞTIRILAN KOD ÇİFTİ:
404 — KVK Md.10/1-d (BAĞIŞ/YARDIM):
✓ Karşılıksız — reklam, logo, isim hakkı, bilet yok.
✓ Kültür ve turizm amaçlı.
✓ Oran: Kamu %100, KYD/vakıf %50.
460 — KVK Md.10/1-b (PROFESYONELSPONSOLUK):
✓ Karşılıklı — logolu afiş, biletle katılım, isim hakkı vb.
✓ Profesyonel spor olayları için %50.
461 — KVK Md.10/1-b (AMATÖR SPONSORLUK):
✓ Karşılıklı — amatör spor ve kültür etkinlikleri %100.
AYIRT EDİCİ TEST:
'Bu ödemede şirkete bir karşılık (logo, bilet, isim) verilecek mi?'
EVET → Sponsorluk (460/461).
HAYIR → Bağış/Yardım (404).
Kültür etkinliği hem 404 hem 461 kapsamında olabilir.
Belirleyici: Karşılık var mı?</t>
  </si>
  <si>
    <t>KVK Md.10/1-b | KVK Md.10/1-d | GİB Özelge</t>
  </si>
  <si>
    <t>N4</t>
  </si>
  <si>
    <t>402/403/417 ile 404 Oran Farkı — Kritik Bağlam</t>
  </si>
  <si>
    <t>BAĞIŞ KODLARINDA ORAN KARŞILAŞTIRMASI:
402 (KVK Md.10/1-c) — Okul/hastane/yurt inşaatı:
Kamu → %100 | KYD → %100 | Muafiyet vakfı → %100
403 (KVK Md.10/1-5) — Eğitim/sağlık/gençlik/yurt:
Kamu → %100 | KYD → %100 | Muafiyet vakfı → %100
417 (KVK Md.10/1-5) — İbadethane:
Kamu → %100 | KYD → %100 | Muafiyet vakfı → %100
404 (KVK Md.10/1-d) — Kültür/turizm:
Kamu → %100 | KYD → %50 | Muafiyet vakfı → %50
★ 402/403/417'de KYD/vakıf için de tamamı indirilirken
404'te KYD/vakıf için sadece %50 indirilir.
Bu farkı bilmeden 404 bağışında %100 uygulamak ciddi hata.</t>
  </si>
  <si>
    <t>KVK Md.10/1-c | KVK Md.10/1-5 | KVK Md.10/1-d</t>
  </si>
  <si>
    <t>N5</t>
  </si>
  <si>
    <t>YİAKV ve 49 No.lu Tebliğ Tasdik Dil Standardı</t>
  </si>
  <si>
    <t>YİAKV (KVK Md.32/C) VE 404 BAĞIŞI:
✗ 404 (KVK Md.10/1-d): DÜŞÜLEMEZ → YİAKV E.11
KULLANIN (%100 — Bakanlık):
'...KVK'nın 10. maddesinin (d) bendi kapsamında Kültür ve Turizm
Bakanlığı'na [Tarih] tarihinde banka yoluyla ödenen [Tutar] TL
bağışın tamamı (%100) olan [Tutar] TL matrahtan indirilmiştir.
Söz konusu tutar YİAKV matrahından indirilmemiştir.'
KULLANIN (%50 — KYD/Vakıf):
'...KVK Md.10/1-d kapsamında [KYD/Vakıf Adı]'na ödenen
[Brüt] TL bağışın %50'si olan [İndirim] TL matrahtan indirilmiştir.
Söz konusu tutar YİAKV matrahından indirilmemiştir.'
KULLANMAYIN:
'...KYD derneğine bağış %100 indirilmiştir.' (→ %50 olmalı)
'...Sponsorluk 404 kapsamında.' (Karşılıklıysa → 460/461)
'...404 YİAKV matrahından düşülmüştür.' (YANLIŞ)</t>
  </si>
  <si>
    <t>49 No.lu Tebliğ | KVK Md.10/1-d | SM-SMMM-YMM K. Md.12</t>
  </si>
  <si>
    <t xml:space="preserve">  GİB KV BEYAN REHBERİ MART 2026 (No:606) KAPANIŞ (404): KVK Md.10/1-d — Kültür/turizm bağışı. Oran: Bakanlık/kamu %100, KYD/muafiyet vakfı %50. 402/403/417'den farklı — orada KYD için de %100; burada %50. 460/461 sponsorlukla karıştırılmamalı (karşılık testi). ✗ YİAKV E.11. YMM: SM-SMMM-YMM K. Md.12.</t>
  </si>
  <si>
    <t>404 – KÜLTÜR/TURİZM BAĞIŞLARI KVK Md.10/1-d | BELGE LİSTESİ | YMM TASDİK</t>
  </si>
  <si>
    <t>Makbuz | KYD/Muafiyet Belgesi | Banka Dekontu | Karşılıksızlık Kanıtı | YİAKV E.11</t>
  </si>
  <si>
    <t>KATEGORİ 1 — ZORUNLU BELGELER</t>
  </si>
  <si>
    <t>No</t>
  </si>
  <si>
    <t>Temin</t>
  </si>
  <si>
    <t>1</t>
  </si>
  <si>
    <t>★ Alıcıdan Resmi Bağış Makbuzu</t>
  </si>
  <si>
    <t>Kültür ve Turizm Bakanlığı, kamu idaresi, KYD dernek veya muafiyet vakfından resmi makbuz. Bağışın karşılıksız niteliği makbuzda açık olmalı. Zorunlu.</t>
  </si>
  <si>
    <t>Bakanlık / Kamu İdaresi / KYD / Muafiyet Vakfı</t>
  </si>
  <si>
    <t>2</t>
  </si>
  <si>
    <t>★ %50 İçin: KYD Dernek veya Muafiyet Vakfı Statü Belgesi</t>
  </si>
  <si>
    <t>KYD: İlgili bakanlık kararı veya Resmî Gazete. Muafiyet vakfı: Cumhurbaşkanlığı/BK kararı. %100 (kamu idaresi) için bu belge gerekmez.</t>
  </si>
  <si>
    <t>İlgili Bakanlık / Resmî Gazete</t>
  </si>
  <si>
    <t>3</t>
  </si>
  <si>
    <t>★ Nakdi Bağış — Banka EFT/Havale Dekontu</t>
  </si>
  <si>
    <t>Her nakdi ödeme için ayrı banka dekontu.</t>
  </si>
  <si>
    <t>Banka / Şirket hesabı</t>
  </si>
  <si>
    <t>4</t>
  </si>
  <si>
    <t>★ Bağışın Karşılıksız Niteliğini Gösteren Belge</t>
  </si>
  <si>
    <t>Ödeme karşılığında reklam, logo, bilet, isim hakkı verilmediğini gösteren protokol, yazışma veya beyan. 404 ile 460/461 ayrımında kilit belge.</t>
  </si>
  <si>
    <t>İç onay / Yazışma</t>
  </si>
  <si>
    <t>5</t>
  </si>
  <si>
    <t>Ayni Bağış — Teslim Tutanağı + Maliyet Notu</t>
  </si>
  <si>
    <t>Ayni bağış (eser, ekipman, materyal) için teslim tutanağı ve maliyet/defter değeri. KDV hesaplanmaz (KDVK Md.17/2-b).</t>
  </si>
  <si>
    <t>Teslim sırasında</t>
  </si>
  <si>
    <t>6</t>
  </si>
  <si>
    <t>KV Beyannamesi 404 Satırı + YİAKV E.11 Bilgi</t>
  </si>
  <si>
    <t>Beyanname 404 = D.3 (D.1.2 + D.2.2) tutarı. YİAKV E.11 = 402+403+404+417+diğer bağış kodları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</si>
  <si>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</si>
  <si>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</si>
  <si>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</si>
  <si>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</si>
  <si>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</si>
  <si>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Kapsam içi faaliyet alanı.</t>
  </si>
  <si>
    <t>YMM kontrolü</t>
  </si>
  <si>
    <t>S2</t>
  </si>
  <si>
    <t>★ İşlem karşılıksız mı? (Sponsorluk değil)</t>
  </si>
  <si>
    <t>S3</t>
  </si>
  <si>
    <t>C tablosu F sütunu eksiksiz.</t>
  </si>
  <si>
    <t>S4</t>
  </si>
  <si>
    <t>KYD/vakıf için %100 yasak.</t>
  </si>
  <si>
    <t>S5</t>
  </si>
  <si>
    <t>★ %50 satırlarda statü belgesi temin edildi mi?</t>
  </si>
  <si>
    <t>KYD kararı / Muafiyet kararı.</t>
  </si>
  <si>
    <t>S6</t>
  </si>
  <si>
    <t>S7</t>
  </si>
  <si>
    <t>S8</t>
  </si>
  <si>
    <t>Bağışın karşılıksız niteliği belgelendi mi?</t>
  </si>
  <si>
    <t>Logo/reklam/bilet yokluğu kanıtı.</t>
  </si>
  <si>
    <t>S9</t>
  </si>
  <si>
    <t>D.3 = D.1.2 + D.2.2 doğru mu?</t>
  </si>
  <si>
    <t>S10</t>
  </si>
  <si>
    <t>★ İndirim matrahı aşıyor mu? (Devredilmez!)</t>
  </si>
  <si>
    <t>S11</t>
  </si>
  <si>
    <t>✗ YİAKV E.11'de bilgi satırı var mı?</t>
  </si>
  <si>
    <t>404 DÜŞÜLEMEZ — E.11.</t>
  </si>
  <si>
    <t>S12</t>
  </si>
  <si>
    <t>YMM Tasdik Raporu değerlendirildi mi?</t>
  </si>
  <si>
    <t>&gt;=500.000 TL → Rapor.</t>
  </si>
  <si>
    <t xml:space="preserve">  GİB KV BEYAN REHBERİ MART 2026 (No:606) | 404 KVK Md.10/1-d KÜLTÜR/TURİZM BAĞIŞI SON NOT:
  İNDİRİM ORANI: Bakanlık/kamu idaresi → %100 | KYD dernek/muafiyet vakfı → %50.
  402/403/417'den FARK: Orada KYD/vakıf için de %100; 404'te %50.
  460/461 SPONSORLUKTAN FARK: Karşılıksız → 404. Karşılıklı (logo/bilet) → 460/461.
  Matrahı aşan kısım devredilemez. ✗ YİAKV E.11 (402+403+404+417+diğer tüm kodlar).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</si>
</sst>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006064"/>
      <name val="Arial"/>
    </font>
    <font>
      <b/>
      <sz val="10"/>
      <color rgb="FF006064"/>
      <name val="Arial"/>
    </font>
    <font>
      <b/>
      <sz val="9"/>
      <color rgb="FF7B5E00"/>
      <name val="Arial"/>
    </font>
    <font>
      <sz val="9"/>
      <color rgb="FF1F3864"/>
      <name val="Arial"/>
    </font>
    <font>
      <b/>
      <sz val="9"/>
      <color rgb="FF006064"/>
      <name val="Arial"/>
    </font>
    <font>
      <b/>
      <sz val="9"/>
      <color rgb="FF005500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9"/>
      <color rgb="FF7B3F00"/>
      <name val="Arial"/>
    </font>
    <font>
      <b/>
      <sz val="11"/>
      <color rgb="FFFFFFFF"/>
      <name val="Arial"/>
    </font>
    <font>
      <b/>
      <sz val="9"/>
      <color rgb="FFFFFF00"/>
      <name val="Arial"/>
    </font>
    <font>
      <b/>
      <sz val="13"/>
      <color rgb="FFFFFFFF"/>
      <name val="Arial"/>
    </font>
    <font>
      <i/>
      <sz val="8"/>
      <color rgb="FF1B5E20"/>
      <name val="Arial"/>
    </font>
    <font>
      <b/>
      <sz val="11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i/>
      <sz val="8"/>
      <color rgb="FFE65100"/>
      <name val="Arial"/>
    </font>
    <font>
      <b/>
      <sz val="11"/>
      <color rgb="FFE65100"/>
      <name val="Arial"/>
    </font>
    <font>
      <b/>
      <sz val="14"/>
      <color rgb="FFFFFFFF"/>
      <name val="Arial"/>
    </font>
    <font>
      <b/>
      <sz val="10"/>
      <color rgb="FF1F3864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8">
    <fill>
      <patternFill patternType="none"/>
    </fill>
    <fill>
      <patternFill patternType="gray125"/>
    </fill>
    <fill>
      <patternFill patternType="solid">
        <fgColor rgb="FF006064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0F7FA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2EBF2"/>
      </patternFill>
    </fill>
    <fill>
      <patternFill patternType="solid">
        <fgColor rgb="FFE8F5E9"/>
      </patternFill>
    </fill>
    <fill>
      <patternFill patternType="solid">
        <fgColor rgb="FFFFFF9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6064"/>
      </left>
      <right style="thin">
        <color rgb="FF006064"/>
      </right>
      <top style="thin">
        <color rgb="FF006064"/>
      </top>
      <bottom style="thin">
        <color rgb="FF006064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0" fillId="11" borderId="4" xfId="0" applyFill="1" applyBorder="1"/>
    <xf numFmtId="0" fontId="11" fillId="11" borderId="4" xfId="0" applyFont="1" applyFill="1" applyBorder="1" applyAlignment="1">
      <alignment horizontal="left" vertical="center" wrapText="1"/>
    </xf>
    <xf numFmtId="0" fontId="0" fillId="12" borderId="4" xfId="0" applyFill="1" applyBorder="1"/>
    <xf numFmtId="0" fontId="11" fillId="12" borderId="4" xfId="0" applyFont="1" applyFill="1" applyBorder="1" applyAlignment="1">
      <alignment horizontal="left" vertical="center" wrapText="1"/>
    </xf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wrapText="1"/>
    </xf>
    <xf numFmtId="3" fontId="15" fillId="14" borderId="7" xfId="0" applyNumberFormat="1" applyFont="1" applyFill="1" applyBorder="1" applyAlignment="1">
      <alignment horizontal="right" vertical="center" wrapText="1"/>
    </xf>
    <xf numFmtId="3" fontId="15" fillId="15" borderId="4" xfId="0" applyNumberFormat="1" applyFont="1" applyFill="1" applyBorder="1" applyAlignment="1">
      <alignment horizontal="right" vertical="center" wrapText="1"/>
    </xf>
    <xf numFmtId="0" fontId="16" fillId="16" borderId="4" xfId="0" applyFont="1" applyFill="1" applyBorder="1" applyAlignment="1">
      <alignment horizontal="center" vertical="center"/>
    </xf>
    <xf numFmtId="3" fontId="17" fillId="13" borderId="8" xfId="0" applyNumberFormat="1" applyFont="1" applyFill="1" applyBorder="1" applyAlignment="1">
      <alignment horizontal="right" vertical="center" wrapText="1"/>
    </xf>
    <xf numFmtId="0" fontId="18" fillId="10" borderId="4" xfId="0" applyFont="1" applyFill="1" applyBorder="1" applyAlignment="1">
      <alignment horizontal="center" vertical="center" wrapText="1"/>
    </xf>
    <xf numFmtId="3" fontId="15" fillId="17" borderId="4" xfId="0" applyNumberFormat="1" applyFont="1" applyFill="1" applyBorder="1" applyAlignment="1">
      <alignment horizontal="right" vertical="center" wrapText="1"/>
    </xf>
    <xf numFmtId="0" fontId="19" fillId="18" borderId="4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right" vertical="center" wrapText="1"/>
    </xf>
    <xf numFmtId="3" fontId="20" fillId="2" borderId="4" xfId="0" applyNumberFormat="1" applyFont="1" applyFill="1" applyBorder="1" applyAlignment="1">
      <alignment horizontal="right" vertical="center" wrapText="1"/>
    </xf>
    <xf numFmtId="3" fontId="22" fillId="2" borderId="8" xfId="0" applyNumberFormat="1" applyFont="1" applyFill="1" applyBorder="1" applyAlignment="1">
      <alignment horizontal="right" vertical="center" wrapText="1"/>
    </xf>
    <xf numFmtId="3" fontId="9" fillId="15" borderId="8" xfId="0" applyNumberFormat="1" applyFont="1" applyFill="1" applyBorder="1" applyAlignment="1">
      <alignment horizontal="right" vertical="center" wrapText="1"/>
    </xf>
    <xf numFmtId="3" fontId="24" fillId="15" borderId="8" xfId="0" applyNumberFormat="1" applyFont="1" applyFill="1" applyBorder="1" applyAlignment="1">
      <alignment horizontal="right" vertical="center" wrapText="1"/>
    </xf>
    <xf numFmtId="3" fontId="26" fillId="17" borderId="9" xfId="0" applyNumberFormat="1" applyFont="1" applyFill="1" applyBorder="1" applyAlignment="1">
      <alignment horizontal="right" vertical="center" wrapText="1"/>
    </xf>
    <xf numFmtId="3" fontId="28" fillId="17" borderId="9" xfId="0" applyNumberFormat="1" applyFont="1" applyFill="1" applyBorder="1" applyAlignment="1">
      <alignment horizontal="right" vertical="center" wrapText="1"/>
    </xf>
    <xf numFmtId="3" fontId="29" fillId="2" borderId="8" xfId="0" applyNumberFormat="1" applyFont="1" applyFill="1" applyBorder="1" applyAlignment="1">
      <alignment horizontal="right" vertical="center" wrapText="1"/>
    </xf>
    <xf numFmtId="3" fontId="30" fillId="11" borderId="4" xfId="0" applyNumberFormat="1" applyFont="1" applyFill="1" applyBorder="1" applyAlignment="1">
      <alignment horizontal="center" vertical="center"/>
    </xf>
    <xf numFmtId="3" fontId="9" fillId="15" borderId="4" xfId="0" applyNumberFormat="1" applyFont="1" applyFill="1" applyBorder="1" applyAlignment="1">
      <alignment horizontal="right" vertical="center"/>
    </xf>
    <xf numFmtId="3" fontId="26" fillId="17" borderId="4" xfId="0" applyNumberFormat="1" applyFont="1" applyFill="1" applyBorder="1" applyAlignment="1">
      <alignment horizontal="right" vertical="center"/>
    </xf>
    <xf numFmtId="3" fontId="31" fillId="13" borderId="4" xfId="0" applyNumberFormat="1" applyFont="1" applyFill="1" applyBorder="1" applyAlignment="1">
      <alignment horizontal="right" vertical="center"/>
    </xf>
    <xf numFmtId="0" fontId="26" fillId="17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32" fillId="20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 wrapText="1"/>
    </xf>
    <xf numFmtId="0" fontId="32" fillId="21" borderId="4" xfId="0" applyFont="1" applyFill="1" applyBorder="1" applyAlignment="1">
      <alignment horizontal="left" vertical="top" wrapText="1"/>
    </xf>
    <xf numFmtId="0" fontId="33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left" vertical="top" wrapText="1"/>
    </xf>
    <xf numFmtId="0" fontId="33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32" fillId="22" borderId="4" xfId="0" applyFont="1" applyFill="1" applyBorder="1" applyAlignment="1">
      <alignment horizontal="left" vertical="top" wrapText="1"/>
    </xf>
    <xf numFmtId="0" fontId="34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34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3" borderId="1" xfId="0" applyFont="1" applyFill="1" applyBorder="1" applyAlignment="1">
      <alignment horizontal="center" vertical="center"/>
    </xf>
    <xf numFmtId="0" fontId="0" fillId="24" borderId="4" xfId="0" applyFill="1" applyBorder="1"/>
    <xf numFmtId="0" fontId="35" fillId="24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left" vertical="top" wrapText="1"/>
    </xf>
    <xf numFmtId="0" fontId="32" fillId="25" borderId="4" xfId="0" applyFont="1" applyFill="1" applyBorder="1" applyAlignment="1">
      <alignment horizontal="left" vertical="top" wrapText="1"/>
    </xf>
    <xf numFmtId="0" fontId="36" fillId="24" borderId="4" xfId="0" applyFont="1" applyFill="1" applyBorder="1" applyAlignment="1">
      <alignment horizontal="center" vertical="center" wrapText="1"/>
    </xf>
    <xf numFmtId="0" fontId="0" fillId="26" borderId="4" xfId="0" applyFill="1" applyBorder="1"/>
    <xf numFmtId="0" fontId="35" fillId="26" borderId="4" xfId="0" applyFont="1" applyFill="1" applyBorder="1" applyAlignment="1">
      <alignment horizontal="center" vertical="center" wrapText="1"/>
    </xf>
    <xf numFmtId="0" fontId="35" fillId="26" borderId="4" xfId="0" applyFont="1" applyFill="1" applyBorder="1" applyAlignment="1">
      <alignment horizontal="left" vertical="top" wrapText="1"/>
    </xf>
    <xf numFmtId="0" fontId="32" fillId="27" borderId="4" xfId="0" applyFont="1" applyFill="1" applyBorder="1" applyAlignment="1">
      <alignment horizontal="left" vertical="top" wrapText="1"/>
    </xf>
    <xf numFmtId="0" fontId="36" fillId="26" borderId="4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4" fillId="9" borderId="4" xfId="0" applyFont="1" applyFill="1" applyBorder="1" applyAlignment="1">
      <alignment horizontal="left" vertical="center" wrapText="1"/>
    </xf>
    <xf numFmtId="0" fontId="0" fillId="0" borderId="5" xfId="0" applyBorder="1"/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left" vertical="center"/>
    </xf>
    <xf numFmtId="0" fontId="0" fillId="10" borderId="4" xfId="0" applyFill="1" applyBorder="1"/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 wrapText="1"/>
    </xf>
    <xf numFmtId="0" fontId="0" fillId="11" borderId="4" xfId="0" applyFill="1" applyBorder="1"/>
    <xf numFmtId="0" fontId="7" fillId="11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25" fillId="17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1" fillId="19" borderId="4" xfId="0" applyFont="1" applyFill="1" applyBorder="1" applyAlignment="1">
      <alignment horizontal="left" vertical="center"/>
    </xf>
    <xf numFmtId="0" fontId="27" fillId="17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/>
    </xf>
    <xf numFmtId="0" fontId="23" fillId="15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0" fillId="12" borderId="4" xfId="0" applyFill="1" applyBorder="1"/>
    <xf numFmtId="0" fontId="13" fillId="4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18" fillId="14" borderId="4" xfId="0" applyFont="1" applyFill="1" applyBorder="1" applyAlignment="1">
      <alignment horizontal="left" vertical="center" wrapText="1"/>
    </xf>
    <xf numFmtId="0" fontId="32" fillId="12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32" fillId="11" borderId="4" xfId="0" applyFont="1" applyFill="1" applyBorder="1" applyAlignment="1">
      <alignment horizontal="left" vertical="top" wrapText="1"/>
    </xf>
    <xf numFmtId="0" fontId="8" fillId="15" borderId="4" xfId="0" applyFont="1" applyFill="1" applyBorder="1" applyAlignment="1">
      <alignment horizontal="left" vertical="center" wrapText="1"/>
    </xf>
    <xf numFmtId="0" fontId="32" fillId="20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center"/>
    </xf>
    <xf numFmtId="0" fontId="7" fillId="17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8" fillId="17" borderId="4" xfId="0" applyFont="1" applyFill="1" applyBorder="1" applyAlignment="1">
      <alignment horizontal="left" vertical="center" wrapText="1"/>
    </xf>
    <xf numFmtId="0" fontId="18" fillId="11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/>
    </xf>
    <xf numFmtId="0" fontId="32" fillId="17" borderId="4" xfId="0" applyFont="1" applyFill="1" applyBorder="1" applyAlignment="1">
      <alignment horizontal="left" vertical="top" wrapText="1"/>
    </xf>
    <xf numFmtId="0" fontId="3" fillId="17" borderId="4" xfId="0" applyFont="1" applyFill="1" applyBorder="1" applyAlignment="1">
      <alignment horizontal="left" vertical="center"/>
    </xf>
    <xf numFmtId="0" fontId="3" fillId="19" borderId="4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left" vertical="center"/>
    </xf>
    <xf numFmtId="0" fontId="1" fillId="23" borderId="1" xfId="0" applyFont="1" applyFill="1" applyBorder="1" applyAlignment="1">
      <alignment horizontal="left" vertical="center"/>
    </xf>
    <xf numFmtId="3" fontId="8" fillId="13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26D9FA-2383-4292-A31D-51076B9B340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1b38e9f-5007-4644-bd30-984b02c5768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K9" sqref="K9"/>
    </sheetView>
  </sheetViews>
  <sheetFormatPr defaultRowHeight="14.4" x14ac:dyDescent="0.55000000000000004"/>
  <cols>
    <col min="1" max="1" width="3" customWidth="1"/>
    <col min="2" max="2" width="28" customWidth="1"/>
    <col min="3" max="4" width="16" customWidth="1"/>
    <col min="5" max="5" width="14" customWidth="1"/>
    <col min="6" max="6" width="12" customWidth="1"/>
    <col min="7" max="7" width="14" customWidth="1"/>
    <col min="8" max="8" width="18" customWidth="1"/>
  </cols>
  <sheetData>
    <row r="1" spans="1:8" ht="44.05" customHeight="1" x14ac:dyDescent="0.55000000000000004">
      <c r="A1" s="99" t="s">
        <v>0</v>
      </c>
      <c r="B1" s="72"/>
      <c r="C1" s="72"/>
      <c r="D1" s="72"/>
      <c r="E1" s="72"/>
      <c r="F1" s="72"/>
      <c r="G1" s="72"/>
      <c r="H1" s="73"/>
    </row>
    <row r="2" spans="1:8" ht="22" customHeight="1" x14ac:dyDescent="0.55000000000000004">
      <c r="A2" s="88" t="s">
        <v>1</v>
      </c>
      <c r="B2" s="72"/>
      <c r="C2" s="72"/>
      <c r="D2" s="72"/>
      <c r="E2" s="72"/>
      <c r="F2" s="72"/>
      <c r="G2" s="72"/>
      <c r="H2" s="73"/>
    </row>
    <row r="3" spans="1:8" ht="54" customHeight="1" x14ac:dyDescent="0.55000000000000004">
      <c r="A3" s="76" t="s">
        <v>2</v>
      </c>
      <c r="B3" s="70"/>
      <c r="C3" s="70"/>
      <c r="D3" s="70"/>
      <c r="E3" s="70"/>
      <c r="F3" s="70"/>
      <c r="G3" s="70"/>
      <c r="H3" s="68"/>
    </row>
    <row r="4" spans="1:8" ht="26.05" customHeight="1" x14ac:dyDescent="0.55000000000000004">
      <c r="A4" s="101" t="s">
        <v>3</v>
      </c>
      <c r="B4" s="70"/>
      <c r="C4" s="70"/>
      <c r="D4" s="70"/>
      <c r="E4" s="70"/>
      <c r="F4" s="70"/>
      <c r="G4" s="70"/>
      <c r="H4" s="68"/>
    </row>
    <row r="5" spans="1:8" ht="5.05" customHeight="1" x14ac:dyDescent="0.55000000000000004">
      <c r="A5" s="1"/>
      <c r="B5" s="1"/>
      <c r="C5" s="1"/>
      <c r="D5" s="1"/>
      <c r="E5" s="1"/>
      <c r="F5" s="1"/>
      <c r="G5" s="1"/>
      <c r="H5" s="1"/>
    </row>
    <row r="6" spans="1:8" ht="24" customHeight="1" x14ac:dyDescent="0.55000000000000004">
      <c r="A6" s="74" t="s">
        <v>4</v>
      </c>
      <c r="B6" s="72"/>
      <c r="C6" s="72"/>
      <c r="D6" s="72"/>
      <c r="E6" s="72"/>
      <c r="F6" s="72"/>
      <c r="G6" s="72"/>
      <c r="H6" s="73"/>
    </row>
    <row r="7" spans="1:8" ht="18" customHeight="1" x14ac:dyDescent="0.55000000000000004">
      <c r="A7" s="2"/>
      <c r="B7" s="2" t="s">
        <v>5</v>
      </c>
      <c r="C7" s="2"/>
      <c r="D7" s="2"/>
      <c r="E7" s="2"/>
      <c r="F7" s="2" t="s">
        <v>6</v>
      </c>
      <c r="G7" s="2"/>
      <c r="H7" s="2" t="s">
        <v>7</v>
      </c>
    </row>
    <row r="8" spans="1:8" ht="28" customHeight="1" x14ac:dyDescent="0.55000000000000004">
      <c r="A8" s="69" t="s">
        <v>8</v>
      </c>
      <c r="B8" s="70"/>
      <c r="C8" s="70"/>
      <c r="D8" s="70"/>
      <c r="E8" s="68"/>
      <c r="F8" s="3" t="s">
        <v>9</v>
      </c>
      <c r="G8" s="90" t="s">
        <v>10</v>
      </c>
      <c r="H8" s="68"/>
    </row>
    <row r="9" spans="1:8" ht="28" customHeight="1" x14ac:dyDescent="0.55000000000000004">
      <c r="A9" s="69" t="s">
        <v>11</v>
      </c>
      <c r="B9" s="70"/>
      <c r="C9" s="70"/>
      <c r="D9" s="70"/>
      <c r="E9" s="68"/>
      <c r="F9" s="3" t="s">
        <v>12</v>
      </c>
      <c r="G9" s="90" t="s">
        <v>13</v>
      </c>
      <c r="H9" s="68"/>
    </row>
    <row r="10" spans="1:8" ht="28" customHeight="1" x14ac:dyDescent="0.55000000000000004">
      <c r="A10" s="69" t="s">
        <v>14</v>
      </c>
      <c r="B10" s="70"/>
      <c r="C10" s="70"/>
      <c r="D10" s="70"/>
      <c r="E10" s="68"/>
      <c r="F10" s="3" t="s">
        <v>15</v>
      </c>
      <c r="G10" s="90" t="s">
        <v>16</v>
      </c>
      <c r="H10" s="68"/>
    </row>
    <row r="11" spans="1:8" ht="28" customHeight="1" x14ac:dyDescent="0.55000000000000004">
      <c r="A11" s="69" t="s">
        <v>17</v>
      </c>
      <c r="B11" s="70"/>
      <c r="C11" s="70"/>
      <c r="D11" s="70"/>
      <c r="E11" s="68"/>
      <c r="F11" s="3" t="s">
        <v>9</v>
      </c>
      <c r="G11" s="90" t="s">
        <v>18</v>
      </c>
      <c r="H11" s="68"/>
    </row>
    <row r="12" spans="1:8" ht="28" customHeight="1" x14ac:dyDescent="0.55000000000000004">
      <c r="A12" s="80" t="s">
        <v>19</v>
      </c>
      <c r="B12" s="70"/>
      <c r="C12" s="70"/>
      <c r="D12" s="70"/>
      <c r="E12" s="68"/>
      <c r="F12" s="3" t="s">
        <v>9</v>
      </c>
      <c r="G12" s="83" t="s">
        <v>20</v>
      </c>
      <c r="H12" s="68"/>
    </row>
    <row r="13" spans="1:8" ht="28" customHeight="1" x14ac:dyDescent="0.55000000000000004">
      <c r="A13" s="78" t="s">
        <v>21</v>
      </c>
      <c r="B13" s="70"/>
      <c r="C13" s="70"/>
      <c r="D13" s="70"/>
      <c r="E13" s="68"/>
      <c r="F13" s="3" t="s">
        <v>9</v>
      </c>
      <c r="G13" s="96" t="s">
        <v>22</v>
      </c>
      <c r="H13" s="68"/>
    </row>
    <row r="14" spans="1:8" ht="28" customHeight="1" x14ac:dyDescent="0.55000000000000004">
      <c r="A14" s="80" t="s">
        <v>23</v>
      </c>
      <c r="B14" s="70"/>
      <c r="C14" s="70"/>
      <c r="D14" s="70"/>
      <c r="E14" s="68"/>
      <c r="F14" s="3" t="s">
        <v>9</v>
      </c>
      <c r="G14" s="83" t="s">
        <v>24</v>
      </c>
      <c r="H14" s="68"/>
    </row>
    <row r="15" spans="1:8" ht="28" customHeight="1" x14ac:dyDescent="0.55000000000000004">
      <c r="A15" s="78" t="s">
        <v>25</v>
      </c>
      <c r="B15" s="70"/>
      <c r="C15" s="70"/>
      <c r="D15" s="70"/>
      <c r="E15" s="68"/>
      <c r="F15" s="3" t="s">
        <v>9</v>
      </c>
      <c r="G15" s="96" t="s">
        <v>26</v>
      </c>
      <c r="H15" s="68"/>
    </row>
    <row r="16" spans="1:8" ht="24" customHeight="1" x14ac:dyDescent="0.55000000000000004">
      <c r="A16" s="94" t="s">
        <v>27</v>
      </c>
      <c r="B16" s="70"/>
      <c r="C16" s="70"/>
      <c r="D16" s="70"/>
      <c r="E16" s="68"/>
      <c r="F16" s="4" t="str">
        <f>IF(AND(F8="EVET",F9="EVET-Karşılıksız Bağış",F10&lt;&gt;"",F11="EVET",F12="EVET"),"OK - Hesaplanabilir","HATA - Ön koşul eksik")</f>
        <v>OK - Hesaplanabilir</v>
      </c>
      <c r="G16" s="89" t="s">
        <v>28</v>
      </c>
      <c r="H16" s="68"/>
    </row>
    <row r="17" spans="1:8" ht="5.05" customHeight="1" x14ac:dyDescent="0.55000000000000004">
      <c r="A17" s="1"/>
      <c r="B17" s="1"/>
      <c r="C17" s="1"/>
      <c r="D17" s="1"/>
      <c r="E17" s="1"/>
      <c r="F17" s="1"/>
      <c r="G17" s="1"/>
      <c r="H17" s="1"/>
    </row>
    <row r="18" spans="1:8" ht="22" customHeight="1" x14ac:dyDescent="0.55000000000000004">
      <c r="A18" s="71" t="s">
        <v>29</v>
      </c>
      <c r="B18" s="72"/>
      <c r="C18" s="72"/>
      <c r="D18" s="72"/>
      <c r="E18" s="72"/>
      <c r="F18" s="72"/>
      <c r="G18" s="72"/>
      <c r="H18" s="73"/>
    </row>
    <row r="19" spans="1:8" ht="22" customHeight="1" x14ac:dyDescent="0.55000000000000004">
      <c r="A19" s="78" t="s">
        <v>30</v>
      </c>
      <c r="B19" s="68"/>
      <c r="C19" s="75"/>
      <c r="D19" s="70"/>
      <c r="E19" s="70"/>
      <c r="F19" s="68"/>
      <c r="G19" s="67" t="s">
        <v>31</v>
      </c>
      <c r="H19" s="68"/>
    </row>
    <row r="20" spans="1:8" ht="22" customHeight="1" x14ac:dyDescent="0.55000000000000004">
      <c r="A20" s="80" t="s">
        <v>32</v>
      </c>
      <c r="B20" s="68"/>
      <c r="C20" s="75"/>
      <c r="D20" s="70"/>
      <c r="E20" s="70"/>
      <c r="F20" s="68"/>
      <c r="G20" s="81" t="s">
        <v>33</v>
      </c>
      <c r="H20" s="68"/>
    </row>
    <row r="21" spans="1:8" ht="22" customHeight="1" x14ac:dyDescent="0.55000000000000004">
      <c r="A21" s="78" t="s">
        <v>34</v>
      </c>
      <c r="B21" s="68"/>
      <c r="C21" s="75"/>
      <c r="D21" s="70"/>
      <c r="E21" s="70"/>
      <c r="F21" s="68"/>
      <c r="G21" s="67" t="s">
        <v>35</v>
      </c>
      <c r="H21" s="68"/>
    </row>
    <row r="22" spans="1:8" ht="22" customHeight="1" x14ac:dyDescent="0.55000000000000004">
      <c r="A22" s="80" t="s">
        <v>36</v>
      </c>
      <c r="B22" s="68"/>
      <c r="C22" s="75"/>
      <c r="D22" s="70"/>
      <c r="E22" s="70"/>
      <c r="F22" s="68"/>
      <c r="G22" s="81" t="s">
        <v>37</v>
      </c>
      <c r="H22" s="68"/>
    </row>
    <row r="23" spans="1:8" ht="22" customHeight="1" x14ac:dyDescent="0.55000000000000004">
      <c r="A23" s="78" t="s">
        <v>38</v>
      </c>
      <c r="B23" s="68"/>
      <c r="C23" s="75"/>
      <c r="D23" s="70"/>
      <c r="E23" s="70"/>
      <c r="F23" s="68"/>
      <c r="G23" s="67" t="s">
        <v>39</v>
      </c>
      <c r="H23" s="68"/>
    </row>
    <row r="24" spans="1:8" ht="22" customHeight="1" x14ac:dyDescent="0.55000000000000004">
      <c r="A24" s="80" t="s">
        <v>40</v>
      </c>
      <c r="B24" s="68"/>
      <c r="C24" s="75"/>
      <c r="D24" s="70"/>
      <c r="E24" s="70"/>
      <c r="F24" s="68"/>
      <c r="G24" s="81" t="s">
        <v>41</v>
      </c>
      <c r="H24" s="68"/>
    </row>
    <row r="25" spans="1:8" ht="22" customHeight="1" x14ac:dyDescent="0.55000000000000004">
      <c r="A25" s="78" t="s">
        <v>42</v>
      </c>
      <c r="B25" s="68"/>
      <c r="C25" s="75"/>
      <c r="D25" s="70"/>
      <c r="E25" s="70"/>
      <c r="F25" s="68"/>
      <c r="G25" s="67" t="s">
        <v>43</v>
      </c>
      <c r="H25" s="68"/>
    </row>
    <row r="27" spans="1:8" ht="5.05" customHeight="1" x14ac:dyDescent="0.55000000000000004">
      <c r="A27" s="1"/>
      <c r="B27" s="1"/>
      <c r="C27" s="1"/>
      <c r="D27" s="1"/>
      <c r="E27" s="1"/>
      <c r="F27" s="1"/>
      <c r="G27" s="1"/>
      <c r="H27" s="1"/>
    </row>
    <row r="28" spans="1:8" ht="24" customHeight="1" x14ac:dyDescent="0.55000000000000004">
      <c r="A28" s="71" t="s">
        <v>44</v>
      </c>
      <c r="B28" s="72"/>
      <c r="C28" s="72"/>
      <c r="D28" s="72"/>
      <c r="E28" s="72"/>
      <c r="F28" s="72"/>
      <c r="G28" s="72"/>
      <c r="H28" s="73"/>
    </row>
    <row r="29" spans="1:8" ht="18" customHeight="1" x14ac:dyDescent="0.55000000000000004">
      <c r="A29" s="2"/>
      <c r="B29" s="2" t="s">
        <v>45</v>
      </c>
      <c r="C29" s="2"/>
      <c r="D29" s="2"/>
      <c r="E29" s="2" t="s">
        <v>46</v>
      </c>
      <c r="F29" s="2"/>
      <c r="G29" s="2" t="s">
        <v>47</v>
      </c>
      <c r="H29" s="2" t="s">
        <v>48</v>
      </c>
    </row>
    <row r="30" spans="1:8" ht="26.05" customHeight="1" x14ac:dyDescent="0.55000000000000004">
      <c r="A30" s="80" t="s">
        <v>49</v>
      </c>
      <c r="B30" s="68"/>
      <c r="C30" s="79"/>
      <c r="D30" s="68"/>
      <c r="E30" s="3" t="s">
        <v>50</v>
      </c>
      <c r="F30" s="81" t="s">
        <v>51</v>
      </c>
      <c r="G30" s="68"/>
      <c r="H30" s="7" t="s">
        <v>52</v>
      </c>
    </row>
    <row r="31" spans="1:8" ht="26.05" customHeight="1" x14ac:dyDescent="0.55000000000000004">
      <c r="A31" s="103" t="s">
        <v>53</v>
      </c>
      <c r="B31" s="68"/>
      <c r="C31" s="97"/>
      <c r="D31" s="68"/>
      <c r="E31" s="3" t="s">
        <v>15</v>
      </c>
      <c r="F31" s="67" t="s">
        <v>54</v>
      </c>
      <c r="G31" s="68"/>
      <c r="H31" s="9" t="s">
        <v>55</v>
      </c>
    </row>
    <row r="32" spans="1:8" ht="26.05" customHeight="1" x14ac:dyDescent="0.55000000000000004">
      <c r="A32" s="80" t="s">
        <v>56</v>
      </c>
      <c r="B32" s="68"/>
      <c r="C32" s="79"/>
      <c r="D32" s="68"/>
      <c r="E32" s="5"/>
      <c r="F32" s="81" t="s">
        <v>57</v>
      </c>
      <c r="G32" s="68"/>
      <c r="H32" s="7" t="s">
        <v>58</v>
      </c>
    </row>
    <row r="33" spans="1:8" ht="26.05" customHeight="1" x14ac:dyDescent="0.55000000000000004">
      <c r="A33" s="78" t="s">
        <v>59</v>
      </c>
      <c r="B33" s="68"/>
      <c r="C33" s="97"/>
      <c r="D33" s="68"/>
      <c r="E33" s="5"/>
      <c r="F33" s="67" t="s">
        <v>60</v>
      </c>
      <c r="G33" s="68"/>
      <c r="H33" s="9" t="s">
        <v>61</v>
      </c>
    </row>
    <row r="34" spans="1:8" ht="26.05" customHeight="1" x14ac:dyDescent="0.55000000000000004">
      <c r="A34" s="92" t="s">
        <v>62</v>
      </c>
      <c r="B34" s="68"/>
      <c r="C34" s="79"/>
      <c r="D34" s="68"/>
      <c r="E34" s="5"/>
      <c r="F34" s="81" t="s">
        <v>63</v>
      </c>
      <c r="G34" s="68"/>
      <c r="H34" s="7" t="s">
        <v>64</v>
      </c>
    </row>
    <row r="35" spans="1:8" ht="26.05" customHeight="1" x14ac:dyDescent="0.55000000000000004">
      <c r="A35" s="78" t="s">
        <v>65</v>
      </c>
      <c r="B35" s="68"/>
      <c r="C35" s="97"/>
      <c r="D35" s="68"/>
      <c r="E35" s="5"/>
      <c r="F35" s="67" t="s">
        <v>66</v>
      </c>
      <c r="G35" s="68"/>
      <c r="H35" s="9" t="s">
        <v>67</v>
      </c>
    </row>
    <row r="36" spans="1:8" ht="26.05" customHeight="1" x14ac:dyDescent="0.55000000000000004">
      <c r="A36" s="92" t="s">
        <v>68</v>
      </c>
      <c r="B36" s="68"/>
      <c r="C36" s="79"/>
      <c r="D36" s="68"/>
      <c r="E36" s="10">
        <f>C34+C35</f>
        <v>0</v>
      </c>
      <c r="F36" s="81" t="s">
        <v>69</v>
      </c>
      <c r="G36" s="68"/>
      <c r="H36" s="7" t="s">
        <v>70</v>
      </c>
    </row>
    <row r="37" spans="1:8" ht="5.05" customHeight="1" x14ac:dyDescent="0.55000000000000004">
      <c r="A37" s="1"/>
      <c r="B37" s="1"/>
      <c r="C37" s="1"/>
      <c r="D37" s="1"/>
      <c r="E37" s="1"/>
      <c r="F37" s="1"/>
      <c r="G37" s="1"/>
      <c r="H37" s="1"/>
    </row>
    <row r="38" spans="1:8" ht="26.05" customHeight="1" x14ac:dyDescent="0.55000000000000004">
      <c r="A38" s="71" t="s">
        <v>71</v>
      </c>
      <c r="B38" s="72"/>
      <c r="C38" s="72"/>
      <c r="D38" s="72"/>
      <c r="E38" s="72"/>
      <c r="F38" s="72"/>
      <c r="G38" s="72"/>
      <c r="H38" s="73"/>
    </row>
    <row r="39" spans="1:8" ht="24" customHeight="1" x14ac:dyDescent="0.55000000000000004">
      <c r="A39" s="98" t="s">
        <v>72</v>
      </c>
      <c r="B39" s="70"/>
      <c r="C39" s="70"/>
      <c r="D39" s="70"/>
      <c r="E39" s="70"/>
      <c r="F39" s="70"/>
      <c r="G39" s="70"/>
      <c r="H39" s="68"/>
    </row>
    <row r="40" spans="1:8" ht="18" customHeight="1" x14ac:dyDescent="0.55000000000000004">
      <c r="A40" s="11" t="s">
        <v>73</v>
      </c>
      <c r="B40" s="11" t="s">
        <v>74</v>
      </c>
      <c r="C40" s="11" t="s">
        <v>75</v>
      </c>
      <c r="D40" s="11" t="s">
        <v>76</v>
      </c>
      <c r="E40" s="11" t="s">
        <v>77</v>
      </c>
      <c r="F40" s="11" t="s">
        <v>78</v>
      </c>
      <c r="G40" s="11" t="s">
        <v>79</v>
      </c>
      <c r="H40" s="11" t="s">
        <v>80</v>
      </c>
    </row>
    <row r="41" spans="1:8" ht="26.05" customHeight="1" x14ac:dyDescent="0.55000000000000004">
      <c r="A41" s="12"/>
      <c r="B41" s="13"/>
      <c r="C41" s="14"/>
      <c r="D41" s="14"/>
      <c r="E41" s="15">
        <f t="shared" ref="E41:E46" si="0">IF(OR(C41&gt;0,D41&gt;0),C41+D41,0)</f>
        <v>0</v>
      </c>
      <c r="F41" s="16" t="s">
        <v>81</v>
      </c>
      <c r="G41" s="17">
        <f t="shared" ref="G41:G46" si="1">IF(F41="%100 (Bakanlık/Kamu İdaresi Doğrudan)",E41,IF(F41="%50 (KYD Dernek veya Muafiyet Vakfı)",E41*0.5,0))</f>
        <v>0</v>
      </c>
      <c r="H41" s="18"/>
    </row>
    <row r="42" spans="1:8" ht="26.05" customHeight="1" x14ac:dyDescent="0.55000000000000004">
      <c r="A42" s="12"/>
      <c r="B42" s="13"/>
      <c r="C42" s="14"/>
      <c r="D42" s="14"/>
      <c r="E42" s="19">
        <f t="shared" si="0"/>
        <v>0</v>
      </c>
      <c r="F42" s="20" t="s">
        <v>82</v>
      </c>
      <c r="G42" s="17">
        <f t="shared" si="1"/>
        <v>0</v>
      </c>
      <c r="H42" s="18"/>
    </row>
    <row r="43" spans="1:8" ht="26.05" customHeight="1" x14ac:dyDescent="0.55000000000000004">
      <c r="A43" s="12"/>
      <c r="B43" s="13"/>
      <c r="C43" s="14"/>
      <c r="D43" s="14"/>
      <c r="E43" s="15">
        <f t="shared" si="0"/>
        <v>0</v>
      </c>
      <c r="F43" s="16" t="s">
        <v>81</v>
      </c>
      <c r="G43" s="17">
        <f t="shared" si="1"/>
        <v>0</v>
      </c>
      <c r="H43" s="18"/>
    </row>
    <row r="44" spans="1:8" ht="26.05" customHeight="1" x14ac:dyDescent="0.55000000000000004">
      <c r="A44" s="12"/>
      <c r="B44" s="13"/>
      <c r="C44" s="14"/>
      <c r="D44" s="14"/>
      <c r="E44" s="19">
        <f t="shared" si="0"/>
        <v>0</v>
      </c>
      <c r="F44" s="20" t="s">
        <v>82</v>
      </c>
      <c r="G44" s="17">
        <f t="shared" si="1"/>
        <v>0</v>
      </c>
      <c r="H44" s="18"/>
    </row>
    <row r="45" spans="1:8" ht="26.05" customHeight="1" x14ac:dyDescent="0.55000000000000004">
      <c r="A45" s="12"/>
      <c r="B45" s="13"/>
      <c r="C45" s="14"/>
      <c r="D45" s="14"/>
      <c r="E45" s="15">
        <f t="shared" si="0"/>
        <v>0</v>
      </c>
      <c r="F45" s="16" t="s">
        <v>81</v>
      </c>
      <c r="G45" s="17">
        <f t="shared" si="1"/>
        <v>0</v>
      </c>
      <c r="H45" s="18"/>
    </row>
    <row r="46" spans="1:8" ht="26.05" customHeight="1" x14ac:dyDescent="0.55000000000000004">
      <c r="A46" s="12"/>
      <c r="B46" s="13"/>
      <c r="C46" s="14"/>
      <c r="D46" s="14"/>
      <c r="E46" s="19">
        <f t="shared" si="0"/>
        <v>0</v>
      </c>
      <c r="F46" s="20" t="s">
        <v>82</v>
      </c>
      <c r="G46" s="17">
        <f t="shared" si="1"/>
        <v>0</v>
      </c>
      <c r="H46" s="18"/>
    </row>
    <row r="47" spans="1:8" ht="32.049999999999997" customHeight="1" x14ac:dyDescent="0.55000000000000004">
      <c r="A47" s="100" t="s">
        <v>83</v>
      </c>
      <c r="B47" s="68"/>
      <c r="C47" s="21">
        <f>SUM(C41:C46)</f>
        <v>0</v>
      </c>
      <c r="D47" s="21">
        <f>SUM(D41:D46)</f>
        <v>0</v>
      </c>
      <c r="E47" s="22">
        <f>SUM(E41:E46)</f>
        <v>0</v>
      </c>
      <c r="F47" s="102" t="s">
        <v>84</v>
      </c>
      <c r="G47" s="23">
        <f>SUM(G41:G46)</f>
        <v>0</v>
      </c>
      <c r="H47" s="93" t="s">
        <v>85</v>
      </c>
    </row>
    <row r="48" spans="1:8" ht="5.05" customHeight="1" x14ac:dyDescent="0.55000000000000004">
      <c r="A48" s="1"/>
      <c r="B48" s="1"/>
      <c r="C48" s="1"/>
      <c r="D48" s="1"/>
      <c r="E48" s="1"/>
      <c r="F48" s="1"/>
      <c r="G48" s="1"/>
      <c r="H48" s="1"/>
    </row>
    <row r="49" spans="1:8" ht="26.05" customHeight="1" x14ac:dyDescent="0.55000000000000004">
      <c r="A49" s="71" t="s">
        <v>86</v>
      </c>
      <c r="B49" s="72"/>
      <c r="C49" s="72"/>
      <c r="D49" s="72"/>
      <c r="E49" s="72"/>
      <c r="F49" s="72"/>
      <c r="G49" s="72"/>
      <c r="H49" s="73"/>
    </row>
    <row r="50" spans="1:8" ht="18" customHeight="1" x14ac:dyDescent="0.55000000000000004">
      <c r="A50" s="2"/>
      <c r="B50" s="2" t="s">
        <v>87</v>
      </c>
      <c r="C50" s="2"/>
      <c r="D50" s="2"/>
      <c r="E50" s="2" t="s">
        <v>88</v>
      </c>
      <c r="F50" s="2"/>
      <c r="G50" s="2" t="s">
        <v>47</v>
      </c>
      <c r="H50" s="2" t="s">
        <v>89</v>
      </c>
    </row>
    <row r="51" spans="1:8" ht="22" customHeight="1" x14ac:dyDescent="0.55000000000000004">
      <c r="A51" s="85" t="s">
        <v>90</v>
      </c>
      <c r="B51" s="70"/>
      <c r="C51" s="70"/>
      <c r="D51" s="70"/>
      <c r="E51" s="70"/>
      <c r="F51" s="70"/>
      <c r="G51" s="70"/>
      <c r="H51" s="68"/>
    </row>
    <row r="52" spans="1:8" ht="24" customHeight="1" x14ac:dyDescent="0.55000000000000004">
      <c r="A52" s="84" t="s">
        <v>91</v>
      </c>
      <c r="B52" s="70"/>
      <c r="C52" s="70"/>
      <c r="D52" s="68"/>
      <c r="E52" s="24">
        <f>SUMIF(F41:F46,"%100 (Bakanlık/Kamu İdaresi Doğrudan)",E41:E46)</f>
        <v>0</v>
      </c>
      <c r="F52" s="95" t="s">
        <v>92</v>
      </c>
      <c r="G52" s="70"/>
      <c r="H52" s="68"/>
    </row>
    <row r="53" spans="1:8" ht="24" customHeight="1" x14ac:dyDescent="0.55000000000000004">
      <c r="A53" s="84" t="s">
        <v>93</v>
      </c>
      <c r="B53" s="70"/>
      <c r="C53" s="70"/>
      <c r="D53" s="68"/>
      <c r="E53" s="25">
        <f>E52</f>
        <v>0</v>
      </c>
      <c r="F53" s="95" t="s">
        <v>94</v>
      </c>
      <c r="G53" s="70"/>
      <c r="H53" s="68"/>
    </row>
    <row r="54" spans="1:8" ht="5.05" customHeight="1" x14ac:dyDescent="0.55000000000000004">
      <c r="A54" s="1"/>
      <c r="B54" s="1"/>
      <c r="C54" s="1"/>
      <c r="D54" s="1"/>
      <c r="E54" s="1"/>
      <c r="F54" s="1"/>
      <c r="G54" s="1"/>
      <c r="H54" s="1"/>
    </row>
    <row r="55" spans="1:8" ht="22" customHeight="1" x14ac:dyDescent="0.55000000000000004">
      <c r="A55" s="77" t="s">
        <v>95</v>
      </c>
      <c r="B55" s="70"/>
      <c r="C55" s="70"/>
      <c r="D55" s="70"/>
      <c r="E55" s="70"/>
      <c r="F55" s="70"/>
      <c r="G55" s="70"/>
      <c r="H55" s="68"/>
    </row>
    <row r="56" spans="1:8" ht="24" customHeight="1" x14ac:dyDescent="0.55000000000000004">
      <c r="A56" s="82" t="s">
        <v>96</v>
      </c>
      <c r="B56" s="70"/>
      <c r="C56" s="70"/>
      <c r="D56" s="68"/>
      <c r="E56" s="26">
        <f>SUMIF(F41:F46,"%50 (KYD Dernek veya Muafiyet Vakfı)",E41:E46)</f>
        <v>0</v>
      </c>
      <c r="F56" s="86" t="s">
        <v>97</v>
      </c>
      <c r="G56" s="70"/>
      <c r="H56" s="68"/>
    </row>
    <row r="57" spans="1:8" ht="24" customHeight="1" x14ac:dyDescent="0.55000000000000004">
      <c r="A57" s="82" t="s">
        <v>98</v>
      </c>
      <c r="B57" s="70"/>
      <c r="C57" s="70"/>
      <c r="D57" s="68"/>
      <c r="E57" s="27">
        <f>E56*0.5</f>
        <v>0</v>
      </c>
      <c r="F57" s="86" t="s">
        <v>99</v>
      </c>
      <c r="G57" s="70"/>
      <c r="H57" s="68"/>
    </row>
    <row r="58" spans="1:8" ht="5.05" customHeight="1" x14ac:dyDescent="0.55000000000000004">
      <c r="A58" s="1"/>
      <c r="B58" s="1"/>
      <c r="C58" s="1"/>
      <c r="D58" s="1"/>
      <c r="E58" s="1"/>
      <c r="F58" s="1"/>
      <c r="G58" s="1"/>
      <c r="H58" s="1"/>
    </row>
    <row r="59" spans="1:8" ht="36" customHeight="1" x14ac:dyDescent="0.55000000000000004">
      <c r="A59" s="87" t="s">
        <v>100</v>
      </c>
      <c r="B59" s="70"/>
      <c r="C59" s="70"/>
      <c r="D59" s="68"/>
      <c r="E59" s="28">
        <f>E53+E57</f>
        <v>0</v>
      </c>
      <c r="F59" s="91" t="s">
        <v>101</v>
      </c>
      <c r="G59" s="70"/>
      <c r="H59" s="68"/>
    </row>
    <row r="60" spans="1:8" ht="22" customHeight="1" x14ac:dyDescent="0.55000000000000004">
      <c r="A60" s="86" t="s">
        <v>102</v>
      </c>
      <c r="B60" s="70"/>
      <c r="C60" s="70"/>
      <c r="D60" s="70"/>
      <c r="E60" s="70"/>
      <c r="F60" s="70"/>
      <c r="G60" s="70"/>
      <c r="H60" s="68"/>
    </row>
  </sheetData>
  <mergeCells count="86">
    <mergeCell ref="A1:H1"/>
    <mergeCell ref="G8:H8"/>
    <mergeCell ref="C35:D35"/>
    <mergeCell ref="A25:B25"/>
    <mergeCell ref="G10:H10"/>
    <mergeCell ref="G19:H19"/>
    <mergeCell ref="F32:G32"/>
    <mergeCell ref="F35:G35"/>
    <mergeCell ref="G14:H14"/>
    <mergeCell ref="C25:F25"/>
    <mergeCell ref="A8:E8"/>
    <mergeCell ref="A4:H4"/>
    <mergeCell ref="A20:B20"/>
    <mergeCell ref="A10:E10"/>
    <mergeCell ref="A31:B31"/>
    <mergeCell ref="A9:E9"/>
    <mergeCell ref="A57:D57"/>
    <mergeCell ref="A13:E13"/>
    <mergeCell ref="A24:B24"/>
    <mergeCell ref="C23:F23"/>
    <mergeCell ref="A39:H39"/>
    <mergeCell ref="A15:E15"/>
    <mergeCell ref="C33:D33"/>
    <mergeCell ref="F56:H56"/>
    <mergeCell ref="A47:B47"/>
    <mergeCell ref="F47"/>
    <mergeCell ref="A2:H2"/>
    <mergeCell ref="F31:G31"/>
    <mergeCell ref="A14:E14"/>
    <mergeCell ref="G16:H16"/>
    <mergeCell ref="G25:H25"/>
    <mergeCell ref="A28:H28"/>
    <mergeCell ref="G9:H9"/>
    <mergeCell ref="G11:H11"/>
    <mergeCell ref="A16:E16"/>
    <mergeCell ref="G13:H13"/>
    <mergeCell ref="C31:D31"/>
    <mergeCell ref="A21:B21"/>
    <mergeCell ref="G15:H15"/>
    <mergeCell ref="C20:F20"/>
    <mergeCell ref="A23:B23"/>
    <mergeCell ref="C22:F22"/>
    <mergeCell ref="A60:H60"/>
    <mergeCell ref="C19:F19"/>
    <mergeCell ref="F30:G30"/>
    <mergeCell ref="F33:G33"/>
    <mergeCell ref="A59:D59"/>
    <mergeCell ref="G24:H24"/>
    <mergeCell ref="F59:H59"/>
    <mergeCell ref="A34:B34"/>
    <mergeCell ref="C34:D34"/>
    <mergeCell ref="H47"/>
    <mergeCell ref="A52:D52"/>
    <mergeCell ref="A36:B36"/>
    <mergeCell ref="F36:G36"/>
    <mergeCell ref="F52:H52"/>
    <mergeCell ref="F57:H57"/>
    <mergeCell ref="A32:B32"/>
    <mergeCell ref="A56:D56"/>
    <mergeCell ref="A19:B19"/>
    <mergeCell ref="A38:H38"/>
    <mergeCell ref="G22:H22"/>
    <mergeCell ref="A30:B30"/>
    <mergeCell ref="C30:D30"/>
    <mergeCell ref="A53:D53"/>
    <mergeCell ref="A51:H51"/>
    <mergeCell ref="F34:G34"/>
    <mergeCell ref="F53:H53"/>
    <mergeCell ref="C32:D32"/>
    <mergeCell ref="C21:F21"/>
    <mergeCell ref="A3:H3"/>
    <mergeCell ref="A55:H55"/>
    <mergeCell ref="A33:B33"/>
    <mergeCell ref="C36:D36"/>
    <mergeCell ref="A22:B22"/>
    <mergeCell ref="A35:B35"/>
    <mergeCell ref="G20:H20"/>
    <mergeCell ref="G12:H12"/>
    <mergeCell ref="A18:H18"/>
    <mergeCell ref="A12:E12"/>
    <mergeCell ref="G21:H21"/>
    <mergeCell ref="A11:E11"/>
    <mergeCell ref="A49:H49"/>
    <mergeCell ref="G23:H23"/>
    <mergeCell ref="A6:H6"/>
    <mergeCell ref="C24:F24"/>
  </mergeCells>
  <conditionalFormatting sqref="F16">
    <cfRule type="containsText" dxfId="3" priority="1" operator="containsText" text="OK">
      <formula>NOT(ISERROR(SEARCH("OK",F16)))</formula>
    </cfRule>
    <cfRule type="containsText" dxfId="2" priority="2" operator="containsText" text="HATA">
      <formula>NOT(ISERROR(SEARCH("HATA",F16)))</formula>
    </cfRule>
  </conditionalFormatting>
  <dataValidations count="9">
    <dataValidation type="list" sqref="F8" xr:uid="{00000000-0002-0000-0000-000000000000}">
      <formula1>"EVET,HAYIR-Kapsam Dışı"</formula1>
    </dataValidation>
    <dataValidation type="list" sqref="F9" xr:uid="{00000000-0002-0000-0000-000001000000}">
      <formula1>"EVET-Karşılıksız Bağış,HAYIR-Karşılıklı (Sponsorluk→460/461)"</formula1>
    </dataValidation>
    <dataValidation type="list" sqref="F10 F41:F46 E31" xr:uid="{00000000-0002-0000-0000-000002000000}">
      <formula1>"%100 (Bakanlık/Kamu İdaresi Doğrudan),%50 (KYD Dernek veya Muafiyet Vakfı)"</formula1>
    </dataValidation>
    <dataValidation type="list" sqref="F11" xr:uid="{00000000-0002-0000-0000-000003000000}">
      <formula1>"EVET,HAYIR-Taahhüt Aşamasında"</formula1>
    </dataValidation>
    <dataValidation type="list" sqref="F12" xr:uid="{00000000-0002-0000-0000-000004000000}">
      <formula1>"EVET,HAYIR-Belge Eksik"</formula1>
    </dataValidation>
    <dataValidation type="list" sqref="F13" xr:uid="{00000000-0002-0000-0000-000005000000}">
      <formula1>"EVET,HAYIR-Statü Belgesi Eksik,Uygulanmaz-%100 Kamu İdaresi"</formula1>
    </dataValidation>
    <dataValidation type="list" sqref="F14" xr:uid="{00000000-0002-0000-0000-000006000000}">
      <formula1>"EVET,HAYIR-Eksik"</formula1>
    </dataValidation>
    <dataValidation type="list" sqref="F15" xr:uid="{00000000-0002-0000-0000-000007000000}">
      <formula1>"EVET,Tam Tasdik"</formula1>
    </dataValidation>
    <dataValidation type="list" sqref="E30" xr:uid="{00000000-0002-0000-0000-000008000000}">
      <formula1>_xlfn._LONGTEXT("Kültürel Miras Koruma/Restorasyon,Müze ve Sergi Faaliyetleri,Kütüphane ve Arşiv Desteği,Güzel Sanatlar (Resim/Heykel/El Sanatları),Sinema/Tiyatro/Opera/Bale/Konser,Turizm Altyapısı ve Tanıtım,Tarihi ve Kültürel Alan Koruma,Kültür/Sanat Yayıncılığı,Diğer K","VK Md.10/1-d Kapsamı")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2" customWidth="1"/>
    <col min="5" max="6" width="14" customWidth="1"/>
    <col min="7" max="7" width="12" customWidth="1"/>
    <col min="8" max="8" width="14" customWidth="1"/>
  </cols>
  <sheetData>
    <row r="1" spans="1:8" ht="36" customHeight="1" x14ac:dyDescent="0.55000000000000004">
      <c r="A1" s="113" t="s">
        <v>103</v>
      </c>
      <c r="B1" s="72"/>
      <c r="C1" s="72"/>
      <c r="D1" s="72"/>
      <c r="E1" s="72"/>
      <c r="F1" s="72"/>
      <c r="G1" s="72"/>
      <c r="H1" s="73"/>
    </row>
    <row r="2" spans="1:8" ht="20.05" customHeight="1" x14ac:dyDescent="0.55000000000000004">
      <c r="A2" s="119" t="s">
        <v>104</v>
      </c>
      <c r="B2" s="70"/>
      <c r="C2" s="70"/>
      <c r="D2" s="70"/>
      <c r="E2" s="70"/>
      <c r="F2" s="70"/>
      <c r="G2" s="70"/>
      <c r="H2" s="68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20" t="s">
        <v>105</v>
      </c>
      <c r="B4" s="72"/>
      <c r="C4" s="72"/>
      <c r="D4" s="72"/>
      <c r="E4" s="72"/>
      <c r="F4" s="72"/>
      <c r="G4" s="72"/>
      <c r="H4" s="73"/>
    </row>
    <row r="5" spans="1:8" ht="22" customHeight="1" x14ac:dyDescent="0.55000000000000004">
      <c r="A5" s="104" t="s">
        <v>106</v>
      </c>
      <c r="B5" s="70"/>
      <c r="C5" s="70"/>
      <c r="D5" s="68"/>
      <c r="E5" s="29" t="str">
        <f>'VERİ GİRİŞİ'!F16</f>
        <v>OK - Hesaplanabilir</v>
      </c>
      <c r="F5" s="96" t="s">
        <v>107</v>
      </c>
      <c r="G5" s="70"/>
      <c r="H5" s="68"/>
    </row>
    <row r="6" spans="1:8" ht="22" customHeight="1" x14ac:dyDescent="0.55000000000000004">
      <c r="A6" s="118" t="s">
        <v>108</v>
      </c>
      <c r="B6" s="70"/>
      <c r="C6" s="70"/>
      <c r="D6" s="68"/>
      <c r="E6" s="29" t="str">
        <f>'VERİ GİRİŞİ'!E31</f>
        <v>%100 (Kültür ve Turizm Bakanlığı/Kamu)</v>
      </c>
      <c r="F6" s="83" t="s">
        <v>109</v>
      </c>
      <c r="G6" s="70"/>
      <c r="H6" s="68"/>
    </row>
    <row r="7" spans="1:8" ht="22" customHeight="1" x14ac:dyDescent="0.55000000000000004">
      <c r="A7" s="105" t="s">
        <v>110</v>
      </c>
      <c r="B7" s="70"/>
      <c r="C7" s="70"/>
      <c r="D7" s="68"/>
      <c r="E7" s="30">
        <f>'VERİ GİRİŞİ'!E52</f>
        <v>0</v>
      </c>
      <c r="F7" s="110" t="s">
        <v>111</v>
      </c>
      <c r="G7" s="70"/>
      <c r="H7" s="68"/>
    </row>
    <row r="8" spans="1:8" ht="22" customHeight="1" x14ac:dyDescent="0.55000000000000004">
      <c r="A8" s="105" t="s">
        <v>112</v>
      </c>
      <c r="B8" s="70"/>
      <c r="C8" s="70"/>
      <c r="D8" s="68"/>
      <c r="E8" s="30">
        <f>'VERİ GİRİŞİ'!E53</f>
        <v>0</v>
      </c>
      <c r="F8" s="110"/>
      <c r="G8" s="70"/>
      <c r="H8" s="68"/>
    </row>
    <row r="9" spans="1:8" ht="22" customHeight="1" x14ac:dyDescent="0.55000000000000004">
      <c r="A9" s="114" t="s">
        <v>113</v>
      </c>
      <c r="B9" s="70"/>
      <c r="C9" s="70"/>
      <c r="D9" s="68"/>
      <c r="E9" s="31">
        <f>'VERİ GİRİŞİ'!E56</f>
        <v>0</v>
      </c>
      <c r="F9" s="116" t="s">
        <v>114</v>
      </c>
      <c r="G9" s="70"/>
      <c r="H9" s="68"/>
    </row>
    <row r="10" spans="1:8" ht="22" customHeight="1" x14ac:dyDescent="0.55000000000000004">
      <c r="A10" s="114" t="s">
        <v>115</v>
      </c>
      <c r="B10" s="70"/>
      <c r="C10" s="70"/>
      <c r="D10" s="68"/>
      <c r="E10" s="31">
        <f>'VERİ GİRİŞİ'!E57</f>
        <v>0</v>
      </c>
      <c r="F10" s="116" t="s">
        <v>116</v>
      </c>
      <c r="G10" s="70"/>
      <c r="H10" s="68"/>
    </row>
    <row r="11" spans="1:8" ht="22" customHeight="1" x14ac:dyDescent="0.55000000000000004">
      <c r="A11" s="94" t="s">
        <v>117</v>
      </c>
      <c r="B11" s="70"/>
      <c r="C11" s="70"/>
      <c r="D11" s="68"/>
      <c r="E11" s="32">
        <f>'VERİ GİRİŞİ'!E59</f>
        <v>0</v>
      </c>
      <c r="F11" s="126">
        <f>E8+E10</f>
        <v>0</v>
      </c>
      <c r="G11" s="70"/>
      <c r="H11" s="68"/>
    </row>
    <row r="12" spans="1:8" ht="22" customHeight="1" x14ac:dyDescent="0.55000000000000004">
      <c r="A12" s="114" t="s">
        <v>118</v>
      </c>
      <c r="B12" s="70"/>
      <c r="C12" s="70"/>
      <c r="D12" s="68"/>
      <c r="E12" s="33" t="s">
        <v>119</v>
      </c>
      <c r="F12" s="116" t="s">
        <v>120</v>
      </c>
      <c r="G12" s="70"/>
      <c r="H12" s="68"/>
    </row>
    <row r="13" spans="1:8" ht="5.05" customHeight="1" x14ac:dyDescent="0.55000000000000004">
      <c r="A13" s="1"/>
      <c r="B13" s="1"/>
      <c r="C13" s="1"/>
      <c r="D13" s="1"/>
      <c r="E13" s="1"/>
      <c r="F13" s="1"/>
      <c r="G13" s="1"/>
      <c r="H13" s="1"/>
    </row>
    <row r="14" spans="1:8" ht="22" customHeight="1" x14ac:dyDescent="0.55000000000000004">
      <c r="A14" s="71" t="s">
        <v>121</v>
      </c>
      <c r="B14" s="72"/>
      <c r="C14" s="72"/>
      <c r="D14" s="72"/>
      <c r="E14" s="72"/>
      <c r="F14" s="72"/>
      <c r="G14" s="72"/>
      <c r="H14" s="73"/>
    </row>
    <row r="15" spans="1:8" ht="80.05" customHeight="1" x14ac:dyDescent="0.55000000000000004">
      <c r="A15" s="106" t="s">
        <v>122</v>
      </c>
      <c r="B15" s="70"/>
      <c r="C15" s="70"/>
      <c r="D15" s="70"/>
      <c r="E15" s="70"/>
      <c r="F15" s="70"/>
      <c r="G15" s="70"/>
      <c r="H15" s="68"/>
    </row>
    <row r="16" spans="1:8" ht="5.05" customHeight="1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ht="22" customHeight="1" x14ac:dyDescent="0.55000000000000004">
      <c r="A17" s="71" t="s">
        <v>123</v>
      </c>
      <c r="B17" s="72"/>
      <c r="C17" s="72"/>
      <c r="D17" s="72"/>
      <c r="E17" s="72"/>
      <c r="F17" s="72"/>
      <c r="G17" s="72"/>
      <c r="H17" s="73"/>
    </row>
    <row r="18" spans="1:8" ht="64" customHeight="1" x14ac:dyDescent="0.55000000000000004">
      <c r="A18" s="117" t="s">
        <v>124</v>
      </c>
      <c r="B18" s="70"/>
      <c r="C18" s="70"/>
      <c r="D18" s="70"/>
      <c r="E18" s="70"/>
      <c r="F18" s="70"/>
      <c r="G18" s="70"/>
      <c r="H18" s="68"/>
    </row>
    <row r="19" spans="1:8" ht="5.05" customHeight="1" x14ac:dyDescent="0.55000000000000004">
      <c r="A19" s="1"/>
      <c r="B19" s="1"/>
      <c r="C19" s="1"/>
      <c r="D19" s="1"/>
      <c r="E19" s="1"/>
      <c r="F19" s="1"/>
      <c r="G19" s="1"/>
      <c r="H19" s="1"/>
    </row>
    <row r="20" spans="1:8" ht="22" customHeight="1" x14ac:dyDescent="0.55000000000000004">
      <c r="A20" s="71" t="s">
        <v>125</v>
      </c>
      <c r="B20" s="72"/>
      <c r="C20" s="72"/>
      <c r="D20" s="72"/>
      <c r="E20" s="72"/>
      <c r="F20" s="72"/>
      <c r="G20" s="72"/>
      <c r="H20" s="73"/>
    </row>
    <row r="21" spans="1:8" ht="18" customHeight="1" x14ac:dyDescent="0.55000000000000004">
      <c r="A21" s="2"/>
      <c r="B21" s="2" t="s">
        <v>126</v>
      </c>
      <c r="C21" s="2"/>
      <c r="D21" s="2"/>
      <c r="E21" s="2"/>
      <c r="F21" s="2" t="s">
        <v>47</v>
      </c>
      <c r="G21" s="2"/>
      <c r="H21" s="2"/>
    </row>
    <row r="22" spans="1:8" ht="20.05" customHeight="1" x14ac:dyDescent="0.55000000000000004">
      <c r="A22" s="34" t="s">
        <v>127</v>
      </c>
      <c r="B22" s="108" t="s">
        <v>128</v>
      </c>
      <c r="C22" s="70"/>
      <c r="D22" s="70"/>
      <c r="E22" s="68"/>
      <c r="F22" s="111" t="s">
        <v>129</v>
      </c>
      <c r="G22" s="70"/>
      <c r="H22" s="68"/>
    </row>
    <row r="23" spans="1:8" ht="20.05" customHeight="1" x14ac:dyDescent="0.55000000000000004">
      <c r="A23" s="34" t="s">
        <v>130</v>
      </c>
      <c r="B23" s="108" t="s">
        <v>131</v>
      </c>
      <c r="C23" s="70"/>
      <c r="D23" s="70"/>
      <c r="E23" s="68"/>
      <c r="F23" s="111" t="s">
        <v>132</v>
      </c>
      <c r="G23" s="70"/>
      <c r="H23" s="68"/>
    </row>
    <row r="24" spans="1:8" ht="20.05" customHeight="1" x14ac:dyDescent="0.55000000000000004">
      <c r="A24" s="34" t="s">
        <v>133</v>
      </c>
      <c r="B24" s="108" t="s">
        <v>134</v>
      </c>
      <c r="C24" s="70"/>
      <c r="D24" s="70"/>
      <c r="E24" s="68"/>
      <c r="F24" s="111" t="s">
        <v>135</v>
      </c>
      <c r="G24" s="70"/>
      <c r="H24" s="68"/>
    </row>
    <row r="25" spans="1:8" ht="20.05" customHeight="1" x14ac:dyDescent="0.55000000000000004">
      <c r="A25" s="34" t="s">
        <v>136</v>
      </c>
      <c r="B25" s="108" t="s">
        <v>137</v>
      </c>
      <c r="C25" s="70"/>
      <c r="D25" s="70"/>
      <c r="E25" s="68"/>
      <c r="F25" s="111" t="s">
        <v>138</v>
      </c>
      <c r="G25" s="70"/>
      <c r="H25" s="68"/>
    </row>
    <row r="26" spans="1:8" ht="20.05" customHeight="1" x14ac:dyDescent="0.55000000000000004">
      <c r="A26" s="34" t="s">
        <v>139</v>
      </c>
      <c r="B26" s="108" t="s">
        <v>140</v>
      </c>
      <c r="C26" s="70"/>
      <c r="D26" s="70"/>
      <c r="E26" s="68"/>
      <c r="F26" s="111" t="s">
        <v>141</v>
      </c>
      <c r="G26" s="70"/>
      <c r="H26" s="68"/>
    </row>
    <row r="27" spans="1:8" ht="20.05" customHeight="1" x14ac:dyDescent="0.55000000000000004">
      <c r="A27" s="34" t="s">
        <v>142</v>
      </c>
      <c r="B27" s="108" t="s">
        <v>143</v>
      </c>
      <c r="C27" s="70"/>
      <c r="D27" s="70"/>
      <c r="E27" s="68"/>
      <c r="F27" s="111" t="s">
        <v>144</v>
      </c>
      <c r="G27" s="70"/>
      <c r="H27" s="68"/>
    </row>
    <row r="28" spans="1:8" ht="20.05" customHeight="1" x14ac:dyDescent="0.55000000000000004">
      <c r="A28" s="34" t="s">
        <v>145</v>
      </c>
      <c r="B28" s="108" t="s">
        <v>146</v>
      </c>
      <c r="C28" s="70"/>
      <c r="D28" s="70"/>
      <c r="E28" s="68"/>
      <c r="F28" s="111" t="s">
        <v>147</v>
      </c>
      <c r="G28" s="70"/>
      <c r="H28" s="68"/>
    </row>
    <row r="29" spans="1:8" ht="20.05" customHeight="1" x14ac:dyDescent="0.55000000000000004">
      <c r="A29" s="34" t="s">
        <v>148</v>
      </c>
      <c r="B29" s="112" t="s">
        <v>149</v>
      </c>
      <c r="C29" s="70"/>
      <c r="D29" s="70"/>
      <c r="E29" s="68"/>
      <c r="F29" s="107" t="s">
        <v>150</v>
      </c>
      <c r="G29" s="70"/>
      <c r="H29" s="68"/>
    </row>
    <row r="30" spans="1:8" ht="20.05" customHeight="1" x14ac:dyDescent="0.55000000000000004">
      <c r="A30" s="34" t="s">
        <v>151</v>
      </c>
      <c r="B30" s="108" t="s">
        <v>152</v>
      </c>
      <c r="C30" s="70"/>
      <c r="D30" s="70"/>
      <c r="E30" s="68"/>
      <c r="F30" s="111" t="s">
        <v>153</v>
      </c>
      <c r="G30" s="70"/>
      <c r="H30" s="68"/>
    </row>
    <row r="31" spans="1:8" ht="20.05" customHeight="1" x14ac:dyDescent="0.55000000000000004">
      <c r="A31" s="34" t="s">
        <v>154</v>
      </c>
      <c r="B31" s="112" t="s">
        <v>155</v>
      </c>
      <c r="C31" s="70"/>
      <c r="D31" s="70"/>
      <c r="E31" s="68"/>
      <c r="F31" s="107" t="s">
        <v>156</v>
      </c>
      <c r="G31" s="70"/>
      <c r="H31" s="68"/>
    </row>
    <row r="32" spans="1:8" ht="20.05" customHeight="1" x14ac:dyDescent="0.55000000000000004">
      <c r="A32" s="34" t="s">
        <v>157</v>
      </c>
      <c r="B32" s="115" t="s">
        <v>158</v>
      </c>
      <c r="C32" s="70"/>
      <c r="D32" s="70"/>
      <c r="E32" s="68"/>
      <c r="F32" s="109" t="s">
        <v>159</v>
      </c>
      <c r="G32" s="70"/>
      <c r="H32" s="68"/>
    </row>
    <row r="33" spans="1:8" ht="20.05" customHeight="1" x14ac:dyDescent="0.55000000000000004">
      <c r="A33" s="34" t="s">
        <v>160</v>
      </c>
      <c r="B33" s="112" t="s">
        <v>161</v>
      </c>
      <c r="C33" s="70"/>
      <c r="D33" s="70"/>
      <c r="E33" s="68"/>
      <c r="F33" s="107" t="s">
        <v>162</v>
      </c>
      <c r="G33" s="70"/>
      <c r="H33" s="68"/>
    </row>
    <row r="34" spans="1:8" ht="20.05" customHeight="1" x14ac:dyDescent="0.55000000000000004">
      <c r="A34" s="34" t="s">
        <v>163</v>
      </c>
      <c r="B34" s="115" t="s">
        <v>164</v>
      </c>
      <c r="C34" s="70"/>
      <c r="D34" s="70"/>
      <c r="E34" s="68"/>
      <c r="F34" s="109" t="s">
        <v>26</v>
      </c>
      <c r="G34" s="70"/>
      <c r="H34" s="68"/>
    </row>
  </sheetData>
  <mergeCells count="50">
    <mergeCell ref="F34:H34"/>
    <mergeCell ref="F6:H6"/>
    <mergeCell ref="A12:D12"/>
    <mergeCell ref="A20:H20"/>
    <mergeCell ref="B29:E29"/>
    <mergeCell ref="F12:H12"/>
    <mergeCell ref="F7:H7"/>
    <mergeCell ref="B28:E28"/>
    <mergeCell ref="F24:H24"/>
    <mergeCell ref="B34:E34"/>
    <mergeCell ref="A2:H2"/>
    <mergeCell ref="A7:D7"/>
    <mergeCell ref="A14:H14"/>
    <mergeCell ref="F29:H29"/>
    <mergeCell ref="F11:H11"/>
    <mergeCell ref="A17:H17"/>
    <mergeCell ref="F25:H25"/>
    <mergeCell ref="A4:H4"/>
    <mergeCell ref="F10:H10"/>
    <mergeCell ref="B23:E23"/>
    <mergeCell ref="A1:H1"/>
    <mergeCell ref="A10:D10"/>
    <mergeCell ref="B32:E32"/>
    <mergeCell ref="F23:H23"/>
    <mergeCell ref="B26:E26"/>
    <mergeCell ref="A9:D9"/>
    <mergeCell ref="F22:H22"/>
    <mergeCell ref="F28:H28"/>
    <mergeCell ref="F31:H31"/>
    <mergeCell ref="F27:H27"/>
    <mergeCell ref="F30:H30"/>
    <mergeCell ref="B25:E25"/>
    <mergeCell ref="F9:H9"/>
    <mergeCell ref="A11:D11"/>
    <mergeCell ref="B22:E22"/>
    <mergeCell ref="A18:H18"/>
    <mergeCell ref="A5:D5"/>
    <mergeCell ref="A8:D8"/>
    <mergeCell ref="F5:H5"/>
    <mergeCell ref="A15:H15"/>
    <mergeCell ref="F33:H33"/>
    <mergeCell ref="B30:E30"/>
    <mergeCell ref="F32:H32"/>
    <mergeCell ref="F8:H8"/>
    <mergeCell ref="F26:H26"/>
    <mergeCell ref="B33:E33"/>
    <mergeCell ref="B24:E24"/>
    <mergeCell ref="B31:E31"/>
    <mergeCell ref="B27:E27"/>
    <mergeCell ref="A6:D6"/>
  </mergeCells>
  <conditionalFormatting sqref="E5">
    <cfRule type="containsText" dxfId="1" priority="1" operator="containsText" text="OK">
      <formula>NOT(ISERROR(SEARCH("OK",E5)))</formula>
    </cfRule>
    <cfRule type="containsText" dxfId="0" priority="2" operator="containsText" text="HATA">
      <formula>NOT(ISERROR(SEARCH("HATA",E5)))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6" customWidth="1"/>
    <col min="4" max="4" width="20" customWidth="1"/>
    <col min="5" max="7" width="12" customWidth="1"/>
    <col min="8" max="8" width="16" customWidth="1"/>
  </cols>
  <sheetData>
    <row r="1" spans="1:8" ht="32.049999999999997" customHeight="1" x14ac:dyDescent="0.55000000000000004">
      <c r="A1" s="71" t="s">
        <v>165</v>
      </c>
      <c r="B1" s="72"/>
      <c r="C1" s="72"/>
      <c r="D1" s="72"/>
      <c r="E1" s="72"/>
      <c r="F1" s="72"/>
      <c r="G1" s="72"/>
      <c r="H1" s="73"/>
    </row>
    <row r="2" spans="1:8" ht="22" customHeight="1" x14ac:dyDescent="0.55000000000000004">
      <c r="A2" s="87" t="s">
        <v>166</v>
      </c>
      <c r="B2" s="70"/>
      <c r="C2" s="70"/>
      <c r="D2" s="70"/>
      <c r="E2" s="70"/>
      <c r="F2" s="70"/>
      <c r="G2" s="70"/>
      <c r="H2" s="68"/>
    </row>
    <row r="3" spans="1:8" ht="18" customHeight="1" x14ac:dyDescent="0.55000000000000004">
      <c r="A3" s="39"/>
      <c r="B3" s="39" t="s">
        <v>167</v>
      </c>
      <c r="C3" s="39" t="s">
        <v>168</v>
      </c>
      <c r="D3" s="39" t="s">
        <v>89</v>
      </c>
      <c r="E3" s="39" t="s">
        <v>169</v>
      </c>
      <c r="F3" s="39" t="s">
        <v>170</v>
      </c>
      <c r="G3" s="39"/>
      <c r="H3" s="39" t="s">
        <v>171</v>
      </c>
    </row>
    <row r="4" spans="1:8" ht="22" customHeight="1" x14ac:dyDescent="0.55000000000000004">
      <c r="A4" s="40" t="s">
        <v>169</v>
      </c>
      <c r="B4" s="40" t="s">
        <v>172</v>
      </c>
      <c r="C4" s="40" t="s">
        <v>173</v>
      </c>
      <c r="D4" s="40" t="s">
        <v>174</v>
      </c>
      <c r="E4" s="40" t="s">
        <v>175</v>
      </c>
      <c r="F4" s="40" t="s">
        <v>176</v>
      </c>
      <c r="G4" s="40" t="s">
        <v>177</v>
      </c>
      <c r="H4" s="6"/>
    </row>
    <row r="5" spans="1:8" ht="22" customHeight="1" x14ac:dyDescent="0.55000000000000004">
      <c r="A5" s="122" t="s">
        <v>178</v>
      </c>
      <c r="B5" s="70"/>
      <c r="C5" s="70"/>
      <c r="D5" s="70"/>
      <c r="E5" s="70"/>
      <c r="F5" s="70"/>
      <c r="G5" s="70"/>
      <c r="H5" s="68"/>
    </row>
    <row r="6" spans="1:8" ht="18" customHeight="1" x14ac:dyDescent="0.55000000000000004">
      <c r="A6" s="39"/>
      <c r="B6" s="39" t="s">
        <v>167</v>
      </c>
      <c r="C6" s="39" t="s">
        <v>168</v>
      </c>
      <c r="D6" s="39" t="s">
        <v>89</v>
      </c>
      <c r="E6" s="39" t="s">
        <v>169</v>
      </c>
      <c r="F6" s="39" t="s">
        <v>170</v>
      </c>
      <c r="G6" s="39"/>
      <c r="H6" s="39" t="s">
        <v>171</v>
      </c>
    </row>
    <row r="7" spans="1:8" ht="22" customHeight="1" x14ac:dyDescent="0.55000000000000004">
      <c r="A7" s="40" t="s">
        <v>169</v>
      </c>
      <c r="B7" s="40" t="s">
        <v>172</v>
      </c>
      <c r="C7" s="40" t="s">
        <v>173</v>
      </c>
      <c r="D7" s="40" t="s">
        <v>179</v>
      </c>
      <c r="E7" s="40" t="s">
        <v>180</v>
      </c>
      <c r="F7" s="40" t="s">
        <v>176</v>
      </c>
      <c r="G7" s="40" t="s">
        <v>177</v>
      </c>
      <c r="H7" s="6"/>
    </row>
    <row r="8" spans="1:8" ht="22" customHeight="1" x14ac:dyDescent="0.55000000000000004">
      <c r="A8" s="123" t="s">
        <v>181</v>
      </c>
      <c r="B8" s="70"/>
      <c r="C8" s="70"/>
      <c r="D8" s="70"/>
      <c r="E8" s="70"/>
      <c r="F8" s="70"/>
      <c r="G8" s="70"/>
      <c r="H8" s="68"/>
    </row>
    <row r="9" spans="1:8" ht="18" customHeight="1" x14ac:dyDescent="0.55000000000000004">
      <c r="A9" s="39"/>
      <c r="B9" s="39" t="s">
        <v>167</v>
      </c>
      <c r="C9" s="39" t="s">
        <v>168</v>
      </c>
      <c r="D9" s="39" t="s">
        <v>89</v>
      </c>
      <c r="E9" s="39" t="s">
        <v>169</v>
      </c>
      <c r="F9" s="39" t="s">
        <v>170</v>
      </c>
      <c r="G9" s="39"/>
      <c r="H9" s="39" t="s">
        <v>171</v>
      </c>
    </row>
    <row r="10" spans="1:8" ht="22" customHeight="1" x14ac:dyDescent="0.55000000000000004">
      <c r="A10" s="40" t="s">
        <v>169</v>
      </c>
      <c r="B10" s="40" t="s">
        <v>182</v>
      </c>
      <c r="C10" s="40" t="s">
        <v>183</v>
      </c>
      <c r="D10" s="40" t="s">
        <v>184</v>
      </c>
      <c r="E10" s="40" t="s">
        <v>180</v>
      </c>
      <c r="F10" s="40" t="s">
        <v>176</v>
      </c>
      <c r="G10" s="40" t="s">
        <v>185</v>
      </c>
      <c r="H10" s="6"/>
    </row>
    <row r="11" spans="1:8" ht="52" customHeight="1" x14ac:dyDescent="0.55000000000000004">
      <c r="A11" s="121" t="s">
        <v>186</v>
      </c>
      <c r="B11" s="70"/>
      <c r="C11" s="70"/>
      <c r="D11" s="70"/>
      <c r="E11" s="70"/>
      <c r="F11" s="70"/>
      <c r="G11" s="70"/>
      <c r="H11" s="68"/>
    </row>
  </sheetData>
  <mergeCells count="5">
    <mergeCell ref="A1:H1"/>
    <mergeCell ref="A2:H2"/>
    <mergeCell ref="A11:H11"/>
    <mergeCell ref="A5:H5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8" ht="32.049999999999997" customHeight="1" x14ac:dyDescent="0.55000000000000004">
      <c r="A1" s="71" t="s">
        <v>187</v>
      </c>
      <c r="B1" s="72"/>
      <c r="C1" s="72"/>
      <c r="D1" s="72"/>
      <c r="E1" s="72"/>
      <c r="F1" s="72"/>
      <c r="G1" s="72"/>
      <c r="H1" s="73"/>
    </row>
    <row r="2" spans="1:8" ht="20.05" customHeight="1" x14ac:dyDescent="0.55000000000000004">
      <c r="A2" s="88" t="s">
        <v>188</v>
      </c>
      <c r="B2" s="72"/>
      <c r="C2" s="72"/>
      <c r="D2" s="72"/>
      <c r="E2" s="72"/>
      <c r="F2" s="72"/>
      <c r="G2" s="72"/>
      <c r="H2" s="73"/>
    </row>
    <row r="3" spans="1:8" ht="18" customHeight="1" x14ac:dyDescent="0.55000000000000004">
      <c r="A3" s="39" t="s">
        <v>189</v>
      </c>
      <c r="B3" s="39" t="s">
        <v>190</v>
      </c>
      <c r="C3" s="39" t="s">
        <v>191</v>
      </c>
      <c r="D3" s="39" t="s">
        <v>192</v>
      </c>
    </row>
    <row r="4" spans="1:8" ht="72" customHeight="1" x14ac:dyDescent="0.55000000000000004">
      <c r="A4" s="34" t="s">
        <v>193</v>
      </c>
      <c r="B4" s="38" t="s">
        <v>194</v>
      </c>
      <c r="C4" s="41" t="s">
        <v>195</v>
      </c>
      <c r="D4" s="42" t="s">
        <v>196</v>
      </c>
    </row>
    <row r="5" spans="1:8" ht="52" customHeight="1" x14ac:dyDescent="0.55000000000000004">
      <c r="A5" s="43" t="s">
        <v>197</v>
      </c>
      <c r="B5" s="35" t="s">
        <v>198</v>
      </c>
      <c r="C5" s="36" t="s">
        <v>199</v>
      </c>
      <c r="D5" s="44" t="s">
        <v>200</v>
      </c>
    </row>
    <row r="6" spans="1:8" ht="60" customHeight="1" x14ac:dyDescent="0.55000000000000004">
      <c r="A6" s="43" t="s">
        <v>201</v>
      </c>
      <c r="B6" s="35" t="s">
        <v>202</v>
      </c>
      <c r="C6" s="36" t="s">
        <v>203</v>
      </c>
      <c r="D6" s="44" t="s">
        <v>204</v>
      </c>
    </row>
    <row r="7" spans="1:8" ht="52" customHeight="1" x14ac:dyDescent="0.55000000000000004">
      <c r="A7" s="34" t="s">
        <v>205</v>
      </c>
      <c r="B7" s="38" t="s">
        <v>206</v>
      </c>
      <c r="C7" s="41" t="s">
        <v>207</v>
      </c>
      <c r="D7" s="42" t="s">
        <v>208</v>
      </c>
    </row>
    <row r="8" spans="1:8" ht="64" customHeight="1" x14ac:dyDescent="0.55000000000000004">
      <c r="A8" s="34" t="s">
        <v>209</v>
      </c>
      <c r="B8" s="37" t="s">
        <v>210</v>
      </c>
      <c r="C8" s="41" t="s">
        <v>211</v>
      </c>
      <c r="D8" s="45" t="s">
        <v>212</v>
      </c>
    </row>
    <row r="9" spans="1:8" ht="36" customHeight="1" x14ac:dyDescent="0.55000000000000004">
      <c r="A9" s="98" t="s">
        <v>213</v>
      </c>
      <c r="B9" s="70"/>
      <c r="C9" s="70"/>
      <c r="D9" s="68"/>
      <c r="E9" s="46"/>
      <c r="F9" s="46"/>
      <c r="G9" s="46"/>
      <c r="H9" s="46"/>
    </row>
  </sheetData>
  <mergeCells count="3">
    <mergeCell ref="A9:D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8" ht="34" customHeight="1" x14ac:dyDescent="0.55000000000000004">
      <c r="A1" s="71" t="s">
        <v>214</v>
      </c>
      <c r="B1" s="72"/>
      <c r="C1" s="72"/>
      <c r="D1" s="72"/>
      <c r="E1" s="72"/>
      <c r="F1" s="72"/>
      <c r="G1" s="72"/>
      <c r="H1" s="73"/>
    </row>
    <row r="2" spans="1:8" ht="20.05" customHeight="1" x14ac:dyDescent="0.55000000000000004">
      <c r="A2" s="88" t="s">
        <v>215</v>
      </c>
      <c r="B2" s="72"/>
      <c r="C2" s="72"/>
      <c r="D2" s="72"/>
      <c r="E2" s="72"/>
      <c r="F2" s="72"/>
      <c r="G2" s="72"/>
      <c r="H2" s="73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24" t="s">
        <v>216</v>
      </c>
      <c r="B4" s="72"/>
      <c r="C4" s="72"/>
      <c r="D4" s="72"/>
      <c r="E4" s="72"/>
      <c r="F4" s="72"/>
      <c r="G4" s="72"/>
      <c r="H4" s="73"/>
    </row>
    <row r="5" spans="1:8" ht="18" customHeight="1" x14ac:dyDescent="0.55000000000000004">
      <c r="A5" s="39"/>
      <c r="B5" s="39" t="s">
        <v>217</v>
      </c>
      <c r="C5" s="39" t="s">
        <v>58</v>
      </c>
      <c r="D5" s="39" t="s">
        <v>47</v>
      </c>
      <c r="E5" s="39" t="s">
        <v>218</v>
      </c>
      <c r="F5" s="39"/>
    </row>
    <row r="6" spans="1:8" ht="36" customHeight="1" x14ac:dyDescent="0.55000000000000004">
      <c r="A6" s="47"/>
      <c r="B6" s="48" t="s">
        <v>219</v>
      </c>
      <c r="C6" s="49" t="s">
        <v>220</v>
      </c>
      <c r="D6" s="50" t="s">
        <v>221</v>
      </c>
      <c r="E6" s="51" t="s">
        <v>222</v>
      </c>
      <c r="F6" s="47"/>
    </row>
    <row r="7" spans="1:8" ht="36" customHeight="1" x14ac:dyDescent="0.55000000000000004">
      <c r="A7" s="8"/>
      <c r="B7" s="52" t="s">
        <v>223</v>
      </c>
      <c r="C7" s="53" t="s">
        <v>224</v>
      </c>
      <c r="D7" s="50" t="s">
        <v>225</v>
      </c>
      <c r="E7" s="54" t="s">
        <v>226</v>
      </c>
      <c r="F7" s="8"/>
    </row>
    <row r="8" spans="1:8" ht="36" customHeight="1" x14ac:dyDescent="0.55000000000000004">
      <c r="A8" s="47"/>
      <c r="B8" s="48" t="s">
        <v>227</v>
      </c>
      <c r="C8" s="49" t="s">
        <v>228</v>
      </c>
      <c r="D8" s="50" t="s">
        <v>229</v>
      </c>
      <c r="E8" s="51" t="s">
        <v>230</v>
      </c>
      <c r="F8" s="47"/>
    </row>
    <row r="9" spans="1:8" ht="36" customHeight="1" x14ac:dyDescent="0.55000000000000004">
      <c r="A9" s="8"/>
      <c r="B9" s="52" t="s">
        <v>231</v>
      </c>
      <c r="C9" s="53" t="s">
        <v>232</v>
      </c>
      <c r="D9" s="50" t="s">
        <v>233</v>
      </c>
      <c r="E9" s="54" t="s">
        <v>234</v>
      </c>
      <c r="F9" s="8"/>
    </row>
    <row r="10" spans="1:8" ht="36" customHeight="1" x14ac:dyDescent="0.55000000000000004">
      <c r="A10" s="47"/>
      <c r="B10" s="48" t="s">
        <v>235</v>
      </c>
      <c r="C10" s="55" t="s">
        <v>236</v>
      </c>
      <c r="D10" s="50" t="s">
        <v>237</v>
      </c>
      <c r="E10" s="51" t="s">
        <v>238</v>
      </c>
      <c r="F10" s="47"/>
    </row>
    <row r="11" spans="1:8" ht="36" customHeight="1" x14ac:dyDescent="0.55000000000000004">
      <c r="A11" s="8"/>
      <c r="B11" s="52" t="s">
        <v>239</v>
      </c>
      <c r="C11" s="37" t="s">
        <v>240</v>
      </c>
      <c r="D11" s="50" t="s">
        <v>241</v>
      </c>
      <c r="E11" s="54" t="s">
        <v>242</v>
      </c>
      <c r="F11" s="8"/>
    </row>
    <row r="12" spans="1:8" ht="5.05" customHeight="1" x14ac:dyDescent="0.55000000000000004">
      <c r="A12" s="1"/>
      <c r="B12" s="1"/>
      <c r="C12" s="1"/>
      <c r="D12" s="1"/>
      <c r="E12" s="1"/>
      <c r="F12" s="1"/>
      <c r="G12" s="1"/>
      <c r="H12" s="1"/>
    </row>
    <row r="13" spans="1:8" ht="22" customHeight="1" x14ac:dyDescent="0.55000000000000004">
      <c r="A13" s="125" t="s">
        <v>243</v>
      </c>
      <c r="B13" s="72"/>
      <c r="C13" s="72"/>
      <c r="D13" s="72"/>
      <c r="E13" s="72"/>
      <c r="F13" s="72"/>
      <c r="G13" s="72"/>
      <c r="H13" s="73"/>
    </row>
    <row r="14" spans="1:8" ht="18" customHeight="1" x14ac:dyDescent="0.55000000000000004">
      <c r="A14" s="56"/>
      <c r="B14" s="56" t="s">
        <v>217</v>
      </c>
      <c r="C14" s="56" t="s">
        <v>5</v>
      </c>
      <c r="D14" s="56" t="s">
        <v>244</v>
      </c>
      <c r="E14" s="56" t="s">
        <v>245</v>
      </c>
      <c r="F14" s="56"/>
    </row>
    <row r="15" spans="1:8" ht="26.05" customHeight="1" x14ac:dyDescent="0.55000000000000004">
      <c r="A15" s="57"/>
      <c r="B15" s="58" t="s">
        <v>246</v>
      </c>
      <c r="C15" s="59" t="s">
        <v>128</v>
      </c>
      <c r="D15" s="60" t="s">
        <v>247</v>
      </c>
      <c r="E15" s="61" t="s">
        <v>248</v>
      </c>
      <c r="F15" s="57"/>
    </row>
    <row r="16" spans="1:8" ht="26.05" customHeight="1" x14ac:dyDescent="0.55000000000000004">
      <c r="A16" s="57"/>
      <c r="B16" s="58" t="s">
        <v>249</v>
      </c>
      <c r="C16" s="59" t="s">
        <v>250</v>
      </c>
      <c r="D16" s="60" t="s">
        <v>132</v>
      </c>
      <c r="E16" s="61" t="s">
        <v>248</v>
      </c>
      <c r="F16" s="57"/>
    </row>
    <row r="17" spans="1:8" ht="26.05" customHeight="1" x14ac:dyDescent="0.55000000000000004">
      <c r="A17" s="57"/>
      <c r="B17" s="58" t="s">
        <v>251</v>
      </c>
      <c r="C17" s="59" t="s">
        <v>134</v>
      </c>
      <c r="D17" s="60" t="s">
        <v>252</v>
      </c>
      <c r="E17" s="61" t="s">
        <v>248</v>
      </c>
      <c r="F17" s="57"/>
    </row>
    <row r="18" spans="1:8" ht="26.05" customHeight="1" x14ac:dyDescent="0.55000000000000004">
      <c r="A18" s="57"/>
      <c r="B18" s="58" t="s">
        <v>253</v>
      </c>
      <c r="C18" s="59" t="s">
        <v>137</v>
      </c>
      <c r="D18" s="60" t="s">
        <v>254</v>
      </c>
      <c r="E18" s="61" t="s">
        <v>248</v>
      </c>
      <c r="F18" s="57"/>
    </row>
    <row r="19" spans="1:8" ht="26.05" customHeight="1" x14ac:dyDescent="0.55000000000000004">
      <c r="A19" s="57"/>
      <c r="B19" s="58" t="s">
        <v>255</v>
      </c>
      <c r="C19" s="59" t="s">
        <v>256</v>
      </c>
      <c r="D19" s="60" t="s">
        <v>257</v>
      </c>
      <c r="E19" s="61" t="s">
        <v>248</v>
      </c>
      <c r="F19" s="57"/>
    </row>
    <row r="20" spans="1:8" ht="26.05" customHeight="1" x14ac:dyDescent="0.55000000000000004">
      <c r="A20" s="57"/>
      <c r="B20" s="58" t="s">
        <v>258</v>
      </c>
      <c r="C20" s="59" t="s">
        <v>143</v>
      </c>
      <c r="D20" s="60" t="s">
        <v>144</v>
      </c>
      <c r="E20" s="61" t="s">
        <v>248</v>
      </c>
      <c r="F20" s="57"/>
    </row>
    <row r="21" spans="1:8" ht="26.05" customHeight="1" x14ac:dyDescent="0.55000000000000004">
      <c r="A21" s="57"/>
      <c r="B21" s="58" t="s">
        <v>259</v>
      </c>
      <c r="C21" s="59" t="s">
        <v>146</v>
      </c>
      <c r="D21" s="60" t="s">
        <v>147</v>
      </c>
      <c r="E21" s="61" t="s">
        <v>248</v>
      </c>
      <c r="F21" s="57"/>
    </row>
    <row r="22" spans="1:8" ht="26.05" customHeight="1" x14ac:dyDescent="0.55000000000000004">
      <c r="A22" s="62"/>
      <c r="B22" s="63" t="s">
        <v>260</v>
      </c>
      <c r="C22" s="64" t="s">
        <v>261</v>
      </c>
      <c r="D22" s="65" t="s">
        <v>262</v>
      </c>
      <c r="E22" s="66" t="s">
        <v>248</v>
      </c>
      <c r="F22" s="62"/>
    </row>
    <row r="23" spans="1:8" ht="26.05" customHeight="1" x14ac:dyDescent="0.55000000000000004">
      <c r="A23" s="62"/>
      <c r="B23" s="63" t="s">
        <v>263</v>
      </c>
      <c r="C23" s="64" t="s">
        <v>264</v>
      </c>
      <c r="D23" s="65" t="s">
        <v>150</v>
      </c>
      <c r="E23" s="66" t="s">
        <v>248</v>
      </c>
      <c r="F23" s="62"/>
    </row>
    <row r="24" spans="1:8" ht="26.05" customHeight="1" x14ac:dyDescent="0.55000000000000004">
      <c r="A24" s="57"/>
      <c r="B24" s="58" t="s">
        <v>265</v>
      </c>
      <c r="C24" s="59" t="s">
        <v>266</v>
      </c>
      <c r="D24" s="60" t="s">
        <v>153</v>
      </c>
      <c r="E24" s="61" t="s">
        <v>248</v>
      </c>
      <c r="F24" s="57"/>
    </row>
    <row r="25" spans="1:8" ht="26.05" customHeight="1" x14ac:dyDescent="0.55000000000000004">
      <c r="A25" s="62"/>
      <c r="B25" s="63" t="s">
        <v>267</v>
      </c>
      <c r="C25" s="64" t="s">
        <v>268</v>
      </c>
      <c r="D25" s="65" t="s">
        <v>269</v>
      </c>
      <c r="E25" s="66" t="s">
        <v>248</v>
      </c>
      <c r="F25" s="62"/>
    </row>
    <row r="26" spans="1:8" ht="26.05" customHeight="1" x14ac:dyDescent="0.55000000000000004">
      <c r="A26" s="62"/>
      <c r="B26" s="63" t="s">
        <v>270</v>
      </c>
      <c r="C26" s="64" t="s">
        <v>271</v>
      </c>
      <c r="D26" s="65" t="s">
        <v>272</v>
      </c>
      <c r="E26" s="66" t="s">
        <v>248</v>
      </c>
      <c r="F26" s="62"/>
    </row>
    <row r="27" spans="1:8" ht="5.05" customHeight="1" x14ac:dyDescent="0.55000000000000004">
      <c r="A27" s="1"/>
      <c r="B27" s="1"/>
      <c r="C27" s="1"/>
      <c r="D27" s="1"/>
      <c r="E27" s="1"/>
      <c r="F27" s="1"/>
      <c r="G27" s="1"/>
      <c r="H27" s="1"/>
    </row>
    <row r="28" spans="1:8" ht="60" customHeight="1" x14ac:dyDescent="0.55000000000000004">
      <c r="A28" s="98" t="s">
        <v>273</v>
      </c>
      <c r="B28" s="70"/>
      <c r="C28" s="70"/>
      <c r="D28" s="70"/>
      <c r="E28" s="70"/>
      <c r="F28" s="68"/>
      <c r="G28" s="46"/>
      <c r="H28" s="46"/>
    </row>
  </sheetData>
  <mergeCells count="5">
    <mergeCell ref="A4:H4"/>
    <mergeCell ref="A28:F28"/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2026-04-06T18:26:10Z</dcterms:created>
  <dcterms:modified xsi:type="dcterms:W3CDTF">2026-04-06T18:34:50Z</dcterms:modified>
</cp:coreProperties>
</file>