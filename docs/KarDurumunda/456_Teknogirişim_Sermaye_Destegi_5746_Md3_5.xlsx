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timatglobal365-my.sharepoint.com/personal/aydindede_itimatglobal_com/Documents/Desktop/GEM/KARIN BULUNMASI HALİNDE/"/>
    </mc:Choice>
  </mc:AlternateContent>
  <xr:revisionPtr revIDLastSave="0" documentId="8_{FB90C2A6-682D-4AAC-AE27-0AAB6A028957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VERİ GİRİŞİ" sheetId="1" r:id="rId1"/>
    <sheet name="HESAPLAMALAR &amp; KONTROL" sheetId="2" r:id="rId2"/>
    <sheet name="MUHASEBE KAYITLARI" sheetId="3" r:id="rId3"/>
    <sheet name="DENETCİ NOTLARI" sheetId="4" r:id="rId4"/>
    <sheet name="BELGE LISTESI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5" i="1" l="1"/>
  <c r="D8" i="2"/>
  <c r="D7" i="2"/>
  <c r="D6" i="2"/>
  <c r="C50" i="1"/>
  <c r="C45" i="1"/>
  <c r="E44" i="1"/>
  <c r="E43" i="1"/>
  <c r="E42" i="1"/>
  <c r="E41" i="1"/>
  <c r="E40" i="1"/>
  <c r="E45" i="1" s="1"/>
  <c r="C52" i="1" s="1"/>
  <c r="E14" i="1"/>
  <c r="D5" i="2" s="1"/>
  <c r="C51" i="1" l="1"/>
</calcChain>
</file>

<file path=xl/sharedStrings.xml><?xml version="1.0" encoding="utf-8"?>
<sst xmlns="http://schemas.openxmlformats.org/spreadsheetml/2006/main" count="315" uniqueCount="261">
  <si>
    <t>456 – TEKNOGİRİŞİM SERMAYE DESTEĞİ İNDİRİMİ | 5746 s.K. MADDE 3/5 | STB HİBE DESTEĞI | YMM TASDİK</t>
  </si>
  <si>
    <t>Beyanname 456 | GİB KV Beyan Rehberi Mart 2026 (No:606) | ✗ YİAKV MATRAHINDA DÜŞÜLEMEZ (E.13)</t>
  </si>
  <si>
    <t xml:space="preserve">  TEKNOGİRİŞİM SERMAYE DESTEĞİ (5746 s.K. Md.3/5) NEDIR?
  Sanayi ve Teknoloji Bakanlığı (STB) tarafından bireysel girişimcilere, Ar-Ge/inovasyon odaklı teknoloji şirketlerine ve kuluçka merkezi bünyesindeki girişimlere sağlanan sermaye/hibe desteğidir.
  MUHASEBE-BEYANNAME MEKANİZMASI:
  ① Destek alındığında → GELİR kaydedilir (679 / 649) → KV matrahına girer.
  ② Beyanname 456 → Alınan destek tutarı matrahtan DÜŞÜLÜR → Net vergi yükü sıfırlanır.
  SONUÇ: Teknogirişim desteği üzerinden kurumlar vergisi ödenmez.
  ★ YİAKV: DÜŞÜLEMEZ (E.13 — Yatırım İndirimi + Teknogirişim kategorisi).</t>
  </si>
  <si>
    <t xml:space="preserve">  ✗ YİAKV (KVK Md.32/C): 456 Teknogirişim Sermaye Desteği İndirimi YİAKV MATRAHINDA DÜŞÜLEMEZ. YİAKV E.13 bilgi satırında gösterilir — matrahı etkilemez.</t>
  </si>
  <si>
    <t>A0. KAPSAM VE NİTELİK UYGUNLUK ÖN KONTROLÜ — 5746 s.K. Md.3/5</t>
  </si>
  <si>
    <t>Kontrol Sorusu</t>
  </si>
  <si>
    <t>Yanıt</t>
  </si>
  <si>
    <t>YMM Tasdik Notu</t>
  </si>
  <si>
    <t>A0.1  ★ Sanayi ve Teknoloji Bakanlığı'ndan Teknogirişim Sermaye Desteği alındı mı?</t>
  </si>
  <si>
    <t>EVET</t>
  </si>
  <si>
    <t>5746 s.K. Md.3/5 kapsamında STB tarafından verilmiş destek kararı/protokolü zorunludur. Başka kurumlardan alınan destekler (KOSGEB, TÜBİTAK vb.) bu kod kapsamında değildir.</t>
  </si>
  <si>
    <t>A0.2  ★ Destek tutarı dönem içinde fiilen tahsil edildi mi? (Banka yoluyla)</t>
  </si>
  <si>
    <t>İndirim yalnızca fiilen tahsil edilen kısım için uygulanır. Banka havalesiyle alınan tutar esas — protokol/sözleşme tutarı değil.</t>
  </si>
  <si>
    <t>A0.3  ★ Tahsil edilen destek tutarı gelir olarak kaydedildi mi? (679/649)</t>
  </si>
  <si>
    <t>ZORUNLU ADIM: Destek alındığında önce gelir hesabına alınmalı → Matrahı artırır. Gelir kaydedilmemişse beyanname 456 ile matrahtan çıkarılamaz.</t>
  </si>
  <si>
    <t>A0.4  STB Destek Kararı / Protokolü ve Hibe Belgesi temin edildi mi?</t>
  </si>
  <si>
    <t>STB tarafından imzalanmış destek kararı veya protokol belgesi zorunludur. Özel kaynaklardan veya belediyeden alınan destekler bu kapsamda değildir.</t>
  </si>
  <si>
    <t>A0.5  ✗ YİAKV E.13'te bilgi satırı olarak gösterildi mi?</t>
  </si>
  <si>
    <t>456 YİAKV matrahından düşülemez — E.13 yalnızca bilgi amaçlı.</t>
  </si>
  <si>
    <t>A0.6  YMM Tasdik Raporu gereksinimi değerlendirildi mi?</t>
  </si>
  <si>
    <t>&gt;=500.000 TL → YMM raporu.</t>
  </si>
  <si>
    <t>A0.7  Tasdik Uygunluk Sonucu</t>
  </si>
  <si>
    <t>★ A0.1 STB desteği | A0.2 tahsilat | A0.3 gelir kaydı — üçü kritik.</t>
  </si>
  <si>
    <t>A. GENEL BİLGİLER</t>
  </si>
  <si>
    <t>Kurumun Unvanı</t>
  </si>
  <si>
    <t>Tam ticaret unvanı</t>
  </si>
  <si>
    <t>VKN</t>
  </si>
  <si>
    <t>10 haneli VKN</t>
  </si>
  <si>
    <t>Hesap Dönemi</t>
  </si>
  <si>
    <t>01.01.2025 – 31.12.2025</t>
  </si>
  <si>
    <t>KV Oranı (%)</t>
  </si>
  <si>
    <t>2025: %25</t>
  </si>
  <si>
    <t>STB Destek Programı Adı</t>
  </si>
  <si>
    <t>Teknogirişim Sermaye Desteği — 5746 s.K. Md.3/5</t>
  </si>
  <si>
    <t>Destek Kararı Tarihi / Numarası</t>
  </si>
  <si>
    <t>STB destek kararı referansı</t>
  </si>
  <si>
    <t>Dosya Referansı</t>
  </si>
  <si>
    <t>YMM-2025/456-01</t>
  </si>
  <si>
    <t>B. TEKNOGİRİŞİM DESTEĞI DETAYLARI VE TAHSİLAT BİLGİLERİ</t>
  </si>
  <si>
    <t>Parametre</t>
  </si>
  <si>
    <t>Değer</t>
  </si>
  <si>
    <t>Açıklama</t>
  </si>
  <si>
    <t>Kaynak</t>
  </si>
  <si>
    <t>B.1  Destek Türü</t>
  </si>
  <si>
    <t>Bireysel Girişimci Desteği (Hibe)</t>
  </si>
  <si>
    <t>5746 Md.3/5 kapsamında destek türü.</t>
  </si>
  <si>
    <t>STB kararı</t>
  </si>
  <si>
    <t>B.2  Proje / Girişim Adı</t>
  </si>
  <si>
    <t>Desteklenen teknoloji/Ar-Ge projesinin adı.</t>
  </si>
  <si>
    <t>Protokol</t>
  </si>
  <si>
    <t>B.3  ★ Toplam Destek Protokol Tutarı (TL)</t>
  </si>
  <si>
    <t>STB ile imzalanan protokoldeki destek tutarı.</t>
  </si>
  <si>
    <t>B.4  ★ Dönem İçinde FİİLEN Tahsil Edilen Tutar (TL)</t>
  </si>
  <si>
    <t>Bu yıl banka yoluyla alınan kısım — 456 hesabının dayanağı.</t>
  </si>
  <si>
    <t>Banka ekstresi</t>
  </si>
  <si>
    <t>B.5  Tahsilat Tarihi ve Banka Dekontu</t>
  </si>
  <si>
    <t>Tahsilat tarihi (GG.AA.YYYY) — banka dekontundan.</t>
  </si>
  <si>
    <t>Banka</t>
  </si>
  <si>
    <t>B.6  ★ Gelir Kaydı Yapıldı mı? (679/649 — Dönem Geliri)</t>
  </si>
  <si>
    <t>ZORUNLU: Destek alındığında gelir kaydı yapılmış olmalı. Kayıt yoksa 456 uygulanamaz.</t>
  </si>
  <si>
    <t>Yevmiye</t>
  </si>
  <si>
    <t>B.7  Gelir Kaydı Muhasebe Hesabı ve Tutarı</t>
  </si>
  <si>
    <t>679 Diğer Olağan Dışı Gelir veya 649 Diğer Gelirler — Yevmiye kaydı no ve tutar.</t>
  </si>
  <si>
    <t>Yevmiye defteri</t>
  </si>
  <si>
    <t>B.8  Desteğin Amacına Uygun Kullanım Durumu</t>
  </si>
  <si>
    <t>Uygun Kullanım ✓</t>
  </si>
  <si>
    <t>STB protokolüne uygun Ar-Ge/teknoloji harcaması yapılmalı.</t>
  </si>
  <si>
    <t>STB raporlaması</t>
  </si>
  <si>
    <t>C. TEKNOGİRİŞİM DESTEĞI İNDİRİM TABLOSU — BEYANNAME 456</t>
  </si>
  <si>
    <t xml:space="preserve">  Her ayrı destek protokolü veya tahsilat kalemi için ayrı satır. SÜTUN 3 (yeşil çerçeve): Dönem içinde fiilen tahsil edilen tutar = İndirim tutarı. Destek = Gelir + İndirim → Net vergi yükü = 0.</t>
  </si>
  <si>
    <t>Destek Türü</t>
  </si>
  <si>
    <t>Proje Adı</t>
  </si>
  <si>
    <t>Tahsil Edilen (TL)</t>
  </si>
  <si>
    <t>Gelir Kaydı?</t>
  </si>
  <si>
    <t>İndirim (TL)</t>
  </si>
  <si>
    <t>Tahsilat Tarihi</t>
  </si>
  <si>
    <t>Belge No</t>
  </si>
  <si>
    <t>EVET ✓</t>
  </si>
  <si>
    <t>TOPLAM</t>
  </si>
  <si>
    <t>—</t>
  </si>
  <si>
    <t>← Beyanname 456 | Tahsil Edilen = İndirim (Gelir Kaydı Şartıyla)</t>
  </si>
  <si>
    <t xml:space="preserve">  ★ ANAHTAR KURAL: Col 5 İndirim = Col 3 (Tahsil Edilen) YALNIZCA Col 4 (Gelir Kaydı) = 'EVET' ise. Gelir kaydedilmeden 456 uygulanırsa hatalı beyan → Tarhiyat riski.</t>
  </si>
  <si>
    <t>D. TEKNOGİRİŞİM DESTEĞI İNDİRİM ÖZET — BEYANNAME 456</t>
  </si>
  <si>
    <t>Hesap Kalemi</t>
  </si>
  <si>
    <t>Tutar (TL)</t>
  </si>
  <si>
    <t>Not</t>
  </si>
  <si>
    <t>D.1  Tahsil Edilen Toplam Destek (C Sütun 3)</t>
  </si>
  <si>
    <t>Fiili tahsilat toplamı</t>
  </si>
  <si>
    <t>D.2  Gelir Kaydı Yapılmayan Kısım (İndirime Konu Edilemez)</t>
  </si>
  <si>
    <t>Gelir kaydı eksik kısım</t>
  </si>
  <si>
    <t>D.3  ★ BEYANNAME 456 = Gelir Kaydedilen Destek Tutarı</t>
  </si>
  <si>
    <t>→ Beyanname 456 | Kazancın Bulunması Halinde</t>
  </si>
  <si>
    <t>5746 s.K. Md.3/5</t>
  </si>
  <si>
    <t>D.4  YİAKV DURUMU — DÜŞÜLEMEZ</t>
  </si>
  <si>
    <t>YİAKV E.13 Bilgi ✗</t>
  </si>
  <si>
    <t>Yatırım İndirimi + Teknogirişim kategorisi</t>
  </si>
  <si>
    <t>KVK Md.32/C</t>
  </si>
  <si>
    <t>E.1  TEKNOGİRİŞİM DESTEĞI İNDİRİMİ → Beyanname Satır 456 (Kazancın Bulunması Halinde)</t>
  </si>
  <si>
    <t>D.3 = Gelir Kaydedilen Tahsilat Toplamı | 5746 s.K. Md.3/5</t>
  </si>
  <si>
    <t xml:space="preserve">  ★ KRİTİK UYARILAR:
(1) GELİR KAYDI ZORUNLU: Destek alındığında önce gelir (679/649) → SONRA beyanname 456 indirimi.
(2) FİİLİ TAHSİLAT: Protokol tutarı değil — banka yoluyla alınan kısım esas.
(3) STB DESTEĞİ: Yalnızca STB/TTGV kaynaklı 5746 Md.3/5 kapsamı destekler — diğer destekler bu kod değil.
(4) YİAKV ✗: DÜŞÜLEMEZ — E.13 yalnızca bilgi (Yatırım İndirimi + Teknogirişim kategorisi).</t>
  </si>
  <si>
    <t>456 – TEKNOGİRİŞİM SERMAYE DESTEĞİ İNDİRİMİ 5746 s.K. Md.3/5 | HESAPLAMALAR</t>
  </si>
  <si>
    <t>STB Hibe → Gelir Kaydı → Beyanname 456 İndirimi | Net Vergi Yükü = 0 | ✗ YİAKV E.13</t>
  </si>
  <si>
    <t>A. TASDİK ÖZETİ</t>
  </si>
  <si>
    <t>A0 Uygunluğu</t>
  </si>
  <si>
    <t>OK ise devam</t>
  </si>
  <si>
    <t>Destek Türü (B.1)</t>
  </si>
  <si>
    <t>5746 Md.3/5 kapsamı</t>
  </si>
  <si>
    <t>Tahsil Edilen Destek (D.1)</t>
  </si>
  <si>
    <t>Fiili tahsilat</t>
  </si>
  <si>
    <t>456 İNDİRİM (D.3)</t>
  </si>
  <si>
    <t>YİAKV</t>
  </si>
  <si>
    <t>✗ DÜŞÜLEMEZ (E.13 Bilgi)</t>
  </si>
  <si>
    <t>Yatırım İnd. + Teknogirişim</t>
  </si>
  <si>
    <t>B. GELİR KAYDI → BEYANNAME 456 MEKANİZMASI</t>
  </si>
  <si>
    <t xml:space="preserve">  MUHASEBE-BEYANNAME AKIŞ:
  ADIM 1 — DESTEK TAHSILATI:
  Dr 102 Bankalar [Destek Tutarı] / Kr 679 Olağan Dışı Gelirler [Destek Tutarı]
  → Tahsil edilen destek ticari kârı artırır → KV matrahına girer.
  ADIM 2 — BEYANNAME 456 İNDİRİMİ:
  Beyanname hazırlanırken 456. satıra gelir kaydedilen destek tutarı yazılır.
  → Matrahtan düşülür → Bu tutar üzerinden kurumlar vergisi hesaplanmaz.
  NET ETKİ: Teknogirişim Desteği → Alındı → Gelir sayıldı → Matrahtan çıkarıldı → Vergisiz kaldı.
  ÖRNEK: 500.000 TL destek alındı → 679 gelir → Matrah 500.000 TL artar.
  Beyanname 456 → 500.000 TL indirim → Matrah eskiye döner → Net KV = 0 bu tutardan.</t>
  </si>
  <si>
    <t>C. 5746 Md.3/5 vs DİĞER DESTEK/İNDİRİM KODLARI FARKI</t>
  </si>
  <si>
    <t xml:space="preserve">  5746 s.K. Md.3/5 TEKNOGİRİŞİM DESTEĞİ (456):
  STB'den alınan hibe → Gelir + Beyanname 456 İndirimi → Vergi yükü = 0.
  5746 s.K. Md.3/A TASARIM İNDİRİMİ (455):
  Kendi harcamalarının %100'ü indirim → YİAKV D.10 DÜŞÜLEBİLİR.
  5746 s.K. Md.3 AR-GE İNDİRİMİ (283):
  Ar-Ge harcamalarının %100'ü indirim → YİAKV D.10 DÜŞÜLEBİLİR.
  ★ FARK: 456 = Dışarıdan alınan destekten vergi almama. 455/283 = Kendi harcamalarını matrahtan düşme.</t>
  </si>
  <si>
    <t>D. DENETİM KONTROL LİSTESİ (K1–K12)</t>
  </si>
  <si>
    <t>Kontrol</t>
  </si>
  <si>
    <t>Sonuç</t>
  </si>
  <si>
    <t>K1</t>
  </si>
  <si>
    <t>★ Destek STB / 5746 Md.3/5 kapsamında mı?</t>
  </si>
  <si>
    <t>KOSGEB/TÜBİTAK/Belediye vb. → Farklı kod. Protokol incelenmeli.</t>
  </si>
  <si>
    <t>Uygun/Eksik/Risk</t>
  </si>
  <si>
    <t>K2</t>
  </si>
  <si>
    <t>★ Tahsilat fiilen gerçekleşti mi? (Banka kaydı)</t>
  </si>
  <si>
    <t>Protokol tutarı değil — banka yoluyla alınan kısım.</t>
  </si>
  <si>
    <t>K3</t>
  </si>
  <si>
    <t>★ Tahsil edilen tutar gelir hesabına (679/649) alındı mı?</t>
  </si>
  <si>
    <t>Gelir kaydı olmadan 456 uygulanamaz — zorunlu adım.</t>
  </si>
  <si>
    <t>K4</t>
  </si>
  <si>
    <t>STB destek kararı/protokol belgesi temin edildi mi?</t>
  </si>
  <si>
    <t>İmzalı protokol ve destek kararı zorunludur.</t>
  </si>
  <si>
    <t>K5</t>
  </si>
  <si>
    <t>Gelir kaydı tutarı ile 456 indirimi mutabık mı?</t>
  </si>
  <si>
    <t>Gelir &gt; İndirim olamaz. C tablosu D.1 = D.3.</t>
  </si>
  <si>
    <t>K6</t>
  </si>
  <si>
    <t>Birden fazla tahsilat varsa her biri C tablosunda ayrı satırda mı?</t>
  </si>
  <si>
    <t>Her tahsilat ayrı banka dekontu.</t>
  </si>
  <si>
    <t>K7</t>
  </si>
  <si>
    <t>Destek amacına uygun kullanım belgesi mevcut mi? (STB raporlaması)</t>
  </si>
  <si>
    <t>B.8 uygun kullanım — protokol yükümlülüğü.</t>
  </si>
  <si>
    <t>K8</t>
  </si>
  <si>
    <t>✗ YİAKV E.13'te bilgi satırı olarak gösterildi mi?</t>
  </si>
  <si>
    <t>DÜŞÜLEMEZ — sadece bilgi (Yatırım İnd. + Teknogirişim).</t>
  </si>
  <si>
    <t>K9</t>
  </si>
  <si>
    <t>455 (Tasarım) veya 283 (Ar-Ge) ile çakışma analizi yapıldı mı?</t>
  </si>
  <si>
    <t>Aynı harcama için birden fazla indirim uygulanamaz.</t>
  </si>
  <si>
    <t>K10</t>
  </si>
  <si>
    <t>Beyanname 456 'Kazancın Bulunması Halinde' bölümünde mi?</t>
  </si>
  <si>
    <t>Zarar döneminde uygulanamaz.</t>
  </si>
  <si>
    <t>K11</t>
  </si>
  <si>
    <t>KDV istisna uygulaması değerlendirildi mi? (KDVK Md.17)</t>
  </si>
  <si>
    <t>STB destekli Ar-Ge teslimleri KDV istisnası kapsamında olabilir.</t>
  </si>
  <si>
    <t>K12</t>
  </si>
  <si>
    <t>YMM Tasdik Raporu (49 No.lu Tebliğ) değerlendirildi mi?</t>
  </si>
  <si>
    <t>456 – TEKNOGİRİŞİM DESTEĞI 5746 Md.3/5 | MUHASEBE KAYITLARI</t>
  </si>
  <si>
    <t>KAYIT 1 — TEKNOGİRİŞİM DESTEĞI TAHSİLATI (STB HİBE GELİRİ)</t>
  </si>
  <si>
    <t>Tarih</t>
  </si>
  <si>
    <t>Hesap</t>
  </si>
  <si>
    <t>Dr</t>
  </si>
  <si>
    <t>Kr</t>
  </si>
  <si>
    <t>Ref</t>
  </si>
  <si>
    <t>[Tahsilat Tarihi]</t>
  </si>
  <si>
    <t>102 Bankalar</t>
  </si>
  <si>
    <t>STB teknogirişim desteği banka havalesi</t>
  </si>
  <si>
    <t>[Tutar]</t>
  </si>
  <si>
    <t>Banka dekontu</t>
  </si>
  <si>
    <t>679 Diğer Olağan Dışı Gelir / 649 Diğer Gelir</t>
  </si>
  <si>
    <t>5746 Md.3/5 teknogirişim sermaye desteği geliri — KV matrahına girer</t>
  </si>
  <si>
    <t>STB protokolü</t>
  </si>
  <si>
    <t>KAYIT 2 — DÖNEM SONU: KKEG + BEYANNAME 456 İNDİRİMİ</t>
  </si>
  <si>
    <t>[Dönem Sonu]</t>
  </si>
  <si>
    <t>951 KKEG</t>
  </si>
  <si>
    <t>Teknogirişim destek geliri KKEG'e alınır (matrahı artırır)</t>
  </si>
  <si>
    <t>Beyanname</t>
  </si>
  <si>
    <t>952 KKEG Karşılığı</t>
  </si>
  <si>
    <t>KKEG karşılığı kaydı</t>
  </si>
  <si>
    <t xml:space="preserve">  DÖNEM SONU BEYANNAME İŞLEMİ — NET ETKİ:
  ① Teknogirişim desteği 679 gelir → Matrahı artırır.
  ② Beyanname 456 → Aynı tutar matrahtan düşülür → Net etkisi sıfır.
  ③ SONUÇ: Alınan teknogirişim desteği üzerinden kurumlar vergisi ödenmez.
  ④ YİAKV: ✗ DÜŞÜLEMEZ — E.13 bilgi. Asgari vergide bu indirim kullanılmaz.
  ⑤ 283 (Ar-Ge) / 455 (Tasarım) ile fark: Onlar kendi harcamasını indiriyor — bu alınan desteği nötralize ediyor.</t>
  </si>
  <si>
    <t>456 – TEKNOGİRİŞİM DESTEĞI 5746 s.K. Md.3/5 | DENETÇİ NOTLARI</t>
  </si>
  <si>
    <t>GİB KV Beyan Rehberi 2026 (No:606) | STB Protokolü | Gelir Kaydı | YİAKV E.13</t>
  </si>
  <si>
    <t>Kod</t>
  </si>
  <si>
    <t>Konu</t>
  </si>
  <si>
    <t>Mesleki Değerlendirme / Tasdik Standardı</t>
  </si>
  <si>
    <t>Mevzuat / Kaynak</t>
  </si>
  <si>
    <t>N1</t>
  </si>
  <si>
    <t>5746 s.K. Md.3/5 — Teknogirişim Desteği Mekanizması</t>
  </si>
  <si>
    <t>TEKNOGİRİŞİM SERMAYESİ DESTEĞİ — MEKANİZMA:
Sanayi ve Teknoloji Bakanlığı (STB), 5746 sayılı Kanunun 3. maddesinin 5. fıkrası kapsamında bireysel girişimcilere ve teknoloji şirketlerine hibe destek sağlar.
VERGİSEL ETKİ:
① Destek alındığında → Muhasebede gelir kaydedilir (679/649)
② Gelir KV matrahını artırır
③ Beyanname 456 indirimi → Aynı tutarı matrahtan çıkarır
④ Net etki: Destekten vergi alınmaz
KAPSAM: Yalnızca STB onaylı teknogirişim desteği. KOSGEB, TÜBİTAK, TKDK, belediye destekleri bu kod kapsamında değil.
YİAKV: ✗ DÜŞÜLEMEZ (E.13) | BEYANNAME: 456</t>
  </si>
  <si>
    <t>5746 s.K. Md.3/5 | GİB KV Beyan Reh. 2026 (No:606)</t>
  </si>
  <si>
    <t>N2</t>
  </si>
  <si>
    <t>★ Gelir Kaydı Zorunluluğu — En Kritik Adım</t>
  </si>
  <si>
    <t>GELİR KAYDI OLMADAN 456 UYGULANAMAZ:
DOĞRU SIRALAMA:
1. Destek banka yoluyla alınır.
2. Muhasebede 679/649 hesabına gelir kaydedilir.
3. Beyanname 456'ya gelir kaydedilen tutar yazılır.
YANLIŞ UYGULAMA:
Destek alındı → Gelir kaydedilmedi → 456 uygulandı → Matrahtan çıkarıldı.
Bu durumda: Vergi matrahı hatalı düşmüş → Tarhiyat + Vergi ziyaı cezası + Gecikme faizi.
YMM KONTROLÜ:
B.6 ve B.7: Gelir kaydının yapıldığını belgele.
Yevmiye kaydı → Banka dekontu → Protokol üçlüsü zorunlu.</t>
  </si>
  <si>
    <t>5746 s.K. Md.3/5 | VUK | GİB Özelge</t>
  </si>
  <si>
    <t>N3</t>
  </si>
  <si>
    <t>Diğer Desteklerle Karıştırma Riski ve 5746 Kapsamı</t>
  </si>
  <si>
    <t>5746 s.K. Md.3/5 KAPSAMININ SINIRI:
KAPSAMA GİREN: STB Teknogirişim Sermaye Desteği (5746 Md.3/5)
KAPSAMA GİRMEYEN (Başka kod/istisna uygulanır):
• TÜBİTAK Ar-Ge projeleri (1509, 1501 vb.) → KVK 5/1-... veya ayrı düzenleme
• KOSGEB hibe destekleri → İlgili KVK veya GVK hükmü
• Belediye/kalkınma ajansı hibeleri → 5746 Md.3/5 değil
• TKDK destekleri → Farklı hüküm
ÖNEMLİ: Protokolde 5746 sayılı Kanun ve Madde 3/5 referansı açıkça belirtilmeli.
Referans yoksa: YMM STB'den yazılı teyit almalı.</t>
  </si>
  <si>
    <t>5746 s.K. | GİB Özelge | STB Mevzuatı</t>
  </si>
  <si>
    <t>N4</t>
  </si>
  <si>
    <t>YİAKV ile İlişki ve 5746 Kanun Diğer Kodlarla Karşılaştırma</t>
  </si>
  <si>
    <t>YİAKV (KVK Md.32/C) VE TEKNOGİRİŞİM:
✗ 456 Teknogirişim (5746 Md.3/5): DÜŞÜLEMEZ → YİAKV E.13
(Yatırım İndirimi + Teknogirişim/Teknokent Sermaye Desteği birlikte E.13'te)
5746 KANUN KARŞILAŞTIRMASI:
✓ Ar-Ge İndirimi (283 — 5746 Md.3): Kendi Ar-Ge harcaması → DÜŞÜLEBİLİR D.10
✓ Tasarım İndirimi (455 — 5746 Md.3/A): Kendi tasarım harcaması → DÜŞÜLEBİLİR D.10
✗ Teknogirişim Desteği (456 — 5746 Md.3/5): Alınan destek → DÜŞÜLEMEZ E.13
YMM NOTU: 456 ve 283/455 aynı dönemde uygulanabilir. Çakışma yok. Ancak aynı tutarın hem 456 hem 283/455 kapsamında kullanılması mükerrerlik olur.</t>
  </si>
  <si>
    <t>KVK Md.32/C | GİB Rehberi No:607 | 5746 s.K.</t>
  </si>
  <si>
    <t>N5</t>
  </si>
  <si>
    <t>49 No.lu Tebliğ + YMM Tasdik Dil Standardı</t>
  </si>
  <si>
    <t>KULLANIN:
'...Sanayi ve Teknoloji Bakanlığı tarafından 5746 sayılı Kanunun 3. maddesinin
5. fıkrası kapsamında verilmiş [Destek Kararı No] sayılı karar çerçevesinde,
[Dönem] hesap döneminde banka yoluyla tahsil edilen ve [679/649] hesabına
gelir kaydedilen [Tutar] TL teknogirişim sermaye desteği, kurumlar vergisi
matrahından indirilmiştir. Söz konusu tutar YİAKV matrahından indirilmemiştir.'
KULLANMAYIN:
'...Gelir kaydedilmeksizin 456 indirimi uygulanmıştır.' (Hatalı sıra)
'...KOSGEB/TÜBİTAK desteği 456 kapsamında indirilmiştir.' (Kapsam dışı)
'...456 YİAKV matrahından düşülmüştür.' (YANLIŞ)
KRİTİK RİSKLER:
(1) Gelir kaydı yapmadan 456 uygulamak.
(2) 5746 dışı destekleri bu koda dahil etmek.
(3) YİAKV E.13'e yazmayı unutmak (bilgi satırı olarak zorunlu).</t>
  </si>
  <si>
    <t>49 No.lu Tebliğ | 5746 s.K. Md.3/5 | SM-SMMM-YMM K. Md.12</t>
  </si>
  <si>
    <t xml:space="preserve">  GİB KV BEYAN REHBERİ MART 2026 (No:606) KAPANIŞ (456): STB teknogirişim desteği → Gelir kaydı → Beyanname 456 → Net vergi = 0. Gelir kaydı zorunlu ön adım. 5746 Md.3/5 dışı destekler farklı kod. ✗ YİAKV E.13. YMM: SM-SMMM-YMM K. Md.12.</t>
  </si>
  <si>
    <t>456 – TEKNOGİRİŞİM DESTEĞI 5746 s.K. Md.3/5 | BELGE LİSTESİ | YMM TASDİK</t>
  </si>
  <si>
    <t>STB Protokolü | Tahsilat Banka Dekontu | Gelir Yevmiyesi | YİAKV E.13</t>
  </si>
  <si>
    <t>KATEGORİ 1 — ZORUNLU BELGELER</t>
  </si>
  <si>
    <t>No</t>
  </si>
  <si>
    <t>Belge</t>
  </si>
  <si>
    <t>Temin</t>
  </si>
  <si>
    <t>1</t>
  </si>
  <si>
    <t>★ STB Teknogirişim Sermaye Desteği Kararı / Protokolü</t>
  </si>
  <si>
    <t>5746 s.K. Md.3/5 kapsamında STB tarafından imzalanmış destek kararı veya protokol belgesi. Destek tutarı, süresi ve koşullarını içermeli. Beyanname 456'nın temel dayanağı.</t>
  </si>
  <si>
    <t>Sanayi ve Teknoloji Bakanlığı</t>
  </si>
  <si>
    <t>2</t>
  </si>
  <si>
    <t>★ Tahsilat Banka Dekontu (STB'den EFT/Havale)</t>
  </si>
  <si>
    <t>Her tahsilat için ayrı banka EFT/havale dekontu. Ödeme tutarı protokolle uyumlu olmalı. Kısmi tahsilatlarda her biri ayrı.</t>
  </si>
  <si>
    <t>Banka / Şirket hesabı</t>
  </si>
  <si>
    <t>3</t>
  </si>
  <si>
    <t>★ Gelir Yevmiyesi (679/649 Gelir Kaydı)</t>
  </si>
  <si>
    <t>Destek tahsil edildiğinde yapılan muhasebe yevmiyesi. 102 Dr / 679 veya 649 Kr — GELİR KAYDI olmadan 456 uygulanamaz.</t>
  </si>
  <si>
    <t>Muhasebe sistemi — yevmiye defteri</t>
  </si>
  <si>
    <t>4</t>
  </si>
  <si>
    <t>KV Beyannamesi 456 Satırı + YİAKV E.13 Bilgi</t>
  </si>
  <si>
    <t>Beyanname 456 = D.3 tutarı (gelir kaydedilen tahsilat). YİAKV E.13'te bilgi (matrahı etkilemez).</t>
  </si>
  <si>
    <t>GİB e-Beyanname + YİAKV ÇK</t>
  </si>
  <si>
    <t>5</t>
  </si>
  <si>
    <t>STB Kullanım Raporu / Harcama Belgesi (STB Talebi Varsa)</t>
  </si>
  <si>
    <t>STB protokolü gereği düzenlenmesi gereken ara/final dönem kullanım raporu. Amacına uygun harcama belgesi.</t>
  </si>
  <si>
    <t>Muhasebe / STB raporlaması</t>
  </si>
  <si>
    <t>KATEGORİ 2 — YMM TASDİK KONTROL SORULARI</t>
  </si>
  <si>
    <t>Beklenen Sonuç</t>
  </si>
  <si>
    <t>YMM Aksiyonu</t>
  </si>
  <si>
    <t>S1</t>
  </si>
  <si>
    <t>★ Destek 5746 Md.3/5 STB kapsamında mı? Protokol belgesi var mı?</t>
  </si>
  <si>
    <t>5746 dışı destekler → Farklı kod.</t>
  </si>
  <si>
    <t>YMM kontrolü</t>
  </si>
  <si>
    <t>S2</t>
  </si>
  <si>
    <t>★ Tahsilat fiilen banka yoluyla gerçekleşti mi?</t>
  </si>
  <si>
    <t>Banka dekontu her tahsilat için mevcut.</t>
  </si>
  <si>
    <t>S3</t>
  </si>
  <si>
    <t>★ Tahsilat tutarı gelir hesabına (679/649) alındı mı?</t>
  </si>
  <si>
    <t>Yevmiye kaydı — zorunlu ön adım.</t>
  </si>
  <si>
    <t>S4</t>
  </si>
  <si>
    <t>D.1 = D.3 — gelir kaydedilen = indirim.</t>
  </si>
  <si>
    <t>S5</t>
  </si>
  <si>
    <t>Birden fazla tahsilat ayrı satırlarda mı?</t>
  </si>
  <si>
    <t>C tablosu — her tahsilat ayrı.</t>
  </si>
  <si>
    <t>S6</t>
  </si>
  <si>
    <t>DÜŞÜLEMEZ — E.13 bilgi.</t>
  </si>
  <si>
    <t>S7</t>
  </si>
  <si>
    <t>283/455 ile aynı harcama için mükerrerlik yok mu?</t>
  </si>
  <si>
    <t>Kapsam ayrımı yapılmış.</t>
  </si>
  <si>
    <t>S8</t>
  </si>
  <si>
    <t>Beyanname 456 'Kazancın Bulunması Halinde'?</t>
  </si>
  <si>
    <t>S9</t>
  </si>
  <si>
    <t>YMM Tasdik Raporu değerlendirildi mi?</t>
  </si>
  <si>
    <t>&gt;=500.000 TL → Rapor.</t>
  </si>
  <si>
    <t xml:space="preserve">  GİB KV BEYAN REHBERİ MART 2026 (No:606) | 456 TEKNOGİRİŞİM SON NOT:
  5746 s.K. Md.3/5 STB teknogirişim desteği → Gelir kaydı zorunlu ön adım → Beyanname 456 → Net vergi = 0.
  Gelir kayıtsız 456 uygulaması → Tarhiyat riski. 5746 dışı destekler → Farklı kod.
  ✗ YİAKV E.13 (bilgi — matrahı etkilemez). 283/455 ile çakışma analizi yapılmalı.
  YMM müteselsil sorumluluk: SM-SMMM-YMM Kanunu Md.12.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</si>
</sst>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8"/>
      <color rgb="FF7B5E00"/>
      <name val="Arial"/>
    </font>
    <font>
      <b/>
      <sz val="8"/>
      <color rgb="FFFFFFFF"/>
      <name val="Arial"/>
    </font>
    <font>
      <b/>
      <sz val="10"/>
      <color rgb="FFFFFFFF"/>
      <name val="Arial"/>
    </font>
    <font>
      <b/>
      <sz val="9"/>
      <color rgb="FFC0392B"/>
      <name val="Arial"/>
    </font>
    <font>
      <b/>
      <sz val="10"/>
      <color rgb="FF0000FF"/>
      <name val="Arial"/>
    </font>
    <font>
      <i/>
      <sz val="8"/>
      <color rgb="FFC0392B"/>
      <name val="Arial"/>
    </font>
    <font>
      <b/>
      <sz val="9"/>
      <color rgb="FF1F3864"/>
      <name val="Arial"/>
    </font>
    <font>
      <i/>
      <sz val="8"/>
      <color rgb="FF555555"/>
      <name val="Arial"/>
    </font>
    <font>
      <b/>
      <sz val="10"/>
      <color rgb="FF1B5E20"/>
      <name val="Arial"/>
    </font>
    <font>
      <i/>
      <sz val="8"/>
      <color rgb="FF888888"/>
      <name val="Arial"/>
    </font>
    <font>
      <i/>
      <sz val="8"/>
      <color rgb="FF1E8449"/>
      <name val="Arial"/>
    </font>
    <font>
      <sz val="9"/>
      <color rgb="FF1F3864"/>
      <name val="Arial"/>
    </font>
    <font>
      <b/>
      <sz val="9"/>
      <color rgb="FF1E8449"/>
      <name val="Arial"/>
    </font>
    <font>
      <b/>
      <sz val="9"/>
      <color rgb="FF1B5E20"/>
      <name val="Arial"/>
    </font>
    <font>
      <b/>
      <sz val="11"/>
      <color rgb="FFFFFFFF"/>
      <name val="Arial"/>
    </font>
    <font>
      <b/>
      <sz val="13"/>
      <color rgb="FFFFFFFF"/>
      <name val="Arial"/>
    </font>
    <font>
      <b/>
      <i/>
      <sz val="8"/>
      <color rgb="FFC0392B"/>
      <name val="Arial"/>
    </font>
    <font>
      <b/>
      <sz val="10"/>
      <color rgb="FF1E8449"/>
      <name val="Arial"/>
    </font>
    <font>
      <b/>
      <sz val="13"/>
      <color rgb="FF1B5E20"/>
      <name val="Arial"/>
    </font>
    <font>
      <b/>
      <sz val="9"/>
      <color rgb="FFE65100"/>
      <name val="Arial"/>
    </font>
    <font>
      <b/>
      <sz val="10"/>
      <color rgb="FFE65100"/>
      <name val="Arial"/>
    </font>
    <font>
      <b/>
      <sz val="14"/>
      <color rgb="FF1B5E20"/>
      <name val="Arial"/>
    </font>
    <font>
      <i/>
      <sz val="8"/>
      <color rgb="FF1B5E20"/>
      <name val="Arial"/>
    </font>
    <font>
      <b/>
      <sz val="12"/>
      <color rgb="FF1B5E20"/>
      <name val="Arial"/>
    </font>
    <font>
      <sz val="8"/>
      <color rgb="FF333333"/>
      <name val="Arial"/>
    </font>
    <font>
      <sz val="8"/>
      <color rgb="FF1F3864"/>
      <name val="Arial"/>
    </font>
    <font>
      <i/>
      <sz val="8"/>
      <color rgb="FF444444"/>
      <name val="Arial"/>
    </font>
    <font>
      <b/>
      <sz val="9"/>
      <color rgb="FF7B5E00"/>
      <name val="Arial"/>
    </font>
    <font>
      <sz val="8"/>
      <color rgb="FF444444"/>
      <name val="Arial"/>
    </font>
    <font>
      <b/>
      <sz val="9"/>
      <color rgb="FF1565C0"/>
      <name val="Arial"/>
    </font>
    <font>
      <b/>
      <sz val="8"/>
      <color rgb="FF1565C0"/>
      <name val="Arial"/>
    </font>
  </fonts>
  <fills count="25">
    <fill>
      <patternFill patternType="none"/>
    </fill>
    <fill>
      <patternFill patternType="gray125"/>
    </fill>
    <fill>
      <patternFill patternType="solid">
        <fgColor rgb="FF1E8449"/>
      </patternFill>
    </fill>
    <fill>
      <patternFill patternType="solid">
        <fgColor rgb="FF2C3E50"/>
      </patternFill>
    </fill>
    <fill>
      <patternFill patternType="solid">
        <fgColor rgb="FFFFF9C4"/>
      </patternFill>
    </fill>
    <fill>
      <patternFill patternType="solid">
        <fgColor rgb="FFE65100"/>
      </patternFill>
    </fill>
    <fill>
      <patternFill patternType="solid">
        <fgColor rgb="FFDEDEDE"/>
      </patternFill>
    </fill>
    <fill>
      <patternFill patternType="solid">
        <fgColor rgb="FFC0392B"/>
      </patternFill>
    </fill>
    <fill>
      <patternFill patternType="solid">
        <fgColor rgb="FF1565C0"/>
      </patternFill>
    </fill>
    <fill>
      <patternFill patternType="solid">
        <fgColor rgb="FFFCE4D6"/>
      </patternFill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EAFAF1"/>
      </patternFill>
    </fill>
    <fill>
      <patternFill patternType="solid">
        <fgColor rgb="FFC6EFCE"/>
      </patternFill>
    </fill>
    <fill>
      <patternFill patternType="solid">
        <fgColor rgb="FFD5F5E3"/>
      </patternFill>
    </fill>
    <fill>
      <patternFill patternType="solid">
        <fgColor rgb="FFFFF3E0"/>
      </patternFill>
    </fill>
    <fill>
      <patternFill patternType="solid">
        <fgColor rgb="FF1B5E20"/>
      </patternFill>
    </fill>
    <fill>
      <patternFill patternType="solid">
        <fgColor rgb="FFFFF5F5"/>
      </patternFill>
    </fill>
    <fill>
      <patternFill patternType="solid">
        <fgColor rgb="FFF7F7F7"/>
      </patternFill>
    </fill>
    <fill>
      <patternFill patternType="solid">
        <fgColor rgb="FFEBF5EB"/>
      </patternFill>
    </fill>
    <fill>
      <patternFill patternType="solid">
        <fgColor rgb="FFB71C1C"/>
      </patternFill>
    </fill>
    <fill>
      <patternFill patternType="solid">
        <fgColor rgb="FFFFEBEE"/>
      </patternFill>
    </fill>
    <fill>
      <patternFill patternType="solid">
        <fgColor rgb="FFFFD0D0"/>
      </patternFill>
    </fill>
    <fill>
      <patternFill patternType="solid">
        <fgColor rgb="FFE3F2FD"/>
      </patternFill>
    </fill>
    <fill>
      <patternFill patternType="solid">
        <fgColor rgb="FFEEF4FF"/>
      </patternFill>
    </fill>
  </fills>
  <borders count="9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1E8449"/>
      </left>
      <right style="thin">
        <color rgb="FF1E8449"/>
      </right>
      <top style="thin">
        <color rgb="FF1E8449"/>
      </top>
      <bottom style="thin">
        <color rgb="FF1E8449"/>
      </bottom>
      <diagonal/>
    </border>
    <border>
      <left style="thin">
        <color rgb="FF009900"/>
      </left>
      <right style="thin">
        <color rgb="FF009900"/>
      </right>
      <top style="thin">
        <color rgb="FF009900"/>
      </top>
      <bottom style="thin">
        <color rgb="FF009900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0" fillId="6" borderId="4" xfId="0" applyFill="1" applyBorder="1"/>
    <xf numFmtId="0" fontId="1" fillId="8" borderId="1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/>
    </xf>
    <xf numFmtId="0" fontId="10" fillId="13" borderId="4" xfId="0" applyFont="1" applyFill="1" applyBorder="1" applyAlignment="1">
      <alignment horizontal="center" vertical="center"/>
    </xf>
    <xf numFmtId="0" fontId="0" fillId="10" borderId="4" xfId="0" applyFill="1" applyBorder="1"/>
    <xf numFmtId="0" fontId="1" fillId="2" borderId="1" xfId="0" applyFont="1" applyFill="1" applyBorder="1" applyAlignment="1">
      <alignment horizontal="center" vertical="center" wrapText="1"/>
    </xf>
    <xf numFmtId="0" fontId="13" fillId="10" borderId="4" xfId="0" applyFont="1" applyFill="1" applyBorder="1" applyAlignment="1">
      <alignment horizontal="left" vertical="center" wrapText="1"/>
    </xf>
    <xf numFmtId="3" fontId="14" fillId="14" borderId="7" xfId="0" applyNumberFormat="1" applyFont="1" applyFill="1" applyBorder="1" applyAlignment="1">
      <alignment horizontal="right" vertical="center" wrapText="1"/>
    </xf>
    <xf numFmtId="0" fontId="0" fillId="10" borderId="4" xfId="0" applyFill="1" applyBorder="1" applyAlignment="1">
      <alignment horizontal="center" vertical="center"/>
    </xf>
    <xf numFmtId="3" fontId="15" fillId="13" borderId="8" xfId="0" applyNumberFormat="1" applyFont="1" applyFill="1" applyBorder="1" applyAlignment="1">
      <alignment horizontal="right" vertical="center" wrapText="1"/>
    </xf>
    <xf numFmtId="0" fontId="13" fillId="10" borderId="4" xfId="0" applyFont="1" applyFill="1" applyBorder="1" applyAlignment="1">
      <alignment horizontal="center" vertical="center" wrapText="1"/>
    </xf>
    <xf numFmtId="3" fontId="16" fillId="2" borderId="4" xfId="0" applyNumberFormat="1" applyFont="1" applyFill="1" applyBorder="1" applyAlignment="1">
      <alignment horizontal="right" vertical="center" wrapText="1"/>
    </xf>
    <xf numFmtId="0" fontId="4" fillId="2" borderId="4" xfId="0" applyFont="1" applyFill="1" applyBorder="1" applyAlignment="1">
      <alignment horizontal="center" vertical="center" wrapText="1"/>
    </xf>
    <xf numFmtId="3" fontId="17" fillId="2" borderId="8" xfId="0" applyNumberFormat="1" applyFont="1" applyFill="1" applyBorder="1" applyAlignment="1">
      <alignment horizontal="right" vertical="center" wrapText="1"/>
    </xf>
    <xf numFmtId="3" fontId="19" fillId="12" borderId="4" xfId="0" applyNumberFormat="1" applyFont="1" applyFill="1" applyBorder="1" applyAlignment="1">
      <alignment horizontal="right" vertical="center"/>
    </xf>
    <xf numFmtId="3" fontId="20" fillId="13" borderId="8" xfId="0" applyNumberFormat="1" applyFont="1" applyFill="1" applyBorder="1" applyAlignment="1">
      <alignment horizontal="right" vertical="center"/>
    </xf>
    <xf numFmtId="0" fontId="22" fillId="15" borderId="4" xfId="0" applyFont="1" applyFill="1" applyBorder="1" applyAlignment="1">
      <alignment horizontal="center" vertical="center"/>
    </xf>
    <xf numFmtId="3" fontId="23" fillId="13" borderId="8" xfId="0" applyNumberFormat="1" applyFont="1" applyFill="1" applyBorder="1" applyAlignment="1">
      <alignment horizontal="right" vertical="center" wrapText="1"/>
    </xf>
    <xf numFmtId="3" fontId="10" fillId="12" borderId="4" xfId="0" applyNumberFormat="1" applyFont="1" applyFill="1" applyBorder="1" applyAlignment="1">
      <alignment horizontal="center" vertical="center"/>
    </xf>
    <xf numFmtId="3" fontId="25" fillId="13" borderId="4" xfId="0" applyNumberFormat="1" applyFon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left" vertical="top" wrapText="1"/>
    </xf>
    <xf numFmtId="0" fontId="26" fillId="17" borderId="4" xfId="0" applyFont="1" applyFill="1" applyBorder="1" applyAlignment="1">
      <alignment horizontal="left" vertical="top" wrapText="1"/>
    </xf>
    <xf numFmtId="0" fontId="27" fillId="10" borderId="4" xfId="0" applyFont="1" applyFill="1" applyBorder="1" applyAlignment="1">
      <alignment horizontal="center" vertical="center" wrapText="1"/>
    </xf>
    <xf numFmtId="0" fontId="0" fillId="11" borderId="4" xfId="0" applyFill="1" applyBorder="1"/>
    <xf numFmtId="0" fontId="0" fillId="12" borderId="4" xfId="0" applyFill="1" applyBorder="1"/>
    <xf numFmtId="0" fontId="8" fillId="12" borderId="4" xfId="0" applyFont="1" applyFill="1" applyBorder="1" applyAlignment="1">
      <alignment horizontal="left" vertical="top" wrapText="1"/>
    </xf>
    <xf numFmtId="0" fontId="8" fillId="11" borderId="4" xfId="0" applyFont="1" applyFill="1" applyBorder="1" applyAlignment="1">
      <alignment horizontal="left" vertical="top" wrapText="1"/>
    </xf>
    <xf numFmtId="0" fontId="1" fillId="8" borderId="1" xfId="0" applyFont="1" applyFill="1" applyBorder="1" applyAlignment="1">
      <alignment horizontal="center" vertical="center"/>
    </xf>
    <xf numFmtId="0" fontId="13" fillId="12" borderId="4" xfId="0" applyFont="1" applyFill="1" applyBorder="1" applyAlignment="1">
      <alignment horizontal="center" vertical="center" wrapText="1"/>
    </xf>
    <xf numFmtId="0" fontId="13" fillId="11" borderId="4" xfId="0" applyFont="1" applyFill="1" applyBorder="1" applyAlignment="1">
      <alignment horizontal="center" vertical="center" wrapText="1"/>
    </xf>
    <xf numFmtId="0" fontId="26" fillId="18" borderId="4" xfId="0" applyFont="1" applyFill="1" applyBorder="1" applyAlignment="1">
      <alignment horizontal="left" vertical="top" wrapText="1"/>
    </xf>
    <xf numFmtId="0" fontId="28" fillId="12" borderId="4" xfId="0" applyFont="1" applyFill="1" applyBorder="1" applyAlignment="1">
      <alignment horizontal="left" vertical="top" wrapText="1"/>
    </xf>
    <xf numFmtId="0" fontId="1" fillId="7" borderId="4" xfId="0" applyFont="1" applyFill="1" applyBorder="1" applyAlignment="1">
      <alignment horizontal="center" vertical="center" wrapText="1"/>
    </xf>
    <xf numFmtId="0" fontId="28" fillId="9" borderId="4" xfId="0" applyFont="1" applyFill="1" applyBorder="1" applyAlignment="1">
      <alignment horizontal="left" vertical="top" wrapText="1"/>
    </xf>
    <xf numFmtId="0" fontId="28" fillId="11" borderId="4" xfId="0" applyFont="1" applyFill="1" applyBorder="1" applyAlignment="1">
      <alignment horizontal="left" vertical="top" wrapText="1"/>
    </xf>
    <xf numFmtId="0" fontId="0" fillId="13" borderId="4" xfId="0" applyFill="1" applyBorder="1"/>
    <xf numFmtId="0" fontId="8" fillId="13" borderId="4" xfId="0" applyFont="1" applyFill="1" applyBorder="1" applyAlignment="1">
      <alignment horizontal="center" vertical="center" wrapText="1"/>
    </xf>
    <xf numFmtId="0" fontId="5" fillId="13" borderId="4" xfId="0" applyFont="1" applyFill="1" applyBorder="1" applyAlignment="1">
      <alignment horizontal="left" vertical="top" wrapText="1"/>
    </xf>
    <xf numFmtId="0" fontId="26" fillId="19" borderId="4" xfId="0" applyFont="1" applyFill="1" applyBorder="1" applyAlignment="1">
      <alignment horizontal="left" vertical="top" wrapText="1"/>
    </xf>
    <xf numFmtId="0" fontId="30" fillId="13" borderId="4" xfId="0" applyFont="1" applyFill="1" applyBorder="1" applyAlignment="1">
      <alignment horizontal="left" vertical="center" wrapText="1"/>
    </xf>
    <xf numFmtId="0" fontId="8" fillId="11" borderId="4" xfId="0" applyFont="1" applyFill="1" applyBorder="1" applyAlignment="1">
      <alignment horizontal="center" vertical="center" wrapText="1"/>
    </xf>
    <xf numFmtId="0" fontId="5" fillId="11" borderId="4" xfId="0" applyFont="1" applyFill="1" applyBorder="1" applyAlignment="1">
      <alignment horizontal="left" vertical="top" wrapText="1"/>
    </xf>
    <xf numFmtId="0" fontId="30" fillId="11" borderId="4" xfId="0" applyFont="1" applyFill="1" applyBorder="1" applyAlignment="1">
      <alignment horizontal="left" vertical="center" wrapText="1"/>
    </xf>
    <xf numFmtId="0" fontId="8" fillId="13" borderId="4" xfId="0" applyFont="1" applyFill="1" applyBorder="1" applyAlignment="1">
      <alignment horizontal="left" vertical="top" wrapText="1"/>
    </xf>
    <xf numFmtId="0" fontId="1" fillId="20" borderId="1" xfId="0" applyFont="1" applyFill="1" applyBorder="1" applyAlignment="1">
      <alignment horizontal="center" vertical="center"/>
    </xf>
    <xf numFmtId="0" fontId="0" fillId="21" borderId="4" xfId="0" applyFill="1" applyBorder="1"/>
    <xf numFmtId="0" fontId="31" fillId="21" borderId="4" xfId="0" applyFont="1" applyFill="1" applyBorder="1" applyAlignment="1">
      <alignment horizontal="center" vertical="center" wrapText="1"/>
    </xf>
    <xf numFmtId="0" fontId="5" fillId="21" borderId="4" xfId="0" applyFont="1" applyFill="1" applyBorder="1" applyAlignment="1">
      <alignment horizontal="left" vertical="top" wrapText="1"/>
    </xf>
    <xf numFmtId="0" fontId="26" fillId="22" borderId="4" xfId="0" applyFont="1" applyFill="1" applyBorder="1" applyAlignment="1">
      <alignment horizontal="left" vertical="top" wrapText="1"/>
    </xf>
    <xf numFmtId="0" fontId="32" fillId="21" borderId="4" xfId="0" applyFont="1" applyFill="1" applyBorder="1" applyAlignment="1">
      <alignment horizontal="center" vertical="center" wrapText="1"/>
    </xf>
    <xf numFmtId="0" fontId="0" fillId="23" borderId="4" xfId="0" applyFill="1" applyBorder="1"/>
    <xf numFmtId="0" fontId="31" fillId="23" borderId="4" xfId="0" applyFont="1" applyFill="1" applyBorder="1" applyAlignment="1">
      <alignment horizontal="center" vertical="center" wrapText="1"/>
    </xf>
    <xf numFmtId="0" fontId="31" fillId="23" borderId="4" xfId="0" applyFont="1" applyFill="1" applyBorder="1" applyAlignment="1">
      <alignment horizontal="left" vertical="top" wrapText="1"/>
    </xf>
    <xf numFmtId="0" fontId="26" fillId="24" borderId="4" xfId="0" applyFont="1" applyFill="1" applyBorder="1" applyAlignment="1">
      <alignment horizontal="left" vertical="top" wrapText="1"/>
    </xf>
    <xf numFmtId="0" fontId="32" fillId="23" borderId="4" xfId="0" applyFont="1" applyFill="1" applyBorder="1" applyAlignment="1">
      <alignment horizontal="center" vertical="center" wrapText="1"/>
    </xf>
    <xf numFmtId="0" fontId="12" fillId="11" borderId="4" xfId="0" applyFont="1" applyFill="1" applyBorder="1" applyAlignment="1">
      <alignment horizontal="left" vertical="center" wrapText="1"/>
    </xf>
    <xf numFmtId="0" fontId="0" fillId="0" borderId="6" xfId="0" applyBorder="1"/>
    <xf numFmtId="0" fontId="8" fillId="11" borderId="4" xfId="0" applyFont="1" applyFill="1" applyBorder="1" applyAlignment="1">
      <alignment horizontal="left" vertical="center" wrapText="1"/>
    </xf>
    <xf numFmtId="0" fontId="0" fillId="10" borderId="4" xfId="0" applyFill="1" applyBorder="1"/>
    <xf numFmtId="0" fontId="0" fillId="0" borderId="5" xfId="0" applyBorder="1"/>
    <xf numFmtId="0" fontId="11" fillId="11" borderId="4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5" fillId="11" borderId="4" xfId="0" applyFont="1" applyFill="1" applyBorder="1" applyAlignment="1">
      <alignment horizontal="left" vertical="center" wrapText="1"/>
    </xf>
    <xf numFmtId="0" fontId="9" fillId="11" borderId="4" xfId="0" applyFont="1" applyFill="1" applyBorder="1" applyAlignment="1">
      <alignment horizontal="left" vertical="center" wrapText="1"/>
    </xf>
    <xf numFmtId="0" fontId="8" fillId="12" borderId="4" xfId="0" applyFont="1" applyFill="1" applyBorder="1" applyAlignment="1">
      <alignment horizontal="left" vertical="center" wrapText="1"/>
    </xf>
    <xf numFmtId="0" fontId="21" fillId="15" borderId="4" xfId="0" applyFont="1" applyFill="1" applyBorder="1" applyAlignment="1">
      <alignment horizontal="left" vertical="center" wrapText="1"/>
    </xf>
    <xf numFmtId="0" fontId="18" fillId="14" borderId="1" xfId="0" applyFont="1" applyFill="1" applyBorder="1" applyAlignment="1">
      <alignment horizontal="left" vertical="center" wrapText="1"/>
    </xf>
    <xf numFmtId="0" fontId="5" fillId="12" borderId="4" xfId="0" applyFont="1" applyFill="1" applyBorder="1" applyAlignment="1">
      <alignment horizontal="left" vertical="center" wrapText="1"/>
    </xf>
    <xf numFmtId="0" fontId="7" fillId="9" borderId="4" xfId="0" applyFont="1" applyFill="1" applyBorder="1" applyAlignment="1">
      <alignment horizontal="left" vertical="center" wrapText="1"/>
    </xf>
    <xf numFmtId="0" fontId="11" fillId="12" borderId="4" xfId="0" applyFont="1" applyFill="1" applyBorder="1" applyAlignment="1">
      <alignment horizontal="left" vertical="center" wrapText="1"/>
    </xf>
    <xf numFmtId="0" fontId="12" fillId="12" borderId="4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/>
    </xf>
    <xf numFmtId="0" fontId="11" fillId="15" borderId="4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5" fillId="13" borderId="4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/>
    </xf>
    <xf numFmtId="0" fontId="13" fillId="12" borderId="4" xfId="0" applyFont="1" applyFill="1" applyBorder="1" applyAlignment="1">
      <alignment horizontal="left" vertical="center" wrapText="1"/>
    </xf>
    <xf numFmtId="0" fontId="11" fillId="13" borderId="4" xfId="0" applyFont="1" applyFill="1" applyBorder="1" applyAlignment="1">
      <alignment horizontal="left" vertical="center" wrapText="1"/>
    </xf>
    <xf numFmtId="0" fontId="9" fillId="12" borderId="4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7" fillId="13" borderId="4" xfId="0" applyFont="1" applyFill="1" applyBorder="1" applyAlignment="1">
      <alignment horizontal="left" vertical="center" wrapText="1"/>
    </xf>
    <xf numFmtId="0" fontId="8" fillId="13" borderId="4" xfId="0" applyFont="1" applyFill="1" applyBorder="1" applyAlignment="1">
      <alignment horizontal="left" vertical="center"/>
    </xf>
    <xf numFmtId="0" fontId="24" fillId="13" borderId="4" xfId="0" applyFont="1" applyFill="1" applyBorder="1" applyAlignment="1">
      <alignment horizontal="left" vertical="center" wrapText="1"/>
    </xf>
    <xf numFmtId="0" fontId="9" fillId="13" borderId="4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10" fillId="13" borderId="4" xfId="0" applyFont="1" applyFill="1" applyBorder="1" applyAlignment="1">
      <alignment horizontal="left" vertical="center"/>
    </xf>
    <xf numFmtId="0" fontId="9" fillId="15" borderId="4" xfId="0" applyFont="1" applyFill="1" applyBorder="1" applyAlignment="1">
      <alignment horizontal="left" vertical="center" wrapText="1"/>
    </xf>
    <xf numFmtId="0" fontId="26" fillId="17" borderId="4" xfId="0" applyFont="1" applyFill="1" applyBorder="1" applyAlignment="1">
      <alignment horizontal="left" vertical="top" wrapText="1"/>
    </xf>
    <xf numFmtId="0" fontId="8" fillId="11" borderId="4" xfId="0" applyFont="1" applyFill="1" applyBorder="1" applyAlignment="1">
      <alignment horizontal="left" vertical="top" wrapText="1"/>
    </xf>
    <xf numFmtId="0" fontId="4" fillId="16" borderId="1" xfId="0" applyFont="1" applyFill="1" applyBorder="1" applyAlignment="1">
      <alignment horizontal="left" vertical="center"/>
    </xf>
    <xf numFmtId="0" fontId="8" fillId="12" borderId="4" xfId="0" applyFont="1" applyFill="1" applyBorder="1" applyAlignment="1">
      <alignment horizontal="left" vertical="top" wrapText="1"/>
    </xf>
    <xf numFmtId="0" fontId="26" fillId="12" borderId="4" xfId="0" applyFont="1" applyFill="1" applyBorder="1" applyAlignment="1">
      <alignment horizontal="left" vertical="top" wrapText="1"/>
    </xf>
    <xf numFmtId="0" fontId="5" fillId="9" borderId="4" xfId="0" applyFont="1" applyFill="1" applyBorder="1" applyAlignment="1">
      <alignment horizontal="left" vertical="top" wrapText="1"/>
    </xf>
    <xf numFmtId="0" fontId="8" fillId="11" borderId="4" xfId="0" applyFont="1" applyFill="1" applyBorder="1" applyAlignment="1">
      <alignment horizontal="left" vertical="center"/>
    </xf>
    <xf numFmtId="0" fontId="26" fillId="11" borderId="4" xfId="0" applyFont="1" applyFill="1" applyBorder="1" applyAlignment="1">
      <alignment horizontal="left" vertical="top" wrapText="1"/>
    </xf>
    <xf numFmtId="0" fontId="26" fillId="12" borderId="1" xfId="0" applyFont="1" applyFill="1" applyBorder="1" applyAlignment="1">
      <alignment horizontal="left" vertical="center" wrapText="1"/>
    </xf>
    <xf numFmtId="0" fontId="16" fillId="2" borderId="1" xfId="0" applyFont="1" applyFill="1" applyBorder="1" applyAlignment="1">
      <alignment horizontal="left" vertical="center"/>
    </xf>
    <xf numFmtId="0" fontId="8" fillId="15" borderId="4" xfId="0" applyFont="1" applyFill="1" applyBorder="1" applyAlignment="1">
      <alignment horizontal="left" vertical="center"/>
    </xf>
    <xf numFmtId="0" fontId="8" fillId="12" borderId="4" xfId="0" applyFont="1" applyFill="1" applyBorder="1" applyAlignment="1">
      <alignment horizontal="left" vertical="center"/>
    </xf>
    <xf numFmtId="0" fontId="26" fillId="14" borderId="1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26" fillId="15" borderId="1" xfId="0" applyFont="1" applyFill="1" applyBorder="1" applyAlignment="1">
      <alignment horizontal="left" vertical="center" wrapText="1"/>
    </xf>
    <xf numFmtId="0" fontId="29" fillId="4" borderId="1" xfId="0" applyFont="1" applyFill="1" applyBorder="1" applyAlignment="1">
      <alignment horizontal="left" vertical="center" wrapText="1"/>
    </xf>
    <xf numFmtId="0" fontId="1" fillId="20" borderId="1" xfId="0" applyFont="1" applyFill="1" applyBorder="1" applyAlignment="1">
      <alignment horizontal="left" vertical="center"/>
    </xf>
    <xf numFmtId="0" fontId="1" fillId="16" borderId="1" xfId="0" applyFont="1" applyFill="1" applyBorder="1" applyAlignment="1">
      <alignment horizontal="left" vertical="center"/>
    </xf>
  </cellXfs>
  <cellStyles count="1">
    <cellStyle name="Normal" xfId="0" builtinId="0"/>
  </cellStyles>
  <dxfs count="4"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48CAEA-8531-4EFE-9610-15E4F74099E5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aa40f4a3-366b-4d0e-88cb-4004a9ed77d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tabSelected="1" workbookViewId="0">
      <selection sqref="A1:G1"/>
    </sheetView>
  </sheetViews>
  <sheetFormatPr defaultRowHeight="14.4" x14ac:dyDescent="0.55000000000000004"/>
  <cols>
    <col min="1" max="1" width="3" customWidth="1"/>
    <col min="2" max="2" width="30" customWidth="1"/>
    <col min="3" max="4" width="18" customWidth="1"/>
    <col min="5" max="6" width="14" customWidth="1"/>
    <col min="7" max="7" width="22" customWidth="1"/>
  </cols>
  <sheetData>
    <row r="1" spans="1:7" ht="44.05" customHeight="1" x14ac:dyDescent="0.55000000000000004">
      <c r="A1" s="79" t="s">
        <v>0</v>
      </c>
      <c r="B1" s="64"/>
      <c r="C1" s="64"/>
      <c r="D1" s="64"/>
      <c r="E1" s="64"/>
      <c r="F1" s="64"/>
      <c r="G1" s="65"/>
    </row>
    <row r="2" spans="1:7" ht="22" customHeight="1" x14ac:dyDescent="0.55000000000000004">
      <c r="A2" s="87" t="s">
        <v>1</v>
      </c>
      <c r="B2" s="64"/>
      <c r="C2" s="64"/>
      <c r="D2" s="64"/>
      <c r="E2" s="64"/>
      <c r="F2" s="64"/>
      <c r="G2" s="65"/>
    </row>
    <row r="3" spans="1:7" ht="48" customHeight="1" x14ac:dyDescent="0.55000000000000004">
      <c r="A3" s="81" t="s">
        <v>2</v>
      </c>
      <c r="B3" s="64"/>
      <c r="C3" s="64"/>
      <c r="D3" s="64"/>
      <c r="E3" s="64"/>
      <c r="F3" s="64"/>
      <c r="G3" s="65"/>
    </row>
    <row r="4" spans="1:7" ht="22" customHeight="1" x14ac:dyDescent="0.55000000000000004">
      <c r="A4" s="82" t="s">
        <v>3</v>
      </c>
      <c r="B4" s="64"/>
      <c r="C4" s="64"/>
      <c r="D4" s="64"/>
      <c r="E4" s="64"/>
      <c r="F4" s="64"/>
      <c r="G4" s="65"/>
    </row>
    <row r="5" spans="1:7" ht="5.05" customHeight="1" x14ac:dyDescent="0.55000000000000004">
      <c r="A5" s="1"/>
      <c r="B5" s="1"/>
      <c r="C5" s="1"/>
      <c r="D5" s="1"/>
      <c r="E5" s="1"/>
      <c r="F5" s="1"/>
      <c r="G5" s="1"/>
    </row>
    <row r="6" spans="1:7" ht="24" customHeight="1" x14ac:dyDescent="0.55000000000000004">
      <c r="A6" s="86" t="s">
        <v>4</v>
      </c>
      <c r="B6" s="64"/>
      <c r="C6" s="64"/>
      <c r="D6" s="64"/>
      <c r="E6" s="64"/>
      <c r="F6" s="64"/>
      <c r="G6" s="65"/>
    </row>
    <row r="7" spans="1:7" ht="18" customHeight="1" x14ac:dyDescent="0.55000000000000004">
      <c r="A7" s="2"/>
      <c r="B7" s="2" t="s">
        <v>5</v>
      </c>
      <c r="C7" s="2"/>
      <c r="D7" s="2"/>
      <c r="E7" s="2" t="s">
        <v>6</v>
      </c>
      <c r="F7" s="2"/>
      <c r="G7" s="2" t="s">
        <v>7</v>
      </c>
    </row>
    <row r="8" spans="1:7" ht="28" customHeight="1" x14ac:dyDescent="0.55000000000000004">
      <c r="A8" s="76" t="s">
        <v>8</v>
      </c>
      <c r="B8" s="61"/>
      <c r="C8" s="61"/>
      <c r="D8" s="58"/>
      <c r="E8" s="3" t="s">
        <v>9</v>
      </c>
      <c r="F8" s="72" t="s">
        <v>10</v>
      </c>
      <c r="G8" s="58"/>
    </row>
    <row r="9" spans="1:7" ht="28" customHeight="1" x14ac:dyDescent="0.55000000000000004">
      <c r="A9" s="76" t="s">
        <v>11</v>
      </c>
      <c r="B9" s="61"/>
      <c r="C9" s="61"/>
      <c r="D9" s="58"/>
      <c r="E9" s="3" t="s">
        <v>9</v>
      </c>
      <c r="F9" s="72" t="s">
        <v>12</v>
      </c>
      <c r="G9" s="58"/>
    </row>
    <row r="10" spans="1:7" ht="28" customHeight="1" x14ac:dyDescent="0.55000000000000004">
      <c r="A10" s="76" t="s">
        <v>13</v>
      </c>
      <c r="B10" s="61"/>
      <c r="C10" s="61"/>
      <c r="D10" s="58"/>
      <c r="E10" s="3" t="s">
        <v>9</v>
      </c>
      <c r="F10" s="72" t="s">
        <v>14</v>
      </c>
      <c r="G10" s="58"/>
    </row>
    <row r="11" spans="1:7" ht="28" customHeight="1" x14ac:dyDescent="0.55000000000000004">
      <c r="A11" s="59" t="s">
        <v>15</v>
      </c>
      <c r="B11" s="61"/>
      <c r="C11" s="61"/>
      <c r="D11" s="58"/>
      <c r="E11" s="3" t="s">
        <v>9</v>
      </c>
      <c r="F11" s="67" t="s">
        <v>16</v>
      </c>
      <c r="G11" s="58"/>
    </row>
    <row r="12" spans="1:7" ht="28" customHeight="1" x14ac:dyDescent="0.55000000000000004">
      <c r="A12" s="68" t="s">
        <v>17</v>
      </c>
      <c r="B12" s="61"/>
      <c r="C12" s="61"/>
      <c r="D12" s="58"/>
      <c r="E12" s="3" t="s">
        <v>9</v>
      </c>
      <c r="F12" s="85" t="s">
        <v>18</v>
      </c>
      <c r="G12" s="58"/>
    </row>
    <row r="13" spans="1:7" ht="28" customHeight="1" x14ac:dyDescent="0.55000000000000004">
      <c r="A13" s="59" t="s">
        <v>19</v>
      </c>
      <c r="B13" s="61"/>
      <c r="C13" s="61"/>
      <c r="D13" s="58"/>
      <c r="E13" s="3" t="s">
        <v>9</v>
      </c>
      <c r="F13" s="67" t="s">
        <v>20</v>
      </c>
      <c r="G13" s="58"/>
    </row>
    <row r="14" spans="1:7" ht="24" customHeight="1" x14ac:dyDescent="0.55000000000000004">
      <c r="A14" s="89" t="s">
        <v>21</v>
      </c>
      <c r="B14" s="61"/>
      <c r="C14" s="61"/>
      <c r="D14" s="58"/>
      <c r="E14" s="4" t="str">
        <f>IF(AND(E8="EVET",E9="EVET",E10="EVET",E11="EVET"),"OK - Hesaplanabilir","HATA - Ön koşul eksik")</f>
        <v>OK - Hesaplanabilir</v>
      </c>
      <c r="F14" s="88" t="s">
        <v>22</v>
      </c>
      <c r="G14" s="58"/>
    </row>
    <row r="15" spans="1:7" ht="5.05" customHeight="1" x14ac:dyDescent="0.55000000000000004">
      <c r="A15" s="1"/>
      <c r="B15" s="1"/>
      <c r="C15" s="1"/>
      <c r="D15" s="1"/>
      <c r="E15" s="1"/>
      <c r="F15" s="1"/>
      <c r="G15" s="1"/>
    </row>
    <row r="16" spans="1:7" ht="22" customHeight="1" x14ac:dyDescent="0.55000000000000004">
      <c r="A16" s="63" t="s">
        <v>23</v>
      </c>
      <c r="B16" s="64"/>
      <c r="C16" s="64"/>
      <c r="D16" s="64"/>
      <c r="E16" s="64"/>
      <c r="F16" s="64"/>
      <c r="G16" s="65"/>
    </row>
    <row r="17" spans="1:7" ht="22" customHeight="1" x14ac:dyDescent="0.55000000000000004">
      <c r="A17" s="59" t="s">
        <v>24</v>
      </c>
      <c r="B17" s="58"/>
      <c r="C17" s="60"/>
      <c r="D17" s="61"/>
      <c r="E17" s="58"/>
      <c r="F17" s="62" t="s">
        <v>25</v>
      </c>
      <c r="G17" s="58"/>
    </row>
    <row r="18" spans="1:7" ht="22" customHeight="1" x14ac:dyDescent="0.55000000000000004">
      <c r="A18" s="68" t="s">
        <v>26</v>
      </c>
      <c r="B18" s="58"/>
      <c r="C18" s="60"/>
      <c r="D18" s="61"/>
      <c r="E18" s="58"/>
      <c r="F18" s="73" t="s">
        <v>27</v>
      </c>
      <c r="G18" s="58"/>
    </row>
    <row r="19" spans="1:7" ht="22" customHeight="1" x14ac:dyDescent="0.55000000000000004">
      <c r="A19" s="59" t="s">
        <v>28</v>
      </c>
      <c r="B19" s="58"/>
      <c r="C19" s="60"/>
      <c r="D19" s="61"/>
      <c r="E19" s="58"/>
      <c r="F19" s="62" t="s">
        <v>29</v>
      </c>
      <c r="G19" s="58"/>
    </row>
    <row r="20" spans="1:7" ht="22" customHeight="1" x14ac:dyDescent="0.55000000000000004">
      <c r="A20" s="68" t="s">
        <v>30</v>
      </c>
      <c r="B20" s="58"/>
      <c r="C20" s="60"/>
      <c r="D20" s="61"/>
      <c r="E20" s="58"/>
      <c r="F20" s="73" t="s">
        <v>31</v>
      </c>
      <c r="G20" s="58"/>
    </row>
    <row r="21" spans="1:7" ht="22" customHeight="1" x14ac:dyDescent="0.55000000000000004">
      <c r="A21" s="59" t="s">
        <v>32</v>
      </c>
      <c r="B21" s="58"/>
      <c r="C21" s="60"/>
      <c r="D21" s="61"/>
      <c r="E21" s="58"/>
      <c r="F21" s="62" t="s">
        <v>33</v>
      </c>
      <c r="G21" s="58"/>
    </row>
    <row r="22" spans="1:7" ht="22" customHeight="1" x14ac:dyDescent="0.55000000000000004">
      <c r="A22" s="68" t="s">
        <v>34</v>
      </c>
      <c r="B22" s="58"/>
      <c r="C22" s="60"/>
      <c r="D22" s="61"/>
      <c r="E22" s="58"/>
      <c r="F22" s="73" t="s">
        <v>35</v>
      </c>
      <c r="G22" s="58"/>
    </row>
    <row r="23" spans="1:7" ht="22" customHeight="1" x14ac:dyDescent="0.55000000000000004">
      <c r="A23" s="59" t="s">
        <v>36</v>
      </c>
      <c r="B23" s="58"/>
      <c r="C23" s="60"/>
      <c r="D23" s="61"/>
      <c r="E23" s="58"/>
      <c r="F23" s="62" t="s">
        <v>37</v>
      </c>
      <c r="G23" s="58"/>
    </row>
    <row r="25" spans="1:7" ht="5.05" customHeight="1" x14ac:dyDescent="0.55000000000000004">
      <c r="A25" s="1"/>
      <c r="B25" s="1"/>
      <c r="C25" s="1"/>
      <c r="D25" s="1"/>
      <c r="E25" s="1"/>
      <c r="F25" s="1"/>
      <c r="G25" s="1"/>
    </row>
    <row r="26" spans="1:7" ht="24" customHeight="1" x14ac:dyDescent="0.55000000000000004">
      <c r="A26" s="63" t="s">
        <v>38</v>
      </c>
      <c r="B26" s="64"/>
      <c r="C26" s="64"/>
      <c r="D26" s="64"/>
      <c r="E26" s="64"/>
      <c r="F26" s="64"/>
      <c r="G26" s="65"/>
    </row>
    <row r="27" spans="1:7" ht="18" customHeight="1" x14ac:dyDescent="0.55000000000000004">
      <c r="A27" s="2"/>
      <c r="B27" s="2" t="s">
        <v>39</v>
      </c>
      <c r="C27" s="2"/>
      <c r="D27" s="2" t="s">
        <v>40</v>
      </c>
      <c r="E27" s="2"/>
      <c r="F27" s="2" t="s">
        <v>41</v>
      </c>
      <c r="G27" s="2" t="s">
        <v>42</v>
      </c>
    </row>
    <row r="28" spans="1:7" ht="26.05" customHeight="1" x14ac:dyDescent="0.55000000000000004">
      <c r="A28" s="68" t="s">
        <v>43</v>
      </c>
      <c r="B28" s="58"/>
      <c r="C28" s="3" t="s">
        <v>44</v>
      </c>
      <c r="D28" s="73" t="s">
        <v>45</v>
      </c>
      <c r="E28" s="58"/>
      <c r="F28" s="74" t="s">
        <v>46</v>
      </c>
      <c r="G28" s="58"/>
    </row>
    <row r="29" spans="1:7" ht="26.05" customHeight="1" x14ac:dyDescent="0.55000000000000004">
      <c r="A29" s="59" t="s">
        <v>47</v>
      </c>
      <c r="B29" s="58"/>
      <c r="C29" s="5"/>
      <c r="D29" s="62" t="s">
        <v>48</v>
      </c>
      <c r="E29" s="58"/>
      <c r="F29" s="57" t="s">
        <v>49</v>
      </c>
      <c r="G29" s="58"/>
    </row>
    <row r="30" spans="1:7" ht="26.05" customHeight="1" x14ac:dyDescent="0.55000000000000004">
      <c r="A30" s="71" t="s">
        <v>50</v>
      </c>
      <c r="B30" s="58"/>
      <c r="C30" s="5"/>
      <c r="D30" s="73" t="s">
        <v>51</v>
      </c>
      <c r="E30" s="58"/>
      <c r="F30" s="74" t="s">
        <v>49</v>
      </c>
      <c r="G30" s="58"/>
    </row>
    <row r="31" spans="1:7" ht="26.05" customHeight="1" x14ac:dyDescent="0.55000000000000004">
      <c r="A31" s="66" t="s">
        <v>52</v>
      </c>
      <c r="B31" s="58"/>
      <c r="C31" s="5"/>
      <c r="D31" s="62" t="s">
        <v>53</v>
      </c>
      <c r="E31" s="58"/>
      <c r="F31" s="57" t="s">
        <v>54</v>
      </c>
      <c r="G31" s="58"/>
    </row>
    <row r="32" spans="1:7" ht="26.05" customHeight="1" x14ac:dyDescent="0.55000000000000004">
      <c r="A32" s="68" t="s">
        <v>55</v>
      </c>
      <c r="B32" s="58"/>
      <c r="C32" s="5"/>
      <c r="D32" s="73" t="s">
        <v>56</v>
      </c>
      <c r="E32" s="58"/>
      <c r="F32" s="74" t="s">
        <v>57</v>
      </c>
      <c r="G32" s="58"/>
    </row>
    <row r="33" spans="1:7" ht="26.05" customHeight="1" x14ac:dyDescent="0.55000000000000004">
      <c r="A33" s="66" t="s">
        <v>58</v>
      </c>
      <c r="B33" s="58"/>
      <c r="C33" s="3" t="s">
        <v>9</v>
      </c>
      <c r="D33" s="62" t="s">
        <v>59</v>
      </c>
      <c r="E33" s="58"/>
      <c r="F33" s="57" t="s">
        <v>60</v>
      </c>
      <c r="G33" s="58"/>
    </row>
    <row r="34" spans="1:7" ht="26.05" customHeight="1" x14ac:dyDescent="0.55000000000000004">
      <c r="A34" s="68" t="s">
        <v>61</v>
      </c>
      <c r="B34" s="58"/>
      <c r="C34" s="5"/>
      <c r="D34" s="73" t="s">
        <v>62</v>
      </c>
      <c r="E34" s="58"/>
      <c r="F34" s="74" t="s">
        <v>63</v>
      </c>
      <c r="G34" s="58"/>
    </row>
    <row r="35" spans="1:7" ht="26.05" customHeight="1" x14ac:dyDescent="0.55000000000000004">
      <c r="A35" s="59" t="s">
        <v>64</v>
      </c>
      <c r="B35" s="58"/>
      <c r="C35" s="3" t="s">
        <v>65</v>
      </c>
      <c r="D35" s="62" t="s">
        <v>66</v>
      </c>
      <c r="E35" s="58"/>
      <c r="F35" s="57" t="s">
        <v>67</v>
      </c>
      <c r="G35" s="58"/>
    </row>
    <row r="36" spans="1:7" ht="5.05" customHeight="1" x14ac:dyDescent="0.55000000000000004">
      <c r="A36" s="1"/>
      <c r="B36" s="1"/>
      <c r="C36" s="1"/>
      <c r="D36" s="1"/>
      <c r="E36" s="1"/>
      <c r="F36" s="1"/>
      <c r="G36" s="1"/>
    </row>
    <row r="37" spans="1:7" ht="24" customHeight="1" x14ac:dyDescent="0.55000000000000004">
      <c r="A37" s="63" t="s">
        <v>68</v>
      </c>
      <c r="B37" s="64"/>
      <c r="C37" s="64"/>
      <c r="D37" s="64"/>
      <c r="E37" s="64"/>
      <c r="F37" s="64"/>
      <c r="G37" s="65"/>
    </row>
    <row r="38" spans="1:7" ht="24" customHeight="1" x14ac:dyDescent="0.55000000000000004">
      <c r="A38" s="83" t="s">
        <v>69</v>
      </c>
      <c r="B38" s="61"/>
      <c r="C38" s="61"/>
      <c r="D38" s="61"/>
      <c r="E38" s="61"/>
      <c r="F38" s="61"/>
      <c r="G38" s="58"/>
    </row>
    <row r="39" spans="1:7" ht="18" customHeight="1" x14ac:dyDescent="0.55000000000000004">
      <c r="A39" s="6" t="s">
        <v>70</v>
      </c>
      <c r="B39" s="6" t="s">
        <v>71</v>
      </c>
      <c r="C39" s="6" t="s">
        <v>72</v>
      </c>
      <c r="D39" s="6" t="s">
        <v>73</v>
      </c>
      <c r="E39" s="6" t="s">
        <v>74</v>
      </c>
      <c r="F39" s="6" t="s">
        <v>75</v>
      </c>
      <c r="G39" s="6" t="s">
        <v>76</v>
      </c>
    </row>
    <row r="40" spans="1:7" ht="26.05" customHeight="1" x14ac:dyDescent="0.55000000000000004">
      <c r="A40" s="5"/>
      <c r="B40" s="7"/>
      <c r="C40" s="8"/>
      <c r="D40" s="9" t="s">
        <v>77</v>
      </c>
      <c r="E40" s="10">
        <f>IF(AND(C40&gt;0,D40="EVET ✓"),C40,0)</f>
        <v>0</v>
      </c>
      <c r="F40" s="11"/>
      <c r="G40" s="11"/>
    </row>
    <row r="41" spans="1:7" ht="26.05" customHeight="1" x14ac:dyDescent="0.55000000000000004">
      <c r="A41" s="5"/>
      <c r="B41" s="7"/>
      <c r="C41" s="8"/>
      <c r="D41" s="9" t="s">
        <v>77</v>
      </c>
      <c r="E41" s="10">
        <f>IF(AND(C41&gt;0,D41="EVET ✓"),C41,0)</f>
        <v>0</v>
      </c>
      <c r="F41" s="11"/>
      <c r="G41" s="11"/>
    </row>
    <row r="42" spans="1:7" ht="26.05" customHeight="1" x14ac:dyDescent="0.55000000000000004">
      <c r="A42" s="5"/>
      <c r="B42" s="7"/>
      <c r="C42" s="8"/>
      <c r="D42" s="9" t="s">
        <v>77</v>
      </c>
      <c r="E42" s="10">
        <f>IF(AND(C42&gt;0,D42="EVET ✓"),C42,0)</f>
        <v>0</v>
      </c>
      <c r="F42" s="11"/>
      <c r="G42" s="11"/>
    </row>
    <row r="43" spans="1:7" ht="26.05" customHeight="1" x14ac:dyDescent="0.55000000000000004">
      <c r="A43" s="5"/>
      <c r="B43" s="7"/>
      <c r="C43" s="8"/>
      <c r="D43" s="9" t="s">
        <v>77</v>
      </c>
      <c r="E43" s="10">
        <f>IF(AND(C43&gt;0,D43="EVET ✓"),C43,0)</f>
        <v>0</v>
      </c>
      <c r="F43" s="11"/>
      <c r="G43" s="11"/>
    </row>
    <row r="44" spans="1:7" ht="26.05" customHeight="1" x14ac:dyDescent="0.55000000000000004">
      <c r="A44" s="5"/>
      <c r="B44" s="7"/>
      <c r="C44" s="8"/>
      <c r="D44" s="9" t="s">
        <v>77</v>
      </c>
      <c r="E44" s="10">
        <f>IF(AND(C44&gt;0,D44="EVET ✓"),C44,0)</f>
        <v>0</v>
      </c>
      <c r="F44" s="11"/>
      <c r="G44" s="11"/>
    </row>
    <row r="45" spans="1:7" ht="30" customHeight="1" x14ac:dyDescent="0.55000000000000004">
      <c r="A45" s="75" t="s">
        <v>78</v>
      </c>
      <c r="B45" s="58"/>
      <c r="C45" s="12">
        <f>SUM(C40:C44)</f>
        <v>0</v>
      </c>
      <c r="D45" s="13" t="s">
        <v>79</v>
      </c>
      <c r="E45" s="14">
        <f>SUM(E40:E44)</f>
        <v>0</v>
      </c>
      <c r="F45" s="77" t="s">
        <v>80</v>
      </c>
      <c r="G45" s="58"/>
    </row>
    <row r="46" spans="1:7" ht="28" customHeight="1" x14ac:dyDescent="0.55000000000000004">
      <c r="A46" s="70" t="s">
        <v>81</v>
      </c>
      <c r="B46" s="64"/>
      <c r="C46" s="64"/>
      <c r="D46" s="64"/>
      <c r="E46" s="64"/>
      <c r="F46" s="64"/>
      <c r="G46" s="65"/>
    </row>
    <row r="47" spans="1:7" ht="5.05" customHeight="1" x14ac:dyDescent="0.55000000000000004">
      <c r="A47" s="1"/>
      <c r="B47" s="1"/>
      <c r="C47" s="1"/>
      <c r="D47" s="1"/>
      <c r="E47" s="1"/>
      <c r="F47" s="1"/>
      <c r="G47" s="1"/>
    </row>
    <row r="48" spans="1:7" ht="24" customHeight="1" x14ac:dyDescent="0.55000000000000004">
      <c r="A48" s="63" t="s">
        <v>82</v>
      </c>
      <c r="B48" s="64"/>
      <c r="C48" s="64"/>
      <c r="D48" s="64"/>
      <c r="E48" s="64"/>
      <c r="F48" s="64"/>
      <c r="G48" s="65"/>
    </row>
    <row r="49" spans="1:7" ht="18" customHeight="1" x14ac:dyDescent="0.55000000000000004">
      <c r="A49" s="2"/>
      <c r="B49" s="2" t="s">
        <v>83</v>
      </c>
      <c r="C49" s="2"/>
      <c r="D49" s="2" t="s">
        <v>84</v>
      </c>
      <c r="E49" s="2"/>
      <c r="F49" s="2" t="s">
        <v>41</v>
      </c>
      <c r="G49" s="2" t="s">
        <v>85</v>
      </c>
    </row>
    <row r="50" spans="1:7" ht="28" customHeight="1" x14ac:dyDescent="0.55000000000000004">
      <c r="A50" s="68" t="s">
        <v>86</v>
      </c>
      <c r="B50" s="58"/>
      <c r="C50" s="15">
        <f>C45</f>
        <v>0</v>
      </c>
      <c r="D50" s="73" t="s">
        <v>87</v>
      </c>
      <c r="E50" s="58"/>
      <c r="F50" s="85"/>
      <c r="G50" s="58"/>
    </row>
    <row r="51" spans="1:7" ht="28" customHeight="1" x14ac:dyDescent="0.55000000000000004">
      <c r="A51" s="59" t="s">
        <v>88</v>
      </c>
      <c r="B51" s="58"/>
      <c r="C51" s="15">
        <f>C45-E45</f>
        <v>0</v>
      </c>
      <c r="D51" s="62" t="s">
        <v>89</v>
      </c>
      <c r="E51" s="58"/>
      <c r="F51" s="67"/>
      <c r="G51" s="58"/>
    </row>
    <row r="52" spans="1:7" ht="28" customHeight="1" x14ac:dyDescent="0.55000000000000004">
      <c r="A52" s="80" t="s">
        <v>90</v>
      </c>
      <c r="B52" s="58"/>
      <c r="C52" s="16">
        <f>E45</f>
        <v>0</v>
      </c>
      <c r="D52" s="84" t="s">
        <v>91</v>
      </c>
      <c r="E52" s="58"/>
      <c r="F52" s="91" t="s">
        <v>92</v>
      </c>
      <c r="G52" s="58"/>
    </row>
    <row r="53" spans="1:7" ht="28" customHeight="1" x14ac:dyDescent="0.55000000000000004">
      <c r="A53" s="69" t="s">
        <v>93</v>
      </c>
      <c r="B53" s="58"/>
      <c r="C53" s="17" t="s">
        <v>94</v>
      </c>
      <c r="D53" s="78" t="s">
        <v>95</v>
      </c>
      <c r="E53" s="58"/>
      <c r="F53" s="94" t="s">
        <v>96</v>
      </c>
      <c r="G53" s="58"/>
    </row>
    <row r="54" spans="1:7" ht="5.05" customHeight="1" x14ac:dyDescent="0.55000000000000004">
      <c r="A54" s="1"/>
      <c r="B54" s="1"/>
      <c r="C54" s="1"/>
      <c r="D54" s="1"/>
      <c r="E54" s="1"/>
      <c r="F54" s="1"/>
      <c r="G54" s="1"/>
    </row>
    <row r="55" spans="1:7" ht="32.049999999999997" customHeight="1" x14ac:dyDescent="0.55000000000000004">
      <c r="A55" s="93" t="s">
        <v>97</v>
      </c>
      <c r="B55" s="61"/>
      <c r="C55" s="61"/>
      <c r="D55" s="58"/>
      <c r="E55" s="18">
        <f>C52</f>
        <v>0</v>
      </c>
      <c r="F55" s="90" t="s">
        <v>98</v>
      </c>
      <c r="G55" s="58"/>
    </row>
    <row r="56" spans="1:7" ht="44.05" customHeight="1" x14ac:dyDescent="0.55000000000000004">
      <c r="A56" s="92" t="s">
        <v>99</v>
      </c>
      <c r="B56" s="64"/>
      <c r="C56" s="64"/>
      <c r="D56" s="64"/>
      <c r="E56" s="64"/>
      <c r="F56" s="64"/>
      <c r="G56" s="65"/>
    </row>
  </sheetData>
  <mergeCells count="87">
    <mergeCell ref="A56:G56"/>
    <mergeCell ref="A55:D55"/>
    <mergeCell ref="D50:E50"/>
    <mergeCell ref="A31:B31"/>
    <mergeCell ref="F53:G53"/>
    <mergeCell ref="A2:G2"/>
    <mergeCell ref="F14:G14"/>
    <mergeCell ref="A14:D14"/>
    <mergeCell ref="F11:G11"/>
    <mergeCell ref="F55:G55"/>
    <mergeCell ref="F12:G12"/>
    <mergeCell ref="F51:G51"/>
    <mergeCell ref="C17:E17"/>
    <mergeCell ref="D32:E32"/>
    <mergeCell ref="F32:G32"/>
    <mergeCell ref="A18:B18"/>
    <mergeCell ref="F35:G35"/>
    <mergeCell ref="A50:B50"/>
    <mergeCell ref="C19:E19"/>
    <mergeCell ref="F52:G52"/>
    <mergeCell ref="A20:B20"/>
    <mergeCell ref="A6:G6"/>
    <mergeCell ref="A32:B32"/>
    <mergeCell ref="D28:E28"/>
    <mergeCell ref="A16:G16"/>
    <mergeCell ref="F22:G22"/>
    <mergeCell ref="A23:B23"/>
    <mergeCell ref="D30:E30"/>
    <mergeCell ref="A12:D12"/>
    <mergeCell ref="A29:B29"/>
    <mergeCell ref="A1:G1"/>
    <mergeCell ref="F31:G31"/>
    <mergeCell ref="F28:G28"/>
    <mergeCell ref="F9:G9"/>
    <mergeCell ref="A52:B52"/>
    <mergeCell ref="A3:G3"/>
    <mergeCell ref="D29:E29"/>
    <mergeCell ref="A34:B34"/>
    <mergeCell ref="A8:D8"/>
    <mergeCell ref="A4:G4"/>
    <mergeCell ref="A38:G38"/>
    <mergeCell ref="A10:D10"/>
    <mergeCell ref="F21:G21"/>
    <mergeCell ref="D52:E52"/>
    <mergeCell ref="F50:G50"/>
    <mergeCell ref="F8:G8"/>
    <mergeCell ref="A9:D9"/>
    <mergeCell ref="F30:G30"/>
    <mergeCell ref="F20:G20"/>
    <mergeCell ref="F18:G18"/>
    <mergeCell ref="F33:G33"/>
    <mergeCell ref="A11:D11"/>
    <mergeCell ref="F17:G17"/>
    <mergeCell ref="A21:B21"/>
    <mergeCell ref="C20:E20"/>
    <mergeCell ref="D35:E35"/>
    <mergeCell ref="A30:B30"/>
    <mergeCell ref="F10:G10"/>
    <mergeCell ref="D34:E34"/>
    <mergeCell ref="F19:G19"/>
    <mergeCell ref="C22:E22"/>
    <mergeCell ref="F34:G34"/>
    <mergeCell ref="A53:B53"/>
    <mergeCell ref="A35:B35"/>
    <mergeCell ref="A37:G37"/>
    <mergeCell ref="A46:G46"/>
    <mergeCell ref="D33:E33"/>
    <mergeCell ref="D51:E51"/>
    <mergeCell ref="A45:B45"/>
    <mergeCell ref="F45:G45"/>
    <mergeCell ref="D53:E53"/>
    <mergeCell ref="F29:G29"/>
    <mergeCell ref="A51:B51"/>
    <mergeCell ref="C21:E21"/>
    <mergeCell ref="D31:E31"/>
    <mergeCell ref="A13:D13"/>
    <mergeCell ref="C23:E23"/>
    <mergeCell ref="A48:G48"/>
    <mergeCell ref="A33:B33"/>
    <mergeCell ref="F23:G23"/>
    <mergeCell ref="C18:E18"/>
    <mergeCell ref="F13:G13"/>
    <mergeCell ref="A17:B17"/>
    <mergeCell ref="A22:B22"/>
    <mergeCell ref="A19:B19"/>
    <mergeCell ref="A28:B28"/>
    <mergeCell ref="A26:G26"/>
  </mergeCells>
  <conditionalFormatting sqref="E14">
    <cfRule type="containsText" dxfId="3" priority="1" operator="containsText" text="OK">
      <formula>NOT(ISERROR(SEARCH("OK",E14)))</formula>
    </cfRule>
    <cfRule type="containsText" dxfId="2" priority="2" operator="containsText" text="HATA">
      <formula>NOT(ISERROR(SEARCH("HATA",E14)))</formula>
    </cfRule>
  </conditionalFormatting>
  <dataValidations count="10">
    <dataValidation type="list" sqref="E8" xr:uid="{00000000-0002-0000-0000-000000000000}">
      <formula1>"EVET,HAYIR-Destek Alınmadı"</formula1>
    </dataValidation>
    <dataValidation type="list" sqref="E9" xr:uid="{00000000-0002-0000-0000-000001000000}">
      <formula1>"EVET,HAYIR-Taahhüt Aşamasında,KISMEN"</formula1>
    </dataValidation>
    <dataValidation type="list" sqref="E10" xr:uid="{00000000-0002-0000-0000-000002000000}">
      <formula1>"EVET,HAYIR-Gelir Kaydedilmedi"</formula1>
    </dataValidation>
    <dataValidation type="list" sqref="E11" xr:uid="{00000000-0002-0000-0000-000003000000}">
      <formula1>"EVET,HAYIR-Belge Eksik"</formula1>
    </dataValidation>
    <dataValidation type="list" sqref="E12" xr:uid="{00000000-0002-0000-0000-000004000000}">
      <formula1>"EVET,HAYIR-Eksik"</formula1>
    </dataValidation>
    <dataValidation type="list" sqref="E13" xr:uid="{00000000-0002-0000-0000-000005000000}">
      <formula1>"EVET,Tam Tasdik"</formula1>
    </dataValidation>
    <dataValidation type="list" sqref="C28 A40:A44" xr:uid="{00000000-0002-0000-0000-000006000000}">
      <formula1>"Bireysel Girişimci Desteği (Hibe),Kuluçka Merkezi Desteği,AR-GE Proje Desteği,Sanayi Doktora Programı Desteği,Diğer 5746 Md.3/5 Desteği"</formula1>
    </dataValidation>
    <dataValidation type="list" sqref="C33" xr:uid="{00000000-0002-0000-0000-000007000000}">
      <formula1>"EVET,HAYIR-Eksik Kayıt"</formula1>
    </dataValidation>
    <dataValidation type="list" sqref="C35" xr:uid="{00000000-0002-0000-0000-000008000000}">
      <formula1>"Uygun Kullanım ✓,Kısmen Uygun,Henüz Harcanmadı"</formula1>
    </dataValidation>
    <dataValidation type="list" sqref="D40:D44" xr:uid="{00000000-0002-0000-0000-00000A000000}">
      <formula1>"EVET ✓,HAYIR ✗ — Kayıt Eksik"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"/>
  <sheetViews>
    <sheetView workbookViewId="0"/>
  </sheetViews>
  <sheetFormatPr defaultRowHeight="14.4" x14ac:dyDescent="0.55000000000000004"/>
  <cols>
    <col min="1" max="1" width="4" customWidth="1"/>
    <col min="2" max="2" width="40" customWidth="1"/>
    <col min="3" max="4" width="15" customWidth="1"/>
    <col min="5" max="5" width="14" customWidth="1"/>
    <col min="6" max="6" width="12" customWidth="1"/>
    <col min="7" max="7" width="20" customWidth="1"/>
  </cols>
  <sheetData>
    <row r="1" spans="1:7" ht="36" customHeight="1" x14ac:dyDescent="0.55000000000000004">
      <c r="A1" s="104" t="s">
        <v>100</v>
      </c>
      <c r="B1" s="64"/>
      <c r="C1" s="64"/>
      <c r="D1" s="64"/>
      <c r="E1" s="64"/>
      <c r="F1" s="64"/>
      <c r="G1" s="65"/>
    </row>
    <row r="2" spans="1:7" ht="20.05" customHeight="1" x14ac:dyDescent="0.55000000000000004">
      <c r="A2" s="108" t="s">
        <v>101</v>
      </c>
      <c r="B2" s="61"/>
      <c r="C2" s="61"/>
      <c r="D2" s="61"/>
      <c r="E2" s="61"/>
      <c r="F2" s="61"/>
      <c r="G2" s="58"/>
    </row>
    <row r="3" spans="1:7" ht="5.05" customHeight="1" x14ac:dyDescent="0.55000000000000004">
      <c r="A3" s="1"/>
      <c r="B3" s="1"/>
      <c r="C3" s="1"/>
      <c r="D3" s="1"/>
      <c r="E3" s="1"/>
      <c r="F3" s="1"/>
      <c r="G3" s="1"/>
    </row>
    <row r="4" spans="1:7" ht="22" customHeight="1" x14ac:dyDescent="0.55000000000000004">
      <c r="A4" s="97" t="s">
        <v>102</v>
      </c>
      <c r="B4" s="64"/>
      <c r="C4" s="64"/>
      <c r="D4" s="64"/>
      <c r="E4" s="64"/>
      <c r="F4" s="64"/>
      <c r="G4" s="65"/>
    </row>
    <row r="5" spans="1:7" ht="22" customHeight="1" x14ac:dyDescent="0.55000000000000004">
      <c r="A5" s="101" t="s">
        <v>103</v>
      </c>
      <c r="B5" s="61"/>
      <c r="C5" s="58"/>
      <c r="D5" s="19" t="str">
        <f>'VERİ GİRİŞİ'!E14</f>
        <v>OK - Hesaplanabilir</v>
      </c>
      <c r="E5" s="67" t="s">
        <v>104</v>
      </c>
      <c r="F5" s="61"/>
      <c r="G5" s="58"/>
    </row>
    <row r="6" spans="1:7" ht="22" customHeight="1" x14ac:dyDescent="0.55000000000000004">
      <c r="A6" s="106" t="s">
        <v>105</v>
      </c>
      <c r="B6" s="61"/>
      <c r="C6" s="58"/>
      <c r="D6" s="19" t="str">
        <f>'VERİ GİRİŞİ'!C28</f>
        <v>Bireysel Girişimci Desteği (Hibe)</v>
      </c>
      <c r="E6" s="85" t="s">
        <v>106</v>
      </c>
      <c r="F6" s="61"/>
      <c r="G6" s="58"/>
    </row>
    <row r="7" spans="1:7" ht="22" customHeight="1" x14ac:dyDescent="0.55000000000000004">
      <c r="A7" s="101" t="s">
        <v>107</v>
      </c>
      <c r="B7" s="61"/>
      <c r="C7" s="58"/>
      <c r="D7" s="19">
        <f>'VERİ GİRİŞİ'!C50</f>
        <v>0</v>
      </c>
      <c r="E7" s="67" t="s">
        <v>108</v>
      </c>
      <c r="F7" s="61"/>
      <c r="G7" s="58"/>
    </row>
    <row r="8" spans="1:7" ht="22" customHeight="1" x14ac:dyDescent="0.55000000000000004">
      <c r="A8" s="89" t="s">
        <v>109</v>
      </c>
      <c r="B8" s="61"/>
      <c r="C8" s="58"/>
      <c r="D8" s="20">
        <f>'VERİ GİRİŞİ'!C52</f>
        <v>0</v>
      </c>
      <c r="E8" s="91"/>
      <c r="F8" s="61"/>
      <c r="G8" s="58"/>
    </row>
    <row r="9" spans="1:7" ht="22" customHeight="1" x14ac:dyDescent="0.55000000000000004">
      <c r="A9" s="105" t="s">
        <v>110</v>
      </c>
      <c r="B9" s="61"/>
      <c r="C9" s="58"/>
      <c r="D9" s="17" t="s">
        <v>111</v>
      </c>
      <c r="E9" s="94" t="s">
        <v>112</v>
      </c>
      <c r="F9" s="61"/>
      <c r="G9" s="58"/>
    </row>
    <row r="10" spans="1:7" ht="5.05" customHeight="1" x14ac:dyDescent="0.55000000000000004">
      <c r="A10" s="1"/>
      <c r="B10" s="1"/>
      <c r="C10" s="1"/>
      <c r="D10" s="1"/>
      <c r="E10" s="1"/>
      <c r="F10" s="1"/>
      <c r="G10" s="1"/>
    </row>
    <row r="11" spans="1:7" ht="22" customHeight="1" x14ac:dyDescent="0.55000000000000004">
      <c r="A11" s="63" t="s">
        <v>113</v>
      </c>
      <c r="B11" s="64"/>
      <c r="C11" s="64"/>
      <c r="D11" s="64"/>
      <c r="E11" s="64"/>
      <c r="F11" s="64"/>
      <c r="G11" s="65"/>
    </row>
    <row r="12" spans="1:7" ht="72" customHeight="1" x14ac:dyDescent="0.55000000000000004">
      <c r="A12" s="107" t="s">
        <v>114</v>
      </c>
      <c r="B12" s="64"/>
      <c r="C12" s="64"/>
      <c r="D12" s="64"/>
      <c r="E12" s="64"/>
      <c r="F12" s="64"/>
      <c r="G12" s="65"/>
    </row>
    <row r="13" spans="1:7" ht="5.05" customHeight="1" x14ac:dyDescent="0.55000000000000004">
      <c r="A13" s="1"/>
      <c r="B13" s="1"/>
      <c r="C13" s="1"/>
      <c r="D13" s="1"/>
      <c r="E13" s="1"/>
      <c r="F13" s="1"/>
      <c r="G13" s="1"/>
    </row>
    <row r="14" spans="1:7" ht="22" customHeight="1" x14ac:dyDescent="0.55000000000000004">
      <c r="A14" s="63" t="s">
        <v>115</v>
      </c>
      <c r="B14" s="64"/>
      <c r="C14" s="64"/>
      <c r="D14" s="64"/>
      <c r="E14" s="64"/>
      <c r="F14" s="64"/>
      <c r="G14" s="65"/>
    </row>
    <row r="15" spans="1:7" ht="60" customHeight="1" x14ac:dyDescent="0.55000000000000004">
      <c r="A15" s="103" t="s">
        <v>116</v>
      </c>
      <c r="B15" s="64"/>
      <c r="C15" s="64"/>
      <c r="D15" s="64"/>
      <c r="E15" s="64"/>
      <c r="F15" s="64"/>
      <c r="G15" s="65"/>
    </row>
    <row r="16" spans="1:7" ht="5.05" customHeight="1" x14ac:dyDescent="0.55000000000000004">
      <c r="A16" s="1"/>
      <c r="B16" s="1"/>
      <c r="C16" s="1"/>
      <c r="D16" s="1"/>
      <c r="E16" s="1"/>
      <c r="F16" s="1"/>
      <c r="G16" s="1"/>
    </row>
    <row r="17" spans="1:7" ht="22" customHeight="1" x14ac:dyDescent="0.55000000000000004">
      <c r="A17" s="63" t="s">
        <v>117</v>
      </c>
      <c r="B17" s="64"/>
      <c r="C17" s="64"/>
      <c r="D17" s="64"/>
      <c r="E17" s="64"/>
      <c r="F17" s="64"/>
      <c r="G17" s="65"/>
    </row>
    <row r="18" spans="1:7" ht="18" customHeight="1" x14ac:dyDescent="0.55000000000000004">
      <c r="A18" s="2"/>
      <c r="B18" s="2" t="s">
        <v>118</v>
      </c>
      <c r="C18" s="2"/>
      <c r="D18" s="2" t="s">
        <v>41</v>
      </c>
      <c r="E18" s="2"/>
      <c r="F18" s="2" t="s">
        <v>119</v>
      </c>
      <c r="G18" s="2"/>
    </row>
    <row r="19" spans="1:7" ht="20.05" customHeight="1" x14ac:dyDescent="0.55000000000000004">
      <c r="A19" s="21" t="s">
        <v>120</v>
      </c>
      <c r="B19" s="100" t="s">
        <v>121</v>
      </c>
      <c r="C19" s="58"/>
      <c r="D19" s="95" t="s">
        <v>122</v>
      </c>
      <c r="E19" s="58"/>
      <c r="F19" s="24" t="s">
        <v>123</v>
      </c>
      <c r="G19" s="25"/>
    </row>
    <row r="20" spans="1:7" ht="20.05" customHeight="1" x14ac:dyDescent="0.55000000000000004">
      <c r="A20" s="21" t="s">
        <v>124</v>
      </c>
      <c r="B20" s="100" t="s">
        <v>125</v>
      </c>
      <c r="C20" s="58"/>
      <c r="D20" s="95" t="s">
        <v>126</v>
      </c>
      <c r="E20" s="58"/>
      <c r="F20" s="24" t="s">
        <v>123</v>
      </c>
      <c r="G20" s="26"/>
    </row>
    <row r="21" spans="1:7" ht="20.05" customHeight="1" x14ac:dyDescent="0.55000000000000004">
      <c r="A21" s="21" t="s">
        <v>127</v>
      </c>
      <c r="B21" s="100" t="s">
        <v>128</v>
      </c>
      <c r="C21" s="58"/>
      <c r="D21" s="95" t="s">
        <v>129</v>
      </c>
      <c r="E21" s="58"/>
      <c r="F21" s="24" t="s">
        <v>123</v>
      </c>
      <c r="G21" s="25"/>
    </row>
    <row r="22" spans="1:7" ht="20.05" customHeight="1" x14ac:dyDescent="0.55000000000000004">
      <c r="A22" s="21" t="s">
        <v>130</v>
      </c>
      <c r="B22" s="98" t="s">
        <v>131</v>
      </c>
      <c r="C22" s="58"/>
      <c r="D22" s="99" t="s">
        <v>132</v>
      </c>
      <c r="E22" s="58"/>
      <c r="F22" s="24" t="s">
        <v>123</v>
      </c>
      <c r="G22" s="26"/>
    </row>
    <row r="23" spans="1:7" ht="20.05" customHeight="1" x14ac:dyDescent="0.55000000000000004">
      <c r="A23" s="21" t="s">
        <v>133</v>
      </c>
      <c r="B23" s="96" t="s">
        <v>134</v>
      </c>
      <c r="C23" s="58"/>
      <c r="D23" s="102" t="s">
        <v>135</v>
      </c>
      <c r="E23" s="58"/>
      <c r="F23" s="24" t="s">
        <v>123</v>
      </c>
      <c r="G23" s="25"/>
    </row>
    <row r="24" spans="1:7" ht="20.05" customHeight="1" x14ac:dyDescent="0.55000000000000004">
      <c r="A24" s="21" t="s">
        <v>136</v>
      </c>
      <c r="B24" s="98" t="s">
        <v>137</v>
      </c>
      <c r="C24" s="58"/>
      <c r="D24" s="99" t="s">
        <v>138</v>
      </c>
      <c r="E24" s="58"/>
      <c r="F24" s="24" t="s">
        <v>123</v>
      </c>
      <c r="G24" s="26"/>
    </row>
    <row r="25" spans="1:7" ht="20.05" customHeight="1" x14ac:dyDescent="0.55000000000000004">
      <c r="A25" s="21" t="s">
        <v>139</v>
      </c>
      <c r="B25" s="96" t="s">
        <v>140</v>
      </c>
      <c r="C25" s="58"/>
      <c r="D25" s="102" t="s">
        <v>141</v>
      </c>
      <c r="E25" s="58"/>
      <c r="F25" s="24" t="s">
        <v>123</v>
      </c>
      <c r="G25" s="25"/>
    </row>
    <row r="26" spans="1:7" ht="20.05" customHeight="1" x14ac:dyDescent="0.55000000000000004">
      <c r="A26" s="21" t="s">
        <v>142</v>
      </c>
      <c r="B26" s="98" t="s">
        <v>143</v>
      </c>
      <c r="C26" s="58"/>
      <c r="D26" s="99" t="s">
        <v>144</v>
      </c>
      <c r="E26" s="58"/>
      <c r="F26" s="24" t="s">
        <v>123</v>
      </c>
      <c r="G26" s="26"/>
    </row>
    <row r="27" spans="1:7" ht="20.05" customHeight="1" x14ac:dyDescent="0.55000000000000004">
      <c r="A27" s="21" t="s">
        <v>145</v>
      </c>
      <c r="B27" s="96" t="s">
        <v>146</v>
      </c>
      <c r="C27" s="58"/>
      <c r="D27" s="102" t="s">
        <v>147</v>
      </c>
      <c r="E27" s="58"/>
      <c r="F27" s="24" t="s">
        <v>123</v>
      </c>
      <c r="G27" s="25"/>
    </row>
    <row r="28" spans="1:7" ht="20.05" customHeight="1" x14ac:dyDescent="0.55000000000000004">
      <c r="A28" s="21" t="s">
        <v>148</v>
      </c>
      <c r="B28" s="98" t="s">
        <v>149</v>
      </c>
      <c r="C28" s="58"/>
      <c r="D28" s="99" t="s">
        <v>150</v>
      </c>
      <c r="E28" s="58"/>
      <c r="F28" s="24" t="s">
        <v>123</v>
      </c>
      <c r="G28" s="26"/>
    </row>
    <row r="29" spans="1:7" ht="20.05" customHeight="1" x14ac:dyDescent="0.55000000000000004">
      <c r="A29" s="21" t="s">
        <v>151</v>
      </c>
      <c r="B29" s="96" t="s">
        <v>152</v>
      </c>
      <c r="C29" s="58"/>
      <c r="D29" s="102" t="s">
        <v>153</v>
      </c>
      <c r="E29" s="58"/>
      <c r="F29" s="24" t="s">
        <v>123</v>
      </c>
      <c r="G29" s="25"/>
    </row>
    <row r="30" spans="1:7" ht="20.05" customHeight="1" x14ac:dyDescent="0.55000000000000004">
      <c r="A30" s="21" t="s">
        <v>154</v>
      </c>
      <c r="B30" s="98" t="s">
        <v>155</v>
      </c>
      <c r="C30" s="58"/>
      <c r="D30" s="99" t="s">
        <v>20</v>
      </c>
      <c r="E30" s="58"/>
      <c r="F30" s="24" t="s">
        <v>123</v>
      </c>
      <c r="G30" s="26"/>
    </row>
  </sheetData>
  <mergeCells count="42">
    <mergeCell ref="B30:C30"/>
    <mergeCell ref="D24:E24"/>
    <mergeCell ref="D30:E30"/>
    <mergeCell ref="E5:G5"/>
    <mergeCell ref="B20:C20"/>
    <mergeCell ref="D29:E29"/>
    <mergeCell ref="A6:C6"/>
    <mergeCell ref="E8:G8"/>
    <mergeCell ref="A12:G12"/>
    <mergeCell ref="D23:E23"/>
    <mergeCell ref="B26:C26"/>
    <mergeCell ref="A7:C7"/>
    <mergeCell ref="D26:E26"/>
    <mergeCell ref="A1:G1"/>
    <mergeCell ref="B29:C29"/>
    <mergeCell ref="B19:C19"/>
    <mergeCell ref="B28:C28"/>
    <mergeCell ref="A9:C9"/>
    <mergeCell ref="D28:E28"/>
    <mergeCell ref="D25:E25"/>
    <mergeCell ref="B24:C24"/>
    <mergeCell ref="A2:G2"/>
    <mergeCell ref="A4:G4"/>
    <mergeCell ref="B22:C22"/>
    <mergeCell ref="E9:G9"/>
    <mergeCell ref="D22:E22"/>
    <mergeCell ref="B27:C27"/>
    <mergeCell ref="E6:G6"/>
    <mergeCell ref="D21:E21"/>
    <mergeCell ref="B21:C21"/>
    <mergeCell ref="A5:C5"/>
    <mergeCell ref="A8:C8"/>
    <mergeCell ref="D27:E27"/>
    <mergeCell ref="B23:C23"/>
    <mergeCell ref="A15:G15"/>
    <mergeCell ref="A11:G11"/>
    <mergeCell ref="E7:G7"/>
    <mergeCell ref="D20:E20"/>
    <mergeCell ref="A14:G14"/>
    <mergeCell ref="A17:G17"/>
    <mergeCell ref="B25:C25"/>
    <mergeCell ref="D19:E19"/>
  </mergeCells>
  <conditionalFormatting sqref="D5">
    <cfRule type="containsText" dxfId="1" priority="1" operator="containsText" text="OK">
      <formula>NOT(ISERROR(SEARCH("OK",D5)))</formula>
    </cfRule>
    <cfRule type="containsText" dxfId="0" priority="2" operator="containsText" text="HATA">
      <formula>NOT(ISERROR(SEARCH("HATA",D5)))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workbookViewId="0"/>
  </sheetViews>
  <sheetFormatPr defaultRowHeight="14.4" x14ac:dyDescent="0.55000000000000004"/>
  <cols>
    <col min="1" max="1" width="4" customWidth="1"/>
    <col min="2" max="2" width="10" customWidth="1"/>
    <col min="3" max="3" width="28" customWidth="1"/>
    <col min="4" max="4" width="22" customWidth="1"/>
    <col min="5" max="6" width="14" customWidth="1"/>
    <col min="7" max="7" width="20" customWidth="1"/>
  </cols>
  <sheetData>
    <row r="1" spans="1:7" ht="32.049999999999997" customHeight="1" x14ac:dyDescent="0.55000000000000004">
      <c r="A1" s="63" t="s">
        <v>156</v>
      </c>
      <c r="B1" s="64"/>
      <c r="C1" s="64"/>
      <c r="D1" s="64"/>
      <c r="E1" s="64"/>
      <c r="F1" s="64"/>
      <c r="G1" s="65"/>
    </row>
    <row r="2" spans="1:7" ht="24" customHeight="1" x14ac:dyDescent="0.55000000000000004">
      <c r="A2" s="63" t="s">
        <v>157</v>
      </c>
      <c r="B2" s="64"/>
      <c r="C2" s="64"/>
      <c r="D2" s="64"/>
      <c r="E2" s="64"/>
      <c r="F2" s="64"/>
      <c r="G2" s="65"/>
    </row>
    <row r="3" spans="1:7" ht="18" customHeight="1" x14ac:dyDescent="0.55000000000000004">
      <c r="A3" s="29"/>
      <c r="B3" s="29" t="s">
        <v>158</v>
      </c>
      <c r="C3" s="29" t="s">
        <v>159</v>
      </c>
      <c r="D3" s="29" t="s">
        <v>85</v>
      </c>
      <c r="E3" s="29" t="s">
        <v>160</v>
      </c>
      <c r="F3" s="29" t="s">
        <v>161</v>
      </c>
      <c r="G3" s="29" t="s">
        <v>162</v>
      </c>
    </row>
    <row r="4" spans="1:7" ht="24" customHeight="1" x14ac:dyDescent="0.55000000000000004">
      <c r="A4" s="30" t="s">
        <v>160</v>
      </c>
      <c r="B4" s="30" t="s">
        <v>163</v>
      </c>
      <c r="C4" s="30" t="s">
        <v>164</v>
      </c>
      <c r="D4" s="30" t="s">
        <v>165</v>
      </c>
      <c r="E4" s="30" t="s">
        <v>166</v>
      </c>
      <c r="F4" s="30" t="s">
        <v>79</v>
      </c>
      <c r="G4" s="30" t="s">
        <v>167</v>
      </c>
    </row>
    <row r="5" spans="1:7" ht="24" customHeight="1" x14ac:dyDescent="0.55000000000000004">
      <c r="A5" s="31" t="s">
        <v>161</v>
      </c>
      <c r="B5" s="31" t="s">
        <v>163</v>
      </c>
      <c r="C5" s="31" t="s">
        <v>168</v>
      </c>
      <c r="D5" s="31" t="s">
        <v>169</v>
      </c>
      <c r="E5" s="31" t="s">
        <v>79</v>
      </c>
      <c r="F5" s="31" t="s">
        <v>166</v>
      </c>
      <c r="G5" s="31" t="s">
        <v>170</v>
      </c>
    </row>
    <row r="6" spans="1:7" ht="24" customHeight="1" x14ac:dyDescent="0.55000000000000004">
      <c r="A6" s="63" t="s">
        <v>171</v>
      </c>
      <c r="B6" s="64"/>
      <c r="C6" s="64"/>
      <c r="D6" s="64"/>
      <c r="E6" s="64"/>
      <c r="F6" s="64"/>
      <c r="G6" s="65"/>
    </row>
    <row r="7" spans="1:7" ht="22" customHeight="1" x14ac:dyDescent="0.55000000000000004">
      <c r="A7" s="30" t="s">
        <v>160</v>
      </c>
      <c r="B7" s="30" t="s">
        <v>172</v>
      </c>
      <c r="C7" s="30" t="s">
        <v>173</v>
      </c>
      <c r="D7" s="30" t="s">
        <v>174</v>
      </c>
      <c r="E7" s="30" t="s">
        <v>166</v>
      </c>
      <c r="F7" s="30" t="s">
        <v>79</v>
      </c>
      <c r="G7" s="30" t="s">
        <v>175</v>
      </c>
    </row>
    <row r="8" spans="1:7" ht="22" customHeight="1" x14ac:dyDescent="0.55000000000000004">
      <c r="A8" s="31" t="s">
        <v>161</v>
      </c>
      <c r="B8" s="31" t="s">
        <v>172</v>
      </c>
      <c r="C8" s="31" t="s">
        <v>176</v>
      </c>
      <c r="D8" s="31" t="s">
        <v>177</v>
      </c>
      <c r="E8" s="31" t="s">
        <v>79</v>
      </c>
      <c r="F8" s="31" t="s">
        <v>166</v>
      </c>
      <c r="G8" s="31" t="s">
        <v>175</v>
      </c>
    </row>
    <row r="9" spans="1:7" ht="48" customHeight="1" x14ac:dyDescent="0.55000000000000004">
      <c r="A9" s="109" t="s">
        <v>178</v>
      </c>
      <c r="B9" s="64"/>
      <c r="C9" s="64"/>
      <c r="D9" s="64"/>
      <c r="E9" s="64"/>
      <c r="F9" s="64"/>
      <c r="G9" s="65"/>
    </row>
  </sheetData>
  <mergeCells count="4">
    <mergeCell ref="A6:G6"/>
    <mergeCell ref="A2:G2"/>
    <mergeCell ref="A1:G1"/>
    <mergeCell ref="A9:G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orkbookViewId="0"/>
  </sheetViews>
  <sheetFormatPr defaultRowHeight="14.4" x14ac:dyDescent="0.55000000000000004"/>
  <cols>
    <col min="1" max="1" width="4" customWidth="1"/>
    <col min="2" max="2" width="24" customWidth="1"/>
    <col min="3" max="3" width="50" customWidth="1"/>
    <col min="4" max="4" width="22" customWidth="1"/>
  </cols>
  <sheetData>
    <row r="1" spans="1:7" ht="32.049999999999997" customHeight="1" x14ac:dyDescent="0.55000000000000004">
      <c r="A1" s="63" t="s">
        <v>179</v>
      </c>
      <c r="B1" s="64"/>
      <c r="C1" s="64"/>
      <c r="D1" s="64"/>
      <c r="E1" s="64"/>
      <c r="F1" s="64"/>
      <c r="G1" s="65"/>
    </row>
    <row r="2" spans="1:7" ht="20.05" customHeight="1" x14ac:dyDescent="0.55000000000000004">
      <c r="A2" s="87" t="s">
        <v>180</v>
      </c>
      <c r="B2" s="64"/>
      <c r="C2" s="64"/>
      <c r="D2" s="64"/>
      <c r="E2" s="64"/>
      <c r="F2" s="64"/>
      <c r="G2" s="65"/>
    </row>
    <row r="3" spans="1:7" ht="18" customHeight="1" x14ac:dyDescent="0.55000000000000004">
      <c r="A3" s="29" t="s">
        <v>181</v>
      </c>
      <c r="B3" s="29" t="s">
        <v>182</v>
      </c>
      <c r="C3" s="29" t="s">
        <v>183</v>
      </c>
      <c r="D3" s="29" t="s">
        <v>184</v>
      </c>
    </row>
    <row r="4" spans="1:7" ht="72" customHeight="1" x14ac:dyDescent="0.55000000000000004">
      <c r="A4" s="21" t="s">
        <v>185</v>
      </c>
      <c r="B4" s="27" t="s">
        <v>186</v>
      </c>
      <c r="C4" s="32" t="s">
        <v>187</v>
      </c>
      <c r="D4" s="33" t="s">
        <v>188</v>
      </c>
    </row>
    <row r="5" spans="1:7" ht="56.05" customHeight="1" x14ac:dyDescent="0.55000000000000004">
      <c r="A5" s="34" t="s">
        <v>189</v>
      </c>
      <c r="B5" s="22" t="s">
        <v>190</v>
      </c>
      <c r="C5" s="23" t="s">
        <v>191</v>
      </c>
      <c r="D5" s="35" t="s">
        <v>192</v>
      </c>
    </row>
    <row r="6" spans="1:7" ht="52" customHeight="1" x14ac:dyDescent="0.55000000000000004">
      <c r="A6" s="21" t="s">
        <v>193</v>
      </c>
      <c r="B6" s="27" t="s">
        <v>194</v>
      </c>
      <c r="C6" s="32" t="s">
        <v>195</v>
      </c>
      <c r="D6" s="33" t="s">
        <v>196</v>
      </c>
    </row>
    <row r="7" spans="1:7" ht="52" customHeight="1" x14ac:dyDescent="0.55000000000000004">
      <c r="A7" s="21" t="s">
        <v>197</v>
      </c>
      <c r="B7" s="27" t="s">
        <v>198</v>
      </c>
      <c r="C7" s="32" t="s">
        <v>199</v>
      </c>
      <c r="D7" s="33" t="s">
        <v>200</v>
      </c>
    </row>
    <row r="8" spans="1:7" ht="68.05" customHeight="1" x14ac:dyDescent="0.55000000000000004">
      <c r="A8" s="21" t="s">
        <v>201</v>
      </c>
      <c r="B8" s="28" t="s">
        <v>202</v>
      </c>
      <c r="C8" s="32" t="s">
        <v>203</v>
      </c>
      <c r="D8" s="36" t="s">
        <v>204</v>
      </c>
    </row>
    <row r="9" spans="1:7" ht="40" customHeight="1" x14ac:dyDescent="0.55000000000000004">
      <c r="A9" s="110" t="s">
        <v>205</v>
      </c>
      <c r="B9" s="64"/>
      <c r="C9" s="64"/>
      <c r="D9" s="65"/>
    </row>
  </sheetData>
  <mergeCells count="3">
    <mergeCell ref="A9:D9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4"/>
  <sheetViews>
    <sheetView workbookViewId="0"/>
  </sheetViews>
  <sheetFormatPr defaultRowHeight="14.4" x14ac:dyDescent="0.55000000000000004"/>
  <cols>
    <col min="1" max="1" width="3" customWidth="1"/>
    <col min="2" max="2" width="8" customWidth="1"/>
    <col min="3" max="3" width="40" customWidth="1"/>
    <col min="4" max="4" width="34" customWidth="1"/>
    <col min="5" max="5" width="22" customWidth="1"/>
    <col min="6" max="6" width="3" customWidth="1"/>
  </cols>
  <sheetData>
    <row r="1" spans="1:7" ht="34" customHeight="1" x14ac:dyDescent="0.55000000000000004">
      <c r="A1" s="63" t="s">
        <v>206</v>
      </c>
      <c r="B1" s="64"/>
      <c r="C1" s="64"/>
      <c r="D1" s="64"/>
      <c r="E1" s="64"/>
      <c r="F1" s="64"/>
      <c r="G1" s="65"/>
    </row>
    <row r="2" spans="1:7" ht="20.05" customHeight="1" x14ac:dyDescent="0.55000000000000004">
      <c r="A2" s="87" t="s">
        <v>207</v>
      </c>
      <c r="B2" s="64"/>
      <c r="C2" s="64"/>
      <c r="D2" s="64"/>
      <c r="E2" s="64"/>
      <c r="F2" s="64"/>
      <c r="G2" s="65"/>
    </row>
    <row r="3" spans="1:7" ht="5.05" customHeight="1" x14ac:dyDescent="0.55000000000000004">
      <c r="A3" s="1"/>
      <c r="B3" s="1"/>
      <c r="C3" s="1"/>
      <c r="D3" s="1"/>
      <c r="E3" s="1"/>
      <c r="F3" s="1"/>
      <c r="G3" s="1"/>
    </row>
    <row r="4" spans="1:7" ht="22" customHeight="1" x14ac:dyDescent="0.55000000000000004">
      <c r="A4" s="112" t="s">
        <v>208</v>
      </c>
      <c r="B4" s="64"/>
      <c r="C4" s="64"/>
      <c r="D4" s="64"/>
      <c r="E4" s="64"/>
      <c r="F4" s="64"/>
      <c r="G4" s="65"/>
    </row>
    <row r="5" spans="1:7" ht="18" customHeight="1" x14ac:dyDescent="0.55000000000000004">
      <c r="A5" s="29"/>
      <c r="B5" s="29" t="s">
        <v>209</v>
      </c>
      <c r="C5" s="29" t="s">
        <v>210</v>
      </c>
      <c r="D5" s="29" t="s">
        <v>41</v>
      </c>
      <c r="E5" s="29" t="s">
        <v>211</v>
      </c>
      <c r="F5" s="29"/>
    </row>
    <row r="6" spans="1:7" ht="38.049999999999997" customHeight="1" x14ac:dyDescent="0.55000000000000004">
      <c r="A6" s="37"/>
      <c r="B6" s="38" t="s">
        <v>212</v>
      </c>
      <c r="C6" s="39" t="s">
        <v>213</v>
      </c>
      <c r="D6" s="40" t="s">
        <v>214</v>
      </c>
      <c r="E6" s="41" t="s">
        <v>215</v>
      </c>
      <c r="F6" s="37"/>
    </row>
    <row r="7" spans="1:7" ht="38.049999999999997" customHeight="1" x14ac:dyDescent="0.55000000000000004">
      <c r="A7" s="25"/>
      <c r="B7" s="42" t="s">
        <v>216</v>
      </c>
      <c r="C7" s="43" t="s">
        <v>217</v>
      </c>
      <c r="D7" s="40" t="s">
        <v>218</v>
      </c>
      <c r="E7" s="44" t="s">
        <v>219</v>
      </c>
      <c r="F7" s="25"/>
    </row>
    <row r="8" spans="1:7" ht="38.049999999999997" customHeight="1" x14ac:dyDescent="0.55000000000000004">
      <c r="A8" s="37"/>
      <c r="B8" s="38" t="s">
        <v>220</v>
      </c>
      <c r="C8" s="39" t="s">
        <v>221</v>
      </c>
      <c r="D8" s="40" t="s">
        <v>222</v>
      </c>
      <c r="E8" s="41" t="s">
        <v>223</v>
      </c>
      <c r="F8" s="37"/>
    </row>
    <row r="9" spans="1:7" ht="38.049999999999997" customHeight="1" x14ac:dyDescent="0.55000000000000004">
      <c r="A9" s="25"/>
      <c r="B9" s="42" t="s">
        <v>224</v>
      </c>
      <c r="C9" s="28" t="s">
        <v>225</v>
      </c>
      <c r="D9" s="40" t="s">
        <v>226</v>
      </c>
      <c r="E9" s="44" t="s">
        <v>227</v>
      </c>
      <c r="F9" s="25"/>
    </row>
    <row r="10" spans="1:7" ht="38.049999999999997" customHeight="1" x14ac:dyDescent="0.55000000000000004">
      <c r="A10" s="37"/>
      <c r="B10" s="38" t="s">
        <v>228</v>
      </c>
      <c r="C10" s="45" t="s">
        <v>229</v>
      </c>
      <c r="D10" s="40" t="s">
        <v>230</v>
      </c>
      <c r="E10" s="41" t="s">
        <v>231</v>
      </c>
      <c r="F10" s="37"/>
    </row>
    <row r="11" spans="1:7" ht="5.05" customHeight="1" x14ac:dyDescent="0.55000000000000004">
      <c r="A11" s="1"/>
      <c r="B11" s="1"/>
      <c r="C11" s="1"/>
      <c r="D11" s="1"/>
      <c r="E11" s="1"/>
      <c r="F11" s="1"/>
      <c r="G11" s="1"/>
    </row>
    <row r="12" spans="1:7" ht="22" customHeight="1" x14ac:dyDescent="0.55000000000000004">
      <c r="A12" s="111" t="s">
        <v>232</v>
      </c>
      <c r="B12" s="64"/>
      <c r="C12" s="64"/>
      <c r="D12" s="64"/>
      <c r="E12" s="64"/>
      <c r="F12" s="64"/>
      <c r="G12" s="65"/>
    </row>
    <row r="13" spans="1:7" ht="18" customHeight="1" x14ac:dyDescent="0.55000000000000004">
      <c r="A13" s="46"/>
      <c r="B13" s="46" t="s">
        <v>209</v>
      </c>
      <c r="C13" s="46" t="s">
        <v>5</v>
      </c>
      <c r="D13" s="46" t="s">
        <v>233</v>
      </c>
      <c r="E13" s="46" t="s">
        <v>234</v>
      </c>
      <c r="F13" s="46"/>
    </row>
    <row r="14" spans="1:7" ht="28" customHeight="1" x14ac:dyDescent="0.55000000000000004">
      <c r="A14" s="47"/>
      <c r="B14" s="48" t="s">
        <v>235</v>
      </c>
      <c r="C14" s="49" t="s">
        <v>236</v>
      </c>
      <c r="D14" s="50" t="s">
        <v>237</v>
      </c>
      <c r="E14" s="51" t="s">
        <v>238</v>
      </c>
      <c r="F14" s="47"/>
    </row>
    <row r="15" spans="1:7" ht="28" customHeight="1" x14ac:dyDescent="0.55000000000000004">
      <c r="A15" s="47"/>
      <c r="B15" s="48" t="s">
        <v>239</v>
      </c>
      <c r="C15" s="49" t="s">
        <v>240</v>
      </c>
      <c r="D15" s="50" t="s">
        <v>241</v>
      </c>
      <c r="E15" s="51" t="s">
        <v>238</v>
      </c>
      <c r="F15" s="47"/>
    </row>
    <row r="16" spans="1:7" ht="28" customHeight="1" x14ac:dyDescent="0.55000000000000004">
      <c r="A16" s="47"/>
      <c r="B16" s="48" t="s">
        <v>242</v>
      </c>
      <c r="C16" s="49" t="s">
        <v>243</v>
      </c>
      <c r="D16" s="50" t="s">
        <v>244</v>
      </c>
      <c r="E16" s="51" t="s">
        <v>238</v>
      </c>
      <c r="F16" s="47"/>
    </row>
    <row r="17" spans="1:7" ht="28" customHeight="1" x14ac:dyDescent="0.55000000000000004">
      <c r="A17" s="52"/>
      <c r="B17" s="53" t="s">
        <v>245</v>
      </c>
      <c r="C17" s="54" t="s">
        <v>134</v>
      </c>
      <c r="D17" s="55" t="s">
        <v>246</v>
      </c>
      <c r="E17" s="56" t="s">
        <v>238</v>
      </c>
      <c r="F17" s="52"/>
    </row>
    <row r="18" spans="1:7" ht="28" customHeight="1" x14ac:dyDescent="0.55000000000000004">
      <c r="A18" s="52"/>
      <c r="B18" s="53" t="s">
        <v>247</v>
      </c>
      <c r="C18" s="54" t="s">
        <v>248</v>
      </c>
      <c r="D18" s="55" t="s">
        <v>249</v>
      </c>
      <c r="E18" s="56" t="s">
        <v>238</v>
      </c>
      <c r="F18" s="52"/>
    </row>
    <row r="19" spans="1:7" ht="28" customHeight="1" x14ac:dyDescent="0.55000000000000004">
      <c r="A19" s="52"/>
      <c r="B19" s="53" t="s">
        <v>250</v>
      </c>
      <c r="C19" s="54" t="s">
        <v>143</v>
      </c>
      <c r="D19" s="55" t="s">
        <v>251</v>
      </c>
      <c r="E19" s="56" t="s">
        <v>238</v>
      </c>
      <c r="F19" s="52"/>
    </row>
    <row r="20" spans="1:7" ht="28" customHeight="1" x14ac:dyDescent="0.55000000000000004">
      <c r="A20" s="52"/>
      <c r="B20" s="53" t="s">
        <v>252</v>
      </c>
      <c r="C20" s="54" t="s">
        <v>253</v>
      </c>
      <c r="D20" s="55" t="s">
        <v>254</v>
      </c>
      <c r="E20" s="56" t="s">
        <v>238</v>
      </c>
      <c r="F20" s="52"/>
    </row>
    <row r="21" spans="1:7" ht="28" customHeight="1" x14ac:dyDescent="0.55000000000000004">
      <c r="A21" s="52"/>
      <c r="B21" s="53" t="s">
        <v>255</v>
      </c>
      <c r="C21" s="54" t="s">
        <v>256</v>
      </c>
      <c r="D21" s="55" t="s">
        <v>150</v>
      </c>
      <c r="E21" s="56" t="s">
        <v>238</v>
      </c>
      <c r="F21" s="52"/>
    </row>
    <row r="22" spans="1:7" ht="28" customHeight="1" x14ac:dyDescent="0.55000000000000004">
      <c r="A22" s="52"/>
      <c r="B22" s="53" t="s">
        <v>257</v>
      </c>
      <c r="C22" s="54" t="s">
        <v>258</v>
      </c>
      <c r="D22" s="55" t="s">
        <v>259</v>
      </c>
      <c r="E22" s="56" t="s">
        <v>238</v>
      </c>
      <c r="F22" s="52"/>
    </row>
    <row r="23" spans="1:7" ht="5.05" customHeight="1" x14ac:dyDescent="0.55000000000000004">
      <c r="A23" s="1"/>
      <c r="B23" s="1"/>
      <c r="C23" s="1"/>
      <c r="D23" s="1"/>
      <c r="E23" s="1"/>
      <c r="F23" s="1"/>
      <c r="G23" s="1"/>
    </row>
    <row r="24" spans="1:7" ht="52" customHeight="1" x14ac:dyDescent="0.55000000000000004">
      <c r="A24" s="110" t="s">
        <v>260</v>
      </c>
      <c r="B24" s="64"/>
      <c r="C24" s="64"/>
      <c r="D24" s="64"/>
      <c r="E24" s="64"/>
      <c r="F24" s="65"/>
    </row>
  </sheetData>
  <mergeCells count="5">
    <mergeCell ref="A24:F24"/>
    <mergeCell ref="A1:G1"/>
    <mergeCell ref="A12:G12"/>
    <mergeCell ref="A4:G4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VERİ GİRİŞİ</vt:lpstr>
      <vt:lpstr>HESAPLAMALAR &amp; KONTROL</vt:lpstr>
      <vt:lpstr>MUHASEBE KAYITLARI</vt:lpstr>
      <vt:lpstr>DENETCİ NOTLARI</vt:lpstr>
      <vt:lpstr>BELGE 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Aydın DEDE</cp:lastModifiedBy>
  <dcterms:created xsi:type="dcterms:W3CDTF">2026-04-05T20:20:05Z</dcterms:created>
  <dcterms:modified xsi:type="dcterms:W3CDTF">2026-04-05T20:25:40Z</dcterms:modified>
</cp:coreProperties>
</file>