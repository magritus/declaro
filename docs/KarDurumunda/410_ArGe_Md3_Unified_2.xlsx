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son standart/"/>
    </mc:Choice>
  </mc:AlternateContent>
  <xr:revisionPtr revIDLastSave="0" documentId="8_{C2DE11BA-6FF6-4630-8E86-99DEF6129F06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KONSOLİDASYON &amp; BEYANNAME" sheetId="2" r:id="rId2"/>
    <sheet name="HESAPLAMALAR &amp; KONTROL" sheetId="3" r:id="rId3"/>
    <sheet name="DENETÇİ NOTLARI" sheetId="4" r:id="rId4"/>
    <sheet name="BELGE LİSTESİ" sheetId="5" r:id="rId5"/>
    <sheet name="MUHASEBE KAYITLARI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  <c r="C19" i="2"/>
  <c r="D23" i="3"/>
  <c r="D22" i="3"/>
  <c r="D21" i="3"/>
  <c r="G13" i="3"/>
  <c r="F13" i="3"/>
  <c r="E13" i="3"/>
  <c r="D13" i="3"/>
  <c r="C13" i="3"/>
  <c r="C16" i="3" s="1"/>
  <c r="D9" i="2"/>
  <c r="C9" i="2"/>
  <c r="H8" i="2"/>
  <c r="G8" i="2"/>
  <c r="F8" i="2"/>
  <c r="E8" i="2"/>
  <c r="D8" i="2"/>
  <c r="C8" i="2"/>
  <c r="D68" i="1"/>
  <c r="C68" i="1"/>
  <c r="H67" i="1"/>
  <c r="G67" i="1"/>
  <c r="G68" i="1" s="1"/>
  <c r="G9" i="2" s="1"/>
  <c r="F67" i="1"/>
  <c r="F68" i="1" s="1"/>
  <c r="F9" i="2" s="1"/>
  <c r="E67" i="1"/>
  <c r="E68" i="1" s="1"/>
  <c r="E9" i="2" s="1"/>
  <c r="D67" i="1"/>
  <c r="C67" i="1"/>
  <c r="H66" i="1"/>
  <c r="H64" i="1"/>
  <c r="F61" i="1"/>
  <c r="F63" i="1" s="1"/>
  <c r="E61" i="1"/>
  <c r="E63" i="1" s="1"/>
  <c r="D61" i="1"/>
  <c r="D63" i="1" s="1"/>
  <c r="C61" i="1"/>
  <c r="C63" i="1" s="1"/>
  <c r="G56" i="1"/>
  <c r="G61" i="1" s="1"/>
  <c r="G63" i="1" s="1"/>
  <c r="F56" i="1"/>
  <c r="F14" i="3" s="1"/>
  <c r="E56" i="1"/>
  <c r="E14" i="3" s="1"/>
  <c r="E16" i="3" s="1"/>
  <c r="D56" i="1"/>
  <c r="D14" i="3" s="1"/>
  <c r="C56" i="1"/>
  <c r="C14" i="3" s="1"/>
  <c r="H54" i="1"/>
  <c r="H53" i="1"/>
  <c r="H52" i="1"/>
  <c r="H51" i="1"/>
  <c r="H50" i="1"/>
  <c r="H49" i="1"/>
  <c r="H48" i="1"/>
  <c r="H47" i="1"/>
  <c r="H46" i="1"/>
  <c r="C24" i="1"/>
  <c r="C23" i="1"/>
  <c r="D4" i="3" s="1"/>
  <c r="E15" i="3" l="1"/>
  <c r="F16" i="3"/>
  <c r="D15" i="3"/>
  <c r="D16" i="3"/>
  <c r="C7" i="2"/>
  <c r="H63" i="1"/>
  <c r="C69" i="1"/>
  <c r="G15" i="3"/>
  <c r="D7" i="2"/>
  <c r="D69" i="1"/>
  <c r="H68" i="1"/>
  <c r="G69" i="1"/>
  <c r="G7" i="2"/>
  <c r="E69" i="1"/>
  <c r="E7" i="2"/>
  <c r="H9" i="2"/>
  <c r="C15" i="3"/>
  <c r="F69" i="1"/>
  <c r="F7" i="2"/>
  <c r="H56" i="1"/>
  <c r="G14" i="3"/>
  <c r="H14" i="3" s="1"/>
  <c r="H13" i="3"/>
  <c r="G16" i="3"/>
  <c r="F15" i="3"/>
  <c r="C71" i="1" l="1"/>
  <c r="H69" i="1"/>
  <c r="C10" i="2"/>
  <c r="E10" i="2"/>
  <c r="E71" i="1"/>
  <c r="D5" i="3"/>
  <c r="H61" i="1"/>
  <c r="H7" i="2"/>
  <c r="G10" i="2"/>
  <c r="G71" i="1"/>
  <c r="F10" i="2"/>
  <c r="F71" i="1"/>
  <c r="D10" i="2"/>
  <c r="D71" i="1"/>
  <c r="H10" i="2" l="1"/>
  <c r="H71" i="1"/>
  <c r="C15" i="2" l="1"/>
  <c r="D6" i="3"/>
  <c r="C17" i="2" l="1"/>
  <c r="C18" i="2" s="1"/>
  <c r="D8" i="3" s="1"/>
  <c r="C34" i="2" l="1"/>
  <c r="C27" i="2"/>
  <c r="H27" i="2" s="1"/>
  <c r="C33" i="2"/>
  <c r="D9" i="3" s="1"/>
  <c r="C32" i="2"/>
  <c r="C26" i="2"/>
  <c r="H26" i="2" s="1"/>
  <c r="D7" i="3"/>
  <c r="C25" i="2"/>
  <c r="H25" i="2" s="1"/>
  <c r="C28" i="2"/>
  <c r="H28" i="2" s="1"/>
  <c r="C24" i="2"/>
  <c r="C35" i="2"/>
  <c r="C29" i="2" l="1"/>
  <c r="H29" i="2" s="1"/>
  <c r="H24" i="2"/>
</calcChain>
</file>

<file path=xl/sharedStrings.xml><?xml version="1.0" encoding="utf-8"?>
<sst xmlns="http://schemas.openxmlformats.org/spreadsheetml/2006/main" count="309" uniqueCount="274">
  <si>
    <t>410 – AR-GE İNDİRİMİ (5746 s.K. Md. 3) | ÇOK PROJELİ ÇALIŞMA KÂĞIDI (Maks. 5 Proje) | YMM TASDİK</t>
  </si>
  <si>
    <t>5746 s.K. Md. 3 | Ar-Ge Merkezi Belgeli | Her Proje Ayrı İzlenir | Sonuç → KONSOLİDASYON sayfası | Beyanname Satır 410</t>
  </si>
  <si>
    <t xml:space="preserve">  ℹ️ KULLANIM: Mükellef aynı dönemde 5'e kadar Ar-Ge projesi ile bu çalışma kâğıdını kullanabilir. Her projenin harcamaları C–G sütunlarına ayrı ayrı girilir. H sütunu otomatik toplam alır. Proje bazında D.6 (kullanılabilir indirim) hesaplanır; dönem kazanç limiti ise KONSOLİDASYON sayfasında uygulanır.</t>
  </si>
  <si>
    <t>MODÜL KİMLİĞİ VE VERSİYON</t>
  </si>
  <si>
    <t>Modül Kodu</t>
  </si>
  <si>
    <t>410 — 5746 s.K. Md. 3 (Ar-Ge Merkezi) | Çok Projeli Versiyon | Maks. 5 Proje</t>
  </si>
  <si>
    <t>Çalışma Kâğıdı Versiyonu</t>
  </si>
  <si>
    <t>v2.0 — Çok Projeli | 7555 s.K. (24.07.2025) + 7263 s.K. GSF Yükümlülüğü</t>
  </si>
  <si>
    <t>Hazırlama Tarihi</t>
  </si>
  <si>
    <t>A0. KAPSAM VE NİTELİK UYGUNLUK KONTROLÜ — TÜM PROJELER İÇİN ORTAK ÖN KONTROL</t>
  </si>
  <si>
    <t>⚠️ Bu blok tüm projeler için ortaktır. STB 'Ar-Ge Merkezi Belgesi' tüm projelerin ön koşuludur. Mükellef aynı Ar-Ge merkezinde birden fazla projeyi eş zamanlı yürütüyor olabilir. Her proje için A0 yeniden doldurulmaz — bir kez 'EVET' verilen kontroller tüm projeler için geçerlidir.</t>
  </si>
  <si>
    <t>Tasdik Uygunluk Kontrol Soruları</t>
  </si>
  <si>
    <t>Yanıt</t>
  </si>
  <si>
    <t>Açıklama / Tasdik Notu</t>
  </si>
  <si>
    <t>A0.1  Ar-Ge faaliyetleri münhasıran yeni teknoloji ve bilgi arayışına yönelik mi?</t>
  </si>
  <si>
    <t>EVET</t>
  </si>
  <si>
    <t>Kapsam dışı faaliyetler (pazarlanabilir ürün geliştirme, rutin iyileştirme vb.) indirime konu edilemez.</t>
  </si>
  <si>
    <t>A0.2  STB 'Ar-Ge Merkezi Belgesi' geçerli ve koşullar sağlanıyor mu?</t>
  </si>
  <si>
    <t>410 kodu için Ar-Ge Merkezi Belgesi zorunlu önkoşuldur. Belge geçersizse tüm projeler için modül kullanılamaz.</t>
  </si>
  <si>
    <t>A0.3  En az 15 TZE Ar-Ge personeli koşulu sağlanıyor mu? (Bazı sektörlerde 30)</t>
  </si>
  <si>
    <t>BKK ile 15 (genel) / 30 (bazı NACE). Bu koşulun kaybedilmesi belge iptaline yol açar.</t>
  </si>
  <si>
    <t>A0.4  Her projedeki harcamalar 'Ar-Ge projesi' kapsamında ve ayrı izlenebilir mi?</t>
  </si>
  <si>
    <t>Her proje ayrı proje kodu altında ve ayrı hesapta izlenmelidir. Proje bazı muhasebe zorunludur.</t>
  </si>
  <si>
    <t>A0.5  Sipariş bazlı Ar-Ge var mı? (Varsa proje bazında belirtiniz — H.8/H.9)</t>
  </si>
  <si>
    <t>HAYIR</t>
  </si>
  <si>
    <t>Sipariş alan merkez %50 / sipariş veren %50 dağılımı her proje için ayrı uygulanır.</t>
  </si>
  <si>
    <t>A0.6  Artırımlı indirim için 5 göstergeden biri ≥%20 artış sağlandı mı?</t>
  </si>
  <si>
    <t>≥%20 artış → artış tutarının %50'si ek indirim (31.12.2028). Proje veya merkez bazında değerlendirilebilir.</t>
  </si>
  <si>
    <t>A0.7  Devreden Ar-Ge indirimi var mı? (Proje bazında D.5a-D.5b sütunlarına giriniz)</t>
  </si>
  <si>
    <t>Her projenin devreden indirimi VERİ GİRİŞİ D.5a satırına ayrı ayrı girilir. YDO artışı otomatik hesaplanır.</t>
  </si>
  <si>
    <t>A0.8  Md. 3/14 GSF: Herhangi bir projede kullanılan indirim ≥ 1.000.000 TL mi?</t>
  </si>
  <si>
    <t>GSF yükümlülüğü KONSOLİDASYON sayfasında toplam bazında otomatik kontrol edilir.</t>
  </si>
  <si>
    <t>A0.9  YİAKV etkisi: Ar-Ge indirimleri YİAKV matrahına etkisi analiz edildi mi?</t>
  </si>
  <si>
    <t>Kazancın Bulunması Halinde bölümündeki indirimin YİAKV matrahına etkisi dönem mevzuatıyla analiz edilmeli.</t>
  </si>
  <si>
    <t>A0.10  49/41 No.lu Tebliğ: YMM tasdik raporu yükümlülüğü değerlendirildi mi?</t>
  </si>
  <si>
    <t>Tek satır ≥500K TL veya toplam ≥1M TL → YMM raporu zorunlu. Toplam bazında değerlendirilir.</t>
  </si>
  <si>
    <t>A0.11  Tasdik Uygunluk Sonucu</t>
  </si>
  <si>
    <t>Zorunlu: A0.1/A0.2/A0.3/A0.4/A0.9/A0.10. Diğerleri bilgi amaçlı.</t>
  </si>
  <si>
    <t>Tasdik Engelleyici Uyarı</t>
  </si>
  <si>
    <t>Hata giderildiğinde uyarı otomatik kalkar.</t>
  </si>
  <si>
    <t>A. MÜKELLEF VE AR-GE MERKEZİ BİLGİLERİ (Tüm Projeler için Ortaktır)</t>
  </si>
  <si>
    <t>Alan</t>
  </si>
  <si>
    <t>Bilgi / Giriş</t>
  </si>
  <si>
    <t>Açıklama</t>
  </si>
  <si>
    <t>Mükellef Unvanı</t>
  </si>
  <si>
    <t>Ticaret sicilindeki tam unvan</t>
  </si>
  <si>
    <t>Vergi Kimlik No</t>
  </si>
  <si>
    <t>Hesap Dönemi</t>
  </si>
  <si>
    <t>01.01.…… – 31.12.……</t>
  </si>
  <si>
    <t>Ar-Ge Merkezi Belge No</t>
  </si>
  <si>
    <t>STB belgesi</t>
  </si>
  <si>
    <t>Ar-Ge Merkezi Belge Geçerlilik</t>
  </si>
  <si>
    <t>Süre dolmuşsa modül kullanılamaz</t>
  </si>
  <si>
    <t>TZE Ar-Ge Personeli Sayısı</t>
  </si>
  <si>
    <t>Min 15 (bazı NACE: 30) — tüm projeler toplamında</t>
  </si>
  <si>
    <t>Dönem Başı YDO Oranı (%)</t>
  </si>
  <si>
    <t>VUK YDO — devreden indirim güncellemesi için</t>
  </si>
  <si>
    <t>KV Oranı (%)</t>
  </si>
  <si>
    <t>Genel: %25 (2025); Finans: %30</t>
  </si>
  <si>
    <t>B. PROJE BİLGİLERİ — Her Sütuna Bir Proje (Proje 1–5)</t>
  </si>
  <si>
    <t>Proje Bilgisi</t>
  </si>
  <si>
    <t>PROJE 1</t>
  </si>
  <si>
    <t>PROJE 2</t>
  </si>
  <si>
    <t>PROJE 3</t>
  </si>
  <si>
    <t>PROJE 4</t>
  </si>
  <si>
    <t>PROJE 5</t>
  </si>
  <si>
    <t>TOPLAM / BİLGİ</t>
  </si>
  <si>
    <t>Not</t>
  </si>
  <si>
    <t>P.1</t>
  </si>
  <si>
    <t>Proje Adı / Başlığı</t>
  </si>
  <si>
    <t>Kısa tanımlayıcı ad</t>
  </si>
  <si>
    <t>P.2</t>
  </si>
  <si>
    <t>STB/TÜBİTAK Proje No</t>
  </si>
  <si>
    <t>Proje referans numarası</t>
  </si>
  <si>
    <t>P.3</t>
  </si>
  <si>
    <t>Proje Başlangıç – Bitiş Tarihi</t>
  </si>
  <si>
    <t>GG.AA.YYYY – GG.AA.YYYY</t>
  </si>
  <si>
    <t>C. AR-GE HARCAMA TÜRLERİ — PROJE BAZINDA (C–G: Proje 1–5 | H: Toplam | I: Kural)</t>
  </si>
  <si>
    <t xml:space="preserve">  5746 Md. 3 kapsamı: Muhasebede Ar-Ge hesabına atılan her tutar indirime girmez. Her gider kalemi: (a) Muhasebede kayıtlı, (b) 5746 açısından uygun, (c) Proje kapsamında doğrudan ilişkili. Finansman giderleri (H.10) kapsam dışıdır.</t>
  </si>
  <si>
    <t>Kod</t>
  </si>
  <si>
    <t>Harcama Türü</t>
  </si>
  <si>
    <t>Proje 1 (TL)</t>
  </si>
  <si>
    <t>Proje 2 (TL)</t>
  </si>
  <si>
    <t>Proje 3 (TL)</t>
  </si>
  <si>
    <t>Proje 4 (TL)</t>
  </si>
  <si>
    <t>Proje 5 (TL)</t>
  </si>
  <si>
    <t>Toplam (TL)</t>
  </si>
  <si>
    <t>5746 Md. 3 Kural / Not</t>
  </si>
  <si>
    <t>H.1</t>
  </si>
  <si>
    <t>Ar-Ge Personeli Giderleri (GV Stopaj Terkinine Esas)</t>
  </si>
  <si>
    <t>Muhasebede kayıtlı Ar-Ge personel ücreti. Kısmi çalışmada süre oranı uygulanır. GV stopaj terkinine esas ücretler proje bazında muhtasar beyanname ekinde gösterilir.</t>
  </si>
  <si>
    <t>H.2</t>
  </si>
  <si>
    <t>Destek Personeli Giderleri (%10 TZE Sınırı — Kontrol sayfasında test edilir)</t>
  </si>
  <si>
    <t>Yönetici, laborant, sekreter vb. — TZE Ar-Ge personelinin toplam %10'unu aşamaz. HESAPLAMALAR sayfasında toplam TZE bazında otomatik kontrol yapılmaktadır.</t>
  </si>
  <si>
    <t>H.3</t>
  </si>
  <si>
    <t>Genel Giderler (Kira, Enerji, Su, Bakım, Haberleşme)</t>
  </si>
  <si>
    <t>Münhasıran Ar-Ge faaliyetinin devamlılığı için yapılan giderler. Proje payına göre dağıtılabilir.</t>
  </si>
  <si>
    <t>H.4</t>
  </si>
  <si>
    <t>Dışarıdan Sağlanan Fayda/Hizmetler (Toplam Ar-Ge'nin %20'sini Aşamaz)</t>
  </si>
  <si>
    <t>Üniversite, TÜBİTAK vb. dış hizmet. HESAPLAMALAR Kontrol 1'de %20 sınırı test ediliyor.</t>
  </si>
  <si>
    <t>H.5</t>
  </si>
  <si>
    <t>Vergi, Resim ve Harçlar (Damga Vergisi İstisnası Hariç)</t>
  </si>
  <si>
    <t>Proje ile doğrudan ilgili vergi/harç. Damga vergisi 5746 kapsamında istisnaya tabi.</t>
  </si>
  <si>
    <t>H.6</t>
  </si>
  <si>
    <t>Amortisman — Münhasıran Ar-Ge ATİK (Tam Kullanım)</t>
  </si>
  <si>
    <t>Tamamen Ar-Ge'de kullanılan varlıklar. Ofis demirbaşı (masa, sandalye) de dahildir (5746'da kısmen yeterli).</t>
  </si>
  <si>
    <t>H.7</t>
  </si>
  <si>
    <t>Amortisman — Kısmen Ar-Ge ATİK (Gün Sayısı Oranı)</t>
  </si>
  <si>
    <t>Hem Ar-Ge hem başka faaliyetlerde kullanılan ATİK amortismanının Ar-Ge günlerine isabet eden kısmı.</t>
  </si>
  <si>
    <t>H.8</t>
  </si>
  <si>
    <t>Sipariş Alınan Ar-Ge — Merkez Harcamalarının %50'si</t>
  </si>
  <si>
    <t>YALNIZCA sipariş alan merkez doldurur. Kendi harcamalarının %50'si. Sipariş veren H.9'u doldurur.</t>
  </si>
  <si>
    <t>H.9</t>
  </si>
  <si>
    <t>Sipariş Verilen Ar-Ge — Ödenen Harcamanın %50'si</t>
  </si>
  <si>
    <t>YALNIZCA sipariş veren doldurur. Ödediğinin %50'si. Sipariş verenler GV terkini/SGK desteğinden yararlanamaz.</t>
  </si>
  <si>
    <t>H.10</t>
  </si>
  <si>
    <t>⛔ KAPSAM DIŞI: Finansman Giderleri (Faiz vb.)</t>
  </si>
  <si>
    <t>5746 kapsamında finansman giderleri Ar-Ge harcaması sayılmaz. Bu satır dahil EDİLMEZ.</t>
  </si>
  <si>
    <t>(A)</t>
  </si>
  <si>
    <t>PROJE BAZINDA İNDİRİME ESAS TOPLAM (H.1–H.9, H.10 hariç)</t>
  </si>
  <si>
    <t>H sütunu: Tüm projelerin dönem toplam kapsam içi Ar-Ge harcaması</t>
  </si>
  <si>
    <t>D. AR-GE İNDİRİMİ HESAP AKIŞI — PROJE BAZINDA (KONSOLİDASYON sayfasında birleştirilir)</t>
  </si>
  <si>
    <t xml:space="preserve">  Kazanç limiti (D.7) bu sayfada her proje için gösterilmez — limit tüm projeler toplamına uygulanır. Bu akış her projenin D.6 (kullanılabilir indirimini) hesaplar. KONSOLİDASYON sayfasında limit uygulanır ve nihai tutarlar hesaplanır.</t>
  </si>
  <si>
    <t>Hesap Akış Kalemi</t>
  </si>
  <si>
    <t>Proje 1</t>
  </si>
  <si>
    <t>Proje 2</t>
  </si>
  <si>
    <t>Proje 3</t>
  </si>
  <si>
    <t>Proje 4</t>
  </si>
  <si>
    <t>Proje 5</t>
  </si>
  <si>
    <t>PROJE TOPLAMI</t>
  </si>
  <si>
    <t>YMM Tasdik Notu</t>
  </si>
  <si>
    <t>D.1</t>
  </si>
  <si>
    <t>(+) Cari Dönem Ar-Ge Harcaması — C(A) Satırından (Her Proje)</t>
  </si>
  <si>
    <t>Her projenin H.1-H.9 toplamı — H.10 dahil değil</t>
  </si>
  <si>
    <t>D.2</t>
  </si>
  <si>
    <t>(×) Temel İndirim Oranı (%100)</t>
  </si>
  <si>
    <t>5746 Md. 3: %100</t>
  </si>
  <si>
    <t>D.3</t>
  </si>
  <si>
    <t>(=) Temel Ar-Ge İndirimi (D.1 × D.2)</t>
  </si>
  <si>
    <t>Her proje için %100 × harcama</t>
  </si>
  <si>
    <t>D.4</t>
  </si>
  <si>
    <t>(+) Artırımlı İndirim (%50 — Proje/Merkez ≥%20 Artış Şartı, 31.12.2028)</t>
  </si>
  <si>
    <t>≥%20 artış sağlanan projenin artış tutarının %50'si — şart yoksa sıfır bırakın</t>
  </si>
  <si>
    <t xml:space="preserve">  D.5 — DEVREDEN AR-GE İNDİRİMİ: Proje bazında önceki dönem devreden tutarları aşağıya giriniz. YDO artışı A bölümündeki YDO oranından otomatik hesaplanır.</t>
  </si>
  <si>
    <t>D.5a</t>
  </si>
  <si>
    <t>Önceki Dönemden Devreden Ham Tutar (YDO Öncesi — Proje Bazında)</t>
  </si>
  <si>
    <t>Önceki yıl KV beyannamesi 410 satırı kullanılmayan kısmı — her proje için ayrı</t>
  </si>
  <si>
    <t>D.5b</t>
  </si>
  <si>
    <t>(+) YDO Güncellemesi = D.5a × (YDO% / 100) — A Bölümü Satır 34</t>
  </si>
  <si>
    <t>5746 Md. 3: Devreden tutar VUK YDO ile artırılır. KVK 10/1-a'da artırım YOK.</t>
  </si>
  <si>
    <t>D.5</t>
  </si>
  <si>
    <t>(=) YDO GÜNCELLENMİŞ DEVREDEN İNDİRİM (D.5a + D.5b)</t>
  </si>
  <si>
    <t>YDO teyidi: Her yıl VUK kapsamında ilan edilen oran kullanılmalıdır. Hatalı YDO tasdik riski oluşturur.</t>
  </si>
  <si>
    <t>D.6</t>
  </si>
  <si>
    <t>(=) PROJE BAZINDA KULLANILABİLİR İNDİRİM — D.3 + D.4 + D.5</t>
  </si>
  <si>
    <t>Bu tutar KONSOLİDASYON sayfasına aktarılır. Kazanç limiti orada uygulanır.</t>
  </si>
  <si>
    <t>D.10</t>
  </si>
  <si>
    <t>5746 Md. 3/14 — GSF Aktarım (D.6 × %2 — Proje Bazında Bilgi). KONSOLİDASYON sayfasında toplam bazında kesin yükümlülük hesaplanır.</t>
  </si>
  <si>
    <t>İndirim ≥ 1M TL olan projeler için %2 fon yükümlülüğü doğar. Toplam GSF hesabı KONSOLİDASYON sayfasında yapılmaktadır.</t>
  </si>
  <si>
    <t>E. GV STOPAJ TERKİNİ VE SGK DESTEĞİ (Merkez Geneli — Proje Bazında Değil)</t>
  </si>
  <si>
    <t xml:space="preserve">  GV stopaj terkini Ar-Ge merkezinin tüm projelerindeki Ar-Ge ve destek personeline birlikte uygulanır. Terkin oranları: Doktoralı %95 | YL %90 | Diğerleri %80. 7555 s.K. (24.07.2025): Brüt asgari ücretin 40 katını aşan kısım terkin dışı. SGK işveren hissesi: %50 Hazine.</t>
  </si>
  <si>
    <t>410 – AR-GE İNDİRİMİ | KONSOLİDASYON &amp; BEYANNAME SONUÇ SAYFASI</t>
  </si>
  <si>
    <t>Tüm projelerin D.6 değerleri bu sayfada birleştirilir → Toplam kullanılabilir indirim belirlenir → Kazanç limiti uygulanır → Beyanname 410 tutarı ve devreden tutarlar hesaplanır.</t>
  </si>
  <si>
    <t xml:space="preserve">  ℹ️ Bu sayfa VERİ GİRİŞİ sayfasındaki formüllere bağlıdır. Sarı hücreler (Dönem Kurum Kazancı) manuel girilir. Geri kalan tüm değerler otomatik hesaplanır.</t>
  </si>
  <si>
    <t>BÖLÜM 1 — PROJE BAZINDA KULLANILABİLİR İNDİRİM TABLOSU (VERİ GİRİŞİ'nden)</t>
  </si>
  <si>
    <t>Kalem</t>
  </si>
  <si>
    <t>TOPLAM</t>
  </si>
  <si>
    <t>YMM Notu</t>
  </si>
  <si>
    <t>K.1</t>
  </si>
  <si>
    <t>D.3 — Temel Ar-Ge İndirimi (Cari Dönem %100)</t>
  </si>
  <si>
    <t>Proje harcamasının %100'ü</t>
  </si>
  <si>
    <t>K.2</t>
  </si>
  <si>
    <t>D.4 — Artırımlı İndirim (≥%20 Artış, %50 Ek)</t>
  </si>
  <si>
    <t>Şart sağlanıyorsa artış tutarının %50'si</t>
  </si>
  <si>
    <t>K.3</t>
  </si>
  <si>
    <t>D.5 — Devreden İndirim (YDO Güncellenmiş)</t>
  </si>
  <si>
    <t>Önceki dönem bakiye, VUK YDO ile artırılmış</t>
  </si>
  <si>
    <t>K.4</t>
  </si>
  <si>
    <t>D.6 — PROJE KULLANILABİLİR TOPLAM (K.1+K.2+K.3)</t>
  </si>
  <si>
    <t>Proje bazında azami kullanılabilir indirim</t>
  </si>
  <si>
    <t>BÖLÜM 2 — DÖNEM KAZANÇ LİMİTİ VE BU DÖNEM KULLANILACAK TOPLAM İNDİRİM</t>
  </si>
  <si>
    <t xml:space="preserve">  Ar-Ge indirimi 'Kazancın Bulunması Halinde' bölümündedir. Tüm projelerin kullanılabilir indirim toplamı, dönem kurum kazancıyla sınırlıdır. Kazancı aşan kısım sonraki dönemlere devredilir.</t>
  </si>
  <si>
    <t>Tutar (TL)</t>
  </si>
  <si>
    <t>B.1</t>
  </si>
  <si>
    <t>TOPLAM KULLANILABİLİR İNDİRİM (Tüm Projelerin D.6 Toplamı)</t>
  </si>
  <si>
    <t>Tüm projelerin kullanılabilir indirimi — K.4 toplam</t>
  </si>
  <si>
    <t>B.2</t>
  </si>
  <si>
    <t>Dönem Kurum Kazancı (KKEG Sonrası / 410 İndirimi Öncesi)</t>
  </si>
  <si>
    <t>⚠️ Ticari kâr değil — KKEG+, geçmiş yıl zararları sonrası, 410 düşülmeden önceki tutar giriniz</t>
  </si>
  <si>
    <t>Manuel giriş</t>
  </si>
  <si>
    <t>B.3</t>
  </si>
  <si>
    <t>BU DÖNEM TOPLAM KULLANILACAK İNDİRİM (Min: B.1, B.2)</t>
  </si>
  <si>
    <t>KV Beyannamesi Satır 410 — 'Kazancın Bulunması Halinde İndirilecek'</t>
  </si>
  <si>
    <t>B.4</t>
  </si>
  <si>
    <t>Sonraki Dönemlere Devreden TOPLAM (B.1 – B.3)</t>
  </si>
  <si>
    <t>Bu tutar proje bazında D.5a olarak sonraki yıla aktarılır (YDO ile artırılacak)</t>
  </si>
  <si>
    <t>B.5</t>
  </si>
  <si>
    <t>Vergi Tasarrufu (B.3 × KV Oranı)</t>
  </si>
  <si>
    <t>Bilgi amaçlı — KV oranını VERİ GİRİŞİ A bölümünden alarak formülize edebilirsiniz</t>
  </si>
  <si>
    <t>Hesaplama</t>
  </si>
  <si>
    <t>BÖLÜM 3 — PROJE BAZINDA İNDİRİM KULLANIM DAĞILIMI</t>
  </si>
  <si>
    <t xml:space="preserve">  Kazanç yeterliyse her proje D.6 tutarını tam kullanır. Kazanç yetersizse dağılım YMM tarafından belirlenir (genellikle pro-rata veya proje önceliğine göre). Bu tablo bilgi amaçlıdır — beyannamede yalnızca B.3 (toplam) gösterilir.</t>
  </si>
  <si>
    <t>Proje</t>
  </si>
  <si>
    <t>P1 Kullanılan</t>
  </si>
  <si>
    <t>P2</t>
  </si>
  <si>
    <t>P3</t>
  </si>
  <si>
    <t>P4</t>
  </si>
  <si>
    <t>P5</t>
  </si>
  <si>
    <t>Toplam</t>
  </si>
  <si>
    <t>Proje 1 — Kullanılan İndirim</t>
  </si>
  <si>
    <t>Pro-rata dağılım — YMM başka yöntem belirleyebilir. H sütunu = proje bazında sonraki yıla devreden (D.5a olarak aktarın).</t>
  </si>
  <si>
    <t>Proje 2 — Kullanılan İndirim</t>
  </si>
  <si>
    <t>Proje 3 — Kullanılan İndirim</t>
  </si>
  <si>
    <t>Proje 4 — Kullanılan İndirim</t>
  </si>
  <si>
    <t>Proje 5 — Kullanılan İndirim</t>
  </si>
  <si>
    <t>✅</t>
  </si>
  <si>
    <t>Dağılım Kontrol: Toplam Kullanılan = B.3 ile Uyumlu</t>
  </si>
  <si>
    <t>H sütunu 0 ise dağılım doğru — fark varsa manuel ayarla</t>
  </si>
  <si>
    <t>BÖLÜM 4 — GİRİŞİM SERMAYESİ FONU (GSF) — TOPLAM BAZINDA KONTROL (5746 Md. 3/14)</t>
  </si>
  <si>
    <t>G.1</t>
  </si>
  <si>
    <t>Bu Dönem Toplam Kullanılan İndirim (B.3)</t>
  </si>
  <si>
    <t>Beyanname 410 satırı</t>
  </si>
  <si>
    <t>G.2</t>
  </si>
  <si>
    <t>GSF Yükümlülüğü (B.3 ≥ 1M TL ise %2, max 20M TL)</t>
  </si>
  <si>
    <t>Yıl sonuna kadar GSYF/GSYO'ya aktarılmalı. Aktarılmazsa → B.3'ün %20'si reddedilir.</t>
  </si>
  <si>
    <t>G.3</t>
  </si>
  <si>
    <t>GSF Aktarım Yükümlülüğü Var mı?</t>
  </si>
  <si>
    <t>EVET ise aktarım kanıtı belge listesine eklenmelidir</t>
  </si>
  <si>
    <t>G.4</t>
  </si>
  <si>
    <t>Aktarılmazsa Reddedilecek Tutar (B.3 × %20)</t>
  </si>
  <si>
    <t>Bu tutar nedeniyle vergi ziyaı cezasız tarhiyat yapılır</t>
  </si>
  <si>
    <t>410 — HESAPLAMALAR &amp; KONTROL | OTOMATİK SINIR TESTLERİ VE DENETİM KONTROL LİSTESİ</t>
  </si>
  <si>
    <t>TASDİK ÖZET — KONSOLİDASYON SAYFASINDAN</t>
  </si>
  <si>
    <t>A0.11 Tasdik Uygunluk</t>
  </si>
  <si>
    <t>VERİ GİRİŞİ A0.11</t>
  </si>
  <si>
    <t>Toplam Kapsam İçi Harcama (TL)</t>
  </si>
  <si>
    <t>Tüm projelerin H toplamı</t>
  </si>
  <si>
    <t>Toplam Kullanılabilir İndirim (D.6)</t>
  </si>
  <si>
    <t>K.4 — Tüm proje D.6 toplamı</t>
  </si>
  <si>
    <t>Bu Dönem Kullanılacak İndirim</t>
  </si>
  <si>
    <t>B.3 — Beyanname 410 satırı</t>
  </si>
  <si>
    <t>Toplam Sonraki Dönem Devreden</t>
  </si>
  <si>
    <t>B.4 — Tüm projeler toplamı</t>
  </si>
  <si>
    <t>GSF Yükümlülüğü (Toplam)</t>
  </si>
  <si>
    <t>G.2 — %2 fon aktarım zorunluluğu</t>
  </si>
  <si>
    <t>OTOMATİK KONTROL 1 — H.4 DIŞ HİZMETLER %20 SINIRI (Proje Bazında ve Toplam)</t>
  </si>
  <si>
    <t>Kural</t>
  </si>
  <si>
    <t>C1.a</t>
  </si>
  <si>
    <t>H.4 Dış Hizmet Tutarı (TL)</t>
  </si>
  <si>
    <t>Her proje sütunu VERİ GİRİŞİ'nden</t>
  </si>
  <si>
    <t>C1.b</t>
  </si>
  <si>
    <t>Toplam Ar-Ge Harcaması (TL)</t>
  </si>
  <si>
    <t>Her proje sütunu C(A) satırından</t>
  </si>
  <si>
    <t>C1.c</t>
  </si>
  <si>
    <t>H.4 / Toplam Oran (%)</t>
  </si>
  <si>
    <t>Oran %20'yi aşmamalıdır</t>
  </si>
  <si>
    <t>C1.d</t>
  </si>
  <si>
    <t>H.4 %20 Sınırı Sonucu</t>
  </si>
  <si>
    <t>UYGUN / AŞIYOR</t>
  </si>
  <si>
    <t>OTOMATİK KONTROL 2 — DESTEK PERSONELİ %10 TZE SINIRI (Toplam Merkez Bazında)</t>
  </si>
  <si>
    <t>Toplam TZE Ar-Ge Personeli (manuel giriş — VERİ GİRİŞİ A bölümünden)</t>
  </si>
  <si>
    <t>Min 15 (genel) / 30 (bazı NACE sektörü)</t>
  </si>
  <si>
    <t>Destek Personeli TZE (manuel giriş — tüm personel bazında)</t>
  </si>
  <si>
    <t>Tüm projelerdeki destek personeli toplamı</t>
  </si>
  <si>
    <t>İzin Verilen Azami Destek Personeli (%10)</t>
  </si>
  <si>
    <t>TZE Ar-Ge × %10</t>
  </si>
  <si>
    <t>Sınır Aşımı</t>
  </si>
  <si>
    <t>Pozitif ise H.2 düzeltilmeli</t>
  </si>
  <si>
    <t>Destek Personeli %10 Sonucu</t>
  </si>
  <si>
    <t>Aşan kısım tüm projelerin H.2'sinden orantılı düşülmeli</t>
  </si>
  <si>
    <t>410 – AR-GE İNDİRİMİ (5746 s.K. Md. 3) | ÇOK PROJELİ | YMM MESLEKİ DEĞERLENDİRME VE TASDİK NOTLARI</t>
  </si>
  <si>
    <t>→ Bu sayfa tek proje versiyonundaki içerikle aynı yapıda tutulmalıdır (v1.0 DENETÇİ NOTLARI referans alınız).</t>
  </si>
  <si>
    <t>410 – AR-GE İNDİRİMİ (5746 s.K. Md. 3) | ÇOK PROJELİ | TASDİK BELGE LİSTESİ VE DENETİM KANITI ENVANTERİ</t>
  </si>
  <si>
    <t>410 – AR-GE İNDİRİMİ (5746 s.K. Md. 3) | ÇOK PROJELİ | MUHASEBE KAYITLARI ÇALIŞMA KÂĞIDI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</si>
</sst>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9"/>
      <color rgb="FFFFFFFF"/>
      <name val="Arial"/>
    </font>
    <font>
      <sz val="9"/>
      <color rgb="FF1A5276"/>
      <name val="Arial"/>
    </font>
    <font>
      <b/>
      <sz val="10"/>
      <color rgb="FFFFFFFF"/>
      <name val="Arial"/>
    </font>
    <font>
      <b/>
      <sz val="9"/>
      <color rgb="FF1F3864"/>
      <name val="Arial"/>
    </font>
    <font>
      <b/>
      <sz val="11"/>
      <color rgb="FFFFFFFF"/>
      <name val="Arial"/>
    </font>
    <font>
      <sz val="9"/>
      <color rgb="FFC0392B"/>
      <name val="Arial"/>
    </font>
    <font>
      <b/>
      <sz val="10"/>
      <color rgb="FF0000FF"/>
      <name val="Arial"/>
    </font>
    <font>
      <i/>
      <sz val="8"/>
      <color rgb="FF555555"/>
      <name val="Arial"/>
    </font>
    <font>
      <b/>
      <sz val="10"/>
      <color rgb="FF1B5E20"/>
      <name val="Arial"/>
    </font>
    <font>
      <i/>
      <sz val="8"/>
      <color rgb="FFC0392B"/>
      <name val="Arial"/>
    </font>
    <font>
      <b/>
      <sz val="9"/>
      <color rgb="FFC0392B"/>
      <name val="Arial"/>
    </font>
    <font>
      <b/>
      <sz val="10"/>
      <color rgb="FFC0392B"/>
      <name val="Arial"/>
    </font>
    <font>
      <i/>
      <sz val="8"/>
      <color rgb="FF888888"/>
      <name val="Arial"/>
    </font>
    <font>
      <sz val="9"/>
      <color rgb="FF1F3864"/>
      <name val="Arial"/>
    </font>
    <font>
      <b/>
      <sz val="11"/>
      <color rgb="FF1B5E20"/>
      <name val="Arial"/>
    </font>
    <font>
      <b/>
      <sz val="12"/>
      <color rgb="FF1B5E20"/>
      <name val="Arial"/>
    </font>
    <font>
      <b/>
      <sz val="10"/>
      <color rgb="FF1F3864"/>
      <name val="Arial"/>
    </font>
    <font>
      <sz val="10"/>
      <color rgb="FF1F3864"/>
      <name val="Arial"/>
    </font>
    <font>
      <sz val="10"/>
      <color rgb="FF1B5E20"/>
      <name val="Arial"/>
    </font>
    <font>
      <sz val="9"/>
      <color rgb="FFFF8F00"/>
      <name val="Arial"/>
    </font>
    <font>
      <b/>
      <sz val="13"/>
      <color rgb="FFFFFFFF"/>
      <name val="Arial"/>
    </font>
    <font>
      <b/>
      <sz val="9"/>
      <color rgb="FF1B5E20"/>
      <name val="Arial"/>
    </font>
    <font>
      <sz val="10"/>
      <color rgb="FFC0392B"/>
      <name val="Arial"/>
    </font>
    <font>
      <sz val="11"/>
      <color rgb="FF1B5E20"/>
      <name val="Arial"/>
    </font>
    <font>
      <i/>
      <sz val="8"/>
      <color rgb="FF1B5E20"/>
      <name val="Arial"/>
    </font>
    <font>
      <i/>
      <sz val="10"/>
      <color rgb="FF555555"/>
      <name val="Arial"/>
    </font>
  </fonts>
  <fills count="20">
    <fill>
      <patternFill patternType="none"/>
    </fill>
    <fill>
      <patternFill patternType="gray125"/>
    </fill>
    <fill>
      <patternFill patternType="solid">
        <fgColor rgb="FF154360"/>
      </patternFill>
    </fill>
    <fill>
      <patternFill patternType="solid">
        <fgColor rgb="FF2E4057"/>
      </patternFill>
    </fill>
    <fill>
      <patternFill patternType="solid">
        <fgColor rgb="FFEBF5FB"/>
      </patternFill>
    </fill>
    <fill>
      <patternFill patternType="solid">
        <fgColor rgb="FFF0F0F0"/>
      </patternFill>
    </fill>
    <fill>
      <patternFill patternType="solid">
        <fgColor rgb="FFEEF4FF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C0392B"/>
      </patternFill>
    </fill>
    <fill>
      <patternFill patternType="solid">
        <fgColor rgb="FFFCE4D6"/>
      </patternFill>
    </fill>
    <fill>
      <patternFill patternType="solid">
        <fgColor rgb="FF2E5FA3"/>
      </patternFill>
    </fill>
    <fill>
      <patternFill patternType="solid">
        <fgColor rgb="FFC6EFCE"/>
      </patternFill>
    </fill>
    <fill>
      <patternFill patternType="solid">
        <fgColor rgb="FF1565C0"/>
      </patternFill>
    </fill>
    <fill>
      <patternFill patternType="solid">
        <fgColor rgb="FF1976D2"/>
      </patternFill>
    </fill>
    <fill>
      <patternFill patternType="solid">
        <fgColor rgb="FF2196F3"/>
      </patternFill>
    </fill>
    <fill>
      <patternFill patternType="solid">
        <fgColor rgb="FF42A5F5"/>
      </patternFill>
    </fill>
    <fill>
      <patternFill patternType="solid">
        <fgColor rgb="FF90CAF9"/>
      </patternFill>
    </fill>
    <fill>
      <patternFill patternType="solid">
        <fgColor rgb="FFFFF8E1"/>
      </patternFill>
    </fill>
    <fill>
      <patternFill patternType="solid">
        <fgColor rgb="FF1B5E20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5" borderId="2" xfId="0" applyFill="1" applyBorder="1"/>
    <xf numFmtId="0" fontId="5" fillId="6" borderId="2" xfId="0" applyFont="1" applyFill="1" applyBorder="1" applyAlignment="1">
      <alignment horizontal="left" vertical="center"/>
    </xf>
    <xf numFmtId="0" fontId="0" fillId="6" borderId="2" xfId="0" applyFill="1" applyBorder="1"/>
    <xf numFmtId="0" fontId="5" fillId="7" borderId="2" xfId="0" applyFont="1" applyFill="1" applyBorder="1" applyAlignment="1">
      <alignment horizontal="left" vertical="center"/>
    </xf>
    <xf numFmtId="0" fontId="0" fillId="7" borderId="2" xfId="0" applyFill="1" applyBorder="1"/>
    <xf numFmtId="0" fontId="0" fillId="8" borderId="2" xfId="0" applyFill="1" applyBorder="1"/>
    <xf numFmtId="0" fontId="7" fillId="10" borderId="2" xfId="0" applyFont="1" applyFill="1" applyBorder="1" applyAlignment="1">
      <alignment horizontal="left" vertical="center" wrapText="1"/>
    </xf>
    <xf numFmtId="0" fontId="0" fillId="10" borderId="2" xfId="0" applyFill="1" applyBorder="1"/>
    <xf numFmtId="0" fontId="2" fillId="11" borderId="1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0" fillId="12" borderId="2" xfId="0" applyFill="1" applyBorder="1"/>
    <xf numFmtId="0" fontId="10" fillId="12" borderId="2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left" vertical="center" wrapText="1"/>
    </xf>
    <xf numFmtId="0" fontId="14" fillId="6" borderId="2" xfId="0" applyFont="1" applyFill="1" applyBorder="1" applyAlignment="1">
      <alignment horizontal="left" vertical="center" wrapText="1"/>
    </xf>
    <xf numFmtId="0" fontId="14" fillId="7" borderId="2" xfId="0" applyFont="1" applyFill="1" applyBorder="1" applyAlignment="1">
      <alignment horizontal="left" vertical="center" wrapText="1"/>
    </xf>
    <xf numFmtId="0" fontId="2" fillId="11" borderId="1" xfId="0" applyFont="1" applyFill="1" applyBorder="1"/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left" vertical="center" wrapText="1"/>
    </xf>
    <xf numFmtId="0" fontId="9" fillId="12" borderId="2" xfId="0" applyFont="1" applyFill="1" applyBorder="1" applyAlignment="1">
      <alignment horizontal="left" vertical="center" wrapText="1"/>
    </xf>
    <xf numFmtId="0" fontId="15" fillId="7" borderId="2" xfId="0" applyFont="1" applyFill="1" applyBorder="1" applyAlignment="1">
      <alignment horizontal="left" vertical="center" wrapText="1"/>
    </xf>
    <xf numFmtId="0" fontId="12" fillId="10" borderId="2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16" fillId="12" borderId="2" xfId="0" applyFont="1" applyFill="1" applyBorder="1" applyAlignment="1">
      <alignment horizontal="center" vertical="center"/>
    </xf>
    <xf numFmtId="0" fontId="17" fillId="12" borderId="2" xfId="0" applyFont="1" applyFill="1" applyBorder="1" applyAlignment="1">
      <alignment horizontal="center" vertical="center"/>
    </xf>
    <xf numFmtId="0" fontId="18" fillId="11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left" vertical="center" wrapText="1"/>
    </xf>
    <xf numFmtId="0" fontId="10" fillId="6" borderId="2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left" vertical="center" wrapText="1"/>
    </xf>
    <xf numFmtId="0" fontId="20" fillId="12" borderId="2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left" vertical="center" wrapText="1"/>
    </xf>
    <xf numFmtId="0" fontId="0" fillId="8" borderId="2" xfId="0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/>
    </xf>
    <xf numFmtId="0" fontId="19" fillId="8" borderId="2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left" vertical="center" wrapText="1"/>
    </xf>
    <xf numFmtId="0" fontId="23" fillId="12" borderId="2" xfId="0" applyFont="1" applyFill="1" applyBorder="1" applyAlignment="1">
      <alignment horizontal="center" vertical="center"/>
    </xf>
    <xf numFmtId="0" fontId="23" fillId="12" borderId="2" xfId="0" applyFont="1" applyFill="1" applyBorder="1" applyAlignment="1">
      <alignment horizontal="left" vertical="center" wrapText="1"/>
    </xf>
    <xf numFmtId="0" fontId="18" fillId="8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left" vertical="center" wrapText="1"/>
    </xf>
    <xf numFmtId="0" fontId="23" fillId="12" borderId="2" xfId="0" applyFont="1" applyFill="1" applyBorder="1" applyAlignment="1">
      <alignment horizontal="left" vertical="center"/>
    </xf>
    <xf numFmtId="0" fontId="26" fillId="12" borderId="2" xfId="0" applyFont="1" applyFill="1" applyBorder="1" applyAlignment="1">
      <alignment horizontal="left" vertical="center" wrapText="1"/>
    </xf>
    <xf numFmtId="0" fontId="23" fillId="6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27" fillId="0" borderId="0" xfId="0" applyFont="1"/>
    <xf numFmtId="0" fontId="2" fillId="11" borderId="1" xfId="0" applyFont="1" applyFill="1" applyBorder="1" applyAlignment="1">
      <alignment horizontal="left" vertical="center"/>
    </xf>
    <xf numFmtId="0" fontId="0" fillId="11" borderId="1" xfId="0" applyFill="1" applyBorder="1"/>
    <xf numFmtId="0" fontId="12" fillId="10" borderId="2" xfId="0" applyFont="1" applyFill="1" applyBorder="1" applyAlignment="1">
      <alignment horizontal="left" vertical="center"/>
    </xf>
    <xf numFmtId="0" fontId="0" fillId="10" borderId="2" xfId="0" applyFill="1" applyBorder="1"/>
    <xf numFmtId="0" fontId="5" fillId="6" borderId="2" xfId="0" applyFont="1" applyFill="1" applyBorder="1" applyAlignment="1">
      <alignment horizontal="left" vertical="center"/>
    </xf>
    <xf numFmtId="0" fontId="0" fillId="6" borderId="2" xfId="0" applyFill="1" applyBorder="1"/>
    <xf numFmtId="0" fontId="5" fillId="10" borderId="2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0" fillId="7" borderId="2" xfId="0" applyFill="1" applyBorder="1"/>
    <xf numFmtId="0" fontId="4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5" fillId="8" borderId="2" xfId="0" applyFont="1" applyFill="1" applyBorder="1" applyAlignment="1">
      <alignment horizontal="left" vertical="center"/>
    </xf>
    <xf numFmtId="0" fontId="0" fillId="8" borderId="2" xfId="0" applyFill="1" applyBorder="1"/>
    <xf numFmtId="0" fontId="3" fillId="4" borderId="2" xfId="0" applyFont="1" applyFill="1" applyBorder="1" applyAlignment="1">
      <alignment horizontal="left" vertical="center" wrapText="1"/>
    </xf>
    <xf numFmtId="0" fontId="0" fillId="4" borderId="2" xfId="0" applyFill="1" applyBorder="1"/>
    <xf numFmtId="0" fontId="5" fillId="7" borderId="2" xfId="0" applyFont="1" applyFill="1" applyBorder="1" applyAlignment="1">
      <alignment horizontal="left" vertical="center"/>
    </xf>
    <xf numFmtId="0" fontId="21" fillId="18" borderId="2" xfId="0" applyFont="1" applyFill="1" applyBorder="1" applyAlignment="1">
      <alignment horizontal="left" vertical="center" wrapText="1"/>
    </xf>
    <xf numFmtId="0" fontId="0" fillId="18" borderId="2" xfId="0" applyFill="1" applyBorder="1"/>
    <xf numFmtId="0" fontId="9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0" fillId="3" borderId="2" xfId="0" applyFill="1" applyBorder="1"/>
    <xf numFmtId="0" fontId="4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2" fillId="11" borderId="1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11" fillId="10" borderId="2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/>
    </xf>
    <xf numFmtId="0" fontId="0" fillId="9" borderId="1" xfId="0" applyFill="1" applyBorder="1"/>
    <xf numFmtId="0" fontId="11" fillId="12" borderId="2" xfId="0" applyFont="1" applyFill="1" applyBorder="1" applyAlignment="1">
      <alignment horizontal="left" vertical="center" wrapText="1"/>
    </xf>
    <xf numFmtId="0" fontId="0" fillId="12" borderId="2" xfId="0" applyFill="1" applyBorder="1"/>
    <xf numFmtId="0" fontId="6" fillId="2" borderId="1" xfId="0" applyFont="1" applyFill="1" applyBorder="1" applyAlignment="1">
      <alignment horizontal="left" vertical="center"/>
    </xf>
    <xf numFmtId="0" fontId="5" fillId="12" borderId="2" xfId="0" applyFont="1" applyFill="1" applyBorder="1" applyAlignment="1">
      <alignment horizontal="left" vertical="center"/>
    </xf>
    <xf numFmtId="0" fontId="7" fillId="10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0" fillId="12" borderId="2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left" vertical="center" wrapText="1"/>
    </xf>
    <xf numFmtId="0" fontId="16" fillId="12" borderId="2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left" vertical="center" wrapText="1"/>
    </xf>
    <xf numFmtId="0" fontId="13" fillId="10" borderId="2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6" fillId="19" borderId="1" xfId="0" applyFont="1" applyFill="1" applyBorder="1" applyAlignment="1">
      <alignment horizontal="left" vertical="center"/>
    </xf>
    <xf numFmtId="0" fontId="0" fillId="19" borderId="1" xfId="0" applyFill="1" applyBorder="1"/>
    <xf numFmtId="0" fontId="25" fillId="8" borderId="2" xfId="0" applyFont="1" applyFill="1" applyBorder="1" applyAlignment="1">
      <alignment horizontal="center" vertical="center"/>
    </xf>
    <xf numFmtId="0" fontId="24" fillId="8" borderId="2" xfId="0" applyFont="1" applyFill="1" applyBorder="1" applyAlignment="1">
      <alignment horizontal="left" vertical="center" wrapText="1"/>
    </xf>
    <xf numFmtId="0" fontId="15" fillId="6" borderId="2" xfId="0" applyFont="1" applyFill="1" applyBorder="1" applyAlignment="1">
      <alignment horizontal="left" vertical="center" wrapText="1"/>
    </xf>
    <xf numFmtId="0" fontId="19" fillId="6" borderId="2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/>
    </xf>
    <xf numFmtId="0" fontId="17" fillId="1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 wrapText="1"/>
    </xf>
    <xf numFmtId="0" fontId="22" fillId="2" borderId="1" xfId="0" applyFont="1" applyFill="1" applyBorder="1" applyAlignment="1">
      <alignment horizontal="left" vertical="center"/>
    </xf>
    <xf numFmtId="0" fontId="25" fillId="7" borderId="2" xfId="0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left" vertical="center" wrapText="1"/>
    </xf>
    <xf numFmtId="0" fontId="25" fillId="6" borderId="2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0" fontId="4" fillId="19" borderId="1" xfId="0" applyFont="1" applyFill="1" applyBorder="1" applyAlignment="1">
      <alignment horizontal="left" vertical="center"/>
    </xf>
    <xf numFmtId="0" fontId="10" fillId="7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11">
    <dxf>
      <font>
        <b/>
        <sz val="10"/>
        <color rgb="FF7B5E00"/>
        <name val="Arial"/>
      </font>
      <fill>
        <patternFill patternType="solid">
          <fgColor rgb="FFFFF9C4"/>
          <bgColor rgb="FFFFF9C4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D01C6FF-7F71-449E-B5F3-764BCEB15D4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1271003-0452-4778-8ec0-31d176a7010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tabSelected="1" workbookViewId="0">
      <selection sqref="A1:I1"/>
    </sheetView>
  </sheetViews>
  <sheetFormatPr defaultRowHeight="14.4" x14ac:dyDescent="0.55000000000000004"/>
  <cols>
    <col min="1" max="1" width="4" customWidth="1"/>
    <col min="2" max="2" width="38" customWidth="1"/>
    <col min="3" max="7" width="16" customWidth="1"/>
    <col min="8" max="8" width="20" customWidth="1"/>
    <col min="9" max="9" width="26" customWidth="1"/>
  </cols>
  <sheetData>
    <row r="1" spans="1:9" ht="44.05" customHeight="1" x14ac:dyDescent="0.55000000000000004">
      <c r="A1" s="102" t="s">
        <v>0</v>
      </c>
      <c r="B1" s="77"/>
      <c r="C1" s="77"/>
      <c r="D1" s="77"/>
      <c r="E1" s="77"/>
      <c r="F1" s="77"/>
      <c r="G1" s="77"/>
      <c r="H1" s="77"/>
      <c r="I1" s="77"/>
    </row>
    <row r="2" spans="1:9" ht="20.05" customHeight="1" x14ac:dyDescent="0.55000000000000004">
      <c r="A2" s="87" t="s">
        <v>1</v>
      </c>
      <c r="B2" s="88"/>
      <c r="C2" s="88"/>
      <c r="D2" s="88"/>
      <c r="E2" s="88"/>
      <c r="F2" s="88"/>
      <c r="G2" s="88"/>
      <c r="H2" s="88"/>
      <c r="I2" s="88"/>
    </row>
    <row r="3" spans="1:9" ht="36" customHeight="1" x14ac:dyDescent="0.55000000000000004">
      <c r="A3" s="80" t="s">
        <v>2</v>
      </c>
      <c r="B3" s="81"/>
      <c r="C3" s="81"/>
      <c r="D3" s="81"/>
      <c r="E3" s="81"/>
      <c r="F3" s="81"/>
      <c r="G3" s="81"/>
      <c r="H3" s="81"/>
      <c r="I3" s="81"/>
    </row>
    <row r="4" spans="1:9" ht="5.05" customHeight="1" x14ac:dyDescent="0.55000000000000004">
      <c r="A4" s="1"/>
      <c r="B4" s="1"/>
      <c r="C4" s="1"/>
      <c r="D4" s="1"/>
      <c r="E4" s="1"/>
      <c r="F4" s="1"/>
      <c r="G4" s="1"/>
      <c r="H4" s="1"/>
      <c r="I4" s="1"/>
    </row>
    <row r="5" spans="1:9" ht="20.05" customHeight="1" x14ac:dyDescent="0.55000000000000004">
      <c r="A5" s="89" t="s">
        <v>3</v>
      </c>
      <c r="B5" s="90"/>
      <c r="C5" s="90"/>
      <c r="D5" s="90"/>
      <c r="E5" s="90"/>
      <c r="F5" s="90"/>
      <c r="G5" s="90"/>
      <c r="H5" s="90"/>
      <c r="I5" s="90"/>
    </row>
    <row r="6" spans="1:9" ht="18" customHeight="1" x14ac:dyDescent="0.55000000000000004">
      <c r="A6" s="71" t="s">
        <v>4</v>
      </c>
      <c r="B6" s="72"/>
      <c r="C6" s="71" t="s">
        <v>5</v>
      </c>
      <c r="D6" s="72"/>
      <c r="E6" s="72"/>
      <c r="F6" s="72"/>
      <c r="G6" s="72"/>
      <c r="H6" s="72"/>
      <c r="I6" s="72"/>
    </row>
    <row r="7" spans="1:9" ht="18" customHeight="1" x14ac:dyDescent="0.55000000000000004">
      <c r="A7" s="82" t="s">
        <v>6</v>
      </c>
      <c r="B7" s="75"/>
      <c r="C7" s="82" t="s">
        <v>7</v>
      </c>
      <c r="D7" s="75"/>
      <c r="E7" s="75"/>
      <c r="F7" s="75"/>
      <c r="G7" s="75"/>
      <c r="H7" s="75"/>
      <c r="I7" s="75"/>
    </row>
    <row r="8" spans="1:9" ht="18" customHeight="1" x14ac:dyDescent="0.55000000000000004">
      <c r="A8" s="71" t="s">
        <v>8</v>
      </c>
      <c r="B8" s="72"/>
      <c r="C8" s="78"/>
      <c r="D8" s="79"/>
      <c r="E8" s="79"/>
      <c r="F8" s="79"/>
      <c r="G8" s="79"/>
      <c r="H8" s="79"/>
      <c r="I8" s="79"/>
    </row>
    <row r="9" spans="1:9" ht="5.05" customHeight="1" x14ac:dyDescent="0.55000000000000004">
      <c r="A9" s="1"/>
      <c r="B9" s="1"/>
      <c r="C9" s="1"/>
      <c r="D9" s="1"/>
      <c r="E9" s="1"/>
      <c r="F9" s="1"/>
      <c r="G9" s="1"/>
      <c r="H9" s="1"/>
      <c r="I9" s="1"/>
    </row>
    <row r="10" spans="1:9" ht="28" customHeight="1" x14ac:dyDescent="0.55000000000000004">
      <c r="A10" s="95" t="s">
        <v>9</v>
      </c>
      <c r="B10" s="96"/>
      <c r="C10" s="96"/>
      <c r="D10" s="96"/>
      <c r="E10" s="96"/>
      <c r="F10" s="96"/>
      <c r="G10" s="96"/>
      <c r="H10" s="96"/>
      <c r="I10" s="96"/>
    </row>
    <row r="11" spans="1:9" ht="44.05" customHeight="1" x14ac:dyDescent="0.55000000000000004">
      <c r="A11" s="101" t="s">
        <v>10</v>
      </c>
      <c r="B11" s="70"/>
      <c r="C11" s="70"/>
      <c r="D11" s="70"/>
      <c r="E11" s="70"/>
      <c r="F11" s="70"/>
      <c r="G11" s="70"/>
      <c r="H11" s="70"/>
      <c r="I11" s="70"/>
    </row>
    <row r="12" spans="1:9" ht="18" customHeight="1" x14ac:dyDescent="0.55000000000000004">
      <c r="A12" s="91" t="s">
        <v>11</v>
      </c>
      <c r="B12" s="68"/>
      <c r="C12" s="9" t="s">
        <v>12</v>
      </c>
      <c r="D12" s="91" t="s">
        <v>13</v>
      </c>
      <c r="E12" s="68"/>
      <c r="F12" s="68"/>
      <c r="G12" s="68"/>
      <c r="H12" s="68"/>
      <c r="I12" s="68"/>
    </row>
    <row r="13" spans="1:9" ht="28" customHeight="1" x14ac:dyDescent="0.55000000000000004">
      <c r="A13" s="93" t="s">
        <v>14</v>
      </c>
      <c r="B13" s="75"/>
      <c r="C13" s="10" t="s">
        <v>15</v>
      </c>
      <c r="D13" s="74" t="s">
        <v>16</v>
      </c>
      <c r="E13" s="75"/>
      <c r="F13" s="75"/>
      <c r="G13" s="75"/>
      <c r="H13" s="75"/>
      <c r="I13" s="75"/>
    </row>
    <row r="14" spans="1:9" ht="28" customHeight="1" x14ac:dyDescent="0.55000000000000004">
      <c r="A14" s="73" t="s">
        <v>17</v>
      </c>
      <c r="B14" s="70"/>
      <c r="C14" s="10" t="s">
        <v>15</v>
      </c>
      <c r="D14" s="92" t="s">
        <v>18</v>
      </c>
      <c r="E14" s="70"/>
      <c r="F14" s="70"/>
      <c r="G14" s="70"/>
      <c r="H14" s="70"/>
      <c r="I14" s="70"/>
    </row>
    <row r="15" spans="1:9" ht="28" customHeight="1" x14ac:dyDescent="0.55000000000000004">
      <c r="A15" s="73" t="s">
        <v>19</v>
      </c>
      <c r="B15" s="70"/>
      <c r="C15" s="10" t="s">
        <v>15</v>
      </c>
      <c r="D15" s="92" t="s">
        <v>20</v>
      </c>
      <c r="E15" s="70"/>
      <c r="F15" s="70"/>
      <c r="G15" s="70"/>
      <c r="H15" s="70"/>
      <c r="I15" s="70"/>
    </row>
    <row r="16" spans="1:9" ht="28" customHeight="1" x14ac:dyDescent="0.55000000000000004">
      <c r="A16" s="86" t="s">
        <v>21</v>
      </c>
      <c r="B16" s="72"/>
      <c r="C16" s="10" t="s">
        <v>15</v>
      </c>
      <c r="D16" s="85" t="s">
        <v>22</v>
      </c>
      <c r="E16" s="72"/>
      <c r="F16" s="72"/>
      <c r="G16" s="72"/>
      <c r="H16" s="72"/>
      <c r="I16" s="72"/>
    </row>
    <row r="17" spans="1:9" ht="28" customHeight="1" x14ac:dyDescent="0.55000000000000004">
      <c r="A17" s="93" t="s">
        <v>23</v>
      </c>
      <c r="B17" s="75"/>
      <c r="C17" s="10" t="s">
        <v>24</v>
      </c>
      <c r="D17" s="74" t="s">
        <v>25</v>
      </c>
      <c r="E17" s="75"/>
      <c r="F17" s="75"/>
      <c r="G17" s="75"/>
      <c r="H17" s="75"/>
      <c r="I17" s="75"/>
    </row>
    <row r="18" spans="1:9" ht="28" customHeight="1" x14ac:dyDescent="0.55000000000000004">
      <c r="A18" s="86" t="s">
        <v>26</v>
      </c>
      <c r="B18" s="72"/>
      <c r="C18" s="10" t="s">
        <v>15</v>
      </c>
      <c r="D18" s="85" t="s">
        <v>27</v>
      </c>
      <c r="E18" s="72"/>
      <c r="F18" s="72"/>
      <c r="G18" s="72"/>
      <c r="H18" s="72"/>
      <c r="I18" s="72"/>
    </row>
    <row r="19" spans="1:9" ht="28" customHeight="1" x14ac:dyDescent="0.55000000000000004">
      <c r="A19" s="93" t="s">
        <v>28</v>
      </c>
      <c r="B19" s="75"/>
      <c r="C19" s="10" t="s">
        <v>24</v>
      </c>
      <c r="D19" s="74" t="s">
        <v>29</v>
      </c>
      <c r="E19" s="75"/>
      <c r="F19" s="75"/>
      <c r="G19" s="75"/>
      <c r="H19" s="75"/>
      <c r="I19" s="75"/>
    </row>
    <row r="20" spans="1:9" ht="28" customHeight="1" x14ac:dyDescent="0.55000000000000004">
      <c r="A20" s="86" t="s">
        <v>30</v>
      </c>
      <c r="B20" s="72"/>
      <c r="C20" s="10" t="s">
        <v>24</v>
      </c>
      <c r="D20" s="85" t="s">
        <v>31</v>
      </c>
      <c r="E20" s="72"/>
      <c r="F20" s="72"/>
      <c r="G20" s="72"/>
      <c r="H20" s="72"/>
      <c r="I20" s="72"/>
    </row>
    <row r="21" spans="1:9" ht="28" customHeight="1" x14ac:dyDescent="0.55000000000000004">
      <c r="A21" s="93" t="s">
        <v>32</v>
      </c>
      <c r="B21" s="75"/>
      <c r="C21" s="10" t="s">
        <v>15</v>
      </c>
      <c r="D21" s="74" t="s">
        <v>33</v>
      </c>
      <c r="E21" s="75"/>
      <c r="F21" s="75"/>
      <c r="G21" s="75"/>
      <c r="H21" s="75"/>
      <c r="I21" s="75"/>
    </row>
    <row r="22" spans="1:9" ht="28" customHeight="1" x14ac:dyDescent="0.55000000000000004">
      <c r="A22" s="86" t="s">
        <v>34</v>
      </c>
      <c r="B22" s="72"/>
      <c r="C22" s="10" t="s">
        <v>15</v>
      </c>
      <c r="D22" s="85" t="s">
        <v>35</v>
      </c>
      <c r="E22" s="72"/>
      <c r="F22" s="72"/>
      <c r="G22" s="72"/>
      <c r="H22" s="72"/>
      <c r="I22" s="72"/>
    </row>
    <row r="23" spans="1:9" ht="24" customHeight="1" x14ac:dyDescent="0.55000000000000004">
      <c r="A23" s="100" t="s">
        <v>36</v>
      </c>
      <c r="B23" s="98"/>
      <c r="C23" s="15" t="str">
        <f>IF(AND(C13="EVET",C14="EVET",C15="EVET",C16="EVET",C21="EVET",C22="EVET"),"✅ OK – Hesaplanabilir","⛔ HATA – Ön koşul eksik")</f>
        <v>✅ OK – Hesaplanabilir</v>
      </c>
      <c r="D23" s="97" t="s">
        <v>37</v>
      </c>
      <c r="E23" s="98"/>
      <c r="F23" s="98"/>
      <c r="G23" s="98"/>
      <c r="H23" s="98"/>
      <c r="I23" s="98"/>
    </row>
    <row r="24" spans="1:9" ht="20.05" customHeight="1" x14ac:dyDescent="0.55000000000000004">
      <c r="A24" s="69" t="s">
        <v>38</v>
      </c>
      <c r="B24" s="70"/>
      <c r="C24" s="16" t="str">
        <f>IF(C23="⛔ HATA – Ön koşul eksik","⛔ BU MODÜL KULLANILAMAZ — A0 Kontrolünü Tamamlayın","")</f>
        <v/>
      </c>
      <c r="D24" s="94" t="s">
        <v>39</v>
      </c>
      <c r="E24" s="70"/>
      <c r="F24" s="70"/>
      <c r="G24" s="70"/>
      <c r="H24" s="70"/>
      <c r="I24" s="70"/>
    </row>
    <row r="25" spans="1:9" ht="5.05" customHeight="1" x14ac:dyDescent="0.55000000000000004">
      <c r="A25" s="1"/>
      <c r="B25" s="1"/>
      <c r="C25" s="1"/>
      <c r="D25" s="1"/>
      <c r="E25" s="1"/>
      <c r="F25" s="1"/>
      <c r="G25" s="1"/>
      <c r="H25" s="1"/>
      <c r="I25" s="1"/>
    </row>
    <row r="26" spans="1:9" ht="22" customHeight="1" x14ac:dyDescent="0.55000000000000004">
      <c r="A26" s="76" t="s">
        <v>40</v>
      </c>
      <c r="B26" s="77"/>
      <c r="C26" s="77"/>
      <c r="D26" s="77"/>
      <c r="E26" s="77"/>
      <c r="F26" s="77"/>
      <c r="G26" s="77"/>
      <c r="H26" s="77"/>
      <c r="I26" s="77"/>
    </row>
    <row r="27" spans="1:9" ht="18" customHeight="1" x14ac:dyDescent="0.55000000000000004">
      <c r="A27" s="9" t="s">
        <v>41</v>
      </c>
      <c r="B27" s="9"/>
      <c r="C27" s="9" t="s">
        <v>42</v>
      </c>
      <c r="D27" s="9"/>
      <c r="E27" s="9"/>
      <c r="F27" s="9"/>
      <c r="G27" s="9"/>
      <c r="H27" s="9"/>
      <c r="I27" s="9" t="s">
        <v>43</v>
      </c>
    </row>
    <row r="28" spans="1:9" ht="20.05" customHeight="1" x14ac:dyDescent="0.55000000000000004">
      <c r="A28" s="71" t="s">
        <v>44</v>
      </c>
      <c r="B28" s="72"/>
      <c r="C28" s="79"/>
      <c r="D28" s="79"/>
      <c r="E28" s="79"/>
      <c r="F28" s="79"/>
      <c r="G28" s="79"/>
      <c r="H28" s="79"/>
      <c r="I28" s="18" t="s">
        <v>45</v>
      </c>
    </row>
    <row r="29" spans="1:9" ht="20.05" customHeight="1" x14ac:dyDescent="0.55000000000000004">
      <c r="A29" s="82" t="s">
        <v>46</v>
      </c>
      <c r="B29" s="75"/>
      <c r="C29" s="79"/>
      <c r="D29" s="79"/>
      <c r="E29" s="79"/>
      <c r="F29" s="79"/>
      <c r="G29" s="79"/>
      <c r="H29" s="79"/>
      <c r="I29" s="19"/>
    </row>
    <row r="30" spans="1:9" ht="20.05" customHeight="1" x14ac:dyDescent="0.55000000000000004">
      <c r="A30" s="71" t="s">
        <v>47</v>
      </c>
      <c r="B30" s="72"/>
      <c r="C30" s="79"/>
      <c r="D30" s="79"/>
      <c r="E30" s="79"/>
      <c r="F30" s="79"/>
      <c r="G30" s="79"/>
      <c r="H30" s="79"/>
      <c r="I30" s="18" t="s">
        <v>48</v>
      </c>
    </row>
    <row r="31" spans="1:9" ht="20.05" customHeight="1" x14ac:dyDescent="0.55000000000000004">
      <c r="A31" s="82" t="s">
        <v>49</v>
      </c>
      <c r="B31" s="75"/>
      <c r="C31" s="79"/>
      <c r="D31" s="79"/>
      <c r="E31" s="79"/>
      <c r="F31" s="79"/>
      <c r="G31" s="79"/>
      <c r="H31" s="79"/>
      <c r="I31" s="19" t="s">
        <v>50</v>
      </c>
    </row>
    <row r="32" spans="1:9" ht="20.05" customHeight="1" x14ac:dyDescent="0.55000000000000004">
      <c r="A32" s="71" t="s">
        <v>51</v>
      </c>
      <c r="B32" s="72"/>
      <c r="C32" s="79"/>
      <c r="D32" s="79"/>
      <c r="E32" s="79"/>
      <c r="F32" s="79"/>
      <c r="G32" s="79"/>
      <c r="H32" s="79"/>
      <c r="I32" s="18" t="s">
        <v>52</v>
      </c>
    </row>
    <row r="33" spans="1:9" ht="20.05" customHeight="1" x14ac:dyDescent="0.55000000000000004">
      <c r="A33" s="82" t="s">
        <v>53</v>
      </c>
      <c r="B33" s="75"/>
      <c r="C33" s="79"/>
      <c r="D33" s="79"/>
      <c r="E33" s="79"/>
      <c r="F33" s="79"/>
      <c r="G33" s="79"/>
      <c r="H33" s="79"/>
      <c r="I33" s="19" t="s">
        <v>54</v>
      </c>
    </row>
    <row r="34" spans="1:9" ht="20.05" customHeight="1" x14ac:dyDescent="0.55000000000000004">
      <c r="A34" s="71" t="s">
        <v>55</v>
      </c>
      <c r="B34" s="72"/>
      <c r="C34" s="79"/>
      <c r="D34" s="79"/>
      <c r="E34" s="79"/>
      <c r="F34" s="79"/>
      <c r="G34" s="79"/>
      <c r="H34" s="79"/>
      <c r="I34" s="18" t="s">
        <v>56</v>
      </c>
    </row>
    <row r="35" spans="1:9" ht="20.05" customHeight="1" x14ac:dyDescent="0.55000000000000004">
      <c r="A35" s="82" t="s">
        <v>57</v>
      </c>
      <c r="B35" s="75"/>
      <c r="C35" s="79"/>
      <c r="D35" s="79"/>
      <c r="E35" s="79"/>
      <c r="F35" s="79"/>
      <c r="G35" s="79"/>
      <c r="H35" s="79"/>
      <c r="I35" s="19" t="s">
        <v>58</v>
      </c>
    </row>
    <row r="36" spans="1:9" ht="5.05" customHeight="1" x14ac:dyDescent="0.55000000000000004">
      <c r="A36" s="1"/>
      <c r="B36" s="1"/>
      <c r="C36" s="1"/>
      <c r="D36" s="1"/>
      <c r="E36" s="1"/>
      <c r="F36" s="1"/>
      <c r="G36" s="1"/>
      <c r="H36" s="1"/>
      <c r="I36" s="1"/>
    </row>
    <row r="37" spans="1:9" ht="22" customHeight="1" x14ac:dyDescent="0.55000000000000004">
      <c r="A37" s="76" t="s">
        <v>59</v>
      </c>
      <c r="B37" s="77"/>
      <c r="C37" s="77"/>
      <c r="D37" s="77"/>
      <c r="E37" s="77"/>
      <c r="F37" s="77"/>
      <c r="G37" s="77"/>
      <c r="H37" s="77"/>
      <c r="I37" s="77"/>
    </row>
    <row r="38" spans="1:9" ht="22" customHeight="1" x14ac:dyDescent="0.55000000000000004">
      <c r="A38" s="20"/>
      <c r="B38" s="20" t="s">
        <v>60</v>
      </c>
      <c r="C38" s="21" t="s">
        <v>61</v>
      </c>
      <c r="D38" s="22" t="s">
        <v>62</v>
      </c>
      <c r="E38" s="23" t="s">
        <v>63</v>
      </c>
      <c r="F38" s="24" t="s">
        <v>64</v>
      </c>
      <c r="G38" s="25" t="s">
        <v>65</v>
      </c>
      <c r="H38" s="26" t="s">
        <v>66</v>
      </c>
      <c r="I38" s="9" t="s">
        <v>67</v>
      </c>
    </row>
    <row r="39" spans="1:9" ht="22" customHeight="1" x14ac:dyDescent="0.55000000000000004">
      <c r="A39" s="27" t="s">
        <v>68</v>
      </c>
      <c r="B39" s="4" t="s">
        <v>69</v>
      </c>
      <c r="C39" s="6"/>
      <c r="D39" s="6"/>
      <c r="E39" s="6"/>
      <c r="F39" s="6"/>
      <c r="G39" s="6"/>
      <c r="H39" s="5"/>
      <c r="I39" s="19" t="s">
        <v>70</v>
      </c>
    </row>
    <row r="40" spans="1:9" ht="22" customHeight="1" x14ac:dyDescent="0.55000000000000004">
      <c r="A40" s="28" t="s">
        <v>71</v>
      </c>
      <c r="B40" s="2" t="s">
        <v>72</v>
      </c>
      <c r="C40" s="6"/>
      <c r="D40" s="6"/>
      <c r="E40" s="6"/>
      <c r="F40" s="6"/>
      <c r="G40" s="6"/>
      <c r="H40" s="3"/>
      <c r="I40" s="18" t="s">
        <v>73</v>
      </c>
    </row>
    <row r="41" spans="1:9" ht="22" customHeight="1" x14ac:dyDescent="0.55000000000000004">
      <c r="A41" s="27" t="s">
        <v>74</v>
      </c>
      <c r="B41" s="4" t="s">
        <v>75</v>
      </c>
      <c r="C41" s="6"/>
      <c r="D41" s="6"/>
      <c r="E41" s="6"/>
      <c r="F41" s="6"/>
      <c r="G41" s="6"/>
      <c r="H41" s="5"/>
      <c r="I41" s="19" t="s">
        <v>76</v>
      </c>
    </row>
    <row r="42" spans="1:9" ht="5.05" customHeight="1" x14ac:dyDescent="0.55000000000000004">
      <c r="A42" s="1"/>
      <c r="B42" s="1"/>
      <c r="C42" s="1"/>
      <c r="D42" s="1"/>
      <c r="E42" s="1"/>
      <c r="F42" s="1"/>
      <c r="G42" s="1"/>
      <c r="H42" s="1"/>
      <c r="I42" s="1"/>
    </row>
    <row r="43" spans="1:9" ht="28" customHeight="1" x14ac:dyDescent="0.55000000000000004">
      <c r="A43" s="76" t="s">
        <v>77</v>
      </c>
      <c r="B43" s="77"/>
      <c r="C43" s="77"/>
      <c r="D43" s="77"/>
      <c r="E43" s="77"/>
      <c r="F43" s="77"/>
      <c r="G43" s="77"/>
      <c r="H43" s="77"/>
      <c r="I43" s="77"/>
    </row>
    <row r="44" spans="1:9" ht="36" customHeight="1" x14ac:dyDescent="0.55000000000000004">
      <c r="A44" s="80" t="s">
        <v>78</v>
      </c>
      <c r="B44" s="81"/>
      <c r="C44" s="81"/>
      <c r="D44" s="81"/>
      <c r="E44" s="81"/>
      <c r="F44" s="81"/>
      <c r="G44" s="81"/>
      <c r="H44" s="81"/>
      <c r="I44" s="81"/>
    </row>
    <row r="45" spans="1:9" ht="18" customHeight="1" x14ac:dyDescent="0.55000000000000004">
      <c r="A45" s="9" t="s">
        <v>79</v>
      </c>
      <c r="B45" s="9" t="s">
        <v>80</v>
      </c>
      <c r="C45" s="29" t="s">
        <v>81</v>
      </c>
      <c r="D45" s="30" t="s">
        <v>82</v>
      </c>
      <c r="E45" s="31" t="s">
        <v>83</v>
      </c>
      <c r="F45" s="32" t="s">
        <v>84</v>
      </c>
      <c r="G45" s="33" t="s">
        <v>85</v>
      </c>
      <c r="H45" s="26" t="s">
        <v>86</v>
      </c>
      <c r="I45" s="9" t="s">
        <v>87</v>
      </c>
    </row>
    <row r="46" spans="1:9" ht="30" customHeight="1" x14ac:dyDescent="0.55000000000000004">
      <c r="A46" s="34" t="s">
        <v>88</v>
      </c>
      <c r="B46" s="35" t="s">
        <v>89</v>
      </c>
      <c r="C46" s="6"/>
      <c r="D46" s="6"/>
      <c r="E46" s="6"/>
      <c r="F46" s="6"/>
      <c r="G46" s="6"/>
      <c r="H46" s="15">
        <f t="shared" ref="H46:H54" si="0">SUM(C46:G46)</f>
        <v>0</v>
      </c>
      <c r="I46" s="36" t="s">
        <v>90</v>
      </c>
    </row>
    <row r="47" spans="1:9" ht="30" customHeight="1" x14ac:dyDescent="0.55000000000000004">
      <c r="A47" s="34" t="s">
        <v>91</v>
      </c>
      <c r="B47" s="35" t="s">
        <v>92</v>
      </c>
      <c r="C47" s="6"/>
      <c r="D47" s="6"/>
      <c r="E47" s="6"/>
      <c r="F47" s="6"/>
      <c r="G47" s="6"/>
      <c r="H47" s="15">
        <f t="shared" si="0"/>
        <v>0</v>
      </c>
      <c r="I47" s="36" t="s">
        <v>93</v>
      </c>
    </row>
    <row r="48" spans="1:9" ht="30" customHeight="1" x14ac:dyDescent="0.55000000000000004">
      <c r="A48" s="34" t="s">
        <v>94</v>
      </c>
      <c r="B48" s="35" t="s">
        <v>95</v>
      </c>
      <c r="C48" s="6"/>
      <c r="D48" s="6"/>
      <c r="E48" s="6"/>
      <c r="F48" s="6"/>
      <c r="G48" s="6"/>
      <c r="H48" s="15">
        <f t="shared" si="0"/>
        <v>0</v>
      </c>
      <c r="I48" s="36" t="s">
        <v>96</v>
      </c>
    </row>
    <row r="49" spans="1:9" ht="30" customHeight="1" x14ac:dyDescent="0.55000000000000004">
      <c r="A49" s="34" t="s">
        <v>97</v>
      </c>
      <c r="B49" s="35" t="s">
        <v>98</v>
      </c>
      <c r="C49" s="6"/>
      <c r="D49" s="6"/>
      <c r="E49" s="6"/>
      <c r="F49" s="6"/>
      <c r="G49" s="6"/>
      <c r="H49" s="15">
        <f t="shared" si="0"/>
        <v>0</v>
      </c>
      <c r="I49" s="36" t="s">
        <v>99</v>
      </c>
    </row>
    <row r="50" spans="1:9" ht="30" customHeight="1" x14ac:dyDescent="0.55000000000000004">
      <c r="A50" s="34" t="s">
        <v>100</v>
      </c>
      <c r="B50" s="35" t="s">
        <v>101</v>
      </c>
      <c r="C50" s="6"/>
      <c r="D50" s="6"/>
      <c r="E50" s="6"/>
      <c r="F50" s="6"/>
      <c r="G50" s="6"/>
      <c r="H50" s="15">
        <f t="shared" si="0"/>
        <v>0</v>
      </c>
      <c r="I50" s="36" t="s">
        <v>102</v>
      </c>
    </row>
    <row r="51" spans="1:9" ht="30" customHeight="1" x14ac:dyDescent="0.55000000000000004">
      <c r="A51" s="34" t="s">
        <v>103</v>
      </c>
      <c r="B51" s="35" t="s">
        <v>104</v>
      </c>
      <c r="C51" s="6"/>
      <c r="D51" s="6"/>
      <c r="E51" s="6"/>
      <c r="F51" s="6"/>
      <c r="G51" s="6"/>
      <c r="H51" s="15">
        <f t="shared" si="0"/>
        <v>0</v>
      </c>
      <c r="I51" s="36" t="s">
        <v>105</v>
      </c>
    </row>
    <row r="52" spans="1:9" ht="30" customHeight="1" x14ac:dyDescent="0.55000000000000004">
      <c r="A52" s="34" t="s">
        <v>106</v>
      </c>
      <c r="B52" s="35" t="s">
        <v>107</v>
      </c>
      <c r="C52" s="6"/>
      <c r="D52" s="6"/>
      <c r="E52" s="6"/>
      <c r="F52" s="6"/>
      <c r="G52" s="6"/>
      <c r="H52" s="15">
        <f t="shared" si="0"/>
        <v>0</v>
      </c>
      <c r="I52" s="36" t="s">
        <v>108</v>
      </c>
    </row>
    <row r="53" spans="1:9" ht="30" customHeight="1" x14ac:dyDescent="0.55000000000000004">
      <c r="A53" s="27" t="s">
        <v>109</v>
      </c>
      <c r="B53" s="37" t="s">
        <v>110</v>
      </c>
      <c r="C53" s="6"/>
      <c r="D53" s="6"/>
      <c r="E53" s="6"/>
      <c r="F53" s="6"/>
      <c r="G53" s="6"/>
      <c r="H53" s="15">
        <f t="shared" si="0"/>
        <v>0</v>
      </c>
      <c r="I53" s="11" t="s">
        <v>111</v>
      </c>
    </row>
    <row r="54" spans="1:9" ht="30" customHeight="1" x14ac:dyDescent="0.55000000000000004">
      <c r="A54" s="27" t="s">
        <v>112</v>
      </c>
      <c r="B54" s="37" t="s">
        <v>113</v>
      </c>
      <c r="C54" s="6"/>
      <c r="D54" s="6"/>
      <c r="E54" s="6"/>
      <c r="F54" s="6"/>
      <c r="G54" s="6"/>
      <c r="H54" s="15">
        <f t="shared" si="0"/>
        <v>0</v>
      </c>
      <c r="I54" s="11" t="s">
        <v>114</v>
      </c>
    </row>
    <row r="55" spans="1:9" ht="30" customHeight="1" x14ac:dyDescent="0.55000000000000004">
      <c r="A55" s="38" t="s">
        <v>115</v>
      </c>
      <c r="B55" s="7" t="s">
        <v>116</v>
      </c>
      <c r="C55" s="6"/>
      <c r="D55" s="6"/>
      <c r="E55" s="6"/>
      <c r="F55" s="6"/>
      <c r="G55" s="6"/>
      <c r="H55" s="39"/>
      <c r="I55" s="17" t="s">
        <v>117</v>
      </c>
    </row>
    <row r="56" spans="1:9" ht="26.05" customHeight="1" x14ac:dyDescent="0.55000000000000004">
      <c r="A56" s="40" t="s">
        <v>118</v>
      </c>
      <c r="B56" s="41" t="s">
        <v>119</v>
      </c>
      <c r="C56" s="42">
        <f>SUM(C46:C54)</f>
        <v>0</v>
      </c>
      <c r="D56" s="42">
        <f>SUM(D46:D54)</f>
        <v>0</v>
      </c>
      <c r="E56" s="42">
        <f>SUM(E46:E54)</f>
        <v>0</v>
      </c>
      <c r="F56" s="42">
        <f>SUM(F46:F54)</f>
        <v>0</v>
      </c>
      <c r="G56" s="42">
        <f>SUM(G46:G54)</f>
        <v>0</v>
      </c>
      <c r="H56" s="43">
        <f>SUM(C56:G56)</f>
        <v>0</v>
      </c>
      <c r="I56" s="36" t="s">
        <v>120</v>
      </c>
    </row>
    <row r="57" spans="1:9" ht="5.05" customHeight="1" x14ac:dyDescent="0.55000000000000004">
      <c r="A57" s="1"/>
      <c r="B57" s="1"/>
      <c r="C57" s="1"/>
      <c r="D57" s="1"/>
      <c r="E57" s="1"/>
      <c r="F57" s="1"/>
      <c r="G57" s="1"/>
      <c r="H57" s="1"/>
      <c r="I57" s="1"/>
    </row>
    <row r="58" spans="1:9" ht="30" customHeight="1" x14ac:dyDescent="0.55000000000000004">
      <c r="A58" s="99" t="s">
        <v>121</v>
      </c>
      <c r="B58" s="77"/>
      <c r="C58" s="77"/>
      <c r="D58" s="77"/>
      <c r="E58" s="77"/>
      <c r="F58" s="77"/>
      <c r="G58" s="77"/>
      <c r="H58" s="77"/>
      <c r="I58" s="77"/>
    </row>
    <row r="59" spans="1:9" ht="36" customHeight="1" x14ac:dyDescent="0.55000000000000004">
      <c r="A59" s="101" t="s">
        <v>122</v>
      </c>
      <c r="B59" s="70"/>
      <c r="C59" s="70"/>
      <c r="D59" s="70"/>
      <c r="E59" s="70"/>
      <c r="F59" s="70"/>
      <c r="G59" s="70"/>
      <c r="H59" s="70"/>
      <c r="I59" s="70"/>
    </row>
    <row r="60" spans="1:9" ht="18" customHeight="1" x14ac:dyDescent="0.55000000000000004">
      <c r="A60" s="9" t="s">
        <v>79</v>
      </c>
      <c r="B60" s="9" t="s">
        <v>123</v>
      </c>
      <c r="C60" s="29" t="s">
        <v>124</v>
      </c>
      <c r="D60" s="30" t="s">
        <v>125</v>
      </c>
      <c r="E60" s="31" t="s">
        <v>126</v>
      </c>
      <c r="F60" s="32" t="s">
        <v>127</v>
      </c>
      <c r="G60" s="33" t="s">
        <v>128</v>
      </c>
      <c r="H60" s="26" t="s">
        <v>129</v>
      </c>
      <c r="I60" s="9" t="s">
        <v>130</v>
      </c>
    </row>
    <row r="61" spans="1:9" ht="28" customHeight="1" x14ac:dyDescent="0.55000000000000004">
      <c r="A61" s="44" t="s">
        <v>131</v>
      </c>
      <c r="B61" s="45" t="s">
        <v>132</v>
      </c>
      <c r="C61" s="15">
        <f t="shared" ref="C61:H61" si="1">C56</f>
        <v>0</v>
      </c>
      <c r="D61" s="15">
        <f t="shared" si="1"/>
        <v>0</v>
      </c>
      <c r="E61" s="15">
        <f t="shared" si="1"/>
        <v>0</v>
      </c>
      <c r="F61" s="15">
        <f t="shared" si="1"/>
        <v>0</v>
      </c>
      <c r="G61" s="15">
        <f t="shared" si="1"/>
        <v>0</v>
      </c>
      <c r="H61" s="46">
        <f t="shared" si="1"/>
        <v>0</v>
      </c>
      <c r="I61" s="36" t="s">
        <v>133</v>
      </c>
    </row>
    <row r="62" spans="1:9" ht="28" customHeight="1" x14ac:dyDescent="0.55000000000000004">
      <c r="A62" s="47" t="s">
        <v>134</v>
      </c>
      <c r="B62" s="48" t="s">
        <v>135</v>
      </c>
      <c r="C62" s="49">
        <v>1</v>
      </c>
      <c r="D62" s="49">
        <v>1</v>
      </c>
      <c r="E62" s="49">
        <v>1</v>
      </c>
      <c r="F62" s="49">
        <v>1</v>
      </c>
      <c r="G62" s="49">
        <v>1</v>
      </c>
      <c r="H62" s="46">
        <v>1</v>
      </c>
      <c r="I62" s="13" t="s">
        <v>136</v>
      </c>
    </row>
    <row r="63" spans="1:9" ht="28" customHeight="1" x14ac:dyDescent="0.55000000000000004">
      <c r="A63" s="44" t="s">
        <v>137</v>
      </c>
      <c r="B63" s="45" t="s">
        <v>138</v>
      </c>
      <c r="C63" s="15">
        <f>C61*C62</f>
        <v>0</v>
      </c>
      <c r="D63" s="15">
        <f>D61*D62</f>
        <v>0</v>
      </c>
      <c r="E63" s="15">
        <f>E61*E62</f>
        <v>0</v>
      </c>
      <c r="F63" s="15">
        <f>F61*F62</f>
        <v>0</v>
      </c>
      <c r="G63" s="15">
        <f>G61*G62</f>
        <v>0</v>
      </c>
      <c r="H63" s="46">
        <f>SUM(C63:G63)</f>
        <v>0</v>
      </c>
      <c r="I63" s="36" t="s">
        <v>139</v>
      </c>
    </row>
    <row r="64" spans="1:9" ht="28" customHeight="1" x14ac:dyDescent="0.55000000000000004">
      <c r="A64" s="50" t="s">
        <v>140</v>
      </c>
      <c r="B64" s="51" t="s">
        <v>141</v>
      </c>
      <c r="C64" s="52"/>
      <c r="D64" s="52"/>
      <c r="E64" s="52"/>
      <c r="F64" s="52"/>
      <c r="G64" s="52"/>
      <c r="H64" s="46">
        <f>SUM(C64:G64)</f>
        <v>0</v>
      </c>
      <c r="I64" s="11" t="s">
        <v>142</v>
      </c>
    </row>
    <row r="65" spans="1:9" ht="20.05" customHeight="1" x14ac:dyDescent="0.55000000000000004">
      <c r="A65" s="67" t="s">
        <v>143</v>
      </c>
      <c r="B65" s="68"/>
      <c r="C65" s="68"/>
      <c r="D65" s="68"/>
      <c r="E65" s="68"/>
      <c r="F65" s="68"/>
      <c r="G65" s="68"/>
      <c r="H65" s="68"/>
      <c r="I65" s="68"/>
    </row>
    <row r="66" spans="1:9" ht="28" customHeight="1" x14ac:dyDescent="0.55000000000000004">
      <c r="A66" s="47" t="s">
        <v>144</v>
      </c>
      <c r="B66" s="48" t="s">
        <v>145</v>
      </c>
      <c r="C66" s="52"/>
      <c r="D66" s="52"/>
      <c r="E66" s="52"/>
      <c r="F66" s="52"/>
      <c r="G66" s="52"/>
      <c r="H66" s="46">
        <f>SUM(C66:G66)</f>
        <v>0</v>
      </c>
      <c r="I66" s="13" t="s">
        <v>146</v>
      </c>
    </row>
    <row r="67" spans="1:9" ht="28" customHeight="1" x14ac:dyDescent="0.55000000000000004">
      <c r="A67" s="50" t="s">
        <v>147</v>
      </c>
      <c r="B67" s="51" t="s">
        <v>148</v>
      </c>
      <c r="C67" s="49">
        <f>C66*IFERROR(C34/100,0)</f>
        <v>0</v>
      </c>
      <c r="D67" s="49">
        <f>D66*IFERROR(C34/100,0)</f>
        <v>0</v>
      </c>
      <c r="E67" s="49">
        <f>E66*IFERROR(C34/100,0)</f>
        <v>0</v>
      </c>
      <c r="F67" s="49">
        <f>F66*IFERROR(C34/100,0)</f>
        <v>0</v>
      </c>
      <c r="G67" s="49">
        <f>G66*IFERROR(C34/100,0)</f>
        <v>0</v>
      </c>
      <c r="H67" s="46">
        <f>SUM(C67:G67)</f>
        <v>0</v>
      </c>
      <c r="I67" s="11" t="s">
        <v>149</v>
      </c>
    </row>
    <row r="68" spans="1:9" ht="28" customHeight="1" x14ac:dyDescent="0.55000000000000004">
      <c r="A68" s="44" t="s">
        <v>150</v>
      </c>
      <c r="B68" s="45" t="s">
        <v>151</v>
      </c>
      <c r="C68" s="15">
        <f>C66+C67</f>
        <v>0</v>
      </c>
      <c r="D68" s="15">
        <f>D66+D67</f>
        <v>0</v>
      </c>
      <c r="E68" s="15">
        <f>E66+E67</f>
        <v>0</v>
      </c>
      <c r="F68" s="15">
        <f>F66+F67</f>
        <v>0</v>
      </c>
      <c r="G68" s="15">
        <f>G66+G67</f>
        <v>0</v>
      </c>
      <c r="H68" s="46">
        <f>SUM(C68:G68)</f>
        <v>0</v>
      </c>
      <c r="I68" s="36" t="s">
        <v>152</v>
      </c>
    </row>
    <row r="69" spans="1:9" ht="28" customHeight="1" x14ac:dyDescent="0.55000000000000004">
      <c r="A69" s="40" t="s">
        <v>153</v>
      </c>
      <c r="B69" s="53" t="s">
        <v>154</v>
      </c>
      <c r="C69" s="15">
        <f>C63+C64+C68</f>
        <v>0</v>
      </c>
      <c r="D69" s="15">
        <f>D63+D64+D68</f>
        <v>0</v>
      </c>
      <c r="E69" s="15">
        <f>E63+E64+E68</f>
        <v>0</v>
      </c>
      <c r="F69" s="15">
        <f>F63+F64+F68</f>
        <v>0</v>
      </c>
      <c r="G69" s="15">
        <f>G63+G64+G68</f>
        <v>0</v>
      </c>
      <c r="H69" s="42">
        <f>SUM(C69:G69)</f>
        <v>0</v>
      </c>
      <c r="I69" s="36" t="s">
        <v>155</v>
      </c>
    </row>
    <row r="70" spans="1:9" ht="5.05" customHeight="1" x14ac:dyDescent="0.55000000000000004">
      <c r="A70" s="1"/>
      <c r="B70" s="1"/>
      <c r="C70" s="1"/>
      <c r="D70" s="1"/>
      <c r="E70" s="1"/>
      <c r="F70" s="1"/>
      <c r="G70" s="1"/>
      <c r="H70" s="1"/>
      <c r="I70" s="1"/>
    </row>
    <row r="71" spans="1:9" ht="28" customHeight="1" x14ac:dyDescent="0.55000000000000004">
      <c r="A71" s="38" t="s">
        <v>156</v>
      </c>
      <c r="B71" s="7" t="s">
        <v>157</v>
      </c>
      <c r="C71" s="54">
        <f>IF(C69&gt;=1000000,C69*0.02,0)</f>
        <v>0</v>
      </c>
      <c r="D71" s="54">
        <f>IF(D69&gt;=1000000,D69*0.02,0)</f>
        <v>0</v>
      </c>
      <c r="E71" s="54">
        <f>IF(E69&gt;=1000000,E69*0.02,0)</f>
        <v>0</v>
      </c>
      <c r="F71" s="54">
        <f>IF(F69&gt;=1000000,F69*0.02,0)</f>
        <v>0</v>
      </c>
      <c r="G71" s="54">
        <f>IF(G69&gt;=1000000,G69*0.02,0)</f>
        <v>0</v>
      </c>
      <c r="H71" s="55">
        <f>SUM(C71:G71)</f>
        <v>0</v>
      </c>
      <c r="I71" s="17" t="s">
        <v>158</v>
      </c>
    </row>
    <row r="72" spans="1:9" ht="5.05" customHeight="1" x14ac:dyDescent="0.55000000000000004">
      <c r="A72" s="1"/>
      <c r="B72" s="1"/>
      <c r="C72" s="1"/>
      <c r="D72" s="1"/>
      <c r="E72" s="1"/>
      <c r="F72" s="1"/>
      <c r="G72" s="1"/>
      <c r="H72" s="1"/>
      <c r="I72" s="1"/>
    </row>
    <row r="73" spans="1:9" ht="24" customHeight="1" x14ac:dyDescent="0.55000000000000004">
      <c r="A73" s="76" t="s">
        <v>159</v>
      </c>
      <c r="B73" s="77"/>
      <c r="C73" s="77"/>
      <c r="D73" s="77"/>
      <c r="E73" s="77"/>
      <c r="F73" s="77"/>
      <c r="G73" s="77"/>
      <c r="H73" s="77"/>
      <c r="I73" s="77"/>
    </row>
    <row r="74" spans="1:9" ht="40" customHeight="1" x14ac:dyDescent="0.55000000000000004">
      <c r="A74" s="83" t="s">
        <v>160</v>
      </c>
      <c r="B74" s="84"/>
      <c r="C74" s="84"/>
      <c r="D74" s="84"/>
      <c r="E74" s="84"/>
      <c r="F74" s="84"/>
      <c r="G74" s="84"/>
      <c r="H74" s="84"/>
      <c r="I74" s="84"/>
    </row>
  </sheetData>
  <mergeCells count="63">
    <mergeCell ref="A1:I1"/>
    <mergeCell ref="A13:B13"/>
    <mergeCell ref="C35:H35"/>
    <mergeCell ref="A31:B31"/>
    <mergeCell ref="C29:H29"/>
    <mergeCell ref="D21:I21"/>
    <mergeCell ref="A34:B34"/>
    <mergeCell ref="A73:I73"/>
    <mergeCell ref="A11:I11"/>
    <mergeCell ref="A29:B29"/>
    <mergeCell ref="A19:B19"/>
    <mergeCell ref="D22:I22"/>
    <mergeCell ref="A28:B28"/>
    <mergeCell ref="A2:I2"/>
    <mergeCell ref="A7:B7"/>
    <mergeCell ref="A5:I5"/>
    <mergeCell ref="D18:I18"/>
    <mergeCell ref="C6:I6"/>
    <mergeCell ref="D12:I12"/>
    <mergeCell ref="A18:B18"/>
    <mergeCell ref="A12:B12"/>
    <mergeCell ref="D15:I15"/>
    <mergeCell ref="A10:I10"/>
    <mergeCell ref="D14:I14"/>
    <mergeCell ref="A14:B14"/>
    <mergeCell ref="A17:B17"/>
    <mergeCell ref="A8:B8"/>
    <mergeCell ref="A74:I74"/>
    <mergeCell ref="D16:I16"/>
    <mergeCell ref="A6:B6"/>
    <mergeCell ref="A26:I26"/>
    <mergeCell ref="A16:B16"/>
    <mergeCell ref="C32:H32"/>
    <mergeCell ref="A21:B21"/>
    <mergeCell ref="D24:I24"/>
    <mergeCell ref="A43:I43"/>
    <mergeCell ref="C28:H28"/>
    <mergeCell ref="A33:B33"/>
    <mergeCell ref="D23:I23"/>
    <mergeCell ref="A44:I44"/>
    <mergeCell ref="A32:B32"/>
    <mergeCell ref="A58:I58"/>
    <mergeCell ref="D20:I20"/>
    <mergeCell ref="C8:I8"/>
    <mergeCell ref="C31:H31"/>
    <mergeCell ref="D17:I17"/>
    <mergeCell ref="A3:I3"/>
    <mergeCell ref="C7:I7"/>
    <mergeCell ref="A23:B23"/>
    <mergeCell ref="C30:H30"/>
    <mergeCell ref="A22:B22"/>
    <mergeCell ref="D19:I19"/>
    <mergeCell ref="A20:B20"/>
    <mergeCell ref="A65:I65"/>
    <mergeCell ref="A24:B24"/>
    <mergeCell ref="A30:B30"/>
    <mergeCell ref="A15:B15"/>
    <mergeCell ref="D13:I13"/>
    <mergeCell ref="A37:I37"/>
    <mergeCell ref="C34:H34"/>
    <mergeCell ref="A35:B35"/>
    <mergeCell ref="C33:H33"/>
    <mergeCell ref="A59:I59"/>
  </mergeCells>
  <conditionalFormatting sqref="C23">
    <cfRule type="containsText" dxfId="10" priority="1" operator="containsText" text="OK">
      <formula>NOT(ISERROR(SEARCH("OK",C23)))</formula>
    </cfRule>
    <cfRule type="containsText" dxfId="9" priority="2" operator="containsText" text="HATA">
      <formula>NOT(ISERROR(SEARCH("HATA",C23)))</formula>
    </cfRule>
  </conditionalFormatting>
  <conditionalFormatting sqref="C24">
    <cfRule type="containsText" dxfId="8" priority="3" operator="containsText" text="KULLANILAMAZ">
      <formula>NOT(ISERROR(SEARCH("KULLANILAMAZ",C24)))</formula>
    </cfRule>
  </conditionalFormatting>
  <conditionalFormatting sqref="D38:D100">
    <cfRule type="expression" priority="4" stopIfTrue="1">
      <formula>$C$8&lt;=1</formula>
    </cfRule>
  </conditionalFormatting>
  <conditionalFormatting sqref="E38:E100">
    <cfRule type="expression" priority="5" stopIfTrue="1">
      <formula>$C$8&lt;=2</formula>
    </cfRule>
  </conditionalFormatting>
  <conditionalFormatting sqref="F38:F100">
    <cfRule type="expression" priority="6" stopIfTrue="1">
      <formula>$C$8&lt;=3</formula>
    </cfRule>
  </conditionalFormatting>
  <conditionalFormatting sqref="G38:G100">
    <cfRule type="expression" priority="7" stopIfTrue="1">
      <formula>$C$8&lt;=4</formula>
    </cfRule>
  </conditionalFormatting>
  <dataValidations count="4">
    <dataValidation type="list" sqref="C8" xr:uid="{00000000-0002-0000-0000-000000000000}">
      <formula1>"1,2,3,4,5"</formula1>
    </dataValidation>
    <dataValidation type="list" sqref="C18:C21 C13:C16" xr:uid="{00000000-0002-0000-0000-000001000000}">
      <formula1>"EVET,HAYIR"</formula1>
    </dataValidation>
    <dataValidation type="list" sqref="C17" xr:uid="{00000000-0002-0000-0000-000005000000}">
      <formula1>"HAYIR (Sipariş Yok),EVET — Sipariş Alan,EVET — Sipariş Veren"</formula1>
    </dataValidation>
    <dataValidation type="list" sqref="C22" xr:uid="{00000000-0002-0000-0000-00000A000000}">
      <formula1>"EVET,HAYIR,Tam Tasdik"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workbookViewId="0"/>
  </sheetViews>
  <sheetFormatPr defaultRowHeight="14.4" x14ac:dyDescent="0.55000000000000004"/>
  <cols>
    <col min="1" max="1" width="4" customWidth="1"/>
    <col min="2" max="2" width="38" customWidth="1"/>
    <col min="3" max="7" width="18" customWidth="1"/>
    <col min="8" max="8" width="22" customWidth="1"/>
    <col min="9" max="9" width="26" customWidth="1"/>
  </cols>
  <sheetData>
    <row r="1" spans="1:9" ht="44.05" customHeight="1" x14ac:dyDescent="0.55000000000000004">
      <c r="A1" s="118" t="s">
        <v>161</v>
      </c>
      <c r="B1" s="77"/>
      <c r="C1" s="77"/>
      <c r="D1" s="77"/>
      <c r="E1" s="77"/>
      <c r="F1" s="77"/>
      <c r="G1" s="77"/>
      <c r="H1" s="77"/>
      <c r="I1" s="77"/>
    </row>
    <row r="2" spans="1:9" ht="22" customHeight="1" x14ac:dyDescent="0.55000000000000004">
      <c r="A2" s="87" t="s">
        <v>162</v>
      </c>
      <c r="B2" s="88"/>
      <c r="C2" s="88"/>
      <c r="D2" s="88"/>
      <c r="E2" s="88"/>
      <c r="F2" s="88"/>
      <c r="G2" s="88"/>
      <c r="H2" s="88"/>
      <c r="I2" s="88"/>
    </row>
    <row r="3" spans="1:9" ht="28" customHeight="1" x14ac:dyDescent="0.55000000000000004">
      <c r="A3" s="80" t="s">
        <v>163</v>
      </c>
      <c r="B3" s="81"/>
      <c r="C3" s="81"/>
      <c r="D3" s="81"/>
      <c r="E3" s="81"/>
      <c r="F3" s="81"/>
      <c r="G3" s="81"/>
      <c r="H3" s="81"/>
      <c r="I3" s="81"/>
    </row>
    <row r="4" spans="1:9" ht="5.05" customHeight="1" x14ac:dyDescent="0.55000000000000004">
      <c r="A4" s="1" t="str">
        <f>IF(COUNTA('VERİ GİRİŞİ'!C39:G39)=1,"TEK PROJE MODU: Yalnizca Proje 1 (C sutunu) aktif. Beyanname 410 = B.3 = MIN(D.6 Proje1, Donem Kazanci)","COK PROJE MODU: "&amp;COUNTA('VERİ GİRİŞİ'!C39:G39)&amp;" aktif proje - Tum D.6 toplami B.3 ile sinirlanir")</f>
        <v>COK PROJE MODU: 0 aktif proje - Tum D.6 toplami B.3 ile sinirlanir</v>
      </c>
      <c r="B4" s="1"/>
      <c r="C4" s="1"/>
      <c r="D4" s="1"/>
      <c r="E4" s="1"/>
      <c r="F4" s="1"/>
      <c r="G4" s="1"/>
      <c r="H4" s="1"/>
      <c r="I4" s="1"/>
    </row>
    <row r="5" spans="1:9" ht="26.05" customHeight="1" x14ac:dyDescent="0.55000000000000004">
      <c r="A5" s="109" t="s">
        <v>164</v>
      </c>
      <c r="B5" s="110"/>
      <c r="C5" s="110"/>
      <c r="D5" s="110"/>
      <c r="E5" s="110"/>
      <c r="F5" s="110"/>
      <c r="G5" s="110"/>
      <c r="H5" s="110"/>
      <c r="I5" s="110"/>
    </row>
    <row r="6" spans="1:9" ht="20.05" customHeight="1" x14ac:dyDescent="0.55000000000000004">
      <c r="A6" s="9"/>
      <c r="B6" s="9" t="s">
        <v>165</v>
      </c>
      <c r="C6" s="29" t="s">
        <v>124</v>
      </c>
      <c r="D6" s="30" t="s">
        <v>125</v>
      </c>
      <c r="E6" s="31" t="s">
        <v>126</v>
      </c>
      <c r="F6" s="32" t="s">
        <v>127</v>
      </c>
      <c r="G6" s="33" t="s">
        <v>128</v>
      </c>
      <c r="H6" s="26" t="s">
        <v>166</v>
      </c>
      <c r="I6" s="9" t="s">
        <v>167</v>
      </c>
    </row>
    <row r="7" spans="1:9" ht="26.05" customHeight="1" x14ac:dyDescent="0.55000000000000004">
      <c r="A7" s="34" t="s">
        <v>168</v>
      </c>
      <c r="B7" s="35" t="s">
        <v>169</v>
      </c>
      <c r="C7" s="56">
        <f>'VERİ GİRİŞİ'!C63</f>
        <v>0</v>
      </c>
      <c r="D7" s="56">
        <f>'VERİ GİRİŞİ'!D63</f>
        <v>0</v>
      </c>
      <c r="E7" s="56">
        <f>'VERİ GİRİŞİ'!E63</f>
        <v>0</v>
      </c>
      <c r="F7" s="56">
        <f>'VERİ GİRİŞİ'!F63</f>
        <v>0</v>
      </c>
      <c r="G7" s="56">
        <f>'VERİ GİRİŞİ'!G63</f>
        <v>0</v>
      </c>
      <c r="H7" s="15">
        <f>SUM(C7:G7)</f>
        <v>0</v>
      </c>
      <c r="I7" s="36" t="s">
        <v>170</v>
      </c>
    </row>
    <row r="8" spans="1:9" ht="26.05" customHeight="1" x14ac:dyDescent="0.55000000000000004">
      <c r="A8" s="27" t="s">
        <v>171</v>
      </c>
      <c r="B8" s="37" t="s">
        <v>172</v>
      </c>
      <c r="C8" s="56">
        <f>'VERİ GİRİŞİ'!C64</f>
        <v>0</v>
      </c>
      <c r="D8" s="56">
        <f>'VERİ GİRİŞİ'!D64</f>
        <v>0</v>
      </c>
      <c r="E8" s="56">
        <f>'VERİ GİRİŞİ'!E64</f>
        <v>0</v>
      </c>
      <c r="F8" s="56">
        <f>'VERİ GİRİŞİ'!F64</f>
        <v>0</v>
      </c>
      <c r="G8" s="56">
        <f>'VERİ GİRİŞİ'!G64</f>
        <v>0</v>
      </c>
      <c r="H8" s="15">
        <f>SUM(C8:G8)</f>
        <v>0</v>
      </c>
      <c r="I8" s="11" t="s">
        <v>173</v>
      </c>
    </row>
    <row r="9" spans="1:9" ht="26.05" customHeight="1" x14ac:dyDescent="0.55000000000000004">
      <c r="A9" s="28" t="s">
        <v>174</v>
      </c>
      <c r="B9" s="57" t="s">
        <v>175</v>
      </c>
      <c r="C9" s="56">
        <f>'VERİ GİRİŞİ'!C68</f>
        <v>0</v>
      </c>
      <c r="D9" s="56">
        <f>'VERİ GİRİŞİ'!D68</f>
        <v>0</v>
      </c>
      <c r="E9" s="56">
        <f>'VERİ GİRİŞİ'!E68</f>
        <v>0</v>
      </c>
      <c r="F9" s="56">
        <f>'VERİ GİRİŞİ'!F68</f>
        <v>0</v>
      </c>
      <c r="G9" s="56">
        <f>'VERİ GİRİŞİ'!G68</f>
        <v>0</v>
      </c>
      <c r="H9" s="15">
        <f>SUM(C9:G9)</f>
        <v>0</v>
      </c>
      <c r="I9" s="13" t="s">
        <v>176</v>
      </c>
    </row>
    <row r="10" spans="1:9" ht="26.05" customHeight="1" x14ac:dyDescent="0.55000000000000004">
      <c r="A10" s="58" t="s">
        <v>177</v>
      </c>
      <c r="B10" s="59" t="s">
        <v>178</v>
      </c>
      <c r="C10" s="15">
        <f>'VERİ GİRİŞİ'!C69</f>
        <v>0</v>
      </c>
      <c r="D10" s="15">
        <f>'VERİ GİRİŞİ'!D69</f>
        <v>0</v>
      </c>
      <c r="E10" s="15">
        <f>'VERİ GİRİŞİ'!E69</f>
        <v>0</v>
      </c>
      <c r="F10" s="15">
        <f>'VERİ GİRİŞİ'!F69</f>
        <v>0</v>
      </c>
      <c r="G10" s="15">
        <f>'VERİ GİRİŞİ'!G69</f>
        <v>0</v>
      </c>
      <c r="H10" s="42">
        <f>SUM(C10:G10)</f>
        <v>0</v>
      </c>
      <c r="I10" s="36" t="s">
        <v>179</v>
      </c>
    </row>
    <row r="11" spans="1:9" ht="5.05" customHeight="1" x14ac:dyDescent="0.55000000000000004">
      <c r="A11" s="1"/>
      <c r="B11" s="1"/>
      <c r="C11" s="1"/>
      <c r="D11" s="1"/>
      <c r="E11" s="1"/>
      <c r="F11" s="1"/>
      <c r="G11" s="1"/>
      <c r="H11" s="1"/>
      <c r="I11" s="1"/>
    </row>
    <row r="12" spans="1:9" ht="26.05" customHeight="1" x14ac:dyDescent="0.55000000000000004">
      <c r="A12" s="95" t="s">
        <v>180</v>
      </c>
      <c r="B12" s="96"/>
      <c r="C12" s="96"/>
      <c r="D12" s="96"/>
      <c r="E12" s="96"/>
      <c r="F12" s="96"/>
      <c r="G12" s="96"/>
      <c r="H12" s="96"/>
      <c r="I12" s="96"/>
    </row>
    <row r="13" spans="1:9" ht="36" customHeight="1" x14ac:dyDescent="0.55000000000000004">
      <c r="A13" s="101" t="s">
        <v>181</v>
      </c>
      <c r="B13" s="70"/>
      <c r="C13" s="70"/>
      <c r="D13" s="70"/>
      <c r="E13" s="70"/>
      <c r="F13" s="70"/>
      <c r="G13" s="70"/>
      <c r="H13" s="70"/>
      <c r="I13" s="70"/>
    </row>
    <row r="14" spans="1:9" ht="18" customHeight="1" x14ac:dyDescent="0.55000000000000004">
      <c r="A14" s="9" t="s">
        <v>165</v>
      </c>
      <c r="B14" s="9"/>
      <c r="C14" s="9" t="s">
        <v>182</v>
      </c>
      <c r="D14" s="9"/>
      <c r="E14" s="9"/>
      <c r="F14" s="9"/>
      <c r="G14" s="9"/>
      <c r="H14" s="9" t="s">
        <v>67</v>
      </c>
      <c r="I14" s="9"/>
    </row>
    <row r="15" spans="1:9" ht="30" customHeight="1" x14ac:dyDescent="0.55000000000000004">
      <c r="A15" s="44" t="s">
        <v>183</v>
      </c>
      <c r="B15" s="104" t="s">
        <v>184</v>
      </c>
      <c r="C15" s="105">
        <f>H10</f>
        <v>0</v>
      </c>
      <c r="D15" s="98"/>
      <c r="E15" s="98"/>
      <c r="F15" s="98"/>
      <c r="G15" s="98"/>
      <c r="H15" s="36" t="s">
        <v>185</v>
      </c>
      <c r="I15" s="14"/>
    </row>
    <row r="16" spans="1:9" ht="30" customHeight="1" x14ac:dyDescent="0.55000000000000004">
      <c r="A16" s="60" t="s">
        <v>186</v>
      </c>
      <c r="B16" s="112" t="s">
        <v>187</v>
      </c>
      <c r="C16" s="111"/>
      <c r="D16" s="79"/>
      <c r="E16" s="79"/>
      <c r="F16" s="79"/>
      <c r="G16" s="79"/>
      <c r="H16" s="61" t="s">
        <v>188</v>
      </c>
      <c r="I16" s="6" t="s">
        <v>189</v>
      </c>
    </row>
    <row r="17" spans="1:9" ht="30" customHeight="1" x14ac:dyDescent="0.55000000000000004">
      <c r="A17" s="40" t="s">
        <v>190</v>
      </c>
      <c r="B17" s="117" t="s">
        <v>191</v>
      </c>
      <c r="C17" s="116">
        <f>MIN(C15,C16)</f>
        <v>0</v>
      </c>
      <c r="D17" s="98"/>
      <c r="E17" s="98"/>
      <c r="F17" s="98"/>
      <c r="G17" s="98"/>
      <c r="H17" s="36" t="s">
        <v>192</v>
      </c>
      <c r="I17" s="14"/>
    </row>
    <row r="18" spans="1:9" ht="30" customHeight="1" x14ac:dyDescent="0.55000000000000004">
      <c r="A18" s="47" t="s">
        <v>193</v>
      </c>
      <c r="B18" s="114" t="s">
        <v>194</v>
      </c>
      <c r="C18" s="121">
        <f>MAX(0,C15-C17)</f>
        <v>0</v>
      </c>
      <c r="D18" s="72"/>
      <c r="E18" s="72"/>
      <c r="F18" s="72"/>
      <c r="G18" s="72"/>
      <c r="H18" s="13" t="s">
        <v>195</v>
      </c>
      <c r="I18" s="3"/>
    </row>
    <row r="19" spans="1:9" ht="30" customHeight="1" x14ac:dyDescent="0.55000000000000004">
      <c r="A19" s="50" t="s">
        <v>196</v>
      </c>
      <c r="B19" s="120" t="s">
        <v>197</v>
      </c>
      <c r="C19" s="119">
        <f>C17*'VERİ GİRİŞİ'!C35/100</f>
        <v>0</v>
      </c>
      <c r="D19" s="75"/>
      <c r="E19" s="75"/>
      <c r="F19" s="75"/>
      <c r="G19" s="75"/>
      <c r="H19" s="11" t="s">
        <v>198</v>
      </c>
      <c r="I19" s="5" t="s">
        <v>199</v>
      </c>
    </row>
    <row r="20" spans="1:9" ht="5.05" customHeight="1" x14ac:dyDescent="0.55000000000000004">
      <c r="A20" s="1"/>
      <c r="B20" s="1"/>
      <c r="C20" s="1"/>
      <c r="D20" s="1"/>
      <c r="E20" s="1"/>
      <c r="F20" s="1"/>
      <c r="G20" s="1"/>
      <c r="H20" s="1"/>
      <c r="I20" s="1"/>
    </row>
    <row r="21" spans="1:9" ht="26.05" customHeight="1" x14ac:dyDescent="0.55000000000000004">
      <c r="A21" s="108" t="s">
        <v>200</v>
      </c>
      <c r="B21" s="68"/>
      <c r="C21" s="68"/>
      <c r="D21" s="68"/>
      <c r="E21" s="68"/>
      <c r="F21" s="68"/>
      <c r="G21" s="68"/>
      <c r="H21" s="68"/>
      <c r="I21" s="68"/>
    </row>
    <row r="22" spans="1:9" ht="36" customHeight="1" x14ac:dyDescent="0.55000000000000004">
      <c r="A22" s="113" t="s">
        <v>201</v>
      </c>
      <c r="B22" s="72"/>
      <c r="C22" s="72"/>
      <c r="D22" s="72"/>
      <c r="E22" s="72"/>
      <c r="F22" s="72"/>
      <c r="G22" s="72"/>
      <c r="H22" s="72"/>
      <c r="I22" s="72"/>
    </row>
    <row r="23" spans="1:9" ht="20.05" customHeight="1" x14ac:dyDescent="0.55000000000000004">
      <c r="A23" s="9"/>
      <c r="B23" s="9" t="s">
        <v>202</v>
      </c>
      <c r="C23" s="29" t="s">
        <v>203</v>
      </c>
      <c r="D23" s="30" t="s">
        <v>204</v>
      </c>
      <c r="E23" s="31" t="s">
        <v>205</v>
      </c>
      <c r="F23" s="32" t="s">
        <v>206</v>
      </c>
      <c r="G23" s="33" t="s">
        <v>207</v>
      </c>
      <c r="H23" s="26" t="s">
        <v>208</v>
      </c>
      <c r="I23" s="9" t="s">
        <v>67</v>
      </c>
    </row>
    <row r="24" spans="1:9" ht="24" customHeight="1" x14ac:dyDescent="0.55000000000000004">
      <c r="A24" s="28" t="s">
        <v>131</v>
      </c>
      <c r="B24" s="2" t="s">
        <v>209</v>
      </c>
      <c r="C24" s="15">
        <f>IFERROR(MIN(C10,C17*(C10/H10)),0)</f>
        <v>0</v>
      </c>
      <c r="D24" s="3"/>
      <c r="E24" s="3"/>
      <c r="F24" s="3"/>
      <c r="G24" s="3"/>
      <c r="H24" s="50">
        <f>MAX(0,C10-C24)</f>
        <v>0</v>
      </c>
      <c r="I24" s="13" t="s">
        <v>210</v>
      </c>
    </row>
    <row r="25" spans="1:9" ht="24" customHeight="1" x14ac:dyDescent="0.55000000000000004">
      <c r="A25" s="28" t="s">
        <v>134</v>
      </c>
      <c r="B25" s="2" t="s">
        <v>211</v>
      </c>
      <c r="C25" s="15">
        <f>IFERROR(MIN(D10,C17*(D10/H10)),0)</f>
        <v>0</v>
      </c>
      <c r="D25" s="3"/>
      <c r="E25" s="3"/>
      <c r="F25" s="3"/>
      <c r="G25" s="3"/>
      <c r="H25" s="50">
        <f>MAX(0,D10-C25)</f>
        <v>0</v>
      </c>
      <c r="I25" s="13" t="s">
        <v>210</v>
      </c>
    </row>
    <row r="26" spans="1:9" ht="24" customHeight="1" x14ac:dyDescent="0.55000000000000004">
      <c r="A26" s="28" t="s">
        <v>137</v>
      </c>
      <c r="B26" s="2" t="s">
        <v>212</v>
      </c>
      <c r="C26" s="15">
        <f>IFERROR(MIN(E10,C17*(E10/H10)),0)</f>
        <v>0</v>
      </c>
      <c r="D26" s="3"/>
      <c r="E26" s="3"/>
      <c r="F26" s="3"/>
      <c r="G26" s="3"/>
      <c r="H26" s="50">
        <f>MAX(0,E10-C26)</f>
        <v>0</v>
      </c>
      <c r="I26" s="13" t="s">
        <v>210</v>
      </c>
    </row>
    <row r="27" spans="1:9" ht="24" customHeight="1" x14ac:dyDescent="0.55000000000000004">
      <c r="A27" s="28" t="s">
        <v>140</v>
      </c>
      <c r="B27" s="2" t="s">
        <v>213</v>
      </c>
      <c r="C27" s="15">
        <f>IFERROR(MIN(F10,C17*(F10/H10)),0)</f>
        <v>0</v>
      </c>
      <c r="D27" s="3"/>
      <c r="E27" s="3"/>
      <c r="F27" s="3"/>
      <c r="G27" s="3"/>
      <c r="H27" s="50">
        <f>MAX(0,F10-C27)</f>
        <v>0</v>
      </c>
      <c r="I27" s="13" t="s">
        <v>210</v>
      </c>
    </row>
    <row r="28" spans="1:9" ht="24" customHeight="1" x14ac:dyDescent="0.55000000000000004">
      <c r="A28" s="28" t="s">
        <v>150</v>
      </c>
      <c r="B28" s="2" t="s">
        <v>214</v>
      </c>
      <c r="C28" s="15">
        <f>IFERROR(MIN(G10,C17*(G10/H10)),0)</f>
        <v>0</v>
      </c>
      <c r="D28" s="3"/>
      <c r="E28" s="3"/>
      <c r="F28" s="3"/>
      <c r="G28" s="3"/>
      <c r="H28" s="50">
        <f>MAX(0,G10-C28)</f>
        <v>0</v>
      </c>
      <c r="I28" s="13" t="s">
        <v>210</v>
      </c>
    </row>
    <row r="29" spans="1:9" ht="24" customHeight="1" x14ac:dyDescent="0.55000000000000004">
      <c r="A29" s="14" t="s">
        <v>215</v>
      </c>
      <c r="B29" s="62" t="s">
        <v>216</v>
      </c>
      <c r="C29" s="105">
        <f>SUM(C24:C28)</f>
        <v>0</v>
      </c>
      <c r="D29" s="98"/>
      <c r="E29" s="98"/>
      <c r="F29" s="98"/>
      <c r="G29" s="98"/>
      <c r="H29" s="15">
        <f>ROUND(C29-C17,0)</f>
        <v>0</v>
      </c>
      <c r="I29" s="63" t="s">
        <v>217</v>
      </c>
    </row>
    <row r="30" spans="1:9" ht="5.05" customHeight="1" x14ac:dyDescent="0.55000000000000004">
      <c r="A30" s="1"/>
      <c r="B30" s="1"/>
      <c r="C30" s="1"/>
      <c r="D30" s="1"/>
      <c r="E30" s="1"/>
      <c r="F30" s="1"/>
      <c r="G30" s="1"/>
      <c r="H30" s="1"/>
      <c r="I30" s="1"/>
    </row>
    <row r="31" spans="1:9" ht="26.05" customHeight="1" x14ac:dyDescent="0.55000000000000004">
      <c r="A31" s="115" t="s">
        <v>218</v>
      </c>
      <c r="B31" s="96"/>
      <c r="C31" s="96"/>
      <c r="D31" s="96"/>
      <c r="E31" s="96"/>
      <c r="F31" s="96"/>
      <c r="G31" s="96"/>
      <c r="H31" s="96"/>
      <c r="I31" s="96"/>
    </row>
    <row r="32" spans="1:9" ht="26.05" customHeight="1" x14ac:dyDescent="0.55000000000000004">
      <c r="A32" s="27" t="s">
        <v>219</v>
      </c>
      <c r="B32" s="93" t="s">
        <v>220</v>
      </c>
      <c r="C32" s="103">
        <f>C17</f>
        <v>0</v>
      </c>
      <c r="D32" s="98"/>
      <c r="E32" s="98"/>
      <c r="F32" s="98"/>
      <c r="G32" s="98"/>
      <c r="H32" s="11" t="s">
        <v>221</v>
      </c>
      <c r="I32" s="5"/>
    </row>
    <row r="33" spans="1:9" ht="26.05" customHeight="1" x14ac:dyDescent="0.55000000000000004">
      <c r="A33" s="38" t="s">
        <v>222</v>
      </c>
      <c r="B33" s="106" t="s">
        <v>223</v>
      </c>
      <c r="C33" s="107">
        <f>IF(C17&gt;=1000000,MIN(C17*0.02,20000000),0)</f>
        <v>0</v>
      </c>
      <c r="D33" s="70"/>
      <c r="E33" s="70"/>
      <c r="F33" s="70"/>
      <c r="G33" s="70"/>
      <c r="H33" s="17" t="s">
        <v>224</v>
      </c>
      <c r="I33" s="8"/>
    </row>
    <row r="34" spans="1:9" ht="26.05" customHeight="1" x14ac:dyDescent="0.55000000000000004">
      <c r="A34" s="27" t="s">
        <v>225</v>
      </c>
      <c r="B34" s="93" t="s">
        <v>226</v>
      </c>
      <c r="C34" s="103" t="str">
        <f>IF(C17&gt;=1000000,"EVET — Yıl Sonuna Kadar Aktarın","HAYIR — Yükümlülük Yok")</f>
        <v>HAYIR — Yükümlülük Yok</v>
      </c>
      <c r="D34" s="98"/>
      <c r="E34" s="98"/>
      <c r="F34" s="98"/>
      <c r="G34" s="98"/>
      <c r="H34" s="11" t="s">
        <v>227</v>
      </c>
      <c r="I34" s="5"/>
    </row>
    <row r="35" spans="1:9" ht="26.05" customHeight="1" x14ac:dyDescent="0.55000000000000004">
      <c r="A35" s="38" t="s">
        <v>228</v>
      </c>
      <c r="B35" s="106" t="s">
        <v>229</v>
      </c>
      <c r="C35" s="107">
        <f>IF(C17&gt;=1000000,C17*0.2,0)</f>
        <v>0</v>
      </c>
      <c r="D35" s="70"/>
      <c r="E35" s="70"/>
      <c r="F35" s="70"/>
      <c r="G35" s="70"/>
      <c r="H35" s="17" t="s">
        <v>230</v>
      </c>
      <c r="I35" s="8"/>
    </row>
  </sheetData>
  <mergeCells count="28">
    <mergeCell ref="A1:I1"/>
    <mergeCell ref="C19:G19"/>
    <mergeCell ref="B34"/>
    <mergeCell ref="B19"/>
    <mergeCell ref="C18:G18"/>
    <mergeCell ref="B35"/>
    <mergeCell ref="A2:I2"/>
    <mergeCell ref="C35:G35"/>
    <mergeCell ref="A5:I5"/>
    <mergeCell ref="C16:G16"/>
    <mergeCell ref="B16"/>
    <mergeCell ref="A22:I22"/>
    <mergeCell ref="B18"/>
    <mergeCell ref="A13:I13"/>
    <mergeCell ref="A31:I31"/>
    <mergeCell ref="C17:G17"/>
    <mergeCell ref="B17"/>
    <mergeCell ref="C32:G32"/>
    <mergeCell ref="A3:I3"/>
    <mergeCell ref="A12:I12"/>
    <mergeCell ref="A21:I21"/>
    <mergeCell ref="C29:G29"/>
    <mergeCell ref="B32"/>
    <mergeCell ref="C34:G34"/>
    <mergeCell ref="B15"/>
    <mergeCell ref="C15:G15"/>
    <mergeCell ref="B33"/>
    <mergeCell ref="C33:G33"/>
  </mergeCells>
  <conditionalFormatting sqref="C34">
    <cfRule type="containsText" dxfId="7" priority="1" operator="containsText" text="EVET">
      <formula>NOT(ISERROR(SEARCH("EVET",C34)))</formula>
    </cfRule>
    <cfRule type="containsText" dxfId="6" priority="2" operator="containsText" text="HAYIR">
      <formula>NOT(ISERROR(SEARCH("HAYIR",C34)))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"/>
  <sheetViews>
    <sheetView workbookViewId="0"/>
  </sheetViews>
  <sheetFormatPr defaultRowHeight="14.4" x14ac:dyDescent="0.55000000000000004"/>
  <cols>
    <col min="1" max="1" width="4" customWidth="1"/>
    <col min="2" max="2" width="40" customWidth="1"/>
    <col min="3" max="7" width="18" customWidth="1"/>
    <col min="8" max="8" width="22" customWidth="1"/>
    <col min="9" max="9" width="26" customWidth="1"/>
  </cols>
  <sheetData>
    <row r="1" spans="1:9" ht="38.049999999999997" customHeight="1" x14ac:dyDescent="0.55000000000000004">
      <c r="A1" s="102" t="s">
        <v>231</v>
      </c>
      <c r="B1" s="77"/>
      <c r="C1" s="77"/>
      <c r="D1" s="77"/>
      <c r="E1" s="77"/>
      <c r="F1" s="77"/>
      <c r="G1" s="77"/>
      <c r="H1" s="77"/>
      <c r="I1" s="77"/>
    </row>
    <row r="3" spans="1:9" ht="24" customHeight="1" x14ac:dyDescent="0.55000000000000004">
      <c r="A3" s="123" t="s">
        <v>232</v>
      </c>
      <c r="B3" s="110"/>
      <c r="C3" s="110"/>
      <c r="D3" s="110"/>
      <c r="E3" s="110"/>
      <c r="F3" s="110"/>
      <c r="G3" s="110"/>
      <c r="H3" s="110"/>
      <c r="I3" s="110"/>
    </row>
    <row r="4" spans="1:9" ht="22" customHeight="1" x14ac:dyDescent="0.55000000000000004">
      <c r="A4" s="82" t="s">
        <v>233</v>
      </c>
      <c r="B4" s="75"/>
      <c r="C4" s="75"/>
      <c r="D4" s="103" t="str">
        <f>'VERİ GİRİŞİ'!C23</f>
        <v>✅ OK – Hesaplanabilir</v>
      </c>
      <c r="E4" s="98"/>
      <c r="F4" s="98"/>
      <c r="G4" s="74" t="s">
        <v>234</v>
      </c>
      <c r="H4" s="75"/>
      <c r="I4" s="75"/>
    </row>
    <row r="5" spans="1:9" ht="22" customHeight="1" x14ac:dyDescent="0.55000000000000004">
      <c r="A5" s="71" t="s">
        <v>235</v>
      </c>
      <c r="B5" s="72"/>
      <c r="C5" s="72"/>
      <c r="D5" s="103">
        <f>'VERİ GİRİŞİ'!H56</f>
        <v>0</v>
      </c>
      <c r="E5" s="98"/>
      <c r="F5" s="98"/>
      <c r="G5" s="85" t="s">
        <v>236</v>
      </c>
      <c r="H5" s="72"/>
      <c r="I5" s="72"/>
    </row>
    <row r="6" spans="1:9" ht="22" customHeight="1" x14ac:dyDescent="0.55000000000000004">
      <c r="A6" s="82" t="s">
        <v>237</v>
      </c>
      <c r="B6" s="75"/>
      <c r="C6" s="75"/>
      <c r="D6" s="103">
        <f>'KONSOLİDASYON &amp; BEYANNAME'!H10</f>
        <v>0</v>
      </c>
      <c r="E6" s="98"/>
      <c r="F6" s="98"/>
      <c r="G6" s="74" t="s">
        <v>238</v>
      </c>
      <c r="H6" s="75"/>
      <c r="I6" s="75"/>
    </row>
    <row r="7" spans="1:9" ht="22" customHeight="1" x14ac:dyDescent="0.55000000000000004">
      <c r="A7" s="100" t="s">
        <v>239</v>
      </c>
      <c r="B7" s="98"/>
      <c r="C7" s="98"/>
      <c r="D7" s="103">
        <f>'KONSOLİDASYON &amp; BEYANNAME'!C17</f>
        <v>0</v>
      </c>
      <c r="E7" s="98"/>
      <c r="F7" s="98"/>
      <c r="G7" s="127" t="s">
        <v>240</v>
      </c>
      <c r="H7" s="98"/>
      <c r="I7" s="98"/>
    </row>
    <row r="8" spans="1:9" ht="22" customHeight="1" x14ac:dyDescent="0.55000000000000004">
      <c r="A8" s="71" t="s">
        <v>241</v>
      </c>
      <c r="B8" s="72"/>
      <c r="C8" s="72"/>
      <c r="D8" s="103">
        <f>'KONSOLİDASYON &amp; BEYANNAME'!C18</f>
        <v>0</v>
      </c>
      <c r="E8" s="98"/>
      <c r="F8" s="98"/>
      <c r="G8" s="85" t="s">
        <v>242</v>
      </c>
      <c r="H8" s="72"/>
      <c r="I8" s="72"/>
    </row>
    <row r="9" spans="1:9" ht="22" customHeight="1" x14ac:dyDescent="0.55000000000000004">
      <c r="A9" s="69" t="s">
        <v>243</v>
      </c>
      <c r="B9" s="70"/>
      <c r="C9" s="70"/>
      <c r="D9" s="107">
        <f>'KONSOLİDASYON &amp; BEYANNAME'!C33</f>
        <v>0</v>
      </c>
      <c r="E9" s="70"/>
      <c r="F9" s="70"/>
      <c r="G9" s="92" t="s">
        <v>244</v>
      </c>
      <c r="H9" s="70"/>
      <c r="I9" s="70"/>
    </row>
    <row r="10" spans="1:9" ht="5.05" customHeight="1" x14ac:dyDescent="0.55000000000000004">
      <c r="A10" s="1"/>
      <c r="B10" s="1"/>
      <c r="C10" s="1"/>
      <c r="D10" s="1"/>
      <c r="E10" s="1"/>
      <c r="F10" s="1"/>
      <c r="G10" s="1"/>
      <c r="H10" s="1"/>
      <c r="I10" s="1"/>
    </row>
    <row r="11" spans="1:9" ht="22" customHeight="1" x14ac:dyDescent="0.55000000000000004">
      <c r="A11" s="115" t="s">
        <v>245</v>
      </c>
      <c r="B11" s="96"/>
      <c r="C11" s="96"/>
      <c r="D11" s="96"/>
      <c r="E11" s="96"/>
      <c r="F11" s="96"/>
      <c r="G11" s="96"/>
      <c r="H11" s="96"/>
      <c r="I11" s="96"/>
    </row>
    <row r="12" spans="1:9" ht="18" customHeight="1" x14ac:dyDescent="0.55000000000000004">
      <c r="A12" s="9"/>
      <c r="B12" s="9" t="s">
        <v>165</v>
      </c>
      <c r="C12" s="29" t="s">
        <v>124</v>
      </c>
      <c r="D12" s="30" t="s">
        <v>125</v>
      </c>
      <c r="E12" s="31" t="s">
        <v>126</v>
      </c>
      <c r="F12" s="32" t="s">
        <v>127</v>
      </c>
      <c r="G12" s="33" t="s">
        <v>128</v>
      </c>
      <c r="H12" s="26" t="s">
        <v>166</v>
      </c>
      <c r="I12" s="9" t="s">
        <v>246</v>
      </c>
    </row>
    <row r="13" spans="1:9" ht="24" customHeight="1" x14ac:dyDescent="0.55000000000000004">
      <c r="A13" s="28" t="s">
        <v>247</v>
      </c>
      <c r="B13" s="12" t="s">
        <v>248</v>
      </c>
      <c r="C13" s="58">
        <f>'VERİ GİRİŞİ'!C49</f>
        <v>0</v>
      </c>
      <c r="D13" s="58">
        <f>'VERİ GİRİŞİ'!D49</f>
        <v>0</v>
      </c>
      <c r="E13" s="58">
        <f>'VERİ GİRİŞİ'!E49</f>
        <v>0</v>
      </c>
      <c r="F13" s="58">
        <f>'VERİ GİRİŞİ'!F49</f>
        <v>0</v>
      </c>
      <c r="G13" s="58">
        <f>'VERİ GİRİŞİ'!G49</f>
        <v>0</v>
      </c>
      <c r="H13" s="15">
        <f>SUM(C13:G13)</f>
        <v>0</v>
      </c>
      <c r="I13" s="13" t="s">
        <v>249</v>
      </c>
    </row>
    <row r="14" spans="1:9" ht="24" customHeight="1" x14ac:dyDescent="0.55000000000000004">
      <c r="A14" s="28" t="s">
        <v>250</v>
      </c>
      <c r="B14" s="12" t="s">
        <v>251</v>
      </c>
      <c r="C14" s="58">
        <f>'VERİ GİRİŞİ'!C56</f>
        <v>0</v>
      </c>
      <c r="D14" s="58">
        <f>'VERİ GİRİŞİ'!D56</f>
        <v>0</v>
      </c>
      <c r="E14" s="58">
        <f>'VERİ GİRİŞİ'!E56</f>
        <v>0</v>
      </c>
      <c r="F14" s="58">
        <f>'VERİ GİRİŞİ'!F56</f>
        <v>0</v>
      </c>
      <c r="G14" s="58">
        <f>'VERİ GİRİŞİ'!G56</f>
        <v>0</v>
      </c>
      <c r="H14" s="15">
        <f>SUM(C14:G14)</f>
        <v>0</v>
      </c>
      <c r="I14" s="13" t="s">
        <v>252</v>
      </c>
    </row>
    <row r="15" spans="1:9" ht="24" customHeight="1" x14ac:dyDescent="0.55000000000000004">
      <c r="A15" s="28" t="s">
        <v>253</v>
      </c>
      <c r="B15" s="12" t="s">
        <v>254</v>
      </c>
      <c r="C15" s="64">
        <f>IFERROR(C13/C14*100,0)</f>
        <v>0</v>
      </c>
      <c r="D15" s="64">
        <f>IFERROR(D13/D14*100,0)</f>
        <v>0</v>
      </c>
      <c r="E15" s="64">
        <f>IFERROR(E13/E14*100,0)</f>
        <v>0</v>
      </c>
      <c r="F15" s="64">
        <f>IFERROR(F13/F14*100,0)</f>
        <v>0</v>
      </c>
      <c r="G15" s="64">
        <f>IFERROR(G13/G14*100,0)</f>
        <v>0</v>
      </c>
      <c r="H15" s="65"/>
      <c r="I15" s="13" t="s">
        <v>255</v>
      </c>
    </row>
    <row r="16" spans="1:9" ht="24" customHeight="1" x14ac:dyDescent="0.55000000000000004">
      <c r="A16" s="28" t="s">
        <v>256</v>
      </c>
      <c r="B16" s="12" t="s">
        <v>257</v>
      </c>
      <c r="C16" s="64" t="str">
        <f>IF(IFERROR(C13/C14,0)&lt;=0.2,"✅ UYGUN","⚠️ AŞIYOR")</f>
        <v>✅ UYGUN</v>
      </c>
      <c r="D16" s="64" t="str">
        <f>IF(IFERROR(D13/D14,0)&lt;=0.2,"✅ UYGUN","⚠️ AŞIYOR")</f>
        <v>✅ UYGUN</v>
      </c>
      <c r="E16" s="64" t="str">
        <f>IF(IFERROR(E13/E14,0)&lt;=0.2,"✅ UYGUN","⚠️ AŞIYOR")</f>
        <v>✅ UYGUN</v>
      </c>
      <c r="F16" s="64" t="str">
        <f>IF(IFERROR(F13/F14,0)&lt;=0.2,"✅ UYGUN","⚠️ AŞIYOR")</f>
        <v>✅ UYGUN</v>
      </c>
      <c r="G16" s="64" t="str">
        <f>IF(IFERROR(G13/G14,0)&lt;=0.2,"✅ UYGUN","⚠️ AŞIYOR")</f>
        <v>✅ UYGUN</v>
      </c>
      <c r="H16" s="65"/>
      <c r="I16" s="13" t="s">
        <v>258</v>
      </c>
    </row>
    <row r="17" spans="1:9" ht="5.05" customHeight="1" x14ac:dyDescent="0.55000000000000004">
      <c r="A17" s="1"/>
      <c r="B17" s="1"/>
      <c r="C17" s="1"/>
      <c r="D17" s="1"/>
      <c r="E17" s="1"/>
      <c r="F17" s="1"/>
      <c r="G17" s="1"/>
      <c r="H17" s="1"/>
      <c r="I17" s="1"/>
    </row>
    <row r="18" spans="1:9" ht="22" customHeight="1" x14ac:dyDescent="0.55000000000000004">
      <c r="A18" s="122" t="s">
        <v>259</v>
      </c>
      <c r="B18" s="68"/>
      <c r="C18" s="68"/>
      <c r="D18" s="68"/>
      <c r="E18" s="68"/>
      <c r="F18" s="68"/>
      <c r="G18" s="68"/>
      <c r="H18" s="68"/>
      <c r="I18" s="68"/>
    </row>
    <row r="19" spans="1:9" ht="22" customHeight="1" x14ac:dyDescent="0.55000000000000004">
      <c r="A19" s="93" t="s">
        <v>260</v>
      </c>
      <c r="B19" s="75"/>
      <c r="C19" s="75"/>
      <c r="D19" s="125"/>
      <c r="E19" s="79"/>
      <c r="F19" s="79"/>
      <c r="G19" s="74" t="s">
        <v>261</v>
      </c>
      <c r="H19" s="75"/>
      <c r="I19" s="75"/>
    </row>
    <row r="20" spans="1:9" ht="22" customHeight="1" x14ac:dyDescent="0.55000000000000004">
      <c r="A20" s="93" t="s">
        <v>262</v>
      </c>
      <c r="B20" s="75"/>
      <c r="C20" s="75"/>
      <c r="D20" s="125"/>
      <c r="E20" s="79"/>
      <c r="F20" s="79"/>
      <c r="G20" s="74" t="s">
        <v>263</v>
      </c>
      <c r="H20" s="75"/>
      <c r="I20" s="75"/>
    </row>
    <row r="21" spans="1:9" ht="22" customHeight="1" x14ac:dyDescent="0.55000000000000004">
      <c r="A21" s="86" t="s">
        <v>264</v>
      </c>
      <c r="B21" s="72"/>
      <c r="C21" s="72"/>
      <c r="D21" s="126">
        <f>C19*0.1</f>
        <v>0</v>
      </c>
      <c r="E21" s="72"/>
      <c r="F21" s="72"/>
      <c r="G21" s="85" t="s">
        <v>265</v>
      </c>
      <c r="H21" s="72"/>
      <c r="I21" s="72"/>
    </row>
    <row r="22" spans="1:9" ht="22" customHeight="1" x14ac:dyDescent="0.55000000000000004">
      <c r="A22" s="86" t="s">
        <v>266</v>
      </c>
      <c r="B22" s="72"/>
      <c r="C22" s="72"/>
      <c r="D22" s="124">
        <f>MAX(0,C20-C21)</f>
        <v>0</v>
      </c>
      <c r="E22" s="75"/>
      <c r="F22" s="75"/>
      <c r="G22" s="85" t="s">
        <v>267</v>
      </c>
      <c r="H22" s="72"/>
      <c r="I22" s="72"/>
    </row>
    <row r="23" spans="1:9" ht="22" customHeight="1" x14ac:dyDescent="0.55000000000000004">
      <c r="A23" s="86" t="s">
        <v>268</v>
      </c>
      <c r="B23" s="72"/>
      <c r="C23" s="72"/>
      <c r="D23" s="124" t="str">
        <f>IF(C20&lt;=C21,"✅ UYGUN — %10 sınırı içinde","⚠️ SINIRI AŞIYOR")</f>
        <v>✅ UYGUN — %10 sınırı içinde</v>
      </c>
      <c r="E23" s="75"/>
      <c r="F23" s="75"/>
      <c r="G23" s="85" t="s">
        <v>269</v>
      </c>
      <c r="H23" s="72"/>
      <c r="I23" s="72"/>
    </row>
  </sheetData>
  <mergeCells count="37">
    <mergeCell ref="A1:I1"/>
    <mergeCell ref="G8:I8"/>
    <mergeCell ref="D22:F22"/>
    <mergeCell ref="G23:I23"/>
    <mergeCell ref="D21:F21"/>
    <mergeCell ref="A7:C7"/>
    <mergeCell ref="G7:I7"/>
    <mergeCell ref="A23:C23"/>
    <mergeCell ref="A8:C8"/>
    <mergeCell ref="D4:F4"/>
    <mergeCell ref="A22:C22"/>
    <mergeCell ref="G4:I4"/>
    <mergeCell ref="D9:F9"/>
    <mergeCell ref="G20:I20"/>
    <mergeCell ref="D8:F8"/>
    <mergeCell ref="A4:C4"/>
    <mergeCell ref="A20:C20"/>
    <mergeCell ref="A19:C19"/>
    <mergeCell ref="D5:F5"/>
    <mergeCell ref="D23:F23"/>
    <mergeCell ref="G22:I22"/>
    <mergeCell ref="A9:C9"/>
    <mergeCell ref="G9:I9"/>
    <mergeCell ref="G6:I6"/>
    <mergeCell ref="G19:I19"/>
    <mergeCell ref="A18:I18"/>
    <mergeCell ref="A3:I3"/>
    <mergeCell ref="A21:C21"/>
    <mergeCell ref="D7:F7"/>
    <mergeCell ref="A5:C5"/>
    <mergeCell ref="G5:I5"/>
    <mergeCell ref="D20:F20"/>
    <mergeCell ref="G21:I21"/>
    <mergeCell ref="D19:F19"/>
    <mergeCell ref="A11:I11"/>
    <mergeCell ref="A6:C6"/>
    <mergeCell ref="D6:F6"/>
  </mergeCells>
  <conditionalFormatting sqref="C4">
    <cfRule type="containsText" dxfId="5" priority="1" operator="containsText" text="OK">
      <formula>NOT(ISERROR(SEARCH("OK",C4)))</formula>
    </cfRule>
    <cfRule type="containsText" dxfId="4" priority="2" operator="containsText" text="HATA">
      <formula>NOT(ISERROR(SEARCH("HATA",C4)))</formula>
    </cfRule>
  </conditionalFormatting>
  <conditionalFormatting sqref="D9">
    <cfRule type="containsText" dxfId="3" priority="3" operator="containsText" text="EVET">
      <formula>NOT(ISERROR(SEARCH("EVET",D9)))</formula>
    </cfRule>
    <cfRule type="containsText" dxfId="2" priority="4" operator="containsText" text="HAYIR">
      <formula>NOT(ISERROR(SEARCH("HAYIR",D9)))</formula>
    </cfRule>
  </conditionalFormatting>
  <conditionalFormatting sqref="D23">
    <cfRule type="containsText" dxfId="1" priority="5" operator="containsText" text="UYGUN">
      <formula>NOT(ISERROR(SEARCH("UYGUN",D23)))</formula>
    </cfRule>
    <cfRule type="containsText" dxfId="0" priority="6" operator="containsText" text="AŞIYOR">
      <formula>NOT(ISERROR(SEARCH("AŞIYOR",D23)))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/>
  </sheetViews>
  <sheetFormatPr defaultRowHeight="14.4" x14ac:dyDescent="0.55000000000000004"/>
  <sheetData>
    <row r="1" spans="1:9" ht="38.049999999999997" customHeight="1" x14ac:dyDescent="0.55000000000000004">
      <c r="A1" s="99" t="s">
        <v>270</v>
      </c>
      <c r="B1" s="77"/>
      <c r="C1" s="77"/>
      <c r="D1" s="77"/>
      <c r="E1" s="77"/>
      <c r="F1" s="77"/>
      <c r="G1" s="77"/>
      <c r="H1" s="77"/>
      <c r="I1" s="77"/>
    </row>
    <row r="2" spans="1:9" ht="24" customHeight="1" x14ac:dyDescent="0.55000000000000004">
      <c r="A2" s="66" t="s">
        <v>271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"/>
  <sheetViews>
    <sheetView workbookViewId="0"/>
  </sheetViews>
  <sheetFormatPr defaultRowHeight="14.4" x14ac:dyDescent="0.55000000000000004"/>
  <sheetData>
    <row r="1" spans="1:9" ht="38.049999999999997" customHeight="1" x14ac:dyDescent="0.55000000000000004">
      <c r="A1" s="99" t="s">
        <v>272</v>
      </c>
      <c r="B1" s="77"/>
      <c r="C1" s="77"/>
      <c r="D1" s="77"/>
      <c r="E1" s="77"/>
      <c r="F1" s="77"/>
      <c r="G1" s="77"/>
      <c r="H1" s="77"/>
      <c r="I1" s="77"/>
    </row>
    <row r="2" spans="1:9" ht="24" customHeight="1" x14ac:dyDescent="0.55000000000000004">
      <c r="A2" s="66" t="s">
        <v>271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"/>
  <sheetViews>
    <sheetView workbookViewId="0"/>
  </sheetViews>
  <sheetFormatPr defaultRowHeight="14.4" x14ac:dyDescent="0.55000000000000004"/>
  <sheetData>
    <row r="1" spans="1:9" ht="38.049999999999997" customHeight="1" x14ac:dyDescent="0.55000000000000004">
      <c r="A1" s="99" t="s">
        <v>273</v>
      </c>
      <c r="B1" s="77"/>
      <c r="C1" s="77"/>
      <c r="D1" s="77"/>
      <c r="E1" s="77"/>
      <c r="F1" s="77"/>
      <c r="G1" s="77"/>
      <c r="H1" s="77"/>
      <c r="I1" s="77"/>
    </row>
    <row r="2" spans="1:9" ht="24" customHeight="1" x14ac:dyDescent="0.55000000000000004">
      <c r="A2" s="66" t="s">
        <v>271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VERİ GİRİŞİ</vt:lpstr>
      <vt:lpstr>KONSOLİDASYON &amp; BEYANNAME</vt:lpstr>
      <vt:lpstr>HESAPLAMALAR &amp; KONTROL</vt:lpstr>
      <vt:lpstr>DENETÇİ NOTLARI</vt:lpstr>
      <vt:lpstr>BELGE LİSTESİ</vt:lpstr>
      <vt:lpstr>MUHASEBE KAYITLARI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2026-04-03T09:39:34Z</dcterms:created>
  <dcterms:modified xsi:type="dcterms:W3CDTF">2026-04-03T11:37:22Z</dcterms:modified>
</cp:coreProperties>
</file>