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8_{4DE0ADBA-24AB-46C8-ADDF-A0D8918E8479}"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1" l="1"/>
  <c r="D9" i="2"/>
  <c r="D8" i="2"/>
  <c r="D7" i="2"/>
  <c r="D6" i="2"/>
  <c r="D47" i="1"/>
  <c r="C52" i="1" s="1"/>
  <c r="C47" i="1"/>
  <c r="C51" i="1" s="1"/>
  <c r="E46" i="1"/>
  <c r="F46" i="1" s="1"/>
  <c r="E45" i="1"/>
  <c r="F45" i="1" s="1"/>
  <c r="E44" i="1"/>
  <c r="F44" i="1" s="1"/>
  <c r="E43" i="1"/>
  <c r="F43" i="1" s="1"/>
  <c r="E42" i="1"/>
  <c r="F42" i="1" s="1"/>
  <c r="E41" i="1"/>
  <c r="F41" i="1" s="1"/>
  <c r="C35" i="1"/>
  <c r="E15" i="1"/>
  <c r="D5" i="2" s="1"/>
  <c r="F47" i="1" l="1"/>
  <c r="C55" i="1" s="1"/>
  <c r="E47" i="1"/>
  <c r="C53" i="1" s="1"/>
</calcChain>
</file>

<file path=xl/sharedStrings.xml><?xml version="1.0" encoding="utf-8"?>
<sst xmlns="http://schemas.openxmlformats.org/spreadsheetml/2006/main" count="333" uniqueCount="274">
  <si>
    <t>471 – SOSYAL HİZMETLER BAĞIŞLARI | 2828 SAYILI KANUN | SOSYAL HİZMET KURUM VE KURULUŞLARI | YMM TASDİK</t>
  </si>
  <si>
    <t>Beyanname 471 | GİB KV Beyan Rehberi Mart 2026 (No:606) | ✗ YİAKV MATRAHINDA DÜŞÜLEMEZ</t>
  </si>
  <si>
    <t xml:space="preserve">  2828 SAYILI SOSYAL HİZMETLER KANUNU KAPSAMINDA BAĞIŞ VE YARDIMLAR:
  2828 sayılı Sosyal Hizmetler Kanunu kapsamında faaliyet gösteren kurum ve kuruluşlara yapılan bağış ve yardımların tamamı kurumlar vergisi matrahından indirilir.
  ALICI: Aile ve Sosyal Hizmetler Bakanlığı veya bakanlığa bağlı sosyal hizmet kurum ve kuruluşları (huzurevleri, çocuk yuvaları, yetiştirme yurtları, engelli bakım merkezleri vb.).
  İNDİRİM: TAMAMININ İNDİRİMİ — matrahı aşan kısım devredilemez.
  ★ YİAKV: DÜŞÜLEMEZ — E.11 bilgi satırı.</t>
  </si>
  <si>
    <t xml:space="preserve">  ✗ YİAKV (KVK Md.32/C): 471 Sosyal Hizmetler Bağışı YİAKV MATRAHINDA DÜŞÜLEMEZ. YİAKV E.11 bilgi satırı — 402/460/461/464/465/466/469/470 ile aynı kategori.
  DİKKAT: 402 (KVK Md.10/1-c) kapsamındaki huzurevi/çocuk yuvası İNŞASI bağışından farklı — 471, 2828 s.K. kapsamındaki sosyal hizmet kurumlarına yapılan genel bağış/yardımları kapsar.</t>
  </si>
  <si>
    <t>A0. KAPSAM VE NİTELİK UYGUNLUK ÖN KONTROLÜ — 2828 s.K. SOSYAL HİZMETLER BAĞIŞI</t>
  </si>
  <si>
    <t>Kontrol Sorusu</t>
  </si>
  <si>
    <t>Yanıt</t>
  </si>
  <si>
    <t>YMM Tasdik Notu</t>
  </si>
  <si>
    <t>A0.1  ★ Bağış 2828 s.K. kapsamında bir sosyal hizmet kurum/kuruluşuna mı yapıldı?</t>
  </si>
  <si>
    <t>EVET</t>
  </si>
  <si>
    <t>2828 s.K. kapsamı: Aile ve Sosyal Hizmetler Bakanlığı ve bakanlığa bağlı sosyal hizmet kuruluşları (huzurevi, çocuk yuvası, yetiştirme yurdu, engelli bakım merkezi, sevgi evi vb.). Özel sosyal hizmet işletmesi veya dernek/vakıf → Bu kod değil.</t>
  </si>
  <si>
    <t>A0.2  ★ Bağış FİİLEN yapıldı mı? (Nakdi: Banka — Ayni: Teslim belgesi)</t>
  </si>
  <si>
    <t>Taahhüt edilen ama gerçekleşmeyen bağış indirime konu olamaz. Nakdi: Banka EFT/havale dekontu. Ayni: İmzalı teslim tutanağı.</t>
  </si>
  <si>
    <t>A0.3  Sosyal hizmet kuruluşundan resmi bağış makbuzu / kabul belgesi alındı mı?</t>
  </si>
  <si>
    <t>Bakanlık veya ilgili kuruluştan düzenlenen resmi makbuz veya bağış kabul yazısı zorunludur.</t>
  </si>
  <si>
    <t>A0.4  Bağışın amacı 2828 s.K. kapsamında bir sosyal hizmet faaliyetiyle ilgili mi?</t>
  </si>
  <si>
    <t>Çocuk, yaşlı, engelli, kadın, aile hizmetleri — 2828 s.K. kapsamı amaçlar. Amaç belgede açıkça belirtilmeli.</t>
  </si>
  <si>
    <t>A0.5  Ayni bağış varsa maliyet/net defter değeri ile değerleme yapıldı mı?</t>
  </si>
  <si>
    <t>Ayni bağışlarda maliyet/net defter değeri esas. Piyasa değeri değil. KDV hesaplanmaz — KDVK Md.17/2-b istisnası.</t>
  </si>
  <si>
    <t>A0.6  ✗ YİAKV E.11'de bilgi satırı olarak gösterildi mi?</t>
  </si>
  <si>
    <t>471 YİAKV matrahından düşülemez — E.11 bilgi.</t>
  </si>
  <si>
    <t>A0.7  YMM Tasdik Raporu gereksinimi değerlendirildi mi?</t>
  </si>
  <si>
    <t>&gt;=500.000 TL → YMM raporu.</t>
  </si>
  <si>
    <t>A0.8  Tasdik Uygunluk Sonucu</t>
  </si>
  <si>
    <t>★ A0.1 kapsam (2828) | A0.2 fiili yapım | A0.3 makbuz | A0.4 amaç — dördü kritik.</t>
  </si>
  <si>
    <t>A. GENEL BİLGİLER</t>
  </si>
  <si>
    <t>Kurumun Unvanı</t>
  </si>
  <si>
    <t>Tam ticaret unvanı</t>
  </si>
  <si>
    <t>VKN</t>
  </si>
  <si>
    <t>10 haneli VKN</t>
  </si>
  <si>
    <t>Hesap Dönemi</t>
  </si>
  <si>
    <t>01.01.2025 – 31.12.2025</t>
  </si>
  <si>
    <t>KV Oranı (%)</t>
  </si>
  <si>
    <t>2025: %25</t>
  </si>
  <si>
    <t>Bağış Alıcısı</t>
  </si>
  <si>
    <t>Sosyal Hizmet Kurum/Kuruluşu Adı</t>
  </si>
  <si>
    <t>Alıcı Bağlantısı</t>
  </si>
  <si>
    <t>Bakanlık doğrudan / Bakanlığa bağlı kuruluş</t>
  </si>
  <si>
    <t>Dosya Referansı</t>
  </si>
  <si>
    <t>YMM-2025/471-01</t>
  </si>
  <si>
    <t>B. BAĞIŞ VE YARDIM DETAYLARI — 2828 s.K. SOSYAL HİZMETLER</t>
  </si>
  <si>
    <t>Parametre</t>
  </si>
  <si>
    <t>Değer</t>
  </si>
  <si>
    <t>Açıklama</t>
  </si>
  <si>
    <t>Kaynak</t>
  </si>
  <si>
    <t>B.1  Bağış Şekli</t>
  </si>
  <si>
    <t>Nakdi (Banka Transferi/EFT/Havale)</t>
  </si>
  <si>
    <t>Nakdi: Banka dekontu. Ayni: Teslim tutanağı + değerleme.</t>
  </si>
  <si>
    <t>Belge</t>
  </si>
  <si>
    <t>B.2  Alıcı Türü</t>
  </si>
  <si>
    <t>Aile ve Sosyal Hizmetler Bakanlığı (2828 s.K.)</t>
  </si>
  <si>
    <t>Bakanlık veya bakanlığa bağlı sosyal hizmet kuruluşu.</t>
  </si>
  <si>
    <t>Kuruluş belgesi</t>
  </si>
  <si>
    <t>B.3  Bağışın Amacı</t>
  </si>
  <si>
    <t>Genel Sosyal Hizmet ve Yardım</t>
  </si>
  <si>
    <t>2828 s.K. kapsamı sosyal hizmet alanı.</t>
  </si>
  <si>
    <t>Protokol/Makbuz</t>
  </si>
  <si>
    <t>B.4  Bağış Tarihi</t>
  </si>
  <si>
    <t>Fiilen yapılan bağışın tarihi (nakdi: ödeme, ayni: teslim).</t>
  </si>
  <si>
    <t>Banka/Tutanak</t>
  </si>
  <si>
    <t>B.5  ★ Nakdi Bağış Tutarı (TL)</t>
  </si>
  <si>
    <t>Banka yoluyla yapılan nakdi bağış tutarı.</t>
  </si>
  <si>
    <t>Banka dekontu</t>
  </si>
  <si>
    <t>B.6  Ayni Bağış Değeri (TL — Maliyet/Net Defter Değeri)</t>
  </si>
  <si>
    <t>Gıda/giyim/mobilya/malzeme bağışı varsa maliyet/net defter değeri.</t>
  </si>
  <si>
    <t>Stok/sabit kıymet</t>
  </si>
  <si>
    <t>B.7  ★ TOPLAM BAĞIŞ (B.5 + B.6)</t>
  </si>
  <si>
    <t>Nakdi + Ayni toplam — beyanname 471 tutarının dayanağı.</t>
  </si>
  <si>
    <t>Formül</t>
  </si>
  <si>
    <t>B.8  ★ Resmi Makbuz / Bağış Kabul Belgesi (Bakanlık/Kuruluş)</t>
  </si>
  <si>
    <t>Aile ve Sosyal Hizmetler Bakanlığı veya bağlı kuruluştan alınan resmi makbuz.</t>
  </si>
  <si>
    <t>Bakanlık/Kuruluş</t>
  </si>
  <si>
    <t>C. BAĞIŞ VE YARDIM TABLOSU — SOSYAL HİZMET KURULUŞLARI (BEYANNAME 471)</t>
  </si>
  <si>
    <t xml:space="preserve">  Her bağış kalemi veya alıcı kuruluş için ayrı satır. SÜTUN 3 (yeşil çerçeve): Nakdi bağış. SÜTUN 4: Ayni bağış maliyet değeri. SÜTUN 5: Toplam (otomatik). SÜTUN 6: İndirim = Tamamı (otomatik).</t>
  </si>
  <si>
    <t>Bağış Tarihi</t>
  </si>
  <si>
    <t>Alıcı Kuruluş / Amaç</t>
  </si>
  <si>
    <t>Nakdi (TL)</t>
  </si>
  <si>
    <t>Ayni Değer (TL)</t>
  </si>
  <si>
    <t>Toplam (TL)</t>
  </si>
  <si>
    <t>İndirim (TL)</t>
  </si>
  <si>
    <t>Makbuz/Belge No</t>
  </si>
  <si>
    <t>TOPLAM</t>
  </si>
  <si>
    <t>← Beyanname 471 (Tamamının İndirimi)</t>
  </si>
  <si>
    <t>D. BAĞIŞ VE YARDIM İNDİRİMİ ÖZET — BEYANNAME 471 (2828 s.K.)</t>
  </si>
  <si>
    <t>Hesap Kalemi</t>
  </si>
  <si>
    <t>Tutar (TL)</t>
  </si>
  <si>
    <t>Not</t>
  </si>
  <si>
    <t>D.1  Toplam Nakdi Bağış (C Sütun 3)</t>
  </si>
  <si>
    <t>Banka yoluyla yapılan nakdi toplam</t>
  </si>
  <si>
    <t>D.2  Toplam Ayni Bağış Değeri (C Sütun 4)</t>
  </si>
  <si>
    <t>Maliyet/net defter değeri toplam</t>
  </si>
  <si>
    <t>D.3  TOPLAM BAĞIŞ (D.1 + D.2)</t>
  </si>
  <si>
    <t>C tablosu toplam</t>
  </si>
  <si>
    <t>D.4  İndirim Oranı / Sınır</t>
  </si>
  <si>
    <t>TAMAMININ İNDİRİMİ — Devredilmez</t>
  </si>
  <si>
    <t>2828 s.K. kapsamı: Tamamının indirimi — matrahı aşan devredilmez</t>
  </si>
  <si>
    <t>2828 s.K.</t>
  </si>
  <si>
    <t>D.5  ★ BEYANNAME 471 = TOPLAM BAĞIŞ (D.3)</t>
  </si>
  <si>
    <t>→ Beyanname 471 | Kazancın Bulunması Halinde</t>
  </si>
  <si>
    <t>D.6  YİAKV DURUMU — DÜŞÜLEMEZ</t>
  </si>
  <si>
    <t>YİAKV E.11 Bilgi ✗</t>
  </si>
  <si>
    <t>Tüm bağış/yardım kodları YİAKV matrahından düşülemez</t>
  </si>
  <si>
    <t>KVK Md.32/C</t>
  </si>
  <si>
    <t>E.1  SOSYAL HİZMETLER BAĞIŞI → Beyanname Satır 471 (Kazancın Bulunması Halinde)</t>
  </si>
  <si>
    <t>D.5 = Toplam Bağış Tamamı | 2828 s.K. — Matrahı aşan devredilmez</t>
  </si>
  <si>
    <t xml:space="preserve">  ★ KRİTİK: (1) ALICI: 2828 s.K. kapsamındaki kamu sosyal hizmet kuruluşu — özel sosyal hizmet işletmesi veya bağımsız dernek/vakıf değil. (2) AMAÇ: 2828 s.K. kapsamında sosyal hizmet faaliyeti. (3) AYNİ BAĞIŞ: Gıda, giyim, mobilya, ekipman → Maliyet değeri + KDV istisnası. (4) DEVREDEN YOK: Matrahı aşan devredilmez. (5) YİAKV ✗: E.11. (6) 402 ile fark: 402 inşaat/yurt amaçlı; 471 sosyal hizmet kurumuna genel bağış.</t>
  </si>
  <si>
    <t>471 – SOSYAL HİZMETLER BAĞIŞLARI 2828 SAYILI KANUN | HESAPLAMALAR VE DENETİM</t>
  </si>
  <si>
    <t>Tamamının İndirimi | 2828 s.K. | Kamu Sosyal Hizmet Kuruluşu | Beyanname 471 | ✗ YİAKV E.11</t>
  </si>
  <si>
    <t>A. TASDİK ÖZETİ</t>
  </si>
  <si>
    <t>A0 Uygunluğu</t>
  </si>
  <si>
    <t>OK ise devam</t>
  </si>
  <si>
    <t>Alıcı Türü (B.2)</t>
  </si>
  <si>
    <t>2828 s.K. kapsam</t>
  </si>
  <si>
    <t>Bağış Amacı (B.3)</t>
  </si>
  <si>
    <t>Sosyal hizmet alanı</t>
  </si>
  <si>
    <t>Toplam Bağış (D.3)</t>
  </si>
  <si>
    <t>C tablosu toplamı</t>
  </si>
  <si>
    <t>471 İNDİRİM (D.5)</t>
  </si>
  <si>
    <t>YİAKV</t>
  </si>
  <si>
    <t>✗ DÜŞÜLEMEZ (E.11 Bilgi)</t>
  </si>
  <si>
    <t>Bağış/yardım tümü YİAKV dışı</t>
  </si>
  <si>
    <t>B. 2828 SAYILI KANUN KAPSAMI VE SOSYAL HİZMET KURULUŞU TANIMI</t>
  </si>
  <si>
    <t xml:space="preserve">  2828 SAYILI SOSYAL HİZMETLER KANUNU KAPSAMI:
  2828 sayılı Sosyal Hizmetler Kanunu, Aile ve Sosyal Hizmetler Bakanlığı'nın görev alanını düzenleyen temel kanundur. Bu kanun kapsamında faaliyet gösteren kurum ve kuruluşlara yapılan bağış ve yardımların tamamı 471 beyanname kodu ile indirilir.
  KAPSAM İÇİ KURULUŞLAR:
  • Aile ve Sosyal Hizmetler Bakanlığı (doğrudan)
  • Huzurevleri ve yaşlı bakım merkezleri (bakanlığa bağlı)
  • Çocuk yuvaları ve yetiştirme yurtları (bakanlığa bağlı)
  • Engelli bakım ve rehabilitasyon merkezleri
  • Sevgi evleri ve çocuk destek merkezleri
  • İl/İlçe sosyal hizmetler müdürlükleri
  KAPSAM DIŞI:
  ✗ Özel huzurevi / özel çocuk bakım merkezi (ticari işletme)
  ✗ Bağımsız dernek ve vakıflar (bunlar ayrı değerlendirme)
  ✗ Belediye sosyal tesisleri → 402 (KVK Md.10/1-c) kapsamı</t>
  </si>
  <si>
    <t>C. 402 (KVK Md.10/1-c) vs 471 (2828 s.K.) — SOSYAL HİZMET BAĞIŞLARINDA DOĞRU KOD</t>
  </si>
  <si>
    <t xml:space="preserve">  402 (KVK Md.10/1-c) — SOSYAL TESİS İNŞASI/FAALİYETİ:
  Kamu idaresi/KYD/Muafiyet Vakfı'na huzurevi veya çocuk yuvası İNŞASI veya mevcut tesislerin FAALİYET DESTEĞİ için bağış.
  Amaç: Spesifik tesis inşa/faaliyet. Tamamının indirimi, matrahı aşan devredilmez.
  471 (2828 s.K.) — SOSYAL HİZMET KURUMUNA GENEL BAĞIŞ:
  2828 s.K. kapsamındaki kamu sosyal hizmet kurum veya kuruluşuna yapılan bağış ve yardım.
  Amaç: Genel sosyal hizmet faaliyeti — gıda, giyim, ekipman, yardım vb.
  Tamamının indirimi, matrahı aşan devredilmez.
  ÖRTÜŞME: Huzurevine yapılan genel gıda bağışı hem 402 hem 471 kapsamında görünebilir.
  Her ikisi de tamamının indirimi → Vergisel sonuç aynı.
  YMM: Bağışın doğasına göre uygun kodu belgele — ikisi çelişmez.</t>
  </si>
  <si>
    <t>D. DENETİM KONTROL LİSTESİ (K1–K12)</t>
  </si>
  <si>
    <t>Kontrol</t>
  </si>
  <si>
    <t>Sonuç</t>
  </si>
  <si>
    <t>K1</t>
  </si>
  <si>
    <t>★ Alıcı 2828 s.K. kapsamında kamu sosyal hizmet kuruluşu mu?</t>
  </si>
  <si>
    <t>Özel/ticari sosyal hizmet → Bu kod değil.</t>
  </si>
  <si>
    <t>Uygun/Eksik/Risk</t>
  </si>
  <si>
    <t>K2</t>
  </si>
  <si>
    <t>★ Bağış fiilen yapıldı mı? (Nakdi: Banka — Ayni: Tutanak)</t>
  </si>
  <si>
    <t>Banka dekontu veya teslim tutanağı.</t>
  </si>
  <si>
    <t>K3</t>
  </si>
  <si>
    <t>★ Bakanlık/kuruluştan resmi makbuz alındı mı?</t>
  </si>
  <si>
    <t>Makbuz olmadan 471 belgelenemez.</t>
  </si>
  <si>
    <t>K4</t>
  </si>
  <si>
    <t>★ Bağışın amacı 2828 s.K. sosyal hizmet faaliyetiyle ilgili mi?</t>
  </si>
  <si>
    <t>Amaç belgede açık olmalı.</t>
  </si>
  <si>
    <t>K5</t>
  </si>
  <si>
    <t>Ayni bağış varsa maliyet/net defter değeri esas alındı mı?</t>
  </si>
  <si>
    <t>Piyasa değeri değil. KDV istisnası.</t>
  </si>
  <si>
    <t>K6</t>
  </si>
  <si>
    <t>C tablosu toplamı D.3 ile mutabık mı?</t>
  </si>
  <si>
    <t>E47 = D.3 eşitliği.</t>
  </si>
  <si>
    <t>K7</t>
  </si>
  <si>
    <t>★ İndirim matrahı aşıyor mu? (Devredilemez!)</t>
  </si>
  <si>
    <t>Aşan kısım beyanname notu.</t>
  </si>
  <si>
    <t>K8</t>
  </si>
  <si>
    <t>✗ YİAKV E.11'de bilgi satırı olarak gösterildi mi?</t>
  </si>
  <si>
    <t>471 DÜŞÜLEMEZ — E.11 bilgi.</t>
  </si>
  <si>
    <t>K9</t>
  </si>
  <si>
    <t>402 ile 471 doğru ayrıştırıldı mı? (İnşa→402, Genel→471)</t>
  </si>
  <si>
    <t>Kod seçimi belgelendi.</t>
  </si>
  <si>
    <t>K10</t>
  </si>
  <si>
    <t>Birden fazla kuruluş bağışı C tablosunda ayrı satırlarda mı?</t>
  </si>
  <si>
    <t>Her alıcı ayrı satır.</t>
  </si>
  <si>
    <t>K11</t>
  </si>
  <si>
    <t>Beyanname 471 'Kazancın Bulunması Halinde' bölümünde mi?</t>
  </si>
  <si>
    <t>Zarar döneminde uygulanamaz.</t>
  </si>
  <si>
    <t>K12</t>
  </si>
  <si>
    <t>YMM Tasdik Raporu (49 No.lu Tebliğ) değerlendirildi mi?</t>
  </si>
  <si>
    <t>471 – SOSYAL HİZMETLER BAĞIŞLARI 2828 s.K. | MUHASEBE KAYITLARI</t>
  </si>
  <si>
    <t>KAYIT 1 — NAKDİ BAĞIŞ (EFT/HAVALE — SOSYAL HİZMET KURULUŞU)</t>
  </si>
  <si>
    <t>Tarih</t>
  </si>
  <si>
    <t>Hesap</t>
  </si>
  <si>
    <t>Dr</t>
  </si>
  <si>
    <t>Kr</t>
  </si>
  <si>
    <t>Ref</t>
  </si>
  <si>
    <t>[Bağış Tarihi]</t>
  </si>
  <si>
    <t>689 Diğer Olağan Dışı Gid. / 770 Genel Yön.</t>
  </si>
  <si>
    <t>Sosyal hizmet bağışı — gider kaydı</t>
  </si>
  <si>
    <t>[Tutar]</t>
  </si>
  <si>
    <t>—</t>
  </si>
  <si>
    <t>Makbuz/Protokol</t>
  </si>
  <si>
    <t>KAYIT 2 — AYNİ BAĞIŞ (GIDA / GİYİM / EKİPMAN / MALZEME)</t>
  </si>
  <si>
    <t>[Teslim]</t>
  </si>
  <si>
    <t>689 Diğer Olağan Dışı Gid.</t>
  </si>
  <si>
    <t>Ayni bağış — maliyet/net defter değeri</t>
  </si>
  <si>
    <t>[Maliyet]</t>
  </si>
  <si>
    <t>Teslim tutanağı</t>
  </si>
  <si>
    <t>KAYIT 3 — DÖNEM SONU: KKEG + BEYANNAME 471 İNDİRİMİ</t>
  </si>
  <si>
    <t>[Dönem Sonu]</t>
  </si>
  <si>
    <t>951 KKEG</t>
  </si>
  <si>
    <t>Sosyal hizmet bağış gideri KKEG'e alınır</t>
  </si>
  <si>
    <t>Beyanname eki</t>
  </si>
  <si>
    <t xml:space="preserve">  DÖNEM SONU NET ETKİ — BEYANNAME 471:
  Sosyal hizmet bağışı (689/770) → KKEG → Matrahı artırır → Beyanname 471 tamamının indirimi → Matrahtan düşülür.
  YİAKV: ✗ DÜŞÜLEMEZ — E.11 bilgi satırı.
  Ayni bağışta KDV istisnası (KDVK Md.17/2-b). Gıda/giyim/malzeme bağışı sıklıkla ayni kategori.</t>
  </si>
  <si>
    <t>471 – SOSYAL HİZMETLER BAĞIŞLARI 2828 SAYILI KANUN | DENETÇİ NOTLARI</t>
  </si>
  <si>
    <t>GİB KV Beyan Rehberi 2026 (No:606) | 2828 s.K. | Bakanlık/Kamu Kuruluşu | Ayni Bağış | YİAKV E.11</t>
  </si>
  <si>
    <t>Kod</t>
  </si>
  <si>
    <t>Konu</t>
  </si>
  <si>
    <t>Mesleki Değerlendirme / Tasdik Standardı</t>
  </si>
  <si>
    <t>Mevzuat / Kaynak</t>
  </si>
  <si>
    <t>N1</t>
  </si>
  <si>
    <t>2828 s.K. — Sosyal Hizmetler Kanunu Kapsam ve Tanım</t>
  </si>
  <si>
    <t>SOSYAL HİZMETLER BAĞIŞI — 2828 SAYILI KANUN:
2828 sayılı Sosyal Hizmetler Kanunu kapsamında Aile ve Sosyal Hizmetler
Bakanlığı veya bakanlığa bağlı sosyal hizmet kurum ve kuruluşlarına yapılan
bağış ve yardımların tamamı kurumlar vergisi matrahından indirilir.
KAPSAM İÇİ KURULUŞLAR:
① Aile ve Sosyal Hizmetler Bakanlığı (doğrudan)
② Huzurevleri, yaşlı bakım merkezleri (bakanlığa bağlı)
③ Çocuk yuvaları, yetiştirme yurtları, sevgi evleri
④ Engelli bakım ve rehabilitasyon merkezleri
⑤ İl/İlçe Sosyal Hizmetler Müdürlükleri
AYNİ BAĞIŞ KAPSAMI:
Gıda, giyim, mobilya, yatak, ekipman, malzeme — sıkça yapılan sosyal bağışlar.
YİAKV: ✗ DÜŞÜLEMEZ (E.11 bilgi) | BEYANNAME: 471</t>
  </si>
  <si>
    <t>2828 s.K. | GİB KV Beyan Reh. 2026 (No:606)</t>
  </si>
  <si>
    <t>N2</t>
  </si>
  <si>
    <t>★ Kapsam Sınırı — Kamu Kuruluşu vs Özel/Dernek/Vakıf</t>
  </si>
  <si>
    <t>KAPSAM SINIRININ EN KRİTİK NOKTASI:
2828 s.K. KAPSAMI (471):
Aile ve Sosyal Hizmetler Bakanlığı'na bağlı KAMU kurum ve kuruluşları.
Bakanlığın resmi sicilinde kayıtlı sosyal hizmet birimleri.
KAPSAM DIŞI:
✗ Özel huzurevi (ticari işletme lisanslı)
✗ Özel çocuk bakım merkezi (kreş/yuva lisanslı işletme)
✗ Sosyal amaçlı dernekler → Kamu yararına çalışan ise 402; değilse kapsam dışı
✗ Vakıflar → Muafiyet kararı varsa 402; yoksa kapsam dışı
✗ Belediye sosyal tesisleri → 402 (kamu idaresi) kapsamı
YMM DOĞRULAMA:
Alıcı kurumun Bakanlık sicilinde kayıtlı olduğunu resmi belgesiyle teyit et.
Bakanlık web sitesinden kuruluş listesi kontrol edilebilir.</t>
  </si>
  <si>
    <t>2828 s.K. | Aile ve Sosyal Hizmetler Bakanlığı Mevzuatı | GİB Özelge</t>
  </si>
  <si>
    <t>N3</t>
  </si>
  <si>
    <t>★ 402 (KVK 10/1-c) ile 471 (2828 s.K.) Ayrımı ve Örtüşme</t>
  </si>
  <si>
    <t>EĞİTİM/SOSYAL BAĞIŞLARDA KOD SEÇİMİ:
402 — KVK Md.10/1-c BAĞIŞI:
Kamu idaresine (bakanlık dahil) HUZUREVI veya ÇOCUK YUVASI İNŞASI veya
mevcut tesislerin FAALİYETLERİNE DESTEK amacıyla yapılan bağış.
Kapsam: İnşa/yurt/huzurevi/çocuk yuvası — belirli tesis türleri için.
471 — 2828 s.K. BAĞIŞI:
2828 s.K. kapsamındaki sosyal hizmet kuruluşuna yapılan genel bağış.
Kapsam: Gıda, giyim, ekipman, genel yardım — daha geniş.
ÖRTÜŞME SENARYOSU:
Bakanlığa bağlı huzurevine gıda bağışı:
→ 402: Huzurevinin faaliyetlerine destek kapsamında
→ 471: 2828 s.K. kapsamı sosyal hizmet kuruluşuna genel bağış
Her ikisi de 'tamamının indirimi' → Sonuç aynı. YMM tutarlı kodu belgele.</t>
  </si>
  <si>
    <t>2828 s.K. | KVK Md.10/1-c | GİB Özelge | Danıştay Kararları</t>
  </si>
  <si>
    <t>N4</t>
  </si>
  <si>
    <t>YİAKV ile İlişki — E.11 Nihai Birikim</t>
  </si>
  <si>
    <t>YİAKV (KVK Md.32/C) VE SOSYAL HİZMETLER BAĞIŞI:
✗ 471 (2828 s.K.): DÜŞÜLEMEZ → YİAKV E.11
BU OTURUMDA TAMAMLANAN TÜM BAĞIŞ/YARDIM KODLARI — E.11:
✗ 402 KVK Md.10/1-c | ✗ 460/461 Sponsorluk
✗ 464 AGF | ✗ 465 AYİF | ✗ 466 UAB | ✗ 469 TÜBİTAK
✗ 470 Yükseköğretim | ✗ 471 Sosyal Hizmetler
→ YİAKV E.11 = Tüm kodların döneme isabet eden TOPLAMI
DÜŞÜLEBILIR (Son Hatırlatma):
✓ 283 Ar-Ge → D.10 | ✓ 455 Tasarım → D.10
✓ 401 Risturn → D.4 | ✓ 413 GSF → D.11</t>
  </si>
  <si>
    <t>KVK Md.32/C | GİB Rehberi No:607 | No:606</t>
  </si>
  <si>
    <t>N5</t>
  </si>
  <si>
    <t>49 No.lu Tebliğ + YMM Tasdik Dil Standardı</t>
  </si>
  <si>
    <t>KULLANIN:
'...2828 sayılı Sosyal Hizmetler Kanunu kapsamında [Kuruluş Adı]'na
[Bağış Tarihi] tarihinde banka yoluyla ödenen [Nakdi TL] TL nakdi bağış
ile [Ayni TL] TL maliyet bedelindeki ayni bağışın tamamı olan [Toplam TL] TL,
kurumlar vergisi matrahından indirilmiştir. Söz konusu tutar YİAKV
matrahından indirilmemiştir.'
(Matrahı aşıyorsa ekleyin:)
'[Aşan TL] TL'lik kısım matrahı aşması nedeniyle sonraki dönemlere
devredilmemiştir.'
KULLANMAYIN:
'...Özel huzurevine yapılan bağış 471 kapsamında indirilmiştir.' (Kapsam dışı)
'...471 YİAKV matrahından düşülmüştür.' (YANLIŞ)
'...Matrahı aşan kısım devredilmiştir.' (Devredilmez!)
KRİTİK RİSKLER:
(1) Özel sosyal hizmet işletmesine yapılan bağışı 471'e dahil etmek.
(2) Makbuz olmadan 471 uygulamak.
(3) Matrahı aşan kısmı devretmeye çalışmak.
(4) YİAKV E.11'e yazmayı unutmak.</t>
  </si>
  <si>
    <t>49 No.lu Tebliğ | 2828 s.K. | SM-SMMM-YMM K. Md.12</t>
  </si>
  <si>
    <t xml:space="preserve">  GİB KV BEYAN REHBERİ MART 2026 (No:606) KAPANIŞ (471): 2828 s.K. — Aile ve Sosyal Hizmetler Bakanlığı ve bakanlığa bağlı sosyal hizmet kuruluşları. Özel sosyal hizmet işletmesi → Kapsam dışı. Tamamının indirimi — matrahı aşan devredilmez. Ayni bağışta KDV istisnası. ✗ YİAKV E.11. YMM: SM-SMMM-YMM K. Md.12.</t>
  </si>
  <si>
    <t>471 – SOSYAL HİZMETLER BAĞIŞLARI 2828 SAYILI KANUN | BELGE LİSTESİ | YMM TASDİK</t>
  </si>
  <si>
    <t>Bakanlık/Kuruluş Makbuzu | Banka Dekontu | Teslim Tutanağı | Kamu Sicil Belgesi | YİAKV E.11</t>
  </si>
  <si>
    <t>KATEGORİ 1 — ZORUNLU BELGELER</t>
  </si>
  <si>
    <t>No</t>
  </si>
  <si>
    <t>Temin</t>
  </si>
  <si>
    <t>1</t>
  </si>
  <si>
    <t>★ Bakanlık / Sosyal Hizmet Kuruluşu Resmi Makbuzu</t>
  </si>
  <si>
    <t>Aile ve Sosyal Hizmetler Bakanlığı veya bakanlığa bağlı kuruluştan alınan resmi bağış makbuzu veya kabul yazısı. Tutar, tarih ve bağışın amacı belirtilmeli. Zorunlu belge.</t>
  </si>
  <si>
    <t>Bakanlık / Bağlı Kuruluş</t>
  </si>
  <si>
    <t>2</t>
  </si>
  <si>
    <t>★ Nakdi Bağış — Banka EFT/Havale Dekontu</t>
  </si>
  <si>
    <t>Sosyal hizmet kuruluşunun banka hesabına yapılan nakdi ödemenin dekont belgesi. Her ödeme için ayrı dekont.</t>
  </si>
  <si>
    <t>Banka / Şirket hesabı</t>
  </si>
  <si>
    <t>3</t>
  </si>
  <si>
    <t>Ayni Bağış — Teslim-Tesellüm Tutanağı + Maliyet Notu</t>
  </si>
  <si>
    <t>Gıda/giyim/ekipman/malzeme bağışı için imzalı teslim tutanağı. Maliyet/net defter değeri notu. KDV hesaplanmaz (KDVK Md.17/2-b).</t>
  </si>
  <si>
    <t>Teslim sırasında düzenlenir</t>
  </si>
  <si>
    <t>4</t>
  </si>
  <si>
    <t>Alıcı Kuruluşun 2828 s.K. Kapsamında Olduğunu Gösteren Belge</t>
  </si>
  <si>
    <t>Bakanlığa bağlı kamu kuruluşu olduğunu kanıtlayan Bakanlık sicil/tescil belgesi. Özel işletmelerden ayırt etmek için zorunlu olabilir.</t>
  </si>
  <si>
    <t>Aile ve Sosyal Hizmetler Bakanlığı</t>
  </si>
  <si>
    <t>5</t>
  </si>
  <si>
    <t>KV Beyannamesi 471 Satırı + YİAKV E.11 Bilgi</t>
  </si>
  <si>
    <t>Beyanname 471 = D.5 tutarı. YİAKV E.11'de diğer bağış/yardım kodlarıyla birlikte bilgi satırı.</t>
  </si>
  <si>
    <t>GİB e-Beyanname + YİAKV ÇK</t>
  </si>
  <si>
    <t>KATEGORİ 2 — YMM TASDİK KONTROL SORULARI</t>
  </si>
  <si>
    <t>Beklenen Sonuç</t>
  </si>
  <si>
    <t>YMM Aksiyonu</t>
  </si>
  <si>
    <t>S1</t>
  </si>
  <si>
    <t>Özel işletme → Kapsam dışı.</t>
  </si>
  <si>
    <t>YMM kontrolü</t>
  </si>
  <si>
    <t>S2</t>
  </si>
  <si>
    <t>★ Bağış fiilen yapıldı mı? (Banka / teslim)</t>
  </si>
  <si>
    <t>Taahhüt değil — fiili ödeme.</t>
  </si>
  <si>
    <t>S3</t>
  </si>
  <si>
    <t>Makbuz zorunlu.</t>
  </si>
  <si>
    <t>S4</t>
  </si>
  <si>
    <t>★ Bağışın amacı sosyal hizmet faaliyetiyle ilgili mi?</t>
  </si>
  <si>
    <t>Amaç belgede açık.</t>
  </si>
  <si>
    <t>S5</t>
  </si>
  <si>
    <t>402 ile 471 doğru ayrıştırıldı mı?</t>
  </si>
  <si>
    <t>İnşa→402, Genel sosyal→471.</t>
  </si>
  <si>
    <t>S6</t>
  </si>
  <si>
    <t>Ayni bağış varsa maliyet değeri ve KDV istisnası doğru mu?</t>
  </si>
  <si>
    <t>Maliyet esas, KDV yok.</t>
  </si>
  <si>
    <t>S7</t>
  </si>
  <si>
    <t>★ İndirim matrahı aşıyor mu? (Devredilmez!)</t>
  </si>
  <si>
    <t>S8</t>
  </si>
  <si>
    <t>✗ YİAKV E.11'de bilgi satırı var mı?</t>
  </si>
  <si>
    <t>471 DÜŞÜLEMEZ — E.11.</t>
  </si>
  <si>
    <t>S9</t>
  </si>
  <si>
    <t>Birden fazla kuruluş ayrı satırlarda mı? (C tablosu)</t>
  </si>
  <si>
    <t>S10</t>
  </si>
  <si>
    <t>Beyanname 471 'Kazancın Bulunması Halinde'?</t>
  </si>
  <si>
    <t>S11</t>
  </si>
  <si>
    <t>YMM Tasdik Raporu değerlendirildi mi?</t>
  </si>
  <si>
    <t>&gt;=500.000 TL → Rapor.</t>
  </si>
  <si>
    <t xml:space="preserve">  GİB KV BEYAN REHBERİ MART 2026 (No:606) | 471 SOSYAL HİZMETLER BAĞIŞI SON NOT:
  2828 s.K. — Aile ve Sosyal Hizmetler Bakanlığı ve bakanlığa bağlı kamu sosyal hizmet kuruluşları.
  Tamamının indirimi — matrahı aşan kısım devredilemez.
  Ayni bağışta (gıda/giyim/ekipman) KDV istisnası uygulanır (KDVK Md.17/2-b).
  ✗ YİAKV E.11 bilgi satırı (402/460/461/464/465/466/469/470 ile birlikte toplam).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</si>
</sst>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1A7A5E"/>
      <name val="Arial"/>
    </font>
    <font>
      <b/>
      <sz val="10"/>
      <color rgb="FF1A7A5E"/>
      <name val="Arial"/>
    </font>
    <font>
      <sz val="9"/>
      <color rgb="FF1F3864"/>
      <name val="Arial"/>
    </font>
    <font>
      <b/>
      <sz val="9"/>
      <color rgb="FF1A7A5E"/>
      <name val="Arial"/>
    </font>
    <font>
      <b/>
      <sz val="9"/>
      <color rgb="FF1B5E20"/>
      <name val="Arial"/>
    </font>
    <font>
      <sz val="8"/>
      <color rgb="FF1F3864"/>
      <name val="Arial"/>
    </font>
    <font>
      <b/>
      <sz val="11"/>
      <color rgb="FFFFFFFF"/>
      <name val="Arial"/>
    </font>
    <font>
      <b/>
      <sz val="13"/>
      <color rgb="FFFFFFFF"/>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8"/>
      <color rgb="FFC0392B"/>
      <name val="Arial"/>
    </font>
    <font>
      <b/>
      <sz val="12"/>
      <color rgb="FF1B5E20"/>
      <name val="Arial"/>
    </font>
    <font>
      <sz val="8"/>
      <color rgb="FF333333"/>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1A7A5E"/>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E8F8F5"/>
      </patternFill>
    </fill>
    <fill>
      <patternFill patternType="solid">
        <fgColor rgb="FFFFFFFF"/>
      </patternFill>
    </fill>
    <fill>
      <patternFill patternType="solid">
        <fgColor rgb="FFC6EFCE"/>
      </patternFill>
    </fill>
    <fill>
      <patternFill patternType="solid">
        <fgColor rgb="FFD0F0E8"/>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1A7A5E"/>
      </left>
      <right style="thin">
        <color rgb="FF1A7A5E"/>
      </right>
      <top style="thin">
        <color rgb="FF1A7A5E"/>
      </top>
      <bottom style="thin">
        <color rgb="FF1A7A5E"/>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22">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3" fontId="12" fillId="14"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4" xfId="0" applyFont="1" applyFill="1" applyBorder="1" applyAlignment="1">
      <alignment horizontal="left" vertical="center" wrapText="1"/>
    </xf>
    <xf numFmtId="3" fontId="14" fillId="14" borderId="7" xfId="0" applyNumberFormat="1" applyFont="1" applyFill="1" applyBorder="1" applyAlignment="1">
      <alignment horizontal="right" vertical="center" wrapText="1"/>
    </xf>
    <xf numFmtId="3" fontId="14" fillId="12" borderId="4" xfId="0" applyNumberFormat="1" applyFont="1" applyFill="1" applyBorder="1" applyAlignment="1">
      <alignment horizontal="right" vertical="center" wrapText="1"/>
    </xf>
    <xf numFmtId="3" fontId="15" fillId="13" borderId="8" xfId="0" applyNumberFormat="1" applyFont="1" applyFill="1" applyBorder="1" applyAlignment="1">
      <alignment horizontal="right" vertical="center" wrapText="1"/>
    </xf>
    <xf numFmtId="0" fontId="16" fillId="10" borderId="4" xfId="0" applyFont="1" applyFill="1" applyBorder="1" applyAlignment="1">
      <alignment horizontal="center" vertical="center" wrapText="1"/>
    </xf>
    <xf numFmtId="3" fontId="14" fillId="11" borderId="4" xfId="0" applyNumberFormat="1" applyFont="1" applyFill="1" applyBorder="1" applyAlignment="1">
      <alignment horizontal="right" vertical="center" wrapText="1"/>
    </xf>
    <xf numFmtId="3" fontId="3" fillId="2" borderId="4" xfId="0" applyNumberFormat="1" applyFont="1" applyFill="1" applyBorder="1" applyAlignment="1">
      <alignment horizontal="right" vertical="center" wrapText="1"/>
    </xf>
    <xf numFmtId="3" fontId="17" fillId="2" borderId="4" xfId="0" applyNumberFormat="1" applyFont="1" applyFill="1" applyBorder="1" applyAlignment="1">
      <alignment horizontal="right" vertical="center" wrapText="1"/>
    </xf>
    <xf numFmtId="3" fontId="18" fillId="2" borderId="8" xfId="0" applyNumberFormat="1" applyFont="1" applyFill="1" applyBorder="1" applyAlignment="1">
      <alignment horizontal="right" vertical="center" wrapText="1"/>
    </xf>
    <xf numFmtId="3" fontId="12" fillId="11" borderId="4" xfId="0" applyNumberFormat="1" applyFont="1" applyFill="1" applyBorder="1" applyAlignment="1">
      <alignment horizontal="right" vertical="center"/>
    </xf>
    <xf numFmtId="0" fontId="12" fillId="14" borderId="4" xfId="0" applyFont="1" applyFill="1" applyBorder="1" applyAlignment="1">
      <alignment horizontal="center" vertical="center"/>
    </xf>
    <xf numFmtId="3" fontId="19" fillId="13" borderId="8" xfId="0" applyNumberFormat="1" applyFont="1" applyFill="1" applyBorder="1" applyAlignment="1">
      <alignment horizontal="right" vertical="center"/>
    </xf>
    <xf numFmtId="0" fontId="21" fillId="15" borderId="4" xfId="0" applyFont="1" applyFill="1" applyBorder="1" applyAlignment="1">
      <alignment horizontal="center" vertical="center"/>
    </xf>
    <xf numFmtId="3" fontId="22" fillId="13" borderId="8" xfId="0" applyNumberFormat="1" applyFont="1" applyFill="1" applyBorder="1" applyAlignment="1">
      <alignment horizontal="right" vertical="center" wrapText="1"/>
    </xf>
    <xf numFmtId="3" fontId="9" fillId="11" borderId="4" xfId="0" applyNumberFormat="1" applyFont="1" applyFill="1" applyBorder="1" applyAlignment="1">
      <alignment horizontal="center" vertical="center"/>
    </xf>
    <xf numFmtId="3" fontId="25" fillId="13" borderId="4" xfId="0" applyNumberFormat="1" applyFont="1" applyFill="1" applyBorder="1" applyAlignment="1">
      <alignment horizontal="right" vertical="center"/>
    </xf>
    <xf numFmtId="0" fontId="1" fillId="2" borderId="4" xfId="0" applyFont="1" applyFill="1" applyBorder="1" applyAlignment="1">
      <alignment horizontal="center" vertical="center" wrapText="1"/>
    </xf>
    <xf numFmtId="0" fontId="4" fillId="9"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0" fillId="11" borderId="4" xfId="0" applyFill="1" applyBorder="1"/>
    <xf numFmtId="0" fontId="0" fillId="12" borderId="4" xfId="0" applyFill="1" applyBorder="1"/>
    <xf numFmtId="0" fontId="7" fillId="11"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1" fillId="8" borderId="1" xfId="0" applyFont="1" applyFill="1" applyBorder="1" applyAlignment="1">
      <alignment horizontal="center" vertical="center"/>
    </xf>
    <xf numFmtId="0" fontId="13" fillId="11" borderId="4" xfId="0" applyFont="1" applyFill="1" applyBorder="1" applyAlignment="1">
      <alignment horizontal="center" vertical="center" wrapText="1"/>
    </xf>
    <xf numFmtId="0" fontId="26" fillId="18" borderId="4" xfId="0" applyFont="1" applyFill="1" applyBorder="1" applyAlignment="1">
      <alignment horizontal="left" vertical="top" wrapText="1"/>
    </xf>
    <xf numFmtId="0" fontId="27" fillId="11"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27" fillId="9" borderId="4" xfId="0" applyFont="1" applyFill="1" applyBorder="1" applyAlignment="1">
      <alignment horizontal="left" vertical="top" wrapText="1"/>
    </xf>
    <xf numFmtId="0" fontId="4" fillId="11" borderId="4" xfId="0" applyFont="1" applyFill="1" applyBorder="1" applyAlignment="1">
      <alignment horizontal="left" vertical="top" wrapText="1"/>
    </xf>
    <xf numFmtId="0" fontId="27" fillId="12"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26" fillId="19" borderId="4" xfId="0" applyFont="1" applyFill="1" applyBorder="1" applyAlignment="1">
      <alignment horizontal="left" vertical="top" wrapText="1"/>
    </xf>
    <xf numFmtId="0" fontId="29" fillId="13" borderId="4" xfId="0" applyFont="1" applyFill="1" applyBorder="1" applyAlignment="1">
      <alignment horizontal="left" vertical="center" wrapText="1"/>
    </xf>
    <xf numFmtId="0" fontId="7" fillId="12" borderId="4" xfId="0" applyFont="1" applyFill="1" applyBorder="1" applyAlignment="1">
      <alignment horizontal="center" vertical="center" wrapText="1"/>
    </xf>
    <xf numFmtId="0" fontId="4" fillId="12" borderId="4" xfId="0" applyFont="1" applyFill="1" applyBorder="1" applyAlignment="1">
      <alignment horizontal="left" vertical="top" wrapText="1"/>
    </xf>
    <xf numFmtId="0" fontId="29" fillId="12"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0"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26" fillId="22" borderId="4" xfId="0" applyFont="1" applyFill="1" applyBorder="1" applyAlignment="1">
      <alignment horizontal="left" vertical="top" wrapText="1"/>
    </xf>
    <xf numFmtId="0" fontId="31" fillId="21" borderId="4" xfId="0" applyFont="1" applyFill="1" applyBorder="1" applyAlignment="1">
      <alignment horizontal="center" vertical="center" wrapText="1"/>
    </xf>
    <xf numFmtId="0" fontId="0" fillId="23" borderId="4" xfId="0" applyFill="1" applyBorder="1"/>
    <xf numFmtId="0" fontId="30" fillId="23" borderId="4" xfId="0" applyFont="1" applyFill="1" applyBorder="1" applyAlignment="1">
      <alignment horizontal="center" vertical="center" wrapText="1"/>
    </xf>
    <xf numFmtId="0" fontId="30" fillId="23" borderId="4" xfId="0" applyFont="1" applyFill="1" applyBorder="1" applyAlignment="1">
      <alignment horizontal="left" vertical="top" wrapText="1"/>
    </xf>
    <xf numFmtId="0" fontId="26" fillId="24" borderId="4" xfId="0" applyFont="1" applyFill="1" applyBorder="1" applyAlignment="1">
      <alignment horizontal="left" vertical="top" wrapText="1"/>
    </xf>
    <xf numFmtId="0" fontId="31" fillId="23" borderId="4" xfId="0" applyFont="1" applyFill="1" applyBorder="1" applyAlignment="1">
      <alignment horizontal="center" vertical="center" wrapText="1"/>
    </xf>
    <xf numFmtId="0" fontId="3" fillId="2" borderId="1" xfId="0" applyFont="1" applyFill="1" applyBorder="1" applyAlignment="1">
      <alignment horizontal="left" vertical="center"/>
    </xf>
    <xf numFmtId="0" fontId="0" fillId="0" borderId="2" xfId="0" applyBorder="1"/>
    <xf numFmtId="0" fontId="0" fillId="0" borderId="3" xfId="0" applyBorder="1"/>
    <xf numFmtId="0" fontId="11" fillId="12" borderId="4" xfId="0" applyFont="1" applyFill="1" applyBorder="1" applyAlignment="1">
      <alignment horizontal="left" vertical="center" wrapText="1"/>
    </xf>
    <xf numFmtId="0" fontId="0" fillId="0" borderId="6" xfId="0" applyBorder="1"/>
    <xf numFmtId="0" fontId="7" fillId="12" borderId="4" xfId="0" applyFont="1" applyFill="1" applyBorder="1" applyAlignment="1">
      <alignment horizontal="left" vertical="center" wrapText="1"/>
    </xf>
    <xf numFmtId="0" fontId="0" fillId="10" borderId="4" xfId="0" applyFill="1" applyBorder="1"/>
    <xf numFmtId="0" fontId="0" fillId="0" borderId="5" xfId="0" applyBorder="1"/>
    <xf numFmtId="0" fontId="10" fillId="12" borderId="4"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14" fillId="14" borderId="4" xfId="0" applyFont="1" applyFill="1" applyBorder="1" applyAlignment="1">
      <alignment horizontal="left" vertical="center" wrapText="1"/>
    </xf>
    <xf numFmtId="0" fontId="9" fillId="13" borderId="4" xfId="0" applyFont="1" applyFill="1" applyBorder="1" applyAlignment="1">
      <alignment horizontal="left" vertical="center"/>
    </xf>
    <xf numFmtId="0" fontId="6" fillId="13"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24" fillId="9" borderId="4" xfId="0" applyFont="1" applyFill="1" applyBorder="1" applyAlignment="1">
      <alignment horizontal="left" vertical="center" wrapText="1"/>
    </xf>
    <xf numFmtId="0" fontId="20" fillId="15"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10" fillId="15" borderId="4" xfId="0" applyFont="1" applyFill="1" applyBorder="1" applyAlignment="1">
      <alignment horizontal="left" vertical="center" wrapText="1"/>
    </xf>
    <xf numFmtId="0" fontId="8" fillId="15" borderId="4"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1" fillId="2" borderId="1" xfId="0" applyFont="1" applyFill="1" applyBorder="1" applyAlignment="1">
      <alignment horizontal="left" vertical="center"/>
    </xf>
    <xf numFmtId="0" fontId="6" fillId="9"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1" fillId="2" borderId="4" xfId="0" applyFont="1" applyFill="1" applyBorder="1" applyAlignment="1">
      <alignment horizontal="left" vertical="center"/>
    </xf>
    <xf numFmtId="0" fontId="15" fillId="13" borderId="4" xfId="0" applyFont="1" applyFill="1" applyBorder="1" applyAlignment="1">
      <alignment horizontal="left" vertical="center" wrapText="1"/>
    </xf>
    <xf numFmtId="0" fontId="3" fillId="7" borderId="1" xfId="0" applyFont="1" applyFill="1" applyBorder="1" applyAlignment="1">
      <alignment horizontal="left" vertical="center"/>
    </xf>
    <xf numFmtId="0" fontId="10" fillId="13" borderId="4" xfId="0" applyFont="1" applyFill="1" applyBorder="1" applyAlignment="1">
      <alignment horizontal="left" vertical="center" wrapText="1"/>
    </xf>
    <xf numFmtId="0" fontId="1" fillId="3" borderId="1" xfId="0" applyFont="1" applyFill="1" applyBorder="1" applyAlignment="1">
      <alignment horizontal="left" vertical="center"/>
    </xf>
    <xf numFmtId="0" fontId="10" fillId="14"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3" fillId="2" borderId="4" xfId="0" applyFont="1" applyFill="1" applyBorder="1" applyAlignment="1">
      <alignment horizontal="center" vertical="center"/>
    </xf>
    <xf numFmtId="0" fontId="23" fillId="13" borderId="4" xfId="0" applyFont="1" applyFill="1" applyBorder="1" applyAlignment="1">
      <alignment horizontal="left" vertical="center" wrapText="1"/>
    </xf>
    <xf numFmtId="0" fontId="26" fillId="17"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3" fillId="16" borderId="1" xfId="0" applyFont="1" applyFill="1" applyBorder="1" applyAlignment="1">
      <alignment horizontal="left" vertical="center"/>
    </xf>
    <xf numFmtId="0" fontId="4" fillId="9" borderId="4" xfId="0" applyFont="1" applyFill="1" applyBorder="1" applyAlignment="1">
      <alignment horizontal="left" vertical="top" wrapText="1"/>
    </xf>
    <xf numFmtId="0" fontId="26" fillId="12" borderId="4" xfId="0" applyFont="1" applyFill="1" applyBorder="1" applyAlignment="1">
      <alignment horizontal="left" vertical="top" wrapText="1"/>
    </xf>
    <xf numFmtId="0" fontId="16" fillId="14" borderId="4" xfId="0" applyFont="1" applyFill="1" applyBorder="1" applyAlignment="1">
      <alignment horizontal="left" vertical="center" wrapText="1"/>
    </xf>
    <xf numFmtId="0" fontId="7" fillId="12" borderId="4" xfId="0" applyFont="1" applyFill="1" applyBorder="1" applyAlignment="1">
      <alignment horizontal="left" vertical="center"/>
    </xf>
    <xf numFmtId="0" fontId="7" fillId="11" borderId="4" xfId="0" applyFont="1" applyFill="1" applyBorder="1" applyAlignment="1">
      <alignment horizontal="left" vertical="center"/>
    </xf>
    <xf numFmtId="0" fontId="7" fillId="15" borderId="4" xfId="0" applyFont="1" applyFill="1" applyBorder="1" applyAlignment="1">
      <alignment horizontal="left" vertical="center"/>
    </xf>
    <xf numFmtId="0" fontId="17" fillId="2" borderId="1" xfId="0" applyFont="1" applyFill="1" applyBorder="1" applyAlignment="1">
      <alignment horizontal="left" vertical="center"/>
    </xf>
    <xf numFmtId="0" fontId="7" fillId="11" borderId="4" xfId="0" applyFont="1" applyFill="1" applyBorder="1" applyAlignment="1">
      <alignment horizontal="left" vertical="top" wrapText="1"/>
    </xf>
    <xf numFmtId="0" fontId="26" fillId="11" borderId="4" xfId="0" applyFont="1" applyFill="1" applyBorder="1" applyAlignment="1">
      <alignment horizontal="left" vertical="top" wrapText="1"/>
    </xf>
    <xf numFmtId="0" fontId="16" fillId="11" borderId="4" xfId="0"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16" borderId="4" xfId="0" applyFont="1" applyFill="1" applyBorder="1" applyAlignment="1">
      <alignment horizontal="left" vertical="center"/>
    </xf>
    <xf numFmtId="0" fontId="3" fillId="2" borderId="4" xfId="0" applyFont="1" applyFill="1" applyBorder="1" applyAlignment="1">
      <alignment horizontal="left" vertical="center"/>
    </xf>
    <xf numFmtId="0" fontId="26" fillId="15" borderId="4" xfId="0" applyFont="1" applyFill="1" applyBorder="1" applyAlignment="1">
      <alignment horizontal="left" vertical="center" wrapText="1"/>
    </xf>
    <xf numFmtId="0" fontId="3" fillId="7" borderId="4" xfId="0" applyFont="1" applyFill="1" applyBorder="1" applyAlignment="1">
      <alignment horizontal="left" vertical="center"/>
    </xf>
    <xf numFmtId="0" fontId="28" fillId="4" borderId="4" xfId="0" applyFont="1" applyFill="1" applyBorder="1" applyAlignment="1">
      <alignment horizontal="left" vertical="center" wrapText="1"/>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105AAA3-2BF4-460B-8FFA-9A18AEEE025F}">
  <we:reference id="WA200009404" version="1.0.0.8" store="Omex" storeType="OMEX"/>
  <we:alternateReferences>
    <we:reference id="WA200009404" version="1.0.0.8" store="WA200009404" storeType="OMEX"/>
  </we:alternateReferences>
  <we:properties>
    <we:property name="claude.fileId" value="&quot;1294e09a-d2c4-4e6f-839c-7b9c935a2a8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topLeftCell="A4" workbookViewId="0">
      <selection activeCell="J10" sqref="J10"/>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87" t="s">
        <v>0</v>
      </c>
      <c r="B1" s="62"/>
      <c r="C1" s="62"/>
      <c r="D1" s="62"/>
      <c r="E1" s="62"/>
      <c r="F1" s="62"/>
      <c r="G1" s="63"/>
    </row>
    <row r="2" spans="1:7" ht="22" customHeight="1" x14ac:dyDescent="0.55000000000000004">
      <c r="A2" s="96" t="s">
        <v>1</v>
      </c>
      <c r="B2" s="62"/>
      <c r="C2" s="62"/>
      <c r="D2" s="62"/>
      <c r="E2" s="62"/>
      <c r="F2" s="62"/>
      <c r="G2" s="63"/>
    </row>
    <row r="3" spans="1:7" ht="42" customHeight="1" x14ac:dyDescent="0.55000000000000004">
      <c r="A3" s="89" t="s">
        <v>2</v>
      </c>
      <c r="B3" s="68"/>
      <c r="C3" s="68"/>
      <c r="D3" s="68"/>
      <c r="E3" s="68"/>
      <c r="F3" s="68"/>
      <c r="G3" s="65"/>
    </row>
    <row r="4" spans="1:7" ht="26.05" customHeight="1" x14ac:dyDescent="0.55000000000000004">
      <c r="A4" s="90" t="s">
        <v>3</v>
      </c>
      <c r="B4" s="68"/>
      <c r="C4" s="68"/>
      <c r="D4" s="68"/>
      <c r="E4" s="68"/>
      <c r="F4" s="68"/>
      <c r="G4" s="65"/>
    </row>
    <row r="5" spans="1:7" ht="5.05" customHeight="1" x14ac:dyDescent="0.55000000000000004">
      <c r="A5" s="1"/>
      <c r="B5" s="1"/>
      <c r="C5" s="1"/>
      <c r="D5" s="1"/>
      <c r="E5" s="1"/>
      <c r="F5" s="1"/>
      <c r="G5" s="1"/>
    </row>
    <row r="6" spans="1:7" ht="24" customHeight="1" x14ac:dyDescent="0.55000000000000004">
      <c r="A6" s="94" t="s">
        <v>4</v>
      </c>
      <c r="B6" s="62"/>
      <c r="C6" s="62"/>
      <c r="D6" s="62"/>
      <c r="E6" s="62"/>
      <c r="F6" s="62"/>
      <c r="G6" s="63"/>
    </row>
    <row r="7" spans="1:7" ht="18" customHeight="1" x14ac:dyDescent="0.55000000000000004">
      <c r="A7" s="2"/>
      <c r="B7" s="2" t="s">
        <v>5</v>
      </c>
      <c r="C7" s="2"/>
      <c r="D7" s="2"/>
      <c r="E7" s="2" t="s">
        <v>6</v>
      </c>
      <c r="F7" s="2"/>
      <c r="G7" s="2" t="s">
        <v>7</v>
      </c>
    </row>
    <row r="8" spans="1:7" ht="28" customHeight="1" x14ac:dyDescent="0.55000000000000004">
      <c r="A8" s="86" t="s">
        <v>8</v>
      </c>
      <c r="B8" s="68"/>
      <c r="C8" s="68"/>
      <c r="D8" s="65"/>
      <c r="E8" s="3" t="s">
        <v>9</v>
      </c>
      <c r="F8" s="88" t="s">
        <v>10</v>
      </c>
      <c r="G8" s="65"/>
    </row>
    <row r="9" spans="1:7" ht="28" customHeight="1" x14ac:dyDescent="0.55000000000000004">
      <c r="A9" s="86" t="s">
        <v>11</v>
      </c>
      <c r="B9" s="68"/>
      <c r="C9" s="68"/>
      <c r="D9" s="65"/>
      <c r="E9" s="3" t="s">
        <v>9</v>
      </c>
      <c r="F9" s="88" t="s">
        <v>12</v>
      </c>
      <c r="G9" s="65"/>
    </row>
    <row r="10" spans="1:7" ht="28" customHeight="1" x14ac:dyDescent="0.55000000000000004">
      <c r="A10" s="82" t="s">
        <v>13</v>
      </c>
      <c r="B10" s="68"/>
      <c r="C10" s="68"/>
      <c r="D10" s="65"/>
      <c r="E10" s="3" t="s">
        <v>9</v>
      </c>
      <c r="F10" s="83" t="s">
        <v>14</v>
      </c>
      <c r="G10" s="65"/>
    </row>
    <row r="11" spans="1:7" ht="28" customHeight="1" x14ac:dyDescent="0.55000000000000004">
      <c r="A11" s="66" t="s">
        <v>15</v>
      </c>
      <c r="B11" s="68"/>
      <c r="C11" s="68"/>
      <c r="D11" s="65"/>
      <c r="E11" s="3" t="s">
        <v>9</v>
      </c>
      <c r="F11" s="79" t="s">
        <v>16</v>
      </c>
      <c r="G11" s="65"/>
    </row>
    <row r="12" spans="1:7" ht="28" customHeight="1" x14ac:dyDescent="0.55000000000000004">
      <c r="A12" s="82" t="s">
        <v>17</v>
      </c>
      <c r="B12" s="68"/>
      <c r="C12" s="68"/>
      <c r="D12" s="65"/>
      <c r="E12" s="3" t="s">
        <v>9</v>
      </c>
      <c r="F12" s="83" t="s">
        <v>18</v>
      </c>
      <c r="G12" s="65"/>
    </row>
    <row r="13" spans="1:7" ht="28" customHeight="1" x14ac:dyDescent="0.55000000000000004">
      <c r="A13" s="66" t="s">
        <v>19</v>
      </c>
      <c r="B13" s="68"/>
      <c r="C13" s="68"/>
      <c r="D13" s="65"/>
      <c r="E13" s="3" t="s">
        <v>9</v>
      </c>
      <c r="F13" s="79" t="s">
        <v>20</v>
      </c>
      <c r="G13" s="65"/>
    </row>
    <row r="14" spans="1:7" ht="28" customHeight="1" x14ac:dyDescent="0.55000000000000004">
      <c r="A14" s="82" t="s">
        <v>21</v>
      </c>
      <c r="B14" s="68"/>
      <c r="C14" s="68"/>
      <c r="D14" s="65"/>
      <c r="E14" s="3" t="s">
        <v>9</v>
      </c>
      <c r="F14" s="83" t="s">
        <v>22</v>
      </c>
      <c r="G14" s="65"/>
    </row>
    <row r="15" spans="1:7" ht="24" customHeight="1" x14ac:dyDescent="0.55000000000000004">
      <c r="A15" s="75" t="s">
        <v>23</v>
      </c>
      <c r="B15" s="68"/>
      <c r="C15" s="68"/>
      <c r="D15" s="65"/>
      <c r="E15" s="4" t="str">
        <f>IF(AND(E8="EVET",E9="EVET",E10="EVET",E11="EVET"),"OK - Hesaplanabilir","HATA - Ön koşul eksik")</f>
        <v>OK - Hesaplanabilir</v>
      </c>
      <c r="F15" s="73" t="s">
        <v>24</v>
      </c>
      <c r="G15" s="65"/>
    </row>
    <row r="16" spans="1:7" ht="5.05" customHeight="1" x14ac:dyDescent="0.55000000000000004">
      <c r="A16" s="1"/>
      <c r="B16" s="1"/>
      <c r="C16" s="1"/>
      <c r="D16" s="1"/>
      <c r="E16" s="1"/>
      <c r="F16" s="1"/>
      <c r="G16" s="1"/>
    </row>
    <row r="17" spans="1:7" ht="22" customHeight="1" x14ac:dyDescent="0.55000000000000004">
      <c r="A17" s="61" t="s">
        <v>25</v>
      </c>
      <c r="B17" s="62"/>
      <c r="C17" s="62"/>
      <c r="D17" s="62"/>
      <c r="E17" s="62"/>
      <c r="F17" s="62"/>
      <c r="G17" s="63"/>
    </row>
    <row r="18" spans="1:7" ht="22" customHeight="1" x14ac:dyDescent="0.55000000000000004">
      <c r="A18" s="82" t="s">
        <v>26</v>
      </c>
      <c r="B18" s="65"/>
      <c r="C18" s="67"/>
      <c r="D18" s="68"/>
      <c r="E18" s="65"/>
      <c r="F18" s="70" t="s">
        <v>27</v>
      </c>
      <c r="G18" s="65"/>
    </row>
    <row r="19" spans="1:7" ht="22" customHeight="1" x14ac:dyDescent="0.55000000000000004">
      <c r="A19" s="66" t="s">
        <v>28</v>
      </c>
      <c r="B19" s="65"/>
      <c r="C19" s="67"/>
      <c r="D19" s="68"/>
      <c r="E19" s="65"/>
      <c r="F19" s="69" t="s">
        <v>29</v>
      </c>
      <c r="G19" s="65"/>
    </row>
    <row r="20" spans="1:7" ht="22" customHeight="1" x14ac:dyDescent="0.55000000000000004">
      <c r="A20" s="82" t="s">
        <v>30</v>
      </c>
      <c r="B20" s="65"/>
      <c r="C20" s="67"/>
      <c r="D20" s="68"/>
      <c r="E20" s="65"/>
      <c r="F20" s="70" t="s">
        <v>31</v>
      </c>
      <c r="G20" s="65"/>
    </row>
    <row r="21" spans="1:7" ht="22" customHeight="1" x14ac:dyDescent="0.55000000000000004">
      <c r="A21" s="66" t="s">
        <v>32</v>
      </c>
      <c r="B21" s="65"/>
      <c r="C21" s="67"/>
      <c r="D21" s="68"/>
      <c r="E21" s="65"/>
      <c r="F21" s="69" t="s">
        <v>33</v>
      </c>
      <c r="G21" s="65"/>
    </row>
    <row r="22" spans="1:7" ht="22" customHeight="1" x14ac:dyDescent="0.55000000000000004">
      <c r="A22" s="82" t="s">
        <v>34</v>
      </c>
      <c r="B22" s="65"/>
      <c r="C22" s="67"/>
      <c r="D22" s="68"/>
      <c r="E22" s="65"/>
      <c r="F22" s="70" t="s">
        <v>35</v>
      </c>
      <c r="G22" s="65"/>
    </row>
    <row r="23" spans="1:7" ht="22" customHeight="1" x14ac:dyDescent="0.55000000000000004">
      <c r="A23" s="66" t="s">
        <v>36</v>
      </c>
      <c r="B23" s="65"/>
      <c r="C23" s="67"/>
      <c r="D23" s="68"/>
      <c r="E23" s="65"/>
      <c r="F23" s="69" t="s">
        <v>37</v>
      </c>
      <c r="G23" s="65"/>
    </row>
    <row r="24" spans="1:7" ht="22" customHeight="1" x14ac:dyDescent="0.55000000000000004">
      <c r="A24" s="82" t="s">
        <v>38</v>
      </c>
      <c r="B24" s="65"/>
      <c r="C24" s="67"/>
      <c r="D24" s="68"/>
      <c r="E24" s="65"/>
      <c r="F24" s="70" t="s">
        <v>39</v>
      </c>
      <c r="G24" s="65"/>
    </row>
    <row r="26" spans="1:7" ht="5.05" customHeight="1" x14ac:dyDescent="0.55000000000000004">
      <c r="A26" s="1"/>
      <c r="B26" s="1"/>
      <c r="C26" s="1"/>
      <c r="D26" s="1"/>
      <c r="E26" s="1"/>
      <c r="F26" s="1"/>
      <c r="G26" s="1"/>
    </row>
    <row r="27" spans="1:7" ht="24" customHeight="1" x14ac:dyDescent="0.55000000000000004">
      <c r="A27" s="61" t="s">
        <v>40</v>
      </c>
      <c r="B27" s="62"/>
      <c r="C27" s="62"/>
      <c r="D27" s="62"/>
      <c r="E27" s="62"/>
      <c r="F27" s="62"/>
      <c r="G27" s="63"/>
    </row>
    <row r="28" spans="1:7" ht="18" customHeight="1" x14ac:dyDescent="0.55000000000000004">
      <c r="A28" s="2"/>
      <c r="B28" s="2" t="s">
        <v>41</v>
      </c>
      <c r="C28" s="2"/>
      <c r="D28" s="2" t="s">
        <v>42</v>
      </c>
      <c r="E28" s="2"/>
      <c r="F28" s="2" t="s">
        <v>43</v>
      </c>
      <c r="G28" s="2" t="s">
        <v>44</v>
      </c>
    </row>
    <row r="29" spans="1:7" ht="26.05" customHeight="1" x14ac:dyDescent="0.55000000000000004">
      <c r="A29" s="66" t="s">
        <v>45</v>
      </c>
      <c r="B29" s="65"/>
      <c r="C29" s="3" t="s">
        <v>46</v>
      </c>
      <c r="D29" s="69" t="s">
        <v>47</v>
      </c>
      <c r="E29" s="65"/>
      <c r="F29" s="64" t="s">
        <v>48</v>
      </c>
      <c r="G29" s="65"/>
    </row>
    <row r="30" spans="1:7" ht="26.05" customHeight="1" x14ac:dyDescent="0.55000000000000004">
      <c r="A30" s="82" t="s">
        <v>49</v>
      </c>
      <c r="B30" s="65"/>
      <c r="C30" s="3" t="s">
        <v>50</v>
      </c>
      <c r="D30" s="70" t="s">
        <v>51</v>
      </c>
      <c r="E30" s="65"/>
      <c r="F30" s="85" t="s">
        <v>52</v>
      </c>
      <c r="G30" s="65"/>
    </row>
    <row r="31" spans="1:7" ht="26.05" customHeight="1" x14ac:dyDescent="0.55000000000000004">
      <c r="A31" s="66" t="s">
        <v>53</v>
      </c>
      <c r="B31" s="65"/>
      <c r="C31" s="3" t="s">
        <v>54</v>
      </c>
      <c r="D31" s="69" t="s">
        <v>55</v>
      </c>
      <c r="E31" s="65"/>
      <c r="F31" s="64" t="s">
        <v>56</v>
      </c>
      <c r="G31" s="65"/>
    </row>
    <row r="32" spans="1:7" ht="26.05" customHeight="1" x14ac:dyDescent="0.55000000000000004">
      <c r="A32" s="82" t="s">
        <v>57</v>
      </c>
      <c r="B32" s="65"/>
      <c r="C32" s="5"/>
      <c r="D32" s="70" t="s">
        <v>58</v>
      </c>
      <c r="E32" s="65"/>
      <c r="F32" s="85" t="s">
        <v>59</v>
      </c>
      <c r="G32" s="65"/>
    </row>
    <row r="33" spans="1:7" ht="26.05" customHeight="1" x14ac:dyDescent="0.55000000000000004">
      <c r="A33" s="78" t="s">
        <v>60</v>
      </c>
      <c r="B33" s="65"/>
      <c r="C33" s="5"/>
      <c r="D33" s="69" t="s">
        <v>61</v>
      </c>
      <c r="E33" s="65"/>
      <c r="F33" s="64" t="s">
        <v>62</v>
      </c>
      <c r="G33" s="65"/>
    </row>
    <row r="34" spans="1:7" ht="26.05" customHeight="1" x14ac:dyDescent="0.55000000000000004">
      <c r="A34" s="82" t="s">
        <v>63</v>
      </c>
      <c r="B34" s="65"/>
      <c r="C34" s="5"/>
      <c r="D34" s="70" t="s">
        <v>64</v>
      </c>
      <c r="E34" s="65"/>
      <c r="F34" s="85" t="s">
        <v>65</v>
      </c>
      <c r="G34" s="65"/>
    </row>
    <row r="35" spans="1:7" ht="26.05" customHeight="1" x14ac:dyDescent="0.55000000000000004">
      <c r="A35" s="78" t="s">
        <v>66</v>
      </c>
      <c r="B35" s="65"/>
      <c r="C35" s="6">
        <f>C33+C34</f>
        <v>0</v>
      </c>
      <c r="D35" s="69" t="s">
        <v>67</v>
      </c>
      <c r="E35" s="65"/>
      <c r="F35" s="64" t="s">
        <v>68</v>
      </c>
      <c r="G35" s="65"/>
    </row>
    <row r="36" spans="1:7" ht="26.05" customHeight="1" x14ac:dyDescent="0.55000000000000004">
      <c r="A36" s="91" t="s">
        <v>69</v>
      </c>
      <c r="B36" s="65"/>
      <c r="C36" s="5"/>
      <c r="D36" s="70" t="s">
        <v>70</v>
      </c>
      <c r="E36" s="65"/>
      <c r="F36" s="85" t="s">
        <v>71</v>
      </c>
      <c r="G36" s="65"/>
    </row>
    <row r="37" spans="1:7" ht="5.05" customHeight="1" x14ac:dyDescent="0.55000000000000004">
      <c r="A37" s="1"/>
      <c r="B37" s="1"/>
      <c r="C37" s="1"/>
      <c r="D37" s="1"/>
      <c r="E37" s="1"/>
      <c r="F37" s="1"/>
      <c r="G37" s="1"/>
    </row>
    <row r="38" spans="1:7" ht="24" customHeight="1" x14ac:dyDescent="0.55000000000000004">
      <c r="A38" s="61" t="s">
        <v>72</v>
      </c>
      <c r="B38" s="62"/>
      <c r="C38" s="62"/>
      <c r="D38" s="62"/>
      <c r="E38" s="62"/>
      <c r="F38" s="62"/>
      <c r="G38" s="63"/>
    </row>
    <row r="39" spans="1:7" ht="22" customHeight="1" x14ac:dyDescent="0.55000000000000004">
      <c r="A39" s="74" t="s">
        <v>73</v>
      </c>
      <c r="B39" s="68"/>
      <c r="C39" s="68"/>
      <c r="D39" s="68"/>
      <c r="E39" s="68"/>
      <c r="F39" s="68"/>
      <c r="G39" s="65"/>
    </row>
    <row r="40" spans="1:7" ht="18" customHeight="1" x14ac:dyDescent="0.55000000000000004">
      <c r="A40" s="7" t="s">
        <v>74</v>
      </c>
      <c r="B40" s="7" t="s">
        <v>75</v>
      </c>
      <c r="C40" s="7" t="s">
        <v>76</v>
      </c>
      <c r="D40" s="7" t="s">
        <v>77</v>
      </c>
      <c r="E40" s="7" t="s">
        <v>78</v>
      </c>
      <c r="F40" s="7" t="s">
        <v>79</v>
      </c>
      <c r="G40" s="7" t="s">
        <v>80</v>
      </c>
    </row>
    <row r="41" spans="1:7" ht="26.05" customHeight="1" x14ac:dyDescent="0.55000000000000004">
      <c r="A41" s="8"/>
      <c r="B41" s="9"/>
      <c r="C41" s="10"/>
      <c r="D41" s="10"/>
      <c r="E41" s="11">
        <f t="shared" ref="E41:E46" si="0">IF(OR(C41&gt;0,D41&gt;0),C41+D41,0)</f>
        <v>0</v>
      </c>
      <c r="F41" s="12">
        <f t="shared" ref="F41:F46" si="1">E41</f>
        <v>0</v>
      </c>
      <c r="G41" s="13"/>
    </row>
    <row r="42" spans="1:7" ht="26.05" customHeight="1" x14ac:dyDescent="0.55000000000000004">
      <c r="A42" s="8"/>
      <c r="B42" s="9"/>
      <c r="C42" s="10"/>
      <c r="D42" s="10"/>
      <c r="E42" s="14">
        <f t="shared" si="0"/>
        <v>0</v>
      </c>
      <c r="F42" s="12">
        <f t="shared" si="1"/>
        <v>0</v>
      </c>
      <c r="G42" s="13"/>
    </row>
    <row r="43" spans="1:7" ht="26.05" customHeight="1" x14ac:dyDescent="0.55000000000000004">
      <c r="A43" s="8"/>
      <c r="B43" s="9"/>
      <c r="C43" s="10"/>
      <c r="D43" s="10"/>
      <c r="E43" s="11">
        <f t="shared" si="0"/>
        <v>0</v>
      </c>
      <c r="F43" s="12">
        <f t="shared" si="1"/>
        <v>0</v>
      </c>
      <c r="G43" s="13"/>
    </row>
    <row r="44" spans="1:7" ht="26.05" customHeight="1" x14ac:dyDescent="0.55000000000000004">
      <c r="A44" s="8"/>
      <c r="B44" s="9"/>
      <c r="C44" s="10"/>
      <c r="D44" s="10"/>
      <c r="E44" s="14">
        <f t="shared" si="0"/>
        <v>0</v>
      </c>
      <c r="F44" s="12">
        <f t="shared" si="1"/>
        <v>0</v>
      </c>
      <c r="G44" s="13"/>
    </row>
    <row r="45" spans="1:7" ht="26.05" customHeight="1" x14ac:dyDescent="0.55000000000000004">
      <c r="A45" s="8"/>
      <c r="B45" s="9"/>
      <c r="C45" s="10"/>
      <c r="D45" s="10"/>
      <c r="E45" s="11">
        <f t="shared" si="0"/>
        <v>0</v>
      </c>
      <c r="F45" s="12">
        <f t="shared" si="1"/>
        <v>0</v>
      </c>
      <c r="G45" s="13"/>
    </row>
    <row r="46" spans="1:7" ht="26.05" customHeight="1" x14ac:dyDescent="0.55000000000000004">
      <c r="A46" s="8"/>
      <c r="B46" s="9"/>
      <c r="C46" s="10"/>
      <c r="D46" s="10"/>
      <c r="E46" s="14">
        <f t="shared" si="0"/>
        <v>0</v>
      </c>
      <c r="F46" s="12">
        <f t="shared" si="1"/>
        <v>0</v>
      </c>
      <c r="G46" s="13"/>
    </row>
    <row r="47" spans="1:7" ht="30" customHeight="1" x14ac:dyDescent="0.55000000000000004">
      <c r="A47" s="99" t="s">
        <v>81</v>
      </c>
      <c r="B47" s="65"/>
      <c r="C47" s="15">
        <f>SUM(C41:C46)</f>
        <v>0</v>
      </c>
      <c r="D47" s="15">
        <f>SUM(D41:D46)</f>
        <v>0</v>
      </c>
      <c r="E47" s="16">
        <f>SUM(E41:E46)</f>
        <v>0</v>
      </c>
      <c r="F47" s="17">
        <f>SUM(F41:F46)</f>
        <v>0</v>
      </c>
      <c r="G47" s="92" t="s">
        <v>82</v>
      </c>
    </row>
    <row r="48" spans="1:7" ht="5.05" customHeight="1" x14ac:dyDescent="0.55000000000000004">
      <c r="A48" s="1"/>
      <c r="B48" s="1"/>
      <c r="C48" s="1"/>
      <c r="D48" s="1"/>
      <c r="E48" s="1"/>
      <c r="F48" s="1"/>
      <c r="G48" s="1"/>
    </row>
    <row r="49" spans="1:7" ht="24" customHeight="1" x14ac:dyDescent="0.55000000000000004">
      <c r="A49" s="61" t="s">
        <v>83</v>
      </c>
      <c r="B49" s="62"/>
      <c r="C49" s="62"/>
      <c r="D49" s="62"/>
      <c r="E49" s="62"/>
      <c r="F49" s="62"/>
      <c r="G49" s="63"/>
    </row>
    <row r="50" spans="1:7" ht="18" customHeight="1" x14ac:dyDescent="0.55000000000000004">
      <c r="A50" s="2"/>
      <c r="B50" s="2" t="s">
        <v>84</v>
      </c>
      <c r="C50" s="2"/>
      <c r="D50" s="2" t="s">
        <v>85</v>
      </c>
      <c r="E50" s="2"/>
      <c r="F50" s="2" t="s">
        <v>43</v>
      </c>
      <c r="G50" s="2" t="s">
        <v>86</v>
      </c>
    </row>
    <row r="51" spans="1:7" ht="28" customHeight="1" x14ac:dyDescent="0.55000000000000004">
      <c r="A51" s="66" t="s">
        <v>87</v>
      </c>
      <c r="B51" s="65"/>
      <c r="C51" s="18">
        <f>C47</f>
        <v>0</v>
      </c>
      <c r="D51" s="69" t="s">
        <v>88</v>
      </c>
      <c r="E51" s="65"/>
      <c r="F51" s="79"/>
      <c r="G51" s="65"/>
    </row>
    <row r="52" spans="1:7" ht="28" customHeight="1" x14ac:dyDescent="0.55000000000000004">
      <c r="A52" s="82" t="s">
        <v>89</v>
      </c>
      <c r="B52" s="65"/>
      <c r="C52" s="18">
        <f>D47</f>
        <v>0</v>
      </c>
      <c r="D52" s="70" t="s">
        <v>90</v>
      </c>
      <c r="E52" s="65"/>
      <c r="F52" s="83"/>
      <c r="G52" s="65"/>
    </row>
    <row r="53" spans="1:7" ht="28" customHeight="1" x14ac:dyDescent="0.55000000000000004">
      <c r="A53" s="66" t="s">
        <v>91</v>
      </c>
      <c r="B53" s="65"/>
      <c r="C53" s="18">
        <f>E47</f>
        <v>0</v>
      </c>
      <c r="D53" s="69" t="s">
        <v>92</v>
      </c>
      <c r="E53" s="65"/>
      <c r="F53" s="79"/>
      <c r="G53" s="65"/>
    </row>
    <row r="54" spans="1:7" ht="28" customHeight="1" x14ac:dyDescent="0.55000000000000004">
      <c r="A54" s="71" t="s">
        <v>93</v>
      </c>
      <c r="B54" s="65"/>
      <c r="C54" s="19" t="s">
        <v>94</v>
      </c>
      <c r="D54" s="97" t="s">
        <v>95</v>
      </c>
      <c r="E54" s="65"/>
      <c r="F54" s="84" t="s">
        <v>96</v>
      </c>
      <c r="G54" s="65"/>
    </row>
    <row r="55" spans="1:7" ht="28" customHeight="1" x14ac:dyDescent="0.55000000000000004">
      <c r="A55" s="93" t="s">
        <v>97</v>
      </c>
      <c r="B55" s="65"/>
      <c r="C55" s="20">
        <f>F47</f>
        <v>0</v>
      </c>
      <c r="D55" s="95" t="s">
        <v>98</v>
      </c>
      <c r="E55" s="65"/>
      <c r="F55" s="98" t="s">
        <v>96</v>
      </c>
      <c r="G55" s="65"/>
    </row>
    <row r="56" spans="1:7" ht="28" customHeight="1" x14ac:dyDescent="0.55000000000000004">
      <c r="A56" s="77" t="s">
        <v>99</v>
      </c>
      <c r="B56" s="65"/>
      <c r="C56" s="21" t="s">
        <v>100</v>
      </c>
      <c r="D56" s="80" t="s">
        <v>101</v>
      </c>
      <c r="E56" s="65"/>
      <c r="F56" s="81" t="s">
        <v>102</v>
      </c>
      <c r="G56" s="65"/>
    </row>
    <row r="57" spans="1:7" ht="5.05" customHeight="1" x14ac:dyDescent="0.55000000000000004">
      <c r="A57" s="1"/>
      <c r="B57" s="1"/>
      <c r="C57" s="1"/>
      <c r="D57" s="1"/>
      <c r="E57" s="1"/>
      <c r="F57" s="1"/>
      <c r="G57" s="1"/>
    </row>
    <row r="58" spans="1:7" ht="32.049999999999997" customHeight="1" x14ac:dyDescent="0.55000000000000004">
      <c r="A58" s="72" t="s">
        <v>103</v>
      </c>
      <c r="B58" s="68"/>
      <c r="C58" s="68"/>
      <c r="D58" s="65"/>
      <c r="E58" s="22">
        <f>C55</f>
        <v>0</v>
      </c>
      <c r="F58" s="100" t="s">
        <v>104</v>
      </c>
      <c r="G58" s="65"/>
    </row>
    <row r="59" spans="1:7" ht="34" customHeight="1" x14ac:dyDescent="0.55000000000000004">
      <c r="A59" s="76" t="s">
        <v>105</v>
      </c>
      <c r="B59" s="68"/>
      <c r="C59" s="68"/>
      <c r="D59" s="68"/>
      <c r="E59" s="68"/>
      <c r="F59" s="68"/>
      <c r="G59" s="65"/>
    </row>
  </sheetData>
  <mergeCells count="94">
    <mergeCell ref="A2:G2"/>
    <mergeCell ref="F14:G14"/>
    <mergeCell ref="D54:E54"/>
    <mergeCell ref="A14:D14"/>
    <mergeCell ref="F11:G11"/>
    <mergeCell ref="A24:B24"/>
    <mergeCell ref="F12:G12"/>
    <mergeCell ref="F24:G24"/>
    <mergeCell ref="F51:G51"/>
    <mergeCell ref="D32:E32"/>
    <mergeCell ref="F32:G32"/>
    <mergeCell ref="A18:B18"/>
    <mergeCell ref="F35:G35"/>
    <mergeCell ref="C19:E19"/>
    <mergeCell ref="A47:B47"/>
    <mergeCell ref="F52:G52"/>
    <mergeCell ref="F8:G8"/>
    <mergeCell ref="A21:B21"/>
    <mergeCell ref="A6:G6"/>
    <mergeCell ref="A32:B32"/>
    <mergeCell ref="F22:G22"/>
    <mergeCell ref="A23:B23"/>
    <mergeCell ref="D30:E30"/>
    <mergeCell ref="A12:D12"/>
    <mergeCell ref="A20:B20"/>
    <mergeCell ref="A29:B29"/>
    <mergeCell ref="A27:G27"/>
    <mergeCell ref="A31:B31"/>
    <mergeCell ref="A1:G1"/>
    <mergeCell ref="F31:G31"/>
    <mergeCell ref="F9:G9"/>
    <mergeCell ref="C24:E24"/>
    <mergeCell ref="A52:B52"/>
    <mergeCell ref="A3:G3"/>
    <mergeCell ref="D29:E29"/>
    <mergeCell ref="A34:B34"/>
    <mergeCell ref="A8:D8"/>
    <mergeCell ref="A4:G4"/>
    <mergeCell ref="A36:B36"/>
    <mergeCell ref="A38:G38"/>
    <mergeCell ref="G47"/>
    <mergeCell ref="A10:D10"/>
    <mergeCell ref="F21:G21"/>
    <mergeCell ref="D52:E52"/>
    <mergeCell ref="A9:D9"/>
    <mergeCell ref="F30:G30"/>
    <mergeCell ref="F20:G20"/>
    <mergeCell ref="F18:G18"/>
    <mergeCell ref="F33:G33"/>
    <mergeCell ref="A11:D11"/>
    <mergeCell ref="F10:G10"/>
    <mergeCell ref="F54:G54"/>
    <mergeCell ref="D34:E34"/>
    <mergeCell ref="F19:G19"/>
    <mergeCell ref="C22:E22"/>
    <mergeCell ref="F34:G34"/>
    <mergeCell ref="A49:G49"/>
    <mergeCell ref="D53:E53"/>
    <mergeCell ref="F36:G36"/>
    <mergeCell ref="F53:G53"/>
    <mergeCell ref="A59:G59"/>
    <mergeCell ref="A56:B56"/>
    <mergeCell ref="A33:B33"/>
    <mergeCell ref="F23:G23"/>
    <mergeCell ref="C18:E18"/>
    <mergeCell ref="D56:E56"/>
    <mergeCell ref="F56:G56"/>
    <mergeCell ref="A22:B22"/>
    <mergeCell ref="A53:B53"/>
    <mergeCell ref="A35:B35"/>
    <mergeCell ref="D33:E33"/>
    <mergeCell ref="A19:B19"/>
    <mergeCell ref="D51:E51"/>
    <mergeCell ref="C20:E20"/>
    <mergeCell ref="D35:E35"/>
    <mergeCell ref="A30:B30"/>
    <mergeCell ref="A13:D13"/>
    <mergeCell ref="A54:B54"/>
    <mergeCell ref="A58:D58"/>
    <mergeCell ref="F15:G15"/>
    <mergeCell ref="C23:E23"/>
    <mergeCell ref="A39:G39"/>
    <mergeCell ref="A15:D15"/>
    <mergeCell ref="F13:G13"/>
    <mergeCell ref="A55:B55"/>
    <mergeCell ref="D55:E55"/>
    <mergeCell ref="F55:G55"/>
    <mergeCell ref="F58:G58"/>
    <mergeCell ref="A17:G17"/>
    <mergeCell ref="F29:G29"/>
    <mergeCell ref="A51:B51"/>
    <mergeCell ref="C21:E21"/>
    <mergeCell ref="D31:E31"/>
    <mergeCell ref="D36:E36"/>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10">
    <dataValidation type="list" sqref="E8" xr:uid="{00000000-0002-0000-0000-000000000000}">
      <formula1>"EVET,HAYIR-Kapsam Dışı Kurum"</formula1>
    </dataValidation>
    <dataValidation type="list" sqref="E9" xr:uid="{00000000-0002-0000-0000-000001000000}">
      <formula1>"EVET,HAYIR-Taahhüt Aşamasında"</formula1>
    </dataValidation>
    <dataValidation type="list" sqref="E10" xr:uid="{00000000-0002-0000-0000-000002000000}">
      <formula1>"EVET,HAYIR-Belge Eksik"</formula1>
    </dataValidation>
    <dataValidation type="list" sqref="E11" xr:uid="{00000000-0002-0000-0000-000003000000}">
      <formula1>"EVET,HAYIR-Amaç Dışı"</formula1>
    </dataValidation>
    <dataValidation type="list" sqref="E12" xr:uid="{00000000-0002-0000-0000-000004000000}">
      <formula1>"EVET,HAYIR-Değerleme Eksik,Uygulanmaz-Yalnızca Nakdi"</formula1>
    </dataValidation>
    <dataValidation type="list" sqref="E13" xr:uid="{00000000-0002-0000-0000-000005000000}">
      <formula1>"EVET,HAYIR-Eksik"</formula1>
    </dataValidation>
    <dataValidation type="list" sqref="E14" xr:uid="{00000000-0002-0000-0000-000006000000}">
      <formula1>"EVET,Tam Tasdik"</formula1>
    </dataValidation>
    <dataValidation type="list" sqref="C29" xr:uid="{00000000-0002-0000-0000-000007000000}">
      <formula1>"Nakdi (Banka Transferi/EFT/Havale),Ayni (Gıda/Giyim/Mobilya/Ekipman/Malzeme),Karma (Nakdi + Ayni)"</formula1>
    </dataValidation>
    <dataValidation type="list" sqref="C30" xr:uid="{00000000-0002-0000-0000-000008000000}">
      <formula1>"Aile ve Sosyal Hizmetler Bakanlığı (2828 s.K.),Bakanlığa Bağlı Sosyal Hizmet Kuruluşu (Huzurevi/Çocuk Yuvası vb.),İl/İlçe Sosyal Hizmetler Müdürlüğü,2828 s.K. Kapsamı Diğer Kurum ve Kuruluş"</formula1>
    </dataValidation>
    <dataValidation type="list" sqref="C31" xr:uid="{00000000-0002-0000-0000-000009000000}">
      <formula1>_xlfn._LONGTEXT("Çocuk Hizmetleri (Çocuk Yuvası/Yetiştirme Yurdu),Yaşlı Hizmetleri (Huzurevi/Yaşlı Bakım Merkezi),Engelli Bireylere Yönelik Hizmetler,Aile ve Kadın Hizmetleri,Sokak ve Risk Altındaki Bireylere Hizmet,Genel Sosyal Hizmet ve Yardım,Diğer 2828 s.K. Kapsamı Am","aç")</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10" t="s">
        <v>106</v>
      </c>
      <c r="B1" s="62"/>
      <c r="C1" s="62"/>
      <c r="D1" s="62"/>
      <c r="E1" s="62"/>
      <c r="F1" s="62"/>
      <c r="G1" s="63"/>
    </row>
    <row r="2" spans="1:7" ht="20.05" customHeight="1" x14ac:dyDescent="0.55000000000000004">
      <c r="A2" s="114" t="s">
        <v>107</v>
      </c>
      <c r="B2" s="68"/>
      <c r="C2" s="68"/>
      <c r="D2" s="68"/>
      <c r="E2" s="68"/>
      <c r="F2" s="68"/>
      <c r="G2" s="65"/>
    </row>
    <row r="3" spans="1:7" ht="5.05" customHeight="1" x14ac:dyDescent="0.55000000000000004">
      <c r="A3" s="1"/>
      <c r="B3" s="1"/>
      <c r="C3" s="1"/>
      <c r="D3" s="1"/>
      <c r="E3" s="1"/>
      <c r="F3" s="1"/>
      <c r="G3" s="1"/>
    </row>
    <row r="4" spans="1:7" ht="22" customHeight="1" x14ac:dyDescent="0.55000000000000004">
      <c r="A4" s="103" t="s">
        <v>108</v>
      </c>
      <c r="B4" s="62"/>
      <c r="C4" s="62"/>
      <c r="D4" s="62"/>
      <c r="E4" s="62"/>
      <c r="F4" s="62"/>
      <c r="G4" s="63"/>
    </row>
    <row r="5" spans="1:7" ht="22" customHeight="1" x14ac:dyDescent="0.55000000000000004">
      <c r="A5" s="107" t="s">
        <v>109</v>
      </c>
      <c r="B5" s="68"/>
      <c r="C5" s="65"/>
      <c r="D5" s="23" t="str">
        <f>'VERİ GİRİŞİ'!E15</f>
        <v>OK - Hesaplanabilir</v>
      </c>
      <c r="E5" s="79" t="s">
        <v>110</v>
      </c>
      <c r="F5" s="68"/>
      <c r="G5" s="65"/>
    </row>
    <row r="6" spans="1:7" ht="22" customHeight="1" x14ac:dyDescent="0.55000000000000004">
      <c r="A6" s="108" t="s">
        <v>111</v>
      </c>
      <c r="B6" s="68"/>
      <c r="C6" s="65"/>
      <c r="D6" s="23" t="str">
        <f>'VERİ GİRİŞİ'!C30</f>
        <v>Aile ve Sosyal Hizmetler Bakanlığı (2828 s.K.)</v>
      </c>
      <c r="E6" s="83" t="s">
        <v>112</v>
      </c>
      <c r="F6" s="68"/>
      <c r="G6" s="65"/>
    </row>
    <row r="7" spans="1:7" ht="22" customHeight="1" x14ac:dyDescent="0.55000000000000004">
      <c r="A7" s="107" t="s">
        <v>113</v>
      </c>
      <c r="B7" s="68"/>
      <c r="C7" s="65"/>
      <c r="D7" s="23" t="str">
        <f>'VERİ GİRİŞİ'!C31</f>
        <v>Genel Sosyal Hizmet ve Yardım</v>
      </c>
      <c r="E7" s="79" t="s">
        <v>114</v>
      </c>
      <c r="F7" s="68"/>
      <c r="G7" s="65"/>
    </row>
    <row r="8" spans="1:7" ht="22" customHeight="1" x14ac:dyDescent="0.55000000000000004">
      <c r="A8" s="108" t="s">
        <v>115</v>
      </c>
      <c r="B8" s="68"/>
      <c r="C8" s="65"/>
      <c r="D8" s="23">
        <f>'VERİ GİRİŞİ'!C53</f>
        <v>0</v>
      </c>
      <c r="E8" s="83" t="s">
        <v>116</v>
      </c>
      <c r="F8" s="68"/>
      <c r="G8" s="65"/>
    </row>
    <row r="9" spans="1:7" ht="22" customHeight="1" x14ac:dyDescent="0.55000000000000004">
      <c r="A9" s="75" t="s">
        <v>117</v>
      </c>
      <c r="B9" s="68"/>
      <c r="C9" s="65"/>
      <c r="D9" s="24">
        <f>'VERİ GİRİŞİ'!C55</f>
        <v>0</v>
      </c>
      <c r="E9" s="98"/>
      <c r="F9" s="68"/>
      <c r="G9" s="65"/>
    </row>
    <row r="10" spans="1:7" ht="22" customHeight="1" x14ac:dyDescent="0.55000000000000004">
      <c r="A10" s="109" t="s">
        <v>118</v>
      </c>
      <c r="B10" s="68"/>
      <c r="C10" s="65"/>
      <c r="D10" s="21" t="s">
        <v>119</v>
      </c>
      <c r="E10" s="81" t="s">
        <v>120</v>
      </c>
      <c r="F10" s="68"/>
      <c r="G10" s="65"/>
    </row>
    <row r="11" spans="1:7" ht="5.05" customHeight="1" x14ac:dyDescent="0.55000000000000004">
      <c r="A11" s="1"/>
      <c r="B11" s="1"/>
      <c r="C11" s="1"/>
      <c r="D11" s="1"/>
      <c r="E11" s="1"/>
      <c r="F11" s="1"/>
      <c r="G11" s="1"/>
    </row>
    <row r="12" spans="1:7" ht="22" customHeight="1" x14ac:dyDescent="0.55000000000000004">
      <c r="A12" s="61" t="s">
        <v>121</v>
      </c>
      <c r="B12" s="62"/>
      <c r="C12" s="62"/>
      <c r="D12" s="62"/>
      <c r="E12" s="62"/>
      <c r="F12" s="62"/>
      <c r="G12" s="63"/>
    </row>
    <row r="13" spans="1:7" ht="72" customHeight="1" x14ac:dyDescent="0.55000000000000004">
      <c r="A13" s="106" t="s">
        <v>122</v>
      </c>
      <c r="B13" s="68"/>
      <c r="C13" s="68"/>
      <c r="D13" s="68"/>
      <c r="E13" s="68"/>
      <c r="F13" s="68"/>
      <c r="G13" s="65"/>
    </row>
    <row r="14" spans="1:7" ht="5.05" customHeight="1" x14ac:dyDescent="0.55000000000000004">
      <c r="A14" s="1"/>
      <c r="B14" s="1"/>
      <c r="C14" s="1"/>
      <c r="D14" s="1"/>
      <c r="E14" s="1"/>
      <c r="F14" s="1"/>
      <c r="G14" s="1"/>
    </row>
    <row r="15" spans="1:7" ht="22" customHeight="1" x14ac:dyDescent="0.55000000000000004">
      <c r="A15" s="61" t="s">
        <v>123</v>
      </c>
      <c r="B15" s="62"/>
      <c r="C15" s="62"/>
      <c r="D15" s="62"/>
      <c r="E15" s="62"/>
      <c r="F15" s="62"/>
      <c r="G15" s="63"/>
    </row>
    <row r="16" spans="1:7" ht="60" customHeight="1" x14ac:dyDescent="0.55000000000000004">
      <c r="A16" s="113" t="s">
        <v>124</v>
      </c>
      <c r="B16" s="68"/>
      <c r="C16" s="68"/>
      <c r="D16" s="68"/>
      <c r="E16" s="68"/>
      <c r="F16" s="68"/>
      <c r="G16" s="65"/>
    </row>
    <row r="17" spans="1:7" ht="5.05" customHeight="1" x14ac:dyDescent="0.55000000000000004">
      <c r="A17" s="1"/>
      <c r="B17" s="1"/>
      <c r="C17" s="1"/>
      <c r="D17" s="1"/>
      <c r="E17" s="1"/>
      <c r="F17" s="1"/>
      <c r="G17" s="1"/>
    </row>
    <row r="18" spans="1:7" ht="22" customHeight="1" x14ac:dyDescent="0.55000000000000004">
      <c r="A18" s="61" t="s">
        <v>125</v>
      </c>
      <c r="B18" s="62"/>
      <c r="C18" s="62"/>
      <c r="D18" s="62"/>
      <c r="E18" s="62"/>
      <c r="F18" s="62"/>
      <c r="G18" s="63"/>
    </row>
    <row r="19" spans="1:7" ht="18" customHeight="1" x14ac:dyDescent="0.55000000000000004">
      <c r="A19" s="2"/>
      <c r="B19" s="2" t="s">
        <v>126</v>
      </c>
      <c r="C19" s="2"/>
      <c r="D19" s="2" t="s">
        <v>43</v>
      </c>
      <c r="E19" s="2"/>
      <c r="F19" s="2" t="s">
        <v>127</v>
      </c>
      <c r="G19" s="2"/>
    </row>
    <row r="20" spans="1:7" ht="20.05" customHeight="1" x14ac:dyDescent="0.55000000000000004">
      <c r="A20" s="25" t="s">
        <v>128</v>
      </c>
      <c r="B20" s="104" t="s">
        <v>129</v>
      </c>
      <c r="C20" s="65"/>
      <c r="D20" s="101" t="s">
        <v>130</v>
      </c>
      <c r="E20" s="65"/>
      <c r="F20" s="13" t="s">
        <v>131</v>
      </c>
      <c r="G20" s="28"/>
    </row>
    <row r="21" spans="1:7" ht="20.05" customHeight="1" x14ac:dyDescent="0.55000000000000004">
      <c r="A21" s="25" t="s">
        <v>132</v>
      </c>
      <c r="B21" s="104" t="s">
        <v>133</v>
      </c>
      <c r="C21" s="65"/>
      <c r="D21" s="101" t="s">
        <v>134</v>
      </c>
      <c r="E21" s="65"/>
      <c r="F21" s="13" t="s">
        <v>131</v>
      </c>
      <c r="G21" s="29"/>
    </row>
    <row r="22" spans="1:7" ht="20.05" customHeight="1" x14ac:dyDescent="0.55000000000000004">
      <c r="A22" s="25" t="s">
        <v>135</v>
      </c>
      <c r="B22" s="104" t="s">
        <v>136</v>
      </c>
      <c r="C22" s="65"/>
      <c r="D22" s="101" t="s">
        <v>137</v>
      </c>
      <c r="E22" s="65"/>
      <c r="F22" s="13" t="s">
        <v>131</v>
      </c>
      <c r="G22" s="28"/>
    </row>
    <row r="23" spans="1:7" ht="20.05" customHeight="1" x14ac:dyDescent="0.55000000000000004">
      <c r="A23" s="25" t="s">
        <v>138</v>
      </c>
      <c r="B23" s="104" t="s">
        <v>139</v>
      </c>
      <c r="C23" s="65"/>
      <c r="D23" s="101" t="s">
        <v>140</v>
      </c>
      <c r="E23" s="65"/>
      <c r="F23" s="13" t="s">
        <v>131</v>
      </c>
      <c r="G23" s="29"/>
    </row>
    <row r="24" spans="1:7" ht="20.05" customHeight="1" x14ac:dyDescent="0.55000000000000004">
      <c r="A24" s="25" t="s">
        <v>141</v>
      </c>
      <c r="B24" s="111" t="s">
        <v>142</v>
      </c>
      <c r="C24" s="65"/>
      <c r="D24" s="112" t="s">
        <v>143</v>
      </c>
      <c r="E24" s="65"/>
      <c r="F24" s="13" t="s">
        <v>131</v>
      </c>
      <c r="G24" s="28"/>
    </row>
    <row r="25" spans="1:7" ht="20.05" customHeight="1" x14ac:dyDescent="0.55000000000000004">
      <c r="A25" s="25" t="s">
        <v>144</v>
      </c>
      <c r="B25" s="102" t="s">
        <v>145</v>
      </c>
      <c r="C25" s="65"/>
      <c r="D25" s="105" t="s">
        <v>146</v>
      </c>
      <c r="E25" s="65"/>
      <c r="F25" s="13" t="s">
        <v>131</v>
      </c>
      <c r="G25" s="29"/>
    </row>
    <row r="26" spans="1:7" ht="20.05" customHeight="1" x14ac:dyDescent="0.55000000000000004">
      <c r="A26" s="25" t="s">
        <v>147</v>
      </c>
      <c r="B26" s="104" t="s">
        <v>148</v>
      </c>
      <c r="C26" s="65"/>
      <c r="D26" s="101" t="s">
        <v>149</v>
      </c>
      <c r="E26" s="65"/>
      <c r="F26" s="13" t="s">
        <v>131</v>
      </c>
      <c r="G26" s="28"/>
    </row>
    <row r="27" spans="1:7" ht="20.05" customHeight="1" x14ac:dyDescent="0.55000000000000004">
      <c r="A27" s="25" t="s">
        <v>150</v>
      </c>
      <c r="B27" s="102" t="s">
        <v>151</v>
      </c>
      <c r="C27" s="65"/>
      <c r="D27" s="105" t="s">
        <v>152</v>
      </c>
      <c r="E27" s="65"/>
      <c r="F27" s="13" t="s">
        <v>131</v>
      </c>
      <c r="G27" s="29"/>
    </row>
    <row r="28" spans="1:7" ht="20.05" customHeight="1" x14ac:dyDescent="0.55000000000000004">
      <c r="A28" s="25" t="s">
        <v>153</v>
      </c>
      <c r="B28" s="111" t="s">
        <v>154</v>
      </c>
      <c r="C28" s="65"/>
      <c r="D28" s="112" t="s">
        <v>155</v>
      </c>
      <c r="E28" s="65"/>
      <c r="F28" s="13" t="s">
        <v>131</v>
      </c>
      <c r="G28" s="28"/>
    </row>
    <row r="29" spans="1:7" ht="20.05" customHeight="1" x14ac:dyDescent="0.55000000000000004">
      <c r="A29" s="25" t="s">
        <v>156</v>
      </c>
      <c r="B29" s="102" t="s">
        <v>157</v>
      </c>
      <c r="C29" s="65"/>
      <c r="D29" s="105" t="s">
        <v>158</v>
      </c>
      <c r="E29" s="65"/>
      <c r="F29" s="13" t="s">
        <v>131</v>
      </c>
      <c r="G29" s="29"/>
    </row>
    <row r="30" spans="1:7" ht="20.05" customHeight="1" x14ac:dyDescent="0.55000000000000004">
      <c r="A30" s="25" t="s">
        <v>159</v>
      </c>
      <c r="B30" s="111" t="s">
        <v>160</v>
      </c>
      <c r="C30" s="65"/>
      <c r="D30" s="112" t="s">
        <v>161</v>
      </c>
      <c r="E30" s="65"/>
      <c r="F30" s="13" t="s">
        <v>131</v>
      </c>
      <c r="G30" s="28"/>
    </row>
    <row r="31" spans="1:7" ht="20.05" customHeight="1" x14ac:dyDescent="0.55000000000000004">
      <c r="A31" s="25" t="s">
        <v>162</v>
      </c>
      <c r="B31" s="102" t="s">
        <v>163</v>
      </c>
      <c r="C31" s="65"/>
      <c r="D31" s="105" t="s">
        <v>22</v>
      </c>
      <c r="E31" s="65"/>
      <c r="F31" s="13" t="s">
        <v>131</v>
      </c>
      <c r="G31" s="29"/>
    </row>
  </sheetData>
  <mergeCells count="44">
    <mergeCell ref="A2:G2"/>
    <mergeCell ref="B26:C26"/>
    <mergeCell ref="A7:C7"/>
    <mergeCell ref="D26:E26"/>
    <mergeCell ref="A1:G1"/>
    <mergeCell ref="B29:C29"/>
    <mergeCell ref="B28:C28"/>
    <mergeCell ref="A9:C9"/>
    <mergeCell ref="D28:E28"/>
    <mergeCell ref="A16:G16"/>
    <mergeCell ref="D25:E25"/>
    <mergeCell ref="B24:C24"/>
    <mergeCell ref="D24:E24"/>
    <mergeCell ref="A18:G18"/>
    <mergeCell ref="E5:G5"/>
    <mergeCell ref="B20:C20"/>
    <mergeCell ref="D29:E29"/>
    <mergeCell ref="A6:C6"/>
    <mergeCell ref="E8:G8"/>
    <mergeCell ref="A12:G12"/>
    <mergeCell ref="B31:C31"/>
    <mergeCell ref="B27:C27"/>
    <mergeCell ref="D31:E31"/>
    <mergeCell ref="E6:G6"/>
    <mergeCell ref="D21:E21"/>
    <mergeCell ref="A13:G13"/>
    <mergeCell ref="B21:C21"/>
    <mergeCell ref="A8:C8"/>
    <mergeCell ref="D27:E27"/>
    <mergeCell ref="B23:C23"/>
    <mergeCell ref="A15:G15"/>
    <mergeCell ref="E7:G7"/>
    <mergeCell ref="A10:C10"/>
    <mergeCell ref="B30:C30"/>
    <mergeCell ref="D30:E30"/>
    <mergeCell ref="D23:E23"/>
    <mergeCell ref="D20:E20"/>
    <mergeCell ref="E10:G10"/>
    <mergeCell ref="B25:C25"/>
    <mergeCell ref="A4:G4"/>
    <mergeCell ref="B22:C22"/>
    <mergeCell ref="E9:G9"/>
    <mergeCell ref="D22:E22"/>
    <mergeCell ref="A5:C5"/>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61" t="s">
        <v>164</v>
      </c>
      <c r="B1" s="62"/>
      <c r="C1" s="62"/>
      <c r="D1" s="62"/>
      <c r="E1" s="62"/>
      <c r="F1" s="62"/>
      <c r="G1" s="63"/>
    </row>
    <row r="2" spans="1:7" ht="22" customHeight="1" x14ac:dyDescent="0.55000000000000004">
      <c r="A2" s="116" t="s">
        <v>165</v>
      </c>
      <c r="B2" s="68"/>
      <c r="C2" s="68"/>
      <c r="D2" s="68"/>
      <c r="E2" s="68"/>
      <c r="F2" s="68"/>
      <c r="G2" s="65"/>
    </row>
    <row r="3" spans="1:7" ht="18" customHeight="1" x14ac:dyDescent="0.55000000000000004">
      <c r="A3" s="32"/>
      <c r="B3" s="32" t="s">
        <v>166</v>
      </c>
      <c r="C3" s="32" t="s">
        <v>167</v>
      </c>
      <c r="D3" s="32" t="s">
        <v>86</v>
      </c>
      <c r="E3" s="32" t="s">
        <v>168</v>
      </c>
      <c r="F3" s="32" t="s">
        <v>169</v>
      </c>
      <c r="G3" s="32" t="s">
        <v>170</v>
      </c>
    </row>
    <row r="4" spans="1:7" ht="22" customHeight="1" x14ac:dyDescent="0.55000000000000004">
      <c r="A4" s="33" t="s">
        <v>168</v>
      </c>
      <c r="B4" s="33" t="s">
        <v>171</v>
      </c>
      <c r="C4" s="33" t="s">
        <v>172</v>
      </c>
      <c r="D4" s="33" t="s">
        <v>173</v>
      </c>
      <c r="E4" s="33" t="s">
        <v>174</v>
      </c>
      <c r="F4" s="33" t="s">
        <v>175</v>
      </c>
      <c r="G4" s="33" t="s">
        <v>176</v>
      </c>
    </row>
    <row r="5" spans="1:7" ht="22" customHeight="1" x14ac:dyDescent="0.55000000000000004">
      <c r="A5" s="118" t="s">
        <v>177</v>
      </c>
      <c r="B5" s="68"/>
      <c r="C5" s="68"/>
      <c r="D5" s="68"/>
      <c r="E5" s="68"/>
      <c r="F5" s="68"/>
      <c r="G5" s="65"/>
    </row>
    <row r="6" spans="1:7" ht="18" customHeight="1" x14ac:dyDescent="0.55000000000000004">
      <c r="A6" s="32"/>
      <c r="B6" s="32" t="s">
        <v>166</v>
      </c>
      <c r="C6" s="32" t="s">
        <v>167</v>
      </c>
      <c r="D6" s="32" t="s">
        <v>86</v>
      </c>
      <c r="E6" s="32" t="s">
        <v>168</v>
      </c>
      <c r="F6" s="32" t="s">
        <v>169</v>
      </c>
      <c r="G6" s="32" t="s">
        <v>170</v>
      </c>
    </row>
    <row r="7" spans="1:7" ht="22" customHeight="1" x14ac:dyDescent="0.55000000000000004">
      <c r="A7" s="33" t="s">
        <v>168</v>
      </c>
      <c r="B7" s="33" t="s">
        <v>178</v>
      </c>
      <c r="C7" s="33" t="s">
        <v>179</v>
      </c>
      <c r="D7" s="33" t="s">
        <v>180</v>
      </c>
      <c r="E7" s="33" t="s">
        <v>181</v>
      </c>
      <c r="F7" s="33" t="s">
        <v>175</v>
      </c>
      <c r="G7" s="33" t="s">
        <v>182</v>
      </c>
    </row>
    <row r="8" spans="1:7" ht="22" customHeight="1" x14ac:dyDescent="0.55000000000000004">
      <c r="A8" s="115" t="s">
        <v>183</v>
      </c>
      <c r="B8" s="68"/>
      <c r="C8" s="68"/>
      <c r="D8" s="68"/>
      <c r="E8" s="68"/>
      <c r="F8" s="68"/>
      <c r="G8" s="65"/>
    </row>
    <row r="9" spans="1:7" ht="18" customHeight="1" x14ac:dyDescent="0.55000000000000004">
      <c r="A9" s="32"/>
      <c r="B9" s="32" t="s">
        <v>166</v>
      </c>
      <c r="C9" s="32" t="s">
        <v>167</v>
      </c>
      <c r="D9" s="32" t="s">
        <v>86</v>
      </c>
      <c r="E9" s="32" t="s">
        <v>168</v>
      </c>
      <c r="F9" s="32" t="s">
        <v>169</v>
      </c>
      <c r="G9" s="32" t="s">
        <v>170</v>
      </c>
    </row>
    <row r="10" spans="1:7" ht="22" customHeight="1" x14ac:dyDescent="0.55000000000000004">
      <c r="A10" s="33" t="s">
        <v>168</v>
      </c>
      <c r="B10" s="33" t="s">
        <v>184</v>
      </c>
      <c r="C10" s="33" t="s">
        <v>185</v>
      </c>
      <c r="D10" s="33" t="s">
        <v>186</v>
      </c>
      <c r="E10" s="33" t="s">
        <v>174</v>
      </c>
      <c r="F10" s="33" t="s">
        <v>175</v>
      </c>
      <c r="G10" s="33" t="s">
        <v>187</v>
      </c>
    </row>
    <row r="11" spans="1:7" ht="36" customHeight="1" x14ac:dyDescent="0.55000000000000004">
      <c r="A11" s="117" t="s">
        <v>188</v>
      </c>
      <c r="B11" s="68"/>
      <c r="C11" s="68"/>
      <c r="D11" s="68"/>
      <c r="E11" s="68"/>
      <c r="F11" s="68"/>
      <c r="G11" s="65"/>
    </row>
  </sheetData>
  <mergeCells count="5">
    <mergeCell ref="A1:G1"/>
    <mergeCell ref="A8:G8"/>
    <mergeCell ref="A2:G2"/>
    <mergeCell ref="A11:G1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61" t="s">
        <v>189</v>
      </c>
      <c r="B1" s="62"/>
      <c r="C1" s="62"/>
      <c r="D1" s="62"/>
      <c r="E1" s="62"/>
      <c r="F1" s="62"/>
      <c r="G1" s="63"/>
    </row>
    <row r="2" spans="1:7" ht="20.05" customHeight="1" x14ac:dyDescent="0.55000000000000004">
      <c r="A2" s="96" t="s">
        <v>190</v>
      </c>
      <c r="B2" s="62"/>
      <c r="C2" s="62"/>
      <c r="D2" s="62"/>
      <c r="E2" s="62"/>
      <c r="F2" s="62"/>
      <c r="G2" s="63"/>
    </row>
    <row r="3" spans="1:7" ht="18" customHeight="1" x14ac:dyDescent="0.55000000000000004">
      <c r="A3" s="32" t="s">
        <v>191</v>
      </c>
      <c r="B3" s="32" t="s">
        <v>192</v>
      </c>
      <c r="C3" s="32" t="s">
        <v>193</v>
      </c>
      <c r="D3" s="32" t="s">
        <v>194</v>
      </c>
    </row>
    <row r="4" spans="1:7" ht="68.05" customHeight="1" x14ac:dyDescent="0.55000000000000004">
      <c r="A4" s="25" t="s">
        <v>195</v>
      </c>
      <c r="B4" s="30" t="s">
        <v>196</v>
      </c>
      <c r="C4" s="34" t="s">
        <v>197</v>
      </c>
      <c r="D4" s="35" t="s">
        <v>198</v>
      </c>
    </row>
    <row r="5" spans="1:7" ht="56.05" customHeight="1" x14ac:dyDescent="0.55000000000000004">
      <c r="A5" s="36" t="s">
        <v>199</v>
      </c>
      <c r="B5" s="26" t="s">
        <v>200</v>
      </c>
      <c r="C5" s="27" t="s">
        <v>201</v>
      </c>
      <c r="D5" s="37" t="s">
        <v>202</v>
      </c>
    </row>
    <row r="6" spans="1:7" ht="56.05" customHeight="1" x14ac:dyDescent="0.55000000000000004">
      <c r="A6" s="36" t="s">
        <v>203</v>
      </c>
      <c r="B6" s="38" t="s">
        <v>204</v>
      </c>
      <c r="C6" s="34" t="s">
        <v>205</v>
      </c>
      <c r="D6" s="35" t="s">
        <v>206</v>
      </c>
    </row>
    <row r="7" spans="1:7" ht="52" customHeight="1" x14ac:dyDescent="0.55000000000000004">
      <c r="A7" s="25" t="s">
        <v>207</v>
      </c>
      <c r="B7" s="30" t="s">
        <v>208</v>
      </c>
      <c r="C7" s="34" t="s">
        <v>209</v>
      </c>
      <c r="D7" s="35" t="s">
        <v>210</v>
      </c>
    </row>
    <row r="8" spans="1:7" ht="68.05" customHeight="1" x14ac:dyDescent="0.55000000000000004">
      <c r="A8" s="25" t="s">
        <v>211</v>
      </c>
      <c r="B8" s="31" t="s">
        <v>212</v>
      </c>
      <c r="C8" s="34" t="s">
        <v>213</v>
      </c>
      <c r="D8" s="39" t="s">
        <v>214</v>
      </c>
    </row>
    <row r="9" spans="1:7" ht="36" customHeight="1" x14ac:dyDescent="0.55000000000000004">
      <c r="A9" s="119" t="s">
        <v>215</v>
      </c>
      <c r="B9" s="68"/>
      <c r="C9" s="68"/>
      <c r="D9" s="65"/>
      <c r="E9" s="40"/>
      <c r="F9" s="40"/>
      <c r="G9" s="40"/>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61" t="s">
        <v>216</v>
      </c>
      <c r="B1" s="62"/>
      <c r="C1" s="62"/>
      <c r="D1" s="62"/>
      <c r="E1" s="62"/>
      <c r="F1" s="62"/>
      <c r="G1" s="63"/>
    </row>
    <row r="2" spans="1:7" ht="20.05" customHeight="1" x14ac:dyDescent="0.55000000000000004">
      <c r="A2" s="96" t="s">
        <v>217</v>
      </c>
      <c r="B2" s="62"/>
      <c r="C2" s="62"/>
      <c r="D2" s="62"/>
      <c r="E2" s="62"/>
      <c r="F2" s="62"/>
      <c r="G2" s="63"/>
    </row>
    <row r="3" spans="1:7" ht="5.05" customHeight="1" x14ac:dyDescent="0.55000000000000004">
      <c r="A3" s="1"/>
      <c r="B3" s="1"/>
      <c r="C3" s="1"/>
      <c r="D3" s="1"/>
      <c r="E3" s="1"/>
      <c r="F3" s="1"/>
      <c r="G3" s="1"/>
    </row>
    <row r="4" spans="1:7" ht="22" customHeight="1" x14ac:dyDescent="0.55000000000000004">
      <c r="A4" s="121" t="s">
        <v>218</v>
      </c>
      <c r="B4" s="62"/>
      <c r="C4" s="62"/>
      <c r="D4" s="62"/>
      <c r="E4" s="62"/>
      <c r="F4" s="62"/>
      <c r="G4" s="63"/>
    </row>
    <row r="5" spans="1:7" ht="18" customHeight="1" x14ac:dyDescent="0.55000000000000004">
      <c r="A5" s="32"/>
      <c r="B5" s="32" t="s">
        <v>219</v>
      </c>
      <c r="C5" s="32" t="s">
        <v>48</v>
      </c>
      <c r="D5" s="32" t="s">
        <v>43</v>
      </c>
      <c r="E5" s="32" t="s">
        <v>220</v>
      </c>
      <c r="F5" s="32"/>
    </row>
    <row r="6" spans="1:7" ht="36" customHeight="1" x14ac:dyDescent="0.55000000000000004">
      <c r="A6" s="41"/>
      <c r="B6" s="42" t="s">
        <v>221</v>
      </c>
      <c r="C6" s="43" t="s">
        <v>222</v>
      </c>
      <c r="D6" s="44" t="s">
        <v>223</v>
      </c>
      <c r="E6" s="45" t="s">
        <v>224</v>
      </c>
      <c r="F6" s="41"/>
    </row>
    <row r="7" spans="1:7" ht="36" customHeight="1" x14ac:dyDescent="0.55000000000000004">
      <c r="A7" s="29"/>
      <c r="B7" s="46" t="s">
        <v>225</v>
      </c>
      <c r="C7" s="47" t="s">
        <v>226</v>
      </c>
      <c r="D7" s="44" t="s">
        <v>227</v>
      </c>
      <c r="E7" s="48" t="s">
        <v>228</v>
      </c>
      <c r="F7" s="29"/>
    </row>
    <row r="8" spans="1:7" ht="36" customHeight="1" x14ac:dyDescent="0.55000000000000004">
      <c r="A8" s="41"/>
      <c r="B8" s="42" t="s">
        <v>229</v>
      </c>
      <c r="C8" s="49" t="s">
        <v>230</v>
      </c>
      <c r="D8" s="44" t="s">
        <v>231</v>
      </c>
      <c r="E8" s="45" t="s">
        <v>232</v>
      </c>
      <c r="F8" s="41"/>
    </row>
    <row r="9" spans="1:7" ht="36" customHeight="1" x14ac:dyDescent="0.55000000000000004">
      <c r="A9" s="29"/>
      <c r="B9" s="46" t="s">
        <v>233</v>
      </c>
      <c r="C9" s="31" t="s">
        <v>234</v>
      </c>
      <c r="D9" s="44" t="s">
        <v>235</v>
      </c>
      <c r="E9" s="48" t="s">
        <v>236</v>
      </c>
      <c r="F9" s="29"/>
    </row>
    <row r="10" spans="1:7" ht="36" customHeight="1" x14ac:dyDescent="0.55000000000000004">
      <c r="A10" s="41"/>
      <c r="B10" s="42" t="s">
        <v>237</v>
      </c>
      <c r="C10" s="49" t="s">
        <v>238</v>
      </c>
      <c r="D10" s="44" t="s">
        <v>239</v>
      </c>
      <c r="E10" s="45" t="s">
        <v>240</v>
      </c>
      <c r="F10" s="41"/>
    </row>
    <row r="11" spans="1:7" ht="5.05" customHeight="1" x14ac:dyDescent="0.55000000000000004">
      <c r="A11" s="1"/>
      <c r="B11" s="1"/>
      <c r="C11" s="1"/>
      <c r="D11" s="1"/>
      <c r="E11" s="1"/>
      <c r="F11" s="1"/>
      <c r="G11" s="1"/>
    </row>
    <row r="12" spans="1:7" ht="22" customHeight="1" x14ac:dyDescent="0.55000000000000004">
      <c r="A12" s="120" t="s">
        <v>241</v>
      </c>
      <c r="B12" s="62"/>
      <c r="C12" s="62"/>
      <c r="D12" s="62"/>
      <c r="E12" s="62"/>
      <c r="F12" s="62"/>
      <c r="G12" s="63"/>
    </row>
    <row r="13" spans="1:7" ht="18" customHeight="1" x14ac:dyDescent="0.55000000000000004">
      <c r="A13" s="50"/>
      <c r="B13" s="50" t="s">
        <v>219</v>
      </c>
      <c r="C13" s="50" t="s">
        <v>5</v>
      </c>
      <c r="D13" s="50" t="s">
        <v>242</v>
      </c>
      <c r="E13" s="50" t="s">
        <v>243</v>
      </c>
      <c r="F13" s="50"/>
    </row>
    <row r="14" spans="1:7" ht="28" customHeight="1" x14ac:dyDescent="0.55000000000000004">
      <c r="A14" s="51"/>
      <c r="B14" s="52" t="s">
        <v>244</v>
      </c>
      <c r="C14" s="53" t="s">
        <v>129</v>
      </c>
      <c r="D14" s="54" t="s">
        <v>245</v>
      </c>
      <c r="E14" s="55" t="s">
        <v>246</v>
      </c>
      <c r="F14" s="51"/>
    </row>
    <row r="15" spans="1:7" ht="28" customHeight="1" x14ac:dyDescent="0.55000000000000004">
      <c r="A15" s="51"/>
      <c r="B15" s="52" t="s">
        <v>247</v>
      </c>
      <c r="C15" s="53" t="s">
        <v>248</v>
      </c>
      <c r="D15" s="54" t="s">
        <v>249</v>
      </c>
      <c r="E15" s="55" t="s">
        <v>246</v>
      </c>
      <c r="F15" s="51"/>
    </row>
    <row r="16" spans="1:7" ht="28" customHeight="1" x14ac:dyDescent="0.55000000000000004">
      <c r="A16" s="51"/>
      <c r="B16" s="52" t="s">
        <v>250</v>
      </c>
      <c r="C16" s="53" t="s">
        <v>136</v>
      </c>
      <c r="D16" s="54" t="s">
        <v>251</v>
      </c>
      <c r="E16" s="55" t="s">
        <v>246</v>
      </c>
      <c r="F16" s="51"/>
    </row>
    <row r="17" spans="1:7" ht="28" customHeight="1" x14ac:dyDescent="0.55000000000000004">
      <c r="A17" s="51"/>
      <c r="B17" s="52" t="s">
        <v>252</v>
      </c>
      <c r="C17" s="53" t="s">
        <v>253</v>
      </c>
      <c r="D17" s="54" t="s">
        <v>254</v>
      </c>
      <c r="E17" s="55" t="s">
        <v>246</v>
      </c>
      <c r="F17" s="51"/>
    </row>
    <row r="18" spans="1:7" ht="28" customHeight="1" x14ac:dyDescent="0.55000000000000004">
      <c r="A18" s="56"/>
      <c r="B18" s="57" t="s">
        <v>255</v>
      </c>
      <c r="C18" s="58" t="s">
        <v>256</v>
      </c>
      <c r="D18" s="59" t="s">
        <v>257</v>
      </c>
      <c r="E18" s="60" t="s">
        <v>246</v>
      </c>
      <c r="F18" s="56"/>
    </row>
    <row r="19" spans="1:7" ht="28" customHeight="1" x14ac:dyDescent="0.55000000000000004">
      <c r="A19" s="56"/>
      <c r="B19" s="57" t="s">
        <v>258</v>
      </c>
      <c r="C19" s="58" t="s">
        <v>259</v>
      </c>
      <c r="D19" s="59" t="s">
        <v>260</v>
      </c>
      <c r="E19" s="60" t="s">
        <v>246</v>
      </c>
      <c r="F19" s="56"/>
    </row>
    <row r="20" spans="1:7" ht="28" customHeight="1" x14ac:dyDescent="0.55000000000000004">
      <c r="A20" s="51"/>
      <c r="B20" s="52" t="s">
        <v>261</v>
      </c>
      <c r="C20" s="53" t="s">
        <v>262</v>
      </c>
      <c r="D20" s="54" t="s">
        <v>149</v>
      </c>
      <c r="E20" s="55" t="s">
        <v>246</v>
      </c>
      <c r="F20" s="51"/>
    </row>
    <row r="21" spans="1:7" ht="28" customHeight="1" x14ac:dyDescent="0.55000000000000004">
      <c r="A21" s="56"/>
      <c r="B21" s="57" t="s">
        <v>263</v>
      </c>
      <c r="C21" s="58" t="s">
        <v>264</v>
      </c>
      <c r="D21" s="59" t="s">
        <v>265</v>
      </c>
      <c r="E21" s="60" t="s">
        <v>246</v>
      </c>
      <c r="F21" s="56"/>
    </row>
    <row r="22" spans="1:7" ht="28" customHeight="1" x14ac:dyDescent="0.55000000000000004">
      <c r="A22" s="56"/>
      <c r="B22" s="57" t="s">
        <v>266</v>
      </c>
      <c r="C22" s="58" t="s">
        <v>267</v>
      </c>
      <c r="D22" s="59" t="s">
        <v>158</v>
      </c>
      <c r="E22" s="60" t="s">
        <v>246</v>
      </c>
      <c r="F22" s="56"/>
    </row>
    <row r="23" spans="1:7" ht="28" customHeight="1" x14ac:dyDescent="0.55000000000000004">
      <c r="A23" s="56"/>
      <c r="B23" s="57" t="s">
        <v>268</v>
      </c>
      <c r="C23" s="58" t="s">
        <v>269</v>
      </c>
      <c r="D23" s="59" t="s">
        <v>161</v>
      </c>
      <c r="E23" s="60" t="s">
        <v>246</v>
      </c>
      <c r="F23" s="56"/>
    </row>
    <row r="24" spans="1:7" ht="28" customHeight="1" x14ac:dyDescent="0.55000000000000004">
      <c r="A24" s="56"/>
      <c r="B24" s="57" t="s">
        <v>270</v>
      </c>
      <c r="C24" s="58" t="s">
        <v>271</v>
      </c>
      <c r="D24" s="59" t="s">
        <v>272</v>
      </c>
      <c r="E24" s="60" t="s">
        <v>246</v>
      </c>
      <c r="F24" s="56"/>
    </row>
    <row r="25" spans="1:7" ht="5.05" customHeight="1" x14ac:dyDescent="0.55000000000000004">
      <c r="A25" s="1"/>
      <c r="B25" s="1"/>
      <c r="C25" s="1"/>
      <c r="D25" s="1"/>
      <c r="E25" s="1"/>
      <c r="F25" s="1"/>
      <c r="G25" s="1"/>
    </row>
    <row r="26" spans="1:7" ht="52" customHeight="1" x14ac:dyDescent="0.55000000000000004">
      <c r="A26" s="119" t="s">
        <v>273</v>
      </c>
      <c r="B26" s="68"/>
      <c r="C26" s="68"/>
      <c r="D26" s="68"/>
      <c r="E26" s="68"/>
      <c r="F26" s="65"/>
      <c r="G26" s="40"/>
    </row>
  </sheetData>
  <mergeCells count="5">
    <mergeCell ref="A1:G1"/>
    <mergeCell ref="A12:G12"/>
    <mergeCell ref="A4:G4"/>
    <mergeCell ref="A2:G2"/>
    <mergeCell ref="A26:F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2026-04-06T10:36:12Z</dcterms:created>
  <dcterms:modified xsi:type="dcterms:W3CDTF">2026-04-06T10:49:11Z</dcterms:modified>
</cp:coreProperties>
</file>