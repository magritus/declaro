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24120D01-49D6-49C4-88CE-18499F02C33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9" i="2"/>
  <c r="D8" i="2"/>
  <c r="D7" i="2"/>
  <c r="D6" i="2"/>
  <c r="D47" i="1"/>
  <c r="C52" i="1" s="1"/>
  <c r="C47" i="1"/>
  <c r="C51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F47" i="1" s="1"/>
  <c r="C55" i="1" s="1"/>
  <c r="C35" i="1"/>
  <c r="E15" i="1"/>
  <c r="D5" i="2" s="1"/>
  <c r="E47" i="1" l="1"/>
  <c r="C53" i="1" s="1"/>
</calcChain>
</file>

<file path=xl/sharedStrings.xml><?xml version="1.0" encoding="utf-8"?>
<sst xmlns="http://schemas.openxmlformats.org/spreadsheetml/2006/main" count="331" uniqueCount="267">
  <si>
    <t>417 – İBADETHANELERE VE DİNİ TESİSLERE YAPILAN BAĞIŞ VE YARDIMLAR | KVK Mad. 10/1-5 | YMM TASDİK</t>
  </si>
  <si>
    <t>Beyanname 417 | GİB KV Beyan Rehberi Mart 2026 (No:606) | ✗ YİAKV MATRAHINDA DÜŞÜLEMEZ</t>
  </si>
  <si>
    <t xml:space="preserve">  417 — KVK Md.10/1-5 KAPSAMI — İBADETHANELER VE DİNİ TESİSLER:
  Kurumlar vergisi mükelleflerinin kamu idare ve müesseseleri, kamu yararına çalışan dernekler ve Cumhurbaşkanlığı kararıyla vergi muafiyeti tanınan vakıflara ibadethaneler ve dini tesislerin inşası, onarımı ve ekipman/tefrişatı amacıyla yaptıkları bağış ve yardımların TAMAMI kurumlar vergisi matrahından indirilir.
  KAPSAM: Cami, cemevi, kilise, havra/sinagog ve diğer ibadethaneler ile bunlara bağlı dini tesisler. İnşaat + onarım + ekipman/tefrişat (halı, aydınlatma vb.) dahil.
  ALICI KOŞULU: 403 ile aynı — kamu idaresi, KYD dernek veya muafiyet vakfı.
  İNDİRİM: TAMAMININ İNDİRİMİ — matrahı aşan kısım devredilemez.
  ★ YİAKV: DÜŞÜLEMEZ — E.11 bilgi satırı.</t>
  </si>
  <si>
    <t xml:space="preserve">  ✗ YİAKV (KVK Md.32/C): 417 İbadethane Bağışı YİAKV MATRAHINDA DÜŞÜLEMEZ — E.11 bilgi.
  ★ DİKKAT: Diyanet İşleri Başkanlığı kamu idaresi kapsamındadır — statü belgesi gerekmez. Türkiye Diyanet Vakfı için muafiyet kararı teyit edilmeli.</t>
  </si>
  <si>
    <t>A0. KAPSAM VE NİTELİK UYGUNLUK ÖN KONTROLÜ — KVK Md.10/1-5 İBADETHANE BAĞIŞI</t>
  </si>
  <si>
    <t>Kontrol Sorusu</t>
  </si>
  <si>
    <t>Yanıt</t>
  </si>
  <si>
    <t>YMM Tasdik Notu</t>
  </si>
  <si>
    <t>A0.1  ★ Bağış KVK Md.10/1-5 kapsamında ibadethane/dini tesis için mi?</t>
  </si>
  <si>
    <t>EVET</t>
  </si>
  <si>
    <t>İbadethane türleri: Cami, cemevi, kilise, havra/sinagog ve bunlara bağlı dini tesisler. İnşaat, onarım ve ekipman/tefrişat dahil. Salt işletme/faaliyet gideri → Tartışmalı.</t>
  </si>
  <si>
    <t>A0.2  ★ Alıcı kamu idaresi, KYD dernek veya muafiyet vakfı mı?</t>
  </si>
  <si>
    <t>Uygun: Diyanet İşleri Başkanlığı (kamu idaresi), il/ilçe müftülüğü, Türkiye Diyanet Vakfı (muafiyet kararı teyit edilmeli), KYD dernek, muafiyet vakfı. Cami derneği/vakfı → Statü teyidi şart.</t>
  </si>
  <si>
    <t>A0.3  ★ KYD/Muafiyet vakıfsa statü belgesi temin edildi mi?</t>
  </si>
  <si>
    <t>Diyanet İşleri Başkanlığı ve müftülükler → Belge gerekmez (kamu idaresi). Diyanet Vakfı → Muafiyet kararı. Cami derneği → KYD kararı.</t>
  </si>
  <si>
    <t>A0.4  ★ Bağış FİİLEN yapıldı mı? (Nakdi: Banka — Ayni: Teslim belgesi)</t>
  </si>
  <si>
    <t>Nakdi: Banka EFT/havale dekontu. Ayni: İmzalı teslim tutanağı.</t>
  </si>
  <si>
    <t>A0.5  Alıcıdan resmi makbuz / protokol alındı mı?</t>
  </si>
  <si>
    <t>Makbuz veya protokol zorunludur.</t>
  </si>
  <si>
    <t>A0.6  ✗ YİAKV E.11'de bilgi satırı olarak gösterildi mi?</t>
  </si>
  <si>
    <t>417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</si>
  <si>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</si>
  <si>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</si>
  <si>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</si>
  <si>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ibadethane/dini tesis | A0.2 alıcı statüsü | A0.4 fiili yapım | A0.5 makbuz —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</si>
  <si>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</si>
  <si>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</si>
  <si>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</si>
  <si>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</si>
  <si>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</si>
  <si>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</si>
  <si>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</si>
  <si>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</si>
  <si>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</si>
  <si>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Alıcı Kurum</t>
  </si>
  <si>
    <t>Diyanet/Vakıf/Müftülük/KYD Dernek adı</t>
  </si>
  <si>
    <t>Alıcı Statüsü</t>
  </si>
  <si>
    <t>Kamu idaresi / KYD / Muafiyet vakfı</t>
  </si>
  <si>
    <t>Dosya Referansı</t>
  </si>
  <si>
    <t>YMM-2025/417-01</t>
  </si>
  <si>
    <t>B. BAĞIŞ VE YARDIM DETAYLARI — KVK Md.10/1-5 / İBADETHANE VE DİNİ TESİSLER</t>
  </si>
  <si>
    <t>Parametre</t>
  </si>
  <si>
    <t>Değer</t>
  </si>
  <si>
    <t>Açıklama</t>
  </si>
  <si>
    <t>Kaynak</t>
  </si>
  <si>
    <t>B.1  İbadethane/Tesis Türü</t>
  </si>
  <si>
    <t>Cami İnşaatı/Onarımı/Ekipmanı</t>
  </si>
  <si>
    <t>Cami, cemevi, kilise, havra/sinagog, dini tesis. İnşaat+onarım+ekipman.</t>
  </si>
  <si>
    <t>Proje/Protokol</t>
  </si>
  <si>
    <t>B.2  Alıcı Kurum Statüsü</t>
  </si>
  <si>
    <t>Diyanet İşleri Başkanlığı</t>
  </si>
  <si>
    <t>Diyanet/Müftülük → Kamu idaresi. Diyanet Vakfı → Muafiyet kararı teyit.</t>
  </si>
  <si>
    <t>Statü belgesi</t>
  </si>
  <si>
    <t>B.3  Bağış Şekli</t>
  </si>
  <si>
    <t>Nakdi (Banka Transferi/EFT/Havale)</t>
  </si>
  <si>
    <t>Nakdi: Banka dekontu. Ayni: Halı/ekipman → teslim tutanağı.</t>
  </si>
  <si>
    <t>Belge</t>
  </si>
  <si>
    <t>B.4  İbadethanenin Adı / İnşaat Projesi</t>
  </si>
  <si>
    <t>Bağış yapılan ibadethanenin adı, adresi ve inşaat/onarım konusu.</t>
  </si>
  <si>
    <t>Proje belgesi</t>
  </si>
  <si>
    <t>B.5  ★ Nakdi Bağış Tutarı (TL)</t>
  </si>
  <si>
    <t>Banka yoluyla yapılan nakdi bağış tutarı.</t>
  </si>
  <si>
    <t>Banka dekontu</t>
  </si>
  <si>
    <t>B.6  Ayni Bağış Değeri (TL — Maliyet/Net Defter Değeri)</t>
  </si>
  <si>
    <t>Halı, aydınlatma, ses sistemi, inşaat malz. → maliyet/net defter değeri.</t>
  </si>
  <si>
    <t>Stok kayıtları</t>
  </si>
  <si>
    <t>B.7  ★ TOPLAM BAĞIŞ (B.5 + B.6)</t>
  </si>
  <si>
    <t>Nakdi + Ayni toplam — beyanname 417 tutarının dayanağı.</t>
  </si>
  <si>
    <t>Formül</t>
  </si>
  <si>
    <t>B.8  ★ Alıcıdan Resmi Makbuz / Protokol</t>
  </si>
  <si>
    <t>Makbuz veya inşaat/ekipman protokolü — zorunlu.</t>
  </si>
  <si>
    <t>C. BAĞIŞ VE YARDIM TABLOSU — İBADETHANE/DİNİ TESİS (BEYANNAME 417)</t>
  </si>
  <si>
    <t xml:space="preserve">  Her bağış kalemi için ayrı satır. İbadethane adı ve alıcı her satırda belirtilmeli. SÜTUN 3: Nakdi. SÜTUN 4: Ayni. SÜTUN 5: Toplam. SÜTUN 6: İndirim = Tamamı.</t>
  </si>
  <si>
    <t>Bağış Tarihi</t>
  </si>
  <si>
    <t>İbadethane Adı / Alıcı / Konu</t>
  </si>
  <si>
    <t>Nakdi (TL)</t>
  </si>
  <si>
    <t>Ayni Değer (TL)</t>
  </si>
  <si>
    <t>Toplam (TL)</t>
  </si>
  <si>
    <t>İndirim (TL)</t>
  </si>
  <si>
    <t>Makbuz/Belge No</t>
  </si>
  <si>
    <t>TOPLAM</t>
  </si>
  <si>
    <t>← Beyanname 417 (Tamamının İndirimi)</t>
  </si>
  <si>
    <t>D. BAĞIŞ VE YARDIM İNDİRİMİ ÖZET — BEYANNAME 417 (KVK Md.10/1-5)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</si>
  <si>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</si>
  <si>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</si>
  <si>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</si>
  <si>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</si>
  <si>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</si>
  <si>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</si>
  <si>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</si>
  <si>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</si>
  <si>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</si>
  <si>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</si>
  <si>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</si>
  <si>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KVK Md.10/1-5: Tamamının indirimi — matrahı aşan devredilmez</t>
  </si>
  <si>
    <t>KVK Md.10/1-5</t>
  </si>
  <si>
    <t>D.5  ★ BEYANNAME 417 = TOPLAM BAĞIŞ (D.3)</t>
  </si>
  <si>
    <t>→ Beyanname 417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</si>
  <si>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</si>
  <si>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</si>
  <si>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</si>
  <si>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</si>
  <si>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İBADETHANE/DİNİ TESİS BAĞIŞI → Beyanname Satır 417 (Kazancın Bulunması Halinde)</t>
  </si>
  <si>
    <t>D.5 = Toplam | KVK Md.10/1-5 — Matrahı aşan devredilmez</t>
  </si>
  <si>
    <t xml:space="preserve">  ★ KRİTİK: (1) TESİS TÜRÜ: Cami, cemevi, kilise, havra/sinagog ve dini tesisler — inşaat/onarım/ekipman (salt faaliyet gideri tartışmalı). (2) ALICI: Diyanet kamu idaresi — statü belgesi gerekmez. Cami derneği/vakfı → KYD veya muafiyet kararı zorunlu. (3) AYNİ BAĞIŞ: Halı/ekipman → Maliyet + KDV istisnası. (4) DEVREDEN YOK. (5) YİAKV ✗: E.11.</t>
  </si>
  <si>
    <t>417 – İBADETHANE VE DİNİ TESİS BAĞIŞLARI KVK Md.10/1-5 | HESAPLAMALAR VE DENETİM</t>
  </si>
  <si>
    <t>Tamamının İndirimi | KVK Md.10/1-5 | Cami/Cemevi/Kilise/Havra | Beyanname 417 | ✗ YİAKV E.11</t>
  </si>
  <si>
    <t>A. TASDİK ÖZETİ</t>
  </si>
  <si>
    <t>A0 Uygunluğu</t>
  </si>
  <si>
    <t>OK ise devam</t>
  </si>
  <si>
    <t>Tesis Türü (B.1)</t>
  </si>
  <si>
    <t>İbadethane/dini tesis</t>
  </si>
  <si>
    <t>Alıcı Statüsü (B.2)</t>
  </si>
  <si>
    <t>Diyanet/KYD/Muafiyet vakfı</t>
  </si>
  <si>
    <t>Toplam Bağış (D.3)</t>
  </si>
  <si>
    <t>C tablosu toplamı</t>
  </si>
  <si>
    <t>417 İNDİRİM (D.5)</t>
  </si>
  <si>
    <t>YİAKV</t>
  </si>
  <si>
    <t>✗ DÜŞÜLEMEZ (E.11 Bilgi)</t>
  </si>
  <si>
    <t>Bağış/yardım tümü YİAKV dışı</t>
  </si>
  <si>
    <t>B. KVK Md.10/1-5 İBADETHANE KAPSAMI VE ALICI STATÜSÜ</t>
  </si>
  <si>
    <t xml:space="preserve">  KVK Md.10/1-5 — İBADETHANELER VE DİNİ TESİSLER:
  KAPSAM İÇİ TESİS TÜRLERİ:
  • Cami (inşaat, onarım, yenileme, ekipman, halı, ses sistemi, aydınlatma)
  • Cemevi (inşaat, onarım, ekipman)
  • Kilise (inşaat, onarım, ekipman)
  • Havra / Sinagog (inşaat, onarım, ekipman)
  • Bunlara bağlı dini tesisler (şadırvan, lojman vb. — tartışmalı)
  KAPSAM DIŞI: Salt imam ücreti, fatura/işletme giderleri — YMM özelge değerlendirmeli.
  ALICI STATÜSÜ:
  ① Diyanet İşleri Başkanlığı → Kamu idaresi — statü belgesi gerekmez
  ② İl/İlçe Müftülüğü → Kamu idaresi — statü belgesi gerekmez
  ③ Türkiye Diyanet Vakfı → Muafiyet kararı teyit edilmeli
  ④ KYD cami derneği → Bakanlık KYD kararı zorunlu
  ⑤ Muafiyet vakfı → Cumhurbaşkanlığı kararı zorunlu
  ✗ Kamu statüsü olmayan cami derneği → Kapsam dışı</t>
  </si>
  <si>
    <t>C. DENETİM KONTROL LİSTESİ (K1–K12)</t>
  </si>
  <si>
    <t>Kontrol</t>
  </si>
  <si>
    <t>Sonuç</t>
  </si>
  <si>
    <t>K1</t>
  </si>
  <si>
    <t>★ Tesis türü ibadethane/dini tesis mi? (Cami/Cemevi/Kilise/Havra vb.)</t>
  </si>
  <si>
    <t>Salt faaliyet gideri değil — inşaat/onarım/ekipman.</t>
  </si>
  <si>
    <t>Uygun/Eksik/Risk</t>
  </si>
  <si>
    <t>K2</t>
  </si>
  <si>
    <t>★ Alıcı kamu idaresi, KYD dernek veya muafiyet vakfı mı?</t>
  </si>
  <si>
    <t>Statüsüz cami derneği → Kapsam dışı.</t>
  </si>
  <si>
    <t>K3</t>
  </si>
  <si>
    <t>★ KYD/muafiyet belgesi temin edildi mi?</t>
  </si>
  <si>
    <t>Diyanet/Müftülük hariç zorunlu.</t>
  </si>
  <si>
    <t>K4</t>
  </si>
  <si>
    <t>★ Bağış fiilen yapıldı mı? (Nakdi: Banka — Ayni: Tutanak)</t>
  </si>
  <si>
    <t>Taahhüt → Kapsam dışı.</t>
  </si>
  <si>
    <t>K5</t>
  </si>
  <si>
    <t>★ Alıcıdan resmi makbuz/protokol alındı mı?</t>
  </si>
  <si>
    <t>Makbuz/protokol zorunlu.</t>
  </si>
  <si>
    <t>K6</t>
  </si>
  <si>
    <t>Ayni bağış varsa maliyet/net defter değeri esas alındı mı?</t>
  </si>
  <si>
    <t>Halı/ekipman → Maliyet. KDV istisnası.</t>
  </si>
  <si>
    <t>K7</t>
  </si>
  <si>
    <t>C tablosu toplamı D.3 ile mutabık mı?</t>
  </si>
  <si>
    <t>E47 = D.3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</si>
  <si>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</si>
  <si>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</si>
  <si>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</si>
  <si>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</si>
  <si>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</si>
  <si>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417 DÜŞÜLEMEZ — E.11 bilgi.</t>
  </si>
  <si>
    <t>K10</t>
  </si>
  <si>
    <t>Türkiye Diyanet Vakfı bağışında muafiyet kararı teyit edildi mi?</t>
  </si>
  <si>
    <t>Diyanet Vakfı → Muafiyet kararı zorunlu.</t>
  </si>
  <si>
    <t>K11</t>
  </si>
  <si>
    <t>Beyanname 417 'Kazancın Bulunması Halinde' bölümünde mi?</t>
  </si>
  <si>
    <t>Zarar döneminde uygulanamaz.</t>
  </si>
  <si>
    <t>K12</t>
  </si>
  <si>
    <t>YMM Tasdik Raporu (49 No.lu Tebliğ) değerlendirildi mi?</t>
  </si>
  <si>
    <t>417 – İBADETHANE VE DİNİ TESİS BAĞIŞLARI KVK Md.10/1-5 | MUHASEBE KAYITLARI</t>
  </si>
  <si>
    <t>KAYIT 1 — NAKDİ BAĞIŞ (EFT/HAVALE — CAMİ/CEMEVİ/KİLİSE/HAVRA İNŞAAT)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</si>
  <si>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</si>
  <si>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</si>
  <si>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</si>
  <si>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</si>
  <si>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</si>
  <si>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</si>
  <si>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</si>
  <si>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KVK Md.10/1-5 ibadethane bağışı — gider kaydı</t>
  </si>
  <si>
    <t>[Tutar]</t>
  </si>
  <si>
    <t>—</t>
  </si>
  <si>
    <t>Makbuz/Protokol</t>
  </si>
  <si>
    <t>KAYIT 2 — AYNİ BAĞIŞ (HALI / EKİPMAN / SES SİSTEMİ / AYDINLATMA)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</si>
  <si>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</si>
  <si>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</si>
  <si>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</si>
  <si>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</si>
  <si>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</si>
  <si>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417 İNDİRİMİ</t>
  </si>
  <si>
    <t>[Dönem Sonu]</t>
  </si>
  <si>
    <t>951 KKEG</t>
  </si>
  <si>
    <t>KVK Md.10/1-5 ibadethane bağış gideri KKEG'e alınır</t>
  </si>
  <si>
    <t>Beyanname eki</t>
  </si>
  <si>
    <t xml:space="preserve">  DÖNEM SONU NET ETKİ — BEYANNAME 417:
  İbadethane bağışı (689/770) → KKEG → Matrahı artırır → Beyanname 417 tamamının indirimi → Matrahtan düşülür.
  YİAKV: ✗ DÜŞÜLEMEZ — E.11. Ayni bağışta (halı/ekipman) KDV istisnası (KDVK Md.17/2-b).</t>
  </si>
  <si>
    <t>417 – İBADETHANE VE DİNİ TESİS BAĞIŞLARI KVK Md.10/1-5 | DENETÇİ NOTLARI</t>
  </si>
  <si>
    <t>GİB KV Beyan Rehberi 2026 | KVK Md.10/1-5 | Cami/Cemevi/Kilise | Diyanet | YİAKV E.11</t>
  </si>
  <si>
    <t>Kod</t>
  </si>
  <si>
    <t>Konu</t>
  </si>
  <si>
    <t>Mesleki Değerlendirme / Tasdik Standardı</t>
  </si>
  <si>
    <t>Mevzuat / Kaynak</t>
  </si>
  <si>
    <t>N1</t>
  </si>
  <si>
    <t>KVK Md.10/1-5 — İbadethane Kapsamı ve Tesis Türleri</t>
  </si>
  <si>
    <t>KVK MADDE 10/1-5 — İBADETHANELER VE DİNİ TESİSLER:
Kamu idare ve müesseseleri, KYD dernekler ve muafiyet vakıflarına
ibadethane ve dini tesisler için yapılan bağış/yardımların tamamı indirilir.
KAPSAM İÇİ:
• Cami (inşaat + onarım + ekipman + halı + ses + aydınlatma)
• Cemevi (inşaat + onarım + ekipman)
• Kilise (inşaat + onarım + ekipman)
• Havra / Sinagog (inşaat + onarım + ekipman)
• Bunlara bağlı dini tesisler
KAPSAM DIŞI (tartışmalı):
Salt işletme giderleri (imam ücreti, fatura) — özelge tavsiye edilir.
YİAKV: ✗ DÜŞÜLEMEZ (E.11 bilgi) | BEYANNAME: 417</t>
  </si>
  <si>
    <t>KVK Md.10/1-5 | GİB KV Beyan Reh. 2026 (No:606)</t>
  </si>
  <si>
    <t>N2</t>
  </si>
  <si>
    <t>★ Diyanet ve Cami Derneklerine Bağışta Alıcı Statüsü</t>
  </si>
  <si>
    <t>EN KRİTİK NOKTA — ALICI STATÜSÜ:
① DİYANET İŞLERİ BAŞKANLIĞI:
Kamu idaresi — statü belgesi gerekmez. 417 doğrudan uygulanır.
② İL/İLÇE MÜFTÜLÜKLERİ:
Diyanet'e bağlı kamu idaresi — statü belgesi gerekmez.
③ TÜRKİYE DİYANET VAKFI:
Muafiyet vakfı statüsü mevcut — Cumhurbaşkanlığı/Bakanlar Kurulu
kararı Resmî Gazete'den teyit edilmeli.
④ CAMİ DERNEKLERİ:
Her cami derneği KYD statüsünde değil.
KYD kararı yoksa → 417 kapsamına girmez.
YMM: Derneğin KYD kararını her dönem için teyit et.
⑤ VAKIF CAMİLERİ:
Muafiyet kararı olan vakıf → Uygun.
Muafiyet kararı yok → Kapsam dışı.</t>
  </si>
  <si>
    <t>KVK Md.10/1-5 | GİB Özelge | Danıştay Kararları</t>
  </si>
  <si>
    <t>N3</t>
  </si>
  <si>
    <t>403 (Eğitim/Sağlık/Gençlik) ile 417 (İbadethane) Aynı Çatı</t>
  </si>
  <si>
    <t>403 VE 417 KARŞILAŞTIRMASI:
HER İKİSİ DE KVK Md.10/1-5 KAPSAMI:
Aynı yasal bent — farklı tesis türleri için farklı beyanname satırları.
403 (Eğitim/Sağlık/Gençlik/Yurt):
Okul, hastane, gençlik merkezi, izci kampı, öğrenci yurdu.
417 (İbadethane/Dini Tesis):
Cami, cemevi, kilise, havra/sinagog, dini tesisler.
ORTAK KURALLAR (her ikisinde de):
• Alıcı: Kamu idaresi / KYD dernek / Muafiyet vakfı
• İndirim: Tamamı — matrahı aşan devredilmez
• YİAKV: E.11 bilgi — DÜŞÜLEMEZ
• Ayni bağışta: Maliyet değeri + KDV istisnası
NOT: 403 ve 417 aynı dönemde uygulanabilir (farklı tesisler için).</t>
  </si>
  <si>
    <t>N4</t>
  </si>
  <si>
    <t>YİAKV ile İlişki — E.11 Kapsamlı Tablo</t>
  </si>
  <si>
    <t>YİAKV (KVK Md.32/C) VE KVK Md.10/1-5 İBADETHANE BAĞIŞI:
✗ 417 (KVK Md.10/1-5): DÜŞÜLEMEZ → YİAKV E.11
YİAKV E.11 — TÜM BAĞIŞ/YARDIM/SPONSORLUK KODLARI:
✗ 402 | ✗ 403 | ✗ 417 | ✗ 460/461 | ✗ 464 | ✗ 465
✗ 466 | ✗ 469 | ✗ 470 | ✗ 471 | ✗ 472 | ✗ 473
✗ 474 | ✗ 475 | ✗ 476 | ✗ 477 | ✗ 478 | ✗ 479
✗ 480 | ✗ 481 | ✗ 482 | ✗ 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</si>
  <si>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</si>
  <si>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</si>
  <si>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</si>
  <si>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birinci fıkrasının (5)
numaralı bendi kapsamında [Alıcı Kurum Adı]'na [İbadethane Adı/Adresi]
ibadethanesinin inşaatı/onarımı/ekipmanı amacıyla [Tarih] tarihinde
banka yoluyla ödenen [Nakdi TL] TL nakdi bağış ile [Ayni TL] TL
maliyet bedelindeki ayni bağışın tamamı olan [Toplam TL] TL, kurumlar
vergisi matrahından indirilmiştir. Söz konucu tutar YİAKV matrahından
indirilmemiştir.'
KULLANMAYIN:
'...KYD/muafiyet belgesi olmayan cami derneğine bağış 417 kapsamında.'
'...İmam ücreti bağışı 417 kapsamında indirilmiştir.' (Risk)
'...417 YİAKV matrahından düşülmüştür.' (YANLIŞ)
KRİTİK RİSKLER:
(1) KYD/muafiyet belgesi olmayan cami derneğine 417 uygulamak.
(2) Diyanet Vakfı için muafiyet kararını teyit etmemek.
(3) Salt işletme giderini 417'ye dahil etmek.
(4) Matrahı aşan kısmı devretmeye çalışmak.</t>
  </si>
  <si>
    <t>49 No.lu Tebliğ | KVK Md.10/1-5 | SM-SMMM-YMM K. Md.12</t>
  </si>
  <si>
    <t xml:space="preserve">  GİB KV BEYAN REHBERİ MART 2026 (No:606) KAPANIŞ (417): KVK Md.10/1-5 — Cami, cemevi, kilise, havra/sinagog ve dini tesis inşaatı/onarımı/ekipmanı. Alıcı: Kamu idaresi / KYD dernek / Muafiyet vakfı. Cami derneğinde KYD kararı teyit edilmeli. Diyanet Vakfı için muafiyet kararı zorunlu. Tamamının indirimi. ✗ YİAKV E.11. YMM: SM-SMMM-YMM K. Md.12.</t>
  </si>
  <si>
    <t>417 – İBADETHANE VE DİNİ TESİS BAĞIŞLARI KVK Md.10/1-5 | BELGE LİSTESİ | YMM TASDİK</t>
  </si>
  <si>
    <t>Makbuz/Protokol | KYD/Muafiyet Belgesi | Banka Dekontu | Teslim Tutanağı | YİAKV E.11</t>
  </si>
  <si>
    <t>KATEGORİ 1 — ZORUNLU BELGELER</t>
  </si>
  <si>
    <t>No</t>
  </si>
  <si>
    <t>Temin</t>
  </si>
  <si>
    <t>1</t>
  </si>
  <si>
    <t>★ Alıcı Kurumdan Resmi Makbuz / Bağış Protokolü</t>
  </si>
  <si>
    <t>Diyanet/Müftülük/Vakıf/Dernek tarafından düzenlenen makbuz veya protokol. İbadethanenin adı, adresi ve bağışın amacı belirtilmeli. Zorunlu.</t>
  </si>
  <si>
    <t>Alıcı Kurum (Diyanet/Müftülük/Vakıf/Dernek)</t>
  </si>
  <si>
    <t>2</t>
  </si>
  <si>
    <t>★ KYD Dernek veya Muafiyet Vakfı Statü Belgesi</t>
  </si>
  <si>
    <t>Cami derneği için KYD bakanlık kararı veya Resmî Gazete. Muafiyet vakfı (Diyanet Vakfı dahil) için Cumhurbaşkanlığı kararı. Diyanet İşleri Başkanlığı ve müftülükler için bu belge gerekmez.</t>
  </si>
  <si>
    <t>İlgili Bakanlık / Resmî Gazete</t>
  </si>
  <si>
    <t>3</t>
  </si>
  <si>
    <t>★ Nakdi Bağış — Banka EFT/Havale Dekontu</t>
  </si>
  <si>
    <t>Alıcının banka hesabına yapılan nakdi ödemenin dekont belgesi. Her ödeme için ayrı dekont.</t>
  </si>
  <si>
    <t>Banka / Şirket hesabı</t>
  </si>
  <si>
    <t>4</t>
  </si>
  <si>
    <t>Ayni Bağış — Teslim Tutanağı + Maliyet Notu</t>
  </si>
  <si>
    <t>Halı, ekipman, ses sistemi, aydınlatma, inşaat malz. için imzalı teslim tutanağı ve maliyet/net defter değeri notu. KDV hesaplanmaz (KDVK Md.17/2-b).</t>
  </si>
  <si>
    <t>Teslim sırasında</t>
  </si>
  <si>
    <t>5</t>
  </si>
  <si>
    <t>İbadethane Proje/İnşaat Belgesi (Gerektiğinde)</t>
  </si>
  <si>
    <t>İnşaat veya onarım kapsamını gösteren teknik belge ya da proje özeti. İnşaat bağışlarında tesisin ibadethane niteliğini kanıtlar.</t>
  </si>
  <si>
    <t>Diyanet / Müftülük / İlgili Kurum</t>
  </si>
  <si>
    <t>6</t>
  </si>
  <si>
    <t>KV Beyannamesi 417 Satırı + YİAKV E.11 Bilgi</t>
  </si>
  <si>
    <t>Beyanname 417 = D.5 tutarı. YİAKV E.11 = 402+403+417+diğer tüm bağış kodları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</si>
  <si>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</si>
  <si>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</si>
  <si>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</si>
  <si>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</si>
  <si>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</si>
  <si>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Tesis türü ibadethane/dini tesis mi? (Cami/Cemevi/Kilise/Havra)</t>
  </si>
  <si>
    <t>YMM kontrolü</t>
  </si>
  <si>
    <t>S2</t>
  </si>
  <si>
    <t>S3</t>
  </si>
  <si>
    <t>S4</t>
  </si>
  <si>
    <t>★ Bağış fiilen yapıldı mı? (Banka / teslim)</t>
  </si>
  <si>
    <t>S5</t>
  </si>
  <si>
    <t>★ Alıcıdan makbuz/protokol alındı mı?</t>
  </si>
  <si>
    <t>S6</t>
  </si>
  <si>
    <t>Muafiyet kararı Resmî Gazete'den kontrol.</t>
  </si>
  <si>
    <t>S7</t>
  </si>
  <si>
    <t>Ayni bağış varsa maliyet değeri ve KDV istisnası doğru mu?</t>
  </si>
  <si>
    <t>Halı/ekipman → Maliyet, KDV yok.</t>
  </si>
  <si>
    <t>S8</t>
  </si>
  <si>
    <t>★ İndirim matrahı aşıyor mu? (Devredilmez!)</t>
  </si>
  <si>
    <t>S9</t>
  </si>
  <si>
    <t>✗ YİAKV E.11'de bilgi satırı var mı?</t>
  </si>
  <si>
    <t>417 DÜŞÜLEMEZ — E.11.</t>
  </si>
  <si>
    <t>S10</t>
  </si>
  <si>
    <t>YMM Tasdik Raporu değerlendirildi mi?</t>
  </si>
  <si>
    <t>&gt;=500.000 TL → Rapor.</t>
  </si>
  <si>
    <t xml:space="preserve">  GİB KV BEYAN REHBERİ MART 2026 (No:606) | 417 KVK Md.10/1-5 İBADETHANE BAĞIŞI SON NOT:
  Cami, cemevi, kilise, havra/sinagog ve dini tesisler — inşaat/onarım/ekipman.
  Diyanet İşleri Başkanlığı ve müftülükler kamu idaresi — statü belgesi gerekmez.
  Cami derneği → KYD kararı. Diyanet Vakfı → Muafiyet kararı teyit edilmeli.
  Tamamının indirimi — matrahı aşan kısım devredilemez. ✗ YİAKV E.11.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</si>
</sst>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4A235A"/>
      <name val="Arial"/>
    </font>
    <font>
      <b/>
      <sz val="10"/>
      <color rgb="FF4A235A"/>
      <name val="Arial"/>
    </font>
    <font>
      <sz val="9"/>
      <color rgb="FF1F3864"/>
      <name val="Arial"/>
    </font>
    <font>
      <b/>
      <sz val="9"/>
      <color rgb="FF4A235A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1BEE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4A235A"/>
      </left>
      <right style="thin">
        <color rgb="FF4A235A"/>
      </right>
      <top style="thin">
        <color rgb="FF4A235A"/>
      </top>
      <bottom style="thin">
        <color rgb="FF4A235A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1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B9FB1A-9C26-4EF3-A3A6-433573E8ECF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3a0911f-3b8c-4c4d-976e-f208a90510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3" t="s">
        <v>1</v>
      </c>
      <c r="B2" s="61"/>
      <c r="C2" s="61"/>
      <c r="D2" s="61"/>
      <c r="E2" s="61"/>
      <c r="F2" s="61"/>
      <c r="G2" s="62"/>
    </row>
    <row r="3" spans="1:7" ht="50.05" customHeight="1" x14ac:dyDescent="0.55000000000000004">
      <c r="A3" s="86" t="s">
        <v>2</v>
      </c>
      <c r="B3" s="67"/>
      <c r="C3" s="67"/>
      <c r="D3" s="67"/>
      <c r="E3" s="67"/>
      <c r="F3" s="67"/>
      <c r="G3" s="64"/>
    </row>
    <row r="4" spans="1:7" ht="26.05" customHeight="1" x14ac:dyDescent="0.55000000000000004">
      <c r="A4" s="87" t="s">
        <v>3</v>
      </c>
      <c r="B4" s="67"/>
      <c r="C4" s="67"/>
      <c r="D4" s="67"/>
      <c r="E4" s="67"/>
      <c r="F4" s="67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1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4" t="s">
        <v>8</v>
      </c>
      <c r="B8" s="67"/>
      <c r="C8" s="67"/>
      <c r="D8" s="64"/>
      <c r="E8" s="3" t="s">
        <v>9</v>
      </c>
      <c r="F8" s="81" t="s">
        <v>10</v>
      </c>
      <c r="G8" s="64"/>
    </row>
    <row r="9" spans="1:7" ht="28" customHeight="1" x14ac:dyDescent="0.55000000000000004">
      <c r="A9" s="84" t="s">
        <v>11</v>
      </c>
      <c r="B9" s="67"/>
      <c r="C9" s="67"/>
      <c r="D9" s="64"/>
      <c r="E9" s="3" t="s">
        <v>9</v>
      </c>
      <c r="F9" s="81" t="s">
        <v>12</v>
      </c>
      <c r="G9" s="64"/>
    </row>
    <row r="10" spans="1:7" ht="28" customHeight="1" x14ac:dyDescent="0.55000000000000004">
      <c r="A10" s="84" t="s">
        <v>13</v>
      </c>
      <c r="B10" s="67"/>
      <c r="C10" s="67"/>
      <c r="D10" s="64"/>
      <c r="E10" s="3" t="s">
        <v>9</v>
      </c>
      <c r="F10" s="81" t="s">
        <v>14</v>
      </c>
      <c r="G10" s="64"/>
    </row>
    <row r="11" spans="1:7" ht="28" customHeight="1" x14ac:dyDescent="0.55000000000000004">
      <c r="A11" s="84" t="s">
        <v>15</v>
      </c>
      <c r="B11" s="67"/>
      <c r="C11" s="67"/>
      <c r="D11" s="64"/>
      <c r="E11" s="3" t="s">
        <v>9</v>
      </c>
      <c r="F11" s="81" t="s">
        <v>16</v>
      </c>
      <c r="G11" s="64"/>
    </row>
    <row r="12" spans="1:7" ht="28" customHeight="1" x14ac:dyDescent="0.55000000000000004">
      <c r="A12" s="70" t="s">
        <v>17</v>
      </c>
      <c r="B12" s="67"/>
      <c r="C12" s="67"/>
      <c r="D12" s="64"/>
      <c r="E12" s="3" t="s">
        <v>9</v>
      </c>
      <c r="F12" s="82" t="s">
        <v>18</v>
      </c>
      <c r="G12" s="64"/>
    </row>
    <row r="13" spans="1:7" ht="28" customHeight="1" x14ac:dyDescent="0.55000000000000004">
      <c r="A13" s="65" t="s">
        <v>19</v>
      </c>
      <c r="B13" s="67"/>
      <c r="C13" s="67"/>
      <c r="D13" s="64"/>
      <c r="E13" s="3" t="s">
        <v>9</v>
      </c>
      <c r="F13" s="78" t="s">
        <v>20</v>
      </c>
      <c r="G13" s="64"/>
    </row>
    <row r="14" spans="1:7" ht="28" customHeight="1" x14ac:dyDescent="0.55000000000000004">
      <c r="A14" s="70" t="s">
        <v>21</v>
      </c>
      <c r="B14" s="67"/>
      <c r="C14" s="67"/>
      <c r="D14" s="64"/>
      <c r="E14" s="3" t="s">
        <v>9</v>
      </c>
      <c r="F14" s="82" t="s">
        <v>22</v>
      </c>
      <c r="G14" s="64"/>
    </row>
    <row r="15" spans="1:7" ht="24" customHeight="1" x14ac:dyDescent="0.55000000000000004">
      <c r="A15" s="74" t="s">
        <v>23</v>
      </c>
      <c r="B15" s="67"/>
      <c r="C15" s="67"/>
      <c r="D15" s="64"/>
      <c r="E15" s="4" t="str">
        <f>IF(AND(E8="EVET",E9="EVET",E11="EVET",E12="EVET"),"OK - Hesaplanabilir","HATA - Ön koşul eksik")</f>
        <v>OK - Hesaplanabilir</v>
      </c>
      <c r="F15" s="72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70" t="s">
        <v>26</v>
      </c>
      <c r="B18" s="64"/>
      <c r="C18" s="66"/>
      <c r="D18" s="67"/>
      <c r="E18" s="64"/>
      <c r="F18" s="69" t="s">
        <v>27</v>
      </c>
      <c r="G18" s="64"/>
    </row>
    <row r="19" spans="1:7" ht="22" customHeight="1" x14ac:dyDescent="0.55000000000000004">
      <c r="A19" s="65" t="s">
        <v>28</v>
      </c>
      <c r="B19" s="64"/>
      <c r="C19" s="66"/>
      <c r="D19" s="67"/>
      <c r="E19" s="64"/>
      <c r="F19" s="68" t="s">
        <v>29</v>
      </c>
      <c r="G19" s="64"/>
    </row>
    <row r="20" spans="1:7" ht="22" customHeight="1" x14ac:dyDescent="0.55000000000000004">
      <c r="A20" s="70" t="s">
        <v>30</v>
      </c>
      <c r="B20" s="64"/>
      <c r="C20" s="66"/>
      <c r="D20" s="67"/>
      <c r="E20" s="64"/>
      <c r="F20" s="69" t="s">
        <v>31</v>
      </c>
      <c r="G20" s="64"/>
    </row>
    <row r="21" spans="1:7" ht="22" customHeight="1" x14ac:dyDescent="0.55000000000000004">
      <c r="A21" s="65" t="s">
        <v>32</v>
      </c>
      <c r="B21" s="64"/>
      <c r="C21" s="66"/>
      <c r="D21" s="67"/>
      <c r="E21" s="64"/>
      <c r="F21" s="68" t="s">
        <v>33</v>
      </c>
      <c r="G21" s="64"/>
    </row>
    <row r="22" spans="1:7" ht="22" customHeight="1" x14ac:dyDescent="0.55000000000000004">
      <c r="A22" s="70" t="s">
        <v>34</v>
      </c>
      <c r="B22" s="64"/>
      <c r="C22" s="66"/>
      <c r="D22" s="67"/>
      <c r="E22" s="64"/>
      <c r="F22" s="69" t="s">
        <v>35</v>
      </c>
      <c r="G22" s="64"/>
    </row>
    <row r="23" spans="1:7" ht="22" customHeight="1" x14ac:dyDescent="0.55000000000000004">
      <c r="A23" s="65" t="s">
        <v>36</v>
      </c>
      <c r="B23" s="64"/>
      <c r="C23" s="66"/>
      <c r="D23" s="67"/>
      <c r="E23" s="64"/>
      <c r="F23" s="68" t="s">
        <v>37</v>
      </c>
      <c r="G23" s="64"/>
    </row>
    <row r="24" spans="1:7" ht="22" customHeight="1" x14ac:dyDescent="0.55000000000000004">
      <c r="A24" s="70" t="s">
        <v>38</v>
      </c>
      <c r="B24" s="64"/>
      <c r="C24" s="66"/>
      <c r="D24" s="67"/>
      <c r="E24" s="64"/>
      <c r="F24" s="69" t="s">
        <v>39</v>
      </c>
      <c r="G24" s="64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0" t="s">
        <v>40</v>
      </c>
      <c r="B27" s="61"/>
      <c r="C27" s="61"/>
      <c r="D27" s="61"/>
      <c r="E27" s="61"/>
      <c r="F27" s="61"/>
      <c r="G27" s="62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5" t="s">
        <v>45</v>
      </c>
      <c r="B29" s="64"/>
      <c r="C29" s="3" t="s">
        <v>46</v>
      </c>
      <c r="D29" s="68" t="s">
        <v>47</v>
      </c>
      <c r="E29" s="64"/>
      <c r="F29" s="63" t="s">
        <v>48</v>
      </c>
      <c r="G29" s="64"/>
    </row>
    <row r="30" spans="1:7" ht="26.05" customHeight="1" x14ac:dyDescent="0.55000000000000004">
      <c r="A30" s="70" t="s">
        <v>49</v>
      </c>
      <c r="B30" s="64"/>
      <c r="C30" s="3" t="s">
        <v>50</v>
      </c>
      <c r="D30" s="69" t="s">
        <v>51</v>
      </c>
      <c r="E30" s="64"/>
      <c r="F30" s="83" t="s">
        <v>52</v>
      </c>
      <c r="G30" s="64"/>
    </row>
    <row r="31" spans="1:7" ht="26.05" customHeight="1" x14ac:dyDescent="0.55000000000000004">
      <c r="A31" s="65" t="s">
        <v>53</v>
      </c>
      <c r="B31" s="64"/>
      <c r="C31" s="3" t="s">
        <v>54</v>
      </c>
      <c r="D31" s="68" t="s">
        <v>55</v>
      </c>
      <c r="E31" s="64"/>
      <c r="F31" s="63" t="s">
        <v>56</v>
      </c>
      <c r="G31" s="64"/>
    </row>
    <row r="32" spans="1:7" ht="26.05" customHeight="1" x14ac:dyDescent="0.55000000000000004">
      <c r="A32" s="70" t="s">
        <v>57</v>
      </c>
      <c r="B32" s="64"/>
      <c r="C32" s="5"/>
      <c r="D32" s="69" t="s">
        <v>58</v>
      </c>
      <c r="E32" s="64"/>
      <c r="F32" s="83" t="s">
        <v>59</v>
      </c>
      <c r="G32" s="64"/>
    </row>
    <row r="33" spans="1:7" ht="26.05" customHeight="1" x14ac:dyDescent="0.55000000000000004">
      <c r="A33" s="77" t="s">
        <v>60</v>
      </c>
      <c r="B33" s="64"/>
      <c r="C33" s="5"/>
      <c r="D33" s="68" t="s">
        <v>61</v>
      </c>
      <c r="E33" s="64"/>
      <c r="F33" s="63" t="s">
        <v>62</v>
      </c>
      <c r="G33" s="64"/>
    </row>
    <row r="34" spans="1:7" ht="26.05" customHeight="1" x14ac:dyDescent="0.55000000000000004">
      <c r="A34" s="70" t="s">
        <v>63</v>
      </c>
      <c r="B34" s="64"/>
      <c r="C34" s="5"/>
      <c r="D34" s="69" t="s">
        <v>64</v>
      </c>
      <c r="E34" s="64"/>
      <c r="F34" s="83" t="s">
        <v>65</v>
      </c>
      <c r="G34" s="64"/>
    </row>
    <row r="35" spans="1:7" ht="26.05" customHeight="1" x14ac:dyDescent="0.55000000000000004">
      <c r="A35" s="77" t="s">
        <v>66</v>
      </c>
      <c r="B35" s="64"/>
      <c r="C35" s="6">
        <f>C33+C34</f>
        <v>0</v>
      </c>
      <c r="D35" s="68" t="s">
        <v>67</v>
      </c>
      <c r="E35" s="64"/>
      <c r="F35" s="63" t="s">
        <v>68</v>
      </c>
      <c r="G35" s="64"/>
    </row>
    <row r="36" spans="1:7" ht="26.05" customHeight="1" x14ac:dyDescent="0.55000000000000004">
      <c r="A36" s="88" t="s">
        <v>69</v>
      </c>
      <c r="B36" s="64"/>
      <c r="C36" s="5"/>
      <c r="D36" s="69" t="s">
        <v>70</v>
      </c>
      <c r="E36" s="64"/>
      <c r="F36" s="83" t="s">
        <v>34</v>
      </c>
      <c r="G36" s="64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60" t="s">
        <v>71</v>
      </c>
      <c r="B38" s="61"/>
      <c r="C38" s="61"/>
      <c r="D38" s="61"/>
      <c r="E38" s="61"/>
      <c r="F38" s="61"/>
      <c r="G38" s="62"/>
    </row>
    <row r="39" spans="1:7" ht="22" customHeight="1" x14ac:dyDescent="0.55000000000000004">
      <c r="A39" s="73" t="s">
        <v>72</v>
      </c>
      <c r="B39" s="67"/>
      <c r="C39" s="67"/>
      <c r="D39" s="67"/>
      <c r="E39" s="67"/>
      <c r="F39" s="67"/>
      <c r="G39" s="64"/>
    </row>
    <row r="40" spans="1:7" ht="18" customHeight="1" x14ac:dyDescent="0.55000000000000004">
      <c r="A40" s="7" t="s">
        <v>73</v>
      </c>
      <c r="B40" s="7" t="s">
        <v>74</v>
      </c>
      <c r="C40" s="7" t="s">
        <v>75</v>
      </c>
      <c r="D40" s="7" t="s">
        <v>76</v>
      </c>
      <c r="E40" s="7" t="s">
        <v>77</v>
      </c>
      <c r="F40" s="7" t="s">
        <v>78</v>
      </c>
      <c r="G40" s="7" t="s">
        <v>79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5" t="s">
        <v>80</v>
      </c>
      <c r="B47" s="64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89" t="s">
        <v>81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0" t="s">
        <v>82</v>
      </c>
      <c r="B49" s="61"/>
      <c r="C49" s="61"/>
      <c r="D49" s="61"/>
      <c r="E49" s="61"/>
      <c r="F49" s="61"/>
      <c r="G49" s="62"/>
    </row>
    <row r="50" spans="1:7" ht="18" customHeight="1" x14ac:dyDescent="0.55000000000000004">
      <c r="A50" s="2"/>
      <c r="B50" s="2" t="s">
        <v>83</v>
      </c>
      <c r="C50" s="2"/>
      <c r="D50" s="2" t="s">
        <v>84</v>
      </c>
      <c r="E50" s="2"/>
      <c r="F50" s="2" t="s">
        <v>43</v>
      </c>
      <c r="G50" s="2" t="s">
        <v>85</v>
      </c>
    </row>
    <row r="51" spans="1:7" ht="28" customHeight="1" x14ac:dyDescent="0.55000000000000004">
      <c r="A51" s="65" t="s">
        <v>86</v>
      </c>
      <c r="B51" s="64"/>
      <c r="C51" s="18">
        <f>C47</f>
        <v>0</v>
      </c>
      <c r="D51" s="68" t="s">
        <v>87</v>
      </c>
      <c r="E51" s="64"/>
      <c r="F51" s="78"/>
      <c r="G51" s="64"/>
    </row>
    <row r="52" spans="1:7" ht="28" customHeight="1" x14ac:dyDescent="0.55000000000000004">
      <c r="A52" s="70" t="s">
        <v>88</v>
      </c>
      <c r="B52" s="64"/>
      <c r="C52" s="18">
        <f>D47</f>
        <v>0</v>
      </c>
      <c r="D52" s="69" t="s">
        <v>89</v>
      </c>
      <c r="E52" s="64"/>
      <c r="F52" s="82"/>
      <c r="G52" s="64"/>
    </row>
    <row r="53" spans="1:7" ht="28" customHeight="1" x14ac:dyDescent="0.55000000000000004">
      <c r="A53" s="65" t="s">
        <v>90</v>
      </c>
      <c r="B53" s="64"/>
      <c r="C53" s="18">
        <f>E47</f>
        <v>0</v>
      </c>
      <c r="D53" s="68" t="s">
        <v>91</v>
      </c>
      <c r="E53" s="64"/>
      <c r="F53" s="78"/>
      <c r="G53" s="64"/>
    </row>
    <row r="54" spans="1:7" ht="28" customHeight="1" x14ac:dyDescent="0.55000000000000004">
      <c r="A54" s="70" t="s">
        <v>92</v>
      </c>
      <c r="B54" s="64"/>
      <c r="C54" s="19" t="s">
        <v>93</v>
      </c>
      <c r="D54" s="69" t="s">
        <v>94</v>
      </c>
      <c r="E54" s="64"/>
      <c r="F54" s="82" t="s">
        <v>95</v>
      </c>
      <c r="G54" s="64"/>
    </row>
    <row r="55" spans="1:7" ht="28" customHeight="1" x14ac:dyDescent="0.55000000000000004">
      <c r="A55" s="90" t="s">
        <v>96</v>
      </c>
      <c r="B55" s="64"/>
      <c r="C55" s="20">
        <f>F47</f>
        <v>0</v>
      </c>
      <c r="D55" s="92" t="s">
        <v>97</v>
      </c>
      <c r="E55" s="64"/>
      <c r="F55" s="94" t="s">
        <v>95</v>
      </c>
      <c r="G55" s="64"/>
    </row>
    <row r="56" spans="1:7" ht="28" customHeight="1" x14ac:dyDescent="0.55000000000000004">
      <c r="A56" s="76" t="s">
        <v>98</v>
      </c>
      <c r="B56" s="64"/>
      <c r="C56" s="21" t="s">
        <v>99</v>
      </c>
      <c r="D56" s="79" t="s">
        <v>100</v>
      </c>
      <c r="E56" s="64"/>
      <c r="F56" s="80" t="s">
        <v>101</v>
      </c>
      <c r="G56" s="64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1" t="s">
        <v>102</v>
      </c>
      <c r="B58" s="67"/>
      <c r="C58" s="67"/>
      <c r="D58" s="64"/>
      <c r="E58" s="22">
        <f>C55</f>
        <v>0</v>
      </c>
      <c r="F58" s="96" t="s">
        <v>103</v>
      </c>
      <c r="G58" s="64"/>
    </row>
    <row r="59" spans="1:7" ht="32.049999999999997" customHeight="1" x14ac:dyDescent="0.55000000000000004">
      <c r="A59" s="75" t="s">
        <v>104</v>
      </c>
      <c r="B59" s="67"/>
      <c r="C59" s="67"/>
      <c r="D59" s="67"/>
      <c r="E59" s="67"/>
      <c r="F59" s="67"/>
      <c r="G59" s="64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Dışı"</formula1>
    </dataValidation>
    <dataValidation type="list" sqref="E9" xr:uid="{00000000-0002-0000-0000-000001000000}">
      <formula1>"EVET,HAYIR-Alıcı Uygun Değil"</formula1>
    </dataValidation>
    <dataValidation type="list" sqref="E10" xr:uid="{00000000-0002-0000-0000-000002000000}">
      <formula1>"EVET,HAYIR-Statü Belgesi Eksik,Uygulanmaz-Kamu İdaresi"</formula1>
    </dataValidation>
    <dataValidation type="list" sqref="E11" xr:uid="{00000000-0002-0000-0000-000003000000}">
      <formula1>"EVET,HAYIR-Taahhüt Aşamasında"</formula1>
    </dataValidation>
    <dataValidation type="list" sqref="E12" xr:uid="{00000000-0002-0000-0000-000004000000}">
      <formula1>"EVET,HAYIR-Belge Eksik"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"Cami İnşaatı/Onarımı/Ekipmanı,Cemevi İnşaatı/Onarımı/Ekipmanı,Kilise İnşaatı/Onarımı/Ekipmanı,Havra/Sinagog İnşaatı/Onarımı/Ekipmanı,Dini Tesis İnşaatı/Onarımı/Ekipmanı (Genel),İbadethane Ekipman/Tefrişat,Diğer KVK Md.10/1-5 Kapsamı Dini Tesis"</formula1>
    </dataValidation>
    <dataValidation type="list" sqref="C30" xr:uid="{00000000-0002-0000-0000-000008000000}">
      <formula1>"Diyanet İşleri Başkanlığı,Diyanet Vakfı (Türkiye Diyanet Vakfı),Kamu İdaresi (İl/İlçe Müftülüğü/Valilik vb.),Kamu Yararına Çalışan Dernek (KYD Statüsü),Bakanlar Kurulu/Cumhurbaşkanlığı Karar Vakfı (Muafiyet Vakfı),Diğer Uygun Alıcı"</formula1>
    </dataValidation>
    <dataValidation type="list" sqref="C31" xr:uid="{00000000-0002-0000-0000-000009000000}">
      <formula1>"Nakdi (Banka Transferi/EFT/Havale),Ayni (İnşaat Malzemesi/Ekipman/Halı/Tefrişat),Nakdi + Ayni (Karma),Bizzat İnşaat/Hizmet (Bedelsiz Uygulama)"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8" t="s">
        <v>105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09" t="s">
        <v>106</v>
      </c>
      <c r="B2" s="67"/>
      <c r="C2" s="67"/>
      <c r="D2" s="67"/>
      <c r="E2" s="67"/>
      <c r="F2" s="67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107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4" t="s">
        <v>108</v>
      </c>
      <c r="B5" s="67"/>
      <c r="C5" s="64"/>
      <c r="D5" s="23" t="str">
        <f>'VERİ GİRİŞİ'!E15</f>
        <v>OK - Hesaplanabilir</v>
      </c>
      <c r="E5" s="78" t="s">
        <v>109</v>
      </c>
      <c r="F5" s="67"/>
      <c r="G5" s="64"/>
    </row>
    <row r="6" spans="1:7" ht="22" customHeight="1" x14ac:dyDescent="0.55000000000000004">
      <c r="A6" s="105" t="s">
        <v>110</v>
      </c>
      <c r="B6" s="67"/>
      <c r="C6" s="64"/>
      <c r="D6" s="23" t="str">
        <f>'VERİ GİRİŞİ'!C29</f>
        <v>Cami İnşaatı/Onarımı/Ekipmanı</v>
      </c>
      <c r="E6" s="82" t="s">
        <v>111</v>
      </c>
      <c r="F6" s="67"/>
      <c r="G6" s="64"/>
    </row>
    <row r="7" spans="1:7" ht="22" customHeight="1" x14ac:dyDescent="0.55000000000000004">
      <c r="A7" s="104" t="s">
        <v>112</v>
      </c>
      <c r="B7" s="67"/>
      <c r="C7" s="64"/>
      <c r="D7" s="23" t="str">
        <f>'VERİ GİRİŞİ'!C30</f>
        <v>Diyanet İşleri Başkanlığı</v>
      </c>
      <c r="E7" s="78" t="s">
        <v>113</v>
      </c>
      <c r="F7" s="67"/>
      <c r="G7" s="64"/>
    </row>
    <row r="8" spans="1:7" ht="22" customHeight="1" x14ac:dyDescent="0.55000000000000004">
      <c r="A8" s="105" t="s">
        <v>114</v>
      </c>
      <c r="B8" s="67"/>
      <c r="C8" s="64"/>
      <c r="D8" s="23">
        <f>'VERİ GİRİŞİ'!C53</f>
        <v>0</v>
      </c>
      <c r="E8" s="82" t="s">
        <v>115</v>
      </c>
      <c r="F8" s="67"/>
      <c r="G8" s="64"/>
    </row>
    <row r="9" spans="1:7" ht="22" customHeight="1" x14ac:dyDescent="0.55000000000000004">
      <c r="A9" s="74" t="s">
        <v>116</v>
      </c>
      <c r="B9" s="67"/>
      <c r="C9" s="64"/>
      <c r="D9" s="24">
        <f>'VERİ GİRİŞİ'!C55</f>
        <v>0</v>
      </c>
      <c r="E9" s="94"/>
      <c r="F9" s="67"/>
      <c r="G9" s="64"/>
    </row>
    <row r="10" spans="1:7" ht="22" customHeight="1" x14ac:dyDescent="0.55000000000000004">
      <c r="A10" s="107" t="s">
        <v>117</v>
      </c>
      <c r="B10" s="67"/>
      <c r="C10" s="64"/>
      <c r="D10" s="21" t="s">
        <v>118</v>
      </c>
      <c r="E10" s="80" t="s">
        <v>119</v>
      </c>
      <c r="F10" s="67"/>
      <c r="G10" s="6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0" t="s">
        <v>120</v>
      </c>
      <c r="B12" s="61"/>
      <c r="C12" s="61"/>
      <c r="D12" s="61"/>
      <c r="E12" s="61"/>
      <c r="F12" s="61"/>
      <c r="G12" s="62"/>
    </row>
    <row r="13" spans="1:7" ht="72" customHeight="1" x14ac:dyDescent="0.55000000000000004">
      <c r="A13" s="103" t="s">
        <v>121</v>
      </c>
      <c r="B13" s="67"/>
      <c r="C13" s="67"/>
      <c r="D13" s="67"/>
      <c r="E13" s="67"/>
      <c r="F13" s="67"/>
      <c r="G13" s="64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0" t="s">
        <v>122</v>
      </c>
      <c r="B15" s="61"/>
      <c r="C15" s="61"/>
      <c r="D15" s="61"/>
      <c r="E15" s="61"/>
      <c r="F15" s="61"/>
      <c r="G15" s="62"/>
    </row>
    <row r="16" spans="1:7" ht="18" customHeight="1" x14ac:dyDescent="0.55000000000000004">
      <c r="A16" s="2"/>
      <c r="B16" s="2" t="s">
        <v>123</v>
      </c>
      <c r="C16" s="2"/>
      <c r="D16" s="2" t="s">
        <v>43</v>
      </c>
      <c r="E16" s="2"/>
      <c r="F16" s="2" t="s">
        <v>124</v>
      </c>
      <c r="G16" s="2"/>
    </row>
    <row r="17" spans="1:7" ht="20.05" customHeight="1" x14ac:dyDescent="0.55000000000000004">
      <c r="A17" s="25" t="s">
        <v>125</v>
      </c>
      <c r="B17" s="102" t="s">
        <v>126</v>
      </c>
      <c r="C17" s="64"/>
      <c r="D17" s="97" t="s">
        <v>127</v>
      </c>
      <c r="E17" s="64"/>
      <c r="F17" s="13" t="s">
        <v>128</v>
      </c>
      <c r="G17" s="28"/>
    </row>
    <row r="18" spans="1:7" ht="20.05" customHeight="1" x14ac:dyDescent="0.55000000000000004">
      <c r="A18" s="25" t="s">
        <v>129</v>
      </c>
      <c r="B18" s="102" t="s">
        <v>130</v>
      </c>
      <c r="C18" s="64"/>
      <c r="D18" s="97" t="s">
        <v>131</v>
      </c>
      <c r="E18" s="64"/>
      <c r="F18" s="13" t="s">
        <v>128</v>
      </c>
      <c r="G18" s="29"/>
    </row>
    <row r="19" spans="1:7" ht="20.05" customHeight="1" x14ac:dyDescent="0.55000000000000004">
      <c r="A19" s="25" t="s">
        <v>132</v>
      </c>
      <c r="B19" s="102" t="s">
        <v>133</v>
      </c>
      <c r="C19" s="64"/>
      <c r="D19" s="97" t="s">
        <v>134</v>
      </c>
      <c r="E19" s="64"/>
      <c r="F19" s="13" t="s">
        <v>128</v>
      </c>
      <c r="G19" s="28"/>
    </row>
    <row r="20" spans="1:7" ht="20.05" customHeight="1" x14ac:dyDescent="0.55000000000000004">
      <c r="A20" s="25" t="s">
        <v>135</v>
      </c>
      <c r="B20" s="102" t="s">
        <v>136</v>
      </c>
      <c r="C20" s="64"/>
      <c r="D20" s="97" t="s">
        <v>137</v>
      </c>
      <c r="E20" s="64"/>
      <c r="F20" s="13" t="s">
        <v>128</v>
      </c>
      <c r="G20" s="29"/>
    </row>
    <row r="21" spans="1:7" ht="20.05" customHeight="1" x14ac:dyDescent="0.55000000000000004">
      <c r="A21" s="25" t="s">
        <v>138</v>
      </c>
      <c r="B21" s="102" t="s">
        <v>139</v>
      </c>
      <c r="C21" s="64"/>
      <c r="D21" s="97" t="s">
        <v>140</v>
      </c>
      <c r="E21" s="64"/>
      <c r="F21" s="13" t="s">
        <v>128</v>
      </c>
      <c r="G21" s="28"/>
    </row>
    <row r="22" spans="1:7" ht="20.05" customHeight="1" x14ac:dyDescent="0.55000000000000004">
      <c r="A22" s="25" t="s">
        <v>141</v>
      </c>
      <c r="B22" s="100" t="s">
        <v>142</v>
      </c>
      <c r="C22" s="64"/>
      <c r="D22" s="101" t="s">
        <v>143</v>
      </c>
      <c r="E22" s="64"/>
      <c r="F22" s="13" t="s">
        <v>128</v>
      </c>
      <c r="G22" s="29"/>
    </row>
    <row r="23" spans="1:7" ht="20.05" customHeight="1" x14ac:dyDescent="0.55000000000000004">
      <c r="A23" s="25" t="s">
        <v>144</v>
      </c>
      <c r="B23" s="98" t="s">
        <v>145</v>
      </c>
      <c r="C23" s="64"/>
      <c r="D23" s="106" t="s">
        <v>146</v>
      </c>
      <c r="E23" s="64"/>
      <c r="F23" s="13" t="s">
        <v>128</v>
      </c>
      <c r="G23" s="28"/>
    </row>
    <row r="24" spans="1:7" ht="20.05" customHeight="1" x14ac:dyDescent="0.55000000000000004">
      <c r="A24" s="25" t="s">
        <v>147</v>
      </c>
      <c r="B24" s="102" t="s">
        <v>148</v>
      </c>
      <c r="C24" s="64"/>
      <c r="D24" s="97" t="s">
        <v>149</v>
      </c>
      <c r="E24" s="64"/>
      <c r="F24" s="13" t="s">
        <v>128</v>
      </c>
      <c r="G24" s="29"/>
    </row>
    <row r="25" spans="1:7" ht="20.05" customHeight="1" x14ac:dyDescent="0.55000000000000004">
      <c r="A25" s="25" t="s">
        <v>150</v>
      </c>
      <c r="B25" s="98" t="s">
        <v>151</v>
      </c>
      <c r="C25" s="64"/>
      <c r="D25" s="106" t="s">
        <v>152</v>
      </c>
      <c r="E25" s="64"/>
      <c r="F25" s="13" t="s">
        <v>128</v>
      </c>
      <c r="G25" s="28"/>
    </row>
    <row r="26" spans="1:7" ht="20.05" customHeight="1" x14ac:dyDescent="0.55000000000000004">
      <c r="A26" s="25" t="s">
        <v>153</v>
      </c>
      <c r="B26" s="100" t="s">
        <v>154</v>
      </c>
      <c r="C26" s="64"/>
      <c r="D26" s="101" t="s">
        <v>155</v>
      </c>
      <c r="E26" s="64"/>
      <c r="F26" s="13" t="s">
        <v>128</v>
      </c>
      <c r="G26" s="29"/>
    </row>
    <row r="27" spans="1:7" ht="20.05" customHeight="1" x14ac:dyDescent="0.55000000000000004">
      <c r="A27" s="25" t="s">
        <v>156</v>
      </c>
      <c r="B27" s="98" t="s">
        <v>157</v>
      </c>
      <c r="C27" s="64"/>
      <c r="D27" s="106" t="s">
        <v>158</v>
      </c>
      <c r="E27" s="64"/>
      <c r="F27" s="13" t="s">
        <v>128</v>
      </c>
      <c r="G27" s="28"/>
    </row>
    <row r="28" spans="1:7" ht="20.05" customHeight="1" x14ac:dyDescent="0.55000000000000004">
      <c r="A28" s="25" t="s">
        <v>159</v>
      </c>
      <c r="B28" s="100" t="s">
        <v>160</v>
      </c>
      <c r="C28" s="64"/>
      <c r="D28" s="101" t="s">
        <v>22</v>
      </c>
      <c r="E28" s="64"/>
      <c r="F28" s="13" t="s">
        <v>128</v>
      </c>
      <c r="G28" s="29"/>
    </row>
  </sheetData>
  <mergeCells count="42"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A7:C7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161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1" t="s">
        <v>162</v>
      </c>
      <c r="B2" s="67"/>
      <c r="C2" s="67"/>
      <c r="D2" s="67"/>
      <c r="E2" s="67"/>
      <c r="F2" s="67"/>
      <c r="G2" s="64"/>
    </row>
    <row r="3" spans="1:7" ht="18" customHeight="1" x14ac:dyDescent="0.55000000000000004">
      <c r="A3" s="32"/>
      <c r="B3" s="32" t="s">
        <v>163</v>
      </c>
      <c r="C3" s="32" t="s">
        <v>164</v>
      </c>
      <c r="D3" s="32" t="s">
        <v>85</v>
      </c>
      <c r="E3" s="32" t="s">
        <v>165</v>
      </c>
      <c r="F3" s="32" t="s">
        <v>166</v>
      </c>
      <c r="G3" s="32" t="s">
        <v>167</v>
      </c>
    </row>
    <row r="4" spans="1:7" ht="22" customHeight="1" x14ac:dyDescent="0.55000000000000004">
      <c r="A4" s="33" t="s">
        <v>165</v>
      </c>
      <c r="B4" s="33" t="s">
        <v>168</v>
      </c>
      <c r="C4" s="33" t="s">
        <v>169</v>
      </c>
      <c r="D4" s="33" t="s">
        <v>170</v>
      </c>
      <c r="E4" s="33" t="s">
        <v>171</v>
      </c>
      <c r="F4" s="33" t="s">
        <v>172</v>
      </c>
      <c r="G4" s="33" t="s">
        <v>173</v>
      </c>
    </row>
    <row r="5" spans="1:7" ht="22" customHeight="1" x14ac:dyDescent="0.55000000000000004">
      <c r="A5" s="113" t="s">
        <v>174</v>
      </c>
      <c r="B5" s="67"/>
      <c r="C5" s="67"/>
      <c r="D5" s="67"/>
      <c r="E5" s="67"/>
      <c r="F5" s="67"/>
      <c r="G5" s="64"/>
    </row>
    <row r="6" spans="1:7" ht="18" customHeight="1" x14ac:dyDescent="0.55000000000000004">
      <c r="A6" s="32"/>
      <c r="B6" s="32" t="s">
        <v>163</v>
      </c>
      <c r="C6" s="32" t="s">
        <v>164</v>
      </c>
      <c r="D6" s="32" t="s">
        <v>85</v>
      </c>
      <c r="E6" s="32" t="s">
        <v>165</v>
      </c>
      <c r="F6" s="32" t="s">
        <v>166</v>
      </c>
      <c r="G6" s="32" t="s">
        <v>167</v>
      </c>
    </row>
    <row r="7" spans="1:7" ht="22" customHeight="1" x14ac:dyDescent="0.55000000000000004">
      <c r="A7" s="33" t="s">
        <v>165</v>
      </c>
      <c r="B7" s="33" t="s">
        <v>175</v>
      </c>
      <c r="C7" s="33" t="s">
        <v>176</v>
      </c>
      <c r="D7" s="33" t="s">
        <v>177</v>
      </c>
      <c r="E7" s="33" t="s">
        <v>178</v>
      </c>
      <c r="F7" s="33" t="s">
        <v>172</v>
      </c>
      <c r="G7" s="33" t="s">
        <v>179</v>
      </c>
    </row>
    <row r="8" spans="1:7" ht="22" customHeight="1" x14ac:dyDescent="0.55000000000000004">
      <c r="A8" s="110" t="s">
        <v>180</v>
      </c>
      <c r="B8" s="67"/>
      <c r="C8" s="67"/>
      <c r="D8" s="67"/>
      <c r="E8" s="67"/>
      <c r="F8" s="67"/>
      <c r="G8" s="64"/>
    </row>
    <row r="9" spans="1:7" ht="18" customHeight="1" x14ac:dyDescent="0.55000000000000004">
      <c r="A9" s="32"/>
      <c r="B9" s="32" t="s">
        <v>163</v>
      </c>
      <c r="C9" s="32" t="s">
        <v>164</v>
      </c>
      <c r="D9" s="32" t="s">
        <v>85</v>
      </c>
      <c r="E9" s="32" t="s">
        <v>165</v>
      </c>
      <c r="F9" s="32" t="s">
        <v>166</v>
      </c>
      <c r="G9" s="32" t="s">
        <v>167</v>
      </c>
    </row>
    <row r="10" spans="1:7" ht="22" customHeight="1" x14ac:dyDescent="0.55000000000000004">
      <c r="A10" s="33" t="s">
        <v>165</v>
      </c>
      <c r="B10" s="33" t="s">
        <v>181</v>
      </c>
      <c r="C10" s="33" t="s">
        <v>182</v>
      </c>
      <c r="D10" s="33" t="s">
        <v>183</v>
      </c>
      <c r="E10" s="33" t="s">
        <v>171</v>
      </c>
      <c r="F10" s="33" t="s">
        <v>172</v>
      </c>
      <c r="G10" s="33" t="s">
        <v>184</v>
      </c>
    </row>
    <row r="11" spans="1:7" ht="32.049999999999997" customHeight="1" x14ac:dyDescent="0.55000000000000004">
      <c r="A11" s="112" t="s">
        <v>185</v>
      </c>
      <c r="B11" s="67"/>
      <c r="C11" s="67"/>
      <c r="D11" s="67"/>
      <c r="E11" s="67"/>
      <c r="F11" s="67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186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187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2" t="s">
        <v>188</v>
      </c>
      <c r="B3" s="32" t="s">
        <v>189</v>
      </c>
      <c r="C3" s="32" t="s">
        <v>190</v>
      </c>
      <c r="D3" s="32" t="s">
        <v>191</v>
      </c>
    </row>
    <row r="4" spans="1:7" ht="64" customHeight="1" x14ac:dyDescent="0.55000000000000004">
      <c r="A4" s="25" t="s">
        <v>192</v>
      </c>
      <c r="B4" s="30" t="s">
        <v>193</v>
      </c>
      <c r="C4" s="34" t="s">
        <v>194</v>
      </c>
      <c r="D4" s="35" t="s">
        <v>195</v>
      </c>
    </row>
    <row r="5" spans="1:7" ht="56.05" customHeight="1" x14ac:dyDescent="0.55000000000000004">
      <c r="A5" s="36" t="s">
        <v>196</v>
      </c>
      <c r="B5" s="26" t="s">
        <v>197</v>
      </c>
      <c r="C5" s="27" t="s">
        <v>198</v>
      </c>
      <c r="D5" s="37" t="s">
        <v>199</v>
      </c>
    </row>
    <row r="6" spans="1:7" ht="52" customHeight="1" x14ac:dyDescent="0.55000000000000004">
      <c r="A6" s="25" t="s">
        <v>200</v>
      </c>
      <c r="B6" s="30" t="s">
        <v>201</v>
      </c>
      <c r="C6" s="34" t="s">
        <v>202</v>
      </c>
      <c r="D6" s="35" t="s">
        <v>195</v>
      </c>
    </row>
    <row r="7" spans="1:7" ht="52" customHeight="1" x14ac:dyDescent="0.55000000000000004">
      <c r="A7" s="25" t="s">
        <v>203</v>
      </c>
      <c r="B7" s="30" t="s">
        <v>204</v>
      </c>
      <c r="C7" s="34" t="s">
        <v>205</v>
      </c>
      <c r="D7" s="35" t="s">
        <v>206</v>
      </c>
    </row>
    <row r="8" spans="1:7" ht="68.05" customHeight="1" x14ac:dyDescent="0.55000000000000004">
      <c r="A8" s="25" t="s">
        <v>207</v>
      </c>
      <c r="B8" s="31" t="s">
        <v>208</v>
      </c>
      <c r="C8" s="34" t="s">
        <v>209</v>
      </c>
      <c r="D8" s="38" t="s">
        <v>210</v>
      </c>
    </row>
    <row r="9" spans="1:7" ht="36" customHeight="1" x14ac:dyDescent="0.55000000000000004">
      <c r="A9" s="114" t="s">
        <v>211</v>
      </c>
      <c r="B9" s="67"/>
      <c r="C9" s="67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212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213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6" t="s">
        <v>214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2"/>
      <c r="B5" s="32" t="s">
        <v>215</v>
      </c>
      <c r="C5" s="32" t="s">
        <v>56</v>
      </c>
      <c r="D5" s="32" t="s">
        <v>43</v>
      </c>
      <c r="E5" s="32" t="s">
        <v>216</v>
      </c>
      <c r="F5" s="32"/>
    </row>
    <row r="6" spans="1:7" ht="36" customHeight="1" x14ac:dyDescent="0.55000000000000004">
      <c r="A6" s="40"/>
      <c r="B6" s="41" t="s">
        <v>217</v>
      </c>
      <c r="C6" s="42" t="s">
        <v>218</v>
      </c>
      <c r="D6" s="43" t="s">
        <v>219</v>
      </c>
      <c r="E6" s="44" t="s">
        <v>220</v>
      </c>
      <c r="F6" s="40"/>
    </row>
    <row r="7" spans="1:7" ht="36" customHeight="1" x14ac:dyDescent="0.55000000000000004">
      <c r="A7" s="28"/>
      <c r="B7" s="45" t="s">
        <v>221</v>
      </c>
      <c r="C7" s="46" t="s">
        <v>222</v>
      </c>
      <c r="D7" s="43" t="s">
        <v>223</v>
      </c>
      <c r="E7" s="47" t="s">
        <v>224</v>
      </c>
      <c r="F7" s="28"/>
    </row>
    <row r="8" spans="1:7" ht="36" customHeight="1" x14ac:dyDescent="0.55000000000000004">
      <c r="A8" s="40"/>
      <c r="B8" s="41" t="s">
        <v>225</v>
      </c>
      <c r="C8" s="42" t="s">
        <v>226</v>
      </c>
      <c r="D8" s="43" t="s">
        <v>227</v>
      </c>
      <c r="E8" s="44" t="s">
        <v>228</v>
      </c>
      <c r="F8" s="40"/>
    </row>
    <row r="9" spans="1:7" ht="36" customHeight="1" x14ac:dyDescent="0.55000000000000004">
      <c r="A9" s="28"/>
      <c r="B9" s="45" t="s">
        <v>229</v>
      </c>
      <c r="C9" s="31" t="s">
        <v>230</v>
      </c>
      <c r="D9" s="43" t="s">
        <v>231</v>
      </c>
      <c r="E9" s="47" t="s">
        <v>232</v>
      </c>
      <c r="F9" s="28"/>
    </row>
    <row r="10" spans="1:7" ht="36" customHeight="1" x14ac:dyDescent="0.55000000000000004">
      <c r="A10" s="40"/>
      <c r="B10" s="41" t="s">
        <v>233</v>
      </c>
      <c r="C10" s="48" t="s">
        <v>234</v>
      </c>
      <c r="D10" s="43" t="s">
        <v>235</v>
      </c>
      <c r="E10" s="44" t="s">
        <v>236</v>
      </c>
      <c r="F10" s="40"/>
    </row>
    <row r="11" spans="1:7" ht="36" customHeight="1" x14ac:dyDescent="0.55000000000000004">
      <c r="A11" s="28"/>
      <c r="B11" s="45" t="s">
        <v>237</v>
      </c>
      <c r="C11" s="31" t="s">
        <v>238</v>
      </c>
      <c r="D11" s="43" t="s">
        <v>239</v>
      </c>
      <c r="E11" s="47" t="s">
        <v>240</v>
      </c>
      <c r="F11" s="2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5" t="s">
        <v>241</v>
      </c>
      <c r="B13" s="61"/>
      <c r="C13" s="61"/>
      <c r="D13" s="61"/>
      <c r="E13" s="61"/>
      <c r="F13" s="61"/>
      <c r="G13" s="62"/>
    </row>
    <row r="14" spans="1:7" ht="18" customHeight="1" x14ac:dyDescent="0.55000000000000004">
      <c r="A14" s="49"/>
      <c r="B14" s="49" t="s">
        <v>215</v>
      </c>
      <c r="C14" s="49" t="s">
        <v>5</v>
      </c>
      <c r="D14" s="49" t="s">
        <v>242</v>
      </c>
      <c r="E14" s="49" t="s">
        <v>243</v>
      </c>
      <c r="F14" s="49"/>
    </row>
    <row r="15" spans="1:7" ht="28" customHeight="1" x14ac:dyDescent="0.55000000000000004">
      <c r="A15" s="50"/>
      <c r="B15" s="51" t="s">
        <v>244</v>
      </c>
      <c r="C15" s="52" t="s">
        <v>245</v>
      </c>
      <c r="D15" s="53" t="s">
        <v>127</v>
      </c>
      <c r="E15" s="54" t="s">
        <v>246</v>
      </c>
      <c r="F15" s="50"/>
    </row>
    <row r="16" spans="1:7" ht="28" customHeight="1" x14ac:dyDescent="0.55000000000000004">
      <c r="A16" s="50"/>
      <c r="B16" s="51" t="s">
        <v>247</v>
      </c>
      <c r="C16" s="52" t="s">
        <v>130</v>
      </c>
      <c r="D16" s="53" t="s">
        <v>131</v>
      </c>
      <c r="E16" s="54" t="s">
        <v>246</v>
      </c>
      <c r="F16" s="50"/>
    </row>
    <row r="17" spans="1:7" ht="28" customHeight="1" x14ac:dyDescent="0.55000000000000004">
      <c r="A17" s="50"/>
      <c r="B17" s="51" t="s">
        <v>248</v>
      </c>
      <c r="C17" s="52" t="s">
        <v>133</v>
      </c>
      <c r="D17" s="53" t="s">
        <v>134</v>
      </c>
      <c r="E17" s="54" t="s">
        <v>246</v>
      </c>
      <c r="F17" s="50"/>
    </row>
    <row r="18" spans="1:7" ht="28" customHeight="1" x14ac:dyDescent="0.55000000000000004">
      <c r="A18" s="50"/>
      <c r="B18" s="51" t="s">
        <v>249</v>
      </c>
      <c r="C18" s="52" t="s">
        <v>250</v>
      </c>
      <c r="D18" s="53" t="s">
        <v>137</v>
      </c>
      <c r="E18" s="54" t="s">
        <v>246</v>
      </c>
      <c r="F18" s="50"/>
    </row>
    <row r="19" spans="1:7" ht="28" customHeight="1" x14ac:dyDescent="0.55000000000000004">
      <c r="A19" s="50"/>
      <c r="B19" s="51" t="s">
        <v>251</v>
      </c>
      <c r="C19" s="52" t="s">
        <v>252</v>
      </c>
      <c r="D19" s="53" t="s">
        <v>140</v>
      </c>
      <c r="E19" s="54" t="s">
        <v>246</v>
      </c>
      <c r="F19" s="50"/>
    </row>
    <row r="20" spans="1:7" ht="28" customHeight="1" x14ac:dyDescent="0.55000000000000004">
      <c r="A20" s="55"/>
      <c r="B20" s="56" t="s">
        <v>253</v>
      </c>
      <c r="C20" s="57" t="s">
        <v>154</v>
      </c>
      <c r="D20" s="58" t="s">
        <v>254</v>
      </c>
      <c r="E20" s="59" t="s">
        <v>246</v>
      </c>
      <c r="F20" s="55"/>
    </row>
    <row r="21" spans="1:7" ht="28" customHeight="1" x14ac:dyDescent="0.55000000000000004">
      <c r="A21" s="55"/>
      <c r="B21" s="56" t="s">
        <v>255</v>
      </c>
      <c r="C21" s="57" t="s">
        <v>256</v>
      </c>
      <c r="D21" s="58" t="s">
        <v>257</v>
      </c>
      <c r="E21" s="59" t="s">
        <v>246</v>
      </c>
      <c r="F21" s="55"/>
    </row>
    <row r="22" spans="1:7" ht="28" customHeight="1" x14ac:dyDescent="0.55000000000000004">
      <c r="A22" s="50"/>
      <c r="B22" s="51" t="s">
        <v>258</v>
      </c>
      <c r="C22" s="52" t="s">
        <v>259</v>
      </c>
      <c r="D22" s="53" t="s">
        <v>149</v>
      </c>
      <c r="E22" s="54" t="s">
        <v>246</v>
      </c>
      <c r="F22" s="50"/>
    </row>
    <row r="23" spans="1:7" ht="28" customHeight="1" x14ac:dyDescent="0.55000000000000004">
      <c r="A23" s="55"/>
      <c r="B23" s="56" t="s">
        <v>260</v>
      </c>
      <c r="C23" s="57" t="s">
        <v>261</v>
      </c>
      <c r="D23" s="58" t="s">
        <v>262</v>
      </c>
      <c r="E23" s="59" t="s">
        <v>246</v>
      </c>
      <c r="F23" s="55"/>
    </row>
    <row r="24" spans="1:7" ht="28" customHeight="1" x14ac:dyDescent="0.55000000000000004">
      <c r="A24" s="55"/>
      <c r="B24" s="56" t="s">
        <v>263</v>
      </c>
      <c r="C24" s="57" t="s">
        <v>264</v>
      </c>
      <c r="D24" s="58" t="s">
        <v>265</v>
      </c>
      <c r="E24" s="59" t="s">
        <v>246</v>
      </c>
      <c r="F24" s="55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4" t="s">
        <v>266</v>
      </c>
      <c r="B26" s="67"/>
      <c r="C26" s="67"/>
      <c r="D26" s="67"/>
      <c r="E26" s="67"/>
      <c r="F26" s="64"/>
      <c r="G26" s="39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2026-04-06T18:07:01Z</dcterms:created>
  <dcterms:modified xsi:type="dcterms:W3CDTF">2026-04-06T18:10:24Z</dcterms:modified>
</cp:coreProperties>
</file>