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14_{520D9DE0-FCA9-453A-8029-4ED39361F7E9}"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1" l="1"/>
  <c r="D8" i="2"/>
  <c r="D7" i="2"/>
  <c r="D6" i="2"/>
  <c r="C52" i="1"/>
  <c r="D47" i="1"/>
  <c r="C47" i="1"/>
  <c r="C51" i="1" s="1"/>
  <c r="E46" i="1"/>
  <c r="F46" i="1" s="1"/>
  <c r="F45" i="1"/>
  <c r="E45" i="1"/>
  <c r="E44" i="1"/>
  <c r="F44" i="1" s="1"/>
  <c r="E43" i="1"/>
  <c r="F43" i="1" s="1"/>
  <c r="E42" i="1"/>
  <c r="F42" i="1" s="1"/>
  <c r="E41" i="1"/>
  <c r="E47" i="1" s="1"/>
  <c r="C53" i="1" s="1"/>
  <c r="C35" i="1"/>
  <c r="E15" i="1"/>
  <c r="D5" i="2" s="1"/>
  <c r="F41" i="1" l="1"/>
  <c r="F47" i="1" s="1"/>
  <c r="C55" i="1" s="1"/>
</calcChain>
</file>

<file path=xl/sharedStrings.xml><?xml version="1.0" encoding="utf-8"?>
<sst xmlns="http://schemas.openxmlformats.org/spreadsheetml/2006/main" count="321" uniqueCount="259">
  <si>
    <t>480 – TÜRK-JAPON BİLİM VE TEKNOLOJİ ÜNİVERSİTESİ BAĞIŞLARI | 7034 SAYILI KANUN | YMM TASDİK</t>
  </si>
  <si>
    <t>Beyanname 480 | GİB KV Beyan Rehberi Mart 2026 (No:606) | ✗ YİAKV MATRAHINDA DÜŞÜLEMEZ</t>
  </si>
  <si>
    <t xml:space="preserve">  7034 SAYILI TÜRK-JAPON BİLİM VE TEKNOLOJİ ÜNİVERSİTESİNİN KURULUŞU HAKKINDA KANUN:
  Türk-Japon Bilim ve Teknoloji Üniversitesi'ne (TJBTÜ) yapılan bağış ve yardımların tamamı kurumlar vergisi matrahından indirilir.
  TJBTÜ: Türkiye ile Japonya arasındaki bilimsel ve teknolojik işbirliğini geliştirmek amacıyla 7034 sayılı Kanunla kurulan üniversite.
  470 (2547 s.K.) ile FARK: 470 genel yükseköğretim kurumları için. 480 TJBTÜ'ye özgü — 7034 s.K. kapsamında ayrı beyanname kodu.
  İNDİRİM: TAMAMININ İNDİRİMİ — matrahı aşan kısım devredilemez.
  ★ YİAKV: DÜŞÜLEMEZ — E.11 bilgi satırı.</t>
  </si>
  <si>
    <t xml:space="preserve">  ✗ YİAKV (KVK Md.32/C): 480 TJBTÜ Bağışı YİAKV MATRAHINDA DÜŞÜLEMEZ. YİAKV E.11 bilgi satırı — 402/460–479 kodlarıyla aynı E.11 kategorisi.</t>
  </si>
  <si>
    <t>A0. KAPSAM VE NİTELİK UYGUNLUK ÖN KONTROLÜ — 7034 s.K. TJBTÜ BAĞIŞI</t>
  </si>
  <si>
    <t>Kontrol Sorusu</t>
  </si>
  <si>
    <t>Yanıt</t>
  </si>
  <si>
    <t>YMM Tasdik Notu</t>
  </si>
  <si>
    <t>A0.1  ★ Bağış 7034 s.K. kapsamında TJBTÜ'ye mi yapıldı?</t>
  </si>
  <si>
    <t>EVET</t>
  </si>
  <si>
    <t>Türk-Japon Bilim ve Teknoloji Üniversitesi (TJBTÜ) veya bünyesindeki birim. Diğer üniversitelere bağış → 470 (2547 s.K.). TJBTÜ'ye bağış özelinde 7034 s.K. kapsamı → 480.</t>
  </si>
  <si>
    <t>A0.2  ★ Bağış FİİLEN yapıldı mı? (Nakdi: Banka — Ayni: Teslim belgesi)</t>
  </si>
  <si>
    <t>Nakdi: Banka EFT/havale dekontu. Ayni: İmzalı teslim tutanağı.</t>
  </si>
  <si>
    <t>A0.3  TJBTÜ'den resmi bağış makbuzu / kabul belgesi alındı mı?</t>
  </si>
  <si>
    <t>TJBTÜ tarafından düzenlenen resmi makbuz veya bağış kabul yazısı zorunludur.</t>
  </si>
  <si>
    <t>A0.4  Bağışın amacı 7034 s.K. kapsamında TJBTÜ akademik/bilimsel faaliyetiyle ilgili mi?</t>
  </si>
  <si>
    <t>Bilim, teknoloji, mühendislik araştırmaları, burs, kütüphane, laboratuvar vb. TJBTÜ faaliyet alanı kapsamında.</t>
  </si>
  <si>
    <t>A0.5  Ayni bağış varsa maliyet/net defter değeri ile değerleme yapıldı mı?</t>
  </si>
  <si>
    <t>Cihaz/ekipman/bilimsel materyal bağışlarında maliyet/net defter değeri esas. KDV hesaplanmaz — KDVK Md.17/2-b istisnası.</t>
  </si>
  <si>
    <t>A0.6  ✗ YİAKV E.11'de bilgi satırı olarak gösterildi mi?</t>
  </si>
  <si>
    <t>480 YİAKV matrahından düşülemez — E.11 bilgi.</t>
  </si>
  <si>
    <t>A0.7  YMM Tasdik Raporu gereksinimi değerlendirildi mi?</t>
  </si>
  <si>
    <t>&gt;=500.000 TL → YMM raporu.</t>
  </si>
  <si>
    <t>A0.8  Tasdik Uygunluk Sonucu</t>
  </si>
  <si>
    <t>★ A0.1 TJBTÜ/7034 | A0.2 fiili yapım | A0.3 makbuz | A0.4 akademik amaç — dördü kritik.</t>
  </si>
  <si>
    <t>A. GENEL BİLGİLER</t>
  </si>
  <si>
    <t>Kurumun Unvanı</t>
  </si>
  <si>
    <t>Tam ticaret unvanı</t>
  </si>
  <si>
    <t>VKN</t>
  </si>
  <si>
    <t>10 haneli VKN</t>
  </si>
  <si>
    <t>Hesap Dönemi</t>
  </si>
  <si>
    <t>01.01.2025 – 31.12.2025</t>
  </si>
  <si>
    <t>KV Oranı (%)</t>
  </si>
  <si>
    <t>2025: %25</t>
  </si>
  <si>
    <t>Bağış Alıcısı</t>
  </si>
  <si>
    <t>Türk-Japon Bilim ve Teknoloji Üniversitesi (TJBTÜ)</t>
  </si>
  <si>
    <t>Bağışın Alanı</t>
  </si>
  <si>
    <t>Bilim/Teknoloji/Mühendislik Araştırması / Burs / Altyapı</t>
  </si>
  <si>
    <t>Dosya Referansı</t>
  </si>
  <si>
    <t>YMM-2025/480-01</t>
  </si>
  <si>
    <t>B. BAĞIŞ VE YARDIM DETAYLARI — 7034 s.K. / TÜRK-JAPON ÜNİVERSİTESİ (TJBTÜ)</t>
  </si>
  <si>
    <t>Parametre</t>
  </si>
  <si>
    <t>Değer</t>
  </si>
  <si>
    <t>Açıklama</t>
  </si>
  <si>
    <t>Kaynak</t>
  </si>
  <si>
    <t>B.1  Bağış Şekli</t>
  </si>
  <si>
    <t>Nakdi (Banka Transferi/EFT/Havale)</t>
  </si>
  <si>
    <t>Nakdi: Banka dekontu. Ayni: Cihaz/ekipman/bilimsel materyal → teslim tutanağı.</t>
  </si>
  <si>
    <t>Belge</t>
  </si>
  <si>
    <t>B.2  Alıcı</t>
  </si>
  <si>
    <t>TJBTÜ doğrudan veya bünyesindeki araştırma merkezi/enstitü/burs programı.</t>
  </si>
  <si>
    <t>TJBTÜ belgesi</t>
  </si>
  <si>
    <t>B.3  Bağışın Amacı</t>
  </si>
  <si>
    <t>Bilim ve Teknoloji Araştırma Faaliyetleri</t>
  </si>
  <si>
    <t>7034 s.K. kapsamında TJBTÜ faaliyet alanı.</t>
  </si>
  <si>
    <t>Protokol/Makbuz</t>
  </si>
  <si>
    <t>B.4  Bağış Tarihi</t>
  </si>
  <si>
    <t>Fiilen yapılan bağışın tarihi (nakdi: ödeme, ayni: teslim).</t>
  </si>
  <si>
    <t>Banka/Tutanak</t>
  </si>
  <si>
    <t>B.5  ★ Nakdi Bağış Tutarı (TL)</t>
  </si>
  <si>
    <t>Banka yoluyla TJBTÜ'ye ödenen tutar.</t>
  </si>
  <si>
    <t>Banka dekontu</t>
  </si>
  <si>
    <t>B.6  Ayni Bağış Değeri (TL — Maliyet/Net Defter Değeri)</t>
  </si>
  <si>
    <t>Cihaz/ekipman/bilimsel materyal/kütüphane bağışı varsa maliyet/net defter değeri.</t>
  </si>
  <si>
    <t>Stok/sabit kıymet</t>
  </si>
  <si>
    <t>B.7  ★ TOPLAM BAĞIŞ (B.5 + B.6)</t>
  </si>
  <si>
    <t>Nakdi + Ayni toplam — beyanname 480 tutarının dayanağı.</t>
  </si>
  <si>
    <t>Formül</t>
  </si>
  <si>
    <t>B.8  ★ TJBTÜ Resmi Makbuzu / Bağış Kabul Belgesi</t>
  </si>
  <si>
    <t>TJBTÜ tarafından düzenlenen resmi makbuz veya bağış kabul yazısı — zorunlu belge.</t>
  </si>
  <si>
    <t>TJBTÜ</t>
  </si>
  <si>
    <t>C. BAĞIŞ VE YARDIM TABLOSU — TJBTÜ (BEYANNAME 480)</t>
  </si>
  <si>
    <t xml:space="preserve">  Her bağış kalemi için ayrı satır. SÜTUN 3 (lacivert çerçeve): Nakdi bağış. SÜTUN 4: Ayni bağış maliyet değeri. SÜTUN 5: Toplam (otomatik). SÜTUN 6: İndirim = Tamamı (otomatik).</t>
  </si>
  <si>
    <t>Bağış Tarihi</t>
  </si>
  <si>
    <t>Birim / Amaç</t>
  </si>
  <si>
    <t>Nakdi (TL)</t>
  </si>
  <si>
    <t>Ayni Değer (TL)</t>
  </si>
  <si>
    <t>Toplam (TL)</t>
  </si>
  <si>
    <t>İndirim (TL)</t>
  </si>
  <si>
    <t>Makbuz/Belge No</t>
  </si>
  <si>
    <t>TOPLAM</t>
  </si>
  <si>
    <t>← Beyanname 480 (Tamamının İndirimi)</t>
  </si>
  <si>
    <t>D. BAĞIŞ VE YARDIM İNDİRİMİ ÖZET — BEYANNAME 480 (7034 s.K.)</t>
  </si>
  <si>
    <t>Hesap Kalemi</t>
  </si>
  <si>
    <t>Tutar (TL)</t>
  </si>
  <si>
    <t>Not</t>
  </si>
  <si>
    <t>D.1  Toplam Nakdi Bağış (C Sütun 3)</t>
  </si>
  <si>
    <t>Banka yoluyla yapılan nakdi toplam</t>
  </si>
  <si>
    <t>D.2  Toplam Ayni Bağış Değeri (C Sütun 4)</t>
  </si>
  <si>
    <t>Maliyet/net defter değeri toplam</t>
  </si>
  <si>
    <t>D.3  TOPLAM BAĞIŞ (D.1 + D.2)</t>
  </si>
  <si>
    <t>C tablosu toplam</t>
  </si>
  <si>
    <t>D.4  İndirim Oranı / Sınır</t>
  </si>
  <si>
    <t>TAMAMININ İNDİRİMİ — Devredilmez</t>
  </si>
  <si>
    <t>7034 s.K. kapsamı: Tamamının indirimi — matrahı aşan devredilmez</t>
  </si>
  <si>
    <t>7034 s.K.</t>
  </si>
  <si>
    <t>D.5  ★ BEYANNAME 480 = TOPLAM BAĞIŞ (D.3)</t>
  </si>
  <si>
    <t>→ Beyanname 480 | Kazancın Bulunması Halinde</t>
  </si>
  <si>
    <t>D.6  YİAKV DURUMU — DÜŞÜLEMEZ</t>
  </si>
  <si>
    <t>YİAKV E.11 Bilgi ✗</t>
  </si>
  <si>
    <t>Tüm bağış/yardım kodları YİAKV matrahından düşülemez</t>
  </si>
  <si>
    <t>KVK Md.32/C</t>
  </si>
  <si>
    <t>E.1  TJBTÜ BAĞIŞI → Beyanname Satır 480 (Kazancın Bulunması Halinde)</t>
  </si>
  <si>
    <t>D.5 = Toplam Bağış Tamamı | 7034 s.K. — Matrahı aşan devredilmez</t>
  </si>
  <si>
    <t xml:space="preserve">  ★ KRİTİK: (1) ALICI: Yalnızca TJBTÜ (7034 s.K.) — diğer üniversiteler → 470 (2547 s.K.). (2) TJBTÜ makbuzu zorunlu. (3) AYNİ BAĞIŞ: Cihaz/ekipman → Maliyet değeri + KDV istisnası. (4) DEVREDEN YOK: Matrahı aşan devredilmez. (5) YİAKV ✗: E.11.</t>
  </si>
  <si>
    <t>480 – TÜRK-JAPON ÜNİVERSİTESİ BAĞIŞLARI 7034 SAYILI KANUN | HESAPLAMALAR VE DENETİM</t>
  </si>
  <si>
    <t>Tamamının İndirimi | 7034 s.K. | TJBTÜ | Bilim/Teknoloji | Beyanname 480 | ✗ YİAKV E.11</t>
  </si>
  <si>
    <t>A. TASDİK ÖZETİ</t>
  </si>
  <si>
    <t>A0 Uygunluğu</t>
  </si>
  <si>
    <t>OK ise devam</t>
  </si>
  <si>
    <t>Alıcı / Amaç (B.2/B.3)</t>
  </si>
  <si>
    <t>TJBTÜ / 7034 s.K. kapsamı</t>
  </si>
  <si>
    <t>Toplam Bağış (D.3)</t>
  </si>
  <si>
    <t>C tablosu toplamı</t>
  </si>
  <si>
    <t>480 İNDİRİM (D.5)</t>
  </si>
  <si>
    <t>YİAKV</t>
  </si>
  <si>
    <t>✗ DÜŞÜLEMEZ (E.11 Bilgi)</t>
  </si>
  <si>
    <t>Bağış/yardım tümü YİAKV dışı</t>
  </si>
  <si>
    <t>B. 7034 SAYILI KANUN, TJBTÜ VE 470 (2547 s.K.) İLE KARŞILAŞTIRMA</t>
  </si>
  <si>
    <t xml:space="preserve">  TÜRK-JAPON BİLİM VE TEKNOLOJİ ÜNİVERSİTESİ (TJBTÜ) — 7034 SAYILI KANUN:
  TJBTÜ, Türkiye ile Japonya arasındaki bilimsel ve teknolojik işbirliğini güçlendirmek amacıyla 7034 sayılı Kanunla kurulan devlet üniversitesidir. Bilim, teknoloji, mühendislik ve matematik (STEM) alanlarında yüksek lisans ve doktora eğitimi verir.
  470 (2547 s.K. GENEL YÜKSEKÖĞRETİM) İLE FARK:
  470: 2547 sayılı Yükseköğretim Kanunu kapsamındaki tüm üniversiteler/yüksekokullar.
  480: Yalnızca TJBTÜ — 7034 sayılı özel kuruluş kanunu kapsamında ayrı beyanname kodu.
  SORU: TJBTÜ'ye yapılan bağış 470 mi, 480 mi?
  TJBTÜ 2547 s.K. kapsamında da faaliyetini sürdürür. Ancak 480, TJBTÜ için özelleştirilmiş beyanname kodudur. GİB Rehberi 480'i TJBTÜ için ayrı satır gösterdiğinden 480 birincil kod. TJBTÜ bağışı 470'e yazılmamalı — 480 kullanılmalı.</t>
  </si>
  <si>
    <t>C. DENETİM KONTROL LİSTESİ (K1–K11)</t>
  </si>
  <si>
    <t>Kontrol</t>
  </si>
  <si>
    <t>Sonuç</t>
  </si>
  <si>
    <t>K1</t>
  </si>
  <si>
    <t>★ Alıcı gerçekten TJBTÜ mi? (7034 s.K. kapsamı)</t>
  </si>
  <si>
    <t>Diğer üniversiteler → 470. TJBTÜ → 480.</t>
  </si>
  <si>
    <t>Uygun/Eksik/Risk</t>
  </si>
  <si>
    <t>K2</t>
  </si>
  <si>
    <t>★ Bağış fiilen yapıldı mı? (Nakdi: Banka — Ayni: Tutanak)</t>
  </si>
  <si>
    <t>Banka dekontu veya teslim tutanağı.</t>
  </si>
  <si>
    <t>K3</t>
  </si>
  <si>
    <t>★ TJBTÜ'den resmi makbuz alındı mı?</t>
  </si>
  <si>
    <t>Makbuz olmadan 480 belgelenemez.</t>
  </si>
  <si>
    <t>K4</t>
  </si>
  <si>
    <t>★ Bağışın amacı TJBTÜ faaliyet alanında mı?</t>
  </si>
  <si>
    <t>Bilim/teknoloji/burs/altyapı kapsamı.</t>
  </si>
  <si>
    <t>K5</t>
  </si>
  <si>
    <t>Ayni bağış varsa maliyet/net defter değeri esas alındı mı?</t>
  </si>
  <si>
    <t>Piyasa değeri değil. KDV istisnası.</t>
  </si>
  <si>
    <t>K6</t>
  </si>
  <si>
    <t>C tablosu toplamı D.3 ile mutabık mı?</t>
  </si>
  <si>
    <t>E47 = D.3 eşitliği.</t>
  </si>
  <si>
    <t>K7</t>
  </si>
  <si>
    <t>★ İndirim matrahı aşıyor mu? (Devredilemez!)</t>
  </si>
  <si>
    <t>Aşan kısım beyanname notu.</t>
  </si>
  <si>
    <t>K8</t>
  </si>
  <si>
    <t>✗ YİAKV E.11'de bilgi satırı olarak gösterildi mi?</t>
  </si>
  <si>
    <t>480 DÜŞÜLEMEZ — E.11 bilgi.</t>
  </si>
  <si>
    <t>K9</t>
  </si>
  <si>
    <t>TJBTÜ bağışı yanlışlıkla 470'e yazılmadı mı?</t>
  </si>
  <si>
    <t>480 birincil kod — 470 değil.</t>
  </si>
  <si>
    <t>K10</t>
  </si>
  <si>
    <t>Beyanname 480 'Kazancın Bulunması Halinde' bölümünde mi?</t>
  </si>
  <si>
    <t>Zarar döneminde uygulanamaz.</t>
  </si>
  <si>
    <t>K11</t>
  </si>
  <si>
    <t>YMM Tasdik Raporu (49 No.lu Tebliğ) değerlendirildi mi?</t>
  </si>
  <si>
    <t>480 – TJBTÜ BAĞIŞLARI 7034 s.K. | MUHASEBE KAYITLARI</t>
  </si>
  <si>
    <t>KAYIT 1 — NAKDİ BAĞIŞ (EFT/HAVALE — TJBTÜ)</t>
  </si>
  <si>
    <t>Tarih</t>
  </si>
  <si>
    <t>Hesap</t>
  </si>
  <si>
    <t>Dr</t>
  </si>
  <si>
    <t>Kr</t>
  </si>
  <si>
    <t>Ref</t>
  </si>
  <si>
    <t>[Bağış Tarihi]</t>
  </si>
  <si>
    <t>689 Diğer Olağan Dışı Gid. / 770 Genel Yön.</t>
  </si>
  <si>
    <t>TJBTÜ bağışı (7034 s.K.) — gider kaydı</t>
  </si>
  <si>
    <t>[Tutar]</t>
  </si>
  <si>
    <t>—</t>
  </si>
  <si>
    <t>TJBTÜ Makbuzu</t>
  </si>
  <si>
    <t>KAYIT 2 — AYNİ BAĞIŞ (CİHAZ / EKİPMAN / BİLİMSEL MATERYAL)</t>
  </si>
  <si>
    <t>[Teslim]</t>
  </si>
  <si>
    <t>689 Diğer Olağan Dışı Gid.</t>
  </si>
  <si>
    <t>Ayni bağış — maliyet/net defter değeri</t>
  </si>
  <si>
    <t>[Maliyet]</t>
  </si>
  <si>
    <t>Teslim tutanağı</t>
  </si>
  <si>
    <t>KAYIT 3 — DÖNEM SONU: KKEG + BEYANNAME 480 İNDİRİMİ</t>
  </si>
  <si>
    <t>[Dönem Sonu]</t>
  </si>
  <si>
    <t>951 KKEG</t>
  </si>
  <si>
    <t>TJBTÜ bağış gideri KKEG'e alınır</t>
  </si>
  <si>
    <t>Beyanname eki</t>
  </si>
  <si>
    <t xml:space="preserve">  DÖNEM SONU NET ETKİ — BEYANNAME 480:
  TJBTÜ bağışı (689/770) → KKEG → Matrahı artırır → Beyanname 480 tamamının indirimi → Matrahtan düşülür.
  YİAKV: ✗ DÜŞÜLEMEZ — E.11. Ayni bağışta KDV istisnası (KDVK Md.17/2-b).</t>
  </si>
  <si>
    <t>480 – TÜRK-JAPON ÜNİVERSİTESİ BAĞIŞLARI 7034 SAYILI KANUN | DENETÇİ NOTLARI</t>
  </si>
  <si>
    <t>GİB KV Beyan Rehberi 2026 | 7034 s.K. | TJBTÜ | 470 Farkı | YİAKV E.11</t>
  </si>
  <si>
    <t>Kod</t>
  </si>
  <si>
    <t>Konu</t>
  </si>
  <si>
    <t>Mesleki Değerlendirme / Tasdik Standardı</t>
  </si>
  <si>
    <t>Mevzuat / Kaynak</t>
  </si>
  <si>
    <t>N1</t>
  </si>
  <si>
    <t>7034 s.K. — TJBTÜ Kapsam ve Faaliyet Alanı</t>
  </si>
  <si>
    <t>TÜRK-JAPON BİLİM VE TEKNOLOJİ ÜNİVERSİTESİ (TJBTÜ) — 7034 s.K.:
7034 sayılı Kanunla kurulan TJBTÜ'ye veya bünyesindeki araştırma
merkezi/enstitü/burs programlarına yapılan bağış ve yardımların tamamı
kurumlar vergisi matrahından indirilir.
TJBTÜ HAKKINDA:
• Türkiye-Japonya bilimsel işbirliği çerçevesinde kurulan devlet üniversitesi
• STEM (Bilim, Teknoloji, Mühendislik, Matematik) odaklı eğitim
• Yüksek lisans ve doktora programları
• Japonya ile ortak araştırma ve öğrenci değişim programları
AYNİ BAĞIŞ: Cihaz, ekipman, bilimsel materyal — maliyet değeri esas.
YİAKV: ✗ DÜŞÜLEMEZ (E.11 bilgi) | BEYANNAME: 480</t>
  </si>
  <si>
    <t>7034 s.K. | GİB KV Beyan Reh. 2026 (No:606)</t>
  </si>
  <si>
    <t>N2</t>
  </si>
  <si>
    <t>★ 470 (2547 s.K.) ile 480 (7034 s.K.) Ayrımı — Kod Seçimi</t>
  </si>
  <si>
    <t>ÜNİVERSİTE BAĞIŞINDA KOD SEÇİMİ:
470 — 2547 SAYILI YÜKSEKÖĞRETİM KANUNU (GENEL):
Türkiye'deki tüm devlet ve YÖK onaylı vakıf üniversiteleri, yüksekokullar.
Kapsam: Geniş — herhangi bir üniversiteye bağış.
480 — 7034 SAYILI TJBTÜ KANUNU (ÖZEL):
Yalnızca Türk-Japon Bilim ve Teknoloji Üniversitesi.
Kapsam: Dar — sadece TJBTÜ.
TJBTÜ'YE BAĞIŞ HANGİ KOD?
TJBTÜ 2547 s.K. kapsamında da üniversite sayılır → 470 teorik olarak uygulanabilir.
Ancak GİB Rehberi 480'i TJBTÜ için özel kod olarak düzenlemiştir.
YMM: TJBTÜ bağışını 480'e yaz — 470'e değil.
İkisine aynı tutarı yazmak mükerrerlik — sadece 480.</t>
  </si>
  <si>
    <t>7034 s.K. | 2547 s.K. | GİB KV Beyan Reh. 2026 (No:606)</t>
  </si>
  <si>
    <t>N3</t>
  </si>
  <si>
    <t>Diğer Bilim/Teknoloji Bağış Kodlarıyla Karşılaştırma</t>
  </si>
  <si>
    <t>BİLİM VE TEKNOLOJİ BAĞIŞLARINDA KOD SEÇİMİ:
469 (TÜBİTAK — 278 s.K.):
Genel bilim ve teknoloji Ar-Ge — sağlık, mühendislik, fen dahil her alan.
478 (TÜSEB — 6569 s.K.):
Münhasıran sağlık alanı Ar-Ge ve inovasyon.
480 (TJBTÜ — 7034 s.K.):
STEM odaklı üniversiteye bağış — eğitim + araştırma kombinasyonu.
470 (2547 s.K. — Genel Yükseköğretim):
Diğer tüm üniversiteler ve yüksekokullar.
AYNI DÖNEMDE ÇOKLU UYGULAMA:
TÜBİTAK bağışı → 469 | TÜSEB bağışı → 478 | TJBTÜ bağışı → 480
Her biri ayrı beyanname satırı — hepsi E.11'de bilgi.
Aynı bağışı birden fazla koda yazmak mükerrerlik.</t>
  </si>
  <si>
    <t>7034 s.K. | 278 s.K. | 6569 s.K. | 2547 s.K.</t>
  </si>
  <si>
    <t>N4</t>
  </si>
  <si>
    <t>YİAKV ile İlişki — E.11 Güncel Tablo</t>
  </si>
  <si>
    <t>YİAKV (KVK Md.32/C) VE TJBTÜ BAĞIŞI:
✗ 480 (7034 s.K.): DÜŞÜLEMEZ → YİAKV E.11
BU OTURUMDA TAMAMLANAN TÜM BAĞIŞ/YARDIM/SPONSORLUK/MASRAF KODLARI:
✗ 402 | ✗ 460/461 | ✗ 464 | ✗ 465 | ✗ 466 | ✗ 469
✗ 470 | ✗ 471 | ✗ 472 | ✗ 473 | ✗ 474 | ✗ 475
✗ 476 | ✗ 477 | ✗ 478 | ✗ 479 | ✗ 480
→ YİAKV E.11 = Tüm bu kodların dönem toplamı
DÜŞÜLEBILIR:
✓ 283/455 → D.10 | ✓ 456/457 → E.13
✓ 401 → D.4 | ✓ 413 → D.11 | ✗ 453 → E.10</t>
  </si>
  <si>
    <t>KVK Md.32/C | GİB Rehberi No:607 | No:606</t>
  </si>
  <si>
    <t>N5</t>
  </si>
  <si>
    <t>49 No.lu Tebliğ + YMM Tasdik Dil Standardı</t>
  </si>
  <si>
    <t>KULLANIN:
'...7034 sayılı Türk-Japon Bilim ve Teknoloji Üniversitesinin Kuruluşu
Hakkında Kanun kapsamında Türk-Japon Bilim ve Teknoloji Üniversitesi'ne
[Bağış Tarihi] tarihinde banka yoluyla ödenen [Nakdi TL] TL nakdi bağış
ile [Ayni TL] TL maliyet bedelindeki ayni bağışın tamamı olan [Toplam TL]
TL, kurumlar vergisi matrahından indirilmiştir. Söz konusu tutar YİAKV
matrahından indirilmemiştir.'
(Matrahı aşıyorsa ekleyin:)
'[Aşan TL] TL'lik kısım matrahı aşması nedeniyle sonraki dönemlere
devredilmemiştir.'
KULLANMAYIN:
'...TJBTÜ bağışı 470 kapsamında indirilmiştir.' (→ 480 olmalı)
'...Başka üniversiteye yapılan bağış 480'e dahil edilmiştir.' (Kapsam dışı)
'...480 YİAKV matrahından düşülmüştür.' (YANLIŞ)
KRİTİK RİSKLER:
(1) TJBTÜ bağışını 470'e yazmak (→ 480 kullanılmalı).
(2) Başka üniversite bağışını 480'e dahil etmek.
(3) Makbuz olmadan 480 uygulamak.
(4) Matrahı aşan kısmı devretmeye çalışmak.</t>
  </si>
  <si>
    <t>49 No.lu Tebliğ | 7034 s.K. | SM-SMMM-YMM K. Md.12</t>
  </si>
  <si>
    <t xml:space="preserve">  GİB KV BEYAN REHBERİ MART 2026 (No:606) KAPANIŞ (480): 7034 s.K. — Türk-Japon Bilim ve Teknoloji Üniversitesi (TJBTÜ). TJBTÜ bağışı 470'e değil 480'e yazılmalı. Tamamının indirimi — matrahı aşan devredilmez. Ayni bağışta KDV istisnası. ✗ YİAKV E.11. YMM: SM-SMMM-YMM K. Md.12.</t>
  </si>
  <si>
    <t>480 – TÜRK-JAPON ÜNİVERSİTESİ BAĞIŞLARI 7034 SAYILI KANUN | BELGE LİSTESİ | YMM TASDİK</t>
  </si>
  <si>
    <t>TJBTÜ Makbuzu | Banka Dekontu | Teslim Tutanağı | YİAKV E.11</t>
  </si>
  <si>
    <t>KATEGORİ 1 — ZORUNLU BELGELER</t>
  </si>
  <si>
    <t>No</t>
  </si>
  <si>
    <t>Temin</t>
  </si>
  <si>
    <t>1</t>
  </si>
  <si>
    <t>★ TJBTÜ Resmi Bağış Makbuzu / Kabul Belgesi</t>
  </si>
  <si>
    <t>Türk-Japon Bilim ve Teknoloji Üniversitesi'nden alınan resmi makbuz veya bağış kabul yazısı. Tutar, tarih ve bağışın amacı belirtilmeli. Zorunlu belge.</t>
  </si>
  <si>
    <t>2</t>
  </si>
  <si>
    <t>★ Nakdi Bağış — Banka EFT/Havale Dekontu</t>
  </si>
  <si>
    <t>TJBTÜ'nin banka hesabına yapılan nakdi ödemenin dekont belgesi. Her ödeme için ayrı dekont.</t>
  </si>
  <si>
    <t>Banka / Şirket hesabı</t>
  </si>
  <si>
    <t>3</t>
  </si>
  <si>
    <t>Ayni Bağış — Teslim-Tesellüm Tutanağı + Maliyet Notu</t>
  </si>
  <si>
    <t>Cihaz/ekipman/bilimsel materyal bağışı için TJBTÜ imzalı teslim tutanağı ve maliyet/net defter değeri notu. KDV hesaplanmaz (KDVK Md.17/2-b).</t>
  </si>
  <si>
    <t>Teslim sırasında</t>
  </si>
  <si>
    <t>4</t>
  </si>
  <si>
    <t>KV Beyannamesi 480 Satırı + YİAKV E.11 Bilgi</t>
  </si>
  <si>
    <t>Beyanname 480 = D.5 tutarı. YİAKV E.11 = 402–480 tüm kodların dönem toplamı.</t>
  </si>
  <si>
    <t>GİB e-Beyanname + YİAKV ÇK</t>
  </si>
  <si>
    <t>5</t>
  </si>
  <si>
    <t>TJBTÜ Bünyesindeki Birim Referans Belgesi (Gerektiğinde)</t>
  </si>
  <si>
    <t>Bağış TJBTÜ bünyesindeki araştırma merkezi veya burs programına yapılıyorsa o birimin TJBTÜ bünyesinde olduğunu gösteren referans belge.</t>
  </si>
  <si>
    <t>KATEGORİ 2 — YMM TASDİK KONTROL SORULARI</t>
  </si>
  <si>
    <t>Beklenen Sonuç</t>
  </si>
  <si>
    <t>YMM Aksiyonu</t>
  </si>
  <si>
    <t>S1</t>
  </si>
  <si>
    <t>Başka üniversite → 470. TJBTÜ → 480.</t>
  </si>
  <si>
    <t>YMM kontrolü</t>
  </si>
  <si>
    <t>S2</t>
  </si>
  <si>
    <t>★ Bağış fiilen yapıldı mı? (Banka / teslim)</t>
  </si>
  <si>
    <t>Taahhüt değil — fiili ödeme.</t>
  </si>
  <si>
    <t>S3</t>
  </si>
  <si>
    <t>Makbuz zorunlu.</t>
  </si>
  <si>
    <t>S4</t>
  </si>
  <si>
    <t>S5</t>
  </si>
  <si>
    <t>TJBTÜ bağışı 470 yerine 480'e yazıldı mı?</t>
  </si>
  <si>
    <t>S6</t>
  </si>
  <si>
    <t>Ayni bağış varsa maliyet değeri ve KDV istisnası doğru mu?</t>
  </si>
  <si>
    <t>Maliyet esas, KDV yok.</t>
  </si>
  <si>
    <t>S7</t>
  </si>
  <si>
    <t>★ İndirim matrahı aşıyor mu? (Devredilmez!)</t>
  </si>
  <si>
    <t>S8</t>
  </si>
  <si>
    <t>✗ YİAKV E.11'de bilgi satırı var mı?</t>
  </si>
  <si>
    <t>480 DÜŞÜLEMEZ — E.11.</t>
  </si>
  <si>
    <t>S9</t>
  </si>
  <si>
    <t>Beyanname 480 'Kazancın Bulunması Halinde'?</t>
  </si>
  <si>
    <t>S10</t>
  </si>
  <si>
    <t>YMM Tasdik Raporu değerlendirildi mi?</t>
  </si>
  <si>
    <t>&gt;=500.000 TL → Rapor.</t>
  </si>
  <si>
    <t xml:space="preserve">  GİB KV BEYAN REHBERİ MART 2026 (No:606) | 480 TJBTÜ BAĞIŞI SON NOT:
  7034 s.K. — Türk-Japon Bilim ve Teknoloji Üniversitesi (TJBTÜ).
  TJBTÜ bağışı 470'e değil 480'e yazılmalı — GİB Rehberi özel kod.
  Tamamının indirimi — matrahı aşan kısım devredilemez.
  ✗ YİAKV E.11 bilgi satırı (402–480 tüm kodlar toplamı).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</si>
</sst>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1A237E"/>
      <name val="Arial"/>
    </font>
    <font>
      <b/>
      <sz val="10"/>
      <color rgb="FF1A237E"/>
      <name val="Arial"/>
    </font>
    <font>
      <sz val="9"/>
      <color rgb="FF1F3864"/>
      <name val="Arial"/>
    </font>
    <font>
      <b/>
      <sz val="9"/>
      <color rgb="FF1A237E"/>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8"/>
      <color rgb="FFC0392B"/>
      <name val="Arial"/>
    </font>
    <font>
      <b/>
      <sz val="12"/>
      <color rgb="FF1B5E20"/>
      <name val="Arial"/>
    </font>
    <font>
      <sz val="8"/>
      <color rgb="FF333333"/>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1A237E"/>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E8EAF6"/>
      </patternFill>
    </fill>
    <fill>
      <patternFill patternType="solid">
        <fgColor rgb="FFFFFFFF"/>
      </patternFill>
    </fill>
    <fill>
      <patternFill patternType="solid">
        <fgColor rgb="FFC6EFCE"/>
      </patternFill>
    </fill>
    <fill>
      <patternFill patternType="solid">
        <fgColor rgb="FFD8DCF0"/>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1A237E"/>
      </left>
      <right style="thin">
        <color rgb="FF1A237E"/>
      </right>
      <top style="thin">
        <color rgb="FF1A237E"/>
      </top>
      <bottom style="thin">
        <color rgb="FF1A237E"/>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0">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3" fontId="14" fillId="12" borderId="4" xfId="0" applyNumberFormat="1" applyFont="1" applyFill="1" applyBorder="1" applyAlignment="1">
      <alignment horizontal="right" vertical="center" wrapText="1"/>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3" fontId="14" fillId="11" borderId="4" xfId="0" applyNumberFormat="1" applyFont="1" applyFill="1" applyBorder="1" applyAlignment="1">
      <alignment horizontal="right" vertical="center" wrapText="1"/>
    </xf>
    <xf numFmtId="3" fontId="3" fillId="2" borderId="4" xfId="0" applyNumberFormat="1" applyFont="1" applyFill="1" applyBorder="1" applyAlignment="1">
      <alignment horizontal="right" vertical="center" wrapText="1"/>
    </xf>
    <xf numFmtId="3" fontId="17" fillId="2" borderId="4" xfId="0" applyNumberFormat="1" applyFont="1" applyFill="1" applyBorder="1" applyAlignment="1">
      <alignment horizontal="right" vertical="center" wrapText="1"/>
    </xf>
    <xf numFmtId="3" fontId="18" fillId="2" borderId="8" xfId="0" applyNumberFormat="1" applyFont="1" applyFill="1" applyBorder="1" applyAlignment="1">
      <alignment horizontal="right" vertical="center" wrapText="1"/>
    </xf>
    <xf numFmtId="3" fontId="12" fillId="11"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1"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0" fillId="11" borderId="4" xfId="0" applyFill="1" applyBorder="1"/>
    <xf numFmtId="0" fontId="0" fillId="12" borderId="4" xfId="0" applyFill="1" applyBorder="1"/>
    <xf numFmtId="0" fontId="7" fillId="11"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1" borderId="4" xfId="0" applyFont="1" applyFill="1" applyBorder="1" applyAlignment="1">
      <alignment horizontal="center" vertical="center" wrapText="1"/>
    </xf>
    <xf numFmtId="0" fontId="26" fillId="18" borderId="4" xfId="0" applyFont="1" applyFill="1" applyBorder="1" applyAlignment="1">
      <alignment horizontal="left" vertical="top" wrapText="1"/>
    </xf>
    <xf numFmtId="0" fontId="27"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7" fillId="9" borderId="4" xfId="0" applyFont="1" applyFill="1" applyBorder="1" applyAlignment="1">
      <alignment horizontal="left" vertical="top" wrapText="1"/>
    </xf>
    <xf numFmtId="0" fontId="27" fillId="12"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6" fillId="19" borderId="4" xfId="0" applyFont="1" applyFill="1" applyBorder="1" applyAlignment="1">
      <alignment horizontal="left" vertical="top" wrapText="1"/>
    </xf>
    <xf numFmtId="0" fontId="29" fillId="13" borderId="4" xfId="0" applyFont="1" applyFill="1" applyBorder="1" applyAlignment="1">
      <alignment horizontal="left" vertical="center" wrapText="1"/>
    </xf>
    <xf numFmtId="0" fontId="7" fillId="12" borderId="4" xfId="0" applyFont="1" applyFill="1" applyBorder="1" applyAlignment="1">
      <alignment horizontal="center" vertical="center" wrapText="1"/>
    </xf>
    <xf numFmtId="0" fontId="4" fillId="12" borderId="4" xfId="0" applyFont="1" applyFill="1" applyBorder="1" applyAlignment="1">
      <alignment horizontal="left" vertical="top" wrapText="1"/>
    </xf>
    <xf numFmtId="0" fontId="29" fillId="12"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0"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31" fillId="21" borderId="4" xfId="0" applyFont="1" applyFill="1" applyBorder="1" applyAlignment="1">
      <alignment horizontal="center" vertical="center" wrapText="1"/>
    </xf>
    <xf numFmtId="0" fontId="0" fillId="23" borderId="4" xfId="0" applyFill="1" applyBorder="1"/>
    <xf numFmtId="0" fontId="30" fillId="23" borderId="4" xfId="0" applyFont="1" applyFill="1" applyBorder="1" applyAlignment="1">
      <alignment horizontal="center" vertical="center" wrapText="1"/>
    </xf>
    <xf numFmtId="0" fontId="30" fillId="23" borderId="4" xfId="0" applyFont="1" applyFill="1" applyBorder="1" applyAlignment="1">
      <alignment horizontal="left" vertical="top" wrapText="1"/>
    </xf>
    <xf numFmtId="0" fontId="26" fillId="24" borderId="4" xfId="0" applyFont="1" applyFill="1" applyBorder="1" applyAlignment="1">
      <alignment horizontal="left" vertical="top" wrapText="1"/>
    </xf>
    <xf numFmtId="0" fontId="31" fillId="23" borderId="4" xfId="0" applyFont="1" applyFill="1" applyBorder="1" applyAlignment="1">
      <alignment horizontal="center"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11" fillId="12" borderId="4" xfId="0" applyFont="1" applyFill="1" applyBorder="1" applyAlignment="1">
      <alignment horizontal="left" vertical="center" wrapText="1"/>
    </xf>
    <xf numFmtId="0" fontId="0" fillId="0" borderId="6" xfId="0" applyBorder="1"/>
    <xf numFmtId="0" fontId="7" fillId="12" borderId="4" xfId="0" applyFont="1" applyFill="1" applyBorder="1" applyAlignment="1">
      <alignment horizontal="left" vertical="center" wrapText="1"/>
    </xf>
    <xf numFmtId="0" fontId="0" fillId="10" borderId="4" xfId="0" applyFill="1" applyBorder="1"/>
    <xf numFmtId="0" fontId="0" fillId="0" borderId="5" xfId="0" applyBorder="1"/>
    <xf numFmtId="0" fontId="10" fillId="12"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6" fillId="13"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24" fillId="9"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 fillId="2" borderId="1" xfId="0" applyFont="1" applyFill="1" applyBorder="1" applyAlignment="1">
      <alignment horizontal="left" vertical="center"/>
    </xf>
    <xf numFmtId="0" fontId="6" fillId="9"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1" fillId="2" borderId="4" xfId="0" applyFont="1" applyFill="1" applyBorder="1" applyAlignment="1">
      <alignment horizontal="left" vertical="center"/>
    </xf>
    <xf numFmtId="0" fontId="15" fillId="13" borderId="4" xfId="0" applyFont="1" applyFill="1" applyBorder="1" applyAlignment="1">
      <alignment horizontal="left" vertical="center" wrapText="1"/>
    </xf>
    <xf numFmtId="0" fontId="3" fillId="7" borderId="1" xfId="0" applyFont="1" applyFill="1" applyBorder="1" applyAlignment="1">
      <alignment horizontal="left" vertical="center"/>
    </xf>
    <xf numFmtId="0" fontId="10" fillId="13" borderId="4" xfId="0" applyFont="1" applyFill="1" applyBorder="1" applyAlignment="1">
      <alignment horizontal="left" vertical="center" wrapText="1"/>
    </xf>
    <xf numFmtId="0" fontId="1" fillId="3" borderId="1" xfId="0" applyFont="1" applyFill="1" applyBorder="1" applyAlignment="1">
      <alignment horizontal="left" vertical="center"/>
    </xf>
    <xf numFmtId="0" fontId="10" fillId="14"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23" fillId="13" borderId="4" xfId="0" applyFont="1" applyFill="1" applyBorder="1" applyAlignment="1">
      <alignment horizontal="left" vertical="center" wrapText="1"/>
    </xf>
    <xf numFmtId="0" fontId="26" fillId="11" borderId="4" xfId="0" applyFont="1" applyFill="1" applyBorder="1" applyAlignment="1">
      <alignment horizontal="left" vertical="top" wrapText="1"/>
    </xf>
    <xf numFmtId="0" fontId="4" fillId="9"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3" fillId="16" borderId="1" xfId="0" applyFont="1" applyFill="1" applyBorder="1" applyAlignment="1">
      <alignment horizontal="left" vertical="center"/>
    </xf>
    <xf numFmtId="0" fontId="26" fillId="12" borderId="4" xfId="0" applyFont="1" applyFill="1" applyBorder="1" applyAlignment="1">
      <alignment horizontal="left" vertical="top" wrapText="1"/>
    </xf>
    <xf numFmtId="0" fontId="7" fillId="12" borderId="4" xfId="0" applyFont="1" applyFill="1" applyBorder="1" applyAlignment="1">
      <alignment horizontal="left" vertical="center"/>
    </xf>
    <xf numFmtId="0" fontId="17" fillId="2" borderId="1" xfId="0" applyFont="1" applyFill="1" applyBorder="1" applyAlignment="1">
      <alignment horizontal="left" vertical="center"/>
    </xf>
    <xf numFmtId="0" fontId="7" fillId="15" borderId="4" xfId="0" applyFont="1" applyFill="1" applyBorder="1" applyAlignment="1">
      <alignment horizontal="left" vertical="center"/>
    </xf>
    <xf numFmtId="0" fontId="7" fillId="11" borderId="4" xfId="0" applyFont="1" applyFill="1" applyBorder="1" applyAlignment="1">
      <alignment horizontal="left" vertical="top" wrapText="1"/>
    </xf>
    <xf numFmtId="0" fontId="7" fillId="11" borderId="4" xfId="0" applyFont="1" applyFill="1" applyBorder="1" applyAlignment="1">
      <alignment horizontal="left" vertical="center"/>
    </xf>
    <xf numFmtId="0" fontId="16" fillId="14"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16" borderId="4" xfId="0" applyFont="1" applyFill="1" applyBorder="1" applyAlignment="1">
      <alignment horizontal="left" vertical="center"/>
    </xf>
    <xf numFmtId="0" fontId="3" fillId="2" borderId="4" xfId="0" applyFont="1" applyFill="1" applyBorder="1" applyAlignment="1">
      <alignment horizontal="left" vertical="center"/>
    </xf>
    <xf numFmtId="0" fontId="26" fillId="15" borderId="4" xfId="0" applyFont="1" applyFill="1" applyBorder="1" applyAlignment="1">
      <alignment horizontal="left" vertical="center" wrapText="1"/>
    </xf>
    <xf numFmtId="0" fontId="3" fillId="7" borderId="4" xfId="0" applyFont="1" applyFill="1" applyBorder="1" applyAlignment="1">
      <alignment horizontal="left" vertical="center"/>
    </xf>
    <xf numFmtId="0" fontId="28"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963602-58F7-48CA-8EBA-98C22677C272}">
  <we:reference id="WA200009404" version="1.0.0.8" store="Omex" storeType="OMEX"/>
  <we:alternateReferences>
    <we:reference id="WA200009404" version="1.0.0.8" store="WA200009404" storeType="OMEX"/>
  </we:alternateReferences>
  <we:properties>
    <we:property name="claude.fileId" value="&quot;6968ec39-f090-4bc5-bcbd-6533d28ed0f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topLeftCell="A12" workbookViewId="0">
      <selection sqref="A1:G1"/>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86" t="s">
        <v>0</v>
      </c>
      <c r="B1" s="61"/>
      <c r="C1" s="61"/>
      <c r="D1" s="61"/>
      <c r="E1" s="61"/>
      <c r="F1" s="61"/>
      <c r="G1" s="62"/>
    </row>
    <row r="2" spans="1:7" ht="22" customHeight="1" x14ac:dyDescent="0.55000000000000004">
      <c r="A2" s="95" t="s">
        <v>1</v>
      </c>
      <c r="B2" s="61"/>
      <c r="C2" s="61"/>
      <c r="D2" s="61"/>
      <c r="E2" s="61"/>
      <c r="F2" s="61"/>
      <c r="G2" s="62"/>
    </row>
    <row r="3" spans="1:7" ht="46" customHeight="1" x14ac:dyDescent="0.55000000000000004">
      <c r="A3" s="88" t="s">
        <v>2</v>
      </c>
      <c r="B3" s="67"/>
      <c r="C3" s="67"/>
      <c r="D3" s="67"/>
      <c r="E3" s="67"/>
      <c r="F3" s="67"/>
      <c r="G3" s="64"/>
    </row>
    <row r="4" spans="1:7" ht="22" customHeight="1" x14ac:dyDescent="0.55000000000000004">
      <c r="A4" s="89" t="s">
        <v>3</v>
      </c>
      <c r="B4" s="67"/>
      <c r="C4" s="67"/>
      <c r="D4" s="67"/>
      <c r="E4" s="67"/>
      <c r="F4" s="67"/>
      <c r="G4" s="64"/>
    </row>
    <row r="5" spans="1:7" ht="5.05" customHeight="1" x14ac:dyDescent="0.55000000000000004">
      <c r="A5" s="1"/>
      <c r="B5" s="1"/>
      <c r="C5" s="1"/>
      <c r="D5" s="1"/>
      <c r="E5" s="1"/>
      <c r="F5" s="1"/>
      <c r="G5" s="1"/>
    </row>
    <row r="6" spans="1:7" ht="24" customHeight="1" x14ac:dyDescent="0.55000000000000004">
      <c r="A6" s="93" t="s">
        <v>4</v>
      </c>
      <c r="B6" s="61"/>
      <c r="C6" s="61"/>
      <c r="D6" s="61"/>
      <c r="E6" s="61"/>
      <c r="F6" s="61"/>
      <c r="G6" s="62"/>
    </row>
    <row r="7" spans="1:7" ht="18" customHeight="1" x14ac:dyDescent="0.55000000000000004">
      <c r="A7" s="2"/>
      <c r="B7" s="2" t="s">
        <v>5</v>
      </c>
      <c r="C7" s="2"/>
      <c r="D7" s="2"/>
      <c r="E7" s="2" t="s">
        <v>6</v>
      </c>
      <c r="F7" s="2"/>
      <c r="G7" s="2" t="s">
        <v>7</v>
      </c>
    </row>
    <row r="8" spans="1:7" ht="28" customHeight="1" x14ac:dyDescent="0.55000000000000004">
      <c r="A8" s="85" t="s">
        <v>8</v>
      </c>
      <c r="B8" s="67"/>
      <c r="C8" s="67"/>
      <c r="D8" s="64"/>
      <c r="E8" s="3" t="s">
        <v>9</v>
      </c>
      <c r="F8" s="87" t="s">
        <v>10</v>
      </c>
      <c r="G8" s="64"/>
    </row>
    <row r="9" spans="1:7" ht="28" customHeight="1" x14ac:dyDescent="0.55000000000000004">
      <c r="A9" s="85" t="s">
        <v>11</v>
      </c>
      <c r="B9" s="67"/>
      <c r="C9" s="67"/>
      <c r="D9" s="64"/>
      <c r="E9" s="3" t="s">
        <v>9</v>
      </c>
      <c r="F9" s="87" t="s">
        <v>12</v>
      </c>
      <c r="G9" s="64"/>
    </row>
    <row r="10" spans="1:7" ht="28" customHeight="1" x14ac:dyDescent="0.55000000000000004">
      <c r="A10" s="81" t="s">
        <v>13</v>
      </c>
      <c r="B10" s="67"/>
      <c r="C10" s="67"/>
      <c r="D10" s="64"/>
      <c r="E10" s="3" t="s">
        <v>9</v>
      </c>
      <c r="F10" s="82" t="s">
        <v>14</v>
      </c>
      <c r="G10" s="64"/>
    </row>
    <row r="11" spans="1:7" ht="28" customHeight="1" x14ac:dyDescent="0.55000000000000004">
      <c r="A11" s="65" t="s">
        <v>15</v>
      </c>
      <c r="B11" s="67"/>
      <c r="C11" s="67"/>
      <c r="D11" s="64"/>
      <c r="E11" s="3" t="s">
        <v>9</v>
      </c>
      <c r="F11" s="78" t="s">
        <v>16</v>
      </c>
      <c r="G11" s="64"/>
    </row>
    <row r="12" spans="1:7" ht="28" customHeight="1" x14ac:dyDescent="0.55000000000000004">
      <c r="A12" s="81" t="s">
        <v>17</v>
      </c>
      <c r="B12" s="67"/>
      <c r="C12" s="67"/>
      <c r="D12" s="64"/>
      <c r="E12" s="3" t="s">
        <v>9</v>
      </c>
      <c r="F12" s="82" t="s">
        <v>18</v>
      </c>
      <c r="G12" s="64"/>
    </row>
    <row r="13" spans="1:7" ht="28" customHeight="1" x14ac:dyDescent="0.55000000000000004">
      <c r="A13" s="65" t="s">
        <v>19</v>
      </c>
      <c r="B13" s="67"/>
      <c r="C13" s="67"/>
      <c r="D13" s="64"/>
      <c r="E13" s="3" t="s">
        <v>9</v>
      </c>
      <c r="F13" s="78" t="s">
        <v>20</v>
      </c>
      <c r="G13" s="64"/>
    </row>
    <row r="14" spans="1:7" ht="28" customHeight="1" x14ac:dyDescent="0.55000000000000004">
      <c r="A14" s="81" t="s">
        <v>21</v>
      </c>
      <c r="B14" s="67"/>
      <c r="C14" s="67"/>
      <c r="D14" s="64"/>
      <c r="E14" s="3" t="s">
        <v>9</v>
      </c>
      <c r="F14" s="82" t="s">
        <v>22</v>
      </c>
      <c r="G14" s="64"/>
    </row>
    <row r="15" spans="1:7" ht="24" customHeight="1" x14ac:dyDescent="0.55000000000000004">
      <c r="A15" s="74" t="s">
        <v>23</v>
      </c>
      <c r="B15" s="67"/>
      <c r="C15" s="67"/>
      <c r="D15" s="64"/>
      <c r="E15" s="4" t="str">
        <f>IF(AND(E8="EVET",E9="EVET",E10="EVET",E11="EVET"),"OK - Hesaplanabilir","HATA - Ön koşul eksik")</f>
        <v>OK - Hesaplanabilir</v>
      </c>
      <c r="F15" s="72" t="s">
        <v>24</v>
      </c>
      <c r="G15" s="64"/>
    </row>
    <row r="16" spans="1:7" ht="5.05" customHeight="1" x14ac:dyDescent="0.55000000000000004">
      <c r="A16" s="1"/>
      <c r="B16" s="1"/>
      <c r="C16" s="1"/>
      <c r="D16" s="1"/>
      <c r="E16" s="1"/>
      <c r="F16" s="1"/>
      <c r="G16" s="1"/>
    </row>
    <row r="17" spans="1:7" ht="22" customHeight="1" x14ac:dyDescent="0.55000000000000004">
      <c r="A17" s="60" t="s">
        <v>25</v>
      </c>
      <c r="B17" s="61"/>
      <c r="C17" s="61"/>
      <c r="D17" s="61"/>
      <c r="E17" s="61"/>
      <c r="F17" s="61"/>
      <c r="G17" s="62"/>
    </row>
    <row r="18" spans="1:7" ht="22" customHeight="1" x14ac:dyDescent="0.55000000000000004">
      <c r="A18" s="81" t="s">
        <v>26</v>
      </c>
      <c r="B18" s="64"/>
      <c r="C18" s="66"/>
      <c r="D18" s="67"/>
      <c r="E18" s="64"/>
      <c r="F18" s="69" t="s">
        <v>27</v>
      </c>
      <c r="G18" s="64"/>
    </row>
    <row r="19" spans="1:7" ht="22" customHeight="1" x14ac:dyDescent="0.55000000000000004">
      <c r="A19" s="65" t="s">
        <v>28</v>
      </c>
      <c r="B19" s="64"/>
      <c r="C19" s="66"/>
      <c r="D19" s="67"/>
      <c r="E19" s="64"/>
      <c r="F19" s="68" t="s">
        <v>29</v>
      </c>
      <c r="G19" s="64"/>
    </row>
    <row r="20" spans="1:7" ht="22" customHeight="1" x14ac:dyDescent="0.55000000000000004">
      <c r="A20" s="81" t="s">
        <v>30</v>
      </c>
      <c r="B20" s="64"/>
      <c r="C20" s="66"/>
      <c r="D20" s="67"/>
      <c r="E20" s="64"/>
      <c r="F20" s="69" t="s">
        <v>31</v>
      </c>
      <c r="G20" s="64"/>
    </row>
    <row r="21" spans="1:7" ht="22" customHeight="1" x14ac:dyDescent="0.55000000000000004">
      <c r="A21" s="65" t="s">
        <v>32</v>
      </c>
      <c r="B21" s="64"/>
      <c r="C21" s="66"/>
      <c r="D21" s="67"/>
      <c r="E21" s="64"/>
      <c r="F21" s="68" t="s">
        <v>33</v>
      </c>
      <c r="G21" s="64"/>
    </row>
    <row r="22" spans="1:7" ht="22" customHeight="1" x14ac:dyDescent="0.55000000000000004">
      <c r="A22" s="81" t="s">
        <v>34</v>
      </c>
      <c r="B22" s="64"/>
      <c r="C22" s="66"/>
      <c r="D22" s="67"/>
      <c r="E22" s="64"/>
      <c r="F22" s="69" t="s">
        <v>35</v>
      </c>
      <c r="G22" s="64"/>
    </row>
    <row r="23" spans="1:7" ht="22" customHeight="1" x14ac:dyDescent="0.55000000000000004">
      <c r="A23" s="65" t="s">
        <v>36</v>
      </c>
      <c r="B23" s="64"/>
      <c r="C23" s="66"/>
      <c r="D23" s="67"/>
      <c r="E23" s="64"/>
      <c r="F23" s="68" t="s">
        <v>37</v>
      </c>
      <c r="G23" s="64"/>
    </row>
    <row r="24" spans="1:7" ht="22" customHeight="1" x14ac:dyDescent="0.55000000000000004">
      <c r="A24" s="81" t="s">
        <v>38</v>
      </c>
      <c r="B24" s="64"/>
      <c r="C24" s="66"/>
      <c r="D24" s="67"/>
      <c r="E24" s="64"/>
      <c r="F24" s="69" t="s">
        <v>39</v>
      </c>
      <c r="G24" s="64"/>
    </row>
    <row r="26" spans="1:7" ht="5.05" customHeight="1" x14ac:dyDescent="0.55000000000000004">
      <c r="A26" s="1"/>
      <c r="B26" s="1"/>
      <c r="C26" s="1"/>
      <c r="D26" s="1"/>
      <c r="E26" s="1"/>
      <c r="F26" s="1"/>
      <c r="G26" s="1"/>
    </row>
    <row r="27" spans="1:7" ht="24" customHeight="1" x14ac:dyDescent="0.55000000000000004">
      <c r="A27" s="60" t="s">
        <v>40</v>
      </c>
      <c r="B27" s="61"/>
      <c r="C27" s="61"/>
      <c r="D27" s="61"/>
      <c r="E27" s="61"/>
      <c r="F27" s="61"/>
      <c r="G27" s="62"/>
    </row>
    <row r="28" spans="1:7" ht="18" customHeight="1" x14ac:dyDescent="0.55000000000000004">
      <c r="A28" s="2"/>
      <c r="B28" s="2" t="s">
        <v>41</v>
      </c>
      <c r="C28" s="2"/>
      <c r="D28" s="2" t="s">
        <v>42</v>
      </c>
      <c r="E28" s="2"/>
      <c r="F28" s="2" t="s">
        <v>43</v>
      </c>
      <c r="G28" s="2" t="s">
        <v>44</v>
      </c>
    </row>
    <row r="29" spans="1:7" ht="26.05" customHeight="1" x14ac:dyDescent="0.55000000000000004">
      <c r="A29" s="65" t="s">
        <v>45</v>
      </c>
      <c r="B29" s="64"/>
      <c r="C29" s="3" t="s">
        <v>46</v>
      </c>
      <c r="D29" s="68" t="s">
        <v>47</v>
      </c>
      <c r="E29" s="64"/>
      <c r="F29" s="63" t="s">
        <v>48</v>
      </c>
      <c r="G29" s="64"/>
    </row>
    <row r="30" spans="1:7" ht="26.05" customHeight="1" x14ac:dyDescent="0.55000000000000004">
      <c r="A30" s="81" t="s">
        <v>49</v>
      </c>
      <c r="B30" s="64"/>
      <c r="C30" s="3" t="s">
        <v>35</v>
      </c>
      <c r="D30" s="69" t="s">
        <v>50</v>
      </c>
      <c r="E30" s="64"/>
      <c r="F30" s="84" t="s">
        <v>51</v>
      </c>
      <c r="G30" s="64"/>
    </row>
    <row r="31" spans="1:7" ht="26.05" customHeight="1" x14ac:dyDescent="0.55000000000000004">
      <c r="A31" s="65" t="s">
        <v>52</v>
      </c>
      <c r="B31" s="64"/>
      <c r="C31" s="3" t="s">
        <v>53</v>
      </c>
      <c r="D31" s="68" t="s">
        <v>54</v>
      </c>
      <c r="E31" s="64"/>
      <c r="F31" s="63" t="s">
        <v>55</v>
      </c>
      <c r="G31" s="64"/>
    </row>
    <row r="32" spans="1:7" ht="26.05" customHeight="1" x14ac:dyDescent="0.55000000000000004">
      <c r="A32" s="81" t="s">
        <v>56</v>
      </c>
      <c r="B32" s="64"/>
      <c r="C32" s="5"/>
      <c r="D32" s="69" t="s">
        <v>57</v>
      </c>
      <c r="E32" s="64"/>
      <c r="F32" s="84" t="s">
        <v>58</v>
      </c>
      <c r="G32" s="64"/>
    </row>
    <row r="33" spans="1:7" ht="26.05" customHeight="1" x14ac:dyDescent="0.55000000000000004">
      <c r="A33" s="77" t="s">
        <v>59</v>
      </c>
      <c r="B33" s="64"/>
      <c r="C33" s="5"/>
      <c r="D33" s="68" t="s">
        <v>60</v>
      </c>
      <c r="E33" s="64"/>
      <c r="F33" s="63" t="s">
        <v>61</v>
      </c>
      <c r="G33" s="64"/>
    </row>
    <row r="34" spans="1:7" ht="26.05" customHeight="1" x14ac:dyDescent="0.55000000000000004">
      <c r="A34" s="81" t="s">
        <v>62</v>
      </c>
      <c r="B34" s="64"/>
      <c r="C34" s="5"/>
      <c r="D34" s="69" t="s">
        <v>63</v>
      </c>
      <c r="E34" s="64"/>
      <c r="F34" s="84" t="s">
        <v>64</v>
      </c>
      <c r="G34" s="64"/>
    </row>
    <row r="35" spans="1:7" ht="26.05" customHeight="1" x14ac:dyDescent="0.55000000000000004">
      <c r="A35" s="77" t="s">
        <v>65</v>
      </c>
      <c r="B35" s="64"/>
      <c r="C35" s="6">
        <f>C33+C34</f>
        <v>0</v>
      </c>
      <c r="D35" s="68" t="s">
        <v>66</v>
      </c>
      <c r="E35" s="64"/>
      <c r="F35" s="63" t="s">
        <v>67</v>
      </c>
      <c r="G35" s="64"/>
    </row>
    <row r="36" spans="1:7" ht="26.05" customHeight="1" x14ac:dyDescent="0.55000000000000004">
      <c r="A36" s="90" t="s">
        <v>68</v>
      </c>
      <c r="B36" s="64"/>
      <c r="C36" s="5"/>
      <c r="D36" s="69" t="s">
        <v>69</v>
      </c>
      <c r="E36" s="64"/>
      <c r="F36" s="84" t="s">
        <v>70</v>
      </c>
      <c r="G36" s="64"/>
    </row>
    <row r="37" spans="1:7" ht="5.05" customHeight="1" x14ac:dyDescent="0.55000000000000004">
      <c r="A37" s="1"/>
      <c r="B37" s="1"/>
      <c r="C37" s="1"/>
      <c r="D37" s="1"/>
      <c r="E37" s="1"/>
      <c r="F37" s="1"/>
      <c r="G37" s="1"/>
    </row>
    <row r="38" spans="1:7" ht="24" customHeight="1" x14ac:dyDescent="0.55000000000000004">
      <c r="A38" s="60" t="s">
        <v>71</v>
      </c>
      <c r="B38" s="61"/>
      <c r="C38" s="61"/>
      <c r="D38" s="61"/>
      <c r="E38" s="61"/>
      <c r="F38" s="61"/>
      <c r="G38" s="62"/>
    </row>
    <row r="39" spans="1:7" ht="22" customHeight="1" x14ac:dyDescent="0.55000000000000004">
      <c r="A39" s="73" t="s">
        <v>72</v>
      </c>
      <c r="B39" s="67"/>
      <c r="C39" s="67"/>
      <c r="D39" s="67"/>
      <c r="E39" s="67"/>
      <c r="F39" s="67"/>
      <c r="G39" s="64"/>
    </row>
    <row r="40" spans="1:7" ht="18" customHeight="1" x14ac:dyDescent="0.55000000000000004">
      <c r="A40" s="7" t="s">
        <v>73</v>
      </c>
      <c r="B40" s="7" t="s">
        <v>74</v>
      </c>
      <c r="C40" s="7" t="s">
        <v>75</v>
      </c>
      <c r="D40" s="7" t="s">
        <v>76</v>
      </c>
      <c r="E40" s="7" t="s">
        <v>77</v>
      </c>
      <c r="F40" s="7" t="s">
        <v>78</v>
      </c>
      <c r="G40" s="7" t="s">
        <v>79</v>
      </c>
    </row>
    <row r="41" spans="1:7" ht="26.05" customHeight="1" x14ac:dyDescent="0.55000000000000004">
      <c r="A41" s="8"/>
      <c r="B41" s="9"/>
      <c r="C41" s="10"/>
      <c r="D41" s="10"/>
      <c r="E41" s="11">
        <f t="shared" ref="E41:E46" si="0">IF(OR(C41&gt;0,D41&gt;0),C41+D41,0)</f>
        <v>0</v>
      </c>
      <c r="F41" s="12">
        <f t="shared" ref="F41:F46" si="1">E41</f>
        <v>0</v>
      </c>
      <c r="G41" s="13"/>
    </row>
    <row r="42" spans="1:7" ht="26.05" customHeight="1" x14ac:dyDescent="0.55000000000000004">
      <c r="A42" s="8"/>
      <c r="B42" s="9"/>
      <c r="C42" s="10"/>
      <c r="D42" s="10"/>
      <c r="E42" s="14">
        <f t="shared" si="0"/>
        <v>0</v>
      </c>
      <c r="F42" s="12">
        <f t="shared" si="1"/>
        <v>0</v>
      </c>
      <c r="G42" s="13"/>
    </row>
    <row r="43" spans="1:7" ht="26.05" customHeight="1" x14ac:dyDescent="0.55000000000000004">
      <c r="A43" s="8"/>
      <c r="B43" s="9"/>
      <c r="C43" s="10"/>
      <c r="D43" s="10"/>
      <c r="E43" s="11">
        <f t="shared" si="0"/>
        <v>0</v>
      </c>
      <c r="F43" s="12">
        <f t="shared" si="1"/>
        <v>0</v>
      </c>
      <c r="G43" s="13"/>
    </row>
    <row r="44" spans="1:7" ht="26.05" customHeight="1" x14ac:dyDescent="0.55000000000000004">
      <c r="A44" s="8"/>
      <c r="B44" s="9"/>
      <c r="C44" s="10"/>
      <c r="D44" s="10"/>
      <c r="E44" s="14">
        <f t="shared" si="0"/>
        <v>0</v>
      </c>
      <c r="F44" s="12">
        <f t="shared" si="1"/>
        <v>0</v>
      </c>
      <c r="G44" s="13"/>
    </row>
    <row r="45" spans="1:7" ht="26.05" customHeight="1" x14ac:dyDescent="0.55000000000000004">
      <c r="A45" s="8"/>
      <c r="B45" s="9"/>
      <c r="C45" s="10"/>
      <c r="D45" s="10"/>
      <c r="E45" s="11">
        <f t="shared" si="0"/>
        <v>0</v>
      </c>
      <c r="F45" s="12">
        <f t="shared" si="1"/>
        <v>0</v>
      </c>
      <c r="G45" s="13"/>
    </row>
    <row r="46" spans="1:7" ht="26.05" customHeight="1" x14ac:dyDescent="0.55000000000000004">
      <c r="A46" s="8"/>
      <c r="B46" s="9"/>
      <c r="C46" s="10"/>
      <c r="D46" s="10"/>
      <c r="E46" s="14">
        <f t="shared" si="0"/>
        <v>0</v>
      </c>
      <c r="F46" s="12">
        <f t="shared" si="1"/>
        <v>0</v>
      </c>
      <c r="G46" s="13"/>
    </row>
    <row r="47" spans="1:7" ht="30" customHeight="1" x14ac:dyDescent="0.55000000000000004">
      <c r="A47" s="98" t="s">
        <v>80</v>
      </c>
      <c r="B47" s="64"/>
      <c r="C47" s="15">
        <f>SUM(C41:C46)</f>
        <v>0</v>
      </c>
      <c r="D47" s="15">
        <f>SUM(D41:D46)</f>
        <v>0</v>
      </c>
      <c r="E47" s="16">
        <f>SUM(E41:E46)</f>
        <v>0</v>
      </c>
      <c r="F47" s="17">
        <f>SUM(F41:F46)</f>
        <v>0</v>
      </c>
      <c r="G47" s="91" t="s">
        <v>81</v>
      </c>
    </row>
    <row r="48" spans="1:7" ht="5.05" customHeight="1" x14ac:dyDescent="0.55000000000000004">
      <c r="A48" s="1"/>
      <c r="B48" s="1"/>
      <c r="C48" s="1"/>
      <c r="D48" s="1"/>
      <c r="E48" s="1"/>
      <c r="F48" s="1"/>
      <c r="G48" s="1"/>
    </row>
    <row r="49" spans="1:7" ht="24" customHeight="1" x14ac:dyDescent="0.55000000000000004">
      <c r="A49" s="60" t="s">
        <v>82</v>
      </c>
      <c r="B49" s="61"/>
      <c r="C49" s="61"/>
      <c r="D49" s="61"/>
      <c r="E49" s="61"/>
      <c r="F49" s="61"/>
      <c r="G49" s="62"/>
    </row>
    <row r="50" spans="1:7" ht="18" customHeight="1" x14ac:dyDescent="0.55000000000000004">
      <c r="A50" s="2"/>
      <c r="B50" s="2" t="s">
        <v>83</v>
      </c>
      <c r="C50" s="2"/>
      <c r="D50" s="2" t="s">
        <v>84</v>
      </c>
      <c r="E50" s="2"/>
      <c r="F50" s="2" t="s">
        <v>43</v>
      </c>
      <c r="G50" s="2" t="s">
        <v>85</v>
      </c>
    </row>
    <row r="51" spans="1:7" ht="28" customHeight="1" x14ac:dyDescent="0.55000000000000004">
      <c r="A51" s="65" t="s">
        <v>86</v>
      </c>
      <c r="B51" s="64"/>
      <c r="C51" s="18">
        <f>C47</f>
        <v>0</v>
      </c>
      <c r="D51" s="68" t="s">
        <v>87</v>
      </c>
      <c r="E51" s="64"/>
      <c r="F51" s="78"/>
      <c r="G51" s="64"/>
    </row>
    <row r="52" spans="1:7" ht="28" customHeight="1" x14ac:dyDescent="0.55000000000000004">
      <c r="A52" s="81" t="s">
        <v>88</v>
      </c>
      <c r="B52" s="64"/>
      <c r="C52" s="18">
        <f>D47</f>
        <v>0</v>
      </c>
      <c r="D52" s="69" t="s">
        <v>89</v>
      </c>
      <c r="E52" s="64"/>
      <c r="F52" s="82"/>
      <c r="G52" s="64"/>
    </row>
    <row r="53" spans="1:7" ht="28" customHeight="1" x14ac:dyDescent="0.55000000000000004">
      <c r="A53" s="65" t="s">
        <v>90</v>
      </c>
      <c r="B53" s="64"/>
      <c r="C53" s="18">
        <f>E47</f>
        <v>0</v>
      </c>
      <c r="D53" s="68" t="s">
        <v>91</v>
      </c>
      <c r="E53" s="64"/>
      <c r="F53" s="78"/>
      <c r="G53" s="64"/>
    </row>
    <row r="54" spans="1:7" ht="28" customHeight="1" x14ac:dyDescent="0.55000000000000004">
      <c r="A54" s="70" t="s">
        <v>92</v>
      </c>
      <c r="B54" s="64"/>
      <c r="C54" s="19" t="s">
        <v>93</v>
      </c>
      <c r="D54" s="96" t="s">
        <v>94</v>
      </c>
      <c r="E54" s="64"/>
      <c r="F54" s="83" t="s">
        <v>95</v>
      </c>
      <c r="G54" s="64"/>
    </row>
    <row r="55" spans="1:7" ht="28" customHeight="1" x14ac:dyDescent="0.55000000000000004">
      <c r="A55" s="92" t="s">
        <v>96</v>
      </c>
      <c r="B55" s="64"/>
      <c r="C55" s="20">
        <f>F47</f>
        <v>0</v>
      </c>
      <c r="D55" s="94" t="s">
        <v>97</v>
      </c>
      <c r="E55" s="64"/>
      <c r="F55" s="97" t="s">
        <v>95</v>
      </c>
      <c r="G55" s="64"/>
    </row>
    <row r="56" spans="1:7" ht="28" customHeight="1" x14ac:dyDescent="0.55000000000000004">
      <c r="A56" s="76" t="s">
        <v>98</v>
      </c>
      <c r="B56" s="64"/>
      <c r="C56" s="21" t="s">
        <v>99</v>
      </c>
      <c r="D56" s="79" t="s">
        <v>100</v>
      </c>
      <c r="E56" s="64"/>
      <c r="F56" s="80" t="s">
        <v>101</v>
      </c>
      <c r="G56" s="64"/>
    </row>
    <row r="57" spans="1:7" ht="5.05" customHeight="1" x14ac:dyDescent="0.55000000000000004">
      <c r="A57" s="1"/>
      <c r="B57" s="1"/>
      <c r="C57" s="1"/>
      <c r="D57" s="1"/>
      <c r="E57" s="1"/>
      <c r="F57" s="1"/>
      <c r="G57" s="1"/>
    </row>
    <row r="58" spans="1:7" ht="32.049999999999997" customHeight="1" x14ac:dyDescent="0.55000000000000004">
      <c r="A58" s="71" t="s">
        <v>102</v>
      </c>
      <c r="B58" s="67"/>
      <c r="C58" s="67"/>
      <c r="D58" s="64"/>
      <c r="E58" s="22">
        <f>C55</f>
        <v>0</v>
      </c>
      <c r="F58" s="99" t="s">
        <v>103</v>
      </c>
      <c r="G58" s="64"/>
    </row>
    <row r="59" spans="1:7" ht="30" customHeight="1" x14ac:dyDescent="0.55000000000000004">
      <c r="A59" s="75" t="s">
        <v>104</v>
      </c>
      <c r="B59" s="67"/>
      <c r="C59" s="67"/>
      <c r="D59" s="67"/>
      <c r="E59" s="67"/>
      <c r="F59" s="67"/>
      <c r="G59" s="64"/>
    </row>
  </sheetData>
  <mergeCells count="94">
    <mergeCell ref="A2:G2"/>
    <mergeCell ref="F14:G14"/>
    <mergeCell ref="D54:E54"/>
    <mergeCell ref="A14:D14"/>
    <mergeCell ref="F11:G11"/>
    <mergeCell ref="A24:B24"/>
    <mergeCell ref="F12:G12"/>
    <mergeCell ref="F24:G24"/>
    <mergeCell ref="F51:G51"/>
    <mergeCell ref="D32:E32"/>
    <mergeCell ref="F32:G32"/>
    <mergeCell ref="A18:B18"/>
    <mergeCell ref="F35:G35"/>
    <mergeCell ref="C19:E19"/>
    <mergeCell ref="A47:B47"/>
    <mergeCell ref="F52:G52"/>
    <mergeCell ref="F8:G8"/>
    <mergeCell ref="A21:B21"/>
    <mergeCell ref="A6:G6"/>
    <mergeCell ref="A32:B32"/>
    <mergeCell ref="F22:G22"/>
    <mergeCell ref="A23:B23"/>
    <mergeCell ref="D30:E30"/>
    <mergeCell ref="A12:D12"/>
    <mergeCell ref="A20:B20"/>
    <mergeCell ref="A29:B29"/>
    <mergeCell ref="A27:G27"/>
    <mergeCell ref="A31:B31"/>
    <mergeCell ref="A1:G1"/>
    <mergeCell ref="F31:G31"/>
    <mergeCell ref="F9:G9"/>
    <mergeCell ref="C24:E24"/>
    <mergeCell ref="A52:B52"/>
    <mergeCell ref="A3:G3"/>
    <mergeCell ref="D29:E29"/>
    <mergeCell ref="A34:B34"/>
    <mergeCell ref="A8:D8"/>
    <mergeCell ref="A4:G4"/>
    <mergeCell ref="A36:B36"/>
    <mergeCell ref="A38:G38"/>
    <mergeCell ref="G47"/>
    <mergeCell ref="A10:D10"/>
    <mergeCell ref="F21:G21"/>
    <mergeCell ref="D52:E52"/>
    <mergeCell ref="A9:D9"/>
    <mergeCell ref="F30:G30"/>
    <mergeCell ref="F20:G20"/>
    <mergeCell ref="F18:G18"/>
    <mergeCell ref="F33:G33"/>
    <mergeCell ref="A11:D11"/>
    <mergeCell ref="F10:G10"/>
    <mergeCell ref="F54:G54"/>
    <mergeCell ref="D34:E34"/>
    <mergeCell ref="F19:G19"/>
    <mergeCell ref="C22:E22"/>
    <mergeCell ref="F34:G34"/>
    <mergeCell ref="A49:G49"/>
    <mergeCell ref="D53:E53"/>
    <mergeCell ref="F36:G36"/>
    <mergeCell ref="F53:G53"/>
    <mergeCell ref="A59:G59"/>
    <mergeCell ref="A56:B56"/>
    <mergeCell ref="A33:B33"/>
    <mergeCell ref="F23:G23"/>
    <mergeCell ref="C18:E18"/>
    <mergeCell ref="D56:E56"/>
    <mergeCell ref="F56:G56"/>
    <mergeCell ref="A22:B22"/>
    <mergeCell ref="A53:B53"/>
    <mergeCell ref="A35:B35"/>
    <mergeCell ref="D33:E33"/>
    <mergeCell ref="A19:B19"/>
    <mergeCell ref="D51:E51"/>
    <mergeCell ref="C20:E20"/>
    <mergeCell ref="D35:E35"/>
    <mergeCell ref="A30:B30"/>
    <mergeCell ref="A13:D13"/>
    <mergeCell ref="A54:B54"/>
    <mergeCell ref="A58:D58"/>
    <mergeCell ref="F15:G15"/>
    <mergeCell ref="C23:E23"/>
    <mergeCell ref="A39:G39"/>
    <mergeCell ref="A15:D15"/>
    <mergeCell ref="F13:G13"/>
    <mergeCell ref="A55:B55"/>
    <mergeCell ref="D55:E55"/>
    <mergeCell ref="F55:G55"/>
    <mergeCell ref="F58:G58"/>
    <mergeCell ref="A17:G17"/>
    <mergeCell ref="F29:G29"/>
    <mergeCell ref="A51:B51"/>
    <mergeCell ref="C21:E21"/>
    <mergeCell ref="D31:E31"/>
    <mergeCell ref="D36:E36"/>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10">
    <dataValidation type="list" sqref="E8" xr:uid="{00000000-0002-0000-0000-000000000000}">
      <formula1>"EVET,HAYIR-Kapsam Dışı Kurum"</formula1>
    </dataValidation>
    <dataValidation type="list" sqref="E9" xr:uid="{00000000-0002-0000-0000-000001000000}">
      <formula1>"EVET,HAYIR-Taahhüt Aşamasında"</formula1>
    </dataValidation>
    <dataValidation type="list" sqref="E10" xr:uid="{00000000-0002-0000-0000-000002000000}">
      <formula1>"EVET,HAYIR-Belge Eksik"</formula1>
    </dataValidation>
    <dataValidation type="list" sqref="E11" xr:uid="{00000000-0002-0000-0000-000003000000}">
      <formula1>"EVET,HAYIR-Amaç Dışı"</formula1>
    </dataValidation>
    <dataValidation type="list" sqref="E12" xr:uid="{00000000-0002-0000-0000-000004000000}">
      <formula1>"EVET,HAYIR-Değerleme Eksik,Uygulanmaz-Yalnızca Nakdi"</formula1>
    </dataValidation>
    <dataValidation type="list" sqref="E13" xr:uid="{00000000-0002-0000-0000-000005000000}">
      <formula1>"EVET,HAYIR-Eksik"</formula1>
    </dataValidation>
    <dataValidation type="list" sqref="E14" xr:uid="{00000000-0002-0000-0000-000006000000}">
      <formula1>"EVET,Tam Tasdik"</formula1>
    </dataValidation>
    <dataValidation type="list" sqref="C29" xr:uid="{00000000-0002-0000-0000-000007000000}">
      <formula1>"Nakdi (Banka Transferi/EFT/Havale),Ayni (Cihaz/Ekipman/Kütüphane/Bilimsel Materyal),Karma (Nakdi + Ayni)"</formula1>
    </dataValidation>
    <dataValidation type="list" sqref="C30" xr:uid="{00000000-0002-0000-0000-000008000000}">
      <formula1>"Türk-Japon Bilim ve Teknoloji Üniversitesi (TJBTÜ),TJBTÜ Bünyesindeki Araştırma Merkezi/Enstitü,TJBTÜ Bünyesindeki Burs/Fon Programı,Diğer 7034 s.K. Kapsamı"</formula1>
    </dataValidation>
    <dataValidation type="list" sqref="C31" xr:uid="{00000000-0002-0000-0000-000009000000}">
      <formula1>"Bilim ve Teknoloji Araştırma Faaliyetleri,Mühendislik ve Fen Bilimleri Eğitimi,Burs ve Öğrenci Desteği,Laboratuvar ve Araştırma Altyapısı,Kütüphane ve Bilimsel Koleksiyon,Türk-Japon Akademik İşbirliği Programları,Diğer TJBTÜ Akademik/Bilimsel Faaliyet"</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07" t="s">
        <v>105</v>
      </c>
      <c r="B1" s="61"/>
      <c r="C1" s="61"/>
      <c r="D1" s="61"/>
      <c r="E1" s="61"/>
      <c r="F1" s="61"/>
      <c r="G1" s="62"/>
    </row>
    <row r="2" spans="1:7" ht="20.05" customHeight="1" x14ac:dyDescent="0.55000000000000004">
      <c r="A2" s="112" t="s">
        <v>106</v>
      </c>
      <c r="B2" s="67"/>
      <c r="C2" s="67"/>
      <c r="D2" s="67"/>
      <c r="E2" s="67"/>
      <c r="F2" s="67"/>
      <c r="G2" s="64"/>
    </row>
    <row r="3" spans="1:7" ht="5.05" customHeight="1" x14ac:dyDescent="0.55000000000000004">
      <c r="A3" s="1"/>
      <c r="B3" s="1"/>
      <c r="C3" s="1"/>
      <c r="D3" s="1"/>
      <c r="E3" s="1"/>
      <c r="F3" s="1"/>
      <c r="G3" s="1"/>
    </row>
    <row r="4" spans="1:7" ht="22" customHeight="1" x14ac:dyDescent="0.55000000000000004">
      <c r="A4" s="104" t="s">
        <v>107</v>
      </c>
      <c r="B4" s="61"/>
      <c r="C4" s="61"/>
      <c r="D4" s="61"/>
      <c r="E4" s="61"/>
      <c r="F4" s="61"/>
      <c r="G4" s="62"/>
    </row>
    <row r="5" spans="1:7" ht="22" customHeight="1" x14ac:dyDescent="0.55000000000000004">
      <c r="A5" s="106" t="s">
        <v>108</v>
      </c>
      <c r="B5" s="67"/>
      <c r="C5" s="64"/>
      <c r="D5" s="23" t="str">
        <f>'VERİ GİRİŞİ'!E15</f>
        <v>OK - Hesaplanabilir</v>
      </c>
      <c r="E5" s="78" t="s">
        <v>109</v>
      </c>
      <c r="F5" s="67"/>
      <c r="G5" s="64"/>
    </row>
    <row r="6" spans="1:7" ht="22" customHeight="1" x14ac:dyDescent="0.55000000000000004">
      <c r="A6" s="110" t="s">
        <v>110</v>
      </c>
      <c r="B6" s="67"/>
      <c r="C6" s="64"/>
      <c r="D6" s="23" t="str">
        <f>'VERİ GİRİŞİ'!C30</f>
        <v>Türk-Japon Bilim ve Teknoloji Üniversitesi (TJBTÜ)</v>
      </c>
      <c r="E6" s="82" t="s">
        <v>111</v>
      </c>
      <c r="F6" s="67"/>
      <c r="G6" s="64"/>
    </row>
    <row r="7" spans="1:7" ht="22" customHeight="1" x14ac:dyDescent="0.55000000000000004">
      <c r="A7" s="106" t="s">
        <v>112</v>
      </c>
      <c r="B7" s="67"/>
      <c r="C7" s="64"/>
      <c r="D7" s="23">
        <f>'VERİ GİRİŞİ'!C53</f>
        <v>0</v>
      </c>
      <c r="E7" s="78" t="s">
        <v>113</v>
      </c>
      <c r="F7" s="67"/>
      <c r="G7" s="64"/>
    </row>
    <row r="8" spans="1:7" ht="22" customHeight="1" x14ac:dyDescent="0.55000000000000004">
      <c r="A8" s="74" t="s">
        <v>114</v>
      </c>
      <c r="B8" s="67"/>
      <c r="C8" s="64"/>
      <c r="D8" s="24">
        <f>'VERİ GİRİŞİ'!C55</f>
        <v>0</v>
      </c>
      <c r="E8" s="97"/>
      <c r="F8" s="67"/>
      <c r="G8" s="64"/>
    </row>
    <row r="9" spans="1:7" ht="22" customHeight="1" x14ac:dyDescent="0.55000000000000004">
      <c r="A9" s="108" t="s">
        <v>115</v>
      </c>
      <c r="B9" s="67"/>
      <c r="C9" s="64"/>
      <c r="D9" s="21" t="s">
        <v>116</v>
      </c>
      <c r="E9" s="80" t="s">
        <v>117</v>
      </c>
      <c r="F9" s="67"/>
      <c r="G9" s="64"/>
    </row>
    <row r="10" spans="1:7" ht="5.05" customHeight="1" x14ac:dyDescent="0.55000000000000004">
      <c r="A10" s="1"/>
      <c r="B10" s="1"/>
      <c r="C10" s="1"/>
      <c r="D10" s="1"/>
      <c r="E10" s="1"/>
      <c r="F10" s="1"/>
      <c r="G10" s="1"/>
    </row>
    <row r="11" spans="1:7" ht="22" customHeight="1" x14ac:dyDescent="0.55000000000000004">
      <c r="A11" s="60" t="s">
        <v>118</v>
      </c>
      <c r="B11" s="61"/>
      <c r="C11" s="61"/>
      <c r="D11" s="61"/>
      <c r="E11" s="61"/>
      <c r="F11" s="61"/>
      <c r="G11" s="62"/>
    </row>
    <row r="12" spans="1:7" ht="72" customHeight="1" x14ac:dyDescent="0.55000000000000004">
      <c r="A12" s="111" t="s">
        <v>119</v>
      </c>
      <c r="B12" s="67"/>
      <c r="C12" s="67"/>
      <c r="D12" s="67"/>
      <c r="E12" s="67"/>
      <c r="F12" s="67"/>
      <c r="G12" s="64"/>
    </row>
    <row r="13" spans="1:7" ht="5.05" customHeight="1" x14ac:dyDescent="0.55000000000000004">
      <c r="A13" s="1"/>
      <c r="B13" s="1"/>
      <c r="C13" s="1"/>
      <c r="D13" s="1"/>
      <c r="E13" s="1"/>
      <c r="F13" s="1"/>
      <c r="G13" s="1"/>
    </row>
    <row r="14" spans="1:7" ht="22" customHeight="1" x14ac:dyDescent="0.55000000000000004">
      <c r="A14" s="60" t="s">
        <v>120</v>
      </c>
      <c r="B14" s="61"/>
      <c r="C14" s="61"/>
      <c r="D14" s="61"/>
      <c r="E14" s="61"/>
      <c r="F14" s="61"/>
      <c r="G14" s="62"/>
    </row>
    <row r="15" spans="1:7" ht="18" customHeight="1" x14ac:dyDescent="0.55000000000000004">
      <c r="A15" s="2"/>
      <c r="B15" s="2" t="s">
        <v>121</v>
      </c>
      <c r="C15" s="2"/>
      <c r="D15" s="2" t="s">
        <v>43</v>
      </c>
      <c r="E15" s="2"/>
      <c r="F15" s="2" t="s">
        <v>122</v>
      </c>
      <c r="G15" s="2"/>
    </row>
    <row r="16" spans="1:7" ht="20.05" customHeight="1" x14ac:dyDescent="0.55000000000000004">
      <c r="A16" s="25" t="s">
        <v>123</v>
      </c>
      <c r="B16" s="101" t="s">
        <v>124</v>
      </c>
      <c r="C16" s="64"/>
      <c r="D16" s="103" t="s">
        <v>125</v>
      </c>
      <c r="E16" s="64"/>
      <c r="F16" s="13" t="s">
        <v>126</v>
      </c>
      <c r="G16" s="28"/>
    </row>
    <row r="17" spans="1:7" ht="20.05" customHeight="1" x14ac:dyDescent="0.55000000000000004">
      <c r="A17" s="25" t="s">
        <v>127</v>
      </c>
      <c r="B17" s="101" t="s">
        <v>128</v>
      </c>
      <c r="C17" s="64"/>
      <c r="D17" s="103" t="s">
        <v>129</v>
      </c>
      <c r="E17" s="64"/>
      <c r="F17" s="13" t="s">
        <v>126</v>
      </c>
      <c r="G17" s="29"/>
    </row>
    <row r="18" spans="1:7" ht="20.05" customHeight="1" x14ac:dyDescent="0.55000000000000004">
      <c r="A18" s="25" t="s">
        <v>130</v>
      </c>
      <c r="B18" s="101" t="s">
        <v>131</v>
      </c>
      <c r="C18" s="64"/>
      <c r="D18" s="103" t="s">
        <v>132</v>
      </c>
      <c r="E18" s="64"/>
      <c r="F18" s="13" t="s">
        <v>126</v>
      </c>
      <c r="G18" s="28"/>
    </row>
    <row r="19" spans="1:7" ht="20.05" customHeight="1" x14ac:dyDescent="0.55000000000000004">
      <c r="A19" s="25" t="s">
        <v>133</v>
      </c>
      <c r="B19" s="101" t="s">
        <v>134</v>
      </c>
      <c r="C19" s="64"/>
      <c r="D19" s="103" t="s">
        <v>135</v>
      </c>
      <c r="E19" s="64"/>
      <c r="F19" s="13" t="s">
        <v>126</v>
      </c>
      <c r="G19" s="29"/>
    </row>
    <row r="20" spans="1:7" ht="20.05" customHeight="1" x14ac:dyDescent="0.55000000000000004">
      <c r="A20" s="25" t="s">
        <v>136</v>
      </c>
      <c r="B20" s="109" t="s">
        <v>137</v>
      </c>
      <c r="C20" s="64"/>
      <c r="D20" s="100" t="s">
        <v>138</v>
      </c>
      <c r="E20" s="64"/>
      <c r="F20" s="13" t="s">
        <v>126</v>
      </c>
      <c r="G20" s="28"/>
    </row>
    <row r="21" spans="1:7" ht="20.05" customHeight="1" x14ac:dyDescent="0.55000000000000004">
      <c r="A21" s="25" t="s">
        <v>139</v>
      </c>
      <c r="B21" s="102" t="s">
        <v>140</v>
      </c>
      <c r="C21" s="64"/>
      <c r="D21" s="105" t="s">
        <v>141</v>
      </c>
      <c r="E21" s="64"/>
      <c r="F21" s="13" t="s">
        <v>126</v>
      </c>
      <c r="G21" s="29"/>
    </row>
    <row r="22" spans="1:7" ht="20.05" customHeight="1" x14ac:dyDescent="0.55000000000000004">
      <c r="A22" s="25" t="s">
        <v>142</v>
      </c>
      <c r="B22" s="101" t="s">
        <v>143</v>
      </c>
      <c r="C22" s="64"/>
      <c r="D22" s="103" t="s">
        <v>144</v>
      </c>
      <c r="E22" s="64"/>
      <c r="F22" s="13" t="s">
        <v>126</v>
      </c>
      <c r="G22" s="28"/>
    </row>
    <row r="23" spans="1:7" ht="20.05" customHeight="1" x14ac:dyDescent="0.55000000000000004">
      <c r="A23" s="25" t="s">
        <v>145</v>
      </c>
      <c r="B23" s="102" t="s">
        <v>146</v>
      </c>
      <c r="C23" s="64"/>
      <c r="D23" s="105" t="s">
        <v>147</v>
      </c>
      <c r="E23" s="64"/>
      <c r="F23" s="13" t="s">
        <v>126</v>
      </c>
      <c r="G23" s="29"/>
    </row>
    <row r="24" spans="1:7" ht="20.05" customHeight="1" x14ac:dyDescent="0.55000000000000004">
      <c r="A24" s="25" t="s">
        <v>148</v>
      </c>
      <c r="B24" s="109" t="s">
        <v>149</v>
      </c>
      <c r="C24" s="64"/>
      <c r="D24" s="100" t="s">
        <v>150</v>
      </c>
      <c r="E24" s="64"/>
      <c r="F24" s="13" t="s">
        <v>126</v>
      </c>
      <c r="G24" s="28"/>
    </row>
    <row r="25" spans="1:7" ht="20.05" customHeight="1" x14ac:dyDescent="0.55000000000000004">
      <c r="A25" s="25" t="s">
        <v>151</v>
      </c>
      <c r="B25" s="102" t="s">
        <v>152</v>
      </c>
      <c r="C25" s="64"/>
      <c r="D25" s="105" t="s">
        <v>153</v>
      </c>
      <c r="E25" s="64"/>
      <c r="F25" s="13" t="s">
        <v>126</v>
      </c>
      <c r="G25" s="29"/>
    </row>
    <row r="26" spans="1:7" ht="20.05" customHeight="1" x14ac:dyDescent="0.55000000000000004">
      <c r="A26" s="25" t="s">
        <v>154</v>
      </c>
      <c r="B26" s="109" t="s">
        <v>155</v>
      </c>
      <c r="C26" s="64"/>
      <c r="D26" s="100" t="s">
        <v>22</v>
      </c>
      <c r="E26" s="64"/>
      <c r="F26" s="13" t="s">
        <v>126</v>
      </c>
      <c r="G26" s="28"/>
    </row>
  </sheetData>
  <mergeCells count="38">
    <mergeCell ref="B26:C26"/>
    <mergeCell ref="A7:C7"/>
    <mergeCell ref="D26:E26"/>
    <mergeCell ref="A1:G1"/>
    <mergeCell ref="B19:C19"/>
    <mergeCell ref="A9:C9"/>
    <mergeCell ref="D18:E18"/>
    <mergeCell ref="D25:E25"/>
    <mergeCell ref="B24:C24"/>
    <mergeCell ref="D24:E24"/>
    <mergeCell ref="E5:G5"/>
    <mergeCell ref="B20:C20"/>
    <mergeCell ref="A6:C6"/>
    <mergeCell ref="E8:G8"/>
    <mergeCell ref="A12:G12"/>
    <mergeCell ref="D23:E23"/>
    <mergeCell ref="A2:G2"/>
    <mergeCell ref="A4:G4"/>
    <mergeCell ref="B22:C22"/>
    <mergeCell ref="E9:G9"/>
    <mergeCell ref="D22:E22"/>
    <mergeCell ref="B18:C18"/>
    <mergeCell ref="E6:G6"/>
    <mergeCell ref="D21:E21"/>
    <mergeCell ref="B21:C21"/>
    <mergeCell ref="A5:C5"/>
    <mergeCell ref="A8:C8"/>
    <mergeCell ref="B17:C17"/>
    <mergeCell ref="D17:E17"/>
    <mergeCell ref="A11:G11"/>
    <mergeCell ref="E7:G7"/>
    <mergeCell ref="D16:E16"/>
    <mergeCell ref="D20:E20"/>
    <mergeCell ref="A14:G14"/>
    <mergeCell ref="B16:C16"/>
    <mergeCell ref="B25:C25"/>
    <mergeCell ref="D19:E19"/>
    <mergeCell ref="B23:C23"/>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60" t="s">
        <v>156</v>
      </c>
      <c r="B1" s="61"/>
      <c r="C1" s="61"/>
      <c r="D1" s="61"/>
      <c r="E1" s="61"/>
      <c r="F1" s="61"/>
      <c r="G1" s="62"/>
    </row>
    <row r="2" spans="1:7" ht="22" customHeight="1" x14ac:dyDescent="0.55000000000000004">
      <c r="A2" s="114" t="s">
        <v>157</v>
      </c>
      <c r="B2" s="67"/>
      <c r="C2" s="67"/>
      <c r="D2" s="67"/>
      <c r="E2" s="67"/>
      <c r="F2" s="67"/>
      <c r="G2" s="64"/>
    </row>
    <row r="3" spans="1:7" ht="18" customHeight="1" x14ac:dyDescent="0.55000000000000004">
      <c r="A3" s="32"/>
      <c r="B3" s="32" t="s">
        <v>158</v>
      </c>
      <c r="C3" s="32" t="s">
        <v>159</v>
      </c>
      <c r="D3" s="32" t="s">
        <v>85</v>
      </c>
      <c r="E3" s="32" t="s">
        <v>160</v>
      </c>
      <c r="F3" s="32" t="s">
        <v>161</v>
      </c>
      <c r="G3" s="32" t="s">
        <v>162</v>
      </c>
    </row>
    <row r="4" spans="1:7" ht="22" customHeight="1" x14ac:dyDescent="0.55000000000000004">
      <c r="A4" s="33" t="s">
        <v>160</v>
      </c>
      <c r="B4" s="33" t="s">
        <v>163</v>
      </c>
      <c r="C4" s="33" t="s">
        <v>164</v>
      </c>
      <c r="D4" s="33" t="s">
        <v>165</v>
      </c>
      <c r="E4" s="33" t="s">
        <v>166</v>
      </c>
      <c r="F4" s="33" t="s">
        <v>167</v>
      </c>
      <c r="G4" s="33" t="s">
        <v>168</v>
      </c>
    </row>
    <row r="5" spans="1:7" ht="22" customHeight="1" x14ac:dyDescent="0.55000000000000004">
      <c r="A5" s="116" t="s">
        <v>169</v>
      </c>
      <c r="B5" s="67"/>
      <c r="C5" s="67"/>
      <c r="D5" s="67"/>
      <c r="E5" s="67"/>
      <c r="F5" s="67"/>
      <c r="G5" s="64"/>
    </row>
    <row r="6" spans="1:7" ht="18" customHeight="1" x14ac:dyDescent="0.55000000000000004">
      <c r="A6" s="32"/>
      <c r="B6" s="32" t="s">
        <v>158</v>
      </c>
      <c r="C6" s="32" t="s">
        <v>159</v>
      </c>
      <c r="D6" s="32" t="s">
        <v>85</v>
      </c>
      <c r="E6" s="32" t="s">
        <v>160</v>
      </c>
      <c r="F6" s="32" t="s">
        <v>161</v>
      </c>
      <c r="G6" s="32" t="s">
        <v>162</v>
      </c>
    </row>
    <row r="7" spans="1:7" ht="22" customHeight="1" x14ac:dyDescent="0.55000000000000004">
      <c r="A7" s="33" t="s">
        <v>160</v>
      </c>
      <c r="B7" s="33" t="s">
        <v>170</v>
      </c>
      <c r="C7" s="33" t="s">
        <v>171</v>
      </c>
      <c r="D7" s="33" t="s">
        <v>172</v>
      </c>
      <c r="E7" s="33" t="s">
        <v>173</v>
      </c>
      <c r="F7" s="33" t="s">
        <v>167</v>
      </c>
      <c r="G7" s="33" t="s">
        <v>174</v>
      </c>
    </row>
    <row r="8" spans="1:7" ht="22" customHeight="1" x14ac:dyDescent="0.55000000000000004">
      <c r="A8" s="113" t="s">
        <v>175</v>
      </c>
      <c r="B8" s="67"/>
      <c r="C8" s="67"/>
      <c r="D8" s="67"/>
      <c r="E8" s="67"/>
      <c r="F8" s="67"/>
      <c r="G8" s="64"/>
    </row>
    <row r="9" spans="1:7" ht="18" customHeight="1" x14ac:dyDescent="0.55000000000000004">
      <c r="A9" s="32"/>
      <c r="B9" s="32" t="s">
        <v>158</v>
      </c>
      <c r="C9" s="32" t="s">
        <v>159</v>
      </c>
      <c r="D9" s="32" t="s">
        <v>85</v>
      </c>
      <c r="E9" s="32" t="s">
        <v>160</v>
      </c>
      <c r="F9" s="32" t="s">
        <v>161</v>
      </c>
      <c r="G9" s="32" t="s">
        <v>162</v>
      </c>
    </row>
    <row r="10" spans="1:7" ht="22" customHeight="1" x14ac:dyDescent="0.55000000000000004">
      <c r="A10" s="33" t="s">
        <v>160</v>
      </c>
      <c r="B10" s="33" t="s">
        <v>176</v>
      </c>
      <c r="C10" s="33" t="s">
        <v>177</v>
      </c>
      <c r="D10" s="33" t="s">
        <v>178</v>
      </c>
      <c r="E10" s="33" t="s">
        <v>166</v>
      </c>
      <c r="F10" s="33" t="s">
        <v>167</v>
      </c>
      <c r="G10" s="33" t="s">
        <v>179</v>
      </c>
    </row>
    <row r="11" spans="1:7" ht="32.049999999999997" customHeight="1" x14ac:dyDescent="0.55000000000000004">
      <c r="A11" s="115" t="s">
        <v>180</v>
      </c>
      <c r="B11" s="67"/>
      <c r="C11" s="67"/>
      <c r="D11" s="67"/>
      <c r="E11" s="67"/>
      <c r="F11" s="67"/>
      <c r="G11" s="64"/>
    </row>
  </sheetData>
  <mergeCells count="5">
    <mergeCell ref="A1:G1"/>
    <mergeCell ref="A8:G8"/>
    <mergeCell ref="A2:G2"/>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60" t="s">
        <v>181</v>
      </c>
      <c r="B1" s="61"/>
      <c r="C1" s="61"/>
      <c r="D1" s="61"/>
      <c r="E1" s="61"/>
      <c r="F1" s="61"/>
      <c r="G1" s="62"/>
    </row>
    <row r="2" spans="1:7" ht="20.05" customHeight="1" x14ac:dyDescent="0.55000000000000004">
      <c r="A2" s="95" t="s">
        <v>182</v>
      </c>
      <c r="B2" s="61"/>
      <c r="C2" s="61"/>
      <c r="D2" s="61"/>
      <c r="E2" s="61"/>
      <c r="F2" s="61"/>
      <c r="G2" s="62"/>
    </row>
    <row r="3" spans="1:7" ht="18" customHeight="1" x14ac:dyDescent="0.55000000000000004">
      <c r="A3" s="32" t="s">
        <v>183</v>
      </c>
      <c r="B3" s="32" t="s">
        <v>184</v>
      </c>
      <c r="C3" s="32" t="s">
        <v>185</v>
      </c>
      <c r="D3" s="32" t="s">
        <v>186</v>
      </c>
    </row>
    <row r="4" spans="1:7" ht="68.05" customHeight="1" x14ac:dyDescent="0.55000000000000004">
      <c r="A4" s="25" t="s">
        <v>187</v>
      </c>
      <c r="B4" s="30" t="s">
        <v>188</v>
      </c>
      <c r="C4" s="34" t="s">
        <v>189</v>
      </c>
      <c r="D4" s="35" t="s">
        <v>190</v>
      </c>
    </row>
    <row r="5" spans="1:7" ht="52" customHeight="1" x14ac:dyDescent="0.55000000000000004">
      <c r="A5" s="36" t="s">
        <v>191</v>
      </c>
      <c r="B5" s="26" t="s">
        <v>192</v>
      </c>
      <c r="C5" s="27" t="s">
        <v>193</v>
      </c>
      <c r="D5" s="37" t="s">
        <v>194</v>
      </c>
    </row>
    <row r="6" spans="1:7" ht="52" customHeight="1" x14ac:dyDescent="0.55000000000000004">
      <c r="A6" s="25" t="s">
        <v>195</v>
      </c>
      <c r="B6" s="30" t="s">
        <v>196</v>
      </c>
      <c r="C6" s="34" t="s">
        <v>197</v>
      </c>
      <c r="D6" s="35" t="s">
        <v>198</v>
      </c>
    </row>
    <row r="7" spans="1:7" ht="52" customHeight="1" x14ac:dyDescent="0.55000000000000004">
      <c r="A7" s="25" t="s">
        <v>199</v>
      </c>
      <c r="B7" s="30" t="s">
        <v>200</v>
      </c>
      <c r="C7" s="34" t="s">
        <v>201</v>
      </c>
      <c r="D7" s="35" t="s">
        <v>202</v>
      </c>
    </row>
    <row r="8" spans="1:7" ht="68.05" customHeight="1" x14ac:dyDescent="0.55000000000000004">
      <c r="A8" s="25" t="s">
        <v>203</v>
      </c>
      <c r="B8" s="31" t="s">
        <v>204</v>
      </c>
      <c r="C8" s="34" t="s">
        <v>205</v>
      </c>
      <c r="D8" s="38" t="s">
        <v>206</v>
      </c>
    </row>
    <row r="9" spans="1:7" ht="36" customHeight="1" x14ac:dyDescent="0.55000000000000004">
      <c r="A9" s="117" t="s">
        <v>207</v>
      </c>
      <c r="B9" s="67"/>
      <c r="C9" s="67"/>
      <c r="D9" s="64"/>
      <c r="E9" s="39"/>
      <c r="F9" s="39"/>
      <c r="G9" s="39"/>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60" t="s">
        <v>208</v>
      </c>
      <c r="B1" s="61"/>
      <c r="C1" s="61"/>
      <c r="D1" s="61"/>
      <c r="E1" s="61"/>
      <c r="F1" s="61"/>
      <c r="G1" s="62"/>
    </row>
    <row r="2" spans="1:7" ht="20.05" customHeight="1" x14ac:dyDescent="0.55000000000000004">
      <c r="A2" s="95" t="s">
        <v>209</v>
      </c>
      <c r="B2" s="61"/>
      <c r="C2" s="61"/>
      <c r="D2" s="61"/>
      <c r="E2" s="61"/>
      <c r="F2" s="61"/>
      <c r="G2" s="62"/>
    </row>
    <row r="3" spans="1:7" ht="5.05" customHeight="1" x14ac:dyDescent="0.55000000000000004">
      <c r="A3" s="1"/>
      <c r="B3" s="1"/>
      <c r="C3" s="1"/>
      <c r="D3" s="1"/>
      <c r="E3" s="1"/>
      <c r="F3" s="1"/>
      <c r="G3" s="1"/>
    </row>
    <row r="4" spans="1:7" ht="22" customHeight="1" x14ac:dyDescent="0.55000000000000004">
      <c r="A4" s="119" t="s">
        <v>210</v>
      </c>
      <c r="B4" s="61"/>
      <c r="C4" s="61"/>
      <c r="D4" s="61"/>
      <c r="E4" s="61"/>
      <c r="F4" s="61"/>
      <c r="G4" s="62"/>
    </row>
    <row r="5" spans="1:7" ht="18" customHeight="1" x14ac:dyDescent="0.55000000000000004">
      <c r="A5" s="32"/>
      <c r="B5" s="32" t="s">
        <v>211</v>
      </c>
      <c r="C5" s="32" t="s">
        <v>48</v>
      </c>
      <c r="D5" s="32" t="s">
        <v>43</v>
      </c>
      <c r="E5" s="32" t="s">
        <v>212</v>
      </c>
      <c r="F5" s="32"/>
    </row>
    <row r="6" spans="1:7" ht="36" customHeight="1" x14ac:dyDescent="0.55000000000000004">
      <c r="A6" s="40"/>
      <c r="B6" s="41" t="s">
        <v>213</v>
      </c>
      <c r="C6" s="42" t="s">
        <v>214</v>
      </c>
      <c r="D6" s="43" t="s">
        <v>215</v>
      </c>
      <c r="E6" s="44" t="s">
        <v>35</v>
      </c>
      <c r="F6" s="40"/>
    </row>
    <row r="7" spans="1:7" ht="36" customHeight="1" x14ac:dyDescent="0.55000000000000004">
      <c r="A7" s="29"/>
      <c r="B7" s="45" t="s">
        <v>216</v>
      </c>
      <c r="C7" s="46" t="s">
        <v>217</v>
      </c>
      <c r="D7" s="43" t="s">
        <v>218</v>
      </c>
      <c r="E7" s="47" t="s">
        <v>219</v>
      </c>
      <c r="F7" s="29"/>
    </row>
    <row r="8" spans="1:7" ht="36" customHeight="1" x14ac:dyDescent="0.55000000000000004">
      <c r="A8" s="40"/>
      <c r="B8" s="41" t="s">
        <v>220</v>
      </c>
      <c r="C8" s="48" t="s">
        <v>221</v>
      </c>
      <c r="D8" s="43" t="s">
        <v>222</v>
      </c>
      <c r="E8" s="44" t="s">
        <v>223</v>
      </c>
      <c r="F8" s="40"/>
    </row>
    <row r="9" spans="1:7" ht="36" customHeight="1" x14ac:dyDescent="0.55000000000000004">
      <c r="A9" s="29"/>
      <c r="B9" s="45" t="s">
        <v>224</v>
      </c>
      <c r="C9" s="31" t="s">
        <v>225</v>
      </c>
      <c r="D9" s="43" t="s">
        <v>226</v>
      </c>
      <c r="E9" s="47" t="s">
        <v>227</v>
      </c>
      <c r="F9" s="29"/>
    </row>
    <row r="10" spans="1:7" ht="36" customHeight="1" x14ac:dyDescent="0.55000000000000004">
      <c r="A10" s="40"/>
      <c r="B10" s="41" t="s">
        <v>228</v>
      </c>
      <c r="C10" s="48" t="s">
        <v>229</v>
      </c>
      <c r="D10" s="43" t="s">
        <v>230</v>
      </c>
      <c r="E10" s="44" t="s">
        <v>70</v>
      </c>
      <c r="F10" s="40"/>
    </row>
    <row r="11" spans="1:7" ht="5.05" customHeight="1" x14ac:dyDescent="0.55000000000000004">
      <c r="A11" s="1"/>
      <c r="B11" s="1"/>
      <c r="C11" s="1"/>
      <c r="D11" s="1"/>
      <c r="E11" s="1"/>
      <c r="F11" s="1"/>
      <c r="G11" s="1"/>
    </row>
    <row r="12" spans="1:7" ht="22" customHeight="1" x14ac:dyDescent="0.55000000000000004">
      <c r="A12" s="118" t="s">
        <v>231</v>
      </c>
      <c r="B12" s="61"/>
      <c r="C12" s="61"/>
      <c r="D12" s="61"/>
      <c r="E12" s="61"/>
      <c r="F12" s="61"/>
      <c r="G12" s="62"/>
    </row>
    <row r="13" spans="1:7" ht="18" customHeight="1" x14ac:dyDescent="0.55000000000000004">
      <c r="A13" s="49"/>
      <c r="B13" s="49" t="s">
        <v>211</v>
      </c>
      <c r="C13" s="49" t="s">
        <v>5</v>
      </c>
      <c r="D13" s="49" t="s">
        <v>232</v>
      </c>
      <c r="E13" s="49" t="s">
        <v>233</v>
      </c>
      <c r="F13" s="49"/>
    </row>
    <row r="14" spans="1:7" ht="28" customHeight="1" x14ac:dyDescent="0.55000000000000004">
      <c r="A14" s="50"/>
      <c r="B14" s="51" t="s">
        <v>234</v>
      </c>
      <c r="C14" s="52" t="s">
        <v>124</v>
      </c>
      <c r="D14" s="53" t="s">
        <v>235</v>
      </c>
      <c r="E14" s="54" t="s">
        <v>236</v>
      </c>
      <c r="F14" s="50"/>
    </row>
    <row r="15" spans="1:7" ht="28" customHeight="1" x14ac:dyDescent="0.55000000000000004">
      <c r="A15" s="50"/>
      <c r="B15" s="51" t="s">
        <v>237</v>
      </c>
      <c r="C15" s="52" t="s">
        <v>238</v>
      </c>
      <c r="D15" s="53" t="s">
        <v>239</v>
      </c>
      <c r="E15" s="54" t="s">
        <v>236</v>
      </c>
      <c r="F15" s="50"/>
    </row>
    <row r="16" spans="1:7" ht="28" customHeight="1" x14ac:dyDescent="0.55000000000000004">
      <c r="A16" s="50"/>
      <c r="B16" s="51" t="s">
        <v>240</v>
      </c>
      <c r="C16" s="52" t="s">
        <v>131</v>
      </c>
      <c r="D16" s="53" t="s">
        <v>241</v>
      </c>
      <c r="E16" s="54" t="s">
        <v>236</v>
      </c>
      <c r="F16" s="50"/>
    </row>
    <row r="17" spans="1:7" ht="28" customHeight="1" x14ac:dyDescent="0.55000000000000004">
      <c r="A17" s="50"/>
      <c r="B17" s="51" t="s">
        <v>242</v>
      </c>
      <c r="C17" s="52" t="s">
        <v>134</v>
      </c>
      <c r="D17" s="53" t="s">
        <v>135</v>
      </c>
      <c r="E17" s="54" t="s">
        <v>236</v>
      </c>
      <c r="F17" s="50"/>
    </row>
    <row r="18" spans="1:7" ht="28" customHeight="1" x14ac:dyDescent="0.55000000000000004">
      <c r="A18" s="55"/>
      <c r="B18" s="56" t="s">
        <v>243</v>
      </c>
      <c r="C18" s="57" t="s">
        <v>244</v>
      </c>
      <c r="D18" s="58" t="s">
        <v>150</v>
      </c>
      <c r="E18" s="59" t="s">
        <v>236</v>
      </c>
      <c r="F18" s="55"/>
    </row>
    <row r="19" spans="1:7" ht="28" customHeight="1" x14ac:dyDescent="0.55000000000000004">
      <c r="A19" s="55"/>
      <c r="B19" s="56" t="s">
        <v>245</v>
      </c>
      <c r="C19" s="57" t="s">
        <v>246</v>
      </c>
      <c r="D19" s="58" t="s">
        <v>247</v>
      </c>
      <c r="E19" s="59" t="s">
        <v>236</v>
      </c>
      <c r="F19" s="55"/>
    </row>
    <row r="20" spans="1:7" ht="28" customHeight="1" x14ac:dyDescent="0.55000000000000004">
      <c r="A20" s="50"/>
      <c r="B20" s="51" t="s">
        <v>248</v>
      </c>
      <c r="C20" s="52" t="s">
        <v>249</v>
      </c>
      <c r="D20" s="53" t="s">
        <v>144</v>
      </c>
      <c r="E20" s="54" t="s">
        <v>236</v>
      </c>
      <c r="F20" s="50"/>
    </row>
    <row r="21" spans="1:7" ht="28" customHeight="1" x14ac:dyDescent="0.55000000000000004">
      <c r="A21" s="55"/>
      <c r="B21" s="56" t="s">
        <v>250</v>
      </c>
      <c r="C21" s="57" t="s">
        <v>251</v>
      </c>
      <c r="D21" s="58" t="s">
        <v>252</v>
      </c>
      <c r="E21" s="59" t="s">
        <v>236</v>
      </c>
      <c r="F21" s="55"/>
    </row>
    <row r="22" spans="1:7" ht="28" customHeight="1" x14ac:dyDescent="0.55000000000000004">
      <c r="A22" s="55"/>
      <c r="B22" s="56" t="s">
        <v>253</v>
      </c>
      <c r="C22" s="57" t="s">
        <v>254</v>
      </c>
      <c r="D22" s="58" t="s">
        <v>153</v>
      </c>
      <c r="E22" s="59" t="s">
        <v>236</v>
      </c>
      <c r="F22" s="55"/>
    </row>
    <row r="23" spans="1:7" ht="28" customHeight="1" x14ac:dyDescent="0.55000000000000004">
      <c r="A23" s="55"/>
      <c r="B23" s="56" t="s">
        <v>255</v>
      </c>
      <c r="C23" s="57" t="s">
        <v>256</v>
      </c>
      <c r="D23" s="58" t="s">
        <v>257</v>
      </c>
      <c r="E23" s="59" t="s">
        <v>236</v>
      </c>
      <c r="F23" s="55"/>
    </row>
    <row r="24" spans="1:7" ht="5.05" customHeight="1" x14ac:dyDescent="0.55000000000000004">
      <c r="A24" s="1"/>
      <c r="B24" s="1"/>
      <c r="C24" s="1"/>
      <c r="D24" s="1"/>
      <c r="E24" s="1"/>
      <c r="F24" s="1"/>
      <c r="G24" s="1"/>
    </row>
    <row r="25" spans="1:7" ht="52" customHeight="1" x14ac:dyDescent="0.55000000000000004">
      <c r="A25" s="117" t="s">
        <v>258</v>
      </c>
      <c r="B25" s="67"/>
      <c r="C25" s="67"/>
      <c r="D25" s="67"/>
      <c r="E25" s="67"/>
      <c r="F25" s="64"/>
      <c r="G25" s="39"/>
    </row>
  </sheetData>
  <mergeCells count="5">
    <mergeCell ref="A1:G1"/>
    <mergeCell ref="A12:G12"/>
    <mergeCell ref="A4:G4"/>
    <mergeCell ref="A2:G2"/>
    <mergeCell ref="A25: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2026-04-06T16:56:33Z</dcterms:created>
  <dcterms:modified xsi:type="dcterms:W3CDTF">2026-04-06T17:04:47Z</dcterms:modified>
</cp:coreProperties>
</file>