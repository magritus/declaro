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A377C189-C8D4-4060-BC0C-1E72CF8FDB1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E59" i="1"/>
  <c r="C52" i="1"/>
  <c r="D48" i="1"/>
  <c r="C53" i="1" s="1"/>
  <c r="C48" i="1"/>
  <c r="E47" i="1"/>
  <c r="F47" i="1" s="1"/>
  <c r="E46" i="1"/>
  <c r="F46" i="1" s="1"/>
  <c r="E45" i="1"/>
  <c r="E48" i="1" s="1"/>
  <c r="C54" i="1" s="1"/>
  <c r="F44" i="1"/>
  <c r="E44" i="1"/>
  <c r="E43" i="1"/>
  <c r="F43" i="1" s="1"/>
  <c r="E42" i="1"/>
  <c r="F42" i="1" s="1"/>
  <c r="C36" i="1"/>
  <c r="E15" i="1"/>
  <c r="D5" i="2" s="1"/>
  <c r="F48" i="1" l="1"/>
  <c r="C56" i="1" s="1"/>
  <c r="F45" i="1"/>
</calcChain>
</file>

<file path=xl/sharedStrings.xml><?xml version="1.0" encoding="utf-8"?>
<sst xmlns="http://schemas.openxmlformats.org/spreadsheetml/2006/main" count="332" uniqueCount="277">
  <si>
    <t>451 – CUMHURBAŞKANINCA BAŞLATILAN YARDIM KAMPANYALARINA BAĞIŞ | KVK Mad. 10/1-e | YMM TASDİK</t>
  </si>
  <si>
    <t>Beyanname 451 | GİB KV Beyan Rehberi Mart 2026 (No:606) | ✗ YİAKV MATRAHINDA DÜŞÜLEMEZ</t>
  </si>
  <si>
    <t xml:space="preserve">  KVK Md.10/1-e KAPSAMI — CUMHURBAŞKANINCA BAŞLATILAN YARDIM KAMPANYALARI:
  Cumhurbaşkanı tarafından başlatılan yardım kampanyalarına makbuz karşılığında yapılan bağış ve yardımların TAMAMI kurumlar vergisi matrahından indirilir.
  ★ KAMPANYA KOŞULU: Bağışın geçerli sayılması için yardım kampanyasının Cumhurbaşkanlığı tarafından resmi olarak başlatılmış ve ilan edilmiş olması şarttır. Bakanlık veya valilik kampanyaları bu kapsamda DEĞİLDİR.
  ÖRNEK: 2023 Kahramanmaraş deprem yardım kampanyası (Resmî Gazete'de ilan).
  ÖDEME: Kampanya hesabına banka yoluyla veya ayni bağış + teslim belgesi.
  İNDİRİM: TAMAMININ İNDİRİMİ — matrahı aşan kısım devredilemez.
  ★ YİAKV: DÜŞÜLEMEZ — E.11 bilgi satırı.</t>
  </si>
  <si>
    <t xml:space="preserve">  ✗ YİAKV (KVK Md.32/C): 451 Kampanya Bağışı YİAKV MATRAHINDA DÜŞÜLEMEZ — E.11 bilgi.
  ★ KRİTİK: CB kampanyası olmayan afet/yardım bağışları bu koda girmez → 464 (Aile/Gençlik Fonu) veya 402 (kamu idaresi) kapsamı değerlendirin.</t>
  </si>
  <si>
    <t>A0. KAPSAM VE NİTELİK UYGUNLUK ÖN KONTROLÜ — KVK Md.10/1-e KAMPANYA BAĞIŞI</t>
  </si>
  <si>
    <t>Kontrol Sorusu</t>
  </si>
  <si>
    <t>Yanıt</t>
  </si>
  <si>
    <t>YMM Tasdik Notu</t>
  </si>
  <si>
    <t>A0.1  ★ Bağış CUMHURBAŞKANINCA başlatılan resmi yardım kampanyasına mı yapıldı?</t>
  </si>
  <si>
    <t>EVET</t>
  </si>
  <si>
    <t>Kampanyanın Cumhurbaşkanlığı tarafından resmi olarak başlatıldığı teyit edilmeli. Bakanlık/valilik/belediye kampanyaları → Kapsam dışı. Resmî Gazete veya Cumhurbaşkanlığı duyurusu → Dayanak belge.</t>
  </si>
  <si>
    <t>A0.2  ★ Kampanya Resmî Gazete'de veya resmi CB duyurusunda ilan edildi mi?</t>
  </si>
  <si>
    <t>Kampanyanın resmi niteliği Resmî Gazete ilanı veya CB Kararnamesi ile teyit edilmeli. Bu belge olmadan 451 uygulanması riski.</t>
  </si>
  <si>
    <t>A0.3  ★ Ödeme KAMPANYA HESABINA banka yoluyla yapıldı mı?</t>
  </si>
  <si>
    <t>Nakdi bağış → Kampanya için açılan özel banka hesabına EFT/havale. Ayni bağış → Resmi teslim tutanağı. Üçüncü kişi hesabına ödeme → Kapsam dışı riski.</t>
  </si>
  <si>
    <t>A0.4  Kampanya makbuzu / resmi teyit belgesi alındı mı?</t>
  </si>
  <si>
    <t>Kampanya idaresinden (Cumhurbaşkanlığı/AFAD/ilgili kurum) makbuz veya bağış teyit belgesi. Banka dekontu tek başına yeterli olmayabilir.</t>
  </si>
  <si>
    <t>A0.5  Bağış FİİLEN yapıldı mı? (Dönem içinde fiili ödeme)</t>
  </si>
  <si>
    <t>İndirim hakkı fiili ödemenin yapıldığı döneme aittir. Taahhüt → Kapsam dışı.</t>
  </si>
  <si>
    <t>A0.6  ✗ YİAKV E.11'de bilgi satırı olarak gösterildi mi?</t>
  </si>
  <si>
    <t>451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</si>
  <si>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</si>
  <si>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</si>
  <si>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</si>
  <si>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CB kampanyası | A0.2 resmi ilan | A0.3 kampanya hesabı | A0.5 fiili ödeme —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</si>
  <si>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</si>
  <si>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</si>
  <si>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</si>
  <si>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</si>
  <si>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</si>
  <si>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</si>
  <si>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</si>
  <si>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</si>
  <si>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</si>
  <si>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Kampanya Adı</t>
  </si>
  <si>
    <t>CB tarafından başlatılan yardım kampanyasının resmi adı</t>
  </si>
  <si>
    <t>Kampanya Hesabı</t>
  </si>
  <si>
    <t>Ödemenin yapıldığı resmi kampanya banka hesap numarası/IBAN</t>
  </si>
  <si>
    <t>Resmî Gazete Tarihi/Sayısı</t>
  </si>
  <si>
    <t>Kampanyanın ilan edildiği RG tarih ve sayısı</t>
  </si>
  <si>
    <t>Dosya Referansı</t>
  </si>
  <si>
    <t>YMM-2025/451-01</t>
  </si>
  <si>
    <t>B. BAĞIŞ VE YARDIM DETAYLARI — KVK Md.10/1-e / CB KAMPANYASI</t>
  </si>
  <si>
    <t>Parametre</t>
  </si>
  <si>
    <t>Değer</t>
  </si>
  <si>
    <t>Açıklama</t>
  </si>
  <si>
    <t>Kaynak</t>
  </si>
  <si>
    <t>B.1  Kampanya Türü</t>
  </si>
  <si>
    <t>Deprem Yardım Kampanyası</t>
  </si>
  <si>
    <t>Depremd/sel/yangın/pandemi vb. CB tarafından ilan edilen kampanya türü.</t>
  </si>
  <si>
    <t>CB Duyurusu/RG</t>
  </si>
  <si>
    <t>B.2  Bağış Şekli</t>
  </si>
  <si>
    <t>Nakdi (Banka Transferi/EFT/Havale — Kampanya Hesabı)</t>
  </si>
  <si>
    <t>Nakdi: Kampanya hesabına banka dekontu. Ayni: Teslim tutanağı.</t>
  </si>
  <si>
    <t>Belge</t>
  </si>
  <si>
    <t>B.3  Kampanya Hesap Bilgisi</t>
  </si>
  <si>
    <t>Ödemenin yapıldığı kampanya IBAN/hesap numarası ve banka.</t>
  </si>
  <si>
    <t>Kampanya ilanı</t>
  </si>
  <si>
    <t>B.4  Bağış Tarihi</t>
  </si>
  <si>
    <t>Fiilen yapılan bağışın tarihi (dönem içinde olmalı).</t>
  </si>
  <si>
    <t>Banka/Tutanak</t>
  </si>
  <si>
    <t>B.5  ★ Nakdi Bağış Tutarı (TL)</t>
  </si>
  <si>
    <t>Kampanya hesabına banka yoluyla yapılan nakdi ödeme.</t>
  </si>
  <si>
    <t>Banka dekontu</t>
  </si>
  <si>
    <t>B.6  Ayni Bağış Değeri (TL — Maliyet/Net Defter Değeri)</t>
  </si>
  <si>
    <t>Gıda, giyim, ekipman, malzeme bağışı varsa maliyet/net defter değeri.</t>
  </si>
  <si>
    <t>Stok kayıtları</t>
  </si>
  <si>
    <t>B.7  ★ TOPLAM BAĞIŞ (B.5 + B.6)</t>
  </si>
  <si>
    <t>Nakdi + Ayni toplam — beyanname 451 tutarının dayanağı.</t>
  </si>
  <si>
    <t>Formül</t>
  </si>
  <si>
    <t>B.8  ★ Kampanya Makbuzu / Bağış Teyit Belgesi</t>
  </si>
  <si>
    <t>Kampanya idaresinden alınan resmi makbuz veya bağış teyit belgesi — zorunlu.</t>
  </si>
  <si>
    <t>Kampanya idaresi</t>
  </si>
  <si>
    <t>C. BAĞIŞ VE YARDIM TABLOSU — KVK Md.10/1-e CB KAMPANYASI (BEYANNAME 451)</t>
  </si>
  <si>
    <t xml:space="preserve">  Her bağış kalemi için ayrı satır. Kampanya adı ve ödeme tarihi her satırda belirtilmeli. SÜTUN 3: Nakdi (kampanya hesabına). SÜTUN 4: Ayni (maliyet değeri). SÜTUN 5: Toplam. SÜTUN 6: İndirim = Tamamı.</t>
  </si>
  <si>
    <t>Bağış Tarihi</t>
  </si>
  <si>
    <t>Kampanya Adı / Bağış Konusu</t>
  </si>
  <si>
    <t>Nakdi (TL)</t>
  </si>
  <si>
    <t>Ayni Değer (TL)</t>
  </si>
  <si>
    <t>Toplam (TL)</t>
  </si>
  <si>
    <t>İndirim (TL)</t>
  </si>
  <si>
    <t>Makbuz/Banka Dekontu</t>
  </si>
  <si>
    <t>TOPLAM</t>
  </si>
  <si>
    <t>← Beyanname 451 (Tamamının İndirimi)</t>
  </si>
  <si>
    <t>D. BAĞIŞ VE YARDIM İNDİRİMİ ÖZET — BEYANNAME 451 (KVK Md.10/1-e)</t>
  </si>
  <si>
    <t>Hesap Kalemi</t>
  </si>
  <si>
    <t>Tutar (TL)</t>
  </si>
  <si>
    <t>Not</t>
  </si>
  <si>
    <t>D.1  Toplam Nakdi Bağış (C Sütun 3)</t>
  </si>
  <si>
    <t>Kampanya hesabına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</si>
  <si>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</si>
  <si>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</si>
  <si>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</si>
  <si>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</si>
  <si>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</si>
  <si>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</si>
  <si>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KVK Md.10/1-e: Tamamının indirimi — matrahı aşan devredilmez</t>
  </si>
  <si>
    <t>KVK Md.10/1-e</t>
  </si>
  <si>
    <t>D.5  ★ BEYANNAME 451 = TOPLAM BAĞIŞ (D.3)</t>
  </si>
  <si>
    <t>→ Beyanname 451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</si>
  <si>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</si>
  <si>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</si>
  <si>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</si>
  <si>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</si>
  <si>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CB KAMPANYA BAĞIŞI → Beyanname Satır 451 (Kazancın Bulunması Halinde)</t>
  </si>
  <si>
    <t>D.5 = Toplam | KVK Md.10/1-e — Matrahı aşan devredilmez</t>
  </si>
  <si>
    <t xml:space="preserve">  ★ KRİTİK: (1) KAMPANYA: Cumhurbaşkanlığı tarafından RESMI olarak başlatılmış olmalı. Bakanlık/valilik kampanyaları → Kapsam dışı. (2) ÖDEME: Kampanya için açılan resmi banka hesabına. (3) BELGE: Kampanya makbuzu + banka dekontu + Resmî Gazete ilanı. (4) DÖNEM: Fiili ödemenin yapıldığı dönemde indirim. (5) DEVREDEN YOK. (6) YİAKV ✗: E.11.</t>
  </si>
  <si>
    <t>451 – CB KAMPANYA BAĞIŞLARI KVK Md.10/1-e | HESAPLAMALAR VE DENETİM</t>
  </si>
  <si>
    <t>Tamamının İndirimi | KVK Md.10/1-e | CB Kampanyası | Beyanname 451 | ✗ YİAKV E.11</t>
  </si>
  <si>
    <t>A. TASDİK ÖZETİ</t>
  </si>
  <si>
    <t>A0 Uygunluğu</t>
  </si>
  <si>
    <t>OK ise devam</t>
  </si>
  <si>
    <t>Kampanya Türü (B.1)</t>
  </si>
  <si>
    <t>CB Kampanyası türü</t>
  </si>
  <si>
    <t>Kampanya Adı (A.5)</t>
  </si>
  <si>
    <t>Resmi kampanya adı</t>
  </si>
  <si>
    <t>Toplam Bağış (D.3)</t>
  </si>
  <si>
    <t>C tablosu toplamı</t>
  </si>
  <si>
    <t>451 İNDİRİM (D.5)</t>
  </si>
  <si>
    <t>YİAKV</t>
  </si>
  <si>
    <t>✗ DÜŞÜLEMEZ (E.11 Bilgi)</t>
  </si>
  <si>
    <t>Bağış/yardım tümü YİAKV dışı</t>
  </si>
  <si>
    <t>B. KVK Md.10/1-e KAPSAMI — CB KAMPANYASI TANIMI VE KOŞULLARI</t>
  </si>
  <si>
    <t xml:space="preserve">  KVK MADDE 10/1-e — CUMHURBAŞKANINCA BAŞLATILAN YARDIM KAMPANYALARI:
  KAPSAM: Cumhurbaşkanı tarafından başlatılan yardım kampanyalarına makbuz karşılığında yapılan bağış ve yardımların tamamı indirilir.
  KAMPANYA KOŞULLARI:
  ① Kampanyayı Cumhurbaşkanlığı'nın bizzat başlatmış olması (Resmî Gazete ilanı).
  ② Ödemenin kampanya için açılan resmi hesaba yapılması.
  ③ Bağışın dönem içinde fiilen gerçekleşmesi.
  ④ Kampanya makbuzu veya bağış teyit belgesi.
  KAPSAM DIŞI:
  ✗ Sadece Bakanlık başlattığı kampanyalar
  ✗ Valilik/belediye/sivil kuruluş yardım kampanyaları
  ✗ Resmi olmayan sosyal medya/medya kampanyaları
  ÖRNEK (KAPSAM İÇİ):
  2023 Kahramanmaraş Depremi Yardım Kampanyası — CB tarafından ilan edildi,
  Resmî Gazete'de yayımlandı, özel banka hesabı açıldı → 451 uygulanır.
  ÖRNEK (KAPSAM DIŞI):
  Kızılay'ın kendi düzenlediği bağış kampanyası → 471 (2828 s.K.) kapsamı değerlendirin.</t>
  </si>
  <si>
    <t>C. DENETİM KONTROL LİSTESİ (K1–K12)</t>
  </si>
  <si>
    <t>Kontrol</t>
  </si>
  <si>
    <t>Sonuç</t>
  </si>
  <si>
    <t>K1</t>
  </si>
  <si>
    <t>★ Kampanya CB tarafından resmi olarak başlatıldı mı?</t>
  </si>
  <si>
    <t>RG ilanı veya CB kararnamesi teyit.</t>
  </si>
  <si>
    <t>Uygun/Eksik/Risk</t>
  </si>
  <si>
    <t>K2</t>
  </si>
  <si>
    <t>★ Resmî Gazete ilanı veya CB duyurusu temin edildi mi?</t>
  </si>
  <si>
    <t>İlan belgesi yoksa 451 riski.</t>
  </si>
  <si>
    <t>K3</t>
  </si>
  <si>
    <t>★ Ödeme kampanya için açılan resmi hesaba mı yapıldı?</t>
  </si>
  <si>
    <t>Üçüncü kişi hesabı → Risk.</t>
  </si>
  <si>
    <t>K4</t>
  </si>
  <si>
    <t>★ Kampanya makbuzu/bağış teyit belgesi alındı mı?</t>
  </si>
  <si>
    <t>Banka dekontu tek başına yeterli olmayabilir.</t>
  </si>
  <si>
    <t>K5</t>
  </si>
  <si>
    <t>★ Bağış FİİLEN yapıldı mı? (Dönem içinde)</t>
  </si>
  <si>
    <t>Taahhüt → Kapsam dışı.</t>
  </si>
  <si>
    <t>K6</t>
  </si>
  <si>
    <t>Ayni bağış varsa maliyet/net defter değeri esas alındı mı?</t>
  </si>
  <si>
    <t>Piyasa değeri değil. KDV istisnası.</t>
  </si>
  <si>
    <t>K7</t>
  </si>
  <si>
    <t>C tablosu toplamı D.3 ile mutabık mı?</t>
  </si>
  <si>
    <t>E48 = D.3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</si>
  <si>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</si>
  <si>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</si>
  <si>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</si>
  <si>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</si>
  <si>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</si>
  <si>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451 DÜŞÜLEMEZ — E.11 bilgi.</t>
  </si>
  <si>
    <t>K10</t>
  </si>
  <si>
    <t>464 (Aile/Gençlik Fonu) ile karıştırılmadı mı?</t>
  </si>
  <si>
    <t>CB kampanyası → 451. Fon bağışı → 464.</t>
  </si>
  <si>
    <t>K11</t>
  </si>
  <si>
    <t>Beyanname 451 'Kazancın Bulunması Halinde' bölümünde mi?</t>
  </si>
  <si>
    <t>Zarar döneminde uygulanamaz.</t>
  </si>
  <si>
    <t>K12</t>
  </si>
  <si>
    <t>YMM Tasdik Raporu (49 No.lu Tebliğ) değerlendirildi mi?</t>
  </si>
  <si>
    <t>451 – CB KAMPANYA BAĞIŞLARI KVK Md.10/1-e | MUHASEBE KAYITLARI</t>
  </si>
  <si>
    <t>KAYIT 1 — NAKDİ BAĞIŞ (EFT/HAVALE — CB KAMPANYA HESABI)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</si>
  <si>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</si>
  <si>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</si>
  <si>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</si>
  <si>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</si>
  <si>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</si>
  <si>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</si>
  <si>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</si>
  <si>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CB kampanya bağışı (KVK Md.10/1-e) — gider</t>
  </si>
  <si>
    <t>[Tutar]</t>
  </si>
  <si>
    <t>—</t>
  </si>
  <si>
    <t>Kampanya Makbuzu</t>
  </si>
  <si>
    <t>KAYIT 2 — AYNİ BAĞIŞ (GIDA / GİYİM / EKİPMAN / MALZEME)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</si>
  <si>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</si>
  <si>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</si>
  <si>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</si>
  <si>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</si>
  <si>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</si>
  <si>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451 İNDİRİMİ</t>
  </si>
  <si>
    <t>[Dönem Sonu]</t>
  </si>
  <si>
    <t>951 KKEG</t>
  </si>
  <si>
    <t>CB kampanya bağışı KKEG'e alınır</t>
  </si>
  <si>
    <t>Beyanname eki</t>
  </si>
  <si>
    <t xml:space="preserve">  DÖNEM SONU NET ETKİ — BEYANNAME 451:
  CB kampanya bağışı (689/770) → KKEG → Matrahı artırır → Beyanname 451 tamamının indirimi → Matrahtan düşülür.
  YİAKV: ✗ DÜŞÜLEMEZ — E.11. Ayni bağışta (gıda/giyim/ekipman) KDV istisnası (KDVK Md.17/2-b).
  YÜKSEK TUTAR NOTU: CB kampanya bağışları genellikle büyük tutarlıdır — matrah aşım kontrolü kritik.</t>
  </si>
  <si>
    <t>451 – CB KAMPANYA BAĞIŞLARI KVK Md.10/1-e | DENETÇİ NOTLARI</t>
  </si>
  <si>
    <t>GİB KV Beyan Rehberi 2026 | KVK Md.10/1-e | CB Kampanyası | Resmî Gazete | YİAKV E.11</t>
  </si>
  <si>
    <t>Kod</t>
  </si>
  <si>
    <t>Konu</t>
  </si>
  <si>
    <t>Mesleki Değerlendirme / Tasdik Standardı</t>
  </si>
  <si>
    <t>Mevzuat / Kaynak</t>
  </si>
  <si>
    <t>N1</t>
  </si>
  <si>
    <t>KVK Md.10/1-e — CB Kampanyası Kapsamı ve Koşulları</t>
  </si>
  <si>
    <t>KVK MADDE 10/1-e — CUMHURBAŞKANINCA BAŞLATILAN YARDIM KAMPANYALARI:
Cumhurbaşkanı tarafından başlatılan yardım kampanyalarına makbuz karşılığında
yapılan bağış ve yardımların tamamı kurumlar vergisi matrahından indirilir.
UYGULAMA KOŞULLARI:
① Kampanyayı bizzat Cumhurbaşkanlığı başlatmış olmalı
② Resmî Gazete ilanı veya CB kararnamesiyle ilan edilmeli
③ Kampanya için açılan resmi banka hesabına ödeme
④ Kampanya makbuzu veya bağış teyit belgesi
⑤ Dönem içinde fiili ödeme
ÖRNEK: 2023 Kahramanmaraş Depremi CB Kampanyası
YİAKV: ✗ DÜŞÜLEMEZ (E.11 bilgi) | BEYANNAME: 451</t>
  </si>
  <si>
    <t>KVK Md.10/1-e | GİB KV Beyan Reh. 2026 (No:606)</t>
  </si>
  <si>
    <t>N2</t>
  </si>
  <si>
    <t>★ Bakanlık/Valilik Kampanyası ile CB Kampanyası Ayrımı</t>
  </si>
  <si>
    <t>EN KRİTİK AYRIM — KAMPANYA YETKİLİSİ:
KVK Md.10/1-e KAPSAMINDA (451):
✓ Cumhurbaşkanlığı tarafından başlatılan kampanya
✓ Resmî Gazete'de ilan edilen resmi kampanya
✓ Örnek: CB Afet Yardım Kampanyası, CB Deprem Kampanyası
KVK Md.10/1-e KAPSAMI DIŞI:
✗ AFAD'ın kendi kampanyası (CB başlatmadıysa)
✗ İçişleri Bakanlığı kampanyası
✗ Valilik/belediye kampanyaları
✗ Kızılay, AKUT, sivil toplum kampanyaları
✗ Sosyal medya yardım kampanyaları
KAPSAM DIŞI ALTERNATİFLER:
Kızılay bağışı → 471 (2828 s.K.) değerlendirin
Aile/Gençlik Fonu → 464 (7474 Md.6) değerlendirin
Doğrudan bakanlığa → 402 (kamu idaresi) değerlendirin
YMM: Kampanyanın CB tarafından başlatıldığını BELGEYLE teyit et.</t>
  </si>
  <si>
    <t>KVK Md.10/1-e | GİB Özelge | RG İlanı</t>
  </si>
  <si>
    <t>N3</t>
  </si>
  <si>
    <t>Afet Dönemi Bağışlarında Belge Tamamlama Süreci</t>
  </si>
  <si>
    <t>AFETLERDEKİ ÖZEL DURUM — BELGE TAKVİMİ:
Büyük afet dönemlerinde bağışlar hızla yapılır; belgeler sonradan gelir.
YMM bu durumda şunları izler:
1. BANKA DEKONTU (Anında):
   Kampanya hesabına EFT/havale dekontu — tarih ve tutar teyidi.
2. KAMPANYA MAKBUZU (Sonradan):
   Kampanya idaresi makbuzu — bağış teyit belgesi.
   Makbuzun geç gelmesi indirim hakkını ortadan kaldırmaz.
   Ancak beyanname verilmeden önce temin edilmeli.
3. REsmi GAZETE İLANI (Arşivden):
   Kampanyanın CB tarafından başlatıldığını kanıtlar.
   GİB denetiminde sorulacak temel belge.
4. AYNİ BAĞIŞ (Gıda/Giyim):
   AFAD veya kampanya idaresinden imzalı teslim tutanağı.
   Maliyet değeri ile değerleme yapılır.</t>
  </si>
  <si>
    <t>KVK Md.10/1-e | GİB Özelge | AFAD Protokolü</t>
  </si>
  <si>
    <t>N4</t>
  </si>
  <si>
    <t>YİAKV ile İlişki — E.11 Kapsamlı Tablo</t>
  </si>
  <si>
    <t>YİAKV (KVK Md.32/C) VE 451 CB KAMPANYA BAĞIŞI:
✗ 451 (KVK Md.10/1-e): DÜŞÜLEMEZ → YİAKV E.11
YİAKV E.11 — TÜM BAĞIŞ/YARDIM/SPONSORLUK KODLARI:
✗ 402 | ✗ 403 | ✗ 404 | ✗ 417 | ✗ 451 | ✗ 460/461
✗ 464 | ✗ 465 | ✗ 466 | ✗ 469–483 (tüm özel kanunlu)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</si>
  <si>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</si>
  <si>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</si>
  <si>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</si>
  <si>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'...Kurumlar Vergisi Kanunu'nun 10. maddesinin (e) bendi kapsamında
Cumhurbaşkanınca başlatılan [Kampanya Adı] yardım kampanyasına
[Tarih] tarihinde banka yoluyla kampanya hesabına ödenen [Nakdi TL]
TL nakdi bağış ile [Ayni TL] TL maliyet bedelindeki ayni bağışın
tamamı olan [Toplam TL] TL, kurumlar vergisi matrahından
indirilmiştir. Söz konusu tutar YİAKV matrahından indirilmemiştir.'
(Matrahı aşıyorsa ekleyin:)
'[Aşan TL] TL'lik kısım dönem matrahını aşması nedeniyle
sonraki dönemlere devredilmemiştir.'
KULLANMAYIN:
'...Bakanlık kampanyasına yapılan bağış 451 kapsamında.' (CB değilse kapsam dışı)
'...Kızılay kampanyasına bağış 451 kapsamında.' (→ 471 değerlendirin)
'...451 YİAKV matrahından düşülmüştür.' (YANLIŞ)
KRİTİK RİSKLER:
(1) CB tarafından başlatılmayan kampanyayı 451'e yazmak.
(2) Kampanya makbuzu temin etmemek.
(3) Matrahı aşan kısmı devretmeye çalışmak.</t>
  </si>
  <si>
    <t>49 No.lu Tebliğ | KVK Md.10/1-e | SM-SMMM-YMM K. Md.12</t>
  </si>
  <si>
    <t xml:space="preserve">  GİB KV BEYAN REHBERİ MART 2026 (No:606) KAPANIŞ (451): KVK Md.10/1-e — Cumhurbaşkanınca başlatılan yardım kampanyaları. Bakanlık/valilik kampanyaları → Kapsam dışı. Resmî Gazete ilanı zorunlu. Kampanya hesabına ödeme + makbuz. Tamamının indirimi — matrahı aşan devredilmez. ✗ YİAKV E.11. YMM: SM-SMMM-YMM K. Md.12.</t>
  </si>
  <si>
    <t>451 – CB KAMPANYA BAĞIŞLARI KVK Md.10/1-e | BELGE LİSTESİ | YMM TASDİK</t>
  </si>
  <si>
    <t>RG İlanı | Kampanya Makbuzu | Banka Dekontu | Teslim Tutanağı | YİAKV E.11</t>
  </si>
  <si>
    <t>KATEGORİ 1 — ZORUNLU BELGELER</t>
  </si>
  <si>
    <t>No</t>
  </si>
  <si>
    <t>Temin</t>
  </si>
  <si>
    <t>1</t>
  </si>
  <si>
    <t>★ Resmî Gazete İlanı / Cumhurbaşkanlığı Duyurusu</t>
  </si>
  <si>
    <t>Yardım kampanyasının CB tarafından başlatıldığını kanıtlayan Resmî Gazete ilanı veya resmi Cumhurbaşkanlığı kararnamesi/duyurusu. 451'in en temel belgesi.</t>
  </si>
  <si>
    <t>Resmî Gazete / Cumhurbaşkanlığı</t>
  </si>
  <si>
    <t>2</t>
  </si>
  <si>
    <t>★ Kampanya Makbuzu / Bağış Teyit Belgesi</t>
  </si>
  <si>
    <t>Kampanya idaresi (Cumhurbaşkanlığı/AFAD/yetkili kurum) tarafından düzenlenen resmi makbuz veya bağış teyit belgesi. Sadece banka dekontu yeterli olmayabilir.</t>
  </si>
  <si>
    <t>Kampanya İdaresi / AFAD</t>
  </si>
  <si>
    <t>3</t>
  </si>
  <si>
    <t>★ Nakdi Bağış — Banka EFT/Havale Dekontu</t>
  </si>
  <si>
    <t>Kampanya için açılan resmi hesaba yapılan her nakdi ödeme için banka dekontu. Kampanya hesap bilgisi (IBAN) ile eşleşmeli.</t>
  </si>
  <si>
    <t>Banka / Şirket hesabı</t>
  </si>
  <si>
    <t>4</t>
  </si>
  <si>
    <t>Ayni Bağış — AFAD/Kampanya Teslim Tutanağı + Maliyet Notu</t>
  </si>
  <si>
    <t>Gıda, giyim, ekipman, malzeme bağışı için AFAD veya kampanya idaresi imzalı teslim tutanağı ve maliyet/net defter değeri notu. KDV istisnası (KDVK Md.17/2-b).</t>
  </si>
  <si>
    <t>Teslim sırasında</t>
  </si>
  <si>
    <t>5</t>
  </si>
  <si>
    <t>Kampanya Hesap Bilgisi (IBAN/Hesap Numarası)</t>
  </si>
  <si>
    <t>Ödemenin yapıldığı kampanya hesabının resmi IBAN veya banka bilgisi. Banka dekontundaki hesap bilgisiyle örtüşmeli.</t>
  </si>
  <si>
    <t>CB Duyurusu / Kampanya İlanı</t>
  </si>
  <si>
    <t>6</t>
  </si>
  <si>
    <t>KV Beyannamesi 451 Satırı + YİAKV E.11 Bilgi</t>
  </si>
  <si>
    <t>Beyanname 451 = D.5 tutarı. YİAKV E.11 = 402+403+404+417+451+diğer bağış kodları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</si>
  <si>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</si>
  <si>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</si>
  <si>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</si>
  <si>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</si>
  <si>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</si>
  <si>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RG ilanı veya CB kararnamesi.</t>
  </si>
  <si>
    <t>YMM kontrolü</t>
  </si>
  <si>
    <t>S2</t>
  </si>
  <si>
    <t>★ Resmî Gazete ilanı temin edildi mi?</t>
  </si>
  <si>
    <t>Arşivden temin zorunlu.</t>
  </si>
  <si>
    <t>S3</t>
  </si>
  <si>
    <t>★ Ödeme kampanya resmi hesabına mı yapıldı?</t>
  </si>
  <si>
    <t>IBAN uyuşması kontrol.</t>
  </si>
  <si>
    <t>S4</t>
  </si>
  <si>
    <t>★ Kampanya makbuzu/teyit belgesi alındı mı?</t>
  </si>
  <si>
    <t>İdareden temin.</t>
  </si>
  <si>
    <t>S5</t>
  </si>
  <si>
    <t>★ Bağış fiilen dönem içinde yapıldı mı?</t>
  </si>
  <si>
    <t>Dönem dışı ödeme → Sonraki döneme.</t>
  </si>
  <si>
    <t>S6</t>
  </si>
  <si>
    <t>Ayni bağış varsa teslim tutanağı ve maliyet notu var mı?</t>
  </si>
  <si>
    <t>AFAD tutanağı + maliyet.</t>
  </si>
  <si>
    <t>S7</t>
  </si>
  <si>
    <t>★ İndirim matrahı aşıyor mu? (Devredilmez!)</t>
  </si>
  <si>
    <t>S8</t>
  </si>
  <si>
    <t>✗ YİAKV E.11'de bilgi satırı var mı?</t>
  </si>
  <si>
    <t>451 DÜŞÜLEMEZ — E.11.</t>
  </si>
  <si>
    <t>S9</t>
  </si>
  <si>
    <t>CB kampanyası olmayan bağış 451'e dahil edilmedi mi?</t>
  </si>
  <si>
    <t>Kapsam dışını ayıkla.</t>
  </si>
  <si>
    <t>S10</t>
  </si>
  <si>
    <t>YMM Tasdik Raporu değerlendirildi mi?</t>
  </si>
  <si>
    <t>&gt;=500.000 TL → Rapor.</t>
  </si>
  <si>
    <t xml:space="preserve">  GİB KV BEYAN REHBERİ MART 2026 (No:606) | 451 CB KAMPANYA BAĞIŞI SON NOT:
  KVK Md.10/1-e — Cumhurbaşkanınca başlatılan yardım kampanyaları.
  Resmî Gazete ilanı + kampanya hesabına ödeme + makbuz üçlüsü zorunlu.
  Bakanlık/valilik/sivil toplum kampanyaları kapsam dışı.
  Tamamının indirimi — matrahı aşan kısım devredilemez. ✗ YİAKV E.11.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</si>
</sst>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8B0000"/>
      <name val="Arial"/>
    </font>
    <font>
      <b/>
      <sz val="10"/>
      <color rgb="FF8B0000"/>
      <name val="Arial"/>
    </font>
    <font>
      <sz val="9"/>
      <color rgb="FF1F3864"/>
      <name val="Arial"/>
    </font>
    <font>
      <b/>
      <sz val="9"/>
      <color rgb="FF8B0000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3F3"/>
      </patternFill>
    </fill>
    <fill>
      <patternFill patternType="solid">
        <fgColor rgb="FFC6EFCE"/>
      </patternFill>
    </fill>
    <fill>
      <patternFill patternType="solid">
        <fgColor rgb="FFFFE0E0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8B0000"/>
      </left>
      <right style="thin">
        <color rgb="FF8B0000"/>
      </right>
      <top style="thin">
        <color rgb="FF8B0000"/>
      </top>
      <bottom style="thin">
        <color rgb="FF8B00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2" borderId="4" xfId="0" applyNumberFormat="1" applyFont="1" applyFill="1" applyBorder="1" applyAlignment="1">
      <alignment horizontal="right" vertical="center"/>
    </xf>
    <xf numFmtId="0" fontId="12" fillId="12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29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0" fillId="11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26" fillId="17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6" fillId="14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72EE54-B6D6-40FF-9685-FFE59BE8D6B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f09660c-6cf5-4db3-b841-a75ae9f4896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4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3" t="s">
        <v>1</v>
      </c>
      <c r="B2" s="61"/>
      <c r="C2" s="61"/>
      <c r="D2" s="61"/>
      <c r="E2" s="61"/>
      <c r="F2" s="61"/>
      <c r="G2" s="62"/>
    </row>
    <row r="3" spans="1:7" ht="52" customHeight="1" x14ac:dyDescent="0.55000000000000004">
      <c r="A3" s="86" t="s">
        <v>2</v>
      </c>
      <c r="B3" s="66"/>
      <c r="C3" s="66"/>
      <c r="D3" s="66"/>
      <c r="E3" s="66"/>
      <c r="F3" s="66"/>
      <c r="G3" s="64"/>
    </row>
    <row r="4" spans="1:7" ht="26.05" customHeight="1" x14ac:dyDescent="0.55000000000000004">
      <c r="A4" s="88" t="s">
        <v>3</v>
      </c>
      <c r="B4" s="66"/>
      <c r="C4" s="66"/>
      <c r="D4" s="66"/>
      <c r="E4" s="66"/>
      <c r="F4" s="66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2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1" t="s">
        <v>8</v>
      </c>
      <c r="B8" s="66"/>
      <c r="C8" s="66"/>
      <c r="D8" s="64"/>
      <c r="E8" s="3" t="s">
        <v>9</v>
      </c>
      <c r="F8" s="78" t="s">
        <v>10</v>
      </c>
      <c r="G8" s="64"/>
    </row>
    <row r="9" spans="1:7" ht="28" customHeight="1" x14ac:dyDescent="0.55000000000000004">
      <c r="A9" s="81" t="s">
        <v>11</v>
      </c>
      <c r="B9" s="66"/>
      <c r="C9" s="66"/>
      <c r="D9" s="64"/>
      <c r="E9" s="3" t="s">
        <v>9</v>
      </c>
      <c r="F9" s="78" t="s">
        <v>12</v>
      </c>
      <c r="G9" s="64"/>
    </row>
    <row r="10" spans="1:7" ht="28" customHeight="1" x14ac:dyDescent="0.55000000000000004">
      <c r="A10" s="81" t="s">
        <v>13</v>
      </c>
      <c r="B10" s="66"/>
      <c r="C10" s="66"/>
      <c r="D10" s="64"/>
      <c r="E10" s="3" t="s">
        <v>9</v>
      </c>
      <c r="F10" s="78" t="s">
        <v>14</v>
      </c>
      <c r="G10" s="64"/>
    </row>
    <row r="11" spans="1:7" ht="28" customHeight="1" x14ac:dyDescent="0.55000000000000004">
      <c r="A11" s="68" t="s">
        <v>15</v>
      </c>
      <c r="B11" s="66"/>
      <c r="C11" s="66"/>
      <c r="D11" s="64"/>
      <c r="E11" s="3" t="s">
        <v>9</v>
      </c>
      <c r="F11" s="73" t="s">
        <v>16</v>
      </c>
      <c r="G11" s="64"/>
    </row>
    <row r="12" spans="1:7" ht="28" customHeight="1" x14ac:dyDescent="0.55000000000000004">
      <c r="A12" s="69" t="s">
        <v>17</v>
      </c>
      <c r="B12" s="66"/>
      <c r="C12" s="66"/>
      <c r="D12" s="64"/>
      <c r="E12" s="3" t="s">
        <v>9</v>
      </c>
      <c r="F12" s="79" t="s">
        <v>18</v>
      </c>
      <c r="G12" s="64"/>
    </row>
    <row r="13" spans="1:7" ht="28" customHeight="1" x14ac:dyDescent="0.55000000000000004">
      <c r="A13" s="68" t="s">
        <v>19</v>
      </c>
      <c r="B13" s="66"/>
      <c r="C13" s="66"/>
      <c r="D13" s="64"/>
      <c r="E13" s="3" t="s">
        <v>9</v>
      </c>
      <c r="F13" s="73" t="s">
        <v>20</v>
      </c>
      <c r="G13" s="64"/>
    </row>
    <row r="14" spans="1:7" ht="28" customHeight="1" x14ac:dyDescent="0.55000000000000004">
      <c r="A14" s="69" t="s">
        <v>21</v>
      </c>
      <c r="B14" s="66"/>
      <c r="C14" s="66"/>
      <c r="D14" s="64"/>
      <c r="E14" s="3" t="s">
        <v>9</v>
      </c>
      <c r="F14" s="79" t="s">
        <v>22</v>
      </c>
      <c r="G14" s="64"/>
    </row>
    <row r="15" spans="1:7" ht="24" customHeight="1" x14ac:dyDescent="0.55000000000000004">
      <c r="A15" s="71" t="s">
        <v>23</v>
      </c>
      <c r="B15" s="66"/>
      <c r="C15" s="66"/>
      <c r="D15" s="64"/>
      <c r="E15" s="4" t="str">
        <f>IF(AND(E8="EVET",E9="EVET",E10&lt;&gt;"HAYIR-Farklı Hesap",E12="EVET"),"OK - Hesaplanabilir","HATA - Ön koşul eksik")</f>
        <v>OK - Hesaplanabilir</v>
      </c>
      <c r="F15" s="70" t="s">
        <v>24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25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69" t="s">
        <v>26</v>
      </c>
      <c r="B18" s="64"/>
      <c r="C18" s="65"/>
      <c r="D18" s="66"/>
      <c r="E18" s="64"/>
      <c r="F18" s="67" t="s">
        <v>27</v>
      </c>
      <c r="G18" s="64"/>
    </row>
    <row r="19" spans="1:7" ht="22" customHeight="1" x14ac:dyDescent="0.55000000000000004">
      <c r="A19" s="68" t="s">
        <v>28</v>
      </c>
      <c r="B19" s="64"/>
      <c r="C19" s="65"/>
      <c r="D19" s="66"/>
      <c r="E19" s="64"/>
      <c r="F19" s="63" t="s">
        <v>29</v>
      </c>
      <c r="G19" s="64"/>
    </row>
    <row r="20" spans="1:7" ht="22" customHeight="1" x14ac:dyDescent="0.55000000000000004">
      <c r="A20" s="69" t="s">
        <v>30</v>
      </c>
      <c r="B20" s="64"/>
      <c r="C20" s="65"/>
      <c r="D20" s="66"/>
      <c r="E20" s="64"/>
      <c r="F20" s="67" t="s">
        <v>31</v>
      </c>
      <c r="G20" s="64"/>
    </row>
    <row r="21" spans="1:7" ht="22" customHeight="1" x14ac:dyDescent="0.55000000000000004">
      <c r="A21" s="68" t="s">
        <v>32</v>
      </c>
      <c r="B21" s="64"/>
      <c r="C21" s="65"/>
      <c r="D21" s="66"/>
      <c r="E21" s="64"/>
      <c r="F21" s="63" t="s">
        <v>33</v>
      </c>
      <c r="G21" s="64"/>
    </row>
    <row r="22" spans="1:7" ht="22" customHeight="1" x14ac:dyDescent="0.55000000000000004">
      <c r="A22" s="69" t="s">
        <v>34</v>
      </c>
      <c r="B22" s="64"/>
      <c r="C22" s="65"/>
      <c r="D22" s="66"/>
      <c r="E22" s="64"/>
      <c r="F22" s="67" t="s">
        <v>35</v>
      </c>
      <c r="G22" s="64"/>
    </row>
    <row r="23" spans="1:7" ht="22" customHeight="1" x14ac:dyDescent="0.55000000000000004">
      <c r="A23" s="68" t="s">
        <v>36</v>
      </c>
      <c r="B23" s="64"/>
      <c r="C23" s="65"/>
      <c r="D23" s="66"/>
      <c r="E23" s="64"/>
      <c r="F23" s="63" t="s">
        <v>37</v>
      </c>
      <c r="G23" s="64"/>
    </row>
    <row r="24" spans="1:7" ht="22" customHeight="1" x14ac:dyDescent="0.55000000000000004">
      <c r="A24" s="69" t="s">
        <v>38</v>
      </c>
      <c r="B24" s="64"/>
      <c r="C24" s="65"/>
      <c r="D24" s="66"/>
      <c r="E24" s="64"/>
      <c r="F24" s="67" t="s">
        <v>39</v>
      </c>
      <c r="G24" s="64"/>
    </row>
    <row r="25" spans="1:7" ht="22" customHeight="1" x14ac:dyDescent="0.55000000000000004">
      <c r="A25" s="68" t="s">
        <v>40</v>
      </c>
      <c r="B25" s="64"/>
      <c r="C25" s="65"/>
      <c r="D25" s="66"/>
      <c r="E25" s="64"/>
      <c r="F25" s="63" t="s">
        <v>41</v>
      </c>
      <c r="G25" s="64"/>
    </row>
    <row r="27" spans="1:7" ht="5.05" customHeight="1" x14ac:dyDescent="0.55000000000000004">
      <c r="A27" s="1"/>
      <c r="B27" s="1"/>
      <c r="C27" s="1"/>
      <c r="D27" s="1"/>
      <c r="E27" s="1"/>
      <c r="F27" s="1"/>
      <c r="G27" s="1"/>
    </row>
    <row r="28" spans="1:7" ht="24" customHeight="1" x14ac:dyDescent="0.55000000000000004">
      <c r="A28" s="60" t="s">
        <v>42</v>
      </c>
      <c r="B28" s="61"/>
      <c r="C28" s="61"/>
      <c r="D28" s="61"/>
      <c r="E28" s="61"/>
      <c r="F28" s="61"/>
      <c r="G28" s="62"/>
    </row>
    <row r="29" spans="1:7" ht="18" customHeight="1" x14ac:dyDescent="0.55000000000000004">
      <c r="A29" s="2"/>
      <c r="B29" s="2" t="s">
        <v>43</v>
      </c>
      <c r="C29" s="2"/>
      <c r="D29" s="2" t="s">
        <v>44</v>
      </c>
      <c r="E29" s="2"/>
      <c r="F29" s="2" t="s">
        <v>45</v>
      </c>
      <c r="G29" s="2" t="s">
        <v>46</v>
      </c>
    </row>
    <row r="30" spans="1:7" ht="26.05" customHeight="1" x14ac:dyDescent="0.55000000000000004">
      <c r="A30" s="69" t="s">
        <v>47</v>
      </c>
      <c r="B30" s="64"/>
      <c r="C30" s="3" t="s">
        <v>48</v>
      </c>
      <c r="D30" s="67" t="s">
        <v>49</v>
      </c>
      <c r="E30" s="64"/>
      <c r="F30" s="80" t="s">
        <v>50</v>
      </c>
      <c r="G30" s="64"/>
    </row>
    <row r="31" spans="1:7" ht="26.05" customHeight="1" x14ac:dyDescent="0.55000000000000004">
      <c r="A31" s="68" t="s">
        <v>51</v>
      </c>
      <c r="B31" s="64"/>
      <c r="C31" s="3" t="s">
        <v>52</v>
      </c>
      <c r="D31" s="63" t="s">
        <v>53</v>
      </c>
      <c r="E31" s="64"/>
      <c r="F31" s="82" t="s">
        <v>54</v>
      </c>
      <c r="G31" s="64"/>
    </row>
    <row r="32" spans="1:7" ht="26.05" customHeight="1" x14ac:dyDescent="0.55000000000000004">
      <c r="A32" s="69" t="s">
        <v>55</v>
      </c>
      <c r="B32" s="64"/>
      <c r="C32" s="5"/>
      <c r="D32" s="67" t="s">
        <v>56</v>
      </c>
      <c r="E32" s="64"/>
      <c r="F32" s="80" t="s">
        <v>57</v>
      </c>
      <c r="G32" s="64"/>
    </row>
    <row r="33" spans="1:7" ht="26.05" customHeight="1" x14ac:dyDescent="0.55000000000000004">
      <c r="A33" s="68" t="s">
        <v>58</v>
      </c>
      <c r="B33" s="64"/>
      <c r="C33" s="5"/>
      <c r="D33" s="63" t="s">
        <v>59</v>
      </c>
      <c r="E33" s="64"/>
      <c r="F33" s="82" t="s">
        <v>60</v>
      </c>
      <c r="G33" s="64"/>
    </row>
    <row r="34" spans="1:7" ht="26.05" customHeight="1" x14ac:dyDescent="0.55000000000000004">
      <c r="A34" s="87" t="s">
        <v>61</v>
      </c>
      <c r="B34" s="64"/>
      <c r="C34" s="5"/>
      <c r="D34" s="67" t="s">
        <v>62</v>
      </c>
      <c r="E34" s="64"/>
      <c r="F34" s="80" t="s">
        <v>63</v>
      </c>
      <c r="G34" s="64"/>
    </row>
    <row r="35" spans="1:7" ht="26.05" customHeight="1" x14ac:dyDescent="0.55000000000000004">
      <c r="A35" s="68" t="s">
        <v>64</v>
      </c>
      <c r="B35" s="64"/>
      <c r="C35" s="5"/>
      <c r="D35" s="63" t="s">
        <v>65</v>
      </c>
      <c r="E35" s="64"/>
      <c r="F35" s="82" t="s">
        <v>66</v>
      </c>
      <c r="G35" s="64"/>
    </row>
    <row r="36" spans="1:7" ht="26.05" customHeight="1" x14ac:dyDescent="0.55000000000000004">
      <c r="A36" s="87" t="s">
        <v>67</v>
      </c>
      <c r="B36" s="64"/>
      <c r="C36" s="6">
        <f>C34+C35</f>
        <v>0</v>
      </c>
      <c r="D36" s="67" t="s">
        <v>68</v>
      </c>
      <c r="E36" s="64"/>
      <c r="F36" s="80" t="s">
        <v>69</v>
      </c>
      <c r="G36" s="64"/>
    </row>
    <row r="37" spans="1:7" ht="26.05" customHeight="1" x14ac:dyDescent="0.55000000000000004">
      <c r="A37" s="83" t="s">
        <v>70</v>
      </c>
      <c r="B37" s="64"/>
      <c r="C37" s="5"/>
      <c r="D37" s="63" t="s">
        <v>71</v>
      </c>
      <c r="E37" s="64"/>
      <c r="F37" s="82" t="s">
        <v>72</v>
      </c>
      <c r="G37" s="64"/>
    </row>
    <row r="38" spans="1:7" ht="5.05" customHeight="1" x14ac:dyDescent="0.55000000000000004">
      <c r="A38" s="1"/>
      <c r="B38" s="1"/>
      <c r="C38" s="1"/>
      <c r="D38" s="1"/>
      <c r="E38" s="1"/>
      <c r="F38" s="1"/>
      <c r="G38" s="1"/>
    </row>
    <row r="39" spans="1:7" ht="24" customHeight="1" x14ac:dyDescent="0.55000000000000004">
      <c r="A39" s="60" t="s">
        <v>73</v>
      </c>
      <c r="B39" s="61"/>
      <c r="C39" s="61"/>
      <c r="D39" s="61"/>
      <c r="E39" s="61"/>
      <c r="F39" s="61"/>
      <c r="G39" s="62"/>
    </row>
    <row r="40" spans="1:7" ht="22" customHeight="1" x14ac:dyDescent="0.55000000000000004">
      <c r="A40" s="89" t="s">
        <v>74</v>
      </c>
      <c r="B40" s="66"/>
      <c r="C40" s="66"/>
      <c r="D40" s="66"/>
      <c r="E40" s="66"/>
      <c r="F40" s="66"/>
      <c r="G40" s="64"/>
    </row>
    <row r="41" spans="1:7" ht="18" customHeight="1" x14ac:dyDescent="0.55000000000000004">
      <c r="A41" s="7" t="s">
        <v>75</v>
      </c>
      <c r="B41" s="7" t="s">
        <v>76</v>
      </c>
      <c r="C41" s="7" t="s">
        <v>77</v>
      </c>
      <c r="D41" s="7" t="s">
        <v>78</v>
      </c>
      <c r="E41" s="7" t="s">
        <v>79</v>
      </c>
      <c r="F41" s="7" t="s">
        <v>80</v>
      </c>
      <c r="G41" s="7" t="s">
        <v>81</v>
      </c>
    </row>
    <row r="42" spans="1:7" ht="26.05" customHeight="1" x14ac:dyDescent="0.55000000000000004">
      <c r="A42" s="8"/>
      <c r="B42" s="9"/>
      <c r="C42" s="10"/>
      <c r="D42" s="10"/>
      <c r="E42" s="11">
        <f t="shared" ref="E42:E47" si="0">IF(OR(C42&gt;0,D42&gt;0),C42+D42,0)</f>
        <v>0</v>
      </c>
      <c r="F42" s="12">
        <f t="shared" ref="F42:F47" si="1">E42</f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4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1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4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1">
        <f t="shared" si="0"/>
        <v>0</v>
      </c>
      <c r="F46" s="12">
        <f t="shared" si="1"/>
        <v>0</v>
      </c>
      <c r="G46" s="13"/>
    </row>
    <row r="47" spans="1:7" ht="26.05" customHeight="1" x14ac:dyDescent="0.55000000000000004">
      <c r="A47" s="8"/>
      <c r="B47" s="9"/>
      <c r="C47" s="10"/>
      <c r="D47" s="10"/>
      <c r="E47" s="14">
        <f t="shared" si="0"/>
        <v>0</v>
      </c>
      <c r="F47" s="12">
        <f t="shared" si="1"/>
        <v>0</v>
      </c>
      <c r="G47" s="13"/>
    </row>
    <row r="48" spans="1:7" ht="30" customHeight="1" x14ac:dyDescent="0.55000000000000004">
      <c r="A48" s="77" t="s">
        <v>82</v>
      </c>
      <c r="B48" s="64"/>
      <c r="C48" s="15">
        <f>SUM(C42:C47)</f>
        <v>0</v>
      </c>
      <c r="D48" s="15">
        <f>SUM(D42:D47)</f>
        <v>0</v>
      </c>
      <c r="E48" s="16">
        <f>SUM(E42:E47)</f>
        <v>0</v>
      </c>
      <c r="F48" s="17">
        <f>SUM(F42:F47)</f>
        <v>0</v>
      </c>
      <c r="G48" s="96" t="s">
        <v>83</v>
      </c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60" t="s">
        <v>84</v>
      </c>
      <c r="B50" s="61"/>
      <c r="C50" s="61"/>
      <c r="D50" s="61"/>
      <c r="E50" s="61"/>
      <c r="F50" s="61"/>
      <c r="G50" s="62"/>
    </row>
    <row r="51" spans="1:7" ht="18" customHeight="1" x14ac:dyDescent="0.55000000000000004">
      <c r="A51" s="2"/>
      <c r="B51" s="2" t="s">
        <v>85</v>
      </c>
      <c r="C51" s="2"/>
      <c r="D51" s="2" t="s">
        <v>86</v>
      </c>
      <c r="E51" s="2"/>
      <c r="F51" s="2" t="s">
        <v>45</v>
      </c>
      <c r="G51" s="2" t="s">
        <v>87</v>
      </c>
    </row>
    <row r="52" spans="1:7" ht="28" customHeight="1" x14ac:dyDescent="0.55000000000000004">
      <c r="A52" s="69" t="s">
        <v>88</v>
      </c>
      <c r="B52" s="64"/>
      <c r="C52" s="18">
        <f>C48</f>
        <v>0</v>
      </c>
      <c r="D52" s="67" t="s">
        <v>89</v>
      </c>
      <c r="E52" s="64"/>
      <c r="F52" s="79"/>
      <c r="G52" s="64"/>
    </row>
    <row r="53" spans="1:7" ht="28" customHeight="1" x14ac:dyDescent="0.55000000000000004">
      <c r="A53" s="68" t="s">
        <v>90</v>
      </c>
      <c r="B53" s="64"/>
      <c r="C53" s="18">
        <f>D48</f>
        <v>0</v>
      </c>
      <c r="D53" s="63" t="s">
        <v>91</v>
      </c>
      <c r="E53" s="64"/>
      <c r="F53" s="73"/>
      <c r="G53" s="64"/>
    </row>
    <row r="54" spans="1:7" ht="28" customHeight="1" x14ac:dyDescent="0.55000000000000004">
      <c r="A54" s="69" t="s">
        <v>92</v>
      </c>
      <c r="B54" s="64"/>
      <c r="C54" s="18">
        <f>E48</f>
        <v>0</v>
      </c>
      <c r="D54" s="67" t="s">
        <v>93</v>
      </c>
      <c r="E54" s="64"/>
      <c r="F54" s="79"/>
      <c r="G54" s="64"/>
    </row>
    <row r="55" spans="1:7" ht="28" customHeight="1" x14ac:dyDescent="0.55000000000000004">
      <c r="A55" s="68" t="s">
        <v>94</v>
      </c>
      <c r="B55" s="64"/>
      <c r="C55" s="19" t="s">
        <v>95</v>
      </c>
      <c r="D55" s="63" t="s">
        <v>96</v>
      </c>
      <c r="E55" s="64"/>
      <c r="F55" s="73" t="s">
        <v>97</v>
      </c>
      <c r="G55" s="64"/>
    </row>
    <row r="56" spans="1:7" ht="28" customHeight="1" x14ac:dyDescent="0.55000000000000004">
      <c r="A56" s="72" t="s">
        <v>98</v>
      </c>
      <c r="B56" s="64"/>
      <c r="C56" s="20">
        <f>F48</f>
        <v>0</v>
      </c>
      <c r="D56" s="74" t="s">
        <v>99</v>
      </c>
      <c r="E56" s="64"/>
      <c r="F56" s="75" t="s">
        <v>97</v>
      </c>
      <c r="G56" s="64"/>
    </row>
    <row r="57" spans="1:7" ht="28" customHeight="1" x14ac:dyDescent="0.55000000000000004">
      <c r="A57" s="91" t="s">
        <v>100</v>
      </c>
      <c r="B57" s="64"/>
      <c r="C57" s="21" t="s">
        <v>101</v>
      </c>
      <c r="D57" s="95" t="s">
        <v>102</v>
      </c>
      <c r="E57" s="64"/>
      <c r="F57" s="76" t="s">
        <v>103</v>
      </c>
      <c r="G57" s="64"/>
    </row>
    <row r="58" spans="1:7" ht="5.05" customHeight="1" x14ac:dyDescent="0.55000000000000004">
      <c r="A58" s="1"/>
      <c r="B58" s="1"/>
      <c r="C58" s="1"/>
      <c r="D58" s="1"/>
      <c r="E58" s="1"/>
      <c r="F58" s="1"/>
      <c r="G58" s="1"/>
    </row>
    <row r="59" spans="1:7" ht="32.049999999999997" customHeight="1" x14ac:dyDescent="0.55000000000000004">
      <c r="A59" s="84" t="s">
        <v>104</v>
      </c>
      <c r="B59" s="66"/>
      <c r="C59" s="66"/>
      <c r="D59" s="64"/>
      <c r="E59" s="22" t="str">
        <f>D56</f>
        <v>→ Beyanname 451 | Kazancın Bulunması Halinde</v>
      </c>
      <c r="F59" s="94" t="s">
        <v>105</v>
      </c>
      <c r="G59" s="64"/>
    </row>
    <row r="60" spans="1:7" ht="32.049999999999997" customHeight="1" x14ac:dyDescent="0.55000000000000004">
      <c r="A60" s="90" t="s">
        <v>106</v>
      </c>
      <c r="B60" s="66"/>
      <c r="C60" s="66"/>
      <c r="D60" s="66"/>
      <c r="E60" s="66"/>
      <c r="F60" s="66"/>
      <c r="G60" s="64"/>
    </row>
  </sheetData>
  <mergeCells count="97">
    <mergeCell ref="A2:G2"/>
    <mergeCell ref="F14:G14"/>
    <mergeCell ref="D54:E54"/>
    <mergeCell ref="A14:D14"/>
    <mergeCell ref="F11:G11"/>
    <mergeCell ref="A24:B24"/>
    <mergeCell ref="F12:G12"/>
    <mergeCell ref="F24:G24"/>
    <mergeCell ref="A25:B25"/>
    <mergeCell ref="D32:E32"/>
    <mergeCell ref="F32:G32"/>
    <mergeCell ref="A18:B18"/>
    <mergeCell ref="F35:G35"/>
    <mergeCell ref="C19:E19"/>
    <mergeCell ref="G48"/>
    <mergeCell ref="F52:G52"/>
    <mergeCell ref="A6:G6"/>
    <mergeCell ref="A32:B32"/>
    <mergeCell ref="F22:G22"/>
    <mergeCell ref="A23:B23"/>
    <mergeCell ref="D55:E55"/>
    <mergeCell ref="D30:E30"/>
    <mergeCell ref="A12:D12"/>
    <mergeCell ref="A50:G50"/>
    <mergeCell ref="F55:G55"/>
    <mergeCell ref="A20:B20"/>
    <mergeCell ref="F37:G37"/>
    <mergeCell ref="A31:B31"/>
    <mergeCell ref="F53:G53"/>
    <mergeCell ref="A60:G60"/>
    <mergeCell ref="A55:B55"/>
    <mergeCell ref="F8:G8"/>
    <mergeCell ref="A21:B21"/>
    <mergeCell ref="A57:B57"/>
    <mergeCell ref="F59:G59"/>
    <mergeCell ref="D57:E57"/>
    <mergeCell ref="A59:D59"/>
    <mergeCell ref="A11:D11"/>
    <mergeCell ref="D53:E53"/>
    <mergeCell ref="A1:G1"/>
    <mergeCell ref="D37:E37"/>
    <mergeCell ref="F31:G31"/>
    <mergeCell ref="F9:G9"/>
    <mergeCell ref="C24:E24"/>
    <mergeCell ref="A52:B52"/>
    <mergeCell ref="A3:G3"/>
    <mergeCell ref="A34:B34"/>
    <mergeCell ref="A8:D8"/>
    <mergeCell ref="A4:G4"/>
    <mergeCell ref="A36:B36"/>
    <mergeCell ref="A10:D10"/>
    <mergeCell ref="F21:G21"/>
    <mergeCell ref="A9:D9"/>
    <mergeCell ref="F30:G30"/>
    <mergeCell ref="F20:G20"/>
    <mergeCell ref="F18:G18"/>
    <mergeCell ref="F33:G33"/>
    <mergeCell ref="F10:G10"/>
    <mergeCell ref="F54:G54"/>
    <mergeCell ref="D34:E34"/>
    <mergeCell ref="F19:G19"/>
    <mergeCell ref="C22:E22"/>
    <mergeCell ref="F34:G34"/>
    <mergeCell ref="D52:E52"/>
    <mergeCell ref="A40:G40"/>
    <mergeCell ref="F36:G36"/>
    <mergeCell ref="F57:G57"/>
    <mergeCell ref="C25:E25"/>
    <mergeCell ref="D35:E35"/>
    <mergeCell ref="A48:B48"/>
    <mergeCell ref="A30:B30"/>
    <mergeCell ref="A37:B37"/>
    <mergeCell ref="A56:B56"/>
    <mergeCell ref="A33:B33"/>
    <mergeCell ref="F23:G23"/>
    <mergeCell ref="C18:E18"/>
    <mergeCell ref="F13:G13"/>
    <mergeCell ref="D56:E56"/>
    <mergeCell ref="F56:G56"/>
    <mergeCell ref="A22:B22"/>
    <mergeCell ref="A53:B53"/>
    <mergeCell ref="A35:B35"/>
    <mergeCell ref="D33:E33"/>
    <mergeCell ref="A19:B19"/>
    <mergeCell ref="C20:E20"/>
    <mergeCell ref="A13:D13"/>
    <mergeCell ref="A28:G28"/>
    <mergeCell ref="A54:B54"/>
    <mergeCell ref="F15:G15"/>
    <mergeCell ref="C23:E23"/>
    <mergeCell ref="A39:G39"/>
    <mergeCell ref="A15:D15"/>
    <mergeCell ref="A17:G17"/>
    <mergeCell ref="F25:G25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"EVET,HAYIR-CB Kampanyası Değil"</formula1>
    </dataValidation>
    <dataValidation type="list" sqref="E9" xr:uid="{00000000-0002-0000-0000-000001000000}">
      <formula1>"EVET,HAYIR-Resmi İlan Yok"</formula1>
    </dataValidation>
    <dataValidation type="list" sqref="E10" xr:uid="{00000000-0002-0000-0000-000002000000}">
      <formula1>"EVET,HAYIR-Farklı Hesap,Ayni Bağış"</formula1>
    </dataValidation>
    <dataValidation type="list" sqref="E11" xr:uid="{00000000-0002-0000-0000-000003000000}">
      <formula1>"EVET,HAYIR-Belge Eksik"</formula1>
    </dataValidation>
    <dataValidation type="list" sqref="E12" xr:uid="{00000000-0002-0000-0000-000004000000}">
      <formula1>"EVET,HAYIR-Henüz Ödenmedi"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30" xr:uid="{00000000-0002-0000-0000-000007000000}">
      <formula1>"Deprem Yardım Kampanyası,Sel/Taşkın Afet Yardım Kampanyası,Yangın Afet Yardım Kampanyası,Pandemi/Sağlık Kriz Kampanyası,Genel İnsani Yardım Kampanyası,Diğer CB Kampanyası"</formula1>
    </dataValidation>
    <dataValidation type="list" sqref="C31" xr:uid="{00000000-0002-0000-0000-000008000000}">
      <formula1>"Nakdi (Banka Transferi/EFT/Havale — Kampanya Hesabı),Ayni (Gıda/Giyim/Ekipman/Malzeme),Karma (Nakdi + Ayni)"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8" t="s">
        <v>107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09" t="s">
        <v>108</v>
      </c>
      <c r="B2" s="66"/>
      <c r="C2" s="66"/>
      <c r="D2" s="66"/>
      <c r="E2" s="66"/>
      <c r="F2" s="66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9" t="s">
        <v>109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4" t="s">
        <v>110</v>
      </c>
      <c r="B5" s="66"/>
      <c r="C5" s="64"/>
      <c r="D5" s="23" t="str">
        <f>'VERİ GİRİŞİ'!E15</f>
        <v>OK - Hesaplanabilir</v>
      </c>
      <c r="E5" s="73" t="s">
        <v>111</v>
      </c>
      <c r="F5" s="66"/>
      <c r="G5" s="64"/>
    </row>
    <row r="6" spans="1:7" ht="22" customHeight="1" x14ac:dyDescent="0.55000000000000004">
      <c r="A6" s="105" t="s">
        <v>112</v>
      </c>
      <c r="B6" s="66"/>
      <c r="C6" s="64"/>
      <c r="D6" s="23" t="str">
        <f>'VERİ GİRİŞİ'!C30</f>
        <v>Deprem Yardım Kampanyası</v>
      </c>
      <c r="E6" s="79" t="s">
        <v>113</v>
      </c>
      <c r="F6" s="66"/>
      <c r="G6" s="64"/>
    </row>
    <row r="7" spans="1:7" ht="22" customHeight="1" x14ac:dyDescent="0.55000000000000004">
      <c r="A7" s="104" t="s">
        <v>114</v>
      </c>
      <c r="B7" s="66"/>
      <c r="C7" s="64"/>
      <c r="D7" s="23">
        <f>'VERİ GİRİŞİ'!C22</f>
        <v>0</v>
      </c>
      <c r="E7" s="73" t="s">
        <v>115</v>
      </c>
      <c r="F7" s="66"/>
      <c r="G7" s="64"/>
    </row>
    <row r="8" spans="1:7" ht="22" customHeight="1" x14ac:dyDescent="0.55000000000000004">
      <c r="A8" s="105" t="s">
        <v>116</v>
      </c>
      <c r="B8" s="66"/>
      <c r="C8" s="64"/>
      <c r="D8" s="23">
        <f>'VERİ GİRİŞİ'!C54</f>
        <v>0</v>
      </c>
      <c r="E8" s="79" t="s">
        <v>117</v>
      </c>
      <c r="F8" s="66"/>
      <c r="G8" s="64"/>
    </row>
    <row r="9" spans="1:7" ht="22" customHeight="1" x14ac:dyDescent="0.55000000000000004">
      <c r="A9" s="71" t="s">
        <v>118</v>
      </c>
      <c r="B9" s="66"/>
      <c r="C9" s="64"/>
      <c r="D9" s="24">
        <f>'VERİ GİRİŞİ'!C56</f>
        <v>0</v>
      </c>
      <c r="E9" s="75"/>
      <c r="F9" s="66"/>
      <c r="G9" s="64"/>
    </row>
    <row r="10" spans="1:7" ht="22" customHeight="1" x14ac:dyDescent="0.55000000000000004">
      <c r="A10" s="107" t="s">
        <v>119</v>
      </c>
      <c r="B10" s="66"/>
      <c r="C10" s="64"/>
      <c r="D10" s="21" t="s">
        <v>120</v>
      </c>
      <c r="E10" s="76" t="s">
        <v>121</v>
      </c>
      <c r="F10" s="66"/>
      <c r="G10" s="6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0" t="s">
        <v>122</v>
      </c>
      <c r="B12" s="61"/>
      <c r="C12" s="61"/>
      <c r="D12" s="61"/>
      <c r="E12" s="61"/>
      <c r="F12" s="61"/>
      <c r="G12" s="62"/>
    </row>
    <row r="13" spans="1:7" ht="80.05" customHeight="1" x14ac:dyDescent="0.55000000000000004">
      <c r="A13" s="103" t="s">
        <v>123</v>
      </c>
      <c r="B13" s="66"/>
      <c r="C13" s="66"/>
      <c r="D13" s="66"/>
      <c r="E13" s="66"/>
      <c r="F13" s="66"/>
      <c r="G13" s="64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0" t="s">
        <v>124</v>
      </c>
      <c r="B15" s="61"/>
      <c r="C15" s="61"/>
      <c r="D15" s="61"/>
      <c r="E15" s="61"/>
      <c r="F15" s="61"/>
      <c r="G15" s="62"/>
    </row>
    <row r="16" spans="1:7" ht="18" customHeight="1" x14ac:dyDescent="0.55000000000000004">
      <c r="A16" s="2"/>
      <c r="B16" s="2" t="s">
        <v>125</v>
      </c>
      <c r="C16" s="2"/>
      <c r="D16" s="2" t="s">
        <v>45</v>
      </c>
      <c r="E16" s="2"/>
      <c r="F16" s="2" t="s">
        <v>126</v>
      </c>
      <c r="G16" s="2"/>
    </row>
    <row r="17" spans="1:7" ht="20.05" customHeight="1" x14ac:dyDescent="0.55000000000000004">
      <c r="A17" s="25" t="s">
        <v>127</v>
      </c>
      <c r="B17" s="102" t="s">
        <v>128</v>
      </c>
      <c r="C17" s="64"/>
      <c r="D17" s="97" t="s">
        <v>129</v>
      </c>
      <c r="E17" s="64"/>
      <c r="F17" s="13" t="s">
        <v>130</v>
      </c>
      <c r="G17" s="28"/>
    </row>
    <row r="18" spans="1:7" ht="20.05" customHeight="1" x14ac:dyDescent="0.55000000000000004">
      <c r="A18" s="25" t="s">
        <v>131</v>
      </c>
      <c r="B18" s="102" t="s">
        <v>132</v>
      </c>
      <c r="C18" s="64"/>
      <c r="D18" s="97" t="s">
        <v>133</v>
      </c>
      <c r="E18" s="64"/>
      <c r="F18" s="13" t="s">
        <v>130</v>
      </c>
      <c r="G18" s="29"/>
    </row>
    <row r="19" spans="1:7" ht="20.05" customHeight="1" x14ac:dyDescent="0.55000000000000004">
      <c r="A19" s="25" t="s">
        <v>134</v>
      </c>
      <c r="B19" s="102" t="s">
        <v>135</v>
      </c>
      <c r="C19" s="64"/>
      <c r="D19" s="97" t="s">
        <v>136</v>
      </c>
      <c r="E19" s="64"/>
      <c r="F19" s="13" t="s">
        <v>130</v>
      </c>
      <c r="G19" s="28"/>
    </row>
    <row r="20" spans="1:7" ht="20.05" customHeight="1" x14ac:dyDescent="0.55000000000000004">
      <c r="A20" s="25" t="s">
        <v>137</v>
      </c>
      <c r="B20" s="102" t="s">
        <v>138</v>
      </c>
      <c r="C20" s="64"/>
      <c r="D20" s="97" t="s">
        <v>139</v>
      </c>
      <c r="E20" s="64"/>
      <c r="F20" s="13" t="s">
        <v>130</v>
      </c>
      <c r="G20" s="29"/>
    </row>
    <row r="21" spans="1:7" ht="20.05" customHeight="1" x14ac:dyDescent="0.55000000000000004">
      <c r="A21" s="25" t="s">
        <v>140</v>
      </c>
      <c r="B21" s="102" t="s">
        <v>141</v>
      </c>
      <c r="C21" s="64"/>
      <c r="D21" s="97" t="s">
        <v>142</v>
      </c>
      <c r="E21" s="64"/>
      <c r="F21" s="13" t="s">
        <v>130</v>
      </c>
      <c r="G21" s="28"/>
    </row>
    <row r="22" spans="1:7" ht="20.05" customHeight="1" x14ac:dyDescent="0.55000000000000004">
      <c r="A22" s="25" t="s">
        <v>143</v>
      </c>
      <c r="B22" s="100" t="s">
        <v>144</v>
      </c>
      <c r="C22" s="64"/>
      <c r="D22" s="101" t="s">
        <v>145</v>
      </c>
      <c r="E22" s="64"/>
      <c r="F22" s="13" t="s">
        <v>130</v>
      </c>
      <c r="G22" s="29"/>
    </row>
    <row r="23" spans="1:7" ht="20.05" customHeight="1" x14ac:dyDescent="0.55000000000000004">
      <c r="A23" s="25" t="s">
        <v>146</v>
      </c>
      <c r="B23" s="98" t="s">
        <v>147</v>
      </c>
      <c r="C23" s="64"/>
      <c r="D23" s="106" t="s">
        <v>148</v>
      </c>
      <c r="E23" s="64"/>
      <c r="F23" s="13" t="s">
        <v>130</v>
      </c>
      <c r="G23" s="28"/>
    </row>
    <row r="24" spans="1:7" ht="20.05" customHeight="1" x14ac:dyDescent="0.55000000000000004">
      <c r="A24" s="25" t="s">
        <v>149</v>
      </c>
      <c r="B24" s="102" t="s">
        <v>150</v>
      </c>
      <c r="C24" s="64"/>
      <c r="D24" s="97" t="s">
        <v>151</v>
      </c>
      <c r="E24" s="64"/>
      <c r="F24" s="13" t="s">
        <v>130</v>
      </c>
      <c r="G24" s="29"/>
    </row>
    <row r="25" spans="1:7" ht="20.05" customHeight="1" x14ac:dyDescent="0.55000000000000004">
      <c r="A25" s="25" t="s">
        <v>152</v>
      </c>
      <c r="B25" s="98" t="s">
        <v>153</v>
      </c>
      <c r="C25" s="64"/>
      <c r="D25" s="106" t="s">
        <v>154</v>
      </c>
      <c r="E25" s="64"/>
      <c r="F25" s="13" t="s">
        <v>130</v>
      </c>
      <c r="G25" s="28"/>
    </row>
    <row r="26" spans="1:7" ht="20.05" customHeight="1" x14ac:dyDescent="0.55000000000000004">
      <c r="A26" s="25" t="s">
        <v>155</v>
      </c>
      <c r="B26" s="100" t="s">
        <v>156</v>
      </c>
      <c r="C26" s="64"/>
      <c r="D26" s="101" t="s">
        <v>157</v>
      </c>
      <c r="E26" s="64"/>
      <c r="F26" s="13" t="s">
        <v>130</v>
      </c>
      <c r="G26" s="29"/>
    </row>
    <row r="27" spans="1:7" ht="20.05" customHeight="1" x14ac:dyDescent="0.55000000000000004">
      <c r="A27" s="25" t="s">
        <v>158</v>
      </c>
      <c r="B27" s="98" t="s">
        <v>159</v>
      </c>
      <c r="C27" s="64"/>
      <c r="D27" s="106" t="s">
        <v>160</v>
      </c>
      <c r="E27" s="64"/>
      <c r="F27" s="13" t="s">
        <v>130</v>
      </c>
      <c r="G27" s="28"/>
    </row>
    <row r="28" spans="1:7" ht="20.05" customHeight="1" x14ac:dyDescent="0.55000000000000004">
      <c r="A28" s="25" t="s">
        <v>161</v>
      </c>
      <c r="B28" s="100" t="s">
        <v>162</v>
      </c>
      <c r="C28" s="64"/>
      <c r="D28" s="101" t="s">
        <v>22</v>
      </c>
      <c r="E28" s="64"/>
      <c r="F28" s="13" t="s">
        <v>130</v>
      </c>
      <c r="G28" s="29"/>
    </row>
  </sheetData>
  <mergeCells count="42">
    <mergeCell ref="A1:G1"/>
    <mergeCell ref="B19:C19"/>
    <mergeCell ref="B28:C28"/>
    <mergeCell ref="A9:C9"/>
    <mergeCell ref="D28:E28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A7:C7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163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111" t="s">
        <v>164</v>
      </c>
      <c r="B2" s="66"/>
      <c r="C2" s="66"/>
      <c r="D2" s="66"/>
      <c r="E2" s="66"/>
      <c r="F2" s="66"/>
      <c r="G2" s="64"/>
    </row>
    <row r="3" spans="1:7" ht="18" customHeight="1" x14ac:dyDescent="0.55000000000000004">
      <c r="A3" s="32"/>
      <c r="B3" s="32" t="s">
        <v>165</v>
      </c>
      <c r="C3" s="32" t="s">
        <v>166</v>
      </c>
      <c r="D3" s="32" t="s">
        <v>87</v>
      </c>
      <c r="E3" s="32" t="s">
        <v>167</v>
      </c>
      <c r="F3" s="32" t="s">
        <v>168</v>
      </c>
      <c r="G3" s="32" t="s">
        <v>169</v>
      </c>
    </row>
    <row r="4" spans="1:7" ht="22" customHeight="1" x14ac:dyDescent="0.55000000000000004">
      <c r="A4" s="33" t="s">
        <v>167</v>
      </c>
      <c r="B4" s="33" t="s">
        <v>170</v>
      </c>
      <c r="C4" s="33" t="s">
        <v>171</v>
      </c>
      <c r="D4" s="33" t="s">
        <v>172</v>
      </c>
      <c r="E4" s="33" t="s">
        <v>173</v>
      </c>
      <c r="F4" s="33" t="s">
        <v>174</v>
      </c>
      <c r="G4" s="33" t="s">
        <v>175</v>
      </c>
    </row>
    <row r="5" spans="1:7" ht="22" customHeight="1" x14ac:dyDescent="0.55000000000000004">
      <c r="A5" s="113" t="s">
        <v>176</v>
      </c>
      <c r="B5" s="66"/>
      <c r="C5" s="66"/>
      <c r="D5" s="66"/>
      <c r="E5" s="66"/>
      <c r="F5" s="66"/>
      <c r="G5" s="64"/>
    </row>
    <row r="6" spans="1:7" ht="18" customHeight="1" x14ac:dyDescent="0.55000000000000004">
      <c r="A6" s="32"/>
      <c r="B6" s="32" t="s">
        <v>165</v>
      </c>
      <c r="C6" s="32" t="s">
        <v>166</v>
      </c>
      <c r="D6" s="32" t="s">
        <v>87</v>
      </c>
      <c r="E6" s="32" t="s">
        <v>167</v>
      </c>
      <c r="F6" s="32" t="s">
        <v>168</v>
      </c>
      <c r="G6" s="32" t="s">
        <v>169</v>
      </c>
    </row>
    <row r="7" spans="1:7" ht="22" customHeight="1" x14ac:dyDescent="0.55000000000000004">
      <c r="A7" s="33" t="s">
        <v>167</v>
      </c>
      <c r="B7" s="33" t="s">
        <v>177</v>
      </c>
      <c r="C7" s="33" t="s">
        <v>178</v>
      </c>
      <c r="D7" s="33" t="s">
        <v>179</v>
      </c>
      <c r="E7" s="33" t="s">
        <v>180</v>
      </c>
      <c r="F7" s="33" t="s">
        <v>174</v>
      </c>
      <c r="G7" s="33" t="s">
        <v>181</v>
      </c>
    </row>
    <row r="8" spans="1:7" ht="22" customHeight="1" x14ac:dyDescent="0.55000000000000004">
      <c r="A8" s="110" t="s">
        <v>182</v>
      </c>
      <c r="B8" s="66"/>
      <c r="C8" s="66"/>
      <c r="D8" s="66"/>
      <c r="E8" s="66"/>
      <c r="F8" s="66"/>
      <c r="G8" s="64"/>
    </row>
    <row r="9" spans="1:7" ht="18" customHeight="1" x14ac:dyDescent="0.55000000000000004">
      <c r="A9" s="32"/>
      <c r="B9" s="32" t="s">
        <v>165</v>
      </c>
      <c r="C9" s="32" t="s">
        <v>166</v>
      </c>
      <c r="D9" s="32" t="s">
        <v>87</v>
      </c>
      <c r="E9" s="32" t="s">
        <v>167</v>
      </c>
      <c r="F9" s="32" t="s">
        <v>168</v>
      </c>
      <c r="G9" s="32" t="s">
        <v>169</v>
      </c>
    </row>
    <row r="10" spans="1:7" ht="22" customHeight="1" x14ac:dyDescent="0.55000000000000004">
      <c r="A10" s="33" t="s">
        <v>167</v>
      </c>
      <c r="B10" s="33" t="s">
        <v>183</v>
      </c>
      <c r="C10" s="33" t="s">
        <v>184</v>
      </c>
      <c r="D10" s="33" t="s">
        <v>185</v>
      </c>
      <c r="E10" s="33" t="s">
        <v>173</v>
      </c>
      <c r="F10" s="33" t="s">
        <v>174</v>
      </c>
      <c r="G10" s="33" t="s">
        <v>186</v>
      </c>
    </row>
    <row r="11" spans="1:7" ht="36" customHeight="1" x14ac:dyDescent="0.55000000000000004">
      <c r="A11" s="112" t="s">
        <v>187</v>
      </c>
      <c r="B11" s="66"/>
      <c r="C11" s="66"/>
      <c r="D11" s="66"/>
      <c r="E11" s="66"/>
      <c r="F11" s="66"/>
      <c r="G11" s="64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188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3" t="s">
        <v>189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2" t="s">
        <v>190</v>
      </c>
      <c r="B3" s="32" t="s">
        <v>191</v>
      </c>
      <c r="C3" s="32" t="s">
        <v>192</v>
      </c>
      <c r="D3" s="32" t="s">
        <v>193</v>
      </c>
    </row>
    <row r="4" spans="1:7" ht="64" customHeight="1" x14ac:dyDescent="0.55000000000000004">
      <c r="A4" s="25" t="s">
        <v>194</v>
      </c>
      <c r="B4" s="30" t="s">
        <v>195</v>
      </c>
      <c r="C4" s="34" t="s">
        <v>196</v>
      </c>
      <c r="D4" s="35" t="s">
        <v>197</v>
      </c>
    </row>
    <row r="5" spans="1:7" ht="60" customHeight="1" x14ac:dyDescent="0.55000000000000004">
      <c r="A5" s="36" t="s">
        <v>198</v>
      </c>
      <c r="B5" s="26" t="s">
        <v>199</v>
      </c>
      <c r="C5" s="27" t="s">
        <v>200</v>
      </c>
      <c r="D5" s="37" t="s">
        <v>201</v>
      </c>
    </row>
    <row r="6" spans="1:7" ht="52" customHeight="1" x14ac:dyDescent="0.55000000000000004">
      <c r="A6" s="25" t="s">
        <v>202</v>
      </c>
      <c r="B6" s="30" t="s">
        <v>203</v>
      </c>
      <c r="C6" s="34" t="s">
        <v>204</v>
      </c>
      <c r="D6" s="35" t="s">
        <v>205</v>
      </c>
    </row>
    <row r="7" spans="1:7" ht="48" customHeight="1" x14ac:dyDescent="0.55000000000000004">
      <c r="A7" s="25" t="s">
        <v>206</v>
      </c>
      <c r="B7" s="30" t="s">
        <v>207</v>
      </c>
      <c r="C7" s="34" t="s">
        <v>208</v>
      </c>
      <c r="D7" s="35" t="s">
        <v>209</v>
      </c>
    </row>
    <row r="8" spans="1:7" ht="64" customHeight="1" x14ac:dyDescent="0.55000000000000004">
      <c r="A8" s="25" t="s">
        <v>210</v>
      </c>
      <c r="B8" s="31" t="s">
        <v>211</v>
      </c>
      <c r="C8" s="34" t="s">
        <v>212</v>
      </c>
      <c r="D8" s="38" t="s">
        <v>213</v>
      </c>
    </row>
    <row r="9" spans="1:7" ht="36" customHeight="1" x14ac:dyDescent="0.55000000000000004">
      <c r="A9" s="114" t="s">
        <v>214</v>
      </c>
      <c r="B9" s="66"/>
      <c r="C9" s="66"/>
      <c r="D9" s="64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215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3" t="s">
        <v>216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6" t="s">
        <v>217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2"/>
      <c r="B5" s="32" t="s">
        <v>218</v>
      </c>
      <c r="C5" s="32" t="s">
        <v>54</v>
      </c>
      <c r="D5" s="32" t="s">
        <v>45</v>
      </c>
      <c r="E5" s="32" t="s">
        <v>219</v>
      </c>
      <c r="F5" s="32"/>
    </row>
    <row r="6" spans="1:7" ht="36" customHeight="1" x14ac:dyDescent="0.55000000000000004">
      <c r="A6" s="40"/>
      <c r="B6" s="41" t="s">
        <v>220</v>
      </c>
      <c r="C6" s="42" t="s">
        <v>221</v>
      </c>
      <c r="D6" s="43" t="s">
        <v>222</v>
      </c>
      <c r="E6" s="44" t="s">
        <v>223</v>
      </c>
      <c r="F6" s="40"/>
    </row>
    <row r="7" spans="1:7" ht="36" customHeight="1" x14ac:dyDescent="0.55000000000000004">
      <c r="A7" s="28"/>
      <c r="B7" s="45" t="s">
        <v>224</v>
      </c>
      <c r="C7" s="46" t="s">
        <v>225</v>
      </c>
      <c r="D7" s="43" t="s">
        <v>226</v>
      </c>
      <c r="E7" s="47" t="s">
        <v>227</v>
      </c>
      <c r="F7" s="28"/>
    </row>
    <row r="8" spans="1:7" ht="36" customHeight="1" x14ac:dyDescent="0.55000000000000004">
      <c r="A8" s="40"/>
      <c r="B8" s="41" t="s">
        <v>228</v>
      </c>
      <c r="C8" s="42" t="s">
        <v>229</v>
      </c>
      <c r="D8" s="43" t="s">
        <v>230</v>
      </c>
      <c r="E8" s="44" t="s">
        <v>231</v>
      </c>
      <c r="F8" s="40"/>
    </row>
    <row r="9" spans="1:7" ht="36" customHeight="1" x14ac:dyDescent="0.55000000000000004">
      <c r="A9" s="28"/>
      <c r="B9" s="45" t="s">
        <v>232</v>
      </c>
      <c r="C9" s="31" t="s">
        <v>233</v>
      </c>
      <c r="D9" s="43" t="s">
        <v>234</v>
      </c>
      <c r="E9" s="47" t="s">
        <v>235</v>
      </c>
      <c r="F9" s="28"/>
    </row>
    <row r="10" spans="1:7" ht="36" customHeight="1" x14ac:dyDescent="0.55000000000000004">
      <c r="A10" s="40"/>
      <c r="B10" s="41" t="s">
        <v>236</v>
      </c>
      <c r="C10" s="48" t="s">
        <v>237</v>
      </c>
      <c r="D10" s="43" t="s">
        <v>238</v>
      </c>
      <c r="E10" s="44" t="s">
        <v>239</v>
      </c>
      <c r="F10" s="40"/>
    </row>
    <row r="11" spans="1:7" ht="36" customHeight="1" x14ac:dyDescent="0.55000000000000004">
      <c r="A11" s="28"/>
      <c r="B11" s="45" t="s">
        <v>240</v>
      </c>
      <c r="C11" s="31" t="s">
        <v>241</v>
      </c>
      <c r="D11" s="43" t="s">
        <v>242</v>
      </c>
      <c r="E11" s="47" t="s">
        <v>243</v>
      </c>
      <c r="F11" s="28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5" t="s">
        <v>244</v>
      </c>
      <c r="B13" s="61"/>
      <c r="C13" s="61"/>
      <c r="D13" s="61"/>
      <c r="E13" s="61"/>
      <c r="F13" s="61"/>
      <c r="G13" s="62"/>
    </row>
    <row r="14" spans="1:7" ht="18" customHeight="1" x14ac:dyDescent="0.55000000000000004">
      <c r="A14" s="49"/>
      <c r="B14" s="49" t="s">
        <v>218</v>
      </c>
      <c r="C14" s="49" t="s">
        <v>5</v>
      </c>
      <c r="D14" s="49" t="s">
        <v>245</v>
      </c>
      <c r="E14" s="49" t="s">
        <v>246</v>
      </c>
      <c r="F14" s="49"/>
    </row>
    <row r="15" spans="1:7" ht="28" customHeight="1" x14ac:dyDescent="0.55000000000000004">
      <c r="A15" s="50"/>
      <c r="B15" s="51" t="s">
        <v>247</v>
      </c>
      <c r="C15" s="52" t="s">
        <v>128</v>
      </c>
      <c r="D15" s="53" t="s">
        <v>248</v>
      </c>
      <c r="E15" s="54" t="s">
        <v>249</v>
      </c>
      <c r="F15" s="50"/>
    </row>
    <row r="16" spans="1:7" ht="28" customHeight="1" x14ac:dyDescent="0.55000000000000004">
      <c r="A16" s="50"/>
      <c r="B16" s="51" t="s">
        <v>250</v>
      </c>
      <c r="C16" s="52" t="s">
        <v>251</v>
      </c>
      <c r="D16" s="53" t="s">
        <v>252</v>
      </c>
      <c r="E16" s="54" t="s">
        <v>249</v>
      </c>
      <c r="F16" s="50"/>
    </row>
    <row r="17" spans="1:7" ht="28" customHeight="1" x14ac:dyDescent="0.55000000000000004">
      <c r="A17" s="50"/>
      <c r="B17" s="51" t="s">
        <v>253</v>
      </c>
      <c r="C17" s="52" t="s">
        <v>254</v>
      </c>
      <c r="D17" s="53" t="s">
        <v>255</v>
      </c>
      <c r="E17" s="54" t="s">
        <v>249</v>
      </c>
      <c r="F17" s="50"/>
    </row>
    <row r="18" spans="1:7" ht="28" customHeight="1" x14ac:dyDescent="0.55000000000000004">
      <c r="A18" s="50"/>
      <c r="B18" s="51" t="s">
        <v>256</v>
      </c>
      <c r="C18" s="52" t="s">
        <v>257</v>
      </c>
      <c r="D18" s="53" t="s">
        <v>258</v>
      </c>
      <c r="E18" s="54" t="s">
        <v>249</v>
      </c>
      <c r="F18" s="50"/>
    </row>
    <row r="19" spans="1:7" ht="28" customHeight="1" x14ac:dyDescent="0.55000000000000004">
      <c r="A19" s="50"/>
      <c r="B19" s="51" t="s">
        <v>259</v>
      </c>
      <c r="C19" s="52" t="s">
        <v>260</v>
      </c>
      <c r="D19" s="53" t="s">
        <v>261</v>
      </c>
      <c r="E19" s="54" t="s">
        <v>249</v>
      </c>
      <c r="F19" s="50"/>
    </row>
    <row r="20" spans="1:7" ht="28" customHeight="1" x14ac:dyDescent="0.55000000000000004">
      <c r="A20" s="55"/>
      <c r="B20" s="56" t="s">
        <v>262</v>
      </c>
      <c r="C20" s="57" t="s">
        <v>263</v>
      </c>
      <c r="D20" s="58" t="s">
        <v>264</v>
      </c>
      <c r="E20" s="59" t="s">
        <v>249</v>
      </c>
      <c r="F20" s="55"/>
    </row>
    <row r="21" spans="1:7" ht="28" customHeight="1" x14ac:dyDescent="0.55000000000000004">
      <c r="A21" s="50"/>
      <c r="B21" s="51" t="s">
        <v>265</v>
      </c>
      <c r="C21" s="52" t="s">
        <v>266</v>
      </c>
      <c r="D21" s="53" t="s">
        <v>151</v>
      </c>
      <c r="E21" s="54" t="s">
        <v>249</v>
      </c>
      <c r="F21" s="50"/>
    </row>
    <row r="22" spans="1:7" ht="28" customHeight="1" x14ac:dyDescent="0.55000000000000004">
      <c r="A22" s="55"/>
      <c r="B22" s="56" t="s">
        <v>267</v>
      </c>
      <c r="C22" s="57" t="s">
        <v>268</v>
      </c>
      <c r="D22" s="58" t="s">
        <v>269</v>
      </c>
      <c r="E22" s="59" t="s">
        <v>249</v>
      </c>
      <c r="F22" s="55"/>
    </row>
    <row r="23" spans="1:7" ht="28" customHeight="1" x14ac:dyDescent="0.55000000000000004">
      <c r="A23" s="55"/>
      <c r="B23" s="56" t="s">
        <v>270</v>
      </c>
      <c r="C23" s="57" t="s">
        <v>271</v>
      </c>
      <c r="D23" s="58" t="s">
        <v>272</v>
      </c>
      <c r="E23" s="59" t="s">
        <v>249</v>
      </c>
      <c r="F23" s="55"/>
    </row>
    <row r="24" spans="1:7" ht="28" customHeight="1" x14ac:dyDescent="0.55000000000000004">
      <c r="A24" s="55"/>
      <c r="B24" s="56" t="s">
        <v>273</v>
      </c>
      <c r="C24" s="57" t="s">
        <v>274</v>
      </c>
      <c r="D24" s="58" t="s">
        <v>275</v>
      </c>
      <c r="E24" s="59" t="s">
        <v>249</v>
      </c>
      <c r="F24" s="55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52" customHeight="1" x14ac:dyDescent="0.55000000000000004">
      <c r="A26" s="114" t="s">
        <v>276</v>
      </c>
      <c r="B26" s="66"/>
      <c r="C26" s="66"/>
      <c r="D26" s="66"/>
      <c r="E26" s="66"/>
      <c r="F26" s="64"/>
      <c r="G26" s="39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2026-04-06T18:40:57Z</dcterms:created>
  <dcterms:modified xsi:type="dcterms:W3CDTF">2026-04-06T18:48:13Z</dcterms:modified>
</cp:coreProperties>
</file>