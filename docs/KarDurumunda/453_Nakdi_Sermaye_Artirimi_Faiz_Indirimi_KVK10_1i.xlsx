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KARIN BULUNMASI HALİNDE/"/>
    </mc:Choice>
  </mc:AlternateContent>
  <xr:revisionPtr revIDLastSave="0" documentId="8_{8FDE8EEF-CCA2-4507-8DBD-A1C171D02398}"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2" l="1"/>
  <c r="E8" i="2"/>
  <c r="E48" i="1"/>
  <c r="D45" i="1"/>
  <c r="D43" i="1"/>
  <c r="E6" i="2"/>
  <c r="E5" i="2"/>
  <c r="B36" i="1"/>
  <c r="E7" i="2" s="1"/>
  <c r="F35" i="1"/>
  <c r="F34" i="1"/>
  <c r="F33" i="1"/>
  <c r="F32" i="1"/>
  <c r="F31" i="1"/>
  <c r="F30" i="1"/>
  <c r="F36" i="1" s="1"/>
  <c r="D41" i="1" s="1"/>
  <c r="F15" i="1"/>
</calcChain>
</file>

<file path=xl/sharedStrings.xml><?xml version="1.0" encoding="utf-8"?>
<sst xmlns="http://schemas.openxmlformats.org/spreadsheetml/2006/main" count="286" uniqueCount="246">
  <si>
    <t>453 – NAKDİ SERMAYE ARTIRIMI FAİZ İNDİRİMİ | KVK MADDE 10/1-ı | TCMB FAİZİ × TUTAR × ORAN | YMM TASDİK</t>
  </si>
  <si>
    <t>Beyanname 453 | GİB KV Beyan Rehberi Mart 2026 (No:606) | ✗ YİAKV MATRAHINDA DÜŞÜLEMEZ (E.10)</t>
  </si>
  <si>
    <t xml:space="preserve">  KVK Md.10/1-ı NAKDİ SERMAYE ARTIRIMI FAİZ İNDİRİMİ:
  FORMÜL: Nakdi Sermaye Artışı × TCMB Ağırlıklı Ortalama Yıllık Faiz Oranı × İndirim Oranı × (Ay/12)
  İNDİRİM ORANLARI: Genel → %50 | BIST'te işlem gören → %75 (ek 25 puan)
  KAPSAM DIŞI: Bankacılık, finansal kurumlar, sigortacılık, özel finans kurumları
  ESAS: Ticaret siciline tescil ayından itibaren — tescil ayı dahil aylık hesap
  YİAKV: DÜŞÜLEMEZ (E.10) | YMM notu: Artırımın NAKDİ olduğu teyit edilmeli (ayni/iç kaynak hariç)</t>
  </si>
  <si>
    <t xml:space="preserve">  ✗ YİAKV (KVK Md.32/C): Nakdi Sermaye Artırımı Faiz İndirimi (453) YİAKV MATRAHINDA DÜŞÜLEMEZ. YİAKV Çalışma Kâğıdı E.10 — 'Nakdi Sermaye Artışı Faiz İndirimi (KVK 10/1-ı)' bilgi satırıdır.</t>
  </si>
  <si>
    <t>A0. KAPSAM VE NİTELİK UYGUNLUK ÖN KONTROLÜ — KVK Md.10/1-ı</t>
  </si>
  <si>
    <t>Kontrol Sorusu</t>
  </si>
  <si>
    <t>Yanıt</t>
  </si>
  <si>
    <t>YMM Tasdik Notu</t>
  </si>
  <si>
    <t>A0.1  ★ Kurum KVK Md.10/1-ı kapsamında mı? (Banka/finans/sigorta kapsam dışı)</t>
  </si>
  <si>
    <t>EVET</t>
  </si>
  <si>
    <t>Bankalar, finansal kiralama şirketleri, faktoring, finansman şirketleri, elektronik para kuruluşları, sigorta ve reasürans şirketleri → KAPSAM DIŞI.</t>
  </si>
  <si>
    <t>A0.2  ★ Sermaye artırımı NAKDİ mi? (Ayni, kâr payı, iç kaynak değil)</t>
  </si>
  <si>
    <t>Sadece nakden ödenen sermaye artırımları kapsama girer. Ayni sermaye, iç kaynaklardan artırım (kâr, yedek), borç dönüşümü → Kapsam dışı.</t>
  </si>
  <si>
    <t>A0.3  Sermaye artırımı ticaret siciline tescil edildi mi? Tescil tarihi?</t>
  </si>
  <si>
    <t>İndirim hesabında tescil tarihi esastır. Tescil ayından itibaren ay bazında hesap.</t>
  </si>
  <si>
    <t>A0.4  Artırılan nakdi sermaye fiilen ödenmiş mi? (Banka dekontları temin edildi mi?)</t>
  </si>
  <si>
    <t>Taahhüt edilen ancak ödenmemiş nakdi sermaye indirime konu edilemez. Banka kanalıyla ödeme zorunlu — her taksit için ayrı dekont.</t>
  </si>
  <si>
    <t>A0.5  BIST'te işlem gören paylar var mı? (Ek 25 puan = %75)</t>
  </si>
  <si>
    <t>HAYIR</t>
  </si>
  <si>
    <t>BIST'te payları işlem gören kurumlar %50 yerine %75 oranında indirimden yararlanır. Her iki dilim ayrı hesaplanmalı.</t>
  </si>
  <si>
    <t>A0.6  ✗ YİAKV E.10'da bilgi satırı olarak gösterildi mi?</t>
  </si>
  <si>
    <t>453 YİAKV matrahından düşülemez — E.10 yalnızca bilgi amaçlı.</t>
  </si>
  <si>
    <t>A0.7  YMM Tasdik Raporu gereksinimi değerlendirildi mi?</t>
  </si>
  <si>
    <t>&gt;=500.000 TL → YMM raporu.</t>
  </si>
  <si>
    <t>A0.8  Tasdik Uygunluk Sonucu</t>
  </si>
  <si>
    <t>★ A0.1 kapsam | A0.2 nakdi | A0.3 tescil | A0.4 ödeme — dördü kritik.</t>
  </si>
  <si>
    <t>A. GENEL BİLGİLER VE TEMEL PARAMETRELER</t>
  </si>
  <si>
    <t>Kurumun Unvanı</t>
  </si>
  <si>
    <t>Tam ticaret unvanı</t>
  </si>
  <si>
    <t>VKN</t>
  </si>
  <si>
    <t>10 haneli VKN</t>
  </si>
  <si>
    <t>Hesap Dönemi</t>
  </si>
  <si>
    <t>01.01.2025 – 31.12.2025</t>
  </si>
  <si>
    <t>KV Oranı (%)</t>
  </si>
  <si>
    <t>2025: %25</t>
  </si>
  <si>
    <t>Sektör Durumu ve İndirim Oranı</t>
  </si>
  <si>
    <t>Genel → %50 | BIST → %75</t>
  </si>
  <si>
    <t>TCMB Ağırlıklı Ort. Yıllık Faiz Oranı (%)</t>
  </si>
  <si>
    <t>GİB'in ilan ettiği oran — 2025 için ilgili yıl oran girilmeli</t>
  </si>
  <si>
    <t>Dosya Referansı</t>
  </si>
  <si>
    <t>YMM-2025/453-01</t>
  </si>
  <si>
    <t>B. NAKDİ SERMAYE ARTIRIMI KAYITLARI — TESCİL AYI VE TUTAR BAZINDA</t>
  </si>
  <si>
    <t xml:space="preserve">  Her ayrı sermaye artırımı için satır. FORMÜL: Tutar × TCMB Faizi × Oran × (Ay/12). Tescil ayı hesaba dahil — dönem sonuna kadar tam ay. Kısmi ay tam ay sayılır.</t>
  </si>
  <si>
    <t>Tescil Tarihi</t>
  </si>
  <si>
    <t>Nakdi Artırım (TL)</t>
  </si>
  <si>
    <t>İndirim Oranı (%)</t>
  </si>
  <si>
    <t>TCMB Faiz (%)</t>
  </si>
  <si>
    <t>Kalan Ay (12'e Bölünür)</t>
  </si>
  <si>
    <t>Hesaplanan İndirim (TL)</t>
  </si>
  <si>
    <t>Ödeme Teyidi</t>
  </si>
  <si>
    <t>Not</t>
  </si>
  <si>
    <t>TOPLAM</t>
  </si>
  <si>
    <t>Toplam Nakdi Artırım / Ağırlıklı Hesaplama</t>
  </si>
  <si>
    <t>← Beyanname 453 (Kazancın Bulunması Halinde)</t>
  </si>
  <si>
    <t xml:space="preserve">  FORMÜL AÇIKLAMASI: Col 6 = Col 2 (Nakdi Artırım) × Col 4 (TCMB Faiz/100) × Col 3 (Oran/100) × Col 5 (Ay)/12
  Col 3 İndirim Oranı: 50 = %50 (genel) | 75 = %75 (BIST'te işlem gören).
  Col 4 TCMB Faizi: GİB'in ilgili dönem için ilan ettiği ağırlıklı ortalama yıllık faiz oranını girin (örn. 45.23).
  Col 5 Kalan Ay: Tescil ayından 31 Aralık'a kadar tam ay sayısı — tescil ayı dahil.</t>
  </si>
  <si>
    <t>C. NAKDİ SERMAYE ARTIRIMI FAİZ İNDİRİMİ ÖZET — BEYANNAME 453</t>
  </si>
  <si>
    <t>Hesap Kalemi</t>
  </si>
  <si>
    <t>Tutar (TL)</t>
  </si>
  <si>
    <t>Açıklama</t>
  </si>
  <si>
    <t>C.1  Toplam Hesaplanan İndirim (B Tablosu F Sütunu Toplamı)</t>
  </si>
  <si>
    <t>B tablosu formül hesabı</t>
  </si>
  <si>
    <t>C.2  Geçmiş Dönemlerden Devreden İndirim (Varsa)</t>
  </si>
  <si>
    <t>Tartışmalı — özelge durumuna göre</t>
  </si>
  <si>
    <t>C.3  Toplam Kullanılabilir İndirim (C.1 + C.2)</t>
  </si>
  <si>
    <t>Cari yıl + Devreden</t>
  </si>
  <si>
    <t>C.4  KV Matrahı (453 Öncesi)</t>
  </si>
  <si>
    <t>Beyanname matrahı — 453 uygulanmadan önce</t>
  </si>
  <si>
    <t>C.5  ★ BEYANNAME 453 = MIN(C.3, C.4)</t>
  </si>
  <si>
    <t>→ Beyanname 453 | Kazancın Bulunması Halinde</t>
  </si>
  <si>
    <t>KVK Md.10/1-ı</t>
  </si>
  <si>
    <t>C.6  YİAKV DURUMU — DÜŞÜLEMEZ</t>
  </si>
  <si>
    <t>YİAKV E.10 Bilgi ✗</t>
  </si>
  <si>
    <t>Nakdi sermaye artırımı indirimi YİAKV dışı</t>
  </si>
  <si>
    <t>KVK Md.32/C</t>
  </si>
  <si>
    <t>D.1  NAKDİ SERMAYE ARTIRIMI FAİZ İNDİRİMİ → Beyanname Satır 453</t>
  </si>
  <si>
    <t>C.5 = MIN(C.3 Toplam İndirim, C.4 Matrah) | KVK Md.10/1-ı</t>
  </si>
  <si>
    <t xml:space="preserve">  ★ KRİTİK UYARILAR:
(1) NAKDİ OLMAK: Ayni, iç kaynak, borç dönüşümü kapsam dışı — banka dekontları zorunludur.
(2) TESCİL AYI: İndirim tescil ayından itibaren başlar — tescil öncesi artırımlar kapsam dışı.
(3) KAPSAM DIŞI: Bankacılık/finans/sigorta sektörü firmaları KVK 10/1-ı'dan yararlanamaz.
(4) TCMB FAİZ ORANI: GİB'in her yıl ilan ettiği oran — yanlış oran hatalı hesaba yol açar.
(5) YİAKV ✗: DÜŞÜLEMEZ — E.10 yalnızca bilgi satırı. 413 GSF'den farklı!</t>
  </si>
  <si>
    <t>453 – NAKDİ SERMAYE ARTIRIMI FAİZ İNDİRİMİ KVK Md.10/1-ı | HESAPLAMALAR VE DENETİM</t>
  </si>
  <si>
    <t>Formül: Artırım × TCMB Faizi × Oran × Ay/12 | %50 Genel / %75 BIST | Beyanname 453 | ✗ YİAKV E.10</t>
  </si>
  <si>
    <t>A. TASDİK ÖZETİ</t>
  </si>
  <si>
    <t>A0 Uygunluğu</t>
  </si>
  <si>
    <t>OK ise devam</t>
  </si>
  <si>
    <t>Sektör (A0.1)</t>
  </si>
  <si>
    <t>Kapsam dışı değil</t>
  </si>
  <si>
    <t>Nakdi Artırım (B.2 toplamı)</t>
  </si>
  <si>
    <t>Tescilli ve ödenen</t>
  </si>
  <si>
    <t>Hesaplanan İndirim (C.1)</t>
  </si>
  <si>
    <t>Formül sonucu</t>
  </si>
  <si>
    <t>453 İNDİRİM (C.5)</t>
  </si>
  <si>
    <t>YİAKV</t>
  </si>
  <si>
    <t>✗ DÜŞÜLEMEZ (E.10 Bilgi)</t>
  </si>
  <si>
    <t>Nakdi sermaye indirimi YİAKV dışı</t>
  </si>
  <si>
    <t>B. FORMÜL DETAYI VE TCMB FAİZ ORANI KAYNAĞI</t>
  </si>
  <si>
    <t xml:space="preserve">  FORMÜL: Beyanname 453 = Nakdi Artırım × TCMB Faiz Oranı × İndirim Oranı × (Kalan Ay / 12)
  TCMB FAİZ ORANI:
  GİB Gelir İdaresi Başkanlığı, her hesap dönemine ilişkin TCMB tarafından açıklanan
  'Türk Lirası cinsinden açılan ticari kredilere uygulanan ağırlıklı yıllık ortalama faiz oranını'
  ilan eder. YMM bu oranı GİB duyurusundan veya TCMB verilerinden almalıdır.
  NOT: Oran yıldan yıla önemli ölçüde değişebilir — doğru yıl oranının kullanılması kritik.
  İNDİRİM ORANLARI:
  • Genel: %50 (standart)
  • BIST'te payları işlem gören kurumlar: +25 puan → %75
  • Aynı kurum hem BIST hem genel dilim payına sahipse: Her dilim ayrı hesaplanır.
  AYLARIN HESABI:
  Tescil ayından 31 Aralık'a kadar — tescil ayı tam ay sayılır.
  Örnek: Temmuz (7. ay) tescil → Temmuz-Aralık = 6 ay → Ay/12 = 6/12 = 0.5</t>
  </si>
  <si>
    <t>C. KAPSAM DIŞI KURUMLAR VE NAKDİ OLMAYAN ARTIRIMLARIN AYRIMI</t>
  </si>
  <si>
    <t xml:space="preserve">  KAPSAM DIŞI KURUMLAR (Bu kurumlar KVK 10/1-ı'dan yararlanamaz):
  • Bankalar (5411 sayılı Kanun kapsamındaki)
  • Finansal kiralama, faktoring, finansman şirketleri
  • Elektronik para ve ödeme hizmeti kuruluşları
  • Sigortacılık ve reasürans şirketleri
  • Emeklilik şirketleri
  • Sermaye piyasası aracı kurumları (bazı görüşlere göre)
  NAKDİ OLMAYAN ARTIRIMLARIN AYRIMI — KAPSAM DIŞI:
  ✗ Ayni sermaye (taşınmaz, ekipman, alacak devri gibi)
  ✗ İç kaynaklardan artırım (kâr, olağanüstü yedek, yeniden değerleme fonu)
  ✗ Borç dönüşümü (kredi → sermaye)
  ✓ Sadece banka havalesi ile ödenen nakdi artırımlar</t>
  </si>
  <si>
    <t>D. DENETİM KONTROL LİSTESİ (K1–K13)</t>
  </si>
  <si>
    <t>Kontrol</t>
  </si>
  <si>
    <t>Sonuç</t>
  </si>
  <si>
    <t>K1</t>
  </si>
  <si>
    <t>★ Kurum kapsam içinde mi? (Banka/finans/sigorta değil)</t>
  </si>
  <si>
    <t>BANKACILIK/SİGORTA kapsamındaysa indirim sıfır.</t>
  </si>
  <si>
    <t>Uygun/Eksik/Risk</t>
  </si>
  <si>
    <t>K2</t>
  </si>
  <si>
    <t>★ Artırım NAKDİ mi? Banka ödeme belgesi var mı?</t>
  </si>
  <si>
    <t>Banka dekontu — her ödeme kalemi için.</t>
  </si>
  <si>
    <t>K3</t>
  </si>
  <si>
    <t>★ Tescil tarihi doğru belirlendi mi?</t>
  </si>
  <si>
    <t>İndirim tescil ayından başlar.</t>
  </si>
  <si>
    <t>K4</t>
  </si>
  <si>
    <t>★ TCMB faiz oranı doğru yıl ve kaynak uygulandı mı?</t>
  </si>
  <si>
    <t>GİB duyurusu veya TCMB resmi oranı.</t>
  </si>
  <si>
    <t>K5</t>
  </si>
  <si>
    <t>★ İndirim oranı doğru mu? (Genel %50 / BIST %75)</t>
  </si>
  <si>
    <t>BIST durumu SPK/MKK belgesiyle doğrulama.</t>
  </si>
  <si>
    <t>K6</t>
  </si>
  <si>
    <t>Ay hesabı doğru mu? (Tescil ayı dahil — dönem sonuna kadar)</t>
  </si>
  <si>
    <t>Her satır ay sayısı kontrol.</t>
  </si>
  <si>
    <t>K7</t>
  </si>
  <si>
    <t>B tablosu formülleri doğru çalışıyor mu?</t>
  </si>
  <si>
    <t>F sütunu = B × (D/100) × (C/100) × (E/12).</t>
  </si>
  <si>
    <t>K8</t>
  </si>
  <si>
    <t>Kısmi ödenmiş artırım varsa sadece ödenen kısım hesaba alındı mı?</t>
  </si>
  <si>
    <t>Taahhüt edilen değil ödenen esastır.</t>
  </si>
  <si>
    <t>K9</t>
  </si>
  <si>
    <t>Devreden indirim (C.2) önceki beyanname teyit edildi mi?</t>
  </si>
  <si>
    <t>Tartışmalı — GİB özelgesi mevcut mu?</t>
  </si>
  <si>
    <t>K10</t>
  </si>
  <si>
    <t>✗ YİAKV E.10'da bilgi satırı olarak gösterildi mi?</t>
  </si>
  <si>
    <t>453 DÜŞÜLEMEZ — sadece E.10 bilgi.</t>
  </si>
  <si>
    <t>K11</t>
  </si>
  <si>
    <t>Birden fazla artırım varsa her biri B tablosunda ayrı satırda mı?</t>
  </si>
  <si>
    <t>Her artırım ayrı tescil × ayrı ay hesabı.</t>
  </si>
  <si>
    <t>K12</t>
  </si>
  <si>
    <t>Beyanname 453 'Kazancın Bulunması Halinde' bölümünde mi?</t>
  </si>
  <si>
    <t>Zarar döneminde uygulanamaz.</t>
  </si>
  <si>
    <t>K13</t>
  </si>
  <si>
    <t>YMM Tasdik Raporu (49 No.lu Tebliğ) değerlendirildi mi?</t>
  </si>
  <si>
    <t>453 – NAKDİ SERMAYE ARTIRIMI FAİZ İNDİRİMİ KVK Md.10/1-ı | MUHASEBE KAYITLARI</t>
  </si>
  <si>
    <t xml:space="preserve">  MUHASEBE AKIŞI:
  ① Nakdi sermaye artırımı banka havalesiyle gelir → Dr 102 Bankalar / Kr 500 Ödenmiş Sermaye
  ② Beyanname hazırlanırken indirim hesaplanır — muhasebe kaydı gerektirmez (vergi matrahı farkı).
  ③ Ertelenmiş vergi etkisi (TFRS/TMS uygulayan firmalar): Aktif ertelenmiş vergi hesabı açılabilir.
  NOT: 453 indirimi yalnızca beyanname üzerinde uygulanır — bilanço/muhasebe kaydı yoktur.</t>
  </si>
  <si>
    <t>KAYIT 1 — NAKDİ SERMAYE ARTIRIMI BANKA YATIRIMI</t>
  </si>
  <si>
    <t>Tarih</t>
  </si>
  <si>
    <t>Hesap</t>
  </si>
  <si>
    <t>Dr</t>
  </si>
  <si>
    <t>Kr</t>
  </si>
  <si>
    <t>Ref</t>
  </si>
  <si>
    <t>[Tescil Sonrası]</t>
  </si>
  <si>
    <t>102 Bankalar</t>
  </si>
  <si>
    <t>Nakdi sermaye artırımı banka tarafından alındı</t>
  </si>
  <si>
    <t>[Tutar]</t>
  </si>
  <si>
    <t>—</t>
  </si>
  <si>
    <t>Banka dekontları</t>
  </si>
  <si>
    <t>500 Ödenmiş Sermaye</t>
  </si>
  <si>
    <t>Tescil edilmiş nakdi sermaye artırımı</t>
  </si>
  <si>
    <t>Tescil belgesi</t>
  </si>
  <si>
    <t xml:space="preserve">  BEYANNAME İŞLEMİ (Muhasebe Kaydı Gerektirmez):
  453 indirimi SADECE kurumlar vergisi beyannamesi üzerinde uygulanır.
  Hesaplama: Nakdi Artırım × TCMB Faizi × Oran × Ay/12 = Beyanname 453
  YİAKV: ✗ DÜŞÜLEMEZ — E.10 yalnızca bilgi. Asgari vergi hesabında bu indirim kullanılmaz.
  Ertelenmiş Vergi: TFRS/TMS uygulayan firmalar 453 etkisini ertelenmiş vergi aktifine alabilir.</t>
  </si>
  <si>
    <t>453 – NAKDİ SERMAYE ARTIRIMI FAİZ İNDİRİMİ KVK Md.10/1-ı | DENETÇİ NOTLARI</t>
  </si>
  <si>
    <t>GİB KV Beyan Rehberi 2026 (No:606) | %50/%75 Oran | TCMB Faizi | Tescil Ayı | YİAKV E.10</t>
  </si>
  <si>
    <t>Kod</t>
  </si>
  <si>
    <t>Konu</t>
  </si>
  <si>
    <t>Mesleki Değerlendirme / Tasdik Standardı</t>
  </si>
  <si>
    <t>Mevzuat / Kaynak</t>
  </si>
  <si>
    <t>N1</t>
  </si>
  <si>
    <t>KVK Md.10/1-ı — Tanım, Formül ve İndirim Oranları</t>
  </si>
  <si>
    <t>NAKDİ SERMAYE ARTIRIMI FAİZ İNDİRİMİ (KVK Md.10/1-ı):
FORMÜL:
İndirim = Nakdi Sermaye Artışı × TCMB Faiz Oranı × İndirim Oranı × (Tescil Sonrası Ay / 12)
İNDİRİM ORANLARI:
• Standart: %50
• BIST'te işlem gören paylar: +25 puan → %75
KAPSAM DIŞI KURUMLAR:
Bankacılık, finansal kiralama, faktoring, finansman, elektronik para,
sigorta, reasürans, emeklilik şirketleri → İndirim YOK.
TCMB FAİZ ORANI: GİB her yıl ilan eder — 2025 için ilgili yıl oranı kullanılmalı.
YİAKV: ✗ DÜŞÜLEMEZ (E.10 bilgi) | BEYANNAME: 453</t>
  </si>
  <si>
    <t>KVK Md.10/1-ı | VUK | GİB KV Beyan Reh. 2026 (No:606)</t>
  </si>
  <si>
    <t>N2</t>
  </si>
  <si>
    <t>★ Nakdi Olmak Koşulu — Kapsam Dışı Artırımlar</t>
  </si>
  <si>
    <t>NAKDİ OLMAK KOŞULU — EN KRİTİK NOKTA:
KAPSAMA GİREN (Nakdi Artırım):
Banka havalesi/EFT yoluyla ödenen nakdi sermaye → Ticaret siciline tescil → Kapsama girer.
KAPSAMA GİRMEYEN (Nakdi Olmayan):
✗ Ayni sermaye (taşınmaz, araç, makine, alacak devri)
✗ İç kaynaklardan artırım (kâr, geçmiş yıl kârları, yedekler, yeniden değerleme)
✗ Borç → Sermaye dönüşümü
✗ Mevcut ortakların vadeli taahhütleri (ödenmemiş kısım)
YMM DOĞRULAMA YÖNTEMI:
Her tescil için banka dekontu + tescil belgesi + ticaret sicil gazetesi üçlüsünü belgele.
Ayni veya iç kaynak kısımlar ayrıştırılmalı.</t>
  </si>
  <si>
    <t>KVK Md.10/1-ı | Ticaret Sicili Mevzuatı | GİB Özelge</t>
  </si>
  <si>
    <t>N3</t>
  </si>
  <si>
    <t>★ TCMB Faiz Oranı ve Tescil Ayı Hesabı</t>
  </si>
  <si>
    <t>TCMB FAİZ ORANI UYGULAMASI:
GİB, her yıl ilgili dönem için TCMB ağırlıklı ortalama yıllık faiz oranını ilan eder.
Bu oran yıllar arasında ciddi fark gösterebilir:
Oran düşük → İndirim düşük | Oran yüksek → İndirim yüksek.
DOĞRU YILI KULLANMAK: 2025 hesabında 2025 yılı oranı → GİB Duyurusu / TCMB istatistikleri.
TESCİL AYI HESABI:
Artırım ne zaman ticaret siciline tescil edildi? Tescil ayından başlar.
Örnek: 15 Temmuz tescil → Temmuz dahil 6 ay (Temmuz-Aralık) → 6/12 = 0.5
Örnek: 3 Ocak tescil → 12 ay (tüm yıl) → 12/12 = 1.0
ÖNEMLİ: Aynı yıl içinde birden fazla tescil → Her biri ayrı ay hesabı (B tablosu ayrı satır).</t>
  </si>
  <si>
    <t>KVK Md.10/1-ı | TCMB | GİB KV Beyan Reh. No:606</t>
  </si>
  <si>
    <t>N4</t>
  </si>
  <si>
    <t>YİAKV ile İlişki ve Diğer İndirimlerle Karşılaştırma</t>
  </si>
  <si>
    <t>YİAKV (KVK Md.32/C) VE NAKDİ SERMAYE ARTIRIMI:
✗ 453 Nakdi Sermaye Artırımı: DÜŞÜLEMEZ → YİAKV E.10 (Bilgi)
KARŞILAŞTIRMA:
✓ Ar-Ge İndirimi (283) → D.10 DÜŞÜLEBİLİR
✓ Tasarım İndirimi (455) → D.10 DÜŞÜLEBİLİR
✓ GSF İndirimi (413) → D.11 DÜŞÜLEBİLİR
✓ Risturn (401) → D.4 DÜŞÜLEBİLİR
✗ Nakdi Sermaye Art. (453) → E.10 DÜŞÜLEMEZ
✗ Bağış/Sponsorluk (402/460/461) → E.11 DÜŞÜLEMEZ
DEVREDİLEBİLİRLİK:
KVK 10/1-ı'nın devredilebilirliği tartışmalı. Bazı GİB özelgeleri devredileceğini,
bazıları devredilmeyeceğini söyler. YMM özelge almasını tavsiye etmeli.</t>
  </si>
  <si>
    <t>KVK Md.32/C | GİB Rehberi No:607 | No:606 | GİB Özelge</t>
  </si>
  <si>
    <t>N5</t>
  </si>
  <si>
    <t>49 No.lu Tebliğ + YMM Tasdik Dil Standardı</t>
  </si>
  <si>
    <t>KULLANIN:
'...[Tarih] tarihinde ticaret siciline tescil edilen [Tutar] TL nakdi sermaye
artırımı üzerinden, GİB tarafından ilan edilen [Yıl] yılı TCMB ağırlıklı
ortalama yıllık faiz oranı olan %[Oran] ve [İndirim Oranı]% indirim oranı
esas alınarak, tescil ayından dönem sonuna kadar [Ay] ay için hesaplanan
[İndirim] TL, KVK Madde 10/1-ı kapsamında kurumlar vergisi matrahından
indirilmiştir. Söz konusu tutar YİAKV matrahından indirilmemiştir.'
KULLANMAYIN:
'...Ayni sermaye artırımı üzerinden indirim uygulanmıştır.' (Kapsam dışı)
'...BIST oranı (%75) kapsam dışı kuruma uygulanmıştır.' (Yanlış oran)
'...453 YİAKV matrahından düşülmüştür.' (YANLIŞ)
KRİTİK RİSKLER:
(1) Nakdi olmayan artırımları kapsama dahil etmek.
(2) Yanlış TCMB faiz oranı kullanmak.
(3) Tescil tarihini yanlış belirlemek (ay hesabı hatalı).
(4) YİAKV E.10'a yazılması gerekeni E.10'a yazmamak veya D bölümüne yazmak.</t>
  </si>
  <si>
    <t>49 No.lu Tebliğ | KVK Md.10/1-ı | SM-SMMM-YMM K. Md.12</t>
  </si>
  <si>
    <t xml:space="preserve">  GİB KV BEYAN REHBERİ MART 2026 (No:606) KAPANIŞ (453): Formül: Nakdi Artırım × TCMB Faizi × Oran × Ay/12. Genel %50, BIST %75. Banka/finans/sigorta kapsam dışı. Nakdi olmak zorunlu — tescil ayından itibaren. ✗ YİAKV E.10 (bilgi). YMM: SM-SMMM-YMM K. Md.12.</t>
  </si>
  <si>
    <t>453 – NAKDİ SERMAYE ARTIRIMI FAİZ İNDİRİMİ | BELGE LİSTESİ | YMM TASDİK</t>
  </si>
  <si>
    <t>GİB KV Beyan Rehberi 2026 | Tescil Belgesi | Banka Dekontu | TCMB Oranı | %50/%75</t>
  </si>
  <si>
    <t>KATEGORİ 1 — ZORUNLU BELGELER</t>
  </si>
  <si>
    <t>No</t>
  </si>
  <si>
    <t>Belge</t>
  </si>
  <si>
    <t>Temin</t>
  </si>
  <si>
    <t>1</t>
  </si>
  <si>
    <t>★ Ticaret Sicili Tescil Belgesi ve Ticaret Sicil Gazetesi</t>
  </si>
  <si>
    <t>Sermaye artırımının tescil edildiğini gösteren ticaret sicil belgesi ve gazetesi. Tescil tarihi indirim başlangıç noktasıdır — ay hesabının dayanağı.</t>
  </si>
  <si>
    <t>Ticaret Sicil Müdürlüğü</t>
  </si>
  <si>
    <t>2</t>
  </si>
  <si>
    <t>★ Nakdi Sermaye Ödeme Banka Dekontları (Her Taksit İçin)</t>
  </si>
  <si>
    <t>Her nakdi ödeme için banka EFT/havale dekontu. Taahhüt edilen ama ödenmemiş kısım indirime konu edilemez. Her belge tescil tarihi ile ilişkilendirilmeli.</t>
  </si>
  <si>
    <t>Banka / Şirket hesabı</t>
  </si>
  <si>
    <t>3</t>
  </si>
  <si>
    <t>★ GİB TCMB Faiz Oranı Duyurusu (İlgili Yıl)</t>
  </si>
  <si>
    <t>GİB Gelir İdaresi Başkanlığı'nın ilgili dönem için ilan ettiği TCMB ağırlıklı ortalama yıllık faiz oranı bildirimi. GİB web sitesinden alınmalı.</t>
  </si>
  <si>
    <t>GİB resmi web sitesi / Sirküler</t>
  </si>
  <si>
    <t>4</t>
  </si>
  <si>
    <t>BIST İşlem Görenler İçin SPK/MKK Pay Belgesi (%75 Oranı İçin)</t>
  </si>
  <si>
    <t>Paylarının BİST'te işlem gördüğünü gösteren SPK/MKK belgesi veya BİST kote belgesi. %75 oranı uygulanabilmesi için zorunlu.</t>
  </si>
  <si>
    <t>SPK / MKK / BIST</t>
  </si>
  <si>
    <t>5</t>
  </si>
  <si>
    <t>KV Beyannamesi 453 Satırı + YİAKV E.10 Bilgi</t>
  </si>
  <si>
    <t>Beyanname 453 = C.5 tutarı. YİAKV E.10'da bilgi (matrahı etkilemez).</t>
  </si>
  <si>
    <t>GİB e-Beyanname + YİAKV ÇK</t>
  </si>
  <si>
    <t>6</t>
  </si>
  <si>
    <t>Limit Hesaplama Notu (B Tablosu Formül Kontrolü)</t>
  </si>
  <si>
    <t>YMM tarafından hazırlanan nakdi artırım, TCMB oranı, ay hesabı ve indirim oranını gösteren hesaplama notu.</t>
  </si>
  <si>
    <t>YMM tarafından hazırlanır</t>
  </si>
  <si>
    <t>KATEGORİ 2 — YMM TASDİK KONTROL SORULARI</t>
  </si>
  <si>
    <t>Beklenen Sonuç</t>
  </si>
  <si>
    <t>YMM Aksiyonu</t>
  </si>
  <si>
    <t>S1</t>
  </si>
  <si>
    <t>★ Kurum bankacılık/sigorta kapsamı dışında mı?</t>
  </si>
  <si>
    <t>Kapsam içi değilse indirim sıfır.</t>
  </si>
  <si>
    <t>YMM kontrolü</t>
  </si>
  <si>
    <t>S2</t>
  </si>
  <si>
    <t>★ Artırım nakdi mi? Banka dekontları temin edildi mi?</t>
  </si>
  <si>
    <t>Nakdi olmayan kısımlar ayrıştırıldı.</t>
  </si>
  <si>
    <t>S3</t>
  </si>
  <si>
    <t>★ Tescil tarihi ve ay sayısı doğru belirlendi mi?</t>
  </si>
  <si>
    <t>Tescil ayından 31.12'ye kadar.</t>
  </si>
  <si>
    <t>S4</t>
  </si>
  <si>
    <t>★ TCMB faiz oranı doğru yıl ve kaynaktan alındı mı?</t>
  </si>
  <si>
    <t>S5</t>
  </si>
  <si>
    <t>★ İndirim oranı doğru mu? (%50 genel / %75 BIST)</t>
  </si>
  <si>
    <t>BIST için SPK/MKK belgesi.</t>
  </si>
  <si>
    <t>S6</t>
  </si>
  <si>
    <t>Birden fazla tescil varsa her biri ayrı satırda mı?</t>
  </si>
  <si>
    <t>B tablosunda ayrı hesap.</t>
  </si>
  <si>
    <t>S7</t>
  </si>
  <si>
    <t>Kısmen ödenen artırım varsa sadece ödenen kısım mı?</t>
  </si>
  <si>
    <t>Taahhüt değil — ödenen.</t>
  </si>
  <si>
    <t>S8</t>
  </si>
  <si>
    <t>DÜŞÜLEMEZ — sadece bilgi.</t>
  </si>
  <si>
    <t>S9</t>
  </si>
  <si>
    <t>Devreden indirim varsa özelge durumu değerlendirildi mi?</t>
  </si>
  <si>
    <t>Tartışmalı — özelge tavsiye.</t>
  </si>
  <si>
    <t>S10</t>
  </si>
  <si>
    <t>YMM Tasdik Raporu değerlendirildi mi?</t>
  </si>
  <si>
    <t>&gt;=500.000 TL → Rapor.</t>
  </si>
  <si>
    <t xml:space="preserve">  GİB KV BEYAN REHBERİ MART 2026 (No:606) | 453 KAPANIŞ:
  Formül: Nakdi Artırım × TCMB Faiz Oranı × İndirim Oranı (%50/%75) × Ay/12.
  Nakdi olmak zorunlu — banka dekontu belgesi. Tescil ayından hesap.
  Kapsam dışı: Banka/finansal/sigorta. ✗ YİAKV E.10 (bilgi satırı — matrahı etkilemez).
  Devredilebilirlik tartışmalı — GİB özelgesi alınması tavsiye edilir.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</si>
</sst>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9"/>
      <color rgb="FFFFFFFF"/>
      <name val="Arial"/>
    </font>
    <font>
      <b/>
      <sz val="8"/>
      <color rgb="FF7B5E00"/>
      <name val="Arial"/>
    </font>
    <font>
      <b/>
      <sz val="8"/>
      <color rgb="FFFFFFFF"/>
      <name val="Arial"/>
    </font>
    <font>
      <b/>
      <sz val="10"/>
      <color rgb="FFFFFFFF"/>
      <name val="Arial"/>
    </font>
    <font>
      <b/>
      <sz val="9"/>
      <color rgb="FFC0392B"/>
      <name val="Arial"/>
    </font>
    <font>
      <b/>
      <sz val="10"/>
      <color rgb="FF0000FF"/>
      <name val="Arial"/>
    </font>
    <font>
      <i/>
      <sz val="8"/>
      <color rgb="FFC0392B"/>
      <name val="Arial"/>
    </font>
    <font>
      <b/>
      <sz val="9"/>
      <color rgb="FF1F3864"/>
      <name val="Arial"/>
    </font>
    <font>
      <i/>
      <sz val="8"/>
      <color rgb="FF555555"/>
      <name val="Arial"/>
    </font>
    <font>
      <b/>
      <sz val="10"/>
      <color rgb="FF1B5E20"/>
      <name val="Arial"/>
    </font>
    <font>
      <i/>
      <sz val="8"/>
      <color rgb="FF888888"/>
      <name val="Arial"/>
    </font>
    <font>
      <sz val="9"/>
      <color rgb="FF1F3864"/>
      <name val="Arial"/>
    </font>
    <font>
      <b/>
      <sz val="9"/>
      <color rgb="FF1A5276"/>
      <name val="Arial"/>
    </font>
    <font>
      <b/>
      <sz val="9"/>
      <color rgb="FF1B5E20"/>
      <name val="Arial"/>
    </font>
    <font>
      <sz val="8"/>
      <color rgb="FF1F3864"/>
      <name val="Arial"/>
    </font>
    <font>
      <b/>
      <sz val="11"/>
      <color rgb="FFFFFFFF"/>
      <name val="Arial"/>
    </font>
    <font>
      <b/>
      <sz val="13"/>
      <color rgb="FFFFFFFF"/>
      <name val="Arial"/>
    </font>
    <font>
      <sz val="8"/>
      <color rgb="FF333333"/>
      <name val="Arial"/>
    </font>
    <font>
      <b/>
      <sz val="10"/>
      <color rgb="FF1A5276"/>
      <name val="Arial"/>
    </font>
    <font>
      <b/>
      <sz val="13"/>
      <color rgb="FF1B5E20"/>
      <name val="Arial"/>
    </font>
    <font>
      <b/>
      <sz val="9"/>
      <color rgb="FFE65100"/>
      <name val="Arial"/>
    </font>
    <font>
      <b/>
      <sz val="10"/>
      <color rgb="FFE65100"/>
      <name val="Arial"/>
    </font>
    <font>
      <b/>
      <sz val="14"/>
      <color rgb="FF1B5E20"/>
      <name val="Arial"/>
    </font>
    <font>
      <i/>
      <sz val="8"/>
      <color rgb="FF1B5E20"/>
      <name val="Arial"/>
    </font>
    <font>
      <b/>
      <sz val="12"/>
      <color rgb="FF1B5E20"/>
      <name val="Arial"/>
    </font>
    <font>
      <b/>
      <sz val="8"/>
      <color rgb="FFC0392B"/>
      <name val="Arial"/>
    </font>
    <font>
      <i/>
      <sz val="8"/>
      <color rgb="FF444444"/>
      <name val="Arial"/>
    </font>
    <font>
      <b/>
      <sz val="9"/>
      <color rgb="FF7B5E00"/>
      <name val="Arial"/>
    </font>
    <font>
      <sz val="8"/>
      <color rgb="FF444444"/>
      <name val="Arial"/>
    </font>
    <font>
      <b/>
      <sz val="9"/>
      <color rgb="FF1565C0"/>
      <name val="Arial"/>
    </font>
    <font>
      <b/>
      <sz val="8"/>
      <color rgb="FF1565C0"/>
      <name val="Arial"/>
    </font>
  </fonts>
  <fills count="25">
    <fill>
      <patternFill patternType="none"/>
    </fill>
    <fill>
      <patternFill patternType="gray125"/>
    </fill>
    <fill>
      <patternFill patternType="solid">
        <fgColor rgb="FF1A5276"/>
      </patternFill>
    </fill>
    <fill>
      <patternFill patternType="solid">
        <fgColor rgb="FF2C3E50"/>
      </patternFill>
    </fill>
    <fill>
      <patternFill patternType="solid">
        <fgColor rgb="FFFFF9C4"/>
      </patternFill>
    </fill>
    <fill>
      <patternFill patternType="solid">
        <fgColor rgb="FFE65100"/>
      </patternFill>
    </fill>
    <fill>
      <patternFill patternType="solid">
        <fgColor rgb="FFDEDEDE"/>
      </patternFill>
    </fill>
    <fill>
      <patternFill patternType="solid">
        <fgColor rgb="FFC0392B"/>
      </patternFill>
    </fill>
    <fill>
      <patternFill patternType="solid">
        <fgColor rgb="FF1565C0"/>
      </patternFill>
    </fill>
    <fill>
      <patternFill patternType="solid">
        <fgColor rgb="FFFCE4D6"/>
      </patternFill>
    </fill>
    <fill>
      <patternFill patternType="solid">
        <fgColor rgb="FFFFFF00"/>
      </patternFill>
    </fill>
    <fill>
      <patternFill patternType="solid">
        <fgColor rgb="FFEBF5FB"/>
      </patternFill>
    </fill>
    <fill>
      <patternFill patternType="solid">
        <fgColor rgb="FFFFFFFF"/>
      </patternFill>
    </fill>
    <fill>
      <patternFill patternType="solid">
        <fgColor rgb="FFC6EFCE"/>
      </patternFill>
    </fill>
    <fill>
      <patternFill patternType="solid">
        <fgColor rgb="FFD4E6F1"/>
      </patternFill>
    </fill>
    <fill>
      <patternFill patternType="solid">
        <fgColor rgb="FFFFF3E0"/>
      </patternFill>
    </fill>
    <fill>
      <patternFill patternType="solid">
        <fgColor rgb="FF1B5E20"/>
      </patternFill>
    </fill>
    <fill>
      <patternFill patternType="solid">
        <fgColor rgb="FFFFEBEE"/>
      </patternFill>
    </fill>
    <fill>
      <patternFill patternType="solid">
        <fgColor rgb="FFFFF5F5"/>
      </patternFill>
    </fill>
    <fill>
      <patternFill patternType="solid">
        <fgColor rgb="FFF7F7F7"/>
      </patternFill>
    </fill>
    <fill>
      <patternFill patternType="solid">
        <fgColor rgb="FFEBF5EB"/>
      </patternFill>
    </fill>
    <fill>
      <patternFill patternType="solid">
        <fgColor rgb="FFB71C1C"/>
      </patternFill>
    </fill>
    <fill>
      <patternFill patternType="solid">
        <fgColor rgb="FFFFD0D0"/>
      </patternFill>
    </fill>
    <fill>
      <patternFill patternType="solid">
        <fgColor rgb="FFE3F2FD"/>
      </patternFill>
    </fill>
    <fill>
      <patternFill patternType="solid">
        <fgColor rgb="FFEEF4FF"/>
      </patternFill>
    </fill>
  </fills>
  <borders count="9">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1A5276"/>
      </left>
      <right style="thin">
        <color rgb="FF1A5276"/>
      </right>
      <top style="thin">
        <color rgb="FF1A5276"/>
      </top>
      <bottom style="thin">
        <color rgb="FF1A5276"/>
      </bottom>
      <diagonal/>
    </border>
    <border>
      <left style="thin">
        <color rgb="FF009900"/>
      </left>
      <right style="thin">
        <color rgb="FF009900"/>
      </right>
      <top style="thin">
        <color rgb="FF009900"/>
      </top>
      <bottom style="thin">
        <color rgb="FF009900"/>
      </bottom>
      <diagonal/>
    </border>
  </borders>
  <cellStyleXfs count="1">
    <xf numFmtId="0" fontId="0" fillId="0" borderId="0"/>
  </cellStyleXfs>
  <cellXfs count="111">
    <xf numFmtId="0" fontId="0" fillId="0" borderId="0" xfId="0"/>
    <xf numFmtId="0" fontId="0" fillId="6" borderId="4" xfId="0" applyFill="1" applyBorder="1"/>
    <xf numFmtId="0" fontId="1" fillId="8" borderId="1" xfId="0" applyFont="1" applyFill="1" applyBorder="1" applyAlignment="1">
      <alignment horizontal="center" vertical="center" wrapText="1"/>
    </xf>
    <xf numFmtId="0" fontId="6" fillId="10" borderId="4" xfId="0" applyFont="1" applyFill="1" applyBorder="1" applyAlignment="1">
      <alignment horizontal="center" vertical="center"/>
    </xf>
    <xf numFmtId="0" fontId="10" fillId="13" borderId="4" xfId="0" applyFont="1" applyFill="1" applyBorder="1" applyAlignment="1">
      <alignment horizontal="center" vertical="center"/>
    </xf>
    <xf numFmtId="0" fontId="0" fillId="10" borderId="4" xfId="0" applyFill="1" applyBorder="1"/>
    <xf numFmtId="0" fontId="1" fillId="2" borderId="1" xfId="0" applyFont="1" applyFill="1" applyBorder="1" applyAlignment="1">
      <alignment horizontal="center" vertical="center" wrapText="1"/>
    </xf>
    <xf numFmtId="0" fontId="12" fillId="10" borderId="4" xfId="0" applyFont="1" applyFill="1" applyBorder="1" applyAlignment="1">
      <alignment horizontal="center" vertical="center" wrapText="1"/>
    </xf>
    <xf numFmtId="3" fontId="13" fillId="14" borderId="7" xfId="0" applyNumberFormat="1" applyFont="1" applyFill="1" applyBorder="1" applyAlignment="1">
      <alignment horizontal="right" vertical="center" wrapText="1"/>
    </xf>
    <xf numFmtId="0" fontId="0" fillId="10" borderId="4" xfId="0" applyFill="1" applyBorder="1" applyAlignment="1">
      <alignment horizontal="center" vertical="center"/>
    </xf>
    <xf numFmtId="2" fontId="12" fillId="10" borderId="4" xfId="0" applyNumberFormat="1" applyFont="1" applyFill="1" applyBorder="1" applyAlignment="1">
      <alignment horizontal="center" vertical="center" wrapText="1"/>
    </xf>
    <xf numFmtId="1" fontId="12" fillId="10" borderId="4" xfId="0" applyNumberFormat="1" applyFont="1" applyFill="1" applyBorder="1" applyAlignment="1">
      <alignment horizontal="center" vertical="center" wrapText="1"/>
    </xf>
    <xf numFmtId="3" fontId="14" fillId="13" borderId="8" xfId="0" applyNumberFormat="1" applyFont="1" applyFill="1" applyBorder="1" applyAlignment="1">
      <alignment horizontal="right" vertical="center" wrapText="1"/>
    </xf>
    <xf numFmtId="0" fontId="15" fillId="11" borderId="4" xfId="0" applyFont="1" applyFill="1" applyBorder="1" applyAlignment="1">
      <alignment horizontal="left" vertical="center" wrapText="1"/>
    </xf>
    <xf numFmtId="0" fontId="15" fillId="12" borderId="4" xfId="0" applyFont="1" applyFill="1" applyBorder="1" applyAlignment="1">
      <alignment horizontal="left" vertical="center" wrapText="1"/>
    </xf>
    <xf numFmtId="3" fontId="16" fillId="2" borderId="4" xfId="0" applyNumberFormat="1" applyFont="1" applyFill="1" applyBorder="1" applyAlignment="1">
      <alignment horizontal="right" vertical="center" wrapText="1"/>
    </xf>
    <xf numFmtId="3" fontId="17" fillId="2" borderId="8" xfId="0" applyNumberFormat="1" applyFont="1" applyFill="1" applyBorder="1" applyAlignment="1">
      <alignment horizontal="right" vertical="center" wrapText="1"/>
    </xf>
    <xf numFmtId="3" fontId="19" fillId="11" borderId="4" xfId="0" applyNumberFormat="1" applyFont="1" applyFill="1" applyBorder="1" applyAlignment="1">
      <alignment horizontal="right" vertical="center"/>
    </xf>
    <xf numFmtId="0" fontId="19" fillId="11" borderId="4" xfId="0" applyFont="1" applyFill="1" applyBorder="1" applyAlignment="1">
      <alignment horizontal="center" vertical="center"/>
    </xf>
    <xf numFmtId="3" fontId="20" fillId="13" borderId="8" xfId="0" applyNumberFormat="1" applyFont="1" applyFill="1" applyBorder="1" applyAlignment="1">
      <alignment horizontal="right" vertical="center"/>
    </xf>
    <xf numFmtId="0" fontId="22" fillId="15" borderId="4" xfId="0" applyFont="1" applyFill="1" applyBorder="1" applyAlignment="1">
      <alignment horizontal="center" vertical="center"/>
    </xf>
    <xf numFmtId="3" fontId="23" fillId="13" borderId="8" xfId="0" applyNumberFormat="1" applyFont="1" applyFill="1" applyBorder="1" applyAlignment="1">
      <alignment horizontal="right" vertical="center" wrapText="1"/>
    </xf>
    <xf numFmtId="3" fontId="10" fillId="11" borderId="4" xfId="0" applyNumberFormat="1" applyFont="1" applyFill="1" applyBorder="1" applyAlignment="1">
      <alignment horizontal="center" vertical="center"/>
    </xf>
    <xf numFmtId="3" fontId="25" fillId="13" borderId="4" xfId="0" applyNumberFormat="1" applyFont="1" applyFill="1" applyBorder="1" applyAlignment="1">
      <alignment horizontal="right" vertical="center"/>
    </xf>
    <xf numFmtId="0" fontId="1" fillId="2" borderId="4" xfId="0" applyFont="1" applyFill="1" applyBorder="1" applyAlignment="1">
      <alignment horizontal="center" vertical="center" wrapText="1"/>
    </xf>
    <xf numFmtId="0" fontId="5" fillId="9" borderId="4" xfId="0" applyFont="1" applyFill="1" applyBorder="1" applyAlignment="1">
      <alignment horizontal="left" vertical="top" wrapText="1"/>
    </xf>
    <xf numFmtId="0" fontId="18" fillId="18" borderId="4" xfId="0" applyFont="1" applyFill="1" applyBorder="1" applyAlignment="1">
      <alignment horizontal="left" vertical="top" wrapText="1"/>
    </xf>
    <xf numFmtId="0" fontId="15" fillId="10" borderId="4" xfId="0" applyFont="1" applyFill="1" applyBorder="1" applyAlignment="1">
      <alignment horizontal="center" vertical="center" wrapText="1"/>
    </xf>
    <xf numFmtId="0" fontId="0" fillId="11" borderId="4" xfId="0" applyFill="1" applyBorder="1"/>
    <xf numFmtId="0" fontId="0" fillId="12" borderId="4" xfId="0" applyFill="1" applyBorder="1"/>
    <xf numFmtId="0" fontId="8" fillId="12" borderId="4" xfId="0" applyFont="1" applyFill="1" applyBorder="1" applyAlignment="1">
      <alignment horizontal="left" vertical="top" wrapText="1"/>
    </xf>
    <xf numFmtId="0" fontId="8" fillId="11" borderId="4" xfId="0" applyFont="1" applyFill="1" applyBorder="1" applyAlignment="1">
      <alignment horizontal="left" vertical="top" wrapText="1"/>
    </xf>
    <xf numFmtId="0" fontId="1" fillId="8" borderId="1" xfId="0" applyFont="1" applyFill="1" applyBorder="1" applyAlignment="1">
      <alignment horizontal="center" vertical="center"/>
    </xf>
    <xf numFmtId="0" fontId="12" fillId="11" borderId="4" xfId="0" applyFont="1" applyFill="1" applyBorder="1" applyAlignment="1">
      <alignment horizontal="center" vertical="center" wrapText="1"/>
    </xf>
    <xf numFmtId="0" fontId="12" fillId="12" borderId="4" xfId="0" applyFont="1" applyFill="1" applyBorder="1" applyAlignment="1">
      <alignment horizontal="center" vertical="center" wrapText="1"/>
    </xf>
    <xf numFmtId="0" fontId="18" fillId="19" borderId="4" xfId="0" applyFont="1" applyFill="1" applyBorder="1" applyAlignment="1">
      <alignment horizontal="left" vertical="top" wrapText="1"/>
    </xf>
    <xf numFmtId="0" fontId="27" fillId="11" borderId="4" xfId="0" applyFont="1" applyFill="1" applyBorder="1" applyAlignment="1">
      <alignment horizontal="left" vertical="top" wrapText="1"/>
    </xf>
    <xf numFmtId="0" fontId="1" fillId="7" borderId="4" xfId="0" applyFont="1" applyFill="1" applyBorder="1" applyAlignment="1">
      <alignment horizontal="center" vertical="center" wrapText="1"/>
    </xf>
    <xf numFmtId="0" fontId="27" fillId="9" borderId="4" xfId="0" applyFont="1" applyFill="1" applyBorder="1" applyAlignment="1">
      <alignment horizontal="left" vertical="top" wrapText="1"/>
    </xf>
    <xf numFmtId="0" fontId="5" fillId="11" borderId="4" xfId="0" applyFont="1" applyFill="1" applyBorder="1" applyAlignment="1">
      <alignment horizontal="left" vertical="top" wrapText="1"/>
    </xf>
    <xf numFmtId="0" fontId="27" fillId="12" borderId="4" xfId="0" applyFont="1" applyFill="1" applyBorder="1" applyAlignment="1">
      <alignment horizontal="left" vertical="top" wrapText="1"/>
    </xf>
    <xf numFmtId="0" fontId="0" fillId="13" borderId="4" xfId="0" applyFill="1" applyBorder="1"/>
    <xf numFmtId="0" fontId="8" fillId="13" borderId="4" xfId="0" applyFont="1" applyFill="1" applyBorder="1" applyAlignment="1">
      <alignment horizontal="center" vertical="center" wrapText="1"/>
    </xf>
    <xf numFmtId="0" fontId="5" fillId="13" borderId="4" xfId="0" applyFont="1" applyFill="1" applyBorder="1" applyAlignment="1">
      <alignment horizontal="left" vertical="top" wrapText="1"/>
    </xf>
    <xf numFmtId="0" fontId="18" fillId="20" borderId="4" xfId="0" applyFont="1" applyFill="1" applyBorder="1" applyAlignment="1">
      <alignment horizontal="left" vertical="top" wrapText="1"/>
    </xf>
    <xf numFmtId="0" fontId="29" fillId="13" borderId="4" xfId="0" applyFont="1" applyFill="1" applyBorder="1" applyAlignment="1">
      <alignment horizontal="left" vertical="center" wrapText="1"/>
    </xf>
    <xf numFmtId="0" fontId="8" fillId="12" borderId="4" xfId="0" applyFont="1" applyFill="1" applyBorder="1" applyAlignment="1">
      <alignment horizontal="center" vertical="center" wrapText="1"/>
    </xf>
    <xf numFmtId="0" fontId="5" fillId="12" borderId="4" xfId="0" applyFont="1" applyFill="1" applyBorder="1" applyAlignment="1">
      <alignment horizontal="left" vertical="top" wrapText="1"/>
    </xf>
    <xf numFmtId="0" fontId="29" fillId="12" borderId="4" xfId="0" applyFont="1" applyFill="1" applyBorder="1" applyAlignment="1">
      <alignment horizontal="left" vertical="center" wrapText="1"/>
    </xf>
    <xf numFmtId="0" fontId="8" fillId="13" borderId="4" xfId="0" applyFont="1" applyFill="1" applyBorder="1" applyAlignment="1">
      <alignment horizontal="left" vertical="top" wrapText="1"/>
    </xf>
    <xf numFmtId="0" fontId="1" fillId="21" borderId="1" xfId="0" applyFont="1" applyFill="1" applyBorder="1" applyAlignment="1">
      <alignment horizontal="center" vertical="center"/>
    </xf>
    <xf numFmtId="0" fontId="0" fillId="17" borderId="4" xfId="0" applyFill="1" applyBorder="1"/>
    <xf numFmtId="0" fontId="30" fillId="17" borderId="4" xfId="0" applyFont="1" applyFill="1" applyBorder="1" applyAlignment="1">
      <alignment horizontal="center" vertical="center" wrapText="1"/>
    </xf>
    <xf numFmtId="0" fontId="5" fillId="17" borderId="4" xfId="0" applyFont="1" applyFill="1" applyBorder="1" applyAlignment="1">
      <alignment horizontal="left" vertical="top" wrapText="1"/>
    </xf>
    <xf numFmtId="0" fontId="18" fillId="22" borderId="4" xfId="0" applyFont="1" applyFill="1" applyBorder="1" applyAlignment="1">
      <alignment horizontal="left" vertical="top" wrapText="1"/>
    </xf>
    <xf numFmtId="0" fontId="31" fillId="17" borderId="4" xfId="0" applyFont="1" applyFill="1" applyBorder="1" applyAlignment="1">
      <alignment horizontal="center" vertical="center" wrapText="1"/>
    </xf>
    <xf numFmtId="0" fontId="0" fillId="23" borderId="4" xfId="0" applyFill="1" applyBorder="1"/>
    <xf numFmtId="0" fontId="30" fillId="23" borderId="4" xfId="0" applyFont="1" applyFill="1" applyBorder="1" applyAlignment="1">
      <alignment horizontal="center" vertical="center" wrapText="1"/>
    </xf>
    <xf numFmtId="0" fontId="30" fillId="23" borderId="4" xfId="0" applyFont="1" applyFill="1" applyBorder="1" applyAlignment="1">
      <alignment horizontal="left" vertical="top" wrapText="1"/>
    </xf>
    <xf numFmtId="0" fontId="18" fillId="24" borderId="4" xfId="0" applyFont="1" applyFill="1" applyBorder="1" applyAlignment="1">
      <alignment horizontal="left" vertical="top" wrapText="1"/>
    </xf>
    <xf numFmtId="0" fontId="31" fillId="23" borderId="4" xfId="0" applyFont="1" applyFill="1" applyBorder="1" applyAlignment="1">
      <alignment horizontal="center" vertical="center" wrapText="1"/>
    </xf>
    <xf numFmtId="0" fontId="11" fillId="12" borderId="4" xfId="0" applyFont="1" applyFill="1" applyBorder="1" applyAlignment="1">
      <alignment horizontal="left" vertical="center" wrapText="1"/>
    </xf>
    <xf numFmtId="0" fontId="0" fillId="0" borderId="6" xfId="0" applyBorder="1"/>
    <xf numFmtId="0" fontId="8" fillId="12" borderId="4" xfId="0" applyFont="1" applyFill="1" applyBorder="1" applyAlignment="1">
      <alignment horizontal="left" vertical="center" wrapText="1"/>
    </xf>
    <xf numFmtId="0" fontId="0" fillId="0" borderId="5" xfId="0" applyBorder="1"/>
    <xf numFmtId="0" fontId="9" fillId="11" borderId="4" xfId="0" applyFont="1" applyFill="1" applyBorder="1" applyAlignment="1">
      <alignment horizontal="left" vertical="center" wrapText="1"/>
    </xf>
    <xf numFmtId="0" fontId="4" fillId="2" borderId="1" xfId="0" applyFont="1" applyFill="1" applyBorder="1" applyAlignment="1">
      <alignment horizontal="left" vertical="center"/>
    </xf>
    <xf numFmtId="0" fontId="0" fillId="0" borderId="2" xfId="0" applyBorder="1"/>
    <xf numFmtId="0" fontId="0" fillId="0" borderId="3" xfId="0" applyBorder="1"/>
    <xf numFmtId="0" fontId="9" fillId="12" borderId="4" xfId="0" applyFont="1" applyFill="1" applyBorder="1" applyAlignment="1">
      <alignment horizontal="left" vertical="center" wrapText="1"/>
    </xf>
    <xf numFmtId="0" fontId="21" fillId="15" borderId="4" xfId="0" applyFont="1" applyFill="1" applyBorder="1" applyAlignment="1">
      <alignment horizontal="left" vertical="center" wrapText="1"/>
    </xf>
    <xf numFmtId="0" fontId="8" fillId="13" borderId="4" xfId="0" applyFont="1" applyFill="1" applyBorder="1" applyAlignment="1">
      <alignment horizontal="left" vertical="center"/>
    </xf>
    <xf numFmtId="0" fontId="8" fillId="11" borderId="4" xfId="0" applyFont="1" applyFill="1" applyBorder="1" applyAlignment="1">
      <alignment horizontal="left" vertical="center" wrapText="1"/>
    </xf>
    <xf numFmtId="0" fontId="11" fillId="11" borderId="4" xfId="0" applyFont="1" applyFill="1" applyBorder="1" applyAlignment="1">
      <alignment horizontal="left" vertical="center" wrapText="1"/>
    </xf>
    <xf numFmtId="0" fontId="1" fillId="2" borderId="4" xfId="0" applyFont="1" applyFill="1" applyBorder="1" applyAlignment="1">
      <alignment horizontal="left" vertical="center"/>
    </xf>
    <xf numFmtId="0" fontId="5" fillId="9" borderId="1" xfId="0" applyFont="1" applyFill="1" applyBorder="1" applyAlignment="1">
      <alignment horizontal="left" vertical="center" wrapText="1"/>
    </xf>
    <xf numFmtId="0" fontId="1" fillId="2" borderId="1" xfId="0" applyFont="1" applyFill="1" applyBorder="1" applyAlignment="1">
      <alignment horizontal="left" vertical="center"/>
    </xf>
    <xf numFmtId="0" fontId="7" fillId="9" borderId="4" xfId="0" applyFont="1" applyFill="1" applyBorder="1" applyAlignment="1">
      <alignment horizontal="left" vertical="center" wrapText="1"/>
    </xf>
    <xf numFmtId="0" fontId="4" fillId="7" borderId="1" xfId="0" applyFont="1" applyFill="1" applyBorder="1" applyAlignment="1">
      <alignment horizontal="left" vertical="center"/>
    </xf>
    <xf numFmtId="0" fontId="10" fillId="13" borderId="4" xfId="0" applyFont="1" applyFill="1" applyBorder="1" applyAlignment="1">
      <alignment horizontal="left" vertical="center"/>
    </xf>
    <xf numFmtId="0" fontId="18" fillId="14" borderId="1" xfId="0" applyFont="1" applyFill="1" applyBorder="1" applyAlignment="1">
      <alignment horizontal="left" vertical="center" wrapText="1"/>
    </xf>
    <xf numFmtId="0" fontId="4" fillId="2" borderId="4" xfId="0" applyFont="1" applyFill="1" applyBorder="1" applyAlignment="1">
      <alignment horizontal="center" vertical="center"/>
    </xf>
    <xf numFmtId="0" fontId="24" fillId="13" borderId="4" xfId="0" applyFont="1" applyFill="1" applyBorder="1" applyAlignment="1">
      <alignment horizontal="left" vertical="center" wrapText="1"/>
    </xf>
    <xf numFmtId="0" fontId="2" fillId="4" borderId="1" xfId="0" applyFont="1" applyFill="1" applyBorder="1" applyAlignment="1">
      <alignment horizontal="left" vertical="center" wrapText="1"/>
    </xf>
    <xf numFmtId="0" fontId="11" fillId="15" borderId="4" xfId="0" applyFont="1" applyFill="1" applyBorder="1" applyAlignment="1">
      <alignment horizontal="left" vertical="center" wrapText="1"/>
    </xf>
    <xf numFmtId="0" fontId="7" fillId="13" borderId="4" xfId="0" applyFont="1" applyFill="1" applyBorder="1" applyAlignment="1">
      <alignment horizontal="left" vertical="center" wrapText="1"/>
    </xf>
    <xf numFmtId="0" fontId="1" fillId="3" borderId="1" xfId="0" applyFont="1" applyFill="1" applyBorder="1" applyAlignment="1">
      <alignment horizontal="left" vertical="center"/>
    </xf>
    <xf numFmtId="0" fontId="11" fillId="13" borderId="4" xfId="0" applyFont="1" applyFill="1" applyBorder="1" applyAlignment="1">
      <alignment horizontal="left" vertical="center" wrapText="1"/>
    </xf>
    <xf numFmtId="0" fontId="9" fillId="13" borderId="4" xfId="0" applyFont="1" applyFill="1" applyBorder="1" applyAlignment="1">
      <alignment horizontal="left" vertical="center" wrapText="1"/>
    </xf>
    <xf numFmtId="0" fontId="5" fillId="9" borderId="4" xfId="0" applyFont="1" applyFill="1" applyBorder="1" applyAlignment="1">
      <alignment horizontal="left" vertical="center" wrapText="1"/>
    </xf>
    <xf numFmtId="0" fontId="3" fillId="5" borderId="1" xfId="0" applyFont="1" applyFill="1" applyBorder="1" applyAlignment="1">
      <alignment horizontal="left" vertical="center"/>
    </xf>
    <xf numFmtId="0" fontId="14" fillId="13" borderId="4" xfId="0" applyFont="1" applyFill="1" applyBorder="1" applyAlignment="1">
      <alignment horizontal="left" vertical="center" wrapText="1"/>
    </xf>
    <xf numFmtId="0" fontId="12" fillId="11" borderId="4" xfId="0" applyFont="1" applyFill="1" applyBorder="1" applyAlignment="1">
      <alignment horizontal="left" vertical="center" wrapText="1"/>
    </xf>
    <xf numFmtId="0" fontId="9" fillId="15" borderId="4" xfId="0" applyFont="1" applyFill="1" applyBorder="1" applyAlignment="1">
      <alignment horizontal="left" vertical="center" wrapText="1"/>
    </xf>
    <xf numFmtId="0" fontId="8" fillId="12" borderId="4" xfId="0" applyFont="1" applyFill="1" applyBorder="1" applyAlignment="1">
      <alignment horizontal="left" vertical="center"/>
    </xf>
    <xf numFmtId="0" fontId="8" fillId="11" borderId="4" xfId="0" applyFont="1" applyFill="1" applyBorder="1" applyAlignment="1">
      <alignment horizontal="left" vertical="center"/>
    </xf>
    <xf numFmtId="0" fontId="5" fillId="9" borderId="4" xfId="0" applyFont="1" applyFill="1" applyBorder="1" applyAlignment="1">
      <alignment horizontal="left" vertical="top" wrapText="1"/>
    </xf>
    <xf numFmtId="0" fontId="18" fillId="18" borderId="4" xfId="0" applyFont="1" applyFill="1" applyBorder="1" applyAlignment="1">
      <alignment horizontal="left" vertical="top" wrapText="1"/>
    </xf>
    <xf numFmtId="0" fontId="16" fillId="2" borderId="1" xfId="0" applyFont="1" applyFill="1" applyBorder="1" applyAlignment="1">
      <alignment horizontal="left" vertical="center"/>
    </xf>
    <xf numFmtId="0" fontId="8" fillId="12" borderId="4" xfId="0" applyFont="1" applyFill="1" applyBorder="1" applyAlignment="1">
      <alignment horizontal="left" vertical="top" wrapText="1"/>
    </xf>
    <xf numFmtId="0" fontId="8" fillId="15" borderId="4" xfId="0" applyFont="1" applyFill="1" applyBorder="1" applyAlignment="1">
      <alignment horizontal="left" vertical="center"/>
    </xf>
    <xf numFmtId="0" fontId="8" fillId="11" borderId="4" xfId="0" applyFont="1" applyFill="1" applyBorder="1" applyAlignment="1">
      <alignment horizontal="left" vertical="top" wrapText="1"/>
    </xf>
    <xf numFmtId="0" fontId="18" fillId="12" borderId="4" xfId="0" applyFont="1" applyFill="1" applyBorder="1" applyAlignment="1">
      <alignment horizontal="left" vertical="top" wrapText="1"/>
    </xf>
    <xf numFmtId="0" fontId="26" fillId="17" borderId="1" xfId="0" applyFont="1" applyFill="1" applyBorder="1" applyAlignment="1">
      <alignment horizontal="left" vertical="center" wrapText="1"/>
    </xf>
    <xf numFmtId="0" fontId="18" fillId="11" borderId="4" xfId="0" applyFont="1" applyFill="1" applyBorder="1" applyAlignment="1">
      <alignment horizontal="left" vertical="top" wrapText="1"/>
    </xf>
    <xf numFmtId="0" fontId="1" fillId="3" borderId="4" xfId="0" applyFont="1" applyFill="1" applyBorder="1" applyAlignment="1">
      <alignment horizontal="left" vertical="center" wrapText="1"/>
    </xf>
    <xf numFmtId="0" fontId="4" fillId="16" borderId="1" xfId="0" applyFont="1" applyFill="1" applyBorder="1" applyAlignment="1">
      <alignment horizontal="left" vertical="center"/>
    </xf>
    <xf numFmtId="0" fontId="18" fillId="15" borderId="1" xfId="0" applyFont="1" applyFill="1" applyBorder="1" applyAlignment="1">
      <alignment horizontal="left" vertical="center" wrapText="1"/>
    </xf>
    <xf numFmtId="0" fontId="28" fillId="4" borderId="1" xfId="0" applyFont="1" applyFill="1" applyBorder="1" applyAlignment="1">
      <alignment horizontal="left" vertical="center" wrapText="1"/>
    </xf>
    <xf numFmtId="0" fontId="1" fillId="16" borderId="1" xfId="0" applyFont="1" applyFill="1" applyBorder="1" applyAlignment="1">
      <alignment horizontal="left" vertical="center"/>
    </xf>
    <xf numFmtId="0" fontId="1" fillId="21" borderId="1" xfId="0" applyFont="1" applyFill="1" applyBorder="1" applyAlignment="1">
      <alignment horizontal="left" vertical="center"/>
    </xf>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BD888DF-1EC7-4D66-9269-AACBC5809CA5}">
  <we:reference id="WA200009404" version="1.0.0.8" store="Omex" storeType="OMEX"/>
  <we:alternateReferences>
    <we:reference id="WA200009404" version="1.0.0.8" store="WA200009404" storeType="OMEX"/>
  </we:alternateReferences>
  <we:properties>
    <we:property name="claude.fileId" value="&quot;8cd1dd38-7250-48bd-8fdb-09681a991767&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workbookViewId="0">
      <selection sqref="A1:H1"/>
    </sheetView>
  </sheetViews>
  <sheetFormatPr defaultRowHeight="14.4" x14ac:dyDescent="0.55000000000000004"/>
  <cols>
    <col min="1" max="1" width="3" customWidth="1"/>
    <col min="2" max="2" width="28" customWidth="1"/>
    <col min="3" max="4" width="14" customWidth="1"/>
    <col min="5" max="6" width="12" customWidth="1"/>
    <col min="7" max="7" width="14" customWidth="1"/>
    <col min="8" max="8" width="18" customWidth="1"/>
  </cols>
  <sheetData>
    <row r="1" spans="1:8" ht="44.05" customHeight="1" x14ac:dyDescent="0.55000000000000004">
      <c r="A1" s="76" t="s">
        <v>0</v>
      </c>
      <c r="B1" s="67"/>
      <c r="C1" s="67"/>
      <c r="D1" s="67"/>
      <c r="E1" s="67"/>
      <c r="F1" s="67"/>
      <c r="G1" s="67"/>
      <c r="H1" s="68"/>
    </row>
    <row r="2" spans="1:8" ht="22" customHeight="1" x14ac:dyDescent="0.55000000000000004">
      <c r="A2" s="86" t="s">
        <v>1</v>
      </c>
      <c r="B2" s="67"/>
      <c r="C2" s="67"/>
      <c r="D2" s="67"/>
      <c r="E2" s="67"/>
      <c r="F2" s="67"/>
      <c r="G2" s="67"/>
      <c r="H2" s="68"/>
    </row>
    <row r="3" spans="1:8" ht="48" customHeight="1" x14ac:dyDescent="0.55000000000000004">
      <c r="A3" s="83" t="s">
        <v>2</v>
      </c>
      <c r="B3" s="67"/>
      <c r="C3" s="67"/>
      <c r="D3" s="67"/>
      <c r="E3" s="67"/>
      <c r="F3" s="67"/>
      <c r="G3" s="67"/>
      <c r="H3" s="68"/>
    </row>
    <row r="4" spans="1:8" ht="22" customHeight="1" x14ac:dyDescent="0.55000000000000004">
      <c r="A4" s="90" t="s">
        <v>3</v>
      </c>
      <c r="B4" s="67"/>
      <c r="C4" s="67"/>
      <c r="D4" s="67"/>
      <c r="E4" s="67"/>
      <c r="F4" s="67"/>
      <c r="G4" s="67"/>
      <c r="H4" s="68"/>
    </row>
    <row r="5" spans="1:8" ht="5.05" customHeight="1" x14ac:dyDescent="0.55000000000000004">
      <c r="A5" s="1"/>
      <c r="B5" s="1"/>
      <c r="C5" s="1"/>
      <c r="D5" s="1"/>
      <c r="E5" s="1"/>
      <c r="F5" s="1"/>
      <c r="G5" s="1"/>
      <c r="H5" s="1"/>
    </row>
    <row r="6" spans="1:8" ht="24" customHeight="1" x14ac:dyDescent="0.55000000000000004">
      <c r="A6" s="78" t="s">
        <v>4</v>
      </c>
      <c r="B6" s="67"/>
      <c r="C6" s="67"/>
      <c r="D6" s="67"/>
      <c r="E6" s="67"/>
      <c r="F6" s="67"/>
      <c r="G6" s="67"/>
      <c r="H6" s="68"/>
    </row>
    <row r="7" spans="1:8" ht="18" customHeight="1" x14ac:dyDescent="0.55000000000000004">
      <c r="A7" s="2"/>
      <c r="B7" s="2" t="s">
        <v>5</v>
      </c>
      <c r="C7" s="2"/>
      <c r="D7" s="2"/>
      <c r="E7" s="2"/>
      <c r="F7" s="2" t="s">
        <v>6</v>
      </c>
      <c r="G7" s="2"/>
      <c r="H7" s="2" t="s">
        <v>7</v>
      </c>
    </row>
    <row r="8" spans="1:8" ht="28" customHeight="1" x14ac:dyDescent="0.55000000000000004">
      <c r="A8" s="89" t="s">
        <v>8</v>
      </c>
      <c r="B8" s="64"/>
      <c r="C8" s="64"/>
      <c r="D8" s="64"/>
      <c r="E8" s="62"/>
      <c r="F8" s="3" t="s">
        <v>9</v>
      </c>
      <c r="G8" s="77" t="s">
        <v>10</v>
      </c>
      <c r="H8" s="62"/>
    </row>
    <row r="9" spans="1:8" ht="28" customHeight="1" x14ac:dyDescent="0.55000000000000004">
      <c r="A9" s="89" t="s">
        <v>11</v>
      </c>
      <c r="B9" s="64"/>
      <c r="C9" s="64"/>
      <c r="D9" s="64"/>
      <c r="E9" s="62"/>
      <c r="F9" s="3" t="s">
        <v>9</v>
      </c>
      <c r="G9" s="77" t="s">
        <v>12</v>
      </c>
      <c r="H9" s="62"/>
    </row>
    <row r="10" spans="1:8" ht="28" customHeight="1" x14ac:dyDescent="0.55000000000000004">
      <c r="A10" s="72" t="s">
        <v>13</v>
      </c>
      <c r="B10" s="64"/>
      <c r="C10" s="64"/>
      <c r="D10" s="64"/>
      <c r="E10" s="62"/>
      <c r="F10" s="3" t="s">
        <v>9</v>
      </c>
      <c r="G10" s="65" t="s">
        <v>14</v>
      </c>
      <c r="H10" s="62"/>
    </row>
    <row r="11" spans="1:8" ht="28" customHeight="1" x14ac:dyDescent="0.55000000000000004">
      <c r="A11" s="63" t="s">
        <v>15</v>
      </c>
      <c r="B11" s="64"/>
      <c r="C11" s="64"/>
      <c r="D11" s="64"/>
      <c r="E11" s="62"/>
      <c r="F11" s="3" t="s">
        <v>9</v>
      </c>
      <c r="G11" s="69" t="s">
        <v>16</v>
      </c>
      <c r="H11" s="62"/>
    </row>
    <row r="12" spans="1:8" ht="28" customHeight="1" x14ac:dyDescent="0.55000000000000004">
      <c r="A12" s="72" t="s">
        <v>17</v>
      </c>
      <c r="B12" s="64"/>
      <c r="C12" s="64"/>
      <c r="D12" s="64"/>
      <c r="E12" s="62"/>
      <c r="F12" s="3" t="s">
        <v>18</v>
      </c>
      <c r="G12" s="65" t="s">
        <v>19</v>
      </c>
      <c r="H12" s="62"/>
    </row>
    <row r="13" spans="1:8" ht="28" customHeight="1" x14ac:dyDescent="0.55000000000000004">
      <c r="A13" s="63" t="s">
        <v>20</v>
      </c>
      <c r="B13" s="64"/>
      <c r="C13" s="64"/>
      <c r="D13" s="64"/>
      <c r="E13" s="62"/>
      <c r="F13" s="3" t="s">
        <v>9</v>
      </c>
      <c r="G13" s="69" t="s">
        <v>21</v>
      </c>
      <c r="H13" s="62"/>
    </row>
    <row r="14" spans="1:8" ht="28" customHeight="1" x14ac:dyDescent="0.55000000000000004">
      <c r="A14" s="72" t="s">
        <v>22</v>
      </c>
      <c r="B14" s="64"/>
      <c r="C14" s="64"/>
      <c r="D14" s="64"/>
      <c r="E14" s="62"/>
      <c r="F14" s="3" t="s">
        <v>9</v>
      </c>
      <c r="G14" s="65" t="s">
        <v>23</v>
      </c>
      <c r="H14" s="62"/>
    </row>
    <row r="15" spans="1:8" ht="24" customHeight="1" x14ac:dyDescent="0.55000000000000004">
      <c r="A15" s="71" t="s">
        <v>24</v>
      </c>
      <c r="B15" s="64"/>
      <c r="C15" s="64"/>
      <c r="D15" s="64"/>
      <c r="E15" s="62"/>
      <c r="F15" s="4" t="str">
        <f>IF(AND(F8="EVET",F9="EVET",F10="EVET",F11="EVET"),"OK - Hesaplanabilir","HATA - Ön koşul eksik")</f>
        <v>OK - Hesaplanabilir</v>
      </c>
      <c r="G15" s="85" t="s">
        <v>25</v>
      </c>
      <c r="H15" s="62"/>
    </row>
    <row r="16" spans="1:8" ht="5.05" customHeight="1" x14ac:dyDescent="0.55000000000000004">
      <c r="A16" s="1"/>
      <c r="B16" s="1"/>
      <c r="C16" s="1"/>
      <c r="D16" s="1"/>
      <c r="E16" s="1"/>
      <c r="F16" s="1"/>
      <c r="G16" s="1"/>
      <c r="H16" s="1"/>
    </row>
    <row r="17" spans="1:8" ht="22" customHeight="1" x14ac:dyDescent="0.55000000000000004">
      <c r="A17" s="66" t="s">
        <v>26</v>
      </c>
      <c r="B17" s="67"/>
      <c r="C17" s="67"/>
      <c r="D17" s="67"/>
      <c r="E17" s="67"/>
      <c r="F17" s="67"/>
      <c r="G17" s="67"/>
      <c r="H17" s="68"/>
    </row>
    <row r="18" spans="1:8" ht="22" customHeight="1" x14ac:dyDescent="0.55000000000000004">
      <c r="A18" s="72" t="s">
        <v>27</v>
      </c>
      <c r="B18" s="64"/>
      <c r="C18" s="62"/>
      <c r="D18" s="5"/>
      <c r="E18" s="73" t="s">
        <v>28</v>
      </c>
      <c r="F18" s="64"/>
      <c r="G18" s="64"/>
      <c r="H18" s="62"/>
    </row>
    <row r="19" spans="1:8" ht="22" customHeight="1" x14ac:dyDescent="0.55000000000000004">
      <c r="A19" s="63" t="s">
        <v>29</v>
      </c>
      <c r="B19" s="64"/>
      <c r="C19" s="62"/>
      <c r="D19" s="5"/>
      <c r="E19" s="61" t="s">
        <v>30</v>
      </c>
      <c r="F19" s="64"/>
      <c r="G19" s="64"/>
      <c r="H19" s="62"/>
    </row>
    <row r="20" spans="1:8" ht="22" customHeight="1" x14ac:dyDescent="0.55000000000000004">
      <c r="A20" s="72" t="s">
        <v>31</v>
      </c>
      <c r="B20" s="64"/>
      <c r="C20" s="62"/>
      <c r="D20" s="5"/>
      <c r="E20" s="73" t="s">
        <v>32</v>
      </c>
      <c r="F20" s="64"/>
      <c r="G20" s="64"/>
      <c r="H20" s="62"/>
    </row>
    <row r="21" spans="1:8" ht="22" customHeight="1" x14ac:dyDescent="0.55000000000000004">
      <c r="A21" s="63" t="s">
        <v>33</v>
      </c>
      <c r="B21" s="64"/>
      <c r="C21" s="62"/>
      <c r="D21" s="5"/>
      <c r="E21" s="61" t="s">
        <v>34</v>
      </c>
      <c r="F21" s="64"/>
      <c r="G21" s="64"/>
      <c r="H21" s="62"/>
    </row>
    <row r="22" spans="1:8" ht="22" customHeight="1" x14ac:dyDescent="0.55000000000000004">
      <c r="A22" s="72" t="s">
        <v>35</v>
      </c>
      <c r="B22" s="64"/>
      <c r="C22" s="62"/>
      <c r="D22" s="5"/>
      <c r="E22" s="73" t="s">
        <v>36</v>
      </c>
      <c r="F22" s="64"/>
      <c r="G22" s="64"/>
      <c r="H22" s="62"/>
    </row>
    <row r="23" spans="1:8" ht="22" customHeight="1" x14ac:dyDescent="0.55000000000000004">
      <c r="A23" s="63" t="s">
        <v>37</v>
      </c>
      <c r="B23" s="64"/>
      <c r="C23" s="62"/>
      <c r="D23" s="5"/>
      <c r="E23" s="61" t="s">
        <v>38</v>
      </c>
      <c r="F23" s="64"/>
      <c r="G23" s="64"/>
      <c r="H23" s="62"/>
    </row>
    <row r="24" spans="1:8" ht="22" customHeight="1" x14ac:dyDescent="0.55000000000000004">
      <c r="A24" s="72" t="s">
        <v>39</v>
      </c>
      <c r="B24" s="64"/>
      <c r="C24" s="62"/>
      <c r="D24" s="5"/>
      <c r="E24" s="73" t="s">
        <v>40</v>
      </c>
      <c r="F24" s="64"/>
      <c r="G24" s="64"/>
      <c r="H24" s="62"/>
    </row>
    <row r="26" spans="1:8" ht="5.05" customHeight="1" x14ac:dyDescent="0.55000000000000004">
      <c r="A26" s="1"/>
      <c r="B26" s="1"/>
      <c r="C26" s="1"/>
      <c r="D26" s="1"/>
      <c r="E26" s="1"/>
      <c r="F26" s="1"/>
      <c r="G26" s="1"/>
      <c r="H26" s="1"/>
    </row>
    <row r="27" spans="1:8" ht="24" customHeight="1" x14ac:dyDescent="0.55000000000000004">
      <c r="A27" s="66" t="s">
        <v>41</v>
      </c>
      <c r="B27" s="67"/>
      <c r="C27" s="67"/>
      <c r="D27" s="67"/>
      <c r="E27" s="67"/>
      <c r="F27" s="67"/>
      <c r="G27" s="67"/>
      <c r="H27" s="68"/>
    </row>
    <row r="28" spans="1:8" ht="24" customHeight="1" x14ac:dyDescent="0.55000000000000004">
      <c r="A28" s="92" t="s">
        <v>42</v>
      </c>
      <c r="B28" s="64"/>
      <c r="C28" s="64"/>
      <c r="D28" s="64"/>
      <c r="E28" s="64"/>
      <c r="F28" s="64"/>
      <c r="G28" s="64"/>
      <c r="H28" s="62"/>
    </row>
    <row r="29" spans="1:8" ht="18" customHeight="1" x14ac:dyDescent="0.55000000000000004">
      <c r="A29" s="6" t="s">
        <v>43</v>
      </c>
      <c r="B29" s="6" t="s">
        <v>44</v>
      </c>
      <c r="C29" s="6" t="s">
        <v>45</v>
      </c>
      <c r="D29" s="6" t="s">
        <v>46</v>
      </c>
      <c r="E29" s="6" t="s">
        <v>47</v>
      </c>
      <c r="F29" s="6" t="s">
        <v>48</v>
      </c>
      <c r="G29" s="6" t="s">
        <v>49</v>
      </c>
      <c r="H29" s="6" t="s">
        <v>50</v>
      </c>
    </row>
    <row r="30" spans="1:8" ht="28" customHeight="1" x14ac:dyDescent="0.55000000000000004">
      <c r="A30" s="7"/>
      <c r="B30" s="8"/>
      <c r="C30" s="9">
        <v>50</v>
      </c>
      <c r="D30" s="10"/>
      <c r="E30" s="11"/>
      <c r="F30" s="12">
        <f t="shared" ref="F30:F35" si="0">IF(AND(B30&gt;0,D30&gt;0,E30&gt;0),B30*(D30/100)*(C30/100)*(E30/12),0)</f>
        <v>0</v>
      </c>
      <c r="G30" s="9"/>
      <c r="H30" s="13"/>
    </row>
    <row r="31" spans="1:8" ht="28" customHeight="1" x14ac:dyDescent="0.55000000000000004">
      <c r="A31" s="7"/>
      <c r="B31" s="8"/>
      <c r="C31" s="9">
        <v>50</v>
      </c>
      <c r="D31" s="10"/>
      <c r="E31" s="11"/>
      <c r="F31" s="12">
        <f t="shared" si="0"/>
        <v>0</v>
      </c>
      <c r="G31" s="9"/>
      <c r="H31" s="14"/>
    </row>
    <row r="32" spans="1:8" ht="28" customHeight="1" x14ac:dyDescent="0.55000000000000004">
      <c r="A32" s="7"/>
      <c r="B32" s="8"/>
      <c r="C32" s="9">
        <v>50</v>
      </c>
      <c r="D32" s="10"/>
      <c r="E32" s="11"/>
      <c r="F32" s="12">
        <f t="shared" si="0"/>
        <v>0</v>
      </c>
      <c r="G32" s="9"/>
      <c r="H32" s="13"/>
    </row>
    <row r="33" spans="1:8" ht="28" customHeight="1" x14ac:dyDescent="0.55000000000000004">
      <c r="A33" s="7"/>
      <c r="B33" s="8"/>
      <c r="C33" s="9">
        <v>50</v>
      </c>
      <c r="D33" s="10"/>
      <c r="E33" s="11"/>
      <c r="F33" s="12">
        <f t="shared" si="0"/>
        <v>0</v>
      </c>
      <c r="G33" s="9"/>
      <c r="H33" s="14"/>
    </row>
    <row r="34" spans="1:8" ht="28" customHeight="1" x14ac:dyDescent="0.55000000000000004">
      <c r="A34" s="7"/>
      <c r="B34" s="8"/>
      <c r="C34" s="9">
        <v>50</v>
      </c>
      <c r="D34" s="10"/>
      <c r="E34" s="11"/>
      <c r="F34" s="12">
        <f t="shared" si="0"/>
        <v>0</v>
      </c>
      <c r="G34" s="9"/>
      <c r="H34" s="13"/>
    </row>
    <row r="35" spans="1:8" ht="28" customHeight="1" x14ac:dyDescent="0.55000000000000004">
      <c r="A35" s="7"/>
      <c r="B35" s="8"/>
      <c r="C35" s="9">
        <v>50</v>
      </c>
      <c r="D35" s="10"/>
      <c r="E35" s="11"/>
      <c r="F35" s="12">
        <f t="shared" si="0"/>
        <v>0</v>
      </c>
      <c r="G35" s="9"/>
      <c r="H35" s="14"/>
    </row>
    <row r="36" spans="1:8" ht="30" customHeight="1" x14ac:dyDescent="0.55000000000000004">
      <c r="A36" s="81" t="s">
        <v>51</v>
      </c>
      <c r="B36" s="15">
        <f>SUM(B30:B35)</f>
        <v>0</v>
      </c>
      <c r="C36" s="74" t="s">
        <v>52</v>
      </c>
      <c r="D36" s="64"/>
      <c r="E36" s="62"/>
      <c r="F36" s="16">
        <f>SUM(F30:F35)</f>
        <v>0</v>
      </c>
      <c r="G36" s="74" t="s">
        <v>53</v>
      </c>
      <c r="H36" s="62"/>
    </row>
    <row r="37" spans="1:8" ht="32.049999999999997" customHeight="1" x14ac:dyDescent="0.55000000000000004">
      <c r="A37" s="80" t="s">
        <v>54</v>
      </c>
      <c r="B37" s="67"/>
      <c r="C37" s="67"/>
      <c r="D37" s="67"/>
      <c r="E37" s="67"/>
      <c r="F37" s="67"/>
      <c r="G37" s="67"/>
      <c r="H37" s="68"/>
    </row>
    <row r="38" spans="1:8" ht="5.05" customHeight="1" x14ac:dyDescent="0.55000000000000004">
      <c r="A38" s="1"/>
      <c r="B38" s="1"/>
      <c r="C38" s="1"/>
      <c r="D38" s="1"/>
      <c r="E38" s="1"/>
      <c r="F38" s="1"/>
      <c r="G38" s="1"/>
      <c r="H38" s="1"/>
    </row>
    <row r="39" spans="1:8" ht="24" customHeight="1" x14ac:dyDescent="0.55000000000000004">
      <c r="A39" s="66" t="s">
        <v>55</v>
      </c>
      <c r="B39" s="67"/>
      <c r="C39" s="67"/>
      <c r="D39" s="67"/>
      <c r="E39" s="67"/>
      <c r="F39" s="67"/>
      <c r="G39" s="67"/>
      <c r="H39" s="68"/>
    </row>
    <row r="40" spans="1:8" ht="18" customHeight="1" x14ac:dyDescent="0.55000000000000004">
      <c r="A40" s="2"/>
      <c r="B40" s="2" t="s">
        <v>56</v>
      </c>
      <c r="C40" s="2"/>
      <c r="D40" s="2"/>
      <c r="E40" s="2" t="s">
        <v>57</v>
      </c>
      <c r="F40" s="2"/>
      <c r="G40" s="2" t="s">
        <v>58</v>
      </c>
      <c r="H40" s="2" t="s">
        <v>50</v>
      </c>
    </row>
    <row r="41" spans="1:8" ht="28" customHeight="1" x14ac:dyDescent="0.55000000000000004">
      <c r="A41" s="63" t="s">
        <v>59</v>
      </c>
      <c r="B41" s="64"/>
      <c r="C41" s="62"/>
      <c r="D41" s="17">
        <f>F36</f>
        <v>0</v>
      </c>
      <c r="E41" s="61" t="s">
        <v>60</v>
      </c>
      <c r="F41" s="62"/>
      <c r="G41" s="69"/>
      <c r="H41" s="62"/>
    </row>
    <row r="42" spans="1:8" ht="28" customHeight="1" x14ac:dyDescent="0.55000000000000004">
      <c r="A42" s="72" t="s">
        <v>61</v>
      </c>
      <c r="B42" s="64"/>
      <c r="C42" s="62"/>
      <c r="D42" s="18"/>
      <c r="E42" s="73" t="s">
        <v>62</v>
      </c>
      <c r="F42" s="62"/>
      <c r="G42" s="65"/>
      <c r="H42" s="62"/>
    </row>
    <row r="43" spans="1:8" ht="28" customHeight="1" x14ac:dyDescent="0.55000000000000004">
      <c r="A43" s="63" t="s">
        <v>63</v>
      </c>
      <c r="B43" s="64"/>
      <c r="C43" s="62"/>
      <c r="D43" s="17">
        <f>D41+D42</f>
        <v>0</v>
      </c>
      <c r="E43" s="61" t="s">
        <v>64</v>
      </c>
      <c r="F43" s="62"/>
      <c r="G43" s="69"/>
      <c r="H43" s="62"/>
    </row>
    <row r="44" spans="1:8" ht="28" customHeight="1" x14ac:dyDescent="0.55000000000000004">
      <c r="A44" s="72" t="s">
        <v>65</v>
      </c>
      <c r="B44" s="64"/>
      <c r="C44" s="62"/>
      <c r="D44" s="18"/>
      <c r="E44" s="73" t="s">
        <v>66</v>
      </c>
      <c r="F44" s="62"/>
      <c r="G44" s="65"/>
      <c r="H44" s="62"/>
    </row>
    <row r="45" spans="1:8" ht="28" customHeight="1" x14ac:dyDescent="0.55000000000000004">
      <c r="A45" s="91" t="s">
        <v>67</v>
      </c>
      <c r="B45" s="64"/>
      <c r="C45" s="62"/>
      <c r="D45" s="19">
        <f>IF(AND(D43&gt;0,D44&gt;0),MIN(D43,D44),IF(D43&gt;0,D43,0))</f>
        <v>0</v>
      </c>
      <c r="E45" s="87" t="s">
        <v>68</v>
      </c>
      <c r="F45" s="62"/>
      <c r="G45" s="88" t="s">
        <v>69</v>
      </c>
      <c r="H45" s="62"/>
    </row>
    <row r="46" spans="1:8" ht="28" customHeight="1" x14ac:dyDescent="0.55000000000000004">
      <c r="A46" s="70" t="s">
        <v>70</v>
      </c>
      <c r="B46" s="64"/>
      <c r="C46" s="62"/>
      <c r="D46" s="20" t="s">
        <v>71</v>
      </c>
      <c r="E46" s="84" t="s">
        <v>72</v>
      </c>
      <c r="F46" s="62"/>
      <c r="G46" s="93" t="s">
        <v>73</v>
      </c>
      <c r="H46" s="62"/>
    </row>
    <row r="47" spans="1:8" ht="5.05" customHeight="1" x14ac:dyDescent="0.55000000000000004">
      <c r="A47" s="1"/>
      <c r="B47" s="1"/>
      <c r="C47" s="1"/>
      <c r="D47" s="1"/>
      <c r="E47" s="1"/>
      <c r="F47" s="1"/>
      <c r="G47" s="1"/>
      <c r="H47" s="1"/>
    </row>
    <row r="48" spans="1:8" ht="32.049999999999997" customHeight="1" x14ac:dyDescent="0.55000000000000004">
      <c r="A48" s="79" t="s">
        <v>74</v>
      </c>
      <c r="B48" s="64"/>
      <c r="C48" s="64"/>
      <c r="D48" s="62"/>
      <c r="E48" s="21">
        <f>D45</f>
        <v>0</v>
      </c>
      <c r="F48" s="82" t="s">
        <v>75</v>
      </c>
      <c r="G48" s="64"/>
      <c r="H48" s="62"/>
    </row>
    <row r="49" spans="1:8" ht="44.05" customHeight="1" x14ac:dyDescent="0.55000000000000004">
      <c r="A49" s="75" t="s">
        <v>76</v>
      </c>
      <c r="B49" s="67"/>
      <c r="C49" s="67"/>
      <c r="D49" s="67"/>
      <c r="E49" s="67"/>
      <c r="F49" s="67"/>
      <c r="G49" s="67"/>
      <c r="H49" s="68"/>
    </row>
  </sheetData>
  <mergeCells count="64">
    <mergeCell ref="A2:H2"/>
    <mergeCell ref="E20:H20"/>
    <mergeCell ref="E45:F45"/>
    <mergeCell ref="G14:H14"/>
    <mergeCell ref="G45:H45"/>
    <mergeCell ref="A14:E14"/>
    <mergeCell ref="A8:E8"/>
    <mergeCell ref="E19:H19"/>
    <mergeCell ref="A24:C24"/>
    <mergeCell ref="A17:H17"/>
    <mergeCell ref="A4:H4"/>
    <mergeCell ref="A45:C45"/>
    <mergeCell ref="A10:E10"/>
    <mergeCell ref="E41:F41"/>
    <mergeCell ref="G41:H41"/>
    <mergeCell ref="A28:H28"/>
    <mergeCell ref="F48:H48"/>
    <mergeCell ref="A3:H3"/>
    <mergeCell ref="A12:E12"/>
    <mergeCell ref="A19:C19"/>
    <mergeCell ref="E23:H23"/>
    <mergeCell ref="A44:C44"/>
    <mergeCell ref="E46:F46"/>
    <mergeCell ref="G15:H15"/>
    <mergeCell ref="G44:H44"/>
    <mergeCell ref="A13:E13"/>
    <mergeCell ref="G46:H46"/>
    <mergeCell ref="G9:H9"/>
    <mergeCell ref="A9:E9"/>
    <mergeCell ref="A49:H49"/>
    <mergeCell ref="A21:C21"/>
    <mergeCell ref="A1:H1"/>
    <mergeCell ref="G8:H8"/>
    <mergeCell ref="A6:H6"/>
    <mergeCell ref="E44:F44"/>
    <mergeCell ref="E22:H22"/>
    <mergeCell ref="A42:C42"/>
    <mergeCell ref="C36:E36"/>
    <mergeCell ref="E18:H18"/>
    <mergeCell ref="A23:C23"/>
    <mergeCell ref="G10:H10"/>
    <mergeCell ref="A48:D48"/>
    <mergeCell ref="A22:C22"/>
    <mergeCell ref="E21:H21"/>
    <mergeCell ref="G13:H13"/>
    <mergeCell ref="A46:C46"/>
    <mergeCell ref="A15:E15"/>
    <mergeCell ref="G11:H11"/>
    <mergeCell ref="G42:H42"/>
    <mergeCell ref="A11:E11"/>
    <mergeCell ref="A18:C18"/>
    <mergeCell ref="E42:F42"/>
    <mergeCell ref="G36:H36"/>
    <mergeCell ref="A37:H37"/>
    <mergeCell ref="A36"/>
    <mergeCell ref="A27:H27"/>
    <mergeCell ref="A20:C20"/>
    <mergeCell ref="E24:H24"/>
    <mergeCell ref="A43:C43"/>
    <mergeCell ref="E43:F43"/>
    <mergeCell ref="A41:C41"/>
    <mergeCell ref="G12:H12"/>
    <mergeCell ref="A39:H39"/>
    <mergeCell ref="G43:H43"/>
  </mergeCells>
  <conditionalFormatting sqref="F15">
    <cfRule type="containsText" dxfId="3" priority="1" operator="containsText" text="OK">
      <formula>NOT(ISERROR(SEARCH("OK",F15)))</formula>
    </cfRule>
    <cfRule type="containsText" dxfId="2" priority="2" operator="containsText" text="HATA">
      <formula>NOT(ISERROR(SEARCH("HATA",F15)))</formula>
    </cfRule>
  </conditionalFormatting>
  <dataValidations count="9">
    <dataValidation type="list" sqref="F8" xr:uid="{00000000-0002-0000-0000-000000000000}">
      <formula1>"EVET,★ HAYIR — Banka/Finans/Sigorta Kapsam Dışı"</formula1>
    </dataValidation>
    <dataValidation type="list" sqref="F9" xr:uid="{00000000-0002-0000-0000-000001000000}">
      <formula1>"EVET,HAYIR-Nakdi Değil"</formula1>
    </dataValidation>
    <dataValidation type="list" sqref="F10" xr:uid="{00000000-0002-0000-0000-000002000000}">
      <formula1>"EVET,HAYIR-Tescil Yok"</formula1>
    </dataValidation>
    <dataValidation type="list" sqref="F11" xr:uid="{00000000-0002-0000-0000-000003000000}">
      <formula1>"EVET,KISMEN,HAYIR"</formula1>
    </dataValidation>
    <dataValidation type="list" sqref="F12" xr:uid="{00000000-0002-0000-0000-000004000000}">
      <formula1>"EVET — BIST (%75 Oran),HAYIR (%50 Standart Oran)"</formula1>
    </dataValidation>
    <dataValidation type="list" sqref="F13" xr:uid="{00000000-0002-0000-0000-000005000000}">
      <formula1>"EVET,HAYIR-Eksik"</formula1>
    </dataValidation>
    <dataValidation type="list" sqref="F14" xr:uid="{00000000-0002-0000-0000-000006000000}">
      <formula1>"EVET,Tam Tasdik"</formula1>
    </dataValidation>
    <dataValidation type="list" sqref="C30:C35" xr:uid="{00000000-0002-0000-0000-000007000000}">
      <formula1>"50,75"</formula1>
    </dataValidation>
    <dataValidation type="list" sqref="G30:G35" xr:uid="{00000000-0002-0000-0000-000008000000}">
      <formula1>"Ödendi ✓,Kısmen Ödendi,Ödenmedi ✗"</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2"/>
  <sheetViews>
    <sheetView workbookViewId="0"/>
  </sheetViews>
  <sheetFormatPr defaultRowHeight="14.4" x14ac:dyDescent="0.55000000000000004"/>
  <cols>
    <col min="1" max="1" width="4" customWidth="1"/>
    <col min="2" max="2" width="38" customWidth="1"/>
    <col min="3" max="7" width="12" customWidth="1"/>
    <col min="8" max="8" width="18" customWidth="1"/>
  </cols>
  <sheetData>
    <row r="1" spans="1:8" ht="36" customHeight="1" x14ac:dyDescent="0.55000000000000004">
      <c r="A1" s="98" t="s">
        <v>77</v>
      </c>
      <c r="B1" s="67"/>
      <c r="C1" s="67"/>
      <c r="D1" s="67"/>
      <c r="E1" s="67"/>
      <c r="F1" s="67"/>
      <c r="G1" s="67"/>
      <c r="H1" s="68"/>
    </row>
    <row r="2" spans="1:8" ht="20.05" customHeight="1" x14ac:dyDescent="0.55000000000000004">
      <c r="A2" s="105" t="s">
        <v>78</v>
      </c>
      <c r="B2" s="64"/>
      <c r="C2" s="64"/>
      <c r="D2" s="64"/>
      <c r="E2" s="64"/>
      <c r="F2" s="64"/>
      <c r="G2" s="64"/>
      <c r="H2" s="62"/>
    </row>
    <row r="3" spans="1:8" ht="5.05" customHeight="1" x14ac:dyDescent="0.55000000000000004">
      <c r="A3" s="1"/>
      <c r="B3" s="1"/>
      <c r="C3" s="1"/>
      <c r="D3" s="1"/>
      <c r="E3" s="1"/>
      <c r="F3" s="1"/>
      <c r="G3" s="1"/>
      <c r="H3" s="1"/>
    </row>
    <row r="4" spans="1:8" ht="22" customHeight="1" x14ac:dyDescent="0.55000000000000004">
      <c r="A4" s="106" t="s">
        <v>79</v>
      </c>
      <c r="B4" s="67"/>
      <c r="C4" s="67"/>
      <c r="D4" s="67"/>
      <c r="E4" s="67"/>
      <c r="F4" s="67"/>
      <c r="G4" s="67"/>
      <c r="H4" s="68"/>
    </row>
    <row r="5" spans="1:8" ht="22" customHeight="1" x14ac:dyDescent="0.55000000000000004">
      <c r="A5" s="94" t="s">
        <v>80</v>
      </c>
      <c r="B5" s="64"/>
      <c r="C5" s="64"/>
      <c r="D5" s="62"/>
      <c r="E5" s="22" t="str">
        <f>'VERİ GİRİŞİ'!F15</f>
        <v>OK - Hesaplanabilir</v>
      </c>
      <c r="F5" s="69" t="s">
        <v>81</v>
      </c>
      <c r="G5" s="64"/>
      <c r="H5" s="62"/>
    </row>
    <row r="6" spans="1:8" ht="22" customHeight="1" x14ac:dyDescent="0.55000000000000004">
      <c r="A6" s="95" t="s">
        <v>82</v>
      </c>
      <c r="B6" s="64"/>
      <c r="C6" s="64"/>
      <c r="D6" s="62"/>
      <c r="E6" s="22" t="str">
        <f>'VERİ GİRİŞİ'!F8</f>
        <v>EVET</v>
      </c>
      <c r="F6" s="65" t="s">
        <v>83</v>
      </c>
      <c r="G6" s="64"/>
      <c r="H6" s="62"/>
    </row>
    <row r="7" spans="1:8" ht="22" customHeight="1" x14ac:dyDescent="0.55000000000000004">
      <c r="A7" s="94" t="s">
        <v>84</v>
      </c>
      <c r="B7" s="64"/>
      <c r="C7" s="64"/>
      <c r="D7" s="62"/>
      <c r="E7" s="22">
        <f>'VERİ GİRİŞİ'!B36</f>
        <v>0</v>
      </c>
      <c r="F7" s="69" t="s">
        <v>85</v>
      </c>
      <c r="G7" s="64"/>
      <c r="H7" s="62"/>
    </row>
    <row r="8" spans="1:8" ht="22" customHeight="1" x14ac:dyDescent="0.55000000000000004">
      <c r="A8" s="95" t="s">
        <v>86</v>
      </c>
      <c r="B8" s="64"/>
      <c r="C8" s="64"/>
      <c r="D8" s="62"/>
      <c r="E8" s="22">
        <f>'VERİ GİRİŞİ'!D41</f>
        <v>0</v>
      </c>
      <c r="F8" s="65" t="s">
        <v>87</v>
      </c>
      <c r="G8" s="64"/>
      <c r="H8" s="62"/>
    </row>
    <row r="9" spans="1:8" ht="22" customHeight="1" x14ac:dyDescent="0.55000000000000004">
      <c r="A9" s="71" t="s">
        <v>88</v>
      </c>
      <c r="B9" s="64"/>
      <c r="C9" s="64"/>
      <c r="D9" s="62"/>
      <c r="E9" s="23">
        <f>'VERİ GİRİŞİ'!D45</f>
        <v>0</v>
      </c>
      <c r="F9" s="88"/>
      <c r="G9" s="64"/>
      <c r="H9" s="62"/>
    </row>
    <row r="10" spans="1:8" ht="22" customHeight="1" x14ac:dyDescent="0.55000000000000004">
      <c r="A10" s="100" t="s">
        <v>89</v>
      </c>
      <c r="B10" s="64"/>
      <c r="C10" s="64"/>
      <c r="D10" s="62"/>
      <c r="E10" s="20" t="s">
        <v>90</v>
      </c>
      <c r="F10" s="93" t="s">
        <v>91</v>
      </c>
      <c r="G10" s="64"/>
      <c r="H10" s="62"/>
    </row>
    <row r="11" spans="1:8" ht="5.05" customHeight="1" x14ac:dyDescent="0.55000000000000004">
      <c r="A11" s="1"/>
      <c r="B11" s="1"/>
      <c r="C11" s="1"/>
      <c r="D11" s="1"/>
      <c r="E11" s="1"/>
      <c r="F11" s="1"/>
      <c r="G11" s="1"/>
      <c r="H11" s="1"/>
    </row>
    <row r="12" spans="1:8" ht="22" customHeight="1" x14ac:dyDescent="0.55000000000000004">
      <c r="A12" s="66" t="s">
        <v>92</v>
      </c>
      <c r="B12" s="67"/>
      <c r="C12" s="67"/>
      <c r="D12" s="67"/>
      <c r="E12" s="67"/>
      <c r="F12" s="67"/>
      <c r="G12" s="67"/>
      <c r="H12" s="68"/>
    </row>
    <row r="13" spans="1:8" ht="80.05" customHeight="1" x14ac:dyDescent="0.55000000000000004">
      <c r="A13" s="80" t="s">
        <v>93</v>
      </c>
      <c r="B13" s="67"/>
      <c r="C13" s="67"/>
      <c r="D13" s="67"/>
      <c r="E13" s="67"/>
      <c r="F13" s="67"/>
      <c r="G13" s="67"/>
      <c r="H13" s="68"/>
    </row>
    <row r="14" spans="1:8" ht="5.05" customHeight="1" x14ac:dyDescent="0.55000000000000004">
      <c r="A14" s="1"/>
      <c r="B14" s="1"/>
      <c r="C14" s="1"/>
      <c r="D14" s="1"/>
      <c r="E14" s="1"/>
      <c r="F14" s="1"/>
      <c r="G14" s="1"/>
      <c r="H14" s="1"/>
    </row>
    <row r="15" spans="1:8" ht="22" customHeight="1" x14ac:dyDescent="0.55000000000000004">
      <c r="A15" s="66" t="s">
        <v>94</v>
      </c>
      <c r="B15" s="67"/>
      <c r="C15" s="67"/>
      <c r="D15" s="67"/>
      <c r="E15" s="67"/>
      <c r="F15" s="67"/>
      <c r="G15" s="67"/>
      <c r="H15" s="68"/>
    </row>
    <row r="16" spans="1:8" ht="60" customHeight="1" x14ac:dyDescent="0.55000000000000004">
      <c r="A16" s="103" t="s">
        <v>95</v>
      </c>
      <c r="B16" s="67"/>
      <c r="C16" s="67"/>
      <c r="D16" s="67"/>
      <c r="E16" s="67"/>
      <c r="F16" s="67"/>
      <c r="G16" s="67"/>
      <c r="H16" s="68"/>
    </row>
    <row r="17" spans="1:8" ht="5.05" customHeight="1" x14ac:dyDescent="0.55000000000000004">
      <c r="A17" s="1"/>
      <c r="B17" s="1"/>
      <c r="C17" s="1"/>
      <c r="D17" s="1"/>
      <c r="E17" s="1"/>
      <c r="F17" s="1"/>
      <c r="G17" s="1"/>
      <c r="H17" s="1"/>
    </row>
    <row r="18" spans="1:8" ht="22" customHeight="1" x14ac:dyDescent="0.55000000000000004">
      <c r="A18" s="66" t="s">
        <v>96</v>
      </c>
      <c r="B18" s="67"/>
      <c r="C18" s="67"/>
      <c r="D18" s="67"/>
      <c r="E18" s="67"/>
      <c r="F18" s="67"/>
      <c r="G18" s="67"/>
      <c r="H18" s="68"/>
    </row>
    <row r="19" spans="1:8" ht="18" customHeight="1" x14ac:dyDescent="0.55000000000000004">
      <c r="A19" s="2"/>
      <c r="B19" s="2" t="s">
        <v>97</v>
      </c>
      <c r="C19" s="2"/>
      <c r="D19" s="2" t="s">
        <v>58</v>
      </c>
      <c r="E19" s="2"/>
      <c r="F19" s="2" t="s">
        <v>98</v>
      </c>
      <c r="G19" s="2"/>
      <c r="H19" s="2"/>
    </row>
    <row r="20" spans="1:8" ht="20.05" customHeight="1" x14ac:dyDescent="0.55000000000000004">
      <c r="A20" s="24" t="s">
        <v>99</v>
      </c>
      <c r="B20" s="96" t="s">
        <v>100</v>
      </c>
      <c r="C20" s="64"/>
      <c r="D20" s="62"/>
      <c r="E20" s="97" t="s">
        <v>101</v>
      </c>
      <c r="F20" s="62"/>
      <c r="G20" s="27" t="s">
        <v>102</v>
      </c>
      <c r="H20" s="28"/>
    </row>
    <row r="21" spans="1:8" ht="20.05" customHeight="1" x14ac:dyDescent="0.55000000000000004">
      <c r="A21" s="24" t="s">
        <v>103</v>
      </c>
      <c r="B21" s="96" t="s">
        <v>104</v>
      </c>
      <c r="C21" s="64"/>
      <c r="D21" s="62"/>
      <c r="E21" s="97" t="s">
        <v>105</v>
      </c>
      <c r="F21" s="62"/>
      <c r="G21" s="27" t="s">
        <v>102</v>
      </c>
      <c r="H21" s="29"/>
    </row>
    <row r="22" spans="1:8" ht="20.05" customHeight="1" x14ac:dyDescent="0.55000000000000004">
      <c r="A22" s="24" t="s">
        <v>106</v>
      </c>
      <c r="B22" s="96" t="s">
        <v>107</v>
      </c>
      <c r="C22" s="64"/>
      <c r="D22" s="62"/>
      <c r="E22" s="97" t="s">
        <v>108</v>
      </c>
      <c r="F22" s="62"/>
      <c r="G22" s="27" t="s">
        <v>102</v>
      </c>
      <c r="H22" s="28"/>
    </row>
    <row r="23" spans="1:8" ht="20.05" customHeight="1" x14ac:dyDescent="0.55000000000000004">
      <c r="A23" s="24" t="s">
        <v>109</v>
      </c>
      <c r="B23" s="96" t="s">
        <v>110</v>
      </c>
      <c r="C23" s="64"/>
      <c r="D23" s="62"/>
      <c r="E23" s="97" t="s">
        <v>111</v>
      </c>
      <c r="F23" s="62"/>
      <c r="G23" s="27" t="s">
        <v>102</v>
      </c>
      <c r="H23" s="29"/>
    </row>
    <row r="24" spans="1:8" ht="20.05" customHeight="1" x14ac:dyDescent="0.55000000000000004">
      <c r="A24" s="24" t="s">
        <v>112</v>
      </c>
      <c r="B24" s="96" t="s">
        <v>113</v>
      </c>
      <c r="C24" s="64"/>
      <c r="D24" s="62"/>
      <c r="E24" s="97" t="s">
        <v>114</v>
      </c>
      <c r="F24" s="62"/>
      <c r="G24" s="27" t="s">
        <v>102</v>
      </c>
      <c r="H24" s="28"/>
    </row>
    <row r="25" spans="1:8" ht="20.05" customHeight="1" x14ac:dyDescent="0.55000000000000004">
      <c r="A25" s="24" t="s">
        <v>115</v>
      </c>
      <c r="B25" s="99" t="s">
        <v>116</v>
      </c>
      <c r="C25" s="64"/>
      <c r="D25" s="62"/>
      <c r="E25" s="102" t="s">
        <v>117</v>
      </c>
      <c r="F25" s="62"/>
      <c r="G25" s="27" t="s">
        <v>102</v>
      </c>
      <c r="H25" s="29"/>
    </row>
    <row r="26" spans="1:8" ht="20.05" customHeight="1" x14ac:dyDescent="0.55000000000000004">
      <c r="A26" s="24" t="s">
        <v>118</v>
      </c>
      <c r="B26" s="101" t="s">
        <v>119</v>
      </c>
      <c r="C26" s="64"/>
      <c r="D26" s="62"/>
      <c r="E26" s="104" t="s">
        <v>120</v>
      </c>
      <c r="F26" s="62"/>
      <c r="G26" s="27" t="s">
        <v>102</v>
      </c>
      <c r="H26" s="28"/>
    </row>
    <row r="27" spans="1:8" ht="20.05" customHeight="1" x14ac:dyDescent="0.55000000000000004">
      <c r="A27" s="24" t="s">
        <v>121</v>
      </c>
      <c r="B27" s="99" t="s">
        <v>122</v>
      </c>
      <c r="C27" s="64"/>
      <c r="D27" s="62"/>
      <c r="E27" s="102" t="s">
        <v>123</v>
      </c>
      <c r="F27" s="62"/>
      <c r="G27" s="27" t="s">
        <v>102</v>
      </c>
      <c r="H27" s="29"/>
    </row>
    <row r="28" spans="1:8" ht="20.05" customHeight="1" x14ac:dyDescent="0.55000000000000004">
      <c r="A28" s="24" t="s">
        <v>124</v>
      </c>
      <c r="B28" s="101" t="s">
        <v>125</v>
      </c>
      <c r="C28" s="64"/>
      <c r="D28" s="62"/>
      <c r="E28" s="104" t="s">
        <v>126</v>
      </c>
      <c r="F28" s="62"/>
      <c r="G28" s="27" t="s">
        <v>102</v>
      </c>
      <c r="H28" s="28"/>
    </row>
    <row r="29" spans="1:8" ht="20.05" customHeight="1" x14ac:dyDescent="0.55000000000000004">
      <c r="A29" s="24" t="s">
        <v>127</v>
      </c>
      <c r="B29" s="99" t="s">
        <v>128</v>
      </c>
      <c r="C29" s="64"/>
      <c r="D29" s="62"/>
      <c r="E29" s="102" t="s">
        <v>129</v>
      </c>
      <c r="F29" s="62"/>
      <c r="G29" s="27" t="s">
        <v>102</v>
      </c>
      <c r="H29" s="29"/>
    </row>
    <row r="30" spans="1:8" ht="20.05" customHeight="1" x14ac:dyDescent="0.55000000000000004">
      <c r="A30" s="24" t="s">
        <v>130</v>
      </c>
      <c r="B30" s="101" t="s">
        <v>131</v>
      </c>
      <c r="C30" s="64"/>
      <c r="D30" s="62"/>
      <c r="E30" s="104" t="s">
        <v>132</v>
      </c>
      <c r="F30" s="62"/>
      <c r="G30" s="27" t="s">
        <v>102</v>
      </c>
      <c r="H30" s="28"/>
    </row>
    <row r="31" spans="1:8" ht="20.05" customHeight="1" x14ac:dyDescent="0.55000000000000004">
      <c r="A31" s="24" t="s">
        <v>133</v>
      </c>
      <c r="B31" s="99" t="s">
        <v>134</v>
      </c>
      <c r="C31" s="64"/>
      <c r="D31" s="62"/>
      <c r="E31" s="102" t="s">
        <v>135</v>
      </c>
      <c r="F31" s="62"/>
      <c r="G31" s="27" t="s">
        <v>102</v>
      </c>
      <c r="H31" s="29"/>
    </row>
    <row r="32" spans="1:8" ht="20.05" customHeight="1" x14ac:dyDescent="0.55000000000000004">
      <c r="A32" s="24" t="s">
        <v>136</v>
      </c>
      <c r="B32" s="101" t="s">
        <v>137</v>
      </c>
      <c r="C32" s="64"/>
      <c r="D32" s="62"/>
      <c r="E32" s="104" t="s">
        <v>23</v>
      </c>
      <c r="F32" s="62"/>
      <c r="G32" s="27" t="s">
        <v>102</v>
      </c>
      <c r="H32" s="28"/>
    </row>
  </sheetData>
  <mergeCells count="46">
    <mergeCell ref="B32:D32"/>
    <mergeCell ref="B26:D26"/>
    <mergeCell ref="E27:F27"/>
    <mergeCell ref="A7:D7"/>
    <mergeCell ref="E26:F26"/>
    <mergeCell ref="B25:D25"/>
    <mergeCell ref="F10:H10"/>
    <mergeCell ref="B31:D31"/>
    <mergeCell ref="E32:F32"/>
    <mergeCell ref="E25:F25"/>
    <mergeCell ref="B22:D22"/>
    <mergeCell ref="B27:D27"/>
    <mergeCell ref="A13:H13"/>
    <mergeCell ref="E22:F22"/>
    <mergeCell ref="B21:D21"/>
    <mergeCell ref="F7:H7"/>
    <mergeCell ref="B30:D30"/>
    <mergeCell ref="F9:H9"/>
    <mergeCell ref="B24:D24"/>
    <mergeCell ref="E31:F31"/>
    <mergeCell ref="B20:D20"/>
    <mergeCell ref="A12:H12"/>
    <mergeCell ref="A18:H18"/>
    <mergeCell ref="E30:F30"/>
    <mergeCell ref="E21:F21"/>
    <mergeCell ref="E24:F24"/>
    <mergeCell ref="F8:H8"/>
    <mergeCell ref="E23:F23"/>
    <mergeCell ref="A1:H1"/>
    <mergeCell ref="B29:D29"/>
    <mergeCell ref="A10:D10"/>
    <mergeCell ref="B28:D28"/>
    <mergeCell ref="A9:D9"/>
    <mergeCell ref="E20:F20"/>
    <mergeCell ref="E29:F29"/>
    <mergeCell ref="A16:H16"/>
    <mergeCell ref="E28:F28"/>
    <mergeCell ref="A6:D6"/>
    <mergeCell ref="A2:H2"/>
    <mergeCell ref="A4:H4"/>
    <mergeCell ref="F6:H6"/>
    <mergeCell ref="A5:D5"/>
    <mergeCell ref="A8:D8"/>
    <mergeCell ref="F5:H5"/>
    <mergeCell ref="A15:H15"/>
    <mergeCell ref="B23:D23"/>
  </mergeCells>
  <conditionalFormatting sqref="E5">
    <cfRule type="containsText" dxfId="1" priority="1" operator="containsText" text="OK">
      <formula>NOT(ISERROR(SEARCH("OK",E5)))</formula>
    </cfRule>
    <cfRule type="containsText" dxfId="0" priority="2" operator="containsText" text="HATA">
      <formula>NOT(ISERROR(SEARCH("HATA",E5)))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sheetViews>
  <sheetFormatPr defaultRowHeight="14.4" x14ac:dyDescent="0.55000000000000004"/>
  <cols>
    <col min="1" max="1" width="4" customWidth="1"/>
    <col min="2" max="2" width="10" customWidth="1"/>
    <col min="3" max="3" width="26" customWidth="1"/>
    <col min="4" max="4" width="22" customWidth="1"/>
    <col min="5" max="7" width="12" customWidth="1"/>
    <col min="8" max="8" width="16" customWidth="1"/>
  </cols>
  <sheetData>
    <row r="1" spans="1:8" ht="32.049999999999997" customHeight="1" x14ac:dyDescent="0.55000000000000004">
      <c r="A1" s="66" t="s">
        <v>138</v>
      </c>
      <c r="B1" s="67"/>
      <c r="C1" s="67"/>
      <c r="D1" s="67"/>
      <c r="E1" s="67"/>
      <c r="F1" s="67"/>
      <c r="G1" s="67"/>
      <c r="H1" s="68"/>
    </row>
    <row r="2" spans="1:8" ht="56.05" customHeight="1" x14ac:dyDescent="0.55000000000000004">
      <c r="A2" s="80" t="s">
        <v>139</v>
      </c>
      <c r="B2" s="67"/>
      <c r="C2" s="67"/>
      <c r="D2" s="67"/>
      <c r="E2" s="67"/>
      <c r="F2" s="67"/>
      <c r="G2" s="67"/>
      <c r="H2" s="68"/>
    </row>
    <row r="3" spans="1:8" ht="22" customHeight="1" x14ac:dyDescent="0.55000000000000004">
      <c r="A3" s="76" t="s">
        <v>140</v>
      </c>
      <c r="B3" s="67"/>
      <c r="C3" s="67"/>
      <c r="D3" s="67"/>
      <c r="E3" s="67"/>
      <c r="F3" s="67"/>
      <c r="G3" s="67"/>
      <c r="H3" s="68"/>
    </row>
    <row r="4" spans="1:8" ht="18" customHeight="1" x14ac:dyDescent="0.55000000000000004">
      <c r="A4" s="32"/>
      <c r="B4" s="32" t="s">
        <v>141</v>
      </c>
      <c r="C4" s="32" t="s">
        <v>142</v>
      </c>
      <c r="D4" s="32" t="s">
        <v>50</v>
      </c>
      <c r="E4" s="32" t="s">
        <v>143</v>
      </c>
      <c r="F4" s="32" t="s">
        <v>144</v>
      </c>
      <c r="G4" s="32"/>
      <c r="H4" s="32" t="s">
        <v>145</v>
      </c>
    </row>
    <row r="5" spans="1:8" ht="24" customHeight="1" x14ac:dyDescent="0.55000000000000004">
      <c r="A5" s="33" t="s">
        <v>143</v>
      </c>
      <c r="B5" s="33" t="s">
        <v>146</v>
      </c>
      <c r="C5" s="33" t="s">
        <v>147</v>
      </c>
      <c r="D5" s="33" t="s">
        <v>148</v>
      </c>
      <c r="E5" s="33" t="s">
        <v>149</v>
      </c>
      <c r="F5" s="33" t="s">
        <v>150</v>
      </c>
      <c r="G5" s="33"/>
      <c r="H5" s="33" t="s">
        <v>151</v>
      </c>
    </row>
    <row r="6" spans="1:8" ht="24" customHeight="1" x14ac:dyDescent="0.55000000000000004">
      <c r="A6" s="34" t="s">
        <v>144</v>
      </c>
      <c r="B6" s="34" t="s">
        <v>146</v>
      </c>
      <c r="C6" s="34" t="s">
        <v>152</v>
      </c>
      <c r="D6" s="34" t="s">
        <v>153</v>
      </c>
      <c r="E6" s="34" t="s">
        <v>150</v>
      </c>
      <c r="F6" s="34" t="s">
        <v>149</v>
      </c>
      <c r="G6" s="34"/>
      <c r="H6" s="34" t="s">
        <v>154</v>
      </c>
    </row>
    <row r="7" spans="1:8" ht="44.05" customHeight="1" x14ac:dyDescent="0.55000000000000004">
      <c r="A7" s="107" t="s">
        <v>155</v>
      </c>
      <c r="B7" s="67"/>
      <c r="C7" s="67"/>
      <c r="D7" s="67"/>
      <c r="E7" s="67"/>
      <c r="F7" s="67"/>
      <c r="G7" s="67"/>
      <c r="H7" s="68"/>
    </row>
  </sheetData>
  <mergeCells count="4">
    <mergeCell ref="A7:H7"/>
    <mergeCell ref="A3:H3"/>
    <mergeCell ref="A2:H2"/>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
  <sheetViews>
    <sheetView workbookViewId="0"/>
  </sheetViews>
  <sheetFormatPr defaultRowHeight="14.4" x14ac:dyDescent="0.55000000000000004"/>
  <cols>
    <col min="1" max="1" width="4" customWidth="1"/>
    <col min="2" max="2" width="24" customWidth="1"/>
    <col min="3" max="3" width="50" customWidth="1"/>
    <col min="4" max="4" width="22" customWidth="1"/>
  </cols>
  <sheetData>
    <row r="1" spans="1:8" ht="32.049999999999997" customHeight="1" x14ac:dyDescent="0.55000000000000004">
      <c r="A1" s="66" t="s">
        <v>156</v>
      </c>
      <c r="B1" s="67"/>
      <c r="C1" s="67"/>
      <c r="D1" s="67"/>
      <c r="E1" s="67"/>
      <c r="F1" s="67"/>
      <c r="G1" s="67"/>
      <c r="H1" s="68"/>
    </row>
    <row r="2" spans="1:8" ht="20.05" customHeight="1" x14ac:dyDescent="0.55000000000000004">
      <c r="A2" s="86" t="s">
        <v>157</v>
      </c>
      <c r="B2" s="67"/>
      <c r="C2" s="67"/>
      <c r="D2" s="67"/>
      <c r="E2" s="67"/>
      <c r="F2" s="67"/>
      <c r="G2" s="67"/>
      <c r="H2" s="68"/>
    </row>
    <row r="3" spans="1:8" ht="18" customHeight="1" x14ac:dyDescent="0.55000000000000004">
      <c r="A3" s="32" t="s">
        <v>158</v>
      </c>
      <c r="B3" s="32" t="s">
        <v>159</v>
      </c>
      <c r="C3" s="32" t="s">
        <v>160</v>
      </c>
      <c r="D3" s="32" t="s">
        <v>161</v>
      </c>
    </row>
    <row r="4" spans="1:8" ht="76" customHeight="1" x14ac:dyDescent="0.55000000000000004">
      <c r="A4" s="24" t="s">
        <v>162</v>
      </c>
      <c r="B4" s="31" t="s">
        <v>163</v>
      </c>
      <c r="C4" s="35" t="s">
        <v>164</v>
      </c>
      <c r="D4" s="36" t="s">
        <v>165</v>
      </c>
    </row>
    <row r="5" spans="1:8" ht="60" customHeight="1" x14ac:dyDescent="0.55000000000000004">
      <c r="A5" s="37" t="s">
        <v>166</v>
      </c>
      <c r="B5" s="25" t="s">
        <v>167</v>
      </c>
      <c r="C5" s="26" t="s">
        <v>168</v>
      </c>
      <c r="D5" s="38" t="s">
        <v>169</v>
      </c>
    </row>
    <row r="6" spans="1:8" ht="60" customHeight="1" x14ac:dyDescent="0.55000000000000004">
      <c r="A6" s="24" t="s">
        <v>170</v>
      </c>
      <c r="B6" s="39" t="s">
        <v>171</v>
      </c>
      <c r="C6" s="35" t="s">
        <v>172</v>
      </c>
      <c r="D6" s="36" t="s">
        <v>173</v>
      </c>
    </row>
    <row r="7" spans="1:8" ht="52" customHeight="1" x14ac:dyDescent="0.55000000000000004">
      <c r="A7" s="24" t="s">
        <v>174</v>
      </c>
      <c r="B7" s="31" t="s">
        <v>175</v>
      </c>
      <c r="C7" s="35" t="s">
        <v>176</v>
      </c>
      <c r="D7" s="36" t="s">
        <v>177</v>
      </c>
    </row>
    <row r="8" spans="1:8" ht="72" customHeight="1" x14ac:dyDescent="0.55000000000000004">
      <c r="A8" s="24" t="s">
        <v>178</v>
      </c>
      <c r="B8" s="30" t="s">
        <v>179</v>
      </c>
      <c r="C8" s="35" t="s">
        <v>180</v>
      </c>
      <c r="D8" s="40" t="s">
        <v>181</v>
      </c>
    </row>
    <row r="9" spans="1:8" ht="40" customHeight="1" x14ac:dyDescent="0.55000000000000004">
      <c r="A9" s="108" t="s">
        <v>182</v>
      </c>
      <c r="B9" s="67"/>
      <c r="C9" s="67"/>
      <c r="D9" s="68"/>
    </row>
  </sheetData>
  <mergeCells count="3">
    <mergeCell ref="A9:D9"/>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6"/>
  <sheetViews>
    <sheetView workbookViewId="0"/>
  </sheetViews>
  <sheetFormatPr defaultRowHeight="14.4" x14ac:dyDescent="0.55000000000000004"/>
  <cols>
    <col min="1" max="1" width="3" customWidth="1"/>
    <col min="2" max="2" width="8" customWidth="1"/>
    <col min="3" max="3" width="40" customWidth="1"/>
    <col min="4" max="4" width="34" customWidth="1"/>
    <col min="5" max="5" width="22" customWidth="1"/>
    <col min="6" max="6" width="3" customWidth="1"/>
  </cols>
  <sheetData>
    <row r="1" spans="1:8" ht="34" customHeight="1" x14ac:dyDescent="0.55000000000000004">
      <c r="A1" s="66" t="s">
        <v>183</v>
      </c>
      <c r="B1" s="67"/>
      <c r="C1" s="67"/>
      <c r="D1" s="67"/>
      <c r="E1" s="67"/>
      <c r="F1" s="67"/>
      <c r="G1" s="67"/>
      <c r="H1" s="68"/>
    </row>
    <row r="2" spans="1:8" ht="20.05" customHeight="1" x14ac:dyDescent="0.55000000000000004">
      <c r="A2" s="86" t="s">
        <v>184</v>
      </c>
      <c r="B2" s="67"/>
      <c r="C2" s="67"/>
      <c r="D2" s="67"/>
      <c r="E2" s="67"/>
      <c r="F2" s="67"/>
      <c r="G2" s="67"/>
      <c r="H2" s="68"/>
    </row>
    <row r="3" spans="1:8" ht="5.05" customHeight="1" x14ac:dyDescent="0.55000000000000004">
      <c r="A3" s="1"/>
      <c r="B3" s="1"/>
      <c r="C3" s="1"/>
      <c r="D3" s="1"/>
      <c r="E3" s="1"/>
      <c r="F3" s="1"/>
      <c r="G3" s="1"/>
      <c r="H3" s="1"/>
    </row>
    <row r="4" spans="1:8" ht="22" customHeight="1" x14ac:dyDescent="0.55000000000000004">
      <c r="A4" s="109" t="s">
        <v>185</v>
      </c>
      <c r="B4" s="67"/>
      <c r="C4" s="67"/>
      <c r="D4" s="67"/>
      <c r="E4" s="67"/>
      <c r="F4" s="67"/>
      <c r="G4" s="67"/>
      <c r="H4" s="68"/>
    </row>
    <row r="5" spans="1:8" ht="18" customHeight="1" x14ac:dyDescent="0.55000000000000004">
      <c r="A5" s="32"/>
      <c r="B5" s="32" t="s">
        <v>186</v>
      </c>
      <c r="C5" s="32" t="s">
        <v>187</v>
      </c>
      <c r="D5" s="32" t="s">
        <v>58</v>
      </c>
      <c r="E5" s="32" t="s">
        <v>188</v>
      </c>
      <c r="F5" s="32"/>
    </row>
    <row r="6" spans="1:8" ht="38.049999999999997" customHeight="1" x14ac:dyDescent="0.55000000000000004">
      <c r="A6" s="41"/>
      <c r="B6" s="42" t="s">
        <v>189</v>
      </c>
      <c r="C6" s="43" t="s">
        <v>190</v>
      </c>
      <c r="D6" s="44" t="s">
        <v>191</v>
      </c>
      <c r="E6" s="45" t="s">
        <v>192</v>
      </c>
      <c r="F6" s="41"/>
    </row>
    <row r="7" spans="1:8" ht="38.049999999999997" customHeight="1" x14ac:dyDescent="0.55000000000000004">
      <c r="A7" s="29"/>
      <c r="B7" s="46" t="s">
        <v>193</v>
      </c>
      <c r="C7" s="47" t="s">
        <v>194</v>
      </c>
      <c r="D7" s="44" t="s">
        <v>195</v>
      </c>
      <c r="E7" s="48" t="s">
        <v>196</v>
      </c>
      <c r="F7" s="29"/>
    </row>
    <row r="8" spans="1:8" ht="38.049999999999997" customHeight="1" x14ac:dyDescent="0.55000000000000004">
      <c r="A8" s="41"/>
      <c r="B8" s="42" t="s">
        <v>197</v>
      </c>
      <c r="C8" s="43" t="s">
        <v>198</v>
      </c>
      <c r="D8" s="44" t="s">
        <v>199</v>
      </c>
      <c r="E8" s="45" t="s">
        <v>200</v>
      </c>
      <c r="F8" s="41"/>
    </row>
    <row r="9" spans="1:8" ht="38.049999999999997" customHeight="1" x14ac:dyDescent="0.55000000000000004">
      <c r="A9" s="29"/>
      <c r="B9" s="46" t="s">
        <v>201</v>
      </c>
      <c r="C9" s="30" t="s">
        <v>202</v>
      </c>
      <c r="D9" s="44" t="s">
        <v>203</v>
      </c>
      <c r="E9" s="48" t="s">
        <v>204</v>
      </c>
      <c r="F9" s="29"/>
    </row>
    <row r="10" spans="1:8" ht="38.049999999999997" customHeight="1" x14ac:dyDescent="0.55000000000000004">
      <c r="A10" s="41"/>
      <c r="B10" s="42" t="s">
        <v>205</v>
      </c>
      <c r="C10" s="49" t="s">
        <v>206</v>
      </c>
      <c r="D10" s="44" t="s">
        <v>207</v>
      </c>
      <c r="E10" s="45" t="s">
        <v>208</v>
      </c>
      <c r="F10" s="41"/>
    </row>
    <row r="11" spans="1:8" ht="38.049999999999997" customHeight="1" x14ac:dyDescent="0.55000000000000004">
      <c r="A11" s="29"/>
      <c r="B11" s="46" t="s">
        <v>209</v>
      </c>
      <c r="C11" s="30" t="s">
        <v>210</v>
      </c>
      <c r="D11" s="44" t="s">
        <v>211</v>
      </c>
      <c r="E11" s="48" t="s">
        <v>212</v>
      </c>
      <c r="F11" s="29"/>
    </row>
    <row r="12" spans="1:8" ht="5.05" customHeight="1" x14ac:dyDescent="0.55000000000000004">
      <c r="A12" s="1"/>
      <c r="B12" s="1"/>
      <c r="C12" s="1"/>
      <c r="D12" s="1"/>
      <c r="E12" s="1"/>
      <c r="F12" s="1"/>
      <c r="G12" s="1"/>
      <c r="H12" s="1"/>
    </row>
    <row r="13" spans="1:8" ht="22" customHeight="1" x14ac:dyDescent="0.55000000000000004">
      <c r="A13" s="110" t="s">
        <v>213</v>
      </c>
      <c r="B13" s="67"/>
      <c r="C13" s="67"/>
      <c r="D13" s="67"/>
      <c r="E13" s="67"/>
      <c r="F13" s="67"/>
      <c r="G13" s="67"/>
      <c r="H13" s="68"/>
    </row>
    <row r="14" spans="1:8" ht="18" customHeight="1" x14ac:dyDescent="0.55000000000000004">
      <c r="A14" s="50"/>
      <c r="B14" s="50" t="s">
        <v>186</v>
      </c>
      <c r="C14" s="50" t="s">
        <v>5</v>
      </c>
      <c r="D14" s="50" t="s">
        <v>214</v>
      </c>
      <c r="E14" s="50" t="s">
        <v>215</v>
      </c>
      <c r="F14" s="50"/>
    </row>
    <row r="15" spans="1:8" ht="28" customHeight="1" x14ac:dyDescent="0.55000000000000004">
      <c r="A15" s="51"/>
      <c r="B15" s="52" t="s">
        <v>216</v>
      </c>
      <c r="C15" s="53" t="s">
        <v>217</v>
      </c>
      <c r="D15" s="54" t="s">
        <v>218</v>
      </c>
      <c r="E15" s="55" t="s">
        <v>219</v>
      </c>
      <c r="F15" s="51"/>
    </row>
    <row r="16" spans="1:8" ht="28" customHeight="1" x14ac:dyDescent="0.55000000000000004">
      <c r="A16" s="51"/>
      <c r="B16" s="52" t="s">
        <v>220</v>
      </c>
      <c r="C16" s="53" t="s">
        <v>221</v>
      </c>
      <c r="D16" s="54" t="s">
        <v>222</v>
      </c>
      <c r="E16" s="55" t="s">
        <v>219</v>
      </c>
      <c r="F16" s="51"/>
    </row>
    <row r="17" spans="1:8" ht="28" customHeight="1" x14ac:dyDescent="0.55000000000000004">
      <c r="A17" s="51"/>
      <c r="B17" s="52" t="s">
        <v>223</v>
      </c>
      <c r="C17" s="53" t="s">
        <v>224</v>
      </c>
      <c r="D17" s="54" t="s">
        <v>225</v>
      </c>
      <c r="E17" s="55" t="s">
        <v>219</v>
      </c>
      <c r="F17" s="51"/>
    </row>
    <row r="18" spans="1:8" ht="28" customHeight="1" x14ac:dyDescent="0.55000000000000004">
      <c r="A18" s="51"/>
      <c r="B18" s="52" t="s">
        <v>226</v>
      </c>
      <c r="C18" s="53" t="s">
        <v>227</v>
      </c>
      <c r="D18" s="54" t="s">
        <v>111</v>
      </c>
      <c r="E18" s="55" t="s">
        <v>219</v>
      </c>
      <c r="F18" s="51"/>
    </row>
    <row r="19" spans="1:8" ht="28" customHeight="1" x14ac:dyDescent="0.55000000000000004">
      <c r="A19" s="51"/>
      <c r="B19" s="52" t="s">
        <v>228</v>
      </c>
      <c r="C19" s="53" t="s">
        <v>229</v>
      </c>
      <c r="D19" s="54" t="s">
        <v>230</v>
      </c>
      <c r="E19" s="55" t="s">
        <v>219</v>
      </c>
      <c r="F19" s="51"/>
    </row>
    <row r="20" spans="1:8" ht="28" customHeight="1" x14ac:dyDescent="0.55000000000000004">
      <c r="A20" s="56"/>
      <c r="B20" s="57" t="s">
        <v>231</v>
      </c>
      <c r="C20" s="58" t="s">
        <v>232</v>
      </c>
      <c r="D20" s="59" t="s">
        <v>233</v>
      </c>
      <c r="E20" s="60" t="s">
        <v>219</v>
      </c>
      <c r="F20" s="56"/>
    </row>
    <row r="21" spans="1:8" ht="28" customHeight="1" x14ac:dyDescent="0.55000000000000004">
      <c r="A21" s="56"/>
      <c r="B21" s="57" t="s">
        <v>234</v>
      </c>
      <c r="C21" s="58" t="s">
        <v>235</v>
      </c>
      <c r="D21" s="59" t="s">
        <v>236</v>
      </c>
      <c r="E21" s="60" t="s">
        <v>219</v>
      </c>
      <c r="F21" s="56"/>
    </row>
    <row r="22" spans="1:8" ht="28" customHeight="1" x14ac:dyDescent="0.55000000000000004">
      <c r="A22" s="56"/>
      <c r="B22" s="57" t="s">
        <v>237</v>
      </c>
      <c r="C22" s="58" t="s">
        <v>128</v>
      </c>
      <c r="D22" s="59" t="s">
        <v>238</v>
      </c>
      <c r="E22" s="60" t="s">
        <v>219</v>
      </c>
      <c r="F22" s="56"/>
    </row>
    <row r="23" spans="1:8" ht="28" customHeight="1" x14ac:dyDescent="0.55000000000000004">
      <c r="A23" s="56"/>
      <c r="B23" s="57" t="s">
        <v>239</v>
      </c>
      <c r="C23" s="58" t="s">
        <v>240</v>
      </c>
      <c r="D23" s="59" t="s">
        <v>241</v>
      </c>
      <c r="E23" s="60" t="s">
        <v>219</v>
      </c>
      <c r="F23" s="56"/>
    </row>
    <row r="24" spans="1:8" ht="28" customHeight="1" x14ac:dyDescent="0.55000000000000004">
      <c r="A24" s="56"/>
      <c r="B24" s="57" t="s">
        <v>242</v>
      </c>
      <c r="C24" s="58" t="s">
        <v>243</v>
      </c>
      <c r="D24" s="59" t="s">
        <v>244</v>
      </c>
      <c r="E24" s="60" t="s">
        <v>219</v>
      </c>
      <c r="F24" s="56"/>
    </row>
    <row r="25" spans="1:8" ht="5.05" customHeight="1" x14ac:dyDescent="0.55000000000000004">
      <c r="A25" s="1"/>
      <c r="B25" s="1"/>
      <c r="C25" s="1"/>
      <c r="D25" s="1"/>
      <c r="E25" s="1"/>
      <c r="F25" s="1"/>
      <c r="G25" s="1"/>
      <c r="H25" s="1"/>
    </row>
    <row r="26" spans="1:8" ht="60" customHeight="1" x14ac:dyDescent="0.55000000000000004">
      <c r="A26" s="108" t="s">
        <v>245</v>
      </c>
      <c r="B26" s="67"/>
      <c r="C26" s="67"/>
      <c r="D26" s="67"/>
      <c r="E26" s="67"/>
      <c r="F26" s="68"/>
    </row>
  </sheetData>
  <mergeCells count="5">
    <mergeCell ref="A4:H4"/>
    <mergeCell ref="A2:H2"/>
    <mergeCell ref="A13:H13"/>
    <mergeCell ref="A1:H1"/>
    <mergeCell ref="A26:F2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2026-04-05T19:17:48Z</dcterms:created>
  <dcterms:modified xsi:type="dcterms:W3CDTF">2026-04-05T20:12:26Z</dcterms:modified>
</cp:coreProperties>
</file>