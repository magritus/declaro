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FF96014F-2CB4-4F76-AF17-2FA455E84FB6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D9" i="2"/>
  <c r="D8" i="2"/>
  <c r="D7" i="2"/>
  <c r="D6" i="2"/>
  <c r="C49" i="1"/>
  <c r="F44" i="1"/>
  <c r="C44" i="1"/>
  <c r="D34" i="1"/>
  <c r="C34" i="1"/>
  <c r="F33" i="1"/>
  <c r="E33" i="1"/>
  <c r="E32" i="1"/>
  <c r="F32" i="1" s="1"/>
  <c r="E31" i="1"/>
  <c r="F31" i="1" s="1"/>
  <c r="E30" i="1"/>
  <c r="E34" i="1" s="1"/>
  <c r="F29" i="1"/>
  <c r="E29" i="1"/>
  <c r="E14" i="1"/>
  <c r="D5" i="2" s="1"/>
  <c r="F30" i="1" l="1"/>
  <c r="F34" i="1" s="1"/>
  <c r="C48" i="1" l="1"/>
  <c r="C50" i="1"/>
  <c r="E53" i="1"/>
</calcChain>
</file>

<file path=xl/sharedStrings.xml><?xml version="1.0" encoding="utf-8"?>
<sst xmlns="http://schemas.openxmlformats.org/spreadsheetml/2006/main" count="301" uniqueCount="235">
  <si>
    <t>419 – KAPADOKYA ALANI BAŞKANLIĞINA BAĞIŞ/YARDIM VE SPONSORLUK | 7174 S.K. | YMM TASDİK</t>
  </si>
  <si>
    <t>Beyanname 419 | GİB KV Beyan Rehberi Mart 2026 (No:606) | Kazancın Bulunması Halinde | ✗ YİAKV</t>
  </si>
  <si>
    <t xml:space="preserve">  7174 SAYILI KAPADOKYA ALANI HAKKINDA KANUN — BAĞIŞ/YARDIM VE SPONSORLUK:
  7174 sayılı Kapadokya Alanı Hakkında Kanun kapsamında:
  ① BAĞIŞ VE YARDIMLAR: Kapadokya Alanı Başkanlığı'na yapılan nakdi ve ayni bağış
     ve yardımların TAMAMI kurumlar vergisi matrahından indirilir.
  ② SPONSORLUK HARCAMALARI: Başkanlıkça hazırlanan projelere katılım amacıyla yapılan
     sponsorluk harcamalarının belirlenen oranı matrahtan indirilir.
  ★ BİLEŞİK YAPI: Beyanname 419 hem bağış/yardım hem sponsorluk bileşenini kapsar.
     B Tablosu: Bağış/Yardım (Tamamı) | C Tablosu: Sponsorluk (Oran uygulaması)
  ★ YİAKV: DÜŞÜLEMEZ — E.11 bilgi satırı.
  ★ ORAN NOTU: Sponsorluk indirim oranı için 7174 s.K. ve GİB Rehberi No:606 teyit edilmeli.</t>
  </si>
  <si>
    <t xml:space="preserve">  ✗ YİAKV: 419 DÜŞÜLEMEZ — E.11. ★ 479 (Gelibolu/6546 s.K.) ile YAPISAL BENZERLIK: Her ikisi de bağış + sponsorluk bileşenli. Ancak 419 Kapadokya'ya özgü — 7174 s.K. kapsamında. Devredilmez — kazancın bulunması halinde.</t>
  </si>
  <si>
    <t>A0. KAPSAM VE NİTELİK UYGUNLUK ÖN KONTROLÜ — 7174 S.K. KAPADOKYA BAĞIŞ/SPONSORLUK</t>
  </si>
  <si>
    <t>Kontrol Sorusu</t>
  </si>
  <si>
    <t>Yanıt</t>
  </si>
  <si>
    <t>YMM Tasdik Notu</t>
  </si>
  <si>
    <t>A0.1  ★ Alıcı/Proje Kapadokya Alanı Başkanlığı kapsamında mı?</t>
  </si>
  <si>
    <t>EVET</t>
  </si>
  <si>
    <t>Alıcı: Kapadokya Alanı Başkanlığı (7174 s.K. ile kurulan). Başkanlığa doğrudan bağış veya Başkanlıkça hazırlanan proje sponsorluğu.</t>
  </si>
  <si>
    <t>A0.2  ★ İşlemin niteliği (Bağış/Yardım mı — Sponsorluk mu) belirlendi mi?</t>
  </si>
  <si>
    <t>Bağış/Yardım (Tamamı)</t>
  </si>
  <si>
    <t>Bağış/Yardım: Karşılıksız → B Tablosu → Tamamının indirimi.
Sponsorluk: Karşılıklı (proje katılımı) → C Tablosu → Oran uygulaması.
Ayrım hatalı yapılırsa yanlış tutar beyannamede yer alır.</t>
  </si>
  <si>
    <t>A0.3  ★ Bağış/Yardım FİİLEN yapıldı mı? Belgesi var mı?</t>
  </si>
  <si>
    <t>Nakdi: Banka dekontu. Ayni: Teslim tutanağı. Başkanlıktan makbuz/protokol.</t>
  </si>
  <si>
    <t>A0.4  Sponsorluk için Başkanlık proje onayı/sözleşmesi var mı?</t>
  </si>
  <si>
    <t>Sponsorluk: Kapadokya Alanı Başkanlığı'nın proje belgesi veya sözleşmesi zorunludur.</t>
  </si>
  <si>
    <t>A0.5  ✗ YİAKV E.11'de bilgi satırı olarak gösterildi mi?</t>
  </si>
  <si>
    <t>419 YİAKV matrahından düşülemez — E.11 bilgi.</t>
  </si>
  <si>
    <t>A0.6  YMM Tasdik Raporu gereksinimi değerlendirildi mi?</t>
  </si>
  <si>
    <t>&gt;=500.000 TL → YMM raporu.</t>
  </si>
  <si>
    <t>A0.7  Tasdik Uygunluk Sonucu</t>
  </si>
  <si>
    <t>★ A0.1 Kapadokya Başkanlığı | A0.2 nitelik ayrımı | A0.3 bağış belgesi | A0.4 sponsorluk onayı.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</si>
  <si>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</si>
  <si>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</si>
  <si>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</si>
  <si>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</si>
  <si>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</si>
  <si>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</si>
  <si>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</si>
  <si>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</si>
  <si>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</si>
  <si>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İşlem Türü</t>
  </si>
  <si>
    <t>Bağış/Yardım | Sponsorluk | Her İkisi</t>
  </si>
  <si>
    <t>Kapadokya Alanı Başkanlığı İlgili Birimi</t>
  </si>
  <si>
    <t>Başkanlık adı ve ilgili proje/birim</t>
  </si>
  <si>
    <t>Dosya Referansı</t>
  </si>
  <si>
    <t>YMM-2025/419-01</t>
  </si>
  <si>
    <t>B. BAĞIŞ VE YARDIM TABLOSU — KAPADOKYA ALANI BAŞKANLIĞI (TAMAMININ İNDİRİMİ)</t>
  </si>
  <si>
    <t xml:space="preserve">  Kapadokya Alanı Başkanlığı'na yapılan karşılıksız bağış ve yardımlar. SÜTUN 3: Nakdi. SÜTUN 4: Ayni (maliyet değeri). SÜTUN 5: Toplam. SÜTUN 6: İndirim = Tamamı. Sponsorluk harcamaları bu tabloya değil C Tablosu'na girilmeli.</t>
  </si>
  <si>
    <t>Bağış Tarihi</t>
  </si>
  <si>
    <t>Bağışın Konusu / Projesi</t>
  </si>
  <si>
    <t>Nakdi (TL)</t>
  </si>
  <si>
    <t>Ayni Değer (TL)</t>
  </si>
  <si>
    <t>Toplam (TL)</t>
  </si>
  <si>
    <t>İndirim (TL)</t>
  </si>
  <si>
    <t>Makbuz/Belge No</t>
  </si>
  <si>
    <t>B. BAĞIŞ/YARDIM TOPLAMI</t>
  </si>
  <si>
    <t>← B.3 Bağış İndirimi (Tamamı)</t>
  </si>
  <si>
    <t>C. SPONSORLUK HARCAMALARI TABLOSU — KAPADOKYA ALANI PROJELERİ</t>
  </si>
  <si>
    <t xml:space="preserve">  Kapadokya Alanı Başkanlığı'nca hazırlanan projelere katılım amacıyla yapılan sponsorluk harcamaları. ★ ORAN: 7174 s.K. ve GİB Rehberi No:606 kapsamında belirlenen indirim oranı YMM tarafından teyit edilmeli. Bağış/Yardım bu tabloya değil B Tablosu'na girilmeli.</t>
  </si>
  <si>
    <t>Tarih</t>
  </si>
  <si>
    <t>Proje Adı / Konu</t>
  </si>
  <si>
    <t>Sponsorluk (TL)</t>
  </si>
  <si>
    <t>İndirim Oranı (YMM Teyidi)</t>
  </si>
  <si>
    <t>Oran Kaynağı: 7174 s.K.</t>
  </si>
  <si>
    <t>Proje Onayı/Sözleşme No</t>
  </si>
  <si>
    <t>YMM Teyidi</t>
  </si>
  <si>
    <t>7174 s.K.</t>
  </si>
  <si>
    <t>C. SPONSORLUK TOPLAMI</t>
  </si>
  <si>
    <t>← YMM Oran Teyidi Gerekli</t>
  </si>
  <si>
    <t>← C.3 Sponsorluk İndirimi (YMM)</t>
  </si>
  <si>
    <t>D. BAĞIŞ/YARDIM VE SPONSORLUK İNDİRİM ÖZET — BEYANNAME 419 (7174 S.K.)</t>
  </si>
  <si>
    <t>Hesap Kalemi</t>
  </si>
  <si>
    <t>Tutar (TL)</t>
  </si>
  <si>
    <t>Açıklama</t>
  </si>
  <si>
    <t>Not</t>
  </si>
  <si>
    <t>D.1  B Tablosu — Bağış/Yardım Toplamı (Tamamı)</t>
  </si>
  <si>
    <t>Karşılıksız bağış/yardım — tamamı indirim</t>
  </si>
  <si>
    <t>D.2  C Tablosu — Sponsorluk İndirimi (YMM Teyidi)</t>
  </si>
  <si>
    <t>Başkanlık projesi sponsorluğu — oran YMM teyidi</t>
  </si>
  <si>
    <t>D.3  ★ BEYANNAME 419 TOPLAMI (D.1 + D.2)</t>
  </si>
  <si>
    <t>→ Beyanname 419 | Kazancın Bulunması Halinde | Devredilmez</t>
  </si>
  <si>
    <t>D.4  YİAKV DURUMU — DÜŞÜLEMEZ</t>
  </si>
  <si>
    <t>YİAKV E.11 Bilgi ✗</t>
  </si>
  <si>
    <t>419 indirimi YİAKV matrahından düşülemez</t>
  </si>
  <si>
    <t>KVK Md.32/C</t>
  </si>
  <si>
    <t>E.1  KAPADOKYA ALANI BAĞIŞ/SPONSORLUK → Beyanname Satır 419 (Kazancın Bulunması Halinde)</t>
  </si>
  <si>
    <t>D.3 = B (Bağış Tamamı) + C (Sponsorluk) | Devredilmez</t>
  </si>
  <si>
    <t xml:space="preserve">  ★ KRİTİK: (1) ALICI: Kapadokya Alanı Başkanlığı (7174 s.K.). (2) NİTELİK AYRIMI: Karşılıksız → Bağış (B tablosu/tamamı). Karşılıklı → Sponsorluk (C tablosu/oran). (3) SPONSORLUK ORANI: 7174 s.K. ve GİB Rehberi No:606 YMM tarafından teyit edilmeli. (4) DEVREDEN YOK. (5) YİAKV ✗: E.11.</t>
  </si>
  <si>
    <t>419 – KAPADOKYA ALANI BAŞKANLIĞI BAĞIŞ/SPONSORLUK | HESAPLAMALAR VE DENETİM</t>
  </si>
  <si>
    <t>7174 s.K. | Bağış Tamamı + Sponsorluk Oranı | Beyanname 419 | ✗ YİAKV E.11</t>
  </si>
  <si>
    <t>A. TASDİK ÖZETİ</t>
  </si>
  <si>
    <t>A0 Uygunluğu</t>
  </si>
  <si>
    <t>OK ise devam</t>
  </si>
  <si>
    <t>İşlem Türü (A0.2)</t>
  </si>
  <si>
    <t>Bağış/Sponsorluk/Her İkisi</t>
  </si>
  <si>
    <t>Bağış/Yardım Toplamı (D.1)</t>
  </si>
  <si>
    <t>B Tablosu — tamamı indirim</t>
  </si>
  <si>
    <t>Sponsorluk İndirimi (D.2)</t>
  </si>
  <si>
    <t>C Tablosu — oran uygulaması</t>
  </si>
  <si>
    <t>419 TOPLAM İNDİRİM (D.3)</t>
  </si>
  <si>
    <t>YİAKV</t>
  </si>
  <si>
    <t>✗ DÜŞÜLEMEZ (E.11)</t>
  </si>
  <si>
    <t>YİAKV dışı</t>
  </si>
  <si>
    <t>B. 7174 S.K. KAPADOKYA ALANI BAŞKANLIĞI — KAPSAM VE BİLEŞİK YAPI</t>
  </si>
  <si>
    <t xml:space="preserve">  7174 SAYILI KAPADOKYA ALANI HAKKINDA KANUN:
  Kapadokya Alanı Başkanlığı, 7174 sayılı Kanun ile kurulmuş, Kapadokya Alanı'nın
  korunması, geliştirilmesi ve yönetilmesinden sorumlu kamu kuruluşudur.
  BİLEŞEN 1 — BAĞIŞ VE YARDIMLAR:
  Başkanlığa yapılan nakdi ve ayni bağış ve yardımların TAMAMI indirilir.
  Makbuz/protokol zorunlu. Ayni bağışta maliyet/net defter değeri esas.
  BİLEŞEN 2 — SPONSORLUK HARCAMALARI:
  Başkanlıkça hazırlanan projelere katılım amacıyla yapılan sponsorluk harcamaları.
  Proje onayı/sözleşmesi zorunlu.
  ★ İndirim oranı: 7174 s.K. ve GİB Rehberi No:606 YMM tarafından teyit edilmeli.
  479 (GELİBOLU/6546 S.K.) İLE YAPISAL BENZERLIK:
  Her ikisi de hem bağış hem sponsorluk içeren bileşik kodlar.
  419 Kapadokya | 479 Gelibolu — farklı kanun, aynı B+C tablo yapısı.
  ★ YMM UYARISI: Sponsorluk oranı için 7174 s.K. metnini ve GİB Rehberi No:606'yı
  inceleyiniz. Bu çalışma kâğıdının C Tablosu sütun 6'sı YMM tarafından doldurulacak.</t>
  </si>
  <si>
    <t>C. DENETİM KONTROL LİSTESİ (K1–K11)</t>
  </si>
  <si>
    <t>Kontrol</t>
  </si>
  <si>
    <t>Sonuç</t>
  </si>
  <si>
    <t>K1</t>
  </si>
  <si>
    <t>★ Alıcı/Proje Kapadokya Alanı Başkanlığı kapsamında mı?</t>
  </si>
  <si>
    <t>7174 s.K. kapsamı teyit.</t>
  </si>
  <si>
    <t>Uygun/Eksik/Risk</t>
  </si>
  <si>
    <t>K2</t>
  </si>
  <si>
    <t>★ Bağış/Sponsorluk nitelik ayrımı doğru yapıldı mı?</t>
  </si>
  <si>
    <t>Karşılıksız→Bağış. Karşılıklı→Sponsorluk.</t>
  </si>
  <si>
    <t>K3</t>
  </si>
  <si>
    <t>★ Bağış/Yardım varsa belge (makbuz/protokol/dekont) var mı?</t>
  </si>
  <si>
    <t>Her bağış kalemi için belge.</t>
  </si>
  <si>
    <t>K4</t>
  </si>
  <si>
    <t>Sponsorluk varsa Başkanlık proje onayı/sözleşmesi var mı?</t>
  </si>
  <si>
    <t>Proje belgesi zorunlu.</t>
  </si>
  <si>
    <t>K5</t>
  </si>
  <si>
    <t>★ Sponsorluk oranı YMM tarafından 7174 s.K.'dan teyit edildi mi?</t>
  </si>
  <si>
    <t>C tablosu F sütunu YMM dolduracak.</t>
  </si>
  <si>
    <t>K6</t>
  </si>
  <si>
    <t>B Tablosu toplamı D.1 ile mutabık mı?</t>
  </si>
  <si>
    <t>F34 = D.1 eşitliği.</t>
  </si>
  <si>
    <t>K7</t>
  </si>
  <si>
    <t>C Tablosu toplamı D.2 ile mutabık mı?</t>
  </si>
  <si>
    <t>F44 = D.2 eşitliği.</t>
  </si>
  <si>
    <t>K8</t>
  </si>
  <si>
    <t>★ İndirim matrahı aşıyor mu? (Devredilemez!)</t>
  </si>
  <si>
    <t>Aşan kısım beyanname notu.</t>
  </si>
  <si>
    <t>K9</t>
  </si>
  <si>
    <t>✗ YİAKV E.11'de bilgi satırı olarak gösterildi mi?</t>
  </si>
  <si>
    <t>419 DÜŞÜLEMEZ — E.11.</t>
  </si>
  <si>
    <t>K10</t>
  </si>
  <si>
    <t>Beyanname 419 'Kazancın Bulunması Halinde' bölümünde mi?</t>
  </si>
  <si>
    <t>Zarar → uygulanamaz.</t>
  </si>
  <si>
    <t>K11</t>
  </si>
  <si>
    <t>YMM Tasdik Raporu (49 No.lu Tebliğ) değerlendirildi mi?</t>
  </si>
  <si>
    <t>419 – KAPADOKYA ALANI BAĞIŞ/SPONSORLUK | MUHASEBE KAYITLARI</t>
  </si>
  <si>
    <t>KAYIT 1 — NAKDİ BAĞIŞ/YARDIM (EFT/HAVALE — KAPADOKYA ALANI BAŞKANLIĞI)</t>
  </si>
  <si>
    <t>Hesap</t>
  </si>
  <si>
    <t>Dr</t>
  </si>
  <si>
    <t>Kr</t>
  </si>
  <si>
    <t>Ref</t>
  </si>
  <si>
    <t>[Tarih]</t>
  </si>
  <si>
    <t>689 Diğer Olağan Dışı Gid.</t>
  </si>
  <si>
    <t>Kapadokya bağış/yardımı — gider</t>
  </si>
  <si>
    <t>[Tutar]</t>
  </si>
  <si>
    <t>—</t>
  </si>
  <si>
    <t>Makbuz/Protokol</t>
  </si>
  <si>
    <t>KAYIT 2 — SPONSORLUK HARCAMASI (KAPADOKYA PROJESİ)</t>
  </si>
  <si>
    <t>770 Genel Yönetim / 760 Paz.Sat.</t>
  </si>
  <si>
    <t>Kapadokya sponsorluk harcaması</t>
  </si>
  <si>
    <t>Proje sözleşmesi</t>
  </si>
  <si>
    <t>KAYIT 3 — DÖNEM SONU: KKEG + BEYANNAME 419</t>
  </si>
  <si>
    <t>[Dönem Sonu]</t>
  </si>
  <si>
    <t>951 KKEG</t>
  </si>
  <si>
    <t>Bağış/Sponsorluk KKEG'e — 419 indirimi beyan</t>
  </si>
  <si>
    <t>[Brüt]</t>
  </si>
  <si>
    <t>Beyanname</t>
  </si>
  <si>
    <t xml:space="preserve">  DÖNEM SONU — BEYANNAME 419:
  BAĞIŞ: 689 gider → KKEG → Beyanname 419 (bağış kısmı — tamamı) → Matrahtan düşülür.
  SPONSORLUK: 770/760 gider → KKEG → Beyanname 419 (sponsorluk kısmı — oran) → Matrahtan düşülür.
  YİAKV: ✗ DÜŞÜLEMEZ — E.11. Matrahı aşan kısım devredilmez.</t>
  </si>
  <si>
    <t>419 – KAPADOKYA ALANI BAĞIŞ/SPONSORLUK | DENETÇİ NOTLARI</t>
  </si>
  <si>
    <t>7174 s.K. | Bağış Tamamı + Sponsorluk | 479 Gelibolu Yapısı | YMM Teyidi | YİAKV E.11</t>
  </si>
  <si>
    <t>Kod</t>
  </si>
  <si>
    <t>Konu</t>
  </si>
  <si>
    <t>Mesleki Değerlendirme / Tasdik Standardı</t>
  </si>
  <si>
    <t>Mevzuat / Kaynak</t>
  </si>
  <si>
    <t>N1</t>
  </si>
  <si>
    <t>7174 s.K. — Kapadokya Alanı Başkanlığı Bağış ve Sponsorluk</t>
  </si>
  <si>
    <t>7174 SAYILI KAPADOKYA ALANI HAKKINDA KANUN — KAPSAM:
Kapadokya Alanı Başkanlığı'na yapılan bağış ve yardımlar ile
Başkanlıkça hazırlanan projelere katılım amacıyla yapılan
sponsorluk harcamalarına ilişkin KV indirimine dair özel düzenleme.
BİLEŞEN 1 — BAĞIŞ/YARDIM:
Nakdi ve ayni bağış ve yardımların TAMAMI indirim konusu.
Başkanlıktan makbuz/protokol zorunlu.
BİLEŞEN 2 — SPONSORLUK:
Başkanlıkça hazırlanan projelere katılım sponsorluğu.
İndirim oranı: 7174 s.K. ve GİB Rehberi No:606 kapsamında YMM teyidi.
YİAKV: ✗ DÜŞÜLEMEZ (E.11 bilgi) | BEYANNAME: 419</t>
  </si>
  <si>
    <t>7174 s.K. | GİB KV Beyan Reh. 2026 (No:606)</t>
  </si>
  <si>
    <t>N2</t>
  </si>
  <si>
    <t>★ Bağış/Yardım ile Sponsorluk Ayrımı — Nitelik Testi</t>
  </si>
  <si>
    <t>BAĞIŞ/YARDIM vs SPONSORLUK NİTELİK AYRIMI:
BAĞIŞ/YARDIM (B Tablosu — Tamamının İndirimi):
✓ Karşılıksız ödeme
✓ Reklam, logo, isim hakkı, bilet vb. HİÇBİR KARŞILIK YOK
✓ Doğrudan Kapadokya Alanı Başkanlığı'na
Belge: Makbuz/protokol
SPONSORLUK (C Tablosu — Oran Uygulaması):
✓ Başkanlıkça hazırlanan projeye katılım
✓ Logo, banner, isim hakkı gibi karşılık VARSA sponsorluk
Belge: Proje onayı + sponsorluk sözleşmesi
AYIRT EDİCİ TEST:
'Bu ödemede Başkanlıktan veya projeden bir karşılık (logo/isim/tanıtım) alınıyor mu?'
EVET → Sponsorluk (C Tablosu)
HAYIR → Bağış/Yardım (B Tablosu)
Hatalı sınıflandırma → Yanlış tutar veya oran → Tarhiyat riski.</t>
  </si>
  <si>
    <t>7174 s.K. | GİB Özelge | KVK Md.10/1</t>
  </si>
  <si>
    <t>N3</t>
  </si>
  <si>
    <t>479 (Gelibolu) ile 419 (Kapadokya) Yapısal Karşılaştırma</t>
  </si>
  <si>
    <t>BENZER BİLEŞİK YAPI — 419 KAPADOKYA vs 479 GELİBOLU:
419 — 7174 s.K. KAPADOKYA ALANI BAŞKANLIĞI:
• Bağış/Yardım: Tamamının indirimi
• Sponsorluk: 7174 s.K. oran uygulaması (YMM teyidi)
• Kapsam: Kapadokya Alanı koruma, geliştirme projeleri
479 — 6546 s.K. GELİBOLU TARİHİ ALAN BAŞKANLIĞI:
• Bağış: Tamamının indirimi
• Sponsorluk: 6546 s.K. oran uygulaması
• Kapsam: Gelibolu Tarihi Alanı projeleri
ORTAK YAPI:
Her ikisi de B+C iki tablo — bağış tamamı + sponsorluk oranı.
Her ikisi de YİAKV E.11 — DÜŞÜLEMEZ.
Her ikisi de devredilmez — kazancın bulunması halinde.
TEMEL FARK: Kanun numarası ve coğrafi kapsam.</t>
  </si>
  <si>
    <t>7174 s.K. | 6546 s.K. | GİB KV Beyan Reh. 2026</t>
  </si>
  <si>
    <t>N4</t>
  </si>
  <si>
    <t>YİAKV ile İlişki — E.11 Güncel Tablo</t>
  </si>
  <si>
    <t>YİAKV (KVK Md.32/C) VE 419 KAPADOKYA İNDİRİMİ:
✗ 419 (7174 s.K.): DÜŞÜLEMEZ → YİAKV E.11
YİAKV E.11 — GÜNCEL KODLAR:
✗ 402 | ✗ 403 | ✗ 404 | ✗ 414 | ✗ 415 | ✗ 416 | ✗ 417
✗ 419 | ✗ 451 | ✗ 452 | ✗ 460/461 | ✗ 462 | ✗ 463
✗ 464 | ✗ 465 | ✗ 466 | ✗ 469–483
→ YİAKV E.11 = Tüm bu kodların dönem toplamı
DÜŞÜLEBILIR:
✓ 283/455 → D.10 | ✓ 456/457 → E.13
✓ 401 → D.4 | ✓ 413 → D.11 | ✗ 453 → E.10</t>
  </si>
  <si>
    <t>KVK Md.32/C | GİB Rehberi No:607 | No:606</t>
  </si>
  <si>
    <t>N5</t>
  </si>
  <si>
    <t>49 No.lu Tebliğ + YMM Tasdik Dil Standardı</t>
  </si>
  <si>
    <t>KULLANIN (BAĞIŞ):
'...7174 sayılı Kapadokya Alanı Hakkında Kanun kapsamında Kapadokya
Alanı Başkanlığı'na [Tarih] tarihinde banka yoluyla ödenen [Nakdi]
TL nakdi bağış ile [Ayni] TL maliyet bedelindeki ayni bağışın
tamamı olan [Toplam] TL matrahtan indirilmiştir. Söz konusu tutar
YİAKV matrahından indirilmemiştir.'
KULLANIN (SPONSORLUK):
'...7174 s.K. kapsamında Kapadokya Alanı Başkanlığı'nca hazırlanan
[Proje Adı] projesine katılım amacıyla yapılan [Brüt] TL sponsorluk
harcamasının [Oran]'ü olan [İndirim] TL matrahtan indirilmiştir.'
KULLANMAYIN:
'...Bağış ve sponsorluk ayrımı yapılmadan 419 uygulandı.' (Hata)
'...419 YİAKV matrahından düşülmüştür.' (YANLIŞ)</t>
  </si>
  <si>
    <t>49 No.lu Tebliğ | 7174 s.K. | SM-SMMM-YMM K. Md.12</t>
  </si>
  <si>
    <t xml:space="preserve">  GİB KV BEYAN REHBERİ MART 2026 (No:606) KAPANIŞ (419): 7174 s.K. — Kapadokya Alanı Başkanlığı'na bağış/yardım (tamamı) + proje sponsorluğu (oran). Bağış/sponsorluk nitelik ayrımı kritik. Sponsorluk oranı YMM tarafından 7174 s.K.'dan teyit edilmeli. 479 Gelibolu ile aynı yapısal çerçeve. ✗ YİAKV E.11. YMM: SM-SMMM-YMM K. Md.12.</t>
  </si>
  <si>
    <t>419 – KAPADOKYA ALANI BAĞIŞ/SPONSORLUK | BELGE LİSTESİ | YMM TASDİK</t>
  </si>
  <si>
    <t>Makbuz/Protokol | Proje Onayı | Banka Dekontu | 7174 s.K. | YİAKV E.11</t>
  </si>
  <si>
    <t>KATEGORİ 1 — ZORUNLU BELGELER</t>
  </si>
  <si>
    <t>No</t>
  </si>
  <si>
    <t>Belge</t>
  </si>
  <si>
    <t>Temin</t>
  </si>
  <si>
    <t>1</t>
  </si>
  <si>
    <t>★ Kapadokya Alanı Başkanlığı Bağış Makbuzu / Protokolü (Bağış için)</t>
  </si>
  <si>
    <t>Başkanlıktan alınan resmi makbuz veya bağış protokolü. Bağışın karşılıksız niteliği anlaşılmalı. Nakdi+Ayni ayrımı belirtilmeli. Zorunlu.</t>
  </si>
  <si>
    <t>Kapadokya Alanı Başkanlığı</t>
  </si>
  <si>
    <t>2</t>
  </si>
  <si>
    <t>★ Nakdi Bağış — Banka EFT/Havale Dekontu</t>
  </si>
  <si>
    <t>Başkanlığın resmi banka hesabına yapılan her ödeme için dekont.</t>
  </si>
  <si>
    <t>Banka / Şirket hesabı</t>
  </si>
  <si>
    <t>3</t>
  </si>
  <si>
    <t>★ Sponsorluk Proje Onayı ve Sözleşmesi (Sponsorluk için)</t>
  </si>
  <si>
    <t>Kapadokya Alanı Başkanlığı'nca hazırlanan projeye katılımı gösteren proje onay belgesi ve sponsorluk sözleşmesi. Zorunlu (sponsorluk varsa).</t>
  </si>
  <si>
    <t>4</t>
  </si>
  <si>
    <t>Ayni Bağış — Teslim Tutanağı + Maliyet Notu (Varsa)</t>
  </si>
  <si>
    <t>Ayni bağış için imzalı teslim tutanağı ve maliyet/net defter değeri notu.</t>
  </si>
  <si>
    <t>Teslim sırasında</t>
  </si>
  <si>
    <t>5</t>
  </si>
  <si>
    <t>KV Beyannamesi 419 Satırı + YİAKV E.11 Bilgi</t>
  </si>
  <si>
    <t>Beyanname 419 = D.3 (Bağış tamamı + Sponsorluk indirimi). YİAKV E.11 = 419 dahil tüm indirim kodları dönem toplamı.</t>
  </si>
  <si>
    <t>GİB e-Beyanname + YİAKV ÇK</t>
  </si>
  <si>
    <t>KATEGORİ 2 — YMM TASDİK KONTROL SORULARI</t>
  </si>
  <si>
    <t>Beklenen Sonuç</t>
  </si>
  <si>
    <t>YMM Aksiyonu</t>
  </si>
  <si>
    <t>S1</t>
  </si>
  <si>
    <t>7174 s.K. teyidi.</t>
  </si>
  <si>
    <t>YMM kontrolü</t>
  </si>
  <si>
    <t>S2</t>
  </si>
  <si>
    <t>★ Bağış/Sponsorluk nitelik ayrımı doğru mu?</t>
  </si>
  <si>
    <t>Karşılıksız→B. Karşılıklı→C.</t>
  </si>
  <si>
    <t>S3</t>
  </si>
  <si>
    <t>★ Bağış varsa makbuz/protokol ve dekont var mı?</t>
  </si>
  <si>
    <t>Zorunlu belgeler.</t>
  </si>
  <si>
    <t>S4</t>
  </si>
  <si>
    <t>Sponsorluk varsa proje onayı/sözleşmesi var mı?</t>
  </si>
  <si>
    <t>S5</t>
  </si>
  <si>
    <t>★ Sponsorluk oranı 7174 s.K.'dan YMM tarafından teyit edildi mi?</t>
  </si>
  <si>
    <t>S6</t>
  </si>
  <si>
    <t>★ İndirim matrahı aşıyor mu? (Devredilmez!)</t>
  </si>
  <si>
    <t>S7</t>
  </si>
  <si>
    <t>✗ YİAKV E.11'de bilgi satırı var mı?</t>
  </si>
  <si>
    <t>S8</t>
  </si>
  <si>
    <t>Beyanname 419 'Kazancın Bulunması Halinde'?</t>
  </si>
  <si>
    <t>S9</t>
  </si>
  <si>
    <t>YMM Tasdik Raporu değerlendirildi mi?</t>
  </si>
  <si>
    <t>&gt;=500.000 TL → Rapor.</t>
  </si>
  <si>
    <t xml:space="preserve">  GİB KV BEYAN REHBERİ MART 2026 (No:606) | 419 — 7174 S.K. KAPADOKYA ALANI BAĞIŞ/SPONSORLUK:
  Bağış/Yardım (B Tablosu): Kapadokya Alanı Başkanlığı'na karşılıksız bağış → Tamamının indirimi.
  Sponsorluk (C Tablosu): Başkanlıkça hazırlanan projelere katılım → 7174 s.K. oranı (YMM teyidi).
  479 Gelibolu ile yapısal benzerlik — aynı B+C tablo mimarisi, farklı kanun/coğrafya.
  Matrahı aşan kısım devredilmez. ✗ YİAKV E.11. YMM: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</si>
</sst>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sz val="9"/>
      <color rgb="FF1F3864"/>
      <name val="Arial"/>
    </font>
    <font>
      <b/>
      <sz val="9"/>
      <color rgb="FF6D4C41"/>
      <name val="Arial"/>
    </font>
    <font>
      <b/>
      <sz val="9"/>
      <color rgb="FF1B5E20"/>
      <name val="Arial"/>
    </font>
    <font>
      <sz val="8"/>
      <color rgb="FF1F3864"/>
      <name val="Arial"/>
    </font>
    <font>
      <b/>
      <sz val="11"/>
      <color rgb="FFFFFFFF"/>
      <name val="Arial"/>
    </font>
    <font>
      <b/>
      <sz val="12"/>
      <color rgb="FFFFFFFF"/>
      <name val="Arial"/>
    </font>
    <font>
      <b/>
      <sz val="9"/>
      <color rgb="FF7B5E00"/>
      <name val="Arial"/>
    </font>
    <font>
      <b/>
      <sz val="9"/>
      <color rgb="FFE65100"/>
      <name val="Arial"/>
    </font>
    <font>
      <sz val="8"/>
      <color rgb="FF7B5E00"/>
      <name val="Arial"/>
    </font>
    <font>
      <b/>
      <sz val="9"/>
      <color rgb="FFFFFF00"/>
      <name val="Arial"/>
    </font>
    <font>
      <b/>
      <sz val="10"/>
      <color rgb="FF6D4C41"/>
      <name val="Arial"/>
    </font>
    <font>
      <b/>
      <sz val="13"/>
      <color rgb="FF1B5E20"/>
      <name val="Arial"/>
    </font>
    <font>
      <b/>
      <sz val="10"/>
      <color rgb="FFE6510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8"/>
      <color rgb="FFC0392B"/>
      <name val="Arial"/>
    </font>
    <font>
      <b/>
      <sz val="12"/>
      <color rgb="FF1B5E20"/>
      <name val="Arial"/>
    </font>
    <font>
      <sz val="8"/>
      <color rgb="FF333333"/>
      <name val="Arial"/>
    </font>
    <font>
      <i/>
      <sz val="8"/>
      <color rgb="FF444444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6">
    <fill>
      <patternFill patternType="none"/>
    </fill>
    <fill>
      <patternFill patternType="gray125"/>
    </fill>
    <fill>
      <patternFill patternType="solid">
        <fgColor rgb="FF6D4C41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EFEBE9"/>
      </patternFill>
    </fill>
    <fill>
      <patternFill patternType="solid">
        <fgColor rgb="FFC6EFCE"/>
      </patternFill>
    </fill>
    <fill>
      <patternFill patternType="solid">
        <fgColor rgb="FFD7CCC8"/>
      </patternFill>
    </fill>
    <fill>
      <patternFill patternType="solid">
        <fgColor rgb="FFFFF8E1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6D4C41"/>
      </left>
      <right style="thin">
        <color rgb="FF6D4C41"/>
      </right>
      <top style="thin">
        <color rgb="FF6D4C41"/>
      </top>
      <bottom style="thin">
        <color rgb="FF6D4C41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E65100"/>
      </left>
      <right style="thin">
        <color rgb="FFE65100"/>
      </right>
      <top style="thin">
        <color rgb="FFE65100"/>
      </top>
      <bottom style="thin">
        <color rgb="FFE651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6" borderId="4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left" vertical="center" wrapText="1"/>
    </xf>
    <xf numFmtId="3" fontId="12" fillId="14" borderId="7" xfId="0" applyNumberFormat="1" applyFont="1" applyFill="1" applyBorder="1" applyAlignment="1">
      <alignment horizontal="right" vertical="center" wrapText="1"/>
    </xf>
    <xf numFmtId="3" fontId="12" fillId="11" borderId="4" xfId="0" applyNumberFormat="1" applyFont="1" applyFill="1" applyBorder="1" applyAlignment="1">
      <alignment horizontal="right" vertical="center" wrapText="1"/>
    </xf>
    <xf numFmtId="3" fontId="13" fillId="13" borderId="8" xfId="0" applyNumberFormat="1" applyFont="1" applyFill="1" applyBorder="1" applyAlignment="1">
      <alignment horizontal="right" vertical="center" wrapText="1"/>
    </xf>
    <xf numFmtId="0" fontId="14" fillId="10" borderId="4" xfId="0" applyFont="1" applyFill="1" applyBorder="1" applyAlignment="1">
      <alignment horizontal="center" vertical="center" wrapText="1"/>
    </xf>
    <xf numFmtId="3" fontId="12" fillId="12" borderId="4" xfId="0" applyNumberFormat="1" applyFont="1" applyFill="1" applyBorder="1" applyAlignment="1">
      <alignment horizontal="right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3" fontId="15" fillId="2" borderId="4" xfId="0" applyNumberFormat="1" applyFont="1" applyFill="1" applyBorder="1" applyAlignment="1">
      <alignment horizontal="right" vertical="center" wrapText="1"/>
    </xf>
    <xf numFmtId="3" fontId="16" fillId="2" borderId="8" xfId="0" applyNumberFormat="1" applyFont="1" applyFill="1" applyBorder="1" applyAlignment="1">
      <alignment horizontal="righ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8" fillId="16" borderId="9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3" fontId="13" fillId="10" borderId="8" xfId="0" applyNumberFormat="1" applyFont="1" applyFill="1" applyBorder="1" applyAlignment="1">
      <alignment horizontal="right" vertical="center" wrapText="1"/>
    </xf>
    <xf numFmtId="3" fontId="21" fillId="12" borderId="4" xfId="0" applyNumberFormat="1" applyFont="1" applyFill="1" applyBorder="1" applyAlignment="1">
      <alignment horizontal="right" vertical="center"/>
    </xf>
    <xf numFmtId="3" fontId="22" fillId="13" borderId="8" xfId="0" applyNumberFormat="1" applyFont="1" applyFill="1" applyBorder="1" applyAlignment="1">
      <alignment horizontal="right" vertical="center"/>
    </xf>
    <xf numFmtId="0" fontId="23" fillId="16" borderId="4" xfId="0" applyFont="1" applyFill="1" applyBorder="1" applyAlignment="1">
      <alignment horizontal="center" vertical="center"/>
    </xf>
    <xf numFmtId="3" fontId="24" fillId="13" borderId="8" xfId="0" applyNumberFormat="1" applyFont="1" applyFill="1" applyBorder="1" applyAlignment="1">
      <alignment horizontal="right" vertical="center" wrapText="1"/>
    </xf>
    <xf numFmtId="3" fontId="9" fillId="12" borderId="4" xfId="0" applyNumberFormat="1" applyFont="1" applyFill="1" applyBorder="1" applyAlignment="1">
      <alignment horizontal="center" vertical="center"/>
    </xf>
    <xf numFmtId="3" fontId="27" fillId="13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top" wrapText="1"/>
    </xf>
    <xf numFmtId="0" fontId="28" fillId="18" borderId="4" xfId="0" applyFont="1" applyFill="1" applyBorder="1" applyAlignment="1">
      <alignment horizontal="left" vertical="top" wrapText="1"/>
    </xf>
    <xf numFmtId="0" fontId="0" fillId="11" borderId="4" xfId="0" applyFill="1" applyBorder="1"/>
    <xf numFmtId="0" fontId="0" fillId="12" borderId="4" xfId="0" applyFill="1" applyBorder="1"/>
    <xf numFmtId="0" fontId="7" fillId="12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 wrapText="1"/>
    </xf>
    <xf numFmtId="0" fontId="28" fillId="19" borderId="4" xfId="0" applyFont="1" applyFill="1" applyBorder="1" applyAlignment="1">
      <alignment horizontal="left" vertical="top" wrapText="1"/>
    </xf>
    <xf numFmtId="0" fontId="29" fillId="12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0" fontId="29" fillId="9" borderId="4" xfId="0" applyFont="1" applyFill="1" applyBorder="1" applyAlignment="1">
      <alignment horizontal="left" vertical="top" wrapText="1"/>
    </xf>
    <xf numFmtId="0" fontId="29" fillId="11" borderId="4" xfId="0" applyFont="1" applyFill="1" applyBorder="1" applyAlignment="1">
      <alignment horizontal="left" vertical="top" wrapText="1"/>
    </xf>
    <xf numFmtId="0" fontId="0" fillId="4" borderId="4" xfId="0" applyFill="1" applyBorder="1"/>
    <xf numFmtId="0" fontId="0" fillId="13" borderId="4" xfId="0" applyFill="1" applyBorder="1"/>
    <xf numFmtId="0" fontId="7" fillId="13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left" vertical="top" wrapText="1"/>
    </xf>
    <xf numFmtId="0" fontId="28" fillId="20" borderId="4" xfId="0" applyFont="1" applyFill="1" applyBorder="1" applyAlignment="1">
      <alignment horizontal="left" vertical="top" wrapText="1"/>
    </xf>
    <xf numFmtId="0" fontId="30" fillId="13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left" vertical="top" wrapText="1"/>
    </xf>
    <xf numFmtId="0" fontId="30" fillId="11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top" wrapText="1"/>
    </xf>
    <xf numFmtId="0" fontId="1" fillId="21" borderId="1" xfId="0" applyFont="1" applyFill="1" applyBorder="1" applyAlignment="1">
      <alignment horizontal="center" vertical="center"/>
    </xf>
    <xf numFmtId="0" fontId="0" fillId="22" borderId="4" xfId="0" applyFill="1" applyBorder="1"/>
    <xf numFmtId="0" fontId="31" fillId="22" borderId="4" xfId="0" applyFont="1" applyFill="1" applyBorder="1" applyAlignment="1">
      <alignment horizontal="center" vertical="center" wrapText="1"/>
    </xf>
    <xf numFmtId="0" fontId="4" fillId="22" borderId="4" xfId="0" applyFont="1" applyFill="1" applyBorder="1" applyAlignment="1">
      <alignment horizontal="left" vertical="top" wrapText="1"/>
    </xf>
    <xf numFmtId="0" fontId="28" fillId="23" borderId="4" xfId="0" applyFont="1" applyFill="1" applyBorder="1" applyAlignment="1">
      <alignment horizontal="left" vertical="top" wrapText="1"/>
    </xf>
    <xf numFmtId="0" fontId="32" fillId="22" borderId="4" xfId="0" applyFont="1" applyFill="1" applyBorder="1" applyAlignment="1">
      <alignment horizontal="center" vertical="center" wrapText="1"/>
    </xf>
    <xf numFmtId="0" fontId="0" fillId="24" borderId="4" xfId="0" applyFill="1" applyBorder="1"/>
    <xf numFmtId="0" fontId="31" fillId="24" borderId="4" xfId="0" applyFont="1" applyFill="1" applyBorder="1" applyAlignment="1">
      <alignment horizontal="center" vertical="center" wrapText="1"/>
    </xf>
    <xf numFmtId="0" fontId="31" fillId="24" borderId="4" xfId="0" applyFont="1" applyFill="1" applyBorder="1" applyAlignment="1">
      <alignment horizontal="left" vertical="top" wrapText="1"/>
    </xf>
    <xf numFmtId="0" fontId="28" fillId="25" borderId="4" xfId="0" applyFont="1" applyFill="1" applyBorder="1" applyAlignment="1">
      <alignment horizontal="left" vertical="top" wrapText="1"/>
    </xf>
    <xf numFmtId="0" fontId="32" fillId="24" borderId="4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left" vertical="center" wrapText="1"/>
    </xf>
    <xf numFmtId="0" fontId="0" fillId="0" borderId="6" xfId="0" applyBorder="1"/>
    <xf numFmtId="0" fontId="8" fillId="11" borderId="4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0" fillId="0" borderId="5" xfId="0" applyBorder="1"/>
    <xf numFmtId="0" fontId="9" fillId="13" borderId="4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 wrapText="1"/>
    </xf>
    <xf numFmtId="0" fontId="10" fillId="11" borderId="4" xfId="0" applyFont="1" applyFill="1" applyBorder="1" applyAlignment="1">
      <alignment horizontal="left" vertical="center" wrapText="1"/>
    </xf>
    <xf numFmtId="0" fontId="0" fillId="10" borderId="4" xfId="0" applyFill="1" applyBorder="1"/>
    <xf numFmtId="0" fontId="1" fillId="5" borderId="4" xfId="0" applyFont="1" applyFill="1" applyBorder="1" applyAlignment="1">
      <alignment horizontal="left" vertical="center" wrapText="1"/>
    </xf>
    <xf numFmtId="0" fontId="18" fillId="16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8" fillId="12" borderId="4" xfId="0" applyFont="1" applyFill="1" applyBorder="1" applyAlignment="1">
      <alignment horizontal="left" vertical="center" wrapText="1"/>
    </xf>
    <xf numFmtId="0" fontId="25" fillId="13" borderId="4" xfId="0" applyFont="1" applyFill="1" applyBorder="1" applyAlignment="1">
      <alignment horizontal="left" vertical="center" wrapText="1"/>
    </xf>
    <xf numFmtId="0" fontId="8" fillId="16" borderId="4" xfId="0" applyFont="1" applyFill="1" applyBorder="1" applyAlignment="1">
      <alignment horizontal="left" vertical="center" wrapText="1"/>
    </xf>
    <xf numFmtId="0" fontId="10" fillId="12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3" fillId="13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6" fillId="9" borderId="4" xfId="0" applyFont="1" applyFill="1" applyBorder="1" applyAlignment="1">
      <alignment horizontal="left" vertical="center" wrapText="1"/>
    </xf>
    <xf numFmtId="0" fontId="17" fillId="15" borderId="4" xfId="0" applyFont="1" applyFill="1" applyBorder="1" applyAlignment="1">
      <alignment horizontal="left" vertical="center" wrapText="1"/>
    </xf>
    <xf numFmtId="0" fontId="11" fillId="14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10" fillId="16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6" fillId="13" borderId="4" xfId="0" applyFont="1" applyFill="1" applyBorder="1" applyAlignment="1">
      <alignment horizontal="left" vertical="center" wrapText="1"/>
    </xf>
    <xf numFmtId="0" fontId="10" fillId="13" borderId="4" xfId="0" applyFont="1" applyFill="1" applyBorder="1" applyAlignment="1">
      <alignment horizontal="left" vertical="center" wrapText="1"/>
    </xf>
    <xf numFmtId="0" fontId="20" fillId="2" borderId="4" xfId="0" applyFont="1" applyFill="1" applyBorder="1" applyAlignment="1">
      <alignment horizontal="center" vertical="center"/>
    </xf>
    <xf numFmtId="0" fontId="7" fillId="13" borderId="4" xfId="0" applyFont="1" applyFill="1" applyBorder="1" applyAlignment="1">
      <alignment horizontal="left" vertical="center"/>
    </xf>
    <xf numFmtId="0" fontId="28" fillId="12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top" wrapText="1"/>
    </xf>
    <xf numFmtId="0" fontId="28" fillId="18" borderId="4" xfId="0" applyFont="1" applyFill="1" applyBorder="1" applyAlignment="1">
      <alignment horizontal="left" vertical="top" wrapText="1"/>
    </xf>
    <xf numFmtId="0" fontId="3" fillId="17" borderId="1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top" wrapText="1"/>
    </xf>
    <xf numFmtId="0" fontId="4" fillId="9" borderId="4" xfId="0" applyFont="1" applyFill="1" applyBorder="1" applyAlignment="1">
      <alignment horizontal="left" vertical="top" wrapText="1"/>
    </xf>
    <xf numFmtId="0" fontId="14" fillId="14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center"/>
    </xf>
    <xf numFmtId="0" fontId="28" fillId="11" borderId="4" xfId="0" applyFont="1" applyFill="1" applyBorder="1" applyAlignment="1">
      <alignment horizontal="left" vertical="top" wrapText="1"/>
    </xf>
    <xf numFmtId="0" fontId="7" fillId="16" borderId="4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0" fontId="3" fillId="17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28" fillId="16" borderId="4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/>
    </xf>
    <xf numFmtId="0" fontId="17" fillId="4" borderId="4" xfId="0" applyFont="1" applyFill="1" applyBorder="1" applyAlignment="1">
      <alignment horizontal="left" vertical="center" wrapText="1"/>
    </xf>
    <xf numFmtId="0" fontId="1" fillId="21" borderId="1" xfId="0" applyFont="1" applyFill="1" applyBorder="1" applyAlignment="1">
      <alignment horizontal="left" vertical="center"/>
    </xf>
    <xf numFmtId="0" fontId="1" fillId="17" borderId="1" xfId="0" applyFont="1" applyFill="1" applyBorder="1" applyAlignment="1">
      <alignment horizontal="left" vertical="center"/>
    </xf>
    <xf numFmtId="3" fontId="8" fillId="13" borderId="4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BF623EE-DE73-4A8E-A05A-1661971DF5C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161a5b9-d819-4556-a322-04b63c691e5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6" width="14" customWidth="1"/>
    <col min="7" max="7" width="22" customWidth="1"/>
  </cols>
  <sheetData>
    <row r="1" spans="1:7" ht="44.05" customHeight="1" x14ac:dyDescent="0.55000000000000004">
      <c r="A1" s="84" t="s">
        <v>0</v>
      </c>
      <c r="B1" s="81"/>
      <c r="C1" s="81"/>
      <c r="D1" s="81"/>
      <c r="E1" s="81"/>
      <c r="F1" s="81"/>
      <c r="G1" s="82"/>
    </row>
    <row r="2" spans="1:7" ht="22" customHeight="1" x14ac:dyDescent="0.55000000000000004">
      <c r="A2" s="91" t="s">
        <v>1</v>
      </c>
      <c r="B2" s="81"/>
      <c r="C2" s="81"/>
      <c r="D2" s="81"/>
      <c r="E2" s="81"/>
      <c r="F2" s="81"/>
      <c r="G2" s="82"/>
    </row>
    <row r="3" spans="1:7" ht="54" customHeight="1" x14ac:dyDescent="0.55000000000000004">
      <c r="A3" s="89" t="s">
        <v>2</v>
      </c>
      <c r="B3" s="65"/>
      <c r="C3" s="65"/>
      <c r="D3" s="65"/>
      <c r="E3" s="65"/>
      <c r="F3" s="65"/>
      <c r="G3" s="62"/>
    </row>
    <row r="4" spans="1:7" ht="26.05" customHeight="1" x14ac:dyDescent="0.55000000000000004">
      <c r="A4" s="71" t="s">
        <v>3</v>
      </c>
      <c r="B4" s="65"/>
      <c r="C4" s="65"/>
      <c r="D4" s="65"/>
      <c r="E4" s="65"/>
      <c r="F4" s="65"/>
      <c r="G4" s="62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85" t="s">
        <v>4</v>
      </c>
      <c r="B6" s="81"/>
      <c r="C6" s="81"/>
      <c r="D6" s="81"/>
      <c r="E6" s="81"/>
      <c r="F6" s="81"/>
      <c r="G6" s="82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64" t="s">
        <v>8</v>
      </c>
      <c r="B8" s="65"/>
      <c r="C8" s="65"/>
      <c r="D8" s="62"/>
      <c r="E8" s="3" t="s">
        <v>9</v>
      </c>
      <c r="F8" s="67" t="s">
        <v>10</v>
      </c>
      <c r="G8" s="62"/>
    </row>
    <row r="9" spans="1:7" ht="28" customHeight="1" x14ac:dyDescent="0.55000000000000004">
      <c r="A9" s="64" t="s">
        <v>11</v>
      </c>
      <c r="B9" s="65"/>
      <c r="C9" s="65"/>
      <c r="D9" s="62"/>
      <c r="E9" s="3" t="s">
        <v>12</v>
      </c>
      <c r="F9" s="67" t="s">
        <v>13</v>
      </c>
      <c r="G9" s="62"/>
    </row>
    <row r="10" spans="1:7" ht="28" customHeight="1" x14ac:dyDescent="0.55000000000000004">
      <c r="A10" s="64" t="s">
        <v>14</v>
      </c>
      <c r="B10" s="65"/>
      <c r="C10" s="65"/>
      <c r="D10" s="62"/>
      <c r="E10" s="3" t="s">
        <v>9</v>
      </c>
      <c r="F10" s="67" t="s">
        <v>15</v>
      </c>
      <c r="G10" s="62"/>
    </row>
    <row r="11" spans="1:7" ht="28" customHeight="1" x14ac:dyDescent="0.55000000000000004">
      <c r="A11" s="68" t="s">
        <v>16</v>
      </c>
      <c r="B11" s="65"/>
      <c r="C11" s="65"/>
      <c r="D11" s="62"/>
      <c r="E11" s="3" t="s">
        <v>9</v>
      </c>
      <c r="F11" s="63" t="s">
        <v>17</v>
      </c>
      <c r="G11" s="62"/>
    </row>
    <row r="12" spans="1:7" ht="28" customHeight="1" x14ac:dyDescent="0.55000000000000004">
      <c r="A12" s="61" t="s">
        <v>18</v>
      </c>
      <c r="B12" s="65"/>
      <c r="C12" s="65"/>
      <c r="D12" s="62"/>
      <c r="E12" s="3" t="s">
        <v>9</v>
      </c>
      <c r="F12" s="74" t="s">
        <v>19</v>
      </c>
      <c r="G12" s="62"/>
    </row>
    <row r="13" spans="1:7" ht="28" customHeight="1" x14ac:dyDescent="0.55000000000000004">
      <c r="A13" s="68" t="s">
        <v>20</v>
      </c>
      <c r="B13" s="65"/>
      <c r="C13" s="65"/>
      <c r="D13" s="62"/>
      <c r="E13" s="3" t="s">
        <v>9</v>
      </c>
      <c r="F13" s="63" t="s">
        <v>21</v>
      </c>
      <c r="G13" s="62"/>
    </row>
    <row r="14" spans="1:7" ht="24" customHeight="1" x14ac:dyDescent="0.55000000000000004">
      <c r="A14" s="95" t="s">
        <v>22</v>
      </c>
      <c r="B14" s="65"/>
      <c r="C14" s="65"/>
      <c r="D14" s="62"/>
      <c r="E14" s="4" t="str">
        <f>IF(AND(E8="EVET",E9&lt;&gt;"",E10&lt;&gt;"HAYIR-Belge Eksik"),"OK - Hesaplanabilir","HATA - Ön koşul eksik")</f>
        <v>OK - Hesaplanabilir</v>
      </c>
      <c r="F14" s="92" t="s">
        <v>23</v>
      </c>
      <c r="G14" s="62"/>
    </row>
    <row r="15" spans="1:7" ht="5.05" customHeight="1" x14ac:dyDescent="0.55000000000000004">
      <c r="A15" s="1"/>
      <c r="B15" s="1"/>
      <c r="C15" s="1"/>
      <c r="D15" s="1"/>
      <c r="E15" s="1"/>
      <c r="F15" s="1"/>
      <c r="G15" s="1"/>
    </row>
    <row r="16" spans="1:7" ht="22" customHeight="1" x14ac:dyDescent="0.55000000000000004">
      <c r="A16" s="80" t="s">
        <v>24</v>
      </c>
      <c r="B16" s="81"/>
      <c r="C16" s="81"/>
      <c r="D16" s="81"/>
      <c r="E16" s="81"/>
      <c r="F16" s="81"/>
      <c r="G16" s="82"/>
    </row>
    <row r="17" spans="1:7" ht="22" customHeight="1" x14ac:dyDescent="0.55000000000000004">
      <c r="A17" s="68" t="s">
        <v>25</v>
      </c>
      <c r="B17" s="62"/>
      <c r="C17" s="70"/>
      <c r="D17" s="65"/>
      <c r="E17" s="62"/>
      <c r="F17" s="69" t="s">
        <v>26</v>
      </c>
      <c r="G17" s="62"/>
    </row>
    <row r="18" spans="1:7" ht="22" customHeight="1" x14ac:dyDescent="0.55000000000000004">
      <c r="A18" s="61" t="s">
        <v>27</v>
      </c>
      <c r="B18" s="62"/>
      <c r="C18" s="70"/>
      <c r="D18" s="65"/>
      <c r="E18" s="62"/>
      <c r="F18" s="77" t="s">
        <v>28</v>
      </c>
      <c r="G18" s="62"/>
    </row>
    <row r="19" spans="1:7" ht="22" customHeight="1" x14ac:dyDescent="0.55000000000000004">
      <c r="A19" s="68" t="s">
        <v>29</v>
      </c>
      <c r="B19" s="62"/>
      <c r="C19" s="70"/>
      <c r="D19" s="65"/>
      <c r="E19" s="62"/>
      <c r="F19" s="69" t="s">
        <v>30</v>
      </c>
      <c r="G19" s="62"/>
    </row>
    <row r="20" spans="1:7" ht="22" customHeight="1" x14ac:dyDescent="0.55000000000000004">
      <c r="A20" s="61" t="s">
        <v>31</v>
      </c>
      <c r="B20" s="62"/>
      <c r="C20" s="70"/>
      <c r="D20" s="65"/>
      <c r="E20" s="62"/>
      <c r="F20" s="77" t="s">
        <v>32</v>
      </c>
      <c r="G20" s="62"/>
    </row>
    <row r="21" spans="1:7" ht="22" customHeight="1" x14ac:dyDescent="0.55000000000000004">
      <c r="A21" s="68" t="s">
        <v>33</v>
      </c>
      <c r="B21" s="62"/>
      <c r="C21" s="70"/>
      <c r="D21" s="65"/>
      <c r="E21" s="62"/>
      <c r="F21" s="69" t="s">
        <v>34</v>
      </c>
      <c r="G21" s="62"/>
    </row>
    <row r="22" spans="1:7" ht="22" customHeight="1" x14ac:dyDescent="0.55000000000000004">
      <c r="A22" s="61" t="s">
        <v>35</v>
      </c>
      <c r="B22" s="62"/>
      <c r="C22" s="70"/>
      <c r="D22" s="65"/>
      <c r="E22" s="62"/>
      <c r="F22" s="77" t="s">
        <v>36</v>
      </c>
      <c r="G22" s="62"/>
    </row>
    <row r="23" spans="1:7" ht="22" customHeight="1" x14ac:dyDescent="0.55000000000000004">
      <c r="A23" s="68" t="s">
        <v>37</v>
      </c>
      <c r="B23" s="62"/>
      <c r="C23" s="70"/>
      <c r="D23" s="65"/>
      <c r="E23" s="62"/>
      <c r="F23" s="69" t="s">
        <v>38</v>
      </c>
      <c r="G23" s="62"/>
    </row>
    <row r="25" spans="1:7" ht="5.05" customHeight="1" x14ac:dyDescent="0.55000000000000004">
      <c r="A25" s="1"/>
      <c r="B25" s="1"/>
      <c r="C25" s="1"/>
      <c r="D25" s="1"/>
      <c r="E25" s="1"/>
      <c r="F25" s="1"/>
      <c r="G25" s="1"/>
    </row>
    <row r="26" spans="1:7" ht="26.05" customHeight="1" x14ac:dyDescent="0.55000000000000004">
      <c r="A26" s="80" t="s">
        <v>39</v>
      </c>
      <c r="B26" s="81"/>
      <c r="C26" s="81"/>
      <c r="D26" s="81"/>
      <c r="E26" s="81"/>
      <c r="F26" s="81"/>
      <c r="G26" s="82"/>
    </row>
    <row r="27" spans="1:7" ht="24" customHeight="1" x14ac:dyDescent="0.55000000000000004">
      <c r="A27" s="88" t="s">
        <v>40</v>
      </c>
      <c r="B27" s="65"/>
      <c r="C27" s="65"/>
      <c r="D27" s="65"/>
      <c r="E27" s="65"/>
      <c r="F27" s="65"/>
      <c r="G27" s="62"/>
    </row>
    <row r="28" spans="1:7" ht="18" customHeight="1" x14ac:dyDescent="0.55000000000000004">
      <c r="A28" s="5" t="s">
        <v>41</v>
      </c>
      <c r="B28" s="5" t="s">
        <v>42</v>
      </c>
      <c r="C28" s="5" t="s">
        <v>43</v>
      </c>
      <c r="D28" s="5" t="s">
        <v>44</v>
      </c>
      <c r="E28" s="5" t="s">
        <v>45</v>
      </c>
      <c r="F28" s="5" t="s">
        <v>46</v>
      </c>
      <c r="G28" s="5" t="s">
        <v>47</v>
      </c>
    </row>
    <row r="29" spans="1:7" ht="26.05" customHeight="1" x14ac:dyDescent="0.55000000000000004">
      <c r="A29" s="6"/>
      <c r="B29" s="7"/>
      <c r="C29" s="8"/>
      <c r="D29" s="8"/>
      <c r="E29" s="9">
        <f>IF(OR(C29&gt;0,D29&gt;0),C29+D29,0)</f>
        <v>0</v>
      </c>
      <c r="F29" s="10">
        <f>E29</f>
        <v>0</v>
      </c>
      <c r="G29" s="11"/>
    </row>
    <row r="30" spans="1:7" ht="26.05" customHeight="1" x14ac:dyDescent="0.55000000000000004">
      <c r="A30" s="6"/>
      <c r="B30" s="7"/>
      <c r="C30" s="8"/>
      <c r="D30" s="8"/>
      <c r="E30" s="12">
        <f>IF(OR(C30&gt;0,D30&gt;0),C30+D30,0)</f>
        <v>0</v>
      </c>
      <c r="F30" s="10">
        <f>E30</f>
        <v>0</v>
      </c>
      <c r="G30" s="11"/>
    </row>
    <row r="31" spans="1:7" ht="26.05" customHeight="1" x14ac:dyDescent="0.55000000000000004">
      <c r="A31" s="6"/>
      <c r="B31" s="7"/>
      <c r="C31" s="8"/>
      <c r="D31" s="8"/>
      <c r="E31" s="9">
        <f>IF(OR(C31&gt;0,D31&gt;0),C31+D31,0)</f>
        <v>0</v>
      </c>
      <c r="F31" s="10">
        <f>E31</f>
        <v>0</v>
      </c>
      <c r="G31" s="11"/>
    </row>
    <row r="32" spans="1:7" ht="26.05" customHeight="1" x14ac:dyDescent="0.55000000000000004">
      <c r="A32" s="6"/>
      <c r="B32" s="7"/>
      <c r="C32" s="8"/>
      <c r="D32" s="8"/>
      <c r="E32" s="12">
        <f>IF(OR(C32&gt;0,D32&gt;0),C32+D32,0)</f>
        <v>0</v>
      </c>
      <c r="F32" s="10">
        <f>E32</f>
        <v>0</v>
      </c>
      <c r="G32" s="11"/>
    </row>
    <row r="33" spans="1:7" ht="26.05" customHeight="1" x14ac:dyDescent="0.55000000000000004">
      <c r="A33" s="6"/>
      <c r="B33" s="7"/>
      <c r="C33" s="8"/>
      <c r="D33" s="8"/>
      <c r="E33" s="9">
        <f>IF(OR(C33&gt;0,D33&gt;0),C33+D33,0)</f>
        <v>0</v>
      </c>
      <c r="F33" s="10">
        <f>E33</f>
        <v>0</v>
      </c>
      <c r="G33" s="11"/>
    </row>
    <row r="34" spans="1:7" ht="28" customHeight="1" x14ac:dyDescent="0.55000000000000004">
      <c r="A34" s="79" t="s">
        <v>48</v>
      </c>
      <c r="B34" s="62"/>
      <c r="C34" s="13">
        <f>SUM(C29:C33)</f>
        <v>0</v>
      </c>
      <c r="D34" s="13">
        <f>SUM(D29:D33)</f>
        <v>0</v>
      </c>
      <c r="E34" s="14">
        <f>SUM(E29:E33)</f>
        <v>0</v>
      </c>
      <c r="F34" s="15">
        <f>SUM(F29:F33)</f>
        <v>0</v>
      </c>
      <c r="G34" s="73" t="s">
        <v>49</v>
      </c>
    </row>
    <row r="35" spans="1:7" ht="5.05" customHeight="1" x14ac:dyDescent="0.55000000000000004">
      <c r="A35" s="1"/>
      <c r="B35" s="1"/>
      <c r="C35" s="1"/>
      <c r="D35" s="1"/>
      <c r="E35" s="1"/>
      <c r="F35" s="1"/>
      <c r="G35" s="1"/>
    </row>
    <row r="36" spans="1:7" ht="26.05" customHeight="1" x14ac:dyDescent="0.55000000000000004">
      <c r="A36" s="80" t="s">
        <v>50</v>
      </c>
      <c r="B36" s="81"/>
      <c r="C36" s="81"/>
      <c r="D36" s="81"/>
      <c r="E36" s="81"/>
      <c r="F36" s="81"/>
      <c r="G36" s="82"/>
    </row>
    <row r="37" spans="1:7" ht="28" customHeight="1" x14ac:dyDescent="0.55000000000000004">
      <c r="A37" s="87" t="s">
        <v>51</v>
      </c>
      <c r="B37" s="65"/>
      <c r="C37" s="65"/>
      <c r="D37" s="65"/>
      <c r="E37" s="65"/>
      <c r="F37" s="65"/>
      <c r="G37" s="62"/>
    </row>
    <row r="38" spans="1:7" ht="18" customHeight="1" x14ac:dyDescent="0.55000000000000004">
      <c r="A38" s="5" t="s">
        <v>52</v>
      </c>
      <c r="B38" s="5" t="s">
        <v>53</v>
      </c>
      <c r="C38" s="5" t="s">
        <v>54</v>
      </c>
      <c r="D38" s="16" t="s">
        <v>55</v>
      </c>
      <c r="E38" s="16" t="s">
        <v>56</v>
      </c>
      <c r="F38" s="5" t="s">
        <v>46</v>
      </c>
      <c r="G38" s="5" t="s">
        <v>57</v>
      </c>
    </row>
    <row r="39" spans="1:7" ht="26.05" customHeight="1" x14ac:dyDescent="0.55000000000000004">
      <c r="A39" s="6"/>
      <c r="B39" s="7"/>
      <c r="C39" s="8"/>
      <c r="D39" s="17" t="s">
        <v>58</v>
      </c>
      <c r="E39" s="18" t="s">
        <v>59</v>
      </c>
      <c r="F39" s="19"/>
      <c r="G39" s="11"/>
    </row>
    <row r="40" spans="1:7" ht="26.05" customHeight="1" x14ac:dyDescent="0.55000000000000004">
      <c r="A40" s="6"/>
      <c r="B40" s="7"/>
      <c r="C40" s="8"/>
      <c r="D40" s="17" t="s">
        <v>58</v>
      </c>
      <c r="E40" s="18" t="s">
        <v>59</v>
      </c>
      <c r="F40" s="19"/>
      <c r="G40" s="11"/>
    </row>
    <row r="41" spans="1:7" ht="26.05" customHeight="1" x14ac:dyDescent="0.55000000000000004">
      <c r="A41" s="6"/>
      <c r="B41" s="7"/>
      <c r="C41" s="8"/>
      <c r="D41" s="17" t="s">
        <v>58</v>
      </c>
      <c r="E41" s="18" t="s">
        <v>59</v>
      </c>
      <c r="F41" s="19"/>
      <c r="G41" s="11"/>
    </row>
    <row r="42" spans="1:7" ht="26.05" customHeight="1" x14ac:dyDescent="0.55000000000000004">
      <c r="A42" s="6"/>
      <c r="B42" s="7"/>
      <c r="C42" s="8"/>
      <c r="D42" s="17" t="s">
        <v>58</v>
      </c>
      <c r="E42" s="18" t="s">
        <v>59</v>
      </c>
      <c r="F42" s="19"/>
      <c r="G42" s="11"/>
    </row>
    <row r="43" spans="1:7" ht="26.05" customHeight="1" x14ac:dyDescent="0.55000000000000004">
      <c r="A43" s="6"/>
      <c r="B43" s="7"/>
      <c r="C43" s="8"/>
      <c r="D43" s="17" t="s">
        <v>58</v>
      </c>
      <c r="E43" s="18" t="s">
        <v>59</v>
      </c>
      <c r="F43" s="19"/>
      <c r="G43" s="11"/>
    </row>
    <row r="44" spans="1:7" ht="28" customHeight="1" x14ac:dyDescent="0.55000000000000004">
      <c r="A44" s="79" t="s">
        <v>60</v>
      </c>
      <c r="B44" s="62"/>
      <c r="C44" s="13">
        <f>SUM(C39:C43)</f>
        <v>0</v>
      </c>
      <c r="D44" s="94" t="s">
        <v>61</v>
      </c>
      <c r="E44" s="62"/>
      <c r="F44" s="15">
        <f>SUM(F39:F43)</f>
        <v>0</v>
      </c>
      <c r="G44" s="73" t="s">
        <v>62</v>
      </c>
    </row>
    <row r="45" spans="1:7" ht="5.05" customHeight="1" x14ac:dyDescent="0.55000000000000004">
      <c r="A45" s="1"/>
      <c r="B45" s="1"/>
      <c r="C45" s="1"/>
      <c r="D45" s="1"/>
      <c r="E45" s="1"/>
      <c r="F45" s="1"/>
      <c r="G45" s="1"/>
    </row>
    <row r="46" spans="1:7" ht="24" customHeight="1" x14ac:dyDescent="0.55000000000000004">
      <c r="A46" s="80" t="s">
        <v>63</v>
      </c>
      <c r="B46" s="81"/>
      <c r="C46" s="81"/>
      <c r="D46" s="81"/>
      <c r="E46" s="81"/>
      <c r="F46" s="81"/>
      <c r="G46" s="82"/>
    </row>
    <row r="47" spans="1:7" ht="18" customHeight="1" x14ac:dyDescent="0.55000000000000004">
      <c r="A47" s="2"/>
      <c r="B47" s="2" t="s">
        <v>64</v>
      </c>
      <c r="C47" s="2"/>
      <c r="D47" s="2" t="s">
        <v>65</v>
      </c>
      <c r="E47" s="2"/>
      <c r="F47" s="2" t="s">
        <v>66</v>
      </c>
      <c r="G47" s="2" t="s">
        <v>67</v>
      </c>
    </row>
    <row r="48" spans="1:7" ht="28" customHeight="1" x14ac:dyDescent="0.55000000000000004">
      <c r="A48" s="61" t="s">
        <v>68</v>
      </c>
      <c r="B48" s="62"/>
      <c r="C48" s="20">
        <f>F34</f>
        <v>0</v>
      </c>
      <c r="D48" s="77" t="s">
        <v>69</v>
      </c>
      <c r="E48" s="62"/>
      <c r="F48" s="74"/>
      <c r="G48" s="62"/>
    </row>
    <row r="49" spans="1:7" ht="28" customHeight="1" x14ac:dyDescent="0.55000000000000004">
      <c r="A49" s="68" t="s">
        <v>70</v>
      </c>
      <c r="B49" s="62"/>
      <c r="C49" s="20">
        <f>F44</f>
        <v>0</v>
      </c>
      <c r="D49" s="69" t="s">
        <v>71</v>
      </c>
      <c r="E49" s="62"/>
      <c r="F49" s="63" t="s">
        <v>59</v>
      </c>
      <c r="G49" s="62"/>
    </row>
    <row r="50" spans="1:7" ht="28" customHeight="1" x14ac:dyDescent="0.55000000000000004">
      <c r="A50" s="83" t="s">
        <v>72</v>
      </c>
      <c r="B50" s="62"/>
      <c r="C50" s="21">
        <f>F34+F44</f>
        <v>0</v>
      </c>
      <c r="D50" s="93" t="s">
        <v>73</v>
      </c>
      <c r="E50" s="62"/>
      <c r="F50" s="78" t="s">
        <v>59</v>
      </c>
      <c r="G50" s="62"/>
    </row>
    <row r="51" spans="1:7" ht="28" customHeight="1" x14ac:dyDescent="0.55000000000000004">
      <c r="A51" s="72" t="s">
        <v>74</v>
      </c>
      <c r="B51" s="62"/>
      <c r="C51" s="22" t="s">
        <v>75</v>
      </c>
      <c r="D51" s="90" t="s">
        <v>76</v>
      </c>
      <c r="E51" s="62"/>
      <c r="F51" s="76" t="s">
        <v>77</v>
      </c>
      <c r="G51" s="62"/>
    </row>
    <row r="52" spans="1:7" ht="5.05" customHeight="1" x14ac:dyDescent="0.55000000000000004">
      <c r="A52" s="1"/>
      <c r="B52" s="1"/>
      <c r="C52" s="1"/>
      <c r="D52" s="1"/>
      <c r="E52" s="1"/>
      <c r="F52" s="1"/>
      <c r="G52" s="1"/>
    </row>
    <row r="53" spans="1:7" ht="32.049999999999997" customHeight="1" x14ac:dyDescent="0.55000000000000004">
      <c r="A53" s="66" t="s">
        <v>78</v>
      </c>
      <c r="B53" s="65"/>
      <c r="C53" s="65"/>
      <c r="D53" s="62"/>
      <c r="E53" s="23">
        <f>F34+F44</f>
        <v>0</v>
      </c>
      <c r="F53" s="75" t="s">
        <v>79</v>
      </c>
      <c r="G53" s="62"/>
    </row>
    <row r="54" spans="1:7" ht="30" customHeight="1" x14ac:dyDescent="0.55000000000000004">
      <c r="A54" s="86" t="s">
        <v>80</v>
      </c>
      <c r="B54" s="65"/>
      <c r="C54" s="65"/>
      <c r="D54" s="65"/>
      <c r="E54" s="65"/>
      <c r="F54" s="65"/>
      <c r="G54" s="62"/>
    </row>
  </sheetData>
  <mergeCells count="66">
    <mergeCell ref="D44:E44"/>
    <mergeCell ref="A14:D14"/>
    <mergeCell ref="A54:G54"/>
    <mergeCell ref="F13:G13"/>
    <mergeCell ref="A17:B17"/>
    <mergeCell ref="A23:B23"/>
    <mergeCell ref="F9:G9"/>
    <mergeCell ref="A22:B22"/>
    <mergeCell ref="A37:G37"/>
    <mergeCell ref="A46:G46"/>
    <mergeCell ref="A20:B20"/>
    <mergeCell ref="F48:G48"/>
    <mergeCell ref="A27:G27"/>
    <mergeCell ref="A12:D12"/>
    <mergeCell ref="A19:B19"/>
    <mergeCell ref="G34"/>
    <mergeCell ref="D51:E51"/>
    <mergeCell ref="A26:G26"/>
    <mergeCell ref="A50:B50"/>
    <mergeCell ref="A21:B21"/>
    <mergeCell ref="A1:G1"/>
    <mergeCell ref="C19:E19"/>
    <mergeCell ref="A6:G6"/>
    <mergeCell ref="F23:G23"/>
    <mergeCell ref="C18:E18"/>
    <mergeCell ref="A16:G16"/>
    <mergeCell ref="F22:G22"/>
    <mergeCell ref="A3:G3"/>
    <mergeCell ref="F49:G49"/>
    <mergeCell ref="A2:G2"/>
    <mergeCell ref="A44:B44"/>
    <mergeCell ref="F14:G14"/>
    <mergeCell ref="D50:E50"/>
    <mergeCell ref="C20:E20"/>
    <mergeCell ref="A4:G4"/>
    <mergeCell ref="A51:B51"/>
    <mergeCell ref="C21:E21"/>
    <mergeCell ref="A10:D10"/>
    <mergeCell ref="G44"/>
    <mergeCell ref="A13:D13"/>
    <mergeCell ref="F21:G21"/>
    <mergeCell ref="A9:D9"/>
    <mergeCell ref="F12:G12"/>
    <mergeCell ref="D49:E49"/>
    <mergeCell ref="C23:E23"/>
    <mergeCell ref="F51:G51"/>
    <mergeCell ref="F20:G20"/>
    <mergeCell ref="F18:G18"/>
    <mergeCell ref="C17:E17"/>
    <mergeCell ref="A11:D11"/>
    <mergeCell ref="A48:B48"/>
    <mergeCell ref="F11:G11"/>
    <mergeCell ref="A8:D8"/>
    <mergeCell ref="A53:D53"/>
    <mergeCell ref="F10:G10"/>
    <mergeCell ref="A49:B49"/>
    <mergeCell ref="F19:G19"/>
    <mergeCell ref="C22:E22"/>
    <mergeCell ref="F53:G53"/>
    <mergeCell ref="A18:B18"/>
    <mergeCell ref="D48:E48"/>
    <mergeCell ref="F50:G50"/>
    <mergeCell ref="F17:G17"/>
    <mergeCell ref="F8:G8"/>
    <mergeCell ref="A34:B34"/>
    <mergeCell ref="A36:G36"/>
  </mergeCells>
  <conditionalFormatting sqref="E14">
    <cfRule type="containsText" dxfId="3" priority="1" operator="containsText" text="OK">
      <formula>NOT(ISERROR(SEARCH("OK",E14)))</formula>
    </cfRule>
    <cfRule type="containsText" dxfId="2" priority="2" operator="containsText" text="HATA">
      <formula>NOT(ISERROR(SEARCH("HATA",E14)))</formula>
    </cfRule>
  </conditionalFormatting>
  <dataValidations count="6">
    <dataValidation type="list" sqref="E8" xr:uid="{00000000-0002-0000-0000-000000000000}">
      <formula1>"EVET,HAYIR-Kapsam Dışı"</formula1>
    </dataValidation>
    <dataValidation type="list" sqref="E9" xr:uid="{00000000-0002-0000-0000-000001000000}">
      <formula1>"Bağış/Yardım (Tamamı),Sponsorluk (Oran Uygulaması),Her İkisi"</formula1>
    </dataValidation>
    <dataValidation type="list" sqref="E10" xr:uid="{00000000-0002-0000-0000-000002000000}">
      <formula1>"EVET,HAYIR-Belge Eksik,Uygulanmaz-Sadece Sponsorluk"</formula1>
    </dataValidation>
    <dataValidation type="list" sqref="E11" xr:uid="{00000000-0002-0000-0000-000003000000}">
      <formula1>"EVET,HAYIR-Onay Yok,Uygulanmaz-Sadece Bağış"</formula1>
    </dataValidation>
    <dataValidation type="list" sqref="E12" xr:uid="{00000000-0002-0000-0000-000004000000}">
      <formula1>"EVET,HAYIR-Eksik"</formula1>
    </dataValidation>
    <dataValidation type="list" sqref="E13" xr:uid="{00000000-0002-0000-0000-000005000000}">
      <formula1>"EVET,Tam Tasdik"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07" t="s">
        <v>81</v>
      </c>
      <c r="B1" s="81"/>
      <c r="C1" s="81"/>
      <c r="D1" s="81"/>
      <c r="E1" s="81"/>
      <c r="F1" s="81"/>
      <c r="G1" s="82"/>
    </row>
    <row r="2" spans="1:7" ht="20.05" customHeight="1" x14ac:dyDescent="0.55000000000000004">
      <c r="A2" s="108" t="s">
        <v>82</v>
      </c>
      <c r="B2" s="65"/>
      <c r="C2" s="65"/>
      <c r="D2" s="65"/>
      <c r="E2" s="65"/>
      <c r="F2" s="65"/>
      <c r="G2" s="62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99" t="s">
        <v>83</v>
      </c>
      <c r="B4" s="81"/>
      <c r="C4" s="81"/>
      <c r="D4" s="81"/>
      <c r="E4" s="81"/>
      <c r="F4" s="81"/>
      <c r="G4" s="82"/>
    </row>
    <row r="5" spans="1:7" ht="22" customHeight="1" x14ac:dyDescent="0.55000000000000004">
      <c r="A5" s="103" t="s">
        <v>84</v>
      </c>
      <c r="B5" s="65"/>
      <c r="C5" s="62"/>
      <c r="D5" s="24" t="str">
        <f>'VERİ GİRİŞİ'!E14</f>
        <v>OK - Hesaplanabilir</v>
      </c>
      <c r="E5" s="63" t="s">
        <v>85</v>
      </c>
      <c r="F5" s="65"/>
      <c r="G5" s="62"/>
    </row>
    <row r="6" spans="1:7" ht="22" customHeight="1" x14ac:dyDescent="0.55000000000000004">
      <c r="A6" s="104" t="s">
        <v>86</v>
      </c>
      <c r="B6" s="65"/>
      <c r="C6" s="62"/>
      <c r="D6" s="24" t="str">
        <f>'VERİ GİRİŞİ'!E9</f>
        <v>Bağış/Yardım (Tamamı)</v>
      </c>
      <c r="E6" s="74" t="s">
        <v>87</v>
      </c>
      <c r="F6" s="65"/>
      <c r="G6" s="62"/>
    </row>
    <row r="7" spans="1:7" ht="22" customHeight="1" x14ac:dyDescent="0.55000000000000004">
      <c r="A7" s="103" t="s">
        <v>88</v>
      </c>
      <c r="B7" s="65"/>
      <c r="C7" s="62"/>
      <c r="D7" s="24">
        <f>'VERİ GİRİŞİ'!C48</f>
        <v>0</v>
      </c>
      <c r="E7" s="63" t="s">
        <v>89</v>
      </c>
      <c r="F7" s="65"/>
      <c r="G7" s="62"/>
    </row>
    <row r="8" spans="1:7" ht="22" customHeight="1" x14ac:dyDescent="0.55000000000000004">
      <c r="A8" s="104" t="s">
        <v>90</v>
      </c>
      <c r="B8" s="65"/>
      <c r="C8" s="62"/>
      <c r="D8" s="24">
        <f>'VERİ GİRİŞİ'!C49</f>
        <v>0</v>
      </c>
      <c r="E8" s="74" t="s">
        <v>91</v>
      </c>
      <c r="F8" s="65"/>
      <c r="G8" s="62"/>
    </row>
    <row r="9" spans="1:7" ht="22" customHeight="1" x14ac:dyDescent="0.55000000000000004">
      <c r="A9" s="95" t="s">
        <v>92</v>
      </c>
      <c r="B9" s="65"/>
      <c r="C9" s="62"/>
      <c r="D9" s="25">
        <f>'VERİ GİRİŞİ'!C50</f>
        <v>0</v>
      </c>
      <c r="E9" s="116">
        <f>D7+D8</f>
        <v>0</v>
      </c>
      <c r="F9" s="65"/>
      <c r="G9" s="62"/>
    </row>
    <row r="10" spans="1:7" ht="22" customHeight="1" x14ac:dyDescent="0.55000000000000004">
      <c r="A10" s="106" t="s">
        <v>93</v>
      </c>
      <c r="B10" s="65"/>
      <c r="C10" s="62"/>
      <c r="D10" s="22" t="s">
        <v>94</v>
      </c>
      <c r="E10" s="76" t="s">
        <v>95</v>
      </c>
      <c r="F10" s="65"/>
      <c r="G10" s="62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80" t="s">
        <v>96</v>
      </c>
      <c r="B12" s="81"/>
      <c r="C12" s="81"/>
      <c r="D12" s="81"/>
      <c r="E12" s="81"/>
      <c r="F12" s="81"/>
      <c r="G12" s="82"/>
    </row>
    <row r="13" spans="1:7" ht="76" customHeight="1" x14ac:dyDescent="0.55000000000000004">
      <c r="A13" s="102" t="s">
        <v>97</v>
      </c>
      <c r="B13" s="65"/>
      <c r="C13" s="65"/>
      <c r="D13" s="65"/>
      <c r="E13" s="65"/>
      <c r="F13" s="65"/>
      <c r="G13" s="62"/>
    </row>
    <row r="14" spans="1:7" ht="5.05" customHeight="1" x14ac:dyDescent="0.55000000000000004">
      <c r="A14" s="1"/>
      <c r="B14" s="1"/>
      <c r="C14" s="1"/>
      <c r="D14" s="1"/>
      <c r="E14" s="1"/>
      <c r="F14" s="1"/>
      <c r="G14" s="1"/>
    </row>
    <row r="15" spans="1:7" ht="22" customHeight="1" x14ac:dyDescent="0.55000000000000004">
      <c r="A15" s="80" t="s">
        <v>98</v>
      </c>
      <c r="B15" s="81"/>
      <c r="C15" s="81"/>
      <c r="D15" s="81"/>
      <c r="E15" s="81"/>
      <c r="F15" s="81"/>
      <c r="G15" s="82"/>
    </row>
    <row r="16" spans="1:7" ht="18" customHeight="1" x14ac:dyDescent="0.55000000000000004">
      <c r="A16" s="2"/>
      <c r="B16" s="2" t="s">
        <v>99</v>
      </c>
      <c r="C16" s="2"/>
      <c r="D16" s="2" t="s">
        <v>66</v>
      </c>
      <c r="E16" s="2"/>
      <c r="F16" s="2" t="s">
        <v>100</v>
      </c>
      <c r="G16" s="2"/>
    </row>
    <row r="17" spans="1:7" ht="20.05" customHeight="1" x14ac:dyDescent="0.55000000000000004">
      <c r="A17" s="26" t="s">
        <v>101</v>
      </c>
      <c r="B17" s="101" t="s">
        <v>102</v>
      </c>
      <c r="C17" s="62"/>
      <c r="D17" s="98" t="s">
        <v>103</v>
      </c>
      <c r="E17" s="62"/>
      <c r="F17" s="11" t="s">
        <v>104</v>
      </c>
      <c r="G17" s="29"/>
    </row>
    <row r="18" spans="1:7" ht="20.05" customHeight="1" x14ac:dyDescent="0.55000000000000004">
      <c r="A18" s="26" t="s">
        <v>105</v>
      </c>
      <c r="B18" s="101" t="s">
        <v>106</v>
      </c>
      <c r="C18" s="62"/>
      <c r="D18" s="98" t="s">
        <v>107</v>
      </c>
      <c r="E18" s="62"/>
      <c r="F18" s="11" t="s">
        <v>104</v>
      </c>
      <c r="G18" s="30"/>
    </row>
    <row r="19" spans="1:7" ht="20.05" customHeight="1" x14ac:dyDescent="0.55000000000000004">
      <c r="A19" s="26" t="s">
        <v>108</v>
      </c>
      <c r="B19" s="101" t="s">
        <v>109</v>
      </c>
      <c r="C19" s="62"/>
      <c r="D19" s="98" t="s">
        <v>110</v>
      </c>
      <c r="E19" s="62"/>
      <c r="F19" s="11" t="s">
        <v>104</v>
      </c>
      <c r="G19" s="29"/>
    </row>
    <row r="20" spans="1:7" ht="20.05" customHeight="1" x14ac:dyDescent="0.55000000000000004">
      <c r="A20" s="26" t="s">
        <v>111</v>
      </c>
      <c r="B20" s="100" t="s">
        <v>112</v>
      </c>
      <c r="C20" s="62"/>
      <c r="D20" s="96" t="s">
        <v>113</v>
      </c>
      <c r="E20" s="62"/>
      <c r="F20" s="11" t="s">
        <v>104</v>
      </c>
      <c r="G20" s="30"/>
    </row>
    <row r="21" spans="1:7" ht="20.05" customHeight="1" x14ac:dyDescent="0.55000000000000004">
      <c r="A21" s="26" t="s">
        <v>114</v>
      </c>
      <c r="B21" s="101" t="s">
        <v>115</v>
      </c>
      <c r="C21" s="62"/>
      <c r="D21" s="98" t="s">
        <v>116</v>
      </c>
      <c r="E21" s="62"/>
      <c r="F21" s="11" t="s">
        <v>104</v>
      </c>
      <c r="G21" s="29"/>
    </row>
    <row r="22" spans="1:7" ht="20.05" customHeight="1" x14ac:dyDescent="0.55000000000000004">
      <c r="A22" s="26" t="s">
        <v>117</v>
      </c>
      <c r="B22" s="100" t="s">
        <v>118</v>
      </c>
      <c r="C22" s="62"/>
      <c r="D22" s="96" t="s">
        <v>119</v>
      </c>
      <c r="E22" s="62"/>
      <c r="F22" s="11" t="s">
        <v>104</v>
      </c>
      <c r="G22" s="30"/>
    </row>
    <row r="23" spans="1:7" ht="20.05" customHeight="1" x14ac:dyDescent="0.55000000000000004">
      <c r="A23" s="26" t="s">
        <v>120</v>
      </c>
      <c r="B23" s="97" t="s">
        <v>121</v>
      </c>
      <c r="C23" s="62"/>
      <c r="D23" s="105" t="s">
        <v>122</v>
      </c>
      <c r="E23" s="62"/>
      <c r="F23" s="11" t="s">
        <v>104</v>
      </c>
      <c r="G23" s="29"/>
    </row>
    <row r="24" spans="1:7" ht="20.05" customHeight="1" x14ac:dyDescent="0.55000000000000004">
      <c r="A24" s="26" t="s">
        <v>123</v>
      </c>
      <c r="B24" s="101" t="s">
        <v>124</v>
      </c>
      <c r="C24" s="62"/>
      <c r="D24" s="98" t="s">
        <v>125</v>
      </c>
      <c r="E24" s="62"/>
      <c r="F24" s="11" t="s">
        <v>104</v>
      </c>
      <c r="G24" s="30"/>
    </row>
    <row r="25" spans="1:7" ht="20.05" customHeight="1" x14ac:dyDescent="0.55000000000000004">
      <c r="A25" s="26" t="s">
        <v>126</v>
      </c>
      <c r="B25" s="97" t="s">
        <v>127</v>
      </c>
      <c r="C25" s="62"/>
      <c r="D25" s="105" t="s">
        <v>128</v>
      </c>
      <c r="E25" s="62"/>
      <c r="F25" s="11" t="s">
        <v>104</v>
      </c>
      <c r="G25" s="29"/>
    </row>
    <row r="26" spans="1:7" ht="20.05" customHeight="1" x14ac:dyDescent="0.55000000000000004">
      <c r="A26" s="26" t="s">
        <v>129</v>
      </c>
      <c r="B26" s="100" t="s">
        <v>130</v>
      </c>
      <c r="C26" s="62"/>
      <c r="D26" s="96" t="s">
        <v>131</v>
      </c>
      <c r="E26" s="62"/>
      <c r="F26" s="11" t="s">
        <v>104</v>
      </c>
      <c r="G26" s="30"/>
    </row>
    <row r="27" spans="1:7" ht="20.05" customHeight="1" x14ac:dyDescent="0.55000000000000004">
      <c r="A27" s="26" t="s">
        <v>132</v>
      </c>
      <c r="B27" s="97" t="s">
        <v>133</v>
      </c>
      <c r="C27" s="62"/>
      <c r="D27" s="105" t="s">
        <v>21</v>
      </c>
      <c r="E27" s="62"/>
      <c r="F27" s="11" t="s">
        <v>104</v>
      </c>
      <c r="G27" s="29"/>
    </row>
  </sheetData>
  <mergeCells count="40">
    <mergeCell ref="A1:G1"/>
    <mergeCell ref="B19:C19"/>
    <mergeCell ref="A9:C9"/>
    <mergeCell ref="D18:E18"/>
    <mergeCell ref="D25:E25"/>
    <mergeCell ref="B24:C24"/>
    <mergeCell ref="D24:E24"/>
    <mergeCell ref="E5:G5"/>
    <mergeCell ref="B20:C20"/>
    <mergeCell ref="A6:C6"/>
    <mergeCell ref="E8:G8"/>
    <mergeCell ref="A12:G12"/>
    <mergeCell ref="D23:E23"/>
    <mergeCell ref="A2:G2"/>
    <mergeCell ref="A7:C7"/>
    <mergeCell ref="B27:C27"/>
    <mergeCell ref="E6:G6"/>
    <mergeCell ref="D21:E21"/>
    <mergeCell ref="A13:G13"/>
    <mergeCell ref="B21:C21"/>
    <mergeCell ref="A8:C8"/>
    <mergeCell ref="D27:E27"/>
    <mergeCell ref="B23:C23"/>
    <mergeCell ref="A15:G15"/>
    <mergeCell ref="B17:C17"/>
    <mergeCell ref="D17:E17"/>
    <mergeCell ref="E7:G7"/>
    <mergeCell ref="A10:C10"/>
    <mergeCell ref="B26:C26"/>
    <mergeCell ref="D26:E26"/>
    <mergeCell ref="D20:E20"/>
    <mergeCell ref="E10:G10"/>
    <mergeCell ref="B25:C25"/>
    <mergeCell ref="D19:E19"/>
    <mergeCell ref="A4:G4"/>
    <mergeCell ref="B22:C22"/>
    <mergeCell ref="E9:G9"/>
    <mergeCell ref="D22:E22"/>
    <mergeCell ref="B18:C18"/>
    <mergeCell ref="A5:C5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80" t="s">
        <v>134</v>
      </c>
      <c r="B1" s="81"/>
      <c r="C1" s="81"/>
      <c r="D1" s="81"/>
      <c r="E1" s="81"/>
      <c r="F1" s="81"/>
      <c r="G1" s="82"/>
    </row>
    <row r="2" spans="1:7" ht="22" customHeight="1" x14ac:dyDescent="0.55000000000000004">
      <c r="A2" s="110" t="s">
        <v>135</v>
      </c>
      <c r="B2" s="65"/>
      <c r="C2" s="65"/>
      <c r="D2" s="65"/>
      <c r="E2" s="65"/>
      <c r="F2" s="65"/>
      <c r="G2" s="62"/>
    </row>
    <row r="3" spans="1:7" ht="18" customHeight="1" x14ac:dyDescent="0.55000000000000004">
      <c r="A3" s="33"/>
      <c r="B3" s="33" t="s">
        <v>52</v>
      </c>
      <c r="C3" s="33" t="s">
        <v>136</v>
      </c>
      <c r="D3" s="33" t="s">
        <v>67</v>
      </c>
      <c r="E3" s="33" t="s">
        <v>137</v>
      </c>
      <c r="F3" s="33" t="s">
        <v>138</v>
      </c>
      <c r="G3" s="33" t="s">
        <v>139</v>
      </c>
    </row>
    <row r="4" spans="1:7" ht="22" customHeight="1" x14ac:dyDescent="0.55000000000000004">
      <c r="A4" s="34" t="s">
        <v>137</v>
      </c>
      <c r="B4" s="34" t="s">
        <v>140</v>
      </c>
      <c r="C4" s="34" t="s">
        <v>141</v>
      </c>
      <c r="D4" s="34" t="s">
        <v>142</v>
      </c>
      <c r="E4" s="34" t="s">
        <v>143</v>
      </c>
      <c r="F4" s="34" t="s">
        <v>144</v>
      </c>
      <c r="G4" s="34" t="s">
        <v>145</v>
      </c>
    </row>
    <row r="5" spans="1:7" ht="22" customHeight="1" x14ac:dyDescent="0.55000000000000004">
      <c r="A5" s="112" t="s">
        <v>146</v>
      </c>
      <c r="B5" s="65"/>
      <c r="C5" s="65"/>
      <c r="D5" s="65"/>
      <c r="E5" s="65"/>
      <c r="F5" s="65"/>
      <c r="G5" s="62"/>
    </row>
    <row r="6" spans="1:7" ht="18" customHeight="1" x14ac:dyDescent="0.55000000000000004">
      <c r="A6" s="33"/>
      <c r="B6" s="33" t="s">
        <v>52</v>
      </c>
      <c r="C6" s="33" t="s">
        <v>136</v>
      </c>
      <c r="D6" s="33" t="s">
        <v>67</v>
      </c>
      <c r="E6" s="33" t="s">
        <v>137</v>
      </c>
      <c r="F6" s="33" t="s">
        <v>138</v>
      </c>
      <c r="G6" s="33" t="s">
        <v>139</v>
      </c>
    </row>
    <row r="7" spans="1:7" ht="22" customHeight="1" x14ac:dyDescent="0.55000000000000004">
      <c r="A7" s="34" t="s">
        <v>137</v>
      </c>
      <c r="B7" s="34" t="s">
        <v>140</v>
      </c>
      <c r="C7" s="34" t="s">
        <v>147</v>
      </c>
      <c r="D7" s="34" t="s">
        <v>148</v>
      </c>
      <c r="E7" s="34" t="s">
        <v>143</v>
      </c>
      <c r="F7" s="34" t="s">
        <v>144</v>
      </c>
      <c r="G7" s="34" t="s">
        <v>149</v>
      </c>
    </row>
    <row r="8" spans="1:7" ht="22" customHeight="1" x14ac:dyDescent="0.55000000000000004">
      <c r="A8" s="109" t="s">
        <v>150</v>
      </c>
      <c r="B8" s="65"/>
      <c r="C8" s="65"/>
      <c r="D8" s="65"/>
      <c r="E8" s="65"/>
      <c r="F8" s="65"/>
      <c r="G8" s="62"/>
    </row>
    <row r="9" spans="1:7" ht="18" customHeight="1" x14ac:dyDescent="0.55000000000000004">
      <c r="A9" s="33"/>
      <c r="B9" s="33" t="s">
        <v>52</v>
      </c>
      <c r="C9" s="33" t="s">
        <v>136</v>
      </c>
      <c r="D9" s="33" t="s">
        <v>67</v>
      </c>
      <c r="E9" s="33" t="s">
        <v>137</v>
      </c>
      <c r="F9" s="33" t="s">
        <v>138</v>
      </c>
      <c r="G9" s="33" t="s">
        <v>139</v>
      </c>
    </row>
    <row r="10" spans="1:7" ht="22" customHeight="1" x14ac:dyDescent="0.55000000000000004">
      <c r="A10" s="34" t="s">
        <v>137</v>
      </c>
      <c r="B10" s="34" t="s">
        <v>151</v>
      </c>
      <c r="C10" s="34" t="s">
        <v>152</v>
      </c>
      <c r="D10" s="34" t="s">
        <v>153</v>
      </c>
      <c r="E10" s="34" t="s">
        <v>154</v>
      </c>
      <c r="F10" s="34" t="s">
        <v>144</v>
      </c>
      <c r="G10" s="34" t="s">
        <v>155</v>
      </c>
    </row>
    <row r="11" spans="1:7" ht="36" customHeight="1" x14ac:dyDescent="0.55000000000000004">
      <c r="A11" s="111" t="s">
        <v>156</v>
      </c>
      <c r="B11" s="65"/>
      <c r="C11" s="65"/>
      <c r="D11" s="65"/>
      <c r="E11" s="65"/>
      <c r="F11" s="65"/>
      <c r="G11" s="62"/>
    </row>
  </sheetData>
  <mergeCells count="5">
    <mergeCell ref="A1:G1"/>
    <mergeCell ref="A8:G8"/>
    <mergeCell ref="A2:G2"/>
    <mergeCell ref="A11:G1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80" t="s">
        <v>157</v>
      </c>
      <c r="B1" s="81"/>
      <c r="C1" s="81"/>
      <c r="D1" s="81"/>
      <c r="E1" s="81"/>
      <c r="F1" s="81"/>
      <c r="G1" s="82"/>
    </row>
    <row r="2" spans="1:7" ht="20.05" customHeight="1" x14ac:dyDescent="0.55000000000000004">
      <c r="A2" s="91" t="s">
        <v>158</v>
      </c>
      <c r="B2" s="81"/>
      <c r="C2" s="81"/>
      <c r="D2" s="81"/>
      <c r="E2" s="81"/>
      <c r="F2" s="81"/>
      <c r="G2" s="82"/>
    </row>
    <row r="3" spans="1:7" ht="18" customHeight="1" x14ac:dyDescent="0.55000000000000004">
      <c r="A3" s="33" t="s">
        <v>159</v>
      </c>
      <c r="B3" s="33" t="s">
        <v>160</v>
      </c>
      <c r="C3" s="33" t="s">
        <v>161</v>
      </c>
      <c r="D3" s="33" t="s">
        <v>162</v>
      </c>
    </row>
    <row r="4" spans="1:7" ht="64" customHeight="1" x14ac:dyDescent="0.55000000000000004">
      <c r="A4" s="26" t="s">
        <v>163</v>
      </c>
      <c r="B4" s="31" t="s">
        <v>164</v>
      </c>
      <c r="C4" s="35" t="s">
        <v>165</v>
      </c>
      <c r="D4" s="36" t="s">
        <v>166</v>
      </c>
    </row>
    <row r="5" spans="1:7" ht="60" customHeight="1" x14ac:dyDescent="0.55000000000000004">
      <c r="A5" s="37" t="s">
        <v>167</v>
      </c>
      <c r="B5" s="27" t="s">
        <v>168</v>
      </c>
      <c r="C5" s="28" t="s">
        <v>169</v>
      </c>
      <c r="D5" s="38" t="s">
        <v>170</v>
      </c>
    </row>
    <row r="6" spans="1:7" ht="52" customHeight="1" x14ac:dyDescent="0.55000000000000004">
      <c r="A6" s="26" t="s">
        <v>171</v>
      </c>
      <c r="B6" s="31" t="s">
        <v>172</v>
      </c>
      <c r="C6" s="35" t="s">
        <v>173</v>
      </c>
      <c r="D6" s="36" t="s">
        <v>174</v>
      </c>
    </row>
    <row r="7" spans="1:7" ht="48" customHeight="1" x14ac:dyDescent="0.55000000000000004">
      <c r="A7" s="26" t="s">
        <v>175</v>
      </c>
      <c r="B7" s="31" t="s">
        <v>176</v>
      </c>
      <c r="C7" s="35" t="s">
        <v>177</v>
      </c>
      <c r="D7" s="36" t="s">
        <v>178</v>
      </c>
    </row>
    <row r="8" spans="1:7" ht="60" customHeight="1" x14ac:dyDescent="0.55000000000000004">
      <c r="A8" s="26" t="s">
        <v>179</v>
      </c>
      <c r="B8" s="32" t="s">
        <v>180</v>
      </c>
      <c r="C8" s="35" t="s">
        <v>181</v>
      </c>
      <c r="D8" s="39" t="s">
        <v>182</v>
      </c>
    </row>
    <row r="9" spans="1:7" ht="36" customHeight="1" x14ac:dyDescent="0.55000000000000004">
      <c r="A9" s="113" t="s">
        <v>183</v>
      </c>
      <c r="B9" s="65"/>
      <c r="C9" s="65"/>
      <c r="D9" s="62"/>
      <c r="E9" s="40"/>
      <c r="F9" s="40"/>
      <c r="G9" s="40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4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80" t="s">
        <v>184</v>
      </c>
      <c r="B1" s="81"/>
      <c r="C1" s="81"/>
      <c r="D1" s="81"/>
      <c r="E1" s="81"/>
      <c r="F1" s="81"/>
      <c r="G1" s="82"/>
    </row>
    <row r="2" spans="1:7" ht="20.05" customHeight="1" x14ac:dyDescent="0.55000000000000004">
      <c r="A2" s="91" t="s">
        <v>185</v>
      </c>
      <c r="B2" s="81"/>
      <c r="C2" s="81"/>
      <c r="D2" s="81"/>
      <c r="E2" s="81"/>
      <c r="F2" s="81"/>
      <c r="G2" s="82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15" t="s">
        <v>186</v>
      </c>
      <c r="B4" s="81"/>
      <c r="C4" s="81"/>
      <c r="D4" s="81"/>
      <c r="E4" s="81"/>
      <c r="F4" s="81"/>
      <c r="G4" s="82"/>
    </row>
    <row r="5" spans="1:7" ht="18" customHeight="1" x14ac:dyDescent="0.55000000000000004">
      <c r="A5" s="33"/>
      <c r="B5" s="33" t="s">
        <v>187</v>
      </c>
      <c r="C5" s="33" t="s">
        <v>188</v>
      </c>
      <c r="D5" s="33" t="s">
        <v>66</v>
      </c>
      <c r="E5" s="33" t="s">
        <v>189</v>
      </c>
      <c r="F5" s="33"/>
    </row>
    <row r="6" spans="1:7" ht="36" customHeight="1" x14ac:dyDescent="0.55000000000000004">
      <c r="A6" s="41"/>
      <c r="B6" s="42" t="s">
        <v>190</v>
      </c>
      <c r="C6" s="43" t="s">
        <v>191</v>
      </c>
      <c r="D6" s="44" t="s">
        <v>192</v>
      </c>
      <c r="E6" s="45" t="s">
        <v>193</v>
      </c>
      <c r="F6" s="41"/>
    </row>
    <row r="7" spans="1:7" ht="36" customHeight="1" x14ac:dyDescent="0.55000000000000004">
      <c r="A7" s="29"/>
      <c r="B7" s="46" t="s">
        <v>194</v>
      </c>
      <c r="C7" s="47" t="s">
        <v>195</v>
      </c>
      <c r="D7" s="44" t="s">
        <v>196</v>
      </c>
      <c r="E7" s="48" t="s">
        <v>197</v>
      </c>
      <c r="F7" s="29"/>
    </row>
    <row r="8" spans="1:7" ht="36" customHeight="1" x14ac:dyDescent="0.55000000000000004">
      <c r="A8" s="41"/>
      <c r="B8" s="42" t="s">
        <v>198</v>
      </c>
      <c r="C8" s="43" t="s">
        <v>199</v>
      </c>
      <c r="D8" s="44" t="s">
        <v>200</v>
      </c>
      <c r="E8" s="45" t="s">
        <v>193</v>
      </c>
      <c r="F8" s="41"/>
    </row>
    <row r="9" spans="1:7" ht="36" customHeight="1" x14ac:dyDescent="0.55000000000000004">
      <c r="A9" s="29"/>
      <c r="B9" s="46" t="s">
        <v>201</v>
      </c>
      <c r="C9" s="32" t="s">
        <v>202</v>
      </c>
      <c r="D9" s="44" t="s">
        <v>203</v>
      </c>
      <c r="E9" s="48" t="s">
        <v>204</v>
      </c>
      <c r="F9" s="29"/>
    </row>
    <row r="10" spans="1:7" ht="36" customHeight="1" x14ac:dyDescent="0.55000000000000004">
      <c r="A10" s="41"/>
      <c r="B10" s="42" t="s">
        <v>205</v>
      </c>
      <c r="C10" s="49" t="s">
        <v>206</v>
      </c>
      <c r="D10" s="44" t="s">
        <v>207</v>
      </c>
      <c r="E10" s="45" t="s">
        <v>208</v>
      </c>
      <c r="F10" s="41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114" t="s">
        <v>209</v>
      </c>
      <c r="B12" s="81"/>
      <c r="C12" s="81"/>
      <c r="D12" s="81"/>
      <c r="E12" s="81"/>
      <c r="F12" s="81"/>
      <c r="G12" s="82"/>
    </row>
    <row r="13" spans="1:7" ht="18" customHeight="1" x14ac:dyDescent="0.55000000000000004">
      <c r="A13" s="50"/>
      <c r="B13" s="50" t="s">
        <v>187</v>
      </c>
      <c r="C13" s="50" t="s">
        <v>5</v>
      </c>
      <c r="D13" s="50" t="s">
        <v>210</v>
      </c>
      <c r="E13" s="50" t="s">
        <v>211</v>
      </c>
      <c r="F13" s="50"/>
    </row>
    <row r="14" spans="1:7" ht="28" customHeight="1" x14ac:dyDescent="0.55000000000000004">
      <c r="A14" s="51"/>
      <c r="B14" s="52" t="s">
        <v>212</v>
      </c>
      <c r="C14" s="53" t="s">
        <v>102</v>
      </c>
      <c r="D14" s="54" t="s">
        <v>213</v>
      </c>
      <c r="E14" s="55" t="s">
        <v>214</v>
      </c>
      <c r="F14" s="51"/>
    </row>
    <row r="15" spans="1:7" ht="28" customHeight="1" x14ac:dyDescent="0.55000000000000004">
      <c r="A15" s="51"/>
      <c r="B15" s="52" t="s">
        <v>215</v>
      </c>
      <c r="C15" s="53" t="s">
        <v>216</v>
      </c>
      <c r="D15" s="54" t="s">
        <v>217</v>
      </c>
      <c r="E15" s="55" t="s">
        <v>214</v>
      </c>
      <c r="F15" s="51"/>
    </row>
    <row r="16" spans="1:7" ht="28" customHeight="1" x14ac:dyDescent="0.55000000000000004">
      <c r="A16" s="51"/>
      <c r="B16" s="52" t="s">
        <v>218</v>
      </c>
      <c r="C16" s="53" t="s">
        <v>219</v>
      </c>
      <c r="D16" s="54" t="s">
        <v>220</v>
      </c>
      <c r="E16" s="55" t="s">
        <v>214</v>
      </c>
      <c r="F16" s="51"/>
    </row>
    <row r="17" spans="1:7" ht="28" customHeight="1" x14ac:dyDescent="0.55000000000000004">
      <c r="A17" s="56"/>
      <c r="B17" s="57" t="s">
        <v>221</v>
      </c>
      <c r="C17" s="58" t="s">
        <v>222</v>
      </c>
      <c r="D17" s="59" t="s">
        <v>113</v>
      </c>
      <c r="E17" s="60" t="s">
        <v>214</v>
      </c>
      <c r="F17" s="56"/>
    </row>
    <row r="18" spans="1:7" ht="28" customHeight="1" x14ac:dyDescent="0.55000000000000004">
      <c r="A18" s="51"/>
      <c r="B18" s="52" t="s">
        <v>223</v>
      </c>
      <c r="C18" s="53" t="s">
        <v>224</v>
      </c>
      <c r="D18" s="54" t="s">
        <v>116</v>
      </c>
      <c r="E18" s="55" t="s">
        <v>214</v>
      </c>
      <c r="F18" s="51"/>
    </row>
    <row r="19" spans="1:7" ht="28" customHeight="1" x14ac:dyDescent="0.55000000000000004">
      <c r="A19" s="51"/>
      <c r="B19" s="52" t="s">
        <v>225</v>
      </c>
      <c r="C19" s="53" t="s">
        <v>226</v>
      </c>
      <c r="D19" s="54" t="s">
        <v>125</v>
      </c>
      <c r="E19" s="55" t="s">
        <v>214</v>
      </c>
      <c r="F19" s="51"/>
    </row>
    <row r="20" spans="1:7" ht="28" customHeight="1" x14ac:dyDescent="0.55000000000000004">
      <c r="A20" s="56"/>
      <c r="B20" s="57" t="s">
        <v>227</v>
      </c>
      <c r="C20" s="58" t="s">
        <v>228</v>
      </c>
      <c r="D20" s="59" t="s">
        <v>128</v>
      </c>
      <c r="E20" s="60" t="s">
        <v>214</v>
      </c>
      <c r="F20" s="56"/>
    </row>
    <row r="21" spans="1:7" ht="28" customHeight="1" x14ac:dyDescent="0.55000000000000004">
      <c r="A21" s="56"/>
      <c r="B21" s="57" t="s">
        <v>229</v>
      </c>
      <c r="C21" s="58" t="s">
        <v>230</v>
      </c>
      <c r="D21" s="59" t="s">
        <v>131</v>
      </c>
      <c r="E21" s="60" t="s">
        <v>214</v>
      </c>
      <c r="F21" s="56"/>
    </row>
    <row r="22" spans="1:7" ht="28" customHeight="1" x14ac:dyDescent="0.55000000000000004">
      <c r="A22" s="56"/>
      <c r="B22" s="57" t="s">
        <v>231</v>
      </c>
      <c r="C22" s="58" t="s">
        <v>232</v>
      </c>
      <c r="D22" s="59" t="s">
        <v>233</v>
      </c>
      <c r="E22" s="60" t="s">
        <v>214</v>
      </c>
      <c r="F22" s="56"/>
    </row>
    <row r="23" spans="1:7" ht="5.05" customHeight="1" x14ac:dyDescent="0.55000000000000004">
      <c r="A23" s="1"/>
      <c r="B23" s="1"/>
      <c r="C23" s="1"/>
      <c r="D23" s="1"/>
      <c r="E23" s="1"/>
      <c r="F23" s="1"/>
      <c r="G23" s="1"/>
    </row>
    <row r="24" spans="1:7" ht="52" customHeight="1" x14ac:dyDescent="0.55000000000000004">
      <c r="A24" s="113" t="s">
        <v>234</v>
      </c>
      <c r="B24" s="65"/>
      <c r="C24" s="65"/>
      <c r="D24" s="65"/>
      <c r="E24" s="65"/>
      <c r="F24" s="62"/>
      <c r="G24" s="40"/>
    </row>
  </sheetData>
  <mergeCells count="5">
    <mergeCell ref="A24:F24"/>
    <mergeCell ref="A1:G1"/>
    <mergeCell ref="A12:G12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2026-04-07T09:19:05Z</dcterms:created>
  <dcterms:modified xsi:type="dcterms:W3CDTF">2026-04-07T09:25:17Z</dcterms:modified>
</cp:coreProperties>
</file>