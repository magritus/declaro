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8_{F8EF77CB-5661-451C-B76B-829636E29508}"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 i="1" l="1"/>
  <c r="D9" i="2"/>
  <c r="D8" i="2"/>
  <c r="D7" i="2"/>
  <c r="D6" i="2"/>
  <c r="C55" i="1"/>
  <c r="D50" i="1"/>
  <c r="C50" i="1"/>
  <c r="C54" i="1" s="1"/>
  <c r="E49" i="1"/>
  <c r="F49" i="1" s="1"/>
  <c r="F48" i="1"/>
  <c r="E48" i="1"/>
  <c r="E47" i="1"/>
  <c r="F47" i="1" s="1"/>
  <c r="E46" i="1"/>
  <c r="F46" i="1" s="1"/>
  <c r="E45" i="1"/>
  <c r="F45" i="1" s="1"/>
  <c r="F44" i="1"/>
  <c r="F50" i="1" s="1"/>
  <c r="C58" i="1" s="1"/>
  <c r="E44" i="1"/>
  <c r="E50" i="1" s="1"/>
  <c r="C56" i="1" s="1"/>
  <c r="C37" i="1"/>
  <c r="E16" i="1"/>
  <c r="D5" i="2" s="1"/>
</calcChain>
</file>

<file path=xl/sharedStrings.xml><?xml version="1.0" encoding="utf-8"?>
<sst xmlns="http://schemas.openxmlformats.org/spreadsheetml/2006/main" count="385" uniqueCount="313">
  <si>
    <t>468 – 222 SAYILI KANUN KAPSAMINDA EĞİTİM BAĞIŞLARI | İLKÖĞRETİM VE EĞİTİM KANUNU | TAMAMININ İNDİRİMİ</t>
  </si>
  <si>
    <t>Beyanname 468 | GİB KV Beyan Rehberi Mart 2026 (No:606) | ✗ YİAKV MATRAHINDA DÜŞÜLEMEZ</t>
  </si>
  <si>
    <t xml:space="preserve">  222 SAYILI İLKÖĞRETİM VE EĞİTİM KANUNU KAPSAMINDA BAĞIŞ NEDİR?
  Gerçek ve tüzel kişilerin ilköğretim okulları (ilkokul ve ortaokullar) ile bağlı tesislerin
  yapımı, onarımı, donanımı ve faaliyetleri için kamu idarelerine, Okul Aile Birliklerine
  veya yetkili diğer kurumlara yaptıkları bağış ve yardımlar.
  KAPSAM: Okul binası, derslik, laboratuvar, kütüphane, spor salonu, öğretmenevi,
  eğitim araç-gereçleri, bilişim altyapısı vb.
  İNDİRİM: TAMAMININ İNDİRİMİ — matrahı aşan kısım devredilemez.
  ★ YİAKV: DÜŞÜLEMEZ — E.11 bilgi satırı (diğer bağış/yardım kodlarıyla aynı).</t>
  </si>
  <si>
    <t xml:space="preserve">  ✗ YİAKV (KVK Md.32/C): 468 Eğitim Bağışı YİAKV MATRAHINDA DÜŞÜLEMEZ. YİAKV E.11 bilgi satırı. | KARŞILAŞTIRMA: 402 (KVK 10/1-c) okul inşası bağışı ile 468 arasındaki fark: 402 kamu idaresine spesifik amaç, 468 ise 222 s.K. geniş kapsamı.</t>
  </si>
  <si>
    <t>A0. KAPSAM VE NİTELİK UYGUNLUK ÖN KONTROLÜ — 222 s.K. BAĞIŞ KOŞULLARI</t>
  </si>
  <si>
    <t>Kontrol Sorusu</t>
  </si>
  <si>
    <t>Yanıt</t>
  </si>
  <si>
    <t>YMM Tasdik Notu</t>
  </si>
  <si>
    <t>A0.1  ★ Bağış 222 s.K. kapsamında bir ilköğretim okuluyla (ilkokul/ortaokul) ilgili mi?</t>
  </si>
  <si>
    <t>EVET</t>
  </si>
  <si>
    <t>222 sayılı Kanun ilköğretimi (ilkokul ve ortaokul) kapsar. Lise (MEB Md.23 vb.) ve üniversite bağışları farklı kodlara girer. Özel okul bağışları bu kapsamda değildir — devlet/kamu okulu olmalı.</t>
  </si>
  <si>
    <t>A0.2  ★ Bağış alıcısı yetkili bir kurum mu? (Kamu okulu, MEB, OAB, muhtarlık vb.)</t>
  </si>
  <si>
    <t>Alıcı: İlköğretim okulu yönetimi / İl-İlçe Millî Eğitim Müdürlüğü / Okul Aile Birliği (kamu okulu adına) / Köy/mahalle muhtarlığı (okul yararına) / İl Özel İdaresi (okul yatırımı için).</t>
  </si>
  <si>
    <t>A0.3  ★ Bağış 222 s.K. kapsamındaki bir amaca yönelik mi?</t>
  </si>
  <si>
    <t>Kapsam: Okul yapımı, onarımı, donanımı, eğitim araç-gereci, laboratuvar, kütüphane, spor salonu, bilişim altyapısı, öğretmenevi. Genel gider veya kapsam dışı harcamalar için bağış → Bu kod değil.</t>
  </si>
  <si>
    <t>A0.4  ★ Bağış FİİLEN yapıldı mı? (Nakdi: Banka — Ayni: Teslim belgesi)</t>
  </si>
  <si>
    <t>Taahhüt edilen ama yapılmayan bağış indirime konu edilemez. Nakdi: Banka EFT/havale. Ayni: İmzalı teslim tutanağı.</t>
  </si>
  <si>
    <t>A0.5  Bağış kabul belgesi / makbuz yetkili kurumdan alındı mı?</t>
  </si>
  <si>
    <t>Okul, MEB Müdürlüğü veya OAB'tan resmi makbuz/kabul yazısı. Belge olmadan 468 indirimi belgelenemez.</t>
  </si>
  <si>
    <t>A0.6  Bağış özel okul, vakıf okulu veya özel dershane için değil mi?</t>
  </si>
  <si>
    <t>222 s.K. kamu ilköğretim okullarına yapılan bağışları kapsar. Özel okul/vakıf okulu için bağışlar bu kapsama girmez.</t>
  </si>
  <si>
    <t>A0.7  ✗ YİAKV E.11'de bilgi satırı olarak gösterildi mi?</t>
  </si>
  <si>
    <t>468 YİAKV matrahından düşülemez — E.11 bilgi.</t>
  </si>
  <si>
    <t>A0.8  YMM Tasdik Raporu gereksinimi değerlendirildi mi?</t>
  </si>
  <si>
    <t>&gt;=500.000 TL → YMM raporu.</t>
  </si>
  <si>
    <t>A0.9  Tasdik Uygunluk Sonucu</t>
  </si>
  <si>
    <t>★ A0.1 ilköğretim | A0.2 yetkili alıcı | A0.3 kapsam amacı | A0.4 fiili yapım — dördü kritik.</t>
  </si>
  <si>
    <t>A. GENEL BİLGİLER</t>
  </si>
  <si>
    <t>Kurumun Unvanı</t>
  </si>
  <si>
    <t>Tam ticaret unvanı</t>
  </si>
  <si>
    <t>VKN</t>
  </si>
  <si>
    <t>10 haneli VKN</t>
  </si>
  <si>
    <t>Hesap Dönemi</t>
  </si>
  <si>
    <t>01.01.2025 – 31.12.2025</t>
  </si>
  <si>
    <t>KV Oranı (%)</t>
  </si>
  <si>
    <t>2025: %25</t>
  </si>
  <si>
    <t>Bağış Yapılan Okul Adı</t>
  </si>
  <si>
    <t>Tam okul adı ve MEB kodu</t>
  </si>
  <si>
    <t>Okul İl/İlçe</t>
  </si>
  <si>
    <t>İlin ve ilçenin adı</t>
  </si>
  <si>
    <t>Alıcı Kurum Türü</t>
  </si>
  <si>
    <t>Okul yönetimi / MEB Müdürlüğü / OAB / Muhtarlık</t>
  </si>
  <si>
    <t>Dosya Referansı</t>
  </si>
  <si>
    <t>YMM-2025/468-01</t>
  </si>
  <si>
    <t>B. BAĞIŞ DETAYLARI — 222 s.K. KAPSAM ANALİZİ</t>
  </si>
  <si>
    <t>Parametre</t>
  </si>
  <si>
    <t>Değer</t>
  </si>
  <si>
    <t>Açıklama</t>
  </si>
  <si>
    <t>Kaynak</t>
  </si>
  <si>
    <t>B.1  Bağış Konusu / Yatırım Türü</t>
  </si>
  <si>
    <t>Okul Binası İnşaatı</t>
  </si>
  <si>
    <t>222 s.K. kapsamındaki spesifik bağış konusu.</t>
  </si>
  <si>
    <t>Protokol/sözleşme</t>
  </si>
  <si>
    <t>B.2  Bağış Alıcısı Türü</t>
  </si>
  <si>
    <t>İlköğretim Okulu (İlkokul/Ortaokul — Kamu)</t>
  </si>
  <si>
    <t>Yetkili alıcı kategorisi — özel okul kapsam dışı.</t>
  </si>
  <si>
    <t>Alıcı belgesi</t>
  </si>
  <si>
    <t>B.3  Bağış Şekli</t>
  </si>
  <si>
    <t>Nakdi (Banka Transferi/EFT/Havale)</t>
  </si>
  <si>
    <t>Nakdi → Banka dekontu. Ayni → Teslim tutanağı + değerleme.</t>
  </si>
  <si>
    <t>Belge</t>
  </si>
  <si>
    <t>B.4  Bağış Tarihi</t>
  </si>
  <si>
    <t>Bağışın fiilen yapıldığı tarih (nakdi: ödeme tarihi, ayni: teslim tarihi).</t>
  </si>
  <si>
    <t>Banka/Tutanak</t>
  </si>
  <si>
    <t>B.5  ★ Nakdi Bağış Tutarı (TL)</t>
  </si>
  <si>
    <t>Banka yoluyla ilgili kuruma ödenen nakdi bağış tutarı.</t>
  </si>
  <si>
    <t>Banka dekontu</t>
  </si>
  <si>
    <t>B.6  Ayni Bağış Değeri (TL — Maliyet/Net Defter Değeri)</t>
  </si>
  <si>
    <t>Ayni bağış varsa maliyet veya net defter değeri (piyasa değeri değil). KDV hesaplanmaz — KDVK Md.17/2-b istisna kapsamında.</t>
  </si>
  <si>
    <t>Stok/sabit kıymet</t>
  </si>
  <si>
    <t>B.7  ★ TOPLAM BAĞIŞ (B.5 + B.6)</t>
  </si>
  <si>
    <t>Nakdi + Ayni toplam — beyanname 468 tutarının dayanağı.</t>
  </si>
  <si>
    <t>Formül</t>
  </si>
  <si>
    <t>B.8  ★ Bağış Kabul Belgesi / Makbuz Alındı mı?</t>
  </si>
  <si>
    <t>Okul/MEB/OAB'tan resmi makbuz. Bu belge zorunludur.</t>
  </si>
  <si>
    <t>Alıcı kurumdan</t>
  </si>
  <si>
    <t>B.9  Okul Türü Teyidi (Devlet Okulu mu?)</t>
  </si>
  <si>
    <t>Devlet İlkokulu/Ortaokulu (Kamu)</t>
  </si>
  <si>
    <t>Kamu okulu → 468 kapsamı. Özel/vakıf → Bu kod değil.</t>
  </si>
  <si>
    <t>MEB kayıtları</t>
  </si>
  <si>
    <t>C. BAĞIŞ TABLOSU — 222 s.K. KAPSAMLI İLKÖĞRETİM BAĞIŞLARI (BEYANNAME 468)</t>
  </si>
  <si>
    <t xml:space="preserve">  Her bağış kalemi için ayrı satır (farklı okul veya farklı tarihler). SÜTUN 3 (yeşil çerçeve): Nakdi bağış. SÜTUN 4: Ayni bağış maliyet değeri. SÜTUN 5: Toplam (otomatik). SÜTUN 6: İndirim = Toplam tamamı (otomatik).</t>
  </si>
  <si>
    <t>Bağış Tarihi</t>
  </si>
  <si>
    <t>Okul Adı / Bağış Konusu</t>
  </si>
  <si>
    <t>Nakdi (TL)</t>
  </si>
  <si>
    <t>Ayni Değer (TL)</t>
  </si>
  <si>
    <t>Toplam (TL)</t>
  </si>
  <si>
    <t>İndirim (TL)</t>
  </si>
  <si>
    <t>Makbuz No</t>
  </si>
  <si>
    <t>TOPLAM</t>
  </si>
  <si>
    <t>← Beyanname 468 (Tamamının İndirimi)</t>
  </si>
  <si>
    <t>D. BAĞIŞ İNDİRİMİ ÖZET — BEYANNAME 468 (222 s.K. İLKÖĞRETİM BAĞIŞI)</t>
  </si>
  <si>
    <t>Hesap Kalemi</t>
  </si>
  <si>
    <t>Tutar (TL)</t>
  </si>
  <si>
    <t>Not</t>
  </si>
  <si>
    <t>D.1  Toplam Nakdi Bağış (C Sütun 3 Toplamı)</t>
  </si>
  <si>
    <t>Banka yoluyla yapılan nakdi toplam</t>
  </si>
  <si>
    <t>D.2  Toplam Ayni Bağış Değeri (C Sütun 4 Toplamı)</t>
  </si>
  <si>
    <t>Maliyet/net defter değeri toplam</t>
  </si>
  <si>
    <t>D.3  TOPLAM BAĞIŞ (D.1 + D.2)</t>
  </si>
  <si>
    <t>C tablosu toplam</t>
  </si>
  <si>
    <t>D.4  İndirim Oranı / Sınır</t>
  </si>
  <si>
    <t>TAMAMININ İNDİRİMİ — Matrahı aşan devredilmez</t>
  </si>
  <si>
    <t>222 s.K. ve ilgili KVK hükmü: Tamamının indirimi</t>
  </si>
  <si>
    <t>222 s.K. + KVK</t>
  </si>
  <si>
    <t>D.5  ★ BEYANNAME 468 = TOPLAM BAĞIŞ (D.3)</t>
  </si>
  <si>
    <t>→ Beyanname 468 | Kazancın Bulunması Halinde</t>
  </si>
  <si>
    <t>222 s.K.</t>
  </si>
  <si>
    <t>D.6  YİAKV DURUMU — DÜŞÜLEMEZ</t>
  </si>
  <si>
    <t>YİAKV E.11 Bilgi ✗</t>
  </si>
  <si>
    <t>Tüm bağış/yardım kodları YİAKV matrahından düşülemez</t>
  </si>
  <si>
    <t>KVK Md.32/C</t>
  </si>
  <si>
    <t>E.1  222 s.K. İLKÖĞRETİM BAĞIŞI → Beyanname Satır 468 (Kazancın Bulunması Halinde)</t>
  </si>
  <si>
    <t>D.5 = Toplam Bağış Tamamı | 222 s.K. — Matrahı aşan devredilmez</t>
  </si>
  <si>
    <t xml:space="preserve">  ★ KRİTİK: (1) İLKÖĞRETİM: Yalnızca devlet ilkokulu/ortaokulu — lise, özel okul, üniversite kapsam dışı.
  (2) YETKİLİ ALICI: Okul, MEB, OAB veya muhtarlık — yetkisiz alıcıya yapılan bağış kapsam dışı.
  (3) BAĞIŞ KONUSU: 222 s.K. kapsamında eğitim tesisi — genel gider veya kapsam dışı amaç → Reddedilir.
  (4) AYNİ BAĞIŞ: Maliyet değeri esas, piyasa değeri değil. KDV istisnası (KDVK Md.17/2-b).
  (5) DEVREDEN YOK: Matrahı aşan kısım devredilemez.
  (6) YİAKV ✗: E.11 bilgi satırı — 402/464/465/466 ile aynı kategori.</t>
  </si>
  <si>
    <t>468 – 222 SAYILI KANUN İLKÖĞRETİM BAĞIŞLARI | HESAPLAMALAR VE DENETİM</t>
  </si>
  <si>
    <t>Tamamının İndirimi | Devlet Okulu | MEB/OAB | Kapsam Analizi | Beyanname 468 | ✗ YİAKV E.11</t>
  </si>
  <si>
    <t>A. TASDİK ÖZETİ</t>
  </si>
  <si>
    <t>A0 Uygunluğu</t>
  </si>
  <si>
    <t>OK ise devam</t>
  </si>
  <si>
    <t>Okul Türü (A0.1)</t>
  </si>
  <si>
    <t>İlköğretim/devlet</t>
  </si>
  <si>
    <t>Bağış Konusu (A0.3)</t>
  </si>
  <si>
    <t>222 s.K. kapsamı</t>
  </si>
  <si>
    <t>Toplam Bağış (D.3)</t>
  </si>
  <si>
    <t>Nakdi + Ayni toplam</t>
  </si>
  <si>
    <t>468 İNDİRİM (D.5)</t>
  </si>
  <si>
    <t>YİAKV</t>
  </si>
  <si>
    <t>✗ DÜŞÜLEMEZ (E.11 Bilgi)</t>
  </si>
  <si>
    <t>402/460/461/464/465/466 ile aynı</t>
  </si>
  <si>
    <t>B. 222 SAYILI KANUN KAPSAMI — OKUL TÜRÜ VE BAĞIŞ KONUSU ANALİZİ</t>
  </si>
  <si>
    <t xml:space="preserve">  222 SAYILI İLKÖĞRETİM VE EĞİTİM KANUNU — BAĞIŞ KAPSAMI:
  KAPSAM DAHİLİ OKUL TÜRÜ (Devlet Kamu Okulu):
  ✓ Devlet İlkokulu (1-4. sınıf)
  ✓ Devlet Ortaokulu (5-8. sınıf)
  ✓ Yatılı Bölge Ortaokulu (YBO)
  KAPSAM DIŞI OKUL TÜRÜ:
  ✗ Devlet Lisesi → Farklı kanun / 402 kapsamına girebilir
  ✗ Özel İlkokul/Ortaokul → Özel mülkiyet, kapsam dışı
  ✗ Vakıf Üniversitesi / Vakıf Okulu → Kapsam dışı
  ✗ Yükseköğretim Kurumu → Farklı mevzuat
  KAPSAM DAHİLİ BAĞIŞ KONULARI:
  ✓ Okul/derslik yapımı, onarımı, bakımı
  ✓ Laboratuvar/kütüphane/spor salonu inşaatı ve donanımı
  ✓ Eğitim araç-gereci, bilişim altyapısı
  ✓ Öğretmenevi yapımı
  ✗ Genel bütçe desteği, seyahat, ücret vb. → Kapsam dışı</t>
  </si>
  <si>
    <t>C. 402 (KVK Md.10/1-c) ile 468 (222 s.K.) KARŞILAŞTIRMA</t>
  </si>
  <si>
    <t>Özellik</t>
  </si>
  <si>
    <t>402 KVK Md.10/1-c</t>
  </si>
  <si>
    <t>468 222 s.K.</t>
  </si>
  <si>
    <t>Ortak</t>
  </si>
  <si>
    <t>K1</t>
  </si>
  <si>
    <t>Kanun Dayanağı</t>
  </si>
  <si>
    <t>KVK Md.10/1-c</t>
  </si>
  <si>
    <t>222 s.K. + KVK ilgili md.</t>
  </si>
  <si>
    <t>Farklı kanun</t>
  </si>
  <si>
    <t>E.11 ✗</t>
  </si>
  <si>
    <t>K2</t>
  </si>
  <si>
    <t>Alıcı</t>
  </si>
  <si>
    <t>Kamu idaresi/KYD/Vakıf</t>
  </si>
  <si>
    <t>Devlet ilkokulu/ortaokulu ilgili</t>
  </si>
  <si>
    <t>İkisi kamu</t>
  </si>
  <si>
    <t>K3</t>
  </si>
  <si>
    <t>Amaç</t>
  </si>
  <si>
    <t>Okul/Sağlık/Yurt/Huzurevi/Rehab</t>
  </si>
  <si>
    <t>Yalnızca ilköğretim okulu</t>
  </si>
  <si>
    <t>Her ikisi tamamı</t>
  </si>
  <si>
    <t>K4</t>
  </si>
  <si>
    <t>İndirim</t>
  </si>
  <si>
    <t>Tamamı — devredilmez</t>
  </si>
  <si>
    <t>Aynı kural</t>
  </si>
  <si>
    <t>K5</t>
  </si>
  <si>
    <t>Okul Türü</t>
  </si>
  <si>
    <t>Tüm kademeler (kapsam dahiliyse)</t>
  </si>
  <si>
    <t>Yalnızca ilkokul/ortaokul</t>
  </si>
  <si>
    <t>Farklı</t>
  </si>
  <si>
    <t>D. DENETİM KONTROL LİSTESİ (K1–K13)</t>
  </si>
  <si>
    <t>Kontrol</t>
  </si>
  <si>
    <t>Sonuç</t>
  </si>
  <si>
    <t>★ Bağış devlet ilkokulu/ortaokulu kapsamında mı?</t>
  </si>
  <si>
    <t>Lise, özel okul, üniversite → Bu kod değil.</t>
  </si>
  <si>
    <t>Uygun/Eksik/Risk</t>
  </si>
  <si>
    <t>★ Alıcı yetkili bir kurum mu? (Okul/MEB/OAB/Muhtarlık)</t>
  </si>
  <si>
    <t>Yetkisiz alıcı → İndirim reddedilir.</t>
  </si>
  <si>
    <t>★ Bağış konusu 222 s.K. kapsamında mı?</t>
  </si>
  <si>
    <t>Eğitim tesisi yapım/donanım/araç-gereç.</t>
  </si>
  <si>
    <t>★ Bağış fiilen yapıldı mı? (Nakdi: Banka — Ayni: Tutanak)</t>
  </si>
  <si>
    <t>Taahhüt değil — fiili ödeme.</t>
  </si>
  <si>
    <t>Bağış kabul belgesi/makbuz alındı mı?</t>
  </si>
  <si>
    <t>Okul/MEB/OAB resmi makbuzu zorunlu.</t>
  </si>
  <si>
    <t>K6</t>
  </si>
  <si>
    <t>Özel/vakıf okulu için bağış yanlışlıkla eklenmedi mi?</t>
  </si>
  <si>
    <t>Devlet okulu → 468. Özel → Kapsam dışı.</t>
  </si>
  <si>
    <t>K7</t>
  </si>
  <si>
    <t>Ayni bağış varsa maliyet değeri ve KDV istisnası doğru mu?</t>
  </si>
  <si>
    <t>Maliyet esas, KDV yok (Md.17/2-b).</t>
  </si>
  <si>
    <t>K8</t>
  </si>
  <si>
    <t>C tablosu toplamı D.3 ile mutabık mı?</t>
  </si>
  <si>
    <t>F50 = D.3 eşitliği.</t>
  </si>
  <si>
    <t>K9</t>
  </si>
  <si>
    <t>★ İndirim matrahı aşıyor mu? (Devredilemez!)</t>
  </si>
  <si>
    <t>Aşan kısım beyanname notu.</t>
  </si>
  <si>
    <t>K10</t>
  </si>
  <si>
    <t>✗ YİAKV E.11'de bilgi satırı olarak gösterildi mi?</t>
  </si>
  <si>
    <t>468 DÜŞÜLEMEZ — E.11 bilgi.</t>
  </si>
  <si>
    <t>K11</t>
  </si>
  <si>
    <t>402 (KVK 10/1-c) ile çakışma yok mu?</t>
  </si>
  <si>
    <t>Aynı bağış 402 ve 468'e birlikte yazılamaz.</t>
  </si>
  <si>
    <t>K12</t>
  </si>
  <si>
    <t>Beyanname 468 'Kazancın Bulunması Halinde' bölümünde mi?</t>
  </si>
  <si>
    <t>Zarar döneminde uygulanamaz.</t>
  </si>
  <si>
    <t>K13</t>
  </si>
  <si>
    <t>YMM Tasdik Raporu (49 No.lu Tebliğ) değerlendirildi mi?</t>
  </si>
  <si>
    <t>468 – 222 SAYILI KANUN İLKÖĞRETİM BAĞIŞLARI | MUHASEBE KAYITLARI</t>
  </si>
  <si>
    <t>KAYIT 1 — NAKDİ BAĞIŞ (EFT/HAVALE — OKUL/MEB/OAB)</t>
  </si>
  <si>
    <t>Tarih</t>
  </si>
  <si>
    <t>Hesap</t>
  </si>
  <si>
    <t>Dr</t>
  </si>
  <si>
    <t>Kr</t>
  </si>
  <si>
    <t>Ref</t>
  </si>
  <si>
    <t>[Tarih]</t>
  </si>
  <si>
    <t>689 Diğer Olağan Dışı Gid. / 770 Gen. Yön.</t>
  </si>
  <si>
    <t>222 s.K. eğitim bağışı — gider kaydı</t>
  </si>
  <si>
    <t>[Tutar]</t>
  </si>
  <si>
    <t>—</t>
  </si>
  <si>
    <t>Makbuz</t>
  </si>
  <si>
    <t>KAYIT 2 — AYNİ BAĞIŞ (OKUL ARAÇ-GERECİ / İNŞAAT MALZEMESİ)</t>
  </si>
  <si>
    <t>[Teslim]</t>
  </si>
  <si>
    <t>689 Diğer Olağan Dışı Gid.</t>
  </si>
  <si>
    <t>Ayni eğitim bağışı — maliyet/net defter</t>
  </si>
  <si>
    <t>[Maliyet]</t>
  </si>
  <si>
    <t>Teslim tutanağı</t>
  </si>
  <si>
    <t>KAYIT 3 — DÖNEM SONU: KKEG + BEYANNAME 468 İNDİRİMİ</t>
  </si>
  <si>
    <t>[Dönem Sonu]</t>
  </si>
  <si>
    <t>951 KKEG</t>
  </si>
  <si>
    <t>Eğitim bağışı KKEG'e alınır</t>
  </si>
  <si>
    <t>Beyanname eki</t>
  </si>
  <si>
    <t xml:space="preserve">  NET ETKİ — BEYANNAME 468:
  ① Eğitim bağışı → GİDER (689/770) kaydedildi.
  ② Bağış KKEG'e alındı → KV matrahı artar.
  ③ Beyanname 468 → Tamamının indirimi → Matrahtan düşülür.
  ④ YİAKV ✗ DÜŞÜLEMEZ — E.11 bilgi. | Ayni bağışta KDV istisnası (KDVK Md.17/2-b).</t>
  </si>
  <si>
    <t>468 – 222 SAYILI KANUN İLKÖĞRETİM BAĞIŞLARI | DENETÇİ NOTLARI</t>
  </si>
  <si>
    <t>GİB KV Beyan Rehberi 2026 (No:606) | 222 s.K. | İlköğretim | Devlet Okulu | YİAKV E.11</t>
  </si>
  <si>
    <t>Kod</t>
  </si>
  <si>
    <t>Konu</t>
  </si>
  <si>
    <t>Mesleki Değerlendirme / Tasdik Standardı</t>
  </si>
  <si>
    <t>Mevzuat / Kaynak</t>
  </si>
  <si>
    <t>N1</t>
  </si>
  <si>
    <t>222 s.K. İlköğretim Bağışları — Tanım ve Kapsam</t>
  </si>
  <si>
    <t>222 SAYILI İLKÖĞRETİM VE EĞİTİM KANUNU BAĞIŞ İNDİRİMİ:
Gerçek ve tüzel kişilerin devlet ilkokul ve ortaokulları ile bağlı tesisler için
yaptıkları bağış ve yardımların tamamı kurumlar vergisi matrahından indirilir.
KAPSAM DAHİLİ AMAÇLAR:
Okul yapımı, onarımı, bakımı | Derslik, laboratuvar, kütüphane, spor salonu
Eğitim araç-gereci | Bilişim altyapısı | Öğretmenevi yapımı
YETKİLİ ALICILAR:
Devlet ilkokulu/ortaokulu yönetimi | İl/İlçe MEB Müdürlüğü
Okul Aile Birliği (devlet okulu adına) | Köy/mahalle muhtarlığı (okul yararına)
İNDİRİM: TAMAMININ İNDİRİMİ — Matrahı aşan kısım devredilmez
YİAKV: ✗ DÜŞÜLEMEZ (E.11 bilgi) | BEYANNAME: 468</t>
  </si>
  <si>
    <t>222 s.K. | GİB KV Beyan Reh. 2026 (No:606)</t>
  </si>
  <si>
    <t>N2</t>
  </si>
  <si>
    <t>★ 402 (KVK Md.10/1-c) ile 468 (222 s.K.) Ayrımı — Çakışma Riski</t>
  </si>
  <si>
    <t>402 ve 468 ARASINDA ÖNEMLİ FARKLAR:
402 (KVK Md.10/1-c):
Kamu idaresi/KYD/Muafiyet Vakfı'na okul, sağlık tesisi, yurt, huzurevi inşası amaçlı.
Tüm okul kademelerini kapsayabilir (ilk-orta-lise).
468 (222 s.K.):
Yalnızca devlet ilkokulu ve ortaokullarına yönelik.
Kapsam daha geniş amaçları içerir (araç-gereç, bilişim, bakım vb.).
MÜKERRERLIK YASAĞI:
Aynı bağış hem 402 hem 468'e yazılamaz. Hangi kanun daha uygunsa o uygulanır.
YMM YAKLAŞIMI:
Bağış belgesi (makbuz/protokol) hangi kanuna atıfta bulunuyorsa o kod kullanılır.
Devlet ilkokulu/ortaokulu + 222 s.K. → 468.
Diğer okullar veya sağlık/yurt/huzurevi → 402 değerlendir.</t>
  </si>
  <si>
    <t>222 s.K. | KVK Md.10/1-c | GİB Özelge</t>
  </si>
  <si>
    <t>N3</t>
  </si>
  <si>
    <t>Okul Aile Birliği (OAB) Aracılığıyla Yapılan Bağışlar</t>
  </si>
  <si>
    <t>OAB ARACILIĞIYLA BAĞIŞ:
Devlet ilkokulları ve ortaokullarında faaliyet gösteren Okul Aile Birlikleri,
okulun ihtiyaçları doğrultusunda bağış toplayabilir.
YMM KONTROLÜ:
• OAB, devlet okuluna bağlı resmi birlik mi? (Özel okul OAB'ı kapsam dışı)
• Bağış amacı okul tesisi ve eğitim amaçlı mı?
• OAB'tan resmi makbuz alındı mı?
BELGE: OAB makbuzu + Okul müdür onayı + Kullanım amacı bilgisi.
DİKKAT: OAB'a yapılan her bağış 222 s.K. kapsamında değildir.
Bağışın eğitim tesisi/araç-gereç amacıyla kullanılacağı teyit edilmelidir.</t>
  </si>
  <si>
    <t>222 s.K. | OAB Yönetmeliği | GİB Özelge</t>
  </si>
  <si>
    <t>N4</t>
  </si>
  <si>
    <t>YİAKV ile İlişki — E.11 Bütünleşik Kategori</t>
  </si>
  <si>
    <t>YİAKV (KVK Md.32/C) VE 222 s.K. BAĞIŞI:
✗ 468 (222 s.K. Eğitim Bağışı): DÜŞÜLEMEZ → YİAKV E.11
YİAKV E.11 BİRLEŞİK KATEGORİ:
✗ 402 KVK Md.10/1-c | ✗ 460 Prof. Spor | ✗ 461 Amatör Spor
✗ 464 AGF | ✗ 465 AYİF | ✗ 466 UAB | ✗ 468 Eğitim (222 s.K.)
Tümü E.11'de toplanır — YMM bunların toplamını E.11'e yazar.
DÜŞÜLEBILIR OLANLAR (Karıştırılmasın):
✓ 283 Ar-Ge İndirimi → D.10
✓ 455 Tasarım İndirimi → D.10
✓ 413 GSF → D.11
✓ 401 Risturn → D.4</t>
  </si>
  <si>
    <t>KVK Md.32/C | GİB Rehberi No:607 | No:606</t>
  </si>
  <si>
    <t>N5</t>
  </si>
  <si>
    <t>49 No.lu Tebliğ + YMM Tasdik Dil Standardı</t>
  </si>
  <si>
    <t>KULLANIN:
'...222 sayılı İlköğretim ve Eğitim Kanunu kapsamında, [Okul Adı ve MEB kodu]
adlı devlet [ilkokulu/ortaokulu] yararına [Okul Yönetimi/MEB Müdürlüğü/OAB]
aracılığıyla [Bağış Konusu] amacıyla [Tarih] tarihinde yapılan [Nakdi TL] TL
nakdi ve [Ayni TL] TL maliyet bedelindeki ayni bağışın tamamı olan [Toplam TL] TL,
kurumlar vergisi matrahından indirilmiştir. Söz konusu tutar YİAKV matrahından
indirilmemiştir.'
KULLANMAYIN:
'...Özel okula yapılan bağış 468 kapsamında indirilmiştir.' (Kapsam dışı)
'...Lise için yapılan eğitim bağışı 468 kapsamındadır.' (222 s.K. kapsamı dışı)
'...Aynı bağış hem 402 hem 468 kapsamında indirilmiştir.' (Mükerrerlik)
'...468 YİAKV matrahından düşülmüştür.' (YANLIŞ)
KRİTİK RİSKLER:
(1) Özel/vakıf okulu bağışını 468'e dahil etmek.
(2) 402 ve 468'i aynı bağış için birlikte uygulamak.
(3) Makbuz olmadan 468 uygulamak.
(4) Matrahı aşan kısmı devretmek.</t>
  </si>
  <si>
    <t>49 No.lu Tebliğ | 222 s.K. | SM-SMMM-YMM K. Md.12</t>
  </si>
  <si>
    <t xml:space="preserve">  GİB KV BEYAN REHBERİ MART 2026 (No:606) KAPANIŞ (468 — 222 s.K.): Yalnızca devlet ilkokulu/ortaokulu. 222 s.K. kapsamı eğitim tesisi ve araç-gereci. Nakdi: Banka dekontu + Makbuz. Ayni: Teslim tutanağı + Maliyet + KDV istisnası. 402 ile mükerrerlik yasağı. Matrahı aşan devredilmez. ✗ YİAKV E.11. YMM: SM-SMMM-YMM K. Md.12.</t>
  </si>
  <si>
    <t>468 – 222 SAYILI KANUN İLKÖĞRETİM BAĞIŞLARI | BELGE LİSTESİ | YMM TASDİK</t>
  </si>
  <si>
    <t>Okul Makbuzu | MEB/OAB Belgesi | Banka Dekontu | Teslim Tutanağı | YİAKV E.11</t>
  </si>
  <si>
    <t>KATEGORİ 1 — ZORUNLU BELGELER</t>
  </si>
  <si>
    <t>No</t>
  </si>
  <si>
    <t>Temin</t>
  </si>
  <si>
    <t>1</t>
  </si>
  <si>
    <t>★ Okul / MEB / OAB Resmi Bağış Makbuzu</t>
  </si>
  <si>
    <t>Bağışı kabul eden devlet okulu yönetiminden, İl/İlçe MEB Müdürlüğünden veya devlet okuluna bağlı Okul Aile Birliğinden alınan resmi makbuz. Tutar, tarih ve bağış konusu açık olmalı.</t>
  </si>
  <si>
    <t>Okul / MEB Müdürlüğü / OAB</t>
  </si>
  <si>
    <t>2</t>
  </si>
  <si>
    <t>★ Nakdi Bağış — Banka EFT/Havale Dekontu</t>
  </si>
  <si>
    <t>Her nakdi ödeme için banka dekontu. Nakit ödeme izleme güçlüğü yarattığından banka transferi tercih edilmeli.</t>
  </si>
  <si>
    <t>Banka / Şirket hesabı</t>
  </si>
  <si>
    <t>3</t>
  </si>
  <si>
    <t>Ayni Bağış — Teslim-Tesellüm Tutanağı + Maliyet Notu</t>
  </si>
  <si>
    <t>Malzeme/ekipman bağışı için imzalı teslim tutanağı ve maliyet belgesi. KDV hesaplanmaz (KDVK Md.17/2-b).</t>
  </si>
  <si>
    <t>Teslim sırasında düzenlenir</t>
  </si>
  <si>
    <t>4</t>
  </si>
  <si>
    <t>Devlet Okulu Teyidi (MEB Kurumsal Bilgi Sistemi / E-Okul)</t>
  </si>
  <si>
    <t>Bağış yapılan okulun devlet okulu ve ilkokul/ortaokul statüsünde olduğunu teyit eden MEB kaydı veya okul kimlik belgesi.</t>
  </si>
  <si>
    <t>MEB / E-Okul sistemi</t>
  </si>
  <si>
    <t>5</t>
  </si>
  <si>
    <t>KV Beyannamesi 468 Satırı + YİAKV E.11 Bilgi</t>
  </si>
  <si>
    <t>Beyanname 468 = D.5 tutarı. YİAKV E.11'de diğer bağış/yardım kodlarıyla birlikte bilgi.</t>
  </si>
  <si>
    <t>GİB e-Beyanname + YİAKV ÇK</t>
  </si>
  <si>
    <t>6</t>
  </si>
  <si>
    <t>Matrahı Aşan Kısım Var İse Beyanname Notu</t>
  </si>
  <si>
    <t>Bağış &gt; KV matrahı durumunda matrahı aşan kısmın devredilmediğini belirten not.</t>
  </si>
  <si>
    <t>YMM tarafından hazırlanır</t>
  </si>
  <si>
    <t>KATEGORİ 2 — YMM TASDİK KONTROL SORULARI</t>
  </si>
  <si>
    <t>Beklenen Sonuç</t>
  </si>
  <si>
    <t>YMM Aksiyonu</t>
  </si>
  <si>
    <t>S1</t>
  </si>
  <si>
    <t>★ Devlet ilkokulu/ortaokulu kapsamında mı?</t>
  </si>
  <si>
    <t>Lise, özel/vakıf okul → Bu kod değil.</t>
  </si>
  <si>
    <t>YMM kontrolü</t>
  </si>
  <si>
    <t>S2</t>
  </si>
  <si>
    <t>★ Alıcı yetkili kurum mu? (Okul/MEB/OAB/Muhtarlık)</t>
  </si>
  <si>
    <t>S3</t>
  </si>
  <si>
    <t>Eğitim tesisi/araç-gereç — kapsam teyidi.</t>
  </si>
  <si>
    <t>S4</t>
  </si>
  <si>
    <t>★ Bağış fiilen yapıldı mı? (Banka/teslim belgesi)</t>
  </si>
  <si>
    <t>S5</t>
  </si>
  <si>
    <t>Bağış kabul belgesi/makbuz mevcut mu?</t>
  </si>
  <si>
    <t>Okul/MEB/OAB resmi makbuzu.</t>
  </si>
  <si>
    <t>S6</t>
  </si>
  <si>
    <t>Devlet okulu teyidi (MEB kaydı) var mı?</t>
  </si>
  <si>
    <t>E-Okul veya okul kimlik belgesi.</t>
  </si>
  <si>
    <t>S7</t>
  </si>
  <si>
    <t>402 ile mükerrerlik kontrolü yapıldı mı?</t>
  </si>
  <si>
    <t>Aynı bağış 402+468 yapılamaz.</t>
  </si>
  <si>
    <t>S8</t>
  </si>
  <si>
    <t>Ayni bağışta maliyet ve KDV istisnası doğru mu?</t>
  </si>
  <si>
    <t>Maliyet esas, KDV yok.</t>
  </si>
  <si>
    <t>S9</t>
  </si>
  <si>
    <t>★ İndirim matrahı aşıyor mu? (Devredilmez!)</t>
  </si>
  <si>
    <t>S10</t>
  </si>
  <si>
    <t>✗ YİAKV E.11'de bilgi satırı var mı?</t>
  </si>
  <si>
    <t>S11</t>
  </si>
  <si>
    <t>YMM Tasdik Raporu değerlendirildi mi?</t>
  </si>
  <si>
    <t>&gt;=500.000 TL → Rapor.</t>
  </si>
  <si>
    <t xml:space="preserve">  GİB KV BEYAN REHBERİ MART 2026 (No:606) | 468 EĞİTİM BAĞIŞI SON NOT:
  222 s.K. kapsamı: Yalnızca devlet ilkokulu/ortaokulu. Alıcı: Okul/MEB/OAB/Muhtarlık.
  Bağış konusu: Eğitim tesisi yapım/onarım/donanım/araç-gereç/bilişim.
  Tamamının indirimi — devredilmez. Nakdi: Banka + Makbuz. Ayni: Teslim + Maliyet + KDV istisnası.
  402 mükerrerlik yasağı. ✗ YİAKV E.11 (402/460/461/464/465/466/468 toplamı).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</si>
</sst>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9"/>
      <color rgb="FFFFFFFF"/>
      <name val="Arial"/>
    </font>
    <font>
      <b/>
      <sz val="8"/>
      <color rgb="FF7B5E00"/>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i/>
      <sz val="8"/>
      <color rgb="FF117864"/>
      <name val="Arial"/>
    </font>
    <font>
      <b/>
      <sz val="10"/>
      <color rgb="FF117864"/>
      <name val="Arial"/>
    </font>
    <font>
      <sz val="9"/>
      <color rgb="FF1F3864"/>
      <name val="Arial"/>
    </font>
    <font>
      <b/>
      <sz val="9"/>
      <color rgb="FF117864"/>
      <name val="Arial"/>
    </font>
    <font>
      <b/>
      <sz val="9"/>
      <color rgb="FF1B5E20"/>
      <name val="Arial"/>
    </font>
    <font>
      <sz val="8"/>
      <color rgb="FF1F3864"/>
      <name val="Arial"/>
    </font>
    <font>
      <b/>
      <sz val="11"/>
      <color rgb="FFFFFFFF"/>
      <name val="Arial"/>
    </font>
    <font>
      <b/>
      <sz val="13"/>
      <color rgb="FFFFFFFF"/>
      <name val="Arial"/>
    </font>
    <font>
      <b/>
      <sz val="13"/>
      <color rgb="FF1B5E20"/>
      <name val="Arial"/>
    </font>
    <font>
      <b/>
      <sz val="9"/>
      <color rgb="FFE65100"/>
      <name val="Arial"/>
    </font>
    <font>
      <b/>
      <sz val="10"/>
      <color rgb="FFE65100"/>
      <name val="Arial"/>
    </font>
    <font>
      <b/>
      <sz val="14"/>
      <color rgb="FF1B5E20"/>
      <name val="Arial"/>
    </font>
    <font>
      <i/>
      <sz val="8"/>
      <color rgb="FF1B5E20"/>
      <name val="Arial"/>
    </font>
    <font>
      <b/>
      <sz val="8"/>
      <color rgb="FFC0392B"/>
      <name val="Arial"/>
    </font>
    <font>
      <b/>
      <sz val="12"/>
      <color rgb="FF1B5E20"/>
      <name val="Arial"/>
    </font>
    <font>
      <b/>
      <sz val="8"/>
      <color rgb="FF117864"/>
      <name val="Arial"/>
    </font>
    <font>
      <sz val="8"/>
      <color rgb="FF1B5E20"/>
      <name val="Arial"/>
    </font>
    <font>
      <b/>
      <sz val="8"/>
      <color rgb="FFE65100"/>
      <name val="Arial"/>
    </font>
    <font>
      <sz val="8"/>
      <color rgb="FF333333"/>
      <name val="Arial"/>
    </font>
    <font>
      <i/>
      <sz val="8"/>
      <color rgb="FF444444"/>
      <name val="Arial"/>
    </font>
    <font>
      <b/>
      <sz val="9"/>
      <color rgb="FF7B5E00"/>
      <name val="Arial"/>
    </font>
    <font>
      <sz val="8"/>
      <color rgb="FF444444"/>
      <name val="Arial"/>
    </font>
    <font>
      <b/>
      <sz val="9"/>
      <color rgb="FF1565C0"/>
      <name val="Arial"/>
    </font>
    <font>
      <b/>
      <sz val="8"/>
      <color rgb="FF1565C0"/>
      <name val="Arial"/>
    </font>
  </fonts>
  <fills count="25">
    <fill>
      <patternFill patternType="none"/>
    </fill>
    <fill>
      <patternFill patternType="gray125"/>
    </fill>
    <fill>
      <patternFill patternType="solid">
        <fgColor rgb="FF117864"/>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E9F7EF"/>
      </patternFill>
    </fill>
    <fill>
      <patternFill patternType="solid">
        <fgColor rgb="FFFFFFFF"/>
      </patternFill>
    </fill>
    <fill>
      <patternFill patternType="solid">
        <fgColor rgb="FFC6EFCE"/>
      </patternFill>
    </fill>
    <fill>
      <patternFill patternType="solid">
        <fgColor rgb="FFD5F5E3"/>
      </patternFill>
    </fill>
    <fill>
      <patternFill patternType="solid">
        <fgColor rgb="FFFFF3E0"/>
      </patternFill>
    </fill>
    <fill>
      <patternFill patternType="solid">
        <fgColor rgb="FF1B5E20"/>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EBEE"/>
      </patternFill>
    </fill>
    <fill>
      <patternFill patternType="solid">
        <fgColor rgb="FFFFD0D0"/>
      </patternFill>
    </fill>
    <fill>
      <patternFill patternType="solid">
        <fgColor rgb="FFE3F2FD"/>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117864"/>
      </left>
      <right style="thin">
        <color rgb="FF117864"/>
      </right>
      <top style="thin">
        <color rgb="FF117864"/>
      </top>
      <bottom style="thin">
        <color rgb="FF117864"/>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27">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5" fillId="10" borderId="4" xfId="0" applyFont="1" applyFill="1" applyBorder="1" applyAlignment="1">
      <alignment horizontal="center" vertical="center"/>
    </xf>
    <xf numFmtId="0" fontId="9" fillId="13" borderId="4" xfId="0" applyFont="1" applyFill="1" applyBorder="1" applyAlignment="1">
      <alignment horizontal="center" vertical="center"/>
    </xf>
    <xf numFmtId="0" fontId="0" fillId="10" borderId="4" xfId="0" applyFill="1" applyBorder="1"/>
    <xf numFmtId="3" fontId="12" fillId="14" borderId="7"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0" borderId="4" xfId="0" applyFont="1" applyFill="1" applyBorder="1" applyAlignment="1">
      <alignment horizontal="left" vertical="center" wrapText="1"/>
    </xf>
    <xf numFmtId="3" fontId="14" fillId="14" borderId="7" xfId="0" applyNumberFormat="1" applyFont="1" applyFill="1" applyBorder="1" applyAlignment="1">
      <alignment horizontal="right" vertical="center" wrapText="1"/>
    </xf>
    <xf numFmtId="3" fontId="14" fillId="11" borderId="4" xfId="0" applyNumberFormat="1" applyFont="1" applyFill="1" applyBorder="1" applyAlignment="1">
      <alignment horizontal="right" vertical="center" wrapText="1"/>
    </xf>
    <xf numFmtId="3" fontId="15" fillId="13" borderId="8" xfId="0" applyNumberFormat="1" applyFont="1" applyFill="1" applyBorder="1" applyAlignment="1">
      <alignment horizontal="right" vertical="center" wrapText="1"/>
    </xf>
    <xf numFmtId="0" fontId="16" fillId="10" borderId="4" xfId="0" applyFont="1" applyFill="1" applyBorder="1" applyAlignment="1">
      <alignment horizontal="center" vertical="center" wrapText="1"/>
    </xf>
    <xf numFmtId="3" fontId="14" fillId="12" borderId="4" xfId="0" applyNumberFormat="1" applyFont="1" applyFill="1" applyBorder="1" applyAlignment="1">
      <alignment horizontal="right" vertical="center" wrapText="1"/>
    </xf>
    <xf numFmtId="3" fontId="3" fillId="2" borderId="4" xfId="0" applyNumberFormat="1" applyFont="1" applyFill="1" applyBorder="1" applyAlignment="1">
      <alignment horizontal="right" vertical="center" wrapText="1"/>
    </xf>
    <xf numFmtId="3" fontId="17" fillId="2" borderId="4" xfId="0" applyNumberFormat="1" applyFont="1" applyFill="1" applyBorder="1" applyAlignment="1">
      <alignment horizontal="right" vertical="center" wrapText="1"/>
    </xf>
    <xf numFmtId="3" fontId="18" fillId="2" borderId="8" xfId="0" applyNumberFormat="1" applyFont="1" applyFill="1" applyBorder="1" applyAlignment="1">
      <alignment horizontal="right" vertical="center" wrapText="1"/>
    </xf>
    <xf numFmtId="3" fontId="12" fillId="11" borderId="4" xfId="0" applyNumberFormat="1" applyFont="1" applyFill="1" applyBorder="1" applyAlignment="1">
      <alignment horizontal="right" vertical="center"/>
    </xf>
    <xf numFmtId="0" fontId="12" fillId="14" borderId="4" xfId="0" applyFont="1" applyFill="1" applyBorder="1" applyAlignment="1">
      <alignment horizontal="center" vertical="center"/>
    </xf>
    <xf numFmtId="3" fontId="19" fillId="13" borderId="8" xfId="0" applyNumberFormat="1" applyFont="1" applyFill="1" applyBorder="1" applyAlignment="1">
      <alignment horizontal="right" vertical="center"/>
    </xf>
    <xf numFmtId="0" fontId="21" fillId="15" borderId="4" xfId="0" applyFont="1" applyFill="1" applyBorder="1" applyAlignment="1">
      <alignment horizontal="center" vertical="center"/>
    </xf>
    <xf numFmtId="3" fontId="22" fillId="13" borderId="8" xfId="0" applyNumberFormat="1" applyFont="1" applyFill="1" applyBorder="1" applyAlignment="1">
      <alignment horizontal="right" vertical="center" wrapText="1"/>
    </xf>
    <xf numFmtId="3" fontId="9" fillId="11" borderId="4" xfId="0" applyNumberFormat="1" applyFont="1" applyFill="1" applyBorder="1" applyAlignment="1">
      <alignment horizontal="center" vertical="center"/>
    </xf>
    <xf numFmtId="3" fontId="25" fillId="13" borderId="4" xfId="0" applyNumberFormat="1" applyFont="1" applyFill="1" applyBorder="1" applyAlignment="1">
      <alignment horizontal="right" vertical="center"/>
    </xf>
    <xf numFmtId="0" fontId="1" fillId="2" borderId="4" xfId="0" applyFont="1" applyFill="1" applyBorder="1" applyAlignment="1">
      <alignment horizontal="center" vertical="center" wrapText="1"/>
    </xf>
    <xf numFmtId="0" fontId="7" fillId="11" borderId="4" xfId="0" applyFont="1" applyFill="1" applyBorder="1" applyAlignment="1">
      <alignment horizontal="center" vertical="center"/>
    </xf>
    <xf numFmtId="0" fontId="16" fillId="11" borderId="4"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7" fillId="13" borderId="4" xfId="0" applyFont="1" applyFill="1" applyBorder="1" applyAlignment="1">
      <alignment horizontal="center" vertical="center"/>
    </xf>
    <xf numFmtId="0" fontId="28" fillId="15" borderId="4" xfId="0" applyFont="1" applyFill="1" applyBorder="1" applyAlignment="1">
      <alignment horizontal="center" vertical="center"/>
    </xf>
    <xf numFmtId="0" fontId="7" fillId="12" borderId="4" xfId="0" applyFont="1" applyFill="1" applyBorder="1" applyAlignment="1">
      <alignment horizontal="center" vertical="center"/>
    </xf>
    <xf numFmtId="0" fontId="16" fillId="12" borderId="4" xfId="0" applyFont="1" applyFill="1" applyBorder="1" applyAlignment="1">
      <alignment horizontal="center" vertical="center" wrapText="1"/>
    </xf>
    <xf numFmtId="0" fontId="4" fillId="9" borderId="4" xfId="0" applyFont="1" applyFill="1" applyBorder="1" applyAlignment="1">
      <alignment horizontal="left" vertical="top" wrapText="1"/>
    </xf>
    <xf numFmtId="0" fontId="29" fillId="17" borderId="4" xfId="0" applyFont="1" applyFill="1" applyBorder="1" applyAlignment="1">
      <alignment horizontal="left" vertical="top" wrapText="1"/>
    </xf>
    <xf numFmtId="0" fontId="0" fillId="12" borderId="4" xfId="0" applyFill="1" applyBorder="1"/>
    <xf numFmtId="0" fontId="0" fillId="11" borderId="4" xfId="0" applyFill="1" applyBorder="1"/>
    <xf numFmtId="0" fontId="7" fillId="12" borderId="4" xfId="0" applyFont="1" applyFill="1" applyBorder="1" applyAlignment="1">
      <alignment horizontal="left" vertical="top" wrapText="1"/>
    </xf>
    <xf numFmtId="0" fontId="7" fillId="11" borderId="4" xfId="0" applyFont="1" applyFill="1" applyBorder="1" applyAlignment="1">
      <alignment horizontal="left" vertical="top" wrapText="1"/>
    </xf>
    <xf numFmtId="0" fontId="1" fillId="8" borderId="1" xfId="0" applyFont="1" applyFill="1" applyBorder="1" applyAlignment="1">
      <alignment horizontal="center" vertical="center"/>
    </xf>
    <xf numFmtId="0" fontId="13" fillId="11" borderId="4" xfId="0" applyFont="1" applyFill="1" applyBorder="1" applyAlignment="1">
      <alignment horizontal="center" vertical="center" wrapText="1"/>
    </xf>
    <xf numFmtId="0" fontId="29" fillId="18" borderId="4" xfId="0" applyFont="1" applyFill="1" applyBorder="1" applyAlignment="1">
      <alignment horizontal="left" vertical="top" wrapText="1"/>
    </xf>
    <xf numFmtId="0" fontId="30" fillId="11"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30" fillId="9" borderId="4" xfId="0" applyFont="1" applyFill="1" applyBorder="1" applyAlignment="1">
      <alignment horizontal="left" vertical="top" wrapText="1"/>
    </xf>
    <xf numFmtId="0" fontId="30" fillId="12" borderId="4" xfId="0" applyFont="1" applyFill="1" applyBorder="1" applyAlignment="1">
      <alignment horizontal="left" vertical="top" wrapText="1"/>
    </xf>
    <xf numFmtId="0" fontId="0" fillId="4" borderId="4" xfId="0" applyFill="1" applyBorder="1"/>
    <xf numFmtId="0" fontId="0" fillId="13" borderId="4" xfId="0" applyFill="1" applyBorder="1"/>
    <xf numFmtId="0" fontId="7" fillId="13" borderId="4" xfId="0" applyFont="1" applyFill="1" applyBorder="1" applyAlignment="1">
      <alignment horizontal="center" vertical="center" wrapText="1"/>
    </xf>
    <xf numFmtId="0" fontId="4" fillId="13" borderId="4" xfId="0" applyFont="1" applyFill="1" applyBorder="1" applyAlignment="1">
      <alignment horizontal="left" vertical="top" wrapText="1"/>
    </xf>
    <xf numFmtId="0" fontId="29" fillId="19" borderId="4" xfId="0" applyFont="1" applyFill="1" applyBorder="1" applyAlignment="1">
      <alignment horizontal="left" vertical="top" wrapText="1"/>
    </xf>
    <xf numFmtId="0" fontId="32" fillId="13" borderId="4" xfId="0" applyFont="1" applyFill="1" applyBorder="1" applyAlignment="1">
      <alignment horizontal="left" vertical="center" wrapText="1"/>
    </xf>
    <xf numFmtId="0" fontId="7" fillId="12" borderId="4" xfId="0" applyFont="1" applyFill="1" applyBorder="1" applyAlignment="1">
      <alignment horizontal="center" vertical="center" wrapText="1"/>
    </xf>
    <xf numFmtId="0" fontId="4" fillId="12" borderId="4" xfId="0" applyFont="1" applyFill="1" applyBorder="1" applyAlignment="1">
      <alignment horizontal="left" vertical="top" wrapText="1"/>
    </xf>
    <xf numFmtId="0" fontId="32" fillId="12" borderId="4" xfId="0" applyFont="1" applyFill="1" applyBorder="1" applyAlignment="1">
      <alignment horizontal="left" vertical="center" wrapText="1"/>
    </xf>
    <xf numFmtId="0" fontId="7" fillId="13" borderId="4" xfId="0" applyFont="1" applyFill="1" applyBorder="1" applyAlignment="1">
      <alignment horizontal="left" vertical="top" wrapText="1"/>
    </xf>
    <xf numFmtId="0" fontId="1" fillId="20" borderId="1" xfId="0" applyFont="1" applyFill="1" applyBorder="1" applyAlignment="1">
      <alignment horizontal="center" vertical="center"/>
    </xf>
    <xf numFmtId="0" fontId="0" fillId="21" borderId="4" xfId="0" applyFill="1" applyBorder="1"/>
    <xf numFmtId="0" fontId="33" fillId="21" borderId="4" xfId="0" applyFont="1" applyFill="1" applyBorder="1" applyAlignment="1">
      <alignment horizontal="center" vertical="center" wrapText="1"/>
    </xf>
    <xf numFmtId="0" fontId="4" fillId="21" borderId="4" xfId="0" applyFont="1" applyFill="1" applyBorder="1" applyAlignment="1">
      <alignment horizontal="left" vertical="top" wrapText="1"/>
    </xf>
    <xf numFmtId="0" fontId="29" fillId="22" borderId="4" xfId="0" applyFont="1" applyFill="1" applyBorder="1" applyAlignment="1">
      <alignment horizontal="left" vertical="top" wrapText="1"/>
    </xf>
    <xf numFmtId="0" fontId="34" fillId="21" borderId="4" xfId="0" applyFont="1" applyFill="1" applyBorder="1" applyAlignment="1">
      <alignment horizontal="center" vertical="center" wrapText="1"/>
    </xf>
    <xf numFmtId="0" fontId="0" fillId="23" borderId="4" xfId="0" applyFill="1" applyBorder="1"/>
    <xf numFmtId="0" fontId="33" fillId="23" borderId="4" xfId="0" applyFont="1" applyFill="1" applyBorder="1" applyAlignment="1">
      <alignment horizontal="center" vertical="center" wrapText="1"/>
    </xf>
    <xf numFmtId="0" fontId="33" fillId="23" borderId="4" xfId="0" applyFont="1" applyFill="1" applyBorder="1" applyAlignment="1">
      <alignment horizontal="left" vertical="top" wrapText="1"/>
    </xf>
    <xf numFmtId="0" fontId="29" fillId="24" borderId="4" xfId="0" applyFont="1" applyFill="1" applyBorder="1" applyAlignment="1">
      <alignment horizontal="left" vertical="top" wrapText="1"/>
    </xf>
    <xf numFmtId="0" fontId="34" fillId="23" borderId="4" xfId="0" applyFont="1" applyFill="1" applyBorder="1" applyAlignment="1">
      <alignment horizontal="center" vertical="center" wrapText="1"/>
    </xf>
    <xf numFmtId="0" fontId="6" fillId="13" borderId="4" xfId="0" applyFont="1" applyFill="1" applyBorder="1" applyAlignment="1">
      <alignment horizontal="left" vertical="center" wrapText="1"/>
    </xf>
    <xf numFmtId="0" fontId="0" fillId="0" borderId="6" xfId="0" applyBorder="1"/>
    <xf numFmtId="0" fontId="10" fillId="12" borderId="4" xfId="0" applyFont="1" applyFill="1" applyBorder="1" applyAlignment="1">
      <alignment horizontal="left" vertical="center" wrapText="1"/>
    </xf>
    <xf numFmtId="0" fontId="24" fillId="9" borderId="4" xfId="0" applyFont="1" applyFill="1" applyBorder="1" applyAlignment="1">
      <alignment horizontal="left" vertical="center" wrapText="1"/>
    </xf>
    <xf numFmtId="0" fontId="0" fillId="0" borderId="5" xfId="0" applyBorder="1"/>
    <xf numFmtId="0" fontId="0" fillId="10" borderId="4" xfId="0" applyFill="1" applyBorder="1"/>
    <xf numFmtId="0" fontId="10" fillId="11" borderId="4" xfId="0" applyFont="1" applyFill="1" applyBorder="1" applyAlignment="1">
      <alignment horizontal="left" vertical="center" wrapText="1"/>
    </xf>
    <xf numFmtId="0" fontId="1" fillId="2" borderId="4" xfId="0" applyFont="1" applyFill="1" applyBorder="1" applyAlignment="1">
      <alignment horizontal="left" vertical="center"/>
    </xf>
    <xf numFmtId="0" fontId="7" fillId="12" borderId="4" xfId="0" applyFont="1" applyFill="1" applyBorder="1" applyAlignment="1">
      <alignment horizontal="left" vertical="center" wrapText="1"/>
    </xf>
    <xf numFmtId="0" fontId="7" fillId="11"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7" fillId="13" borderId="4" xfId="0" applyFont="1" applyFill="1" applyBorder="1" applyAlignment="1">
      <alignment horizontal="left" vertical="center"/>
    </xf>
    <xf numFmtId="0" fontId="8" fillId="11"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8" fillId="14" borderId="4" xfId="0" applyFont="1" applyFill="1" applyBorder="1" applyAlignment="1">
      <alignment horizontal="left" vertical="center" wrapText="1"/>
    </xf>
    <xf numFmtId="0" fontId="20" fillId="15" borderId="4" xfId="0" applyFont="1" applyFill="1" applyBorder="1" applyAlignment="1">
      <alignment horizontal="left" vertical="center" wrapText="1"/>
    </xf>
    <xf numFmtId="0" fontId="6" fillId="9"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3" fillId="2" borderId="1" xfId="0" applyFont="1" applyFill="1" applyBorder="1" applyAlignment="1">
      <alignment horizontal="left" vertical="center"/>
    </xf>
    <xf numFmtId="0" fontId="0" fillId="0" borderId="2" xfId="0" applyBorder="1"/>
    <xf numFmtId="0" fontId="0" fillId="0" borderId="3" xfId="0" applyBorder="1"/>
    <xf numFmtId="0" fontId="4" fillId="9" borderId="4" xfId="0" applyFont="1" applyFill="1" applyBorder="1" applyAlignment="1">
      <alignment horizontal="left" vertical="center" wrapText="1"/>
    </xf>
    <xf numFmtId="0" fontId="11" fillId="12" borderId="4" xfId="0" applyFont="1" applyFill="1" applyBorder="1" applyAlignment="1">
      <alignment horizontal="left" vertical="center" wrapText="1"/>
    </xf>
    <xf numFmtId="0" fontId="1" fillId="2" borderId="1" xfId="0" applyFont="1" applyFill="1" applyBorder="1" applyAlignment="1">
      <alignment horizontal="left" vertical="center"/>
    </xf>
    <xf numFmtId="0" fontId="9" fillId="13" borderId="4" xfId="0" applyFont="1" applyFill="1" applyBorder="1" applyAlignment="1">
      <alignment horizontal="left" vertical="center"/>
    </xf>
    <xf numFmtId="0" fontId="23" fillId="13"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5" borderId="4" xfId="0" applyFont="1" applyFill="1" applyBorder="1" applyAlignment="1">
      <alignment horizontal="left" vertical="center" wrapText="1"/>
    </xf>
    <xf numFmtId="0" fontId="14" fillId="14" borderId="4" xfId="0" applyFont="1" applyFill="1" applyBorder="1" applyAlignment="1">
      <alignment horizontal="left" vertical="center" wrapText="1"/>
    </xf>
    <xf numFmtId="0" fontId="3" fillId="7" borderId="1" xfId="0" applyFont="1" applyFill="1" applyBorder="1" applyAlignment="1">
      <alignment horizontal="left" vertical="center"/>
    </xf>
    <xf numFmtId="0" fontId="4" fillId="11" borderId="4" xfId="0" applyFont="1" applyFill="1" applyBorder="1" applyAlignment="1">
      <alignment horizontal="left" vertical="center" wrapText="1"/>
    </xf>
    <xf numFmtId="0" fontId="1" fillId="3" borderId="1" xfId="0" applyFont="1" applyFill="1" applyBorder="1" applyAlignment="1">
      <alignment horizontal="left" vertical="center"/>
    </xf>
    <xf numFmtId="0" fontId="10" fillId="15" borderId="4" xfId="0" applyFont="1" applyFill="1" applyBorder="1" applyAlignment="1">
      <alignment horizontal="left" vertical="center" wrapText="1"/>
    </xf>
    <xf numFmtId="0" fontId="8" fillId="15" borderId="4" xfId="0" applyFont="1" applyFill="1" applyBorder="1" applyAlignment="1">
      <alignment horizontal="left" vertical="center" wrapText="1"/>
    </xf>
    <xf numFmtId="0" fontId="10" fillId="14" borderId="4" xfId="0" applyFont="1" applyFill="1" applyBorder="1" applyAlignment="1">
      <alignment horizontal="left" vertical="center" wrapText="1"/>
    </xf>
    <xf numFmtId="0" fontId="3" fillId="2" borderId="4" xfId="0" applyFont="1" applyFill="1" applyBorder="1" applyAlignment="1">
      <alignment horizontal="center" vertical="center"/>
    </xf>
    <xf numFmtId="0" fontId="10" fillId="13"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15" fillId="13" borderId="4"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4" fillId="9" borderId="4" xfId="0" applyFont="1" applyFill="1" applyBorder="1" applyAlignment="1">
      <alignment horizontal="left" vertical="top" wrapText="1"/>
    </xf>
    <xf numFmtId="0" fontId="29" fillId="11" borderId="4" xfId="0" applyFont="1" applyFill="1" applyBorder="1" applyAlignment="1">
      <alignment horizontal="left" vertical="top" wrapText="1"/>
    </xf>
    <xf numFmtId="0" fontId="3" fillId="16" borderId="1" xfId="0" applyFont="1" applyFill="1" applyBorder="1" applyAlignment="1">
      <alignment horizontal="left" vertical="center"/>
    </xf>
    <xf numFmtId="0" fontId="7" fillId="12" borderId="4" xfId="0" applyFont="1" applyFill="1" applyBorder="1" applyAlignment="1">
      <alignment horizontal="left" vertical="top" wrapText="1"/>
    </xf>
    <xf numFmtId="0" fontId="29" fillId="12" borderId="4" xfId="0" applyFont="1" applyFill="1" applyBorder="1" applyAlignment="1">
      <alignment horizontal="left" vertical="top" wrapText="1"/>
    </xf>
    <xf numFmtId="0" fontId="16" fillId="14" borderId="4" xfId="0" applyFont="1" applyFill="1" applyBorder="1" applyAlignment="1">
      <alignment horizontal="left" vertical="center" wrapText="1"/>
    </xf>
    <xf numFmtId="0" fontId="7" fillId="12" borderId="4" xfId="0" applyFont="1" applyFill="1" applyBorder="1" applyAlignment="1">
      <alignment horizontal="left" vertical="center"/>
    </xf>
    <xf numFmtId="0" fontId="7" fillId="11" borderId="4" xfId="0" applyFont="1" applyFill="1" applyBorder="1" applyAlignment="1">
      <alignment horizontal="left" vertical="center"/>
    </xf>
    <xf numFmtId="0" fontId="29" fillId="17" borderId="4" xfId="0" applyFont="1" applyFill="1" applyBorder="1" applyAlignment="1">
      <alignment horizontal="left" vertical="top" wrapText="1"/>
    </xf>
    <xf numFmtId="0" fontId="7" fillId="15" borderId="4" xfId="0" applyFont="1" applyFill="1" applyBorder="1" applyAlignment="1">
      <alignment horizontal="left" vertical="center"/>
    </xf>
    <xf numFmtId="0" fontId="17" fillId="2" borderId="1" xfId="0" applyFont="1" applyFill="1" applyBorder="1" applyAlignment="1">
      <alignment horizontal="left" vertical="center"/>
    </xf>
    <xf numFmtId="0" fontId="7" fillId="11" borderId="4" xfId="0" applyFont="1" applyFill="1" applyBorder="1" applyAlignment="1">
      <alignment horizontal="left" vertical="top" wrapText="1"/>
    </xf>
    <xf numFmtId="0" fontId="1" fillId="3" borderId="4" xfId="0" applyFont="1" applyFill="1" applyBorder="1" applyAlignment="1">
      <alignment horizontal="left" vertical="center" wrapText="1"/>
    </xf>
    <xf numFmtId="0" fontId="3" fillId="16" borderId="4" xfId="0" applyFont="1" applyFill="1" applyBorder="1" applyAlignment="1">
      <alignment horizontal="left" vertical="center"/>
    </xf>
    <xf numFmtId="0" fontId="3" fillId="2" borderId="4" xfId="0" applyFont="1" applyFill="1" applyBorder="1" applyAlignment="1">
      <alignment horizontal="left" vertical="center"/>
    </xf>
    <xf numFmtId="0" fontId="29" fillId="15" borderId="4" xfId="0" applyFont="1" applyFill="1" applyBorder="1" applyAlignment="1">
      <alignment horizontal="left" vertical="center" wrapText="1"/>
    </xf>
    <xf numFmtId="0" fontId="3" fillId="7" borderId="4" xfId="0" applyFont="1" applyFill="1" applyBorder="1" applyAlignment="1">
      <alignment horizontal="left" vertical="center"/>
    </xf>
    <xf numFmtId="0" fontId="31" fillId="4" borderId="4" xfId="0" applyFont="1" applyFill="1" applyBorder="1" applyAlignment="1">
      <alignment horizontal="left" vertical="center" wrapText="1"/>
    </xf>
    <xf numFmtId="0" fontId="1" fillId="20" borderId="1" xfId="0" applyFont="1" applyFill="1" applyBorder="1" applyAlignment="1">
      <alignment horizontal="left" vertical="center"/>
    </xf>
    <xf numFmtId="0" fontId="1" fillId="16" borderId="1" xfId="0" applyFont="1" applyFill="1" applyBorder="1" applyAlignment="1">
      <alignment horizontal="left" vertical="center"/>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9DC862A-98C5-4AE7-82B7-642A02F4142A}">
  <we:reference id="WA200009404" version="1.0.0.8" store="Omex" storeType="OMEX"/>
  <we:alternateReferences>
    <we:reference id="WA200009404" version="1.0.0.8" store="WA200009404" storeType="OMEX"/>
  </we:alternateReferences>
  <we:properties>
    <we:property name="claude.fileId" value="&quot;7d5e8805-bc6e-42f3-898f-5ba381b798d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2"/>
  <sheetViews>
    <sheetView tabSelected="1" topLeftCell="A43" workbookViewId="0">
      <selection sqref="A1:G1"/>
    </sheetView>
  </sheetViews>
  <sheetFormatPr defaultRowHeight="14.4" x14ac:dyDescent="0.55000000000000004"/>
  <cols>
    <col min="1" max="1" width="3" customWidth="1"/>
    <col min="2" max="2" width="30" customWidth="1"/>
    <col min="3" max="4" width="18" customWidth="1"/>
    <col min="5" max="6" width="14" customWidth="1"/>
    <col min="7" max="7" width="22" customWidth="1"/>
  </cols>
  <sheetData>
    <row r="1" spans="1:7" ht="44.05" customHeight="1" x14ac:dyDescent="0.55000000000000004">
      <c r="A1" s="90" t="s">
        <v>0</v>
      </c>
      <c r="B1" s="86"/>
      <c r="C1" s="86"/>
      <c r="D1" s="86"/>
      <c r="E1" s="86"/>
      <c r="F1" s="86"/>
      <c r="G1" s="87"/>
    </row>
    <row r="2" spans="1:7" ht="22" customHeight="1" x14ac:dyDescent="0.55000000000000004">
      <c r="A2" s="98" t="s">
        <v>1</v>
      </c>
      <c r="B2" s="86"/>
      <c r="C2" s="86"/>
      <c r="D2" s="86"/>
      <c r="E2" s="86"/>
      <c r="F2" s="86"/>
      <c r="G2" s="87"/>
    </row>
    <row r="3" spans="1:7" ht="48" customHeight="1" x14ac:dyDescent="0.55000000000000004">
      <c r="A3" s="93" t="s">
        <v>2</v>
      </c>
      <c r="B3" s="71"/>
      <c r="C3" s="71"/>
      <c r="D3" s="71"/>
      <c r="E3" s="71"/>
      <c r="F3" s="71"/>
      <c r="G3" s="68"/>
    </row>
    <row r="4" spans="1:7" ht="26.05" customHeight="1" x14ac:dyDescent="0.55000000000000004">
      <c r="A4" s="94" t="s">
        <v>3</v>
      </c>
      <c r="B4" s="71"/>
      <c r="C4" s="71"/>
      <c r="D4" s="71"/>
      <c r="E4" s="71"/>
      <c r="F4" s="71"/>
      <c r="G4" s="68"/>
    </row>
    <row r="5" spans="1:7" ht="5.05" customHeight="1" x14ac:dyDescent="0.55000000000000004">
      <c r="A5" s="1"/>
      <c r="B5" s="1"/>
      <c r="C5" s="1"/>
      <c r="D5" s="1"/>
      <c r="E5" s="1"/>
      <c r="F5" s="1"/>
      <c r="G5" s="1"/>
    </row>
    <row r="6" spans="1:7" ht="24" customHeight="1" x14ac:dyDescent="0.55000000000000004">
      <c r="A6" s="96" t="s">
        <v>4</v>
      </c>
      <c r="B6" s="86"/>
      <c r="C6" s="86"/>
      <c r="D6" s="86"/>
      <c r="E6" s="86"/>
      <c r="F6" s="86"/>
      <c r="G6" s="87"/>
    </row>
    <row r="7" spans="1:7" ht="18" customHeight="1" x14ac:dyDescent="0.55000000000000004">
      <c r="A7" s="2"/>
      <c r="B7" s="2" t="s">
        <v>5</v>
      </c>
      <c r="C7" s="2"/>
      <c r="D7" s="2"/>
      <c r="E7" s="2" t="s">
        <v>6</v>
      </c>
      <c r="F7" s="2"/>
      <c r="G7" s="2" t="s">
        <v>7</v>
      </c>
    </row>
    <row r="8" spans="1:7" ht="28" customHeight="1" x14ac:dyDescent="0.55000000000000004">
      <c r="A8" s="88" t="s">
        <v>8</v>
      </c>
      <c r="B8" s="71"/>
      <c r="C8" s="71"/>
      <c r="D8" s="68"/>
      <c r="E8" s="3" t="s">
        <v>9</v>
      </c>
      <c r="F8" s="83" t="s">
        <v>10</v>
      </c>
      <c r="G8" s="68"/>
    </row>
    <row r="9" spans="1:7" ht="28" customHeight="1" x14ac:dyDescent="0.55000000000000004">
      <c r="A9" s="88" t="s">
        <v>11</v>
      </c>
      <c r="B9" s="71"/>
      <c r="C9" s="71"/>
      <c r="D9" s="68"/>
      <c r="E9" s="3" t="s">
        <v>9</v>
      </c>
      <c r="F9" s="83" t="s">
        <v>12</v>
      </c>
      <c r="G9" s="68"/>
    </row>
    <row r="10" spans="1:7" ht="28" customHeight="1" x14ac:dyDescent="0.55000000000000004">
      <c r="A10" s="88" t="s">
        <v>13</v>
      </c>
      <c r="B10" s="71"/>
      <c r="C10" s="71"/>
      <c r="D10" s="68"/>
      <c r="E10" s="3" t="s">
        <v>9</v>
      </c>
      <c r="F10" s="83" t="s">
        <v>14</v>
      </c>
      <c r="G10" s="68"/>
    </row>
    <row r="11" spans="1:7" ht="28" customHeight="1" x14ac:dyDescent="0.55000000000000004">
      <c r="A11" s="88" t="s">
        <v>15</v>
      </c>
      <c r="B11" s="71"/>
      <c r="C11" s="71"/>
      <c r="D11" s="68"/>
      <c r="E11" s="3" t="s">
        <v>9</v>
      </c>
      <c r="F11" s="83" t="s">
        <v>16</v>
      </c>
      <c r="G11" s="68"/>
    </row>
    <row r="12" spans="1:7" ht="28" customHeight="1" x14ac:dyDescent="0.55000000000000004">
      <c r="A12" s="76" t="s">
        <v>17</v>
      </c>
      <c r="B12" s="71"/>
      <c r="C12" s="71"/>
      <c r="D12" s="68"/>
      <c r="E12" s="3" t="s">
        <v>9</v>
      </c>
      <c r="F12" s="79" t="s">
        <v>18</v>
      </c>
      <c r="G12" s="68"/>
    </row>
    <row r="13" spans="1:7" ht="28" customHeight="1" x14ac:dyDescent="0.55000000000000004">
      <c r="A13" s="75" t="s">
        <v>19</v>
      </c>
      <c r="B13" s="71"/>
      <c r="C13" s="71"/>
      <c r="D13" s="68"/>
      <c r="E13" s="3" t="s">
        <v>9</v>
      </c>
      <c r="F13" s="77" t="s">
        <v>20</v>
      </c>
      <c r="G13" s="68"/>
    </row>
    <row r="14" spans="1:7" ht="28" customHeight="1" x14ac:dyDescent="0.55000000000000004">
      <c r="A14" s="76" t="s">
        <v>21</v>
      </c>
      <c r="B14" s="71"/>
      <c r="C14" s="71"/>
      <c r="D14" s="68"/>
      <c r="E14" s="3" t="s">
        <v>9</v>
      </c>
      <c r="F14" s="79" t="s">
        <v>22</v>
      </c>
      <c r="G14" s="68"/>
    </row>
    <row r="15" spans="1:7" ht="28" customHeight="1" x14ac:dyDescent="0.55000000000000004">
      <c r="A15" s="75" t="s">
        <v>23</v>
      </c>
      <c r="B15" s="71"/>
      <c r="C15" s="71"/>
      <c r="D15" s="68"/>
      <c r="E15" s="3" t="s">
        <v>9</v>
      </c>
      <c r="F15" s="77" t="s">
        <v>24</v>
      </c>
      <c r="G15" s="68"/>
    </row>
    <row r="16" spans="1:7" ht="24" customHeight="1" x14ac:dyDescent="0.55000000000000004">
      <c r="A16" s="78" t="s">
        <v>25</v>
      </c>
      <c r="B16" s="71"/>
      <c r="C16" s="71"/>
      <c r="D16" s="68"/>
      <c r="E16" s="4" t="str">
        <f>IF(AND(E8="EVET",E9="EVET",E10="EVET",E11="EVET",E13="EVET"),"OK - Hesaplanabilir","HATA - Ön koşul eksik")</f>
        <v>OK - Hesaplanabilir</v>
      </c>
      <c r="F16" s="67" t="s">
        <v>26</v>
      </c>
      <c r="G16" s="68"/>
    </row>
    <row r="17" spans="1:7" ht="5.05" customHeight="1" x14ac:dyDescent="0.55000000000000004">
      <c r="A17" s="1"/>
      <c r="B17" s="1"/>
      <c r="C17" s="1"/>
      <c r="D17" s="1"/>
      <c r="E17" s="1"/>
      <c r="F17" s="1"/>
      <c r="G17" s="1"/>
    </row>
    <row r="18" spans="1:7" ht="22" customHeight="1" x14ac:dyDescent="0.55000000000000004">
      <c r="A18" s="85" t="s">
        <v>27</v>
      </c>
      <c r="B18" s="86"/>
      <c r="C18" s="86"/>
      <c r="D18" s="86"/>
      <c r="E18" s="86"/>
      <c r="F18" s="86"/>
      <c r="G18" s="87"/>
    </row>
    <row r="19" spans="1:7" ht="22" customHeight="1" x14ac:dyDescent="0.55000000000000004">
      <c r="A19" s="75" t="s">
        <v>28</v>
      </c>
      <c r="B19" s="68"/>
      <c r="C19" s="72"/>
      <c r="D19" s="71"/>
      <c r="E19" s="68"/>
      <c r="F19" s="69" t="s">
        <v>29</v>
      </c>
      <c r="G19" s="68"/>
    </row>
    <row r="20" spans="1:7" ht="22" customHeight="1" x14ac:dyDescent="0.55000000000000004">
      <c r="A20" s="76" t="s">
        <v>30</v>
      </c>
      <c r="B20" s="68"/>
      <c r="C20" s="72"/>
      <c r="D20" s="71"/>
      <c r="E20" s="68"/>
      <c r="F20" s="73" t="s">
        <v>31</v>
      </c>
      <c r="G20" s="68"/>
    </row>
    <row r="21" spans="1:7" ht="22" customHeight="1" x14ac:dyDescent="0.55000000000000004">
      <c r="A21" s="75" t="s">
        <v>32</v>
      </c>
      <c r="B21" s="68"/>
      <c r="C21" s="72"/>
      <c r="D21" s="71"/>
      <c r="E21" s="68"/>
      <c r="F21" s="69" t="s">
        <v>33</v>
      </c>
      <c r="G21" s="68"/>
    </row>
    <row r="22" spans="1:7" ht="22" customHeight="1" x14ac:dyDescent="0.55000000000000004">
      <c r="A22" s="76" t="s">
        <v>34</v>
      </c>
      <c r="B22" s="68"/>
      <c r="C22" s="72"/>
      <c r="D22" s="71"/>
      <c r="E22" s="68"/>
      <c r="F22" s="73" t="s">
        <v>35</v>
      </c>
      <c r="G22" s="68"/>
    </row>
    <row r="23" spans="1:7" ht="22" customHeight="1" x14ac:dyDescent="0.55000000000000004">
      <c r="A23" s="75" t="s">
        <v>36</v>
      </c>
      <c r="B23" s="68"/>
      <c r="C23" s="72"/>
      <c r="D23" s="71"/>
      <c r="E23" s="68"/>
      <c r="F23" s="69" t="s">
        <v>37</v>
      </c>
      <c r="G23" s="68"/>
    </row>
    <row r="24" spans="1:7" ht="22" customHeight="1" x14ac:dyDescent="0.55000000000000004">
      <c r="A24" s="76" t="s">
        <v>38</v>
      </c>
      <c r="B24" s="68"/>
      <c r="C24" s="72"/>
      <c r="D24" s="71"/>
      <c r="E24" s="68"/>
      <c r="F24" s="73" t="s">
        <v>39</v>
      </c>
      <c r="G24" s="68"/>
    </row>
    <row r="25" spans="1:7" ht="22" customHeight="1" x14ac:dyDescent="0.55000000000000004">
      <c r="A25" s="75" t="s">
        <v>40</v>
      </c>
      <c r="B25" s="68"/>
      <c r="C25" s="72"/>
      <c r="D25" s="71"/>
      <c r="E25" s="68"/>
      <c r="F25" s="69" t="s">
        <v>41</v>
      </c>
      <c r="G25" s="68"/>
    </row>
    <row r="26" spans="1:7" ht="22" customHeight="1" x14ac:dyDescent="0.55000000000000004">
      <c r="A26" s="76" t="s">
        <v>42</v>
      </c>
      <c r="B26" s="68"/>
      <c r="C26" s="72"/>
      <c r="D26" s="71"/>
      <c r="E26" s="68"/>
      <c r="F26" s="73" t="s">
        <v>43</v>
      </c>
      <c r="G26" s="68"/>
    </row>
    <row r="28" spans="1:7" ht="5.05" customHeight="1" x14ac:dyDescent="0.55000000000000004">
      <c r="A28" s="1"/>
      <c r="B28" s="1"/>
      <c r="C28" s="1"/>
      <c r="D28" s="1"/>
      <c r="E28" s="1"/>
      <c r="F28" s="1"/>
      <c r="G28" s="1"/>
    </row>
    <row r="29" spans="1:7" ht="24" customHeight="1" x14ac:dyDescent="0.55000000000000004">
      <c r="A29" s="85" t="s">
        <v>44</v>
      </c>
      <c r="B29" s="86"/>
      <c r="C29" s="86"/>
      <c r="D29" s="86"/>
      <c r="E29" s="86"/>
      <c r="F29" s="86"/>
      <c r="G29" s="87"/>
    </row>
    <row r="30" spans="1:7" ht="18" customHeight="1" x14ac:dyDescent="0.55000000000000004">
      <c r="A30" s="2"/>
      <c r="B30" s="2" t="s">
        <v>45</v>
      </c>
      <c r="C30" s="2"/>
      <c r="D30" s="2" t="s">
        <v>46</v>
      </c>
      <c r="E30" s="2"/>
      <c r="F30" s="2" t="s">
        <v>47</v>
      </c>
      <c r="G30" s="2" t="s">
        <v>48</v>
      </c>
    </row>
    <row r="31" spans="1:7" ht="26.05" customHeight="1" x14ac:dyDescent="0.55000000000000004">
      <c r="A31" s="75" t="s">
        <v>49</v>
      </c>
      <c r="B31" s="68"/>
      <c r="C31" s="3" t="s">
        <v>50</v>
      </c>
      <c r="D31" s="69" t="s">
        <v>51</v>
      </c>
      <c r="E31" s="68"/>
      <c r="F31" s="89" t="s">
        <v>52</v>
      </c>
      <c r="G31" s="68"/>
    </row>
    <row r="32" spans="1:7" ht="26.05" customHeight="1" x14ac:dyDescent="0.55000000000000004">
      <c r="A32" s="76" t="s">
        <v>53</v>
      </c>
      <c r="B32" s="68"/>
      <c r="C32" s="3" t="s">
        <v>54</v>
      </c>
      <c r="D32" s="73" t="s">
        <v>55</v>
      </c>
      <c r="E32" s="68"/>
      <c r="F32" s="84" t="s">
        <v>56</v>
      </c>
      <c r="G32" s="68"/>
    </row>
    <row r="33" spans="1:7" ht="26.05" customHeight="1" x14ac:dyDescent="0.55000000000000004">
      <c r="A33" s="75" t="s">
        <v>57</v>
      </c>
      <c r="B33" s="68"/>
      <c r="C33" s="3" t="s">
        <v>58</v>
      </c>
      <c r="D33" s="69" t="s">
        <v>59</v>
      </c>
      <c r="E33" s="68"/>
      <c r="F33" s="89" t="s">
        <v>60</v>
      </c>
      <c r="G33" s="68"/>
    </row>
    <row r="34" spans="1:7" ht="26.05" customHeight="1" x14ac:dyDescent="0.55000000000000004">
      <c r="A34" s="76" t="s">
        <v>61</v>
      </c>
      <c r="B34" s="68"/>
      <c r="C34" s="5"/>
      <c r="D34" s="73" t="s">
        <v>62</v>
      </c>
      <c r="E34" s="68"/>
      <c r="F34" s="84" t="s">
        <v>63</v>
      </c>
      <c r="G34" s="68"/>
    </row>
    <row r="35" spans="1:7" ht="26.05" customHeight="1" x14ac:dyDescent="0.55000000000000004">
      <c r="A35" s="80" t="s">
        <v>64</v>
      </c>
      <c r="B35" s="68"/>
      <c r="C35" s="5"/>
      <c r="D35" s="69" t="s">
        <v>65</v>
      </c>
      <c r="E35" s="68"/>
      <c r="F35" s="89" t="s">
        <v>66</v>
      </c>
      <c r="G35" s="68"/>
    </row>
    <row r="36" spans="1:7" ht="26.05" customHeight="1" x14ac:dyDescent="0.55000000000000004">
      <c r="A36" s="76" t="s">
        <v>67</v>
      </c>
      <c r="B36" s="68"/>
      <c r="C36" s="5"/>
      <c r="D36" s="73" t="s">
        <v>68</v>
      </c>
      <c r="E36" s="68"/>
      <c r="F36" s="84" t="s">
        <v>69</v>
      </c>
      <c r="G36" s="68"/>
    </row>
    <row r="37" spans="1:7" ht="26.05" customHeight="1" x14ac:dyDescent="0.55000000000000004">
      <c r="A37" s="80" t="s">
        <v>70</v>
      </c>
      <c r="B37" s="68"/>
      <c r="C37" s="6">
        <f>C35+C36</f>
        <v>0</v>
      </c>
      <c r="D37" s="69" t="s">
        <v>71</v>
      </c>
      <c r="E37" s="68"/>
      <c r="F37" s="89" t="s">
        <v>72</v>
      </c>
      <c r="G37" s="68"/>
    </row>
    <row r="38" spans="1:7" ht="26.05" customHeight="1" x14ac:dyDescent="0.55000000000000004">
      <c r="A38" s="97" t="s">
        <v>73</v>
      </c>
      <c r="B38" s="68"/>
      <c r="C38" s="3" t="s">
        <v>9</v>
      </c>
      <c r="D38" s="73" t="s">
        <v>74</v>
      </c>
      <c r="E38" s="68"/>
      <c r="F38" s="84" t="s">
        <v>75</v>
      </c>
      <c r="G38" s="68"/>
    </row>
    <row r="39" spans="1:7" ht="26.05" customHeight="1" x14ac:dyDescent="0.55000000000000004">
      <c r="A39" s="75" t="s">
        <v>76</v>
      </c>
      <c r="B39" s="68"/>
      <c r="C39" s="3" t="s">
        <v>77</v>
      </c>
      <c r="D39" s="69" t="s">
        <v>78</v>
      </c>
      <c r="E39" s="68"/>
      <c r="F39" s="89" t="s">
        <v>79</v>
      </c>
      <c r="G39" s="68"/>
    </row>
    <row r="40" spans="1:7" ht="5.05" customHeight="1" x14ac:dyDescent="0.55000000000000004">
      <c r="A40" s="1"/>
      <c r="B40" s="1"/>
      <c r="C40" s="1"/>
      <c r="D40" s="1"/>
      <c r="E40" s="1"/>
      <c r="F40" s="1"/>
      <c r="G40" s="1"/>
    </row>
    <row r="41" spans="1:7" ht="24" customHeight="1" x14ac:dyDescent="0.55000000000000004">
      <c r="A41" s="85" t="s">
        <v>80</v>
      </c>
      <c r="B41" s="86"/>
      <c r="C41" s="86"/>
      <c r="D41" s="86"/>
      <c r="E41" s="86"/>
      <c r="F41" s="86"/>
      <c r="G41" s="87"/>
    </row>
    <row r="42" spans="1:7" ht="22" customHeight="1" x14ac:dyDescent="0.55000000000000004">
      <c r="A42" s="106" t="s">
        <v>81</v>
      </c>
      <c r="B42" s="71"/>
      <c r="C42" s="71"/>
      <c r="D42" s="71"/>
      <c r="E42" s="71"/>
      <c r="F42" s="71"/>
      <c r="G42" s="68"/>
    </row>
    <row r="43" spans="1:7" ht="18" customHeight="1" x14ac:dyDescent="0.55000000000000004">
      <c r="A43" s="7" t="s">
        <v>82</v>
      </c>
      <c r="B43" s="7" t="s">
        <v>83</v>
      </c>
      <c r="C43" s="7" t="s">
        <v>84</v>
      </c>
      <c r="D43" s="7" t="s">
        <v>85</v>
      </c>
      <c r="E43" s="7" t="s">
        <v>86</v>
      </c>
      <c r="F43" s="7" t="s">
        <v>87</v>
      </c>
      <c r="G43" s="7" t="s">
        <v>88</v>
      </c>
    </row>
    <row r="44" spans="1:7" ht="26.05" customHeight="1" x14ac:dyDescent="0.55000000000000004">
      <c r="A44" s="8"/>
      <c r="B44" s="9"/>
      <c r="C44" s="10"/>
      <c r="D44" s="10"/>
      <c r="E44" s="11">
        <f t="shared" ref="E44:E49" si="0">IF(OR(C44&gt;0,D44&gt;0),C44+D44,0)</f>
        <v>0</v>
      </c>
      <c r="F44" s="12">
        <f t="shared" ref="F44:F49" si="1">E44</f>
        <v>0</v>
      </c>
      <c r="G44" s="13"/>
    </row>
    <row r="45" spans="1:7" ht="26.05" customHeight="1" x14ac:dyDescent="0.55000000000000004">
      <c r="A45" s="8"/>
      <c r="B45" s="9"/>
      <c r="C45" s="10"/>
      <c r="D45" s="10"/>
      <c r="E45" s="14">
        <f t="shared" si="0"/>
        <v>0</v>
      </c>
      <c r="F45" s="12">
        <f t="shared" si="1"/>
        <v>0</v>
      </c>
      <c r="G45" s="13"/>
    </row>
    <row r="46" spans="1:7" ht="26.05" customHeight="1" x14ac:dyDescent="0.55000000000000004">
      <c r="A46" s="8"/>
      <c r="B46" s="9"/>
      <c r="C46" s="10"/>
      <c r="D46" s="10"/>
      <c r="E46" s="11">
        <f t="shared" si="0"/>
        <v>0</v>
      </c>
      <c r="F46" s="12">
        <f t="shared" si="1"/>
        <v>0</v>
      </c>
      <c r="G46" s="13"/>
    </row>
    <row r="47" spans="1:7" ht="26.05" customHeight="1" x14ac:dyDescent="0.55000000000000004">
      <c r="A47" s="8"/>
      <c r="B47" s="9"/>
      <c r="C47" s="10"/>
      <c r="D47" s="10"/>
      <c r="E47" s="14">
        <f t="shared" si="0"/>
        <v>0</v>
      </c>
      <c r="F47" s="12">
        <f t="shared" si="1"/>
        <v>0</v>
      </c>
      <c r="G47" s="13"/>
    </row>
    <row r="48" spans="1:7" ht="26.05" customHeight="1" x14ac:dyDescent="0.55000000000000004">
      <c r="A48" s="8"/>
      <c r="B48" s="9"/>
      <c r="C48" s="10"/>
      <c r="D48" s="10"/>
      <c r="E48" s="11">
        <f t="shared" si="0"/>
        <v>0</v>
      </c>
      <c r="F48" s="12">
        <f t="shared" si="1"/>
        <v>0</v>
      </c>
      <c r="G48" s="13"/>
    </row>
    <row r="49" spans="1:7" ht="26.05" customHeight="1" x14ac:dyDescent="0.55000000000000004">
      <c r="A49" s="8"/>
      <c r="B49" s="9"/>
      <c r="C49" s="10"/>
      <c r="D49" s="10"/>
      <c r="E49" s="14">
        <f t="shared" si="0"/>
        <v>0</v>
      </c>
      <c r="F49" s="12">
        <f t="shared" si="1"/>
        <v>0</v>
      </c>
      <c r="G49" s="13"/>
    </row>
    <row r="50" spans="1:7" ht="30" customHeight="1" x14ac:dyDescent="0.55000000000000004">
      <c r="A50" s="102" t="s">
        <v>89</v>
      </c>
      <c r="B50" s="68"/>
      <c r="C50" s="15">
        <f>SUM(C44:C49)</f>
        <v>0</v>
      </c>
      <c r="D50" s="15">
        <f>SUM(D44:D49)</f>
        <v>0</v>
      </c>
      <c r="E50" s="16">
        <f>SUM(E44:E49)</f>
        <v>0</v>
      </c>
      <c r="F50" s="17">
        <f>SUM(F44:F49)</f>
        <v>0</v>
      </c>
      <c r="G50" s="74" t="s">
        <v>90</v>
      </c>
    </row>
    <row r="51" spans="1:7" ht="5.05" customHeight="1" x14ac:dyDescent="0.55000000000000004">
      <c r="A51" s="1"/>
      <c r="B51" s="1"/>
      <c r="C51" s="1"/>
      <c r="D51" s="1"/>
      <c r="E51" s="1"/>
      <c r="F51" s="1"/>
      <c r="G51" s="1"/>
    </row>
    <row r="52" spans="1:7" ht="24" customHeight="1" x14ac:dyDescent="0.55000000000000004">
      <c r="A52" s="85" t="s">
        <v>91</v>
      </c>
      <c r="B52" s="86"/>
      <c r="C52" s="86"/>
      <c r="D52" s="86"/>
      <c r="E52" s="86"/>
      <c r="F52" s="86"/>
      <c r="G52" s="87"/>
    </row>
    <row r="53" spans="1:7" ht="18" customHeight="1" x14ac:dyDescent="0.55000000000000004">
      <c r="A53" s="2"/>
      <c r="B53" s="2" t="s">
        <v>92</v>
      </c>
      <c r="C53" s="2"/>
      <c r="D53" s="2" t="s">
        <v>93</v>
      </c>
      <c r="E53" s="2"/>
      <c r="F53" s="2" t="s">
        <v>47</v>
      </c>
      <c r="G53" s="2" t="s">
        <v>94</v>
      </c>
    </row>
    <row r="54" spans="1:7" ht="28" customHeight="1" x14ac:dyDescent="0.55000000000000004">
      <c r="A54" s="76" t="s">
        <v>95</v>
      </c>
      <c r="B54" s="68"/>
      <c r="C54" s="18">
        <f>C50</f>
        <v>0</v>
      </c>
      <c r="D54" s="73" t="s">
        <v>96</v>
      </c>
      <c r="E54" s="68"/>
      <c r="F54" s="79"/>
      <c r="G54" s="68"/>
    </row>
    <row r="55" spans="1:7" ht="28" customHeight="1" x14ac:dyDescent="0.55000000000000004">
      <c r="A55" s="75" t="s">
        <v>97</v>
      </c>
      <c r="B55" s="68"/>
      <c r="C55" s="18">
        <f>D50</f>
        <v>0</v>
      </c>
      <c r="D55" s="69" t="s">
        <v>98</v>
      </c>
      <c r="E55" s="68"/>
      <c r="F55" s="77"/>
      <c r="G55" s="68"/>
    </row>
    <row r="56" spans="1:7" ht="28" customHeight="1" x14ac:dyDescent="0.55000000000000004">
      <c r="A56" s="76" t="s">
        <v>99</v>
      </c>
      <c r="B56" s="68"/>
      <c r="C56" s="18">
        <f>E50</f>
        <v>0</v>
      </c>
      <c r="D56" s="73" t="s">
        <v>100</v>
      </c>
      <c r="E56" s="68"/>
      <c r="F56" s="79"/>
      <c r="G56" s="68"/>
    </row>
    <row r="57" spans="1:7" ht="28" customHeight="1" x14ac:dyDescent="0.55000000000000004">
      <c r="A57" s="95" t="s">
        <v>101</v>
      </c>
      <c r="B57" s="68"/>
      <c r="C57" s="19" t="s">
        <v>102</v>
      </c>
      <c r="D57" s="101" t="s">
        <v>103</v>
      </c>
      <c r="E57" s="68"/>
      <c r="F57" s="81" t="s">
        <v>104</v>
      </c>
      <c r="G57" s="68"/>
    </row>
    <row r="58" spans="1:7" ht="28" customHeight="1" x14ac:dyDescent="0.55000000000000004">
      <c r="A58" s="105" t="s">
        <v>105</v>
      </c>
      <c r="B58" s="68"/>
      <c r="C58" s="20">
        <f>F50</f>
        <v>0</v>
      </c>
      <c r="D58" s="103" t="s">
        <v>106</v>
      </c>
      <c r="E58" s="68"/>
      <c r="F58" s="104" t="s">
        <v>107</v>
      </c>
      <c r="G58" s="68"/>
    </row>
    <row r="59" spans="1:7" ht="28" customHeight="1" x14ac:dyDescent="0.55000000000000004">
      <c r="A59" s="82" t="s">
        <v>108</v>
      </c>
      <c r="B59" s="68"/>
      <c r="C59" s="21" t="s">
        <v>109</v>
      </c>
      <c r="D59" s="99" t="s">
        <v>110</v>
      </c>
      <c r="E59" s="68"/>
      <c r="F59" s="100" t="s">
        <v>111</v>
      </c>
      <c r="G59" s="68"/>
    </row>
    <row r="60" spans="1:7" ht="5.05" customHeight="1" x14ac:dyDescent="0.55000000000000004">
      <c r="A60" s="1"/>
      <c r="B60" s="1"/>
      <c r="C60" s="1"/>
      <c r="D60" s="1"/>
      <c r="E60" s="1"/>
      <c r="F60" s="1"/>
      <c r="G60" s="1"/>
    </row>
    <row r="61" spans="1:7" ht="32.049999999999997" customHeight="1" x14ac:dyDescent="0.55000000000000004">
      <c r="A61" s="91" t="s">
        <v>112</v>
      </c>
      <c r="B61" s="71"/>
      <c r="C61" s="71"/>
      <c r="D61" s="68"/>
      <c r="E61" s="22">
        <f>C58</f>
        <v>0</v>
      </c>
      <c r="F61" s="92" t="s">
        <v>113</v>
      </c>
      <c r="G61" s="68"/>
    </row>
    <row r="62" spans="1:7" ht="44.05" customHeight="1" x14ac:dyDescent="0.55000000000000004">
      <c r="A62" s="70" t="s">
        <v>114</v>
      </c>
      <c r="B62" s="71"/>
      <c r="C62" s="71"/>
      <c r="D62" s="71"/>
      <c r="E62" s="71"/>
      <c r="F62" s="71"/>
      <c r="G62" s="68"/>
    </row>
  </sheetData>
  <mergeCells count="102">
    <mergeCell ref="A2:G2"/>
    <mergeCell ref="F14:G14"/>
    <mergeCell ref="D54:E54"/>
    <mergeCell ref="A14:D14"/>
    <mergeCell ref="F11:G11"/>
    <mergeCell ref="A24:B24"/>
    <mergeCell ref="D59:E59"/>
    <mergeCell ref="A29:G29"/>
    <mergeCell ref="F59:G59"/>
    <mergeCell ref="F55:G55"/>
    <mergeCell ref="F12:G12"/>
    <mergeCell ref="F24:G24"/>
    <mergeCell ref="A25:B25"/>
    <mergeCell ref="D57:E57"/>
    <mergeCell ref="D32:E32"/>
    <mergeCell ref="F32:G32"/>
    <mergeCell ref="F26:G26"/>
    <mergeCell ref="F35:G35"/>
    <mergeCell ref="A50:B50"/>
    <mergeCell ref="C19:E19"/>
    <mergeCell ref="F38:G38"/>
    <mergeCell ref="D58:E58"/>
    <mergeCell ref="A41:G41"/>
    <mergeCell ref="F58:G58"/>
    <mergeCell ref="F8:G8"/>
    <mergeCell ref="A21:B21"/>
    <mergeCell ref="A57:B57"/>
    <mergeCell ref="A6:G6"/>
    <mergeCell ref="A32:B32"/>
    <mergeCell ref="F22:G22"/>
    <mergeCell ref="A23:B23"/>
    <mergeCell ref="A38:B38"/>
    <mergeCell ref="D55:E55"/>
    <mergeCell ref="A18:G18"/>
    <mergeCell ref="A12:D12"/>
    <mergeCell ref="A20:B20"/>
    <mergeCell ref="F37:G37"/>
    <mergeCell ref="A31:B31"/>
    <mergeCell ref="A42:G42"/>
    <mergeCell ref="A9:D9"/>
    <mergeCell ref="F20:G20"/>
    <mergeCell ref="F33:G33"/>
    <mergeCell ref="A37:B37"/>
    <mergeCell ref="A11:D11"/>
    <mergeCell ref="A26:B26"/>
    <mergeCell ref="A1:G1"/>
    <mergeCell ref="A61:D61"/>
    <mergeCell ref="D37:E37"/>
    <mergeCell ref="F31:G31"/>
    <mergeCell ref="F9:G9"/>
    <mergeCell ref="C24:E24"/>
    <mergeCell ref="D39:E39"/>
    <mergeCell ref="F61:G61"/>
    <mergeCell ref="F39:G39"/>
    <mergeCell ref="A3:G3"/>
    <mergeCell ref="D38:E38"/>
    <mergeCell ref="C26:E26"/>
    <mergeCell ref="A34:B34"/>
    <mergeCell ref="A8:D8"/>
    <mergeCell ref="A4:G4"/>
    <mergeCell ref="A36:B36"/>
    <mergeCell ref="A10:D10"/>
    <mergeCell ref="F21:G21"/>
    <mergeCell ref="F57:G57"/>
    <mergeCell ref="A39:B39"/>
    <mergeCell ref="D35:E35"/>
    <mergeCell ref="C25:E25"/>
    <mergeCell ref="A59:B59"/>
    <mergeCell ref="F10:G10"/>
    <mergeCell ref="F54:G54"/>
    <mergeCell ref="D34:E34"/>
    <mergeCell ref="F19:G19"/>
    <mergeCell ref="C22:E22"/>
    <mergeCell ref="F34:G34"/>
    <mergeCell ref="A52:G52"/>
    <mergeCell ref="F36:G36"/>
    <mergeCell ref="A55:B55"/>
    <mergeCell ref="A58:B58"/>
    <mergeCell ref="F16:G16"/>
    <mergeCell ref="F25:G25"/>
    <mergeCell ref="A62:G62"/>
    <mergeCell ref="C21:E21"/>
    <mergeCell ref="D31:E31"/>
    <mergeCell ref="D36:E36"/>
    <mergeCell ref="G50"/>
    <mergeCell ref="A13:D13"/>
    <mergeCell ref="A54:B54"/>
    <mergeCell ref="F15:G15"/>
    <mergeCell ref="C23:E23"/>
    <mergeCell ref="A15:D15"/>
    <mergeCell ref="A56:B56"/>
    <mergeCell ref="A33:B33"/>
    <mergeCell ref="F23:G23"/>
    <mergeCell ref="A16:D16"/>
    <mergeCell ref="F13:G13"/>
    <mergeCell ref="D56:E56"/>
    <mergeCell ref="F56:G56"/>
    <mergeCell ref="A22:B22"/>
    <mergeCell ref="A35:B35"/>
    <mergeCell ref="D33:E33"/>
    <mergeCell ref="A19:B19"/>
    <mergeCell ref="C20:E20"/>
  </mergeCells>
  <conditionalFormatting sqref="E16">
    <cfRule type="containsText" dxfId="3" priority="1" operator="containsText" text="OK">
      <formula>NOT(ISERROR(SEARCH("OK",E16)))</formula>
    </cfRule>
    <cfRule type="containsText" dxfId="2" priority="2" operator="containsText" text="HATA">
      <formula>NOT(ISERROR(SEARCH("HATA",E16)))</formula>
    </cfRule>
  </conditionalFormatting>
  <dataValidations count="12">
    <dataValidation type="list" sqref="E8" xr:uid="{00000000-0002-0000-0000-000000000000}">
      <formula1>"EVET,HAYIR-Lise/Üniversite/Özel Okul"</formula1>
    </dataValidation>
    <dataValidation type="list" sqref="E9" xr:uid="{00000000-0002-0000-0000-000001000000}">
      <formula1>"EVET,HAYIR-Yetkisiz Alıcı"</formula1>
    </dataValidation>
    <dataValidation type="list" sqref="E10" xr:uid="{00000000-0002-0000-0000-000002000000}">
      <formula1>"EVET,HAYIR-222 s.K. Dışı Amaç"</formula1>
    </dataValidation>
    <dataValidation type="list" sqref="E11" xr:uid="{00000000-0002-0000-0000-000003000000}">
      <formula1>"EVET,HAYIR-Henüz Yapılmadı"</formula1>
    </dataValidation>
    <dataValidation type="list" sqref="E12 C38" xr:uid="{00000000-0002-0000-0000-000004000000}">
      <formula1>"EVET,HAYIR-Belge Eksik"</formula1>
    </dataValidation>
    <dataValidation type="list" sqref="E13" xr:uid="{00000000-0002-0000-0000-000005000000}">
      <formula1>"EVET,HAYIR-Özel Okul Bağışı"</formula1>
    </dataValidation>
    <dataValidation type="list" sqref="E14" xr:uid="{00000000-0002-0000-0000-000006000000}">
      <formula1>"EVET,HAYIR-Eksik"</formula1>
    </dataValidation>
    <dataValidation type="list" sqref="E15" xr:uid="{00000000-0002-0000-0000-000007000000}">
      <formula1>"EVET,Tam Tasdik"</formula1>
    </dataValidation>
    <dataValidation type="list" sqref="C31" xr:uid="{00000000-0002-0000-0000-000008000000}">
      <formula1>_xlfn._LONGTEXT("Okul Binası İnşaatı,Sınıf/Derslik İnşaatı,Okul Onarım ve Tadilatı,Laboratuvar İnşaatı/Donanımı,Kütüphane Tesis ve Donanımı,Spor Salonu/Alanı İnşaatı,Öğretmenevi İnşaatı,Okul Bahçesi Düzenlemesi,Eğitim Araç-Gereç Temini,Bilişim Altyapısı (Bilgisayar/Tablet","/Projeksiyon),Okul Kantin/Yemekhane Tesisi,Diğer Eğitim Tesisi Yatırımı")</formula1>
    </dataValidation>
    <dataValidation type="list" sqref="C32" xr:uid="{00000000-0002-0000-0000-000009000000}">
      <formula1>"İlköğretim Okulu (İlkokul/Ortaokul — Kamu),İl/İlçe Milli Eğitim Müdürlüğü,Okul Aile Birliği (Kamu Okulu Adına),Köy veya Mahalle Muhtarlığı (Okul Yararına),İl Özel İdaresi (Okul Yatırımı Amacıyla)"</formula1>
    </dataValidation>
    <dataValidation type="list" sqref="C33" xr:uid="{00000000-0002-0000-0000-00000A000000}">
      <formula1>"Nakdi (Banka Transferi/EFT/Havale),Ayni (Malzeme/Ekipman/Mobilya),Ayni (İnşaat/Tadilat Hizmeti),Karma (Nakdi + Ayni)"</formula1>
    </dataValidation>
    <dataValidation type="list" sqref="C39" xr:uid="{00000000-0002-0000-0000-00000C000000}">
      <formula1>"Devlet İlkokulu/Ortaokulu (Kamu),Özel Okul (KAPSAM DIŞI),Vakıf Okulu (KAPSAM DIŞI)"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workbookViewId="0"/>
  </sheetViews>
  <sheetFormatPr defaultRowHeight="14.4" x14ac:dyDescent="0.55000000000000004"/>
  <cols>
    <col min="1" max="1" width="4" customWidth="1"/>
    <col min="2" max="2" width="42" customWidth="1"/>
    <col min="3" max="4" width="15" customWidth="1"/>
    <col min="5" max="5" width="14" customWidth="1"/>
    <col min="6" max="6" width="12" customWidth="1"/>
    <col min="7" max="7" width="18" customWidth="1"/>
  </cols>
  <sheetData>
    <row r="1" spans="1:7" ht="36" customHeight="1" x14ac:dyDescent="0.55000000000000004">
      <c r="A1" s="117" t="s">
        <v>115</v>
      </c>
      <c r="B1" s="86"/>
      <c r="C1" s="86"/>
      <c r="D1" s="86"/>
      <c r="E1" s="86"/>
      <c r="F1" s="86"/>
      <c r="G1" s="87"/>
    </row>
    <row r="2" spans="1:7" ht="20.05" customHeight="1" x14ac:dyDescent="0.55000000000000004">
      <c r="A2" s="119" t="s">
        <v>116</v>
      </c>
      <c r="B2" s="71"/>
      <c r="C2" s="71"/>
      <c r="D2" s="71"/>
      <c r="E2" s="71"/>
      <c r="F2" s="71"/>
      <c r="G2" s="68"/>
    </row>
    <row r="3" spans="1:7" ht="5.05" customHeight="1" x14ac:dyDescent="0.55000000000000004">
      <c r="A3" s="1"/>
      <c r="B3" s="1"/>
      <c r="C3" s="1"/>
      <c r="D3" s="1"/>
      <c r="E3" s="1"/>
      <c r="F3" s="1"/>
      <c r="G3" s="1"/>
    </row>
    <row r="4" spans="1:7" ht="22" customHeight="1" x14ac:dyDescent="0.55000000000000004">
      <c r="A4" s="109" t="s">
        <v>117</v>
      </c>
      <c r="B4" s="86"/>
      <c r="C4" s="86"/>
      <c r="D4" s="86"/>
      <c r="E4" s="86"/>
      <c r="F4" s="86"/>
      <c r="G4" s="87"/>
    </row>
    <row r="5" spans="1:7" ht="22" customHeight="1" x14ac:dyDescent="0.55000000000000004">
      <c r="A5" s="113" t="s">
        <v>118</v>
      </c>
      <c r="B5" s="71"/>
      <c r="C5" s="68"/>
      <c r="D5" s="23" t="str">
        <f>'VERİ GİRİŞİ'!E16</f>
        <v>OK - Hesaplanabilir</v>
      </c>
      <c r="E5" s="77" t="s">
        <v>119</v>
      </c>
      <c r="F5" s="71"/>
      <c r="G5" s="68"/>
    </row>
    <row r="6" spans="1:7" ht="22" customHeight="1" x14ac:dyDescent="0.55000000000000004">
      <c r="A6" s="114" t="s">
        <v>120</v>
      </c>
      <c r="B6" s="71"/>
      <c r="C6" s="68"/>
      <c r="D6" s="23" t="str">
        <f>'VERİ GİRİŞİ'!E8</f>
        <v>EVET</v>
      </c>
      <c r="E6" s="79" t="s">
        <v>121</v>
      </c>
      <c r="F6" s="71"/>
      <c r="G6" s="68"/>
    </row>
    <row r="7" spans="1:7" ht="22" customHeight="1" x14ac:dyDescent="0.55000000000000004">
      <c r="A7" s="113" t="s">
        <v>122</v>
      </c>
      <c r="B7" s="71"/>
      <c r="C7" s="68"/>
      <c r="D7" s="23" t="str">
        <f>'VERİ GİRİŞİ'!E10</f>
        <v>EVET</v>
      </c>
      <c r="E7" s="77" t="s">
        <v>123</v>
      </c>
      <c r="F7" s="71"/>
      <c r="G7" s="68"/>
    </row>
    <row r="8" spans="1:7" ht="22" customHeight="1" x14ac:dyDescent="0.55000000000000004">
      <c r="A8" s="114" t="s">
        <v>124</v>
      </c>
      <c r="B8" s="71"/>
      <c r="C8" s="68"/>
      <c r="D8" s="23">
        <f>'VERİ GİRİŞİ'!C56</f>
        <v>0</v>
      </c>
      <c r="E8" s="79" t="s">
        <v>125</v>
      </c>
      <c r="F8" s="71"/>
      <c r="G8" s="68"/>
    </row>
    <row r="9" spans="1:7" ht="22" customHeight="1" x14ac:dyDescent="0.55000000000000004">
      <c r="A9" s="78" t="s">
        <v>126</v>
      </c>
      <c r="B9" s="71"/>
      <c r="C9" s="68"/>
      <c r="D9" s="24">
        <f>'VERİ GİRİŞİ'!C58</f>
        <v>0</v>
      </c>
      <c r="E9" s="104"/>
      <c r="F9" s="71"/>
      <c r="G9" s="68"/>
    </row>
    <row r="10" spans="1:7" ht="22" customHeight="1" x14ac:dyDescent="0.55000000000000004">
      <c r="A10" s="116" t="s">
        <v>127</v>
      </c>
      <c r="B10" s="71"/>
      <c r="C10" s="68"/>
      <c r="D10" s="21" t="s">
        <v>128</v>
      </c>
      <c r="E10" s="100" t="s">
        <v>129</v>
      </c>
      <c r="F10" s="71"/>
      <c r="G10" s="68"/>
    </row>
    <row r="11" spans="1:7" ht="5.05" customHeight="1" x14ac:dyDescent="0.55000000000000004">
      <c r="A11" s="1"/>
      <c r="B11" s="1"/>
      <c r="C11" s="1"/>
      <c r="D11" s="1"/>
      <c r="E11" s="1"/>
      <c r="F11" s="1"/>
      <c r="G11" s="1"/>
    </row>
    <row r="12" spans="1:7" ht="22" customHeight="1" x14ac:dyDescent="0.55000000000000004">
      <c r="A12" s="85" t="s">
        <v>130</v>
      </c>
      <c r="B12" s="86"/>
      <c r="C12" s="86"/>
      <c r="D12" s="86"/>
      <c r="E12" s="86"/>
      <c r="F12" s="86"/>
      <c r="G12" s="87"/>
    </row>
    <row r="13" spans="1:7" ht="84" customHeight="1" x14ac:dyDescent="0.55000000000000004">
      <c r="A13" s="112" t="s">
        <v>131</v>
      </c>
      <c r="B13" s="71"/>
      <c r="C13" s="71"/>
      <c r="D13" s="71"/>
      <c r="E13" s="71"/>
      <c r="F13" s="71"/>
      <c r="G13" s="68"/>
    </row>
    <row r="14" spans="1:7" ht="5.05" customHeight="1" x14ac:dyDescent="0.55000000000000004">
      <c r="A14" s="1"/>
      <c r="B14" s="1"/>
      <c r="C14" s="1"/>
      <c r="D14" s="1"/>
      <c r="E14" s="1"/>
      <c r="F14" s="1"/>
      <c r="G14" s="1"/>
    </row>
    <row r="15" spans="1:7" ht="22" customHeight="1" x14ac:dyDescent="0.55000000000000004">
      <c r="A15" s="85" t="s">
        <v>132</v>
      </c>
      <c r="B15" s="86"/>
      <c r="C15" s="86"/>
      <c r="D15" s="86"/>
      <c r="E15" s="86"/>
      <c r="F15" s="86"/>
      <c r="G15" s="87"/>
    </row>
    <row r="16" spans="1:7" ht="18" customHeight="1" x14ac:dyDescent="0.55000000000000004">
      <c r="A16" s="2"/>
      <c r="B16" s="2" t="s">
        <v>133</v>
      </c>
      <c r="C16" s="2" t="s">
        <v>134</v>
      </c>
      <c r="D16" s="2" t="s">
        <v>135</v>
      </c>
      <c r="E16" s="2" t="s">
        <v>136</v>
      </c>
      <c r="F16" s="2" t="s">
        <v>127</v>
      </c>
    </row>
    <row r="17" spans="1:7" ht="22" customHeight="1" x14ac:dyDescent="0.55000000000000004">
      <c r="A17" s="25" t="s">
        <v>137</v>
      </c>
      <c r="B17" s="26" t="s">
        <v>138</v>
      </c>
      <c r="C17" s="27" t="s">
        <v>139</v>
      </c>
      <c r="D17" s="28" t="s">
        <v>140</v>
      </c>
      <c r="E17" s="29" t="s">
        <v>141</v>
      </c>
      <c r="F17" s="30" t="s">
        <v>142</v>
      </c>
    </row>
    <row r="18" spans="1:7" ht="22" customHeight="1" x14ac:dyDescent="0.55000000000000004">
      <c r="A18" s="25" t="s">
        <v>143</v>
      </c>
      <c r="B18" s="31" t="s">
        <v>144</v>
      </c>
      <c r="C18" s="32" t="s">
        <v>145</v>
      </c>
      <c r="D18" s="28" t="s">
        <v>146</v>
      </c>
      <c r="E18" s="29" t="s">
        <v>147</v>
      </c>
      <c r="F18" s="30" t="s">
        <v>142</v>
      </c>
    </row>
    <row r="19" spans="1:7" ht="22" customHeight="1" x14ac:dyDescent="0.55000000000000004">
      <c r="A19" s="25" t="s">
        <v>148</v>
      </c>
      <c r="B19" s="26" t="s">
        <v>149</v>
      </c>
      <c r="C19" s="27" t="s">
        <v>150</v>
      </c>
      <c r="D19" s="28" t="s">
        <v>151</v>
      </c>
      <c r="E19" s="29" t="s">
        <v>152</v>
      </c>
      <c r="F19" s="30" t="s">
        <v>142</v>
      </c>
    </row>
    <row r="20" spans="1:7" ht="22" customHeight="1" x14ac:dyDescent="0.55000000000000004">
      <c r="A20" s="25" t="s">
        <v>153</v>
      </c>
      <c r="B20" s="31" t="s">
        <v>154</v>
      </c>
      <c r="C20" s="32" t="s">
        <v>155</v>
      </c>
      <c r="D20" s="28" t="s">
        <v>155</v>
      </c>
      <c r="E20" s="29" t="s">
        <v>156</v>
      </c>
      <c r="F20" s="30" t="s">
        <v>142</v>
      </c>
    </row>
    <row r="21" spans="1:7" ht="22" customHeight="1" x14ac:dyDescent="0.55000000000000004">
      <c r="A21" s="25" t="s">
        <v>157</v>
      </c>
      <c r="B21" s="26" t="s">
        <v>158</v>
      </c>
      <c r="C21" s="27" t="s">
        <v>159</v>
      </c>
      <c r="D21" s="28" t="s">
        <v>160</v>
      </c>
      <c r="E21" s="29" t="s">
        <v>161</v>
      </c>
      <c r="F21" s="30" t="s">
        <v>142</v>
      </c>
    </row>
    <row r="22" spans="1:7" ht="5.05" customHeight="1" x14ac:dyDescent="0.55000000000000004">
      <c r="A22" s="1"/>
      <c r="B22" s="1"/>
      <c r="C22" s="1"/>
      <c r="D22" s="1"/>
      <c r="E22" s="1"/>
      <c r="F22" s="1"/>
      <c r="G22" s="1"/>
    </row>
    <row r="23" spans="1:7" ht="22" customHeight="1" x14ac:dyDescent="0.55000000000000004">
      <c r="A23" s="85" t="s">
        <v>162</v>
      </c>
      <c r="B23" s="86"/>
      <c r="C23" s="86"/>
      <c r="D23" s="86"/>
      <c r="E23" s="86"/>
      <c r="F23" s="86"/>
      <c r="G23" s="87"/>
    </row>
    <row r="24" spans="1:7" ht="18" customHeight="1" x14ac:dyDescent="0.55000000000000004">
      <c r="A24" s="2"/>
      <c r="B24" s="2" t="s">
        <v>163</v>
      </c>
      <c r="C24" s="2"/>
      <c r="D24" s="2" t="s">
        <v>47</v>
      </c>
      <c r="E24" s="2"/>
      <c r="F24" s="2" t="s">
        <v>164</v>
      </c>
      <c r="G24" s="2"/>
    </row>
    <row r="25" spans="1:7" ht="20.05" customHeight="1" x14ac:dyDescent="0.55000000000000004">
      <c r="A25" s="25" t="s">
        <v>137</v>
      </c>
      <c r="B25" s="107" t="s">
        <v>165</v>
      </c>
      <c r="C25" s="68"/>
      <c r="D25" s="115" t="s">
        <v>166</v>
      </c>
      <c r="E25" s="68"/>
      <c r="F25" s="13" t="s">
        <v>167</v>
      </c>
      <c r="G25" s="35"/>
    </row>
    <row r="26" spans="1:7" ht="20.05" customHeight="1" x14ac:dyDescent="0.55000000000000004">
      <c r="A26" s="25" t="s">
        <v>143</v>
      </c>
      <c r="B26" s="107" t="s">
        <v>168</v>
      </c>
      <c r="C26" s="68"/>
      <c r="D26" s="115" t="s">
        <v>169</v>
      </c>
      <c r="E26" s="68"/>
      <c r="F26" s="13" t="s">
        <v>167</v>
      </c>
      <c r="G26" s="36"/>
    </row>
    <row r="27" spans="1:7" ht="20.05" customHeight="1" x14ac:dyDescent="0.55000000000000004">
      <c r="A27" s="25" t="s">
        <v>148</v>
      </c>
      <c r="B27" s="107" t="s">
        <v>170</v>
      </c>
      <c r="C27" s="68"/>
      <c r="D27" s="115" t="s">
        <v>171</v>
      </c>
      <c r="E27" s="68"/>
      <c r="F27" s="13" t="s">
        <v>167</v>
      </c>
      <c r="G27" s="35"/>
    </row>
    <row r="28" spans="1:7" ht="20.05" customHeight="1" x14ac:dyDescent="0.55000000000000004">
      <c r="A28" s="25" t="s">
        <v>153</v>
      </c>
      <c r="B28" s="107" t="s">
        <v>172</v>
      </c>
      <c r="C28" s="68"/>
      <c r="D28" s="115" t="s">
        <v>173</v>
      </c>
      <c r="E28" s="68"/>
      <c r="F28" s="13" t="s">
        <v>167</v>
      </c>
      <c r="G28" s="36"/>
    </row>
    <row r="29" spans="1:7" ht="20.05" customHeight="1" x14ac:dyDescent="0.55000000000000004">
      <c r="A29" s="25" t="s">
        <v>157</v>
      </c>
      <c r="B29" s="110" t="s">
        <v>174</v>
      </c>
      <c r="C29" s="68"/>
      <c r="D29" s="111" t="s">
        <v>175</v>
      </c>
      <c r="E29" s="68"/>
      <c r="F29" s="13" t="s">
        <v>167</v>
      </c>
      <c r="G29" s="35"/>
    </row>
    <row r="30" spans="1:7" ht="20.05" customHeight="1" x14ac:dyDescent="0.55000000000000004">
      <c r="A30" s="25" t="s">
        <v>176</v>
      </c>
      <c r="B30" s="118" t="s">
        <v>177</v>
      </c>
      <c r="C30" s="68"/>
      <c r="D30" s="108" t="s">
        <v>178</v>
      </c>
      <c r="E30" s="68"/>
      <c r="F30" s="13" t="s">
        <v>167</v>
      </c>
      <c r="G30" s="36"/>
    </row>
    <row r="31" spans="1:7" ht="20.05" customHeight="1" x14ac:dyDescent="0.55000000000000004">
      <c r="A31" s="25" t="s">
        <v>179</v>
      </c>
      <c r="B31" s="110" t="s">
        <v>180</v>
      </c>
      <c r="C31" s="68"/>
      <c r="D31" s="111" t="s">
        <v>181</v>
      </c>
      <c r="E31" s="68"/>
      <c r="F31" s="13" t="s">
        <v>167</v>
      </c>
      <c r="G31" s="35"/>
    </row>
    <row r="32" spans="1:7" ht="20.05" customHeight="1" x14ac:dyDescent="0.55000000000000004">
      <c r="A32" s="25" t="s">
        <v>182</v>
      </c>
      <c r="B32" s="118" t="s">
        <v>183</v>
      </c>
      <c r="C32" s="68"/>
      <c r="D32" s="108" t="s">
        <v>184</v>
      </c>
      <c r="E32" s="68"/>
      <c r="F32" s="13" t="s">
        <v>167</v>
      </c>
      <c r="G32" s="36"/>
    </row>
    <row r="33" spans="1:7" ht="20.05" customHeight="1" x14ac:dyDescent="0.55000000000000004">
      <c r="A33" s="25" t="s">
        <v>185</v>
      </c>
      <c r="B33" s="107" t="s">
        <v>186</v>
      </c>
      <c r="C33" s="68"/>
      <c r="D33" s="115" t="s">
        <v>187</v>
      </c>
      <c r="E33" s="68"/>
      <c r="F33" s="13" t="s">
        <v>167</v>
      </c>
      <c r="G33" s="35"/>
    </row>
    <row r="34" spans="1:7" ht="20.05" customHeight="1" x14ac:dyDescent="0.55000000000000004">
      <c r="A34" s="25" t="s">
        <v>188</v>
      </c>
      <c r="B34" s="118" t="s">
        <v>189</v>
      </c>
      <c r="C34" s="68"/>
      <c r="D34" s="108" t="s">
        <v>190</v>
      </c>
      <c r="E34" s="68"/>
      <c r="F34" s="13" t="s">
        <v>167</v>
      </c>
      <c r="G34" s="36"/>
    </row>
    <row r="35" spans="1:7" ht="20.05" customHeight="1" x14ac:dyDescent="0.55000000000000004">
      <c r="A35" s="25" t="s">
        <v>191</v>
      </c>
      <c r="B35" s="110" t="s">
        <v>192</v>
      </c>
      <c r="C35" s="68"/>
      <c r="D35" s="111" t="s">
        <v>193</v>
      </c>
      <c r="E35" s="68"/>
      <c r="F35" s="13" t="s">
        <v>167</v>
      </c>
      <c r="G35" s="35"/>
    </row>
    <row r="36" spans="1:7" ht="20.05" customHeight="1" x14ac:dyDescent="0.55000000000000004">
      <c r="A36" s="25" t="s">
        <v>194</v>
      </c>
      <c r="B36" s="118" t="s">
        <v>195</v>
      </c>
      <c r="C36" s="68"/>
      <c r="D36" s="108" t="s">
        <v>196</v>
      </c>
      <c r="E36" s="68"/>
      <c r="F36" s="13" t="s">
        <v>167</v>
      </c>
      <c r="G36" s="36"/>
    </row>
    <row r="37" spans="1:7" ht="20.05" customHeight="1" x14ac:dyDescent="0.55000000000000004">
      <c r="A37" s="25" t="s">
        <v>197</v>
      </c>
      <c r="B37" s="110" t="s">
        <v>198</v>
      </c>
      <c r="C37" s="68"/>
      <c r="D37" s="111" t="s">
        <v>24</v>
      </c>
      <c r="E37" s="68"/>
      <c r="F37" s="13" t="s">
        <v>167</v>
      </c>
      <c r="G37" s="35"/>
    </row>
  </sheetData>
  <mergeCells count="45">
    <mergeCell ref="A2:G2"/>
    <mergeCell ref="B32:C32"/>
    <mergeCell ref="B26:C26"/>
    <mergeCell ref="A7:C7"/>
    <mergeCell ref="D26:E26"/>
    <mergeCell ref="A23:G23"/>
    <mergeCell ref="A1:G1"/>
    <mergeCell ref="B29:C29"/>
    <mergeCell ref="B34:C34"/>
    <mergeCell ref="B37:C37"/>
    <mergeCell ref="B28:C28"/>
    <mergeCell ref="D37:E37"/>
    <mergeCell ref="A9:C9"/>
    <mergeCell ref="D28:E28"/>
    <mergeCell ref="D25:E25"/>
    <mergeCell ref="B30:C30"/>
    <mergeCell ref="D30:E30"/>
    <mergeCell ref="B33:C33"/>
    <mergeCell ref="E5:G5"/>
    <mergeCell ref="D33:E33"/>
    <mergeCell ref="D29:E29"/>
    <mergeCell ref="A6:C6"/>
    <mergeCell ref="D36:E36"/>
    <mergeCell ref="E6:G6"/>
    <mergeCell ref="A13:G13"/>
    <mergeCell ref="A5:C5"/>
    <mergeCell ref="A8:C8"/>
    <mergeCell ref="D27:E27"/>
    <mergeCell ref="D32:E32"/>
    <mergeCell ref="A15:G15"/>
    <mergeCell ref="E7:G7"/>
    <mergeCell ref="A10:C10"/>
    <mergeCell ref="E8:G8"/>
    <mergeCell ref="A12:G12"/>
    <mergeCell ref="B36:C36"/>
    <mergeCell ref="B35:C35"/>
    <mergeCell ref="D35:E35"/>
    <mergeCell ref="E10:G10"/>
    <mergeCell ref="B25:C25"/>
    <mergeCell ref="D34:E34"/>
    <mergeCell ref="A4:G4"/>
    <mergeCell ref="E9:G9"/>
    <mergeCell ref="B31:C31"/>
    <mergeCell ref="B27:C27"/>
    <mergeCell ref="D31:E31"/>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32.049999999999997" customHeight="1" x14ac:dyDescent="0.55000000000000004">
      <c r="A1" s="85" t="s">
        <v>199</v>
      </c>
      <c r="B1" s="86"/>
      <c r="C1" s="86"/>
      <c r="D1" s="86"/>
      <c r="E1" s="86"/>
      <c r="F1" s="86"/>
      <c r="G1" s="87"/>
    </row>
    <row r="2" spans="1:7" ht="22" customHeight="1" x14ac:dyDescent="0.55000000000000004">
      <c r="A2" s="121" t="s">
        <v>200</v>
      </c>
      <c r="B2" s="71"/>
      <c r="C2" s="71"/>
      <c r="D2" s="71"/>
      <c r="E2" s="71"/>
      <c r="F2" s="71"/>
      <c r="G2" s="68"/>
    </row>
    <row r="3" spans="1:7" ht="18" customHeight="1" x14ac:dyDescent="0.55000000000000004">
      <c r="A3" s="39"/>
      <c r="B3" s="39" t="s">
        <v>201</v>
      </c>
      <c r="C3" s="39" t="s">
        <v>202</v>
      </c>
      <c r="D3" s="39" t="s">
        <v>94</v>
      </c>
      <c r="E3" s="39" t="s">
        <v>203</v>
      </c>
      <c r="F3" s="39" t="s">
        <v>204</v>
      </c>
      <c r="G3" s="39" t="s">
        <v>205</v>
      </c>
    </row>
    <row r="4" spans="1:7" ht="22" customHeight="1" x14ac:dyDescent="0.55000000000000004">
      <c r="A4" s="40" t="s">
        <v>203</v>
      </c>
      <c r="B4" s="40" t="s">
        <v>206</v>
      </c>
      <c r="C4" s="40" t="s">
        <v>207</v>
      </c>
      <c r="D4" s="40" t="s">
        <v>208</v>
      </c>
      <c r="E4" s="40" t="s">
        <v>209</v>
      </c>
      <c r="F4" s="40" t="s">
        <v>210</v>
      </c>
      <c r="G4" s="40" t="s">
        <v>211</v>
      </c>
    </row>
    <row r="5" spans="1:7" ht="22" customHeight="1" x14ac:dyDescent="0.55000000000000004">
      <c r="A5" s="123" t="s">
        <v>212</v>
      </c>
      <c r="B5" s="71"/>
      <c r="C5" s="71"/>
      <c r="D5" s="71"/>
      <c r="E5" s="71"/>
      <c r="F5" s="71"/>
      <c r="G5" s="68"/>
    </row>
    <row r="6" spans="1:7" ht="18" customHeight="1" x14ac:dyDescent="0.55000000000000004">
      <c r="A6" s="39"/>
      <c r="B6" s="39" t="s">
        <v>201</v>
      </c>
      <c r="C6" s="39" t="s">
        <v>202</v>
      </c>
      <c r="D6" s="39" t="s">
        <v>94</v>
      </c>
      <c r="E6" s="39" t="s">
        <v>203</v>
      </c>
      <c r="F6" s="39" t="s">
        <v>204</v>
      </c>
      <c r="G6" s="39" t="s">
        <v>205</v>
      </c>
    </row>
    <row r="7" spans="1:7" ht="22" customHeight="1" x14ac:dyDescent="0.55000000000000004">
      <c r="A7" s="40" t="s">
        <v>203</v>
      </c>
      <c r="B7" s="40" t="s">
        <v>213</v>
      </c>
      <c r="C7" s="40" t="s">
        <v>214</v>
      </c>
      <c r="D7" s="40" t="s">
        <v>215</v>
      </c>
      <c r="E7" s="40" t="s">
        <v>216</v>
      </c>
      <c r="F7" s="40" t="s">
        <v>210</v>
      </c>
      <c r="G7" s="40" t="s">
        <v>217</v>
      </c>
    </row>
    <row r="8" spans="1:7" ht="22" customHeight="1" x14ac:dyDescent="0.55000000000000004">
      <c r="A8" s="120" t="s">
        <v>218</v>
      </c>
      <c r="B8" s="71"/>
      <c r="C8" s="71"/>
      <c r="D8" s="71"/>
      <c r="E8" s="71"/>
      <c r="F8" s="71"/>
      <c r="G8" s="68"/>
    </row>
    <row r="9" spans="1:7" ht="18" customHeight="1" x14ac:dyDescent="0.55000000000000004">
      <c r="A9" s="39"/>
      <c r="B9" s="39" t="s">
        <v>201</v>
      </c>
      <c r="C9" s="39" t="s">
        <v>202</v>
      </c>
      <c r="D9" s="39" t="s">
        <v>94</v>
      </c>
      <c r="E9" s="39" t="s">
        <v>203</v>
      </c>
      <c r="F9" s="39" t="s">
        <v>204</v>
      </c>
      <c r="G9" s="39" t="s">
        <v>205</v>
      </c>
    </row>
    <row r="10" spans="1:7" ht="22" customHeight="1" x14ac:dyDescent="0.55000000000000004">
      <c r="A10" s="40" t="s">
        <v>203</v>
      </c>
      <c r="B10" s="40" t="s">
        <v>219</v>
      </c>
      <c r="C10" s="40" t="s">
        <v>220</v>
      </c>
      <c r="D10" s="40" t="s">
        <v>221</v>
      </c>
      <c r="E10" s="40" t="s">
        <v>209</v>
      </c>
      <c r="F10" s="40" t="s">
        <v>210</v>
      </c>
      <c r="G10" s="40" t="s">
        <v>222</v>
      </c>
    </row>
    <row r="11" spans="1:7" ht="36" customHeight="1" x14ac:dyDescent="0.55000000000000004">
      <c r="A11" s="122" t="s">
        <v>223</v>
      </c>
      <c r="B11" s="71"/>
      <c r="C11" s="71"/>
      <c r="D11" s="71"/>
      <c r="E11" s="71"/>
      <c r="F11" s="71"/>
      <c r="G11" s="68"/>
    </row>
  </sheetData>
  <mergeCells count="5">
    <mergeCell ref="A1:G1"/>
    <mergeCell ref="A8:G8"/>
    <mergeCell ref="A2:G2"/>
    <mergeCell ref="A11:G11"/>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2.049999999999997" customHeight="1" x14ac:dyDescent="0.55000000000000004">
      <c r="A1" s="85" t="s">
        <v>224</v>
      </c>
      <c r="B1" s="86"/>
      <c r="C1" s="86"/>
      <c r="D1" s="86"/>
      <c r="E1" s="86"/>
      <c r="F1" s="86"/>
      <c r="G1" s="87"/>
    </row>
    <row r="2" spans="1:7" ht="20.05" customHeight="1" x14ac:dyDescent="0.55000000000000004">
      <c r="A2" s="98" t="s">
        <v>225</v>
      </c>
      <c r="B2" s="86"/>
      <c r="C2" s="86"/>
      <c r="D2" s="86"/>
      <c r="E2" s="86"/>
      <c r="F2" s="86"/>
      <c r="G2" s="87"/>
    </row>
    <row r="3" spans="1:7" ht="18" customHeight="1" x14ac:dyDescent="0.55000000000000004">
      <c r="A3" s="39" t="s">
        <v>226</v>
      </c>
      <c r="B3" s="39" t="s">
        <v>227</v>
      </c>
      <c r="C3" s="39" t="s">
        <v>228</v>
      </c>
      <c r="D3" s="39" t="s">
        <v>229</v>
      </c>
    </row>
    <row r="4" spans="1:7" ht="72" customHeight="1" x14ac:dyDescent="0.55000000000000004">
      <c r="A4" s="25" t="s">
        <v>230</v>
      </c>
      <c r="B4" s="38" t="s">
        <v>231</v>
      </c>
      <c r="C4" s="41" t="s">
        <v>232</v>
      </c>
      <c r="D4" s="42" t="s">
        <v>233</v>
      </c>
    </row>
    <row r="5" spans="1:7" ht="56.05" customHeight="1" x14ac:dyDescent="0.55000000000000004">
      <c r="A5" s="43" t="s">
        <v>234</v>
      </c>
      <c r="B5" s="33" t="s">
        <v>235</v>
      </c>
      <c r="C5" s="34" t="s">
        <v>236</v>
      </c>
      <c r="D5" s="44" t="s">
        <v>237</v>
      </c>
    </row>
    <row r="6" spans="1:7" ht="52" customHeight="1" x14ac:dyDescent="0.55000000000000004">
      <c r="A6" s="25" t="s">
        <v>238</v>
      </c>
      <c r="B6" s="38" t="s">
        <v>239</v>
      </c>
      <c r="C6" s="41" t="s">
        <v>240</v>
      </c>
      <c r="D6" s="42" t="s">
        <v>241</v>
      </c>
    </row>
    <row r="7" spans="1:7" ht="52" customHeight="1" x14ac:dyDescent="0.55000000000000004">
      <c r="A7" s="25" t="s">
        <v>242</v>
      </c>
      <c r="B7" s="38" t="s">
        <v>243</v>
      </c>
      <c r="C7" s="41" t="s">
        <v>244</v>
      </c>
      <c r="D7" s="42" t="s">
        <v>245</v>
      </c>
    </row>
    <row r="8" spans="1:7" ht="72" customHeight="1" x14ac:dyDescent="0.55000000000000004">
      <c r="A8" s="25" t="s">
        <v>246</v>
      </c>
      <c r="B8" s="37" t="s">
        <v>247</v>
      </c>
      <c r="C8" s="41" t="s">
        <v>248</v>
      </c>
      <c r="D8" s="45" t="s">
        <v>249</v>
      </c>
    </row>
    <row r="9" spans="1:7" ht="36" customHeight="1" x14ac:dyDescent="0.55000000000000004">
      <c r="A9" s="124" t="s">
        <v>250</v>
      </c>
      <c r="B9" s="71"/>
      <c r="C9" s="71"/>
      <c r="D9" s="68"/>
      <c r="E9" s="46"/>
      <c r="F9" s="46"/>
      <c r="G9" s="46"/>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7"/>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7" ht="34" customHeight="1" x14ac:dyDescent="0.55000000000000004">
      <c r="A1" s="85" t="s">
        <v>251</v>
      </c>
      <c r="B1" s="86"/>
      <c r="C1" s="86"/>
      <c r="D1" s="86"/>
      <c r="E1" s="86"/>
      <c r="F1" s="86"/>
      <c r="G1" s="87"/>
    </row>
    <row r="2" spans="1:7" ht="20.05" customHeight="1" x14ac:dyDescent="0.55000000000000004">
      <c r="A2" s="98" t="s">
        <v>252</v>
      </c>
      <c r="B2" s="86"/>
      <c r="C2" s="86"/>
      <c r="D2" s="86"/>
      <c r="E2" s="86"/>
      <c r="F2" s="86"/>
      <c r="G2" s="87"/>
    </row>
    <row r="3" spans="1:7" ht="5.05" customHeight="1" x14ac:dyDescent="0.55000000000000004">
      <c r="A3" s="1"/>
      <c r="B3" s="1"/>
      <c r="C3" s="1"/>
      <c r="D3" s="1"/>
      <c r="E3" s="1"/>
      <c r="F3" s="1"/>
      <c r="G3" s="1"/>
    </row>
    <row r="4" spans="1:7" ht="22" customHeight="1" x14ac:dyDescent="0.55000000000000004">
      <c r="A4" s="126" t="s">
        <v>253</v>
      </c>
      <c r="B4" s="86"/>
      <c r="C4" s="86"/>
      <c r="D4" s="86"/>
      <c r="E4" s="86"/>
      <c r="F4" s="86"/>
      <c r="G4" s="87"/>
    </row>
    <row r="5" spans="1:7" ht="18" customHeight="1" x14ac:dyDescent="0.55000000000000004">
      <c r="A5" s="39"/>
      <c r="B5" s="39" t="s">
        <v>254</v>
      </c>
      <c r="C5" s="39" t="s">
        <v>60</v>
      </c>
      <c r="D5" s="39" t="s">
        <v>47</v>
      </c>
      <c r="E5" s="39" t="s">
        <v>255</v>
      </c>
      <c r="F5" s="39"/>
    </row>
    <row r="6" spans="1:7" ht="36" customHeight="1" x14ac:dyDescent="0.55000000000000004">
      <c r="A6" s="47"/>
      <c r="B6" s="48" t="s">
        <v>256</v>
      </c>
      <c r="C6" s="49" t="s">
        <v>257</v>
      </c>
      <c r="D6" s="50" t="s">
        <v>258</v>
      </c>
      <c r="E6" s="51" t="s">
        <v>259</v>
      </c>
      <c r="F6" s="47"/>
    </row>
    <row r="7" spans="1:7" ht="36" customHeight="1" x14ac:dyDescent="0.55000000000000004">
      <c r="A7" s="35"/>
      <c r="B7" s="52" t="s">
        <v>260</v>
      </c>
      <c r="C7" s="53" t="s">
        <v>261</v>
      </c>
      <c r="D7" s="50" t="s">
        <v>262</v>
      </c>
      <c r="E7" s="54" t="s">
        <v>263</v>
      </c>
      <c r="F7" s="35"/>
    </row>
    <row r="8" spans="1:7" ht="36" customHeight="1" x14ac:dyDescent="0.55000000000000004">
      <c r="A8" s="47"/>
      <c r="B8" s="48" t="s">
        <v>264</v>
      </c>
      <c r="C8" s="55" t="s">
        <v>265</v>
      </c>
      <c r="D8" s="50" t="s">
        <v>266</v>
      </c>
      <c r="E8" s="51" t="s">
        <v>267</v>
      </c>
      <c r="F8" s="47"/>
    </row>
    <row r="9" spans="1:7" ht="36" customHeight="1" x14ac:dyDescent="0.55000000000000004">
      <c r="A9" s="35"/>
      <c r="B9" s="52" t="s">
        <v>268</v>
      </c>
      <c r="C9" s="37" t="s">
        <v>269</v>
      </c>
      <c r="D9" s="50" t="s">
        <v>270</v>
      </c>
      <c r="E9" s="54" t="s">
        <v>271</v>
      </c>
      <c r="F9" s="35"/>
    </row>
    <row r="10" spans="1:7" ht="36" customHeight="1" x14ac:dyDescent="0.55000000000000004">
      <c r="A10" s="47"/>
      <c r="B10" s="48" t="s">
        <v>272</v>
      </c>
      <c r="C10" s="55" t="s">
        <v>273</v>
      </c>
      <c r="D10" s="50" t="s">
        <v>274</v>
      </c>
      <c r="E10" s="51" t="s">
        <v>275</v>
      </c>
      <c r="F10" s="47"/>
    </row>
    <row r="11" spans="1:7" ht="36" customHeight="1" x14ac:dyDescent="0.55000000000000004">
      <c r="A11" s="35"/>
      <c r="B11" s="52" t="s">
        <v>276</v>
      </c>
      <c r="C11" s="37" t="s">
        <v>277</v>
      </c>
      <c r="D11" s="50" t="s">
        <v>278</v>
      </c>
      <c r="E11" s="54" t="s">
        <v>279</v>
      </c>
      <c r="F11" s="35"/>
    </row>
    <row r="12" spans="1:7" ht="5.05" customHeight="1" x14ac:dyDescent="0.55000000000000004">
      <c r="A12" s="1"/>
      <c r="B12" s="1"/>
      <c r="C12" s="1"/>
      <c r="D12" s="1"/>
      <c r="E12" s="1"/>
      <c r="F12" s="1"/>
      <c r="G12" s="1"/>
    </row>
    <row r="13" spans="1:7" ht="22" customHeight="1" x14ac:dyDescent="0.55000000000000004">
      <c r="A13" s="125" t="s">
        <v>280</v>
      </c>
      <c r="B13" s="86"/>
      <c r="C13" s="86"/>
      <c r="D13" s="86"/>
      <c r="E13" s="86"/>
      <c r="F13" s="86"/>
      <c r="G13" s="87"/>
    </row>
    <row r="14" spans="1:7" ht="18" customHeight="1" x14ac:dyDescent="0.55000000000000004">
      <c r="A14" s="56"/>
      <c r="B14" s="56" t="s">
        <v>254</v>
      </c>
      <c r="C14" s="56" t="s">
        <v>5</v>
      </c>
      <c r="D14" s="56" t="s">
        <v>281</v>
      </c>
      <c r="E14" s="56" t="s">
        <v>282</v>
      </c>
      <c r="F14" s="56"/>
    </row>
    <row r="15" spans="1:7" ht="28" customHeight="1" x14ac:dyDescent="0.55000000000000004">
      <c r="A15" s="57"/>
      <c r="B15" s="58" t="s">
        <v>283</v>
      </c>
      <c r="C15" s="59" t="s">
        <v>284</v>
      </c>
      <c r="D15" s="60" t="s">
        <v>285</v>
      </c>
      <c r="E15" s="61" t="s">
        <v>286</v>
      </c>
      <c r="F15" s="57"/>
    </row>
    <row r="16" spans="1:7" ht="28" customHeight="1" x14ac:dyDescent="0.55000000000000004">
      <c r="A16" s="57"/>
      <c r="B16" s="58" t="s">
        <v>287</v>
      </c>
      <c r="C16" s="59" t="s">
        <v>288</v>
      </c>
      <c r="D16" s="60" t="s">
        <v>169</v>
      </c>
      <c r="E16" s="61" t="s">
        <v>286</v>
      </c>
      <c r="F16" s="57"/>
    </row>
    <row r="17" spans="1:7" ht="28" customHeight="1" x14ac:dyDescent="0.55000000000000004">
      <c r="A17" s="57"/>
      <c r="B17" s="58" t="s">
        <v>289</v>
      </c>
      <c r="C17" s="59" t="s">
        <v>170</v>
      </c>
      <c r="D17" s="60" t="s">
        <v>290</v>
      </c>
      <c r="E17" s="61" t="s">
        <v>286</v>
      </c>
      <c r="F17" s="57"/>
    </row>
    <row r="18" spans="1:7" ht="28" customHeight="1" x14ac:dyDescent="0.55000000000000004">
      <c r="A18" s="57"/>
      <c r="B18" s="58" t="s">
        <v>291</v>
      </c>
      <c r="C18" s="59" t="s">
        <v>292</v>
      </c>
      <c r="D18" s="60" t="s">
        <v>173</v>
      </c>
      <c r="E18" s="61" t="s">
        <v>286</v>
      </c>
      <c r="F18" s="57"/>
    </row>
    <row r="19" spans="1:7" ht="28" customHeight="1" x14ac:dyDescent="0.55000000000000004">
      <c r="A19" s="62"/>
      <c r="B19" s="63" t="s">
        <v>293</v>
      </c>
      <c r="C19" s="64" t="s">
        <v>294</v>
      </c>
      <c r="D19" s="65" t="s">
        <v>295</v>
      </c>
      <c r="E19" s="66" t="s">
        <v>286</v>
      </c>
      <c r="F19" s="62"/>
    </row>
    <row r="20" spans="1:7" ht="28" customHeight="1" x14ac:dyDescent="0.55000000000000004">
      <c r="A20" s="62"/>
      <c r="B20" s="63" t="s">
        <v>296</v>
      </c>
      <c r="C20" s="64" t="s">
        <v>297</v>
      </c>
      <c r="D20" s="65" t="s">
        <v>298</v>
      </c>
      <c r="E20" s="66" t="s">
        <v>286</v>
      </c>
      <c r="F20" s="62"/>
    </row>
    <row r="21" spans="1:7" ht="28" customHeight="1" x14ac:dyDescent="0.55000000000000004">
      <c r="A21" s="62"/>
      <c r="B21" s="63" t="s">
        <v>299</v>
      </c>
      <c r="C21" s="64" t="s">
        <v>300</v>
      </c>
      <c r="D21" s="65" t="s">
        <v>301</v>
      </c>
      <c r="E21" s="66" t="s">
        <v>286</v>
      </c>
      <c r="F21" s="62"/>
    </row>
    <row r="22" spans="1:7" ht="28" customHeight="1" x14ac:dyDescent="0.55000000000000004">
      <c r="A22" s="62"/>
      <c r="B22" s="63" t="s">
        <v>302</v>
      </c>
      <c r="C22" s="64" t="s">
        <v>303</v>
      </c>
      <c r="D22" s="65" t="s">
        <v>304</v>
      </c>
      <c r="E22" s="66" t="s">
        <v>286</v>
      </c>
      <c r="F22" s="62"/>
    </row>
    <row r="23" spans="1:7" ht="28" customHeight="1" x14ac:dyDescent="0.55000000000000004">
      <c r="A23" s="57"/>
      <c r="B23" s="58" t="s">
        <v>305</v>
      </c>
      <c r="C23" s="59" t="s">
        <v>306</v>
      </c>
      <c r="D23" s="60" t="s">
        <v>187</v>
      </c>
      <c r="E23" s="61" t="s">
        <v>286</v>
      </c>
      <c r="F23" s="57"/>
    </row>
    <row r="24" spans="1:7" ht="28" customHeight="1" x14ac:dyDescent="0.55000000000000004">
      <c r="A24" s="62"/>
      <c r="B24" s="63" t="s">
        <v>307</v>
      </c>
      <c r="C24" s="64" t="s">
        <v>308</v>
      </c>
      <c r="D24" s="65" t="s">
        <v>190</v>
      </c>
      <c r="E24" s="66" t="s">
        <v>286</v>
      </c>
      <c r="F24" s="62"/>
    </row>
    <row r="25" spans="1:7" ht="28" customHeight="1" x14ac:dyDescent="0.55000000000000004">
      <c r="A25" s="62"/>
      <c r="B25" s="63" t="s">
        <v>309</v>
      </c>
      <c r="C25" s="64" t="s">
        <v>310</v>
      </c>
      <c r="D25" s="65" t="s">
        <v>311</v>
      </c>
      <c r="E25" s="66" t="s">
        <v>286</v>
      </c>
      <c r="F25" s="62"/>
    </row>
    <row r="26" spans="1:7" ht="5.05" customHeight="1" x14ac:dyDescent="0.55000000000000004">
      <c r="A26" s="1"/>
      <c r="B26" s="1"/>
      <c r="C26" s="1"/>
      <c r="D26" s="1"/>
      <c r="E26" s="1"/>
      <c r="F26" s="1"/>
      <c r="G26" s="1"/>
    </row>
    <row r="27" spans="1:7" ht="56.05" customHeight="1" x14ac:dyDescent="0.55000000000000004">
      <c r="A27" s="124" t="s">
        <v>312</v>
      </c>
      <c r="B27" s="71"/>
      <c r="C27" s="71"/>
      <c r="D27" s="71"/>
      <c r="E27" s="71"/>
      <c r="F27" s="68"/>
      <c r="G27" s="46"/>
    </row>
  </sheetData>
  <mergeCells count="5">
    <mergeCell ref="A13:G13"/>
    <mergeCell ref="A1:G1"/>
    <mergeCell ref="A27:F27"/>
    <mergeCell ref="A4:G4"/>
    <mergeCell ref="A2: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2026-04-06T07:42:33Z</dcterms:created>
  <dcterms:modified xsi:type="dcterms:W3CDTF">2026-04-06T07:50:32Z</dcterms:modified>
</cp:coreProperties>
</file>