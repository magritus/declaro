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A2C97961-4DBE-47D1-9347-11498F2A46E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8" i="2"/>
  <c r="D7" i="2"/>
  <c r="D6" i="2"/>
  <c r="D46" i="1"/>
  <c r="C51" i="1" s="1"/>
  <c r="C46" i="1"/>
  <c r="C50" i="1" s="1"/>
  <c r="E45" i="1"/>
  <c r="F45" i="1" s="1"/>
  <c r="E44" i="1"/>
  <c r="F44" i="1" s="1"/>
  <c r="E43" i="1"/>
  <c r="F43" i="1" s="1"/>
  <c r="F42" i="1"/>
  <c r="E42" i="1"/>
  <c r="E41" i="1"/>
  <c r="F41" i="1" s="1"/>
  <c r="E40" i="1"/>
  <c r="F40" i="1" s="1"/>
  <c r="F46" i="1" s="1"/>
  <c r="C35" i="1"/>
  <c r="C33" i="1"/>
  <c r="E15" i="1"/>
  <c r="D5" i="2" s="1"/>
  <c r="E46" i="1" l="1"/>
  <c r="E57" i="1" l="1"/>
  <c r="C54" i="1"/>
  <c r="C52" i="1"/>
</calcChain>
</file>

<file path=xl/sharedStrings.xml><?xml version="1.0" encoding="utf-8"?>
<sst xmlns="http://schemas.openxmlformats.org/spreadsheetml/2006/main" count="319" uniqueCount="259">
  <si>
    <t>416 – DİĞER HİZMETLERE İLİŞKİN İNDİRİM | KVK Mad. 10/1-ğ | YURT DIŞI | %50 | YMM TASDİK</t>
  </si>
  <si>
    <t>Beyanname 416 | GİB KV Beyan Rehberi Mart 2026 (No:606) | Kazancın Bulunması Halinde | ✗ YİAKV</t>
  </si>
  <si>
    <t xml:space="preserve">  KVK Md.10/1-ğ — DİĞER HİZMETLER KAZANÇ İNDİRİMİ (Mimarlık, Mühendislik, Yazılım, Tasarım vb.):
  Türkiye'de yerleşmiş olmayan kişilerle, işyeri/kanuni/iş merkezi yurt dışında bulunanlara
  Türkiye'de verilen ve münhasıran yurt dışında yararlanılan aşağıdaki hizmetlerden elde
  edilen kazancın %50'si kurumlar vergisi matrahından indirilir:
  Mimarlık | Mühendislik | Tasarım | Yazılım | Tıbbi Raporlama | Muhasebe Kaydı Tutma
  Çağrı Merkezi | Ürün Testi | Sertifikasyon | Veri Saklama/İşleme/Analizi
  Maliye Bakanlığınca Belirlenen Mesleki Eğitim Alanları
  ★ 414/415'TEN KRİTİK FARKLAR:
  ① ALICI: Yurt dışı gerçek kişi VEYA işyeri/kanuni/iş merkezi yurt dışında olan kuruluş
  ② BAKANLlK İZNİ: Bu hizmetler için herhangi bir bakanlık izni/denetimi ŞARTI YOK
  ③ ORAN: Net kazancın %50'si (414/415 ile aynı)
  ★ YİAKV: DÜŞÜLEMEZ — E.11 bilgi satırı.</t>
  </si>
  <si>
    <t xml:space="preserve">  ✗ YİAKV: 416 DÜŞÜLEMEZ — E.11. ★ ALICI GENİŞLİĞİ: 416'da alıcı sadece gerçek kişi değil — işyeri, kanuni merkezi veya iş merkezi yurt dışında bulunan kurumlar da kapsam içindedir. Bu 414/415'ten önemli bir farktır. NET KAZANÇ × %50 — devredilmez.</t>
  </si>
  <si>
    <t>A0. KAPSAM VE NİTELİK UYGUNLUK ÖN KONTROLÜ — KVK Md.10/1-ğ DİĞER HİZMETLER</t>
  </si>
  <si>
    <t>Kontrol Sorusu</t>
  </si>
  <si>
    <t>Yanıt</t>
  </si>
  <si>
    <t>YMM Tasdik Notu</t>
  </si>
  <si>
    <t>A0.1  ★ Hizmet KVK Md.10/1-ğ'de sayılan hizmet türlerinden biri mi?</t>
  </si>
  <si>
    <t>EVET</t>
  </si>
  <si>
    <t>Kapsam: Mimarlık, mühendislik, tasarım, yazılım, tıbbi raporlama, muhasebe kaydı, çağrı merkezi, ürün testi, sertifikasyon, veri saklama/işleme/analizi, Maliye Bakanlığı belirlenen mesleki eğitim. Kapsam dışı hizmetler bu koda girmez.</t>
  </si>
  <si>
    <t>A0.2  ★ Alıcı yurt dışı kaynaklı mı? (Kişi veya Kuruluş)</t>
  </si>
  <si>
    <t>Uygun alıcılar: Türkiye'de yerleşmemiş kişi VEYA işyeri/kanuni merkezi/iş merkezi yurt dışında bulunan kuruluş. 414/415'ten farklı: Kurumsal yurt dışı müşteri de kapsam içinde.</t>
  </si>
  <si>
    <t>A0.3  ★ Hizmet münhasıran yurt dışında yararlanılmak üzere mi verildi?</t>
  </si>
  <si>
    <t>Türkiye'de verilen hizmetten yurt dışında faydalanılması. Yazılım/tasarım vs. çıktı yurt dışında kullanılıyor. Çağrı merkezi, veri işleme vb. için münhasır yurt dışı yararlanma teyit edilmeli.</t>
  </si>
  <si>
    <t>A0.4  ★ Kazanç münhasıran bu faaliyetten mi? Gelir ayrımı yapıldı mı?</t>
  </si>
  <si>
    <t>Karma faaliyette (yurt içi + yurt dışı müşteri) yurt dışı geliri ve ilgili gideri ayrıştırılmalı.</t>
  </si>
  <si>
    <t>A0.5  ★ İndirime esas NET KAZANÇ hesaplandı mı? (Brüt değil!)</t>
  </si>
  <si>
    <t>Brüt gelir − ilgili giderler = Net kazanç. %50 NET KAZANCA uygulanır.</t>
  </si>
  <si>
    <t>A0.6  ✗ YİAKV E.11'de bilgi satırı olarak gösterildi mi?</t>
  </si>
  <si>
    <t>416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</si>
  <si>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</si>
  <si>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</si>
  <si>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</si>
  <si>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hizmet türü | A0.2 yurt dışı alıcı | A0.3 münhasırlık | A0.4 gelir ayrımı | A0.5 net kazanç.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</si>
  <si>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</si>
  <si>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</si>
  <si>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</si>
  <si>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</si>
  <si>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</si>
  <si>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</si>
  <si>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</si>
  <si>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</si>
  <si>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</si>
  <si>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Ana Hizmet Türü</t>
  </si>
  <si>
    <t>Yazılım / Mimarlık / Mühendislik / Tasarım / vb.</t>
  </si>
  <si>
    <t>Alıcı Tipi</t>
  </si>
  <si>
    <t>Yurt dışı gerçek kişi / Yurt dışı merkezi kuruluş</t>
  </si>
  <si>
    <t>Dosya Referansı</t>
  </si>
  <si>
    <t>YMM-2025/416-01</t>
  </si>
  <si>
    <t>B. YURT DIŞI HİZMET KAZANÇ HESABI — KVK Md.10/1-ğ / %50 İNDİRİM</t>
  </si>
  <si>
    <t>Parametre</t>
  </si>
  <si>
    <t>Değer</t>
  </si>
  <si>
    <t>Açıklama</t>
  </si>
  <si>
    <t>Kaynak</t>
  </si>
  <si>
    <t>B.1  ★ Hizmet Türü (KVK Md.10/1-ğ Listesi)</t>
  </si>
  <si>
    <t>Yazılım Geliştirme Hizmetleri</t>
  </si>
  <si>
    <t>KVK Md.10/1-ğ'de sayılan hizmet türlerinden biri seçilmeli.</t>
  </si>
  <si>
    <t>Sözleşme/Fatura</t>
  </si>
  <si>
    <t>B.2  Alıcı Türü</t>
  </si>
  <si>
    <t>Türkiye'de Yerleşmemiş Gerçek Kişi</t>
  </si>
  <si>
    <t>Yurt dışı gerçek kişi VEYA işyeri/kanuni/iş merkezi yurt dışında olan kuruluş.</t>
  </si>
  <si>
    <t>Sözleşme</t>
  </si>
  <si>
    <t>B.3  ★ Yurt Dışı Müşteri Brüt Geliri (TL)</t>
  </si>
  <si>
    <t>KVK Md.10/1-ğ kapsamındaki yurt dışı müşterilerden elde edilen toplam gelir.</t>
  </si>
  <si>
    <t>Fatura/Gelir kaydı</t>
  </si>
  <si>
    <t>B.4  ★ İlişkili Maliyet/Giderler (TL)</t>
  </si>
  <si>
    <t>Yurt dışı müşteri hizmetiyle doğrudan ilişkili giderler. Karma faaliyette yurt dışı müşteri payı ayrıştırılır.</t>
  </si>
  <si>
    <t>Gider kaydı</t>
  </si>
  <si>
    <t>B.5  ★ İNDİRİME ESAS NET KAZANÇ (B.3 - B.4)</t>
  </si>
  <si>
    <t>Net kazanç. Negatifse 0 (MAX). %50 net kazanca uygulanır — brüt değil!</t>
  </si>
  <si>
    <t>Formül</t>
  </si>
  <si>
    <t>B.6  İndirim Oranı</t>
  </si>
  <si>
    <t>%50</t>
  </si>
  <si>
    <t>KVK Md.10/1-ğ sabit oran.</t>
  </si>
  <si>
    <t>KVK Md.10/1-ğ</t>
  </si>
  <si>
    <t>B.7  ★ BEYANNAME 416 = B.5 × %50</t>
  </si>
  <si>
    <t>Beyanname 416 (net kazanç negatifse 0). Matrahı aşan devredilmez.</t>
  </si>
  <si>
    <t>C. YURT DIŞI HİZMET KAZANÇ TABLOSU (BEYANNAME 416)</t>
  </si>
  <si>
    <t xml:space="preserve">  Her yurt dışı müşteri grubu/hizmet türü için ayrı satır. SÜTUN 3: Brüt gelir. SÜTUN 4: İlişkili gider. SÜTUN 5: Net kazanç MAX(0,C−D). SÜTUN 6: %50 indirim.</t>
  </si>
  <si>
    <t>Dönem/Ay</t>
  </si>
  <si>
    <t>Hizmet Türü / Müşteri</t>
  </si>
  <si>
    <t>Brüt Gelir (TL)</t>
  </si>
  <si>
    <t>İlgili Gider (TL)</t>
  </si>
  <si>
    <t>Net Kazanç (TL)</t>
  </si>
  <si>
    <t>İndirim %50 (TL)</t>
  </si>
  <si>
    <t>Fatura/Sözleşme No</t>
  </si>
  <si>
    <t>TOPLAM</t>
  </si>
  <si>
    <t>← Beyanname 416 (Net Kazanç × %50)</t>
  </si>
  <si>
    <t>D. KVK Md.10/1-ğ İNDİRİM ÖZET — BEYANNAME 416 (%50 NET KAZANÇ)</t>
  </si>
  <si>
    <t>Hesap Kalemi</t>
  </si>
  <si>
    <t>Tutar (TL)</t>
  </si>
  <si>
    <t>Not</t>
  </si>
  <si>
    <t>D.1  Toplam Yurt Dışı Müşteri Brüt Geliri</t>
  </si>
  <si>
    <t>Yurt dışı müşterilerden brüt gelir toplamı</t>
  </si>
  <si>
    <t>D.2  Toplam İlişkili Giderler</t>
  </si>
  <si>
    <t>Yurt dışı hizmetle ilişkili giderler toplamı</t>
  </si>
  <si>
    <t>D.3  ★ İNDİRİME ESAS NET KAZANÇ</t>
  </si>
  <si>
    <t>MAX(0, Brüt−Gider)</t>
  </si>
  <si>
    <t>D.4  İndirim Oranı</t>
  </si>
  <si>
    <t>KVK Md.10/1-ğ sabit oran</t>
  </si>
  <si>
    <t>D.5  ★ BEYANNAME 416 = D.3 × %50</t>
  </si>
  <si>
    <t>→ Beyanname 416 | Kazancın Bulunması Halinde | Devredilmez</t>
  </si>
  <si>
    <t>D.6  YİAKV DURUMU — DÜŞÜLEMEZ</t>
  </si>
  <si>
    <t>YİAKV E.11 Bilgi ✗</t>
  </si>
  <si>
    <t>KVK Md.10/1-ğ diğer hizmet indirimi YİAKV matrahından düşülemez</t>
  </si>
  <si>
    <t>KVK Md.32/C</t>
  </si>
  <si>
    <t>E.1  YURT DIŞI HİZMET KAZANÇ İNDİRİMİ → Beyanname Satır 416</t>
  </si>
  <si>
    <t>D.5 = Net Kazanç × %50 | KVK Md.10/1-ğ | Devredilmez</t>
  </si>
  <si>
    <t xml:space="preserve">  ★ 414/415'TEN FARK: Mimarlık/Mühendislik/Yazılım/Tasarım/Çağrı Merkezi vb. için bakanlık izni ŞARTI YOK. Alıcı tanımı daha geniş: Yurt dışı gerçek kişi + İşyeri/kanuni/iş merkezi yurt dışında olan kuruluş. NET KAZANÇ × %50. YİAKV ✗: E.11. Devredilmez.</t>
  </si>
  <si>
    <t>416 – YURT DIŞI DİĞER HİZMET KAZANÇ İNDİRİMİ KVK Md.10/1-ğ | HESAPLAMALAR VE DENETİM</t>
  </si>
  <si>
    <t>Mimarlık/Mühendislik/Yazılım/Tasarım/Çağrı/Veri vb. | Net Kazanç × %50 | Beyanname 416 | ✗ YİAKV</t>
  </si>
  <si>
    <t>A. TASDİK ÖZETİ</t>
  </si>
  <si>
    <t>A0 Uygunluğu</t>
  </si>
  <si>
    <t>OK ise devam</t>
  </si>
  <si>
    <t>Hizmet Türü (B.1)</t>
  </si>
  <si>
    <t>KVK Md.10/1-ğ listesi</t>
  </si>
  <si>
    <t>Alıcı Türü (B.2)</t>
  </si>
  <si>
    <t>Yurt dışı kişi/kuruluş</t>
  </si>
  <si>
    <t>Net Kazanç (D.3)</t>
  </si>
  <si>
    <t>İndirim Oranı</t>
  </si>
  <si>
    <t>416 İNDİRİM (D.5)</t>
  </si>
  <si>
    <t>YİAKV</t>
  </si>
  <si>
    <t>✗ DÜŞÜLEMEZ (E.11)</t>
  </si>
  <si>
    <t>YİAKV dışı</t>
  </si>
  <si>
    <t>B. 414 / 415 / 416 KARŞILAŞTIRMA — KVK Md.10/1-ğ'NİN ÜÇ KOLU</t>
  </si>
  <si>
    <t xml:space="preserve">  KVK Md.10/1-ğ — ÜÇ KAPSAM GRUBU:
  414 — SAĞLIK HİZMETLERİ:
  Türkiye'de yerleşmemiş kişilere Türkiye'den verilen sağlık hizmetleri.
  Sağlık Bakanlığı izni ve denetimi ŞARTI VAR. Alıcı: Sadece gerçek kişi.
  415 — EĞİTİM HİZMETLERİ:
  Türkiye'de yerleşmemiş kişilere Türkiye'den verilen eğitim hizmetleri.
  MEB/YÖK/MYK izni ve denetimi ŞARTI VAR. Alıcı: Sadece gerçek kişi.
  416 — DİĞER HİZMETLER:
  Mimarlık | Mühendislik | Tasarım | Yazılım | Tıbbi Raporlama
  Muhasebe Kaydı | Çağrı Merkezi | Ürün Testi | Sertifikasyon
  Veri Saklama/İşleme/Analizi | Mesleki Eğitim (Maliye Bak.)
  Bakanlık izni/denetimi ŞARTI YOK.
  Alıcı: Yurt dışı gerçek kişi VEYA işyeri/kanuni/iş merkezi yurt dışında kuruluş.
  ORTAK: Net kazancın %50'si | Münhasıran yurt dışında yararlanma | Devredilmez | YİAKV E.11.</t>
  </si>
  <si>
    <t>C. KVK Md.10/1-ğ DİĞER HİZMETLER — KAPSAM LİSTESİ VE SINIR TANIMLAMALAR</t>
  </si>
  <si>
    <t xml:space="preserve">  KVK Md.10/1-ğ 'DİĞER HİZMETLER' TAM LİSTESİ:
  ① MİMARLIK: Yapı tasarımı, proje çizim, röleve, restorasyon projeleri
  ② MÜHENDİSLİK: İnşaat, makine, elektrik, yazılım mühendisliği projeleri
  ③ TASARIM: Grafik, endüstriyel, moda, iç mimarlık tasarımı
  ④ YAZILIM: Yazılım geliştirme, uygulama, mobil, web, SaaS
  ⑤ TIBBİ RAPORLAMA: Radyoloji okuma, patoloji raporu, tıbbi transkripsiyon
  ⑥ MUHASEBE KAYDI TUTMA: Yurt dışı şirketler için kayıt tutma hizmeti
  ⑦ ÇAĞRI MERKEZİ: Yurt dışı müşteriye yönelik çağrı merkezi operasyonu
  ⑧ ÜRÜN TESTİ: Kalite kontrolü, ürün test ve sertifikasyon hizmetleri
  ⑨ SERTİFİKASYON: Uygunluk belgesi, standart sertifikasyonu
  ⑩ VERİ SAKLAMA/İŞLEME/ANALİZİ: Bulut depolama, big data, AI/ML servisleri
  ⑪ MESLEKİ EĞİTİM: Maliye Bakanlığı'nca belirlenen mesleki eğitim alanları
  KAPSAM DIŞI:
  ✗ Yurt içi müşteriye verilen herhangi bir hizmet
  ✗ Türkiye'de yararlanılan hizmetler
  ✗ Listede yer almayan hizmet türleri</t>
  </si>
  <si>
    <t>D. DENETİM KONTROL LİSTESİ (K1–K12)</t>
  </si>
  <si>
    <t>Kontrol</t>
  </si>
  <si>
    <t>Sonuç</t>
  </si>
  <si>
    <t>K1</t>
  </si>
  <si>
    <t>★ Hizmet KVK Md.10/1-ğ listesinde sayılan türlerden biri mi?</t>
  </si>
  <si>
    <t>Kapsam dışı hizmet → 416 uygulanamaz.</t>
  </si>
  <si>
    <t>Uygun/Eksik/Risk</t>
  </si>
  <si>
    <t>K2</t>
  </si>
  <si>
    <t>★ Alıcı yurt dışı (kişi veya kuruluş) mu?</t>
  </si>
  <si>
    <t>Yurt içi alıcı → Kapsam dışı.</t>
  </si>
  <si>
    <t>K3</t>
  </si>
  <si>
    <t>★ Hizmet münhasıran yurt dışında yararlanılmak üzere mi?</t>
  </si>
  <si>
    <t>Türkiye'de yararlanma → Kapsam dışı.</t>
  </si>
  <si>
    <t>K4</t>
  </si>
  <si>
    <t>★ Yurt içi - yurt dışı müşteri gelir/gider ayrımı yapıldı mı?</t>
  </si>
  <si>
    <t>Karma faaliyette ayrışım zorunlu.</t>
  </si>
  <si>
    <t>K5</t>
  </si>
  <si>
    <t>★ İndirim NET KAZANCA uygulandı mı? (Brüt değil!)</t>
  </si>
  <si>
    <t>Brüt × %50 → Hatalı.</t>
  </si>
  <si>
    <t>K6</t>
  </si>
  <si>
    <t>★ Net kazanç pozitif mi? (Negatifse indirim = 0)</t>
  </si>
  <si>
    <t>MAX(0,Net) kontrolü.</t>
  </si>
  <si>
    <t>K7</t>
  </si>
  <si>
    <t>Fatura ve sözleşme yurt dışı müşteriyi teyit ediyor mu?</t>
  </si>
  <si>
    <t>Her müşteri için teyit.</t>
  </si>
  <si>
    <t>K8</t>
  </si>
  <si>
    <t>C tablosu F toplamı D.5 ile mutabık mı?</t>
  </si>
  <si>
    <t>SUM(F40:F45) = D.5 eşitliği.</t>
  </si>
  <si>
    <t>K9</t>
  </si>
  <si>
    <t>★ İndirim matrahı aşıyor mu? (Devredilemez!)</t>
  </si>
  <si>
    <t>Aşan kısım beyanname notu.</t>
  </si>
  <si>
    <t>K10</t>
  </si>
  <si>
    <t>✗ YİAKV E.11'de bilgi satırı olarak gösterildi mi?</t>
  </si>
  <si>
    <t>416 DÜŞÜLEMEZ — E.11.</t>
  </si>
  <si>
    <t>K11</t>
  </si>
  <si>
    <t>Beyanname 416 'Kazancın Bulunması Halinde' bölümünde mi?</t>
  </si>
  <si>
    <t>Zarar → uygulanamaz.</t>
  </si>
  <si>
    <t>K12</t>
  </si>
  <si>
    <t>YMM Tasdik Raporu değerlendirildi mi?</t>
  </si>
  <si>
    <t>416 – YURT DIŞI DİĞER HİZMETLER KVK Md.10/1-ğ | MUHASEBE KAYITLARI</t>
  </si>
  <si>
    <t>KAYIT 1 — YURT DIŞI HİZMET GELİRİ VE MALİYET KAYDI</t>
  </si>
  <si>
    <t>Tarih</t>
  </si>
  <si>
    <t>Hesap</t>
  </si>
  <si>
    <t>Dr</t>
  </si>
  <si>
    <t>Kr</t>
  </si>
  <si>
    <t>Ref</t>
  </si>
  <si>
    <t>[Dönem]</t>
  </si>
  <si>
    <t>600/601 Satışlar</t>
  </si>
  <si>
    <t>Yurt dışı müşteri hizmet geliri (Mimarlık/Yaz./vb.)</t>
  </si>
  <si>
    <t>—</t>
  </si>
  <si>
    <t>[Brüt]</t>
  </si>
  <si>
    <t>Fatura/Sözleşme</t>
  </si>
  <si>
    <t>KAYIT 2 — DÖNEM SONU: BEYANNAME 416 İNDİRİMİ</t>
  </si>
  <si>
    <t>[Dönem Sonu]</t>
  </si>
  <si>
    <t>— Beyanname Üzerinde İndirim —</t>
  </si>
  <si>
    <t>KVK Md.10/1-ğ indirimi gelir tablosunu etkilemez — muhasebe kaydı gerekmez</t>
  </si>
  <si>
    <t>[Net×%50]</t>
  </si>
  <si>
    <t>Beyanname 416</t>
  </si>
  <si>
    <t xml:space="preserve">  DÖNEM SONU — BEYANNAME 416: KVK Md.10/1-ğ diğer hizmet indirimi GELİR TABLOSUNU ETKİLEMEZ.
  Net Kazanç (Yurt Dışı Müşteri Geliri − Giderler) × %50 → KV beyannamesi 416 satırı.
  YİAKV: ✗ DÜŞÜLEMEZ — E.11. Matrahı aşan kısım devredilmez.
  414 Sağlık ve 415 Eğitim ile aynı dönemde birlikte uygulanabilir — ayrı beyanname satırları.</t>
  </si>
  <si>
    <t>416 – YURT DIŞI DİĞER HİZMET KAZANÇ İNDİRİMİ KVK Md.10/1-ğ | DENETÇİ NOTLARI</t>
  </si>
  <si>
    <t>GİB KV Beyan Rehberi 2026 | KVK Md.10/1-ğ | Yaz./Mim./Müh./Tasarım | 414/415 Farkı | YİAKV E.11</t>
  </si>
  <si>
    <t>Kod</t>
  </si>
  <si>
    <t>Konu</t>
  </si>
  <si>
    <t>Mesleki Değerlendirme / Tasdik Standardı</t>
  </si>
  <si>
    <t>Mevzuat / Kaynak</t>
  </si>
  <si>
    <t>N1</t>
  </si>
  <si>
    <t>KVK Md.10/1-ğ — 'Diğer Hizmetler' Kapsamı ve Tam Liste</t>
  </si>
  <si>
    <t>KVK MADDE 10/1-ğ — DİĞER HİZMETLER KAZANÇ İNDİRİMİ:
Türkiye'de yerleşmiş olmayan kişilerle, işyeri/kanuni/iş merkezi
yurt dışında bulunanlara Türkiye'de verilen ve münhasıran yurt dışında
yararlanılan aşağıdaki hizmetlerden elde edilen kazancın %50'si indirilir:
① Mimarlık  ② Mühendislik  ③ Tasarım  ④ Yazılım
⑤ Tıbbi Raporlama  ⑥ Muhasebe Kaydı Tutma  ⑦ Çağrı Merkezi
⑧ Ürün Testi  ⑨ Sertifikasyon
⑩ Veri Saklama  ⑪ Veri İşleme  ⑫ Veri Analizi
⑬ Maliye Bakanlığı'nca Belirlenen Mesleki Eğitim
KAZANCIN BULUNMASI HALİNDE — Matrahı aşan devredilmez.
YİAKV: ✗ DÜŞÜLEMEZ (E.11 bilgi) | BEYANNAME: 416</t>
  </si>
  <si>
    <t>KVK Md.10/1-ğ | GİB KV Beyan Reh. 2026 (No:606)</t>
  </si>
  <si>
    <t>N2</t>
  </si>
  <si>
    <t>★ 414 / 415 / 416 — Üç Kolun Kritik Farklılıkları</t>
  </si>
  <si>
    <t>KVK Md.10/1-ğ ÜÇ KOL KARŞILAŞTIRMASI:
┌──────────────┬──────────────────────────┬────────────────┬──────────────┐
│ Kod          │ Hizmet                   │ Bakanlık İzni  │ Alıcı        │
├──────────────┼──────────────────────────┼────────────────┼──────────────┤
│ 414 Sağlık   │ Sağlık hizmetleri        │ ŞART VAR       │ Sadece kişi  │
│ 415 Eğitim   │ Eğitim hizmetleri        │ ŞART VAR       │ Sadece kişi  │
│ 416 Diğer    │ Mim/Müh/Yaz/Tasarım/vb. │ ŞART YOK       │ Kişi+Kuruluş │
└──────────────┴──────────────────────────┴────────────────┴──────────────┘
416 ALICI GENİŞLİĞİ (414/415'ten farklı):
414/415: Yalnızca Türkiye'de yerleşmemiş gerçek kişi
416: Türkiye'de yerleşmemiş gerçek kişi VEYA
     İşyeri yurt dışında olan → Yurt dışı şube/ofisi olan yabancı şirket
     Kanuni merkezi yurt dışında → Yabancı tüzel kişi
     İş merkezi yurt dışında → Fiili yönetim merkezi yurt dışında
ORTAK KURAL (üçünde de aynı):
Net Kazanç × %50 | Münhasıran yurt dışında yararlanma | YİAKV E.11</t>
  </si>
  <si>
    <t>N3</t>
  </si>
  <si>
    <t>Münhasıran Yurt Dışında Yararlanma — Hizmet Bazında Değerlendirme</t>
  </si>
  <si>
    <t>MÜNHASIRAN YURT DIŞINDA YARARLANMA KOŞULU:
YAZILIM: Türkiye'de geliştirilen yazılımın yurt dışı şirkette kullanılması → Kapsam ✓
MİMARLIK: Yurt dışı proje için çizilen plan → Kapsam ✓
MÜHENDİSLİK: Yurt dışı tesis için mühendislik danışmanlığı → Kapsam ✓
TIBBİ RAPORLAMA: Yurt dışı hastane için radyoloji okuma → Kapsam ✓
ÇAĞRI MERKEZİ: Yurt dışı müşterilere yönelik çağrı merkezi → Kapsam ✓
VERİ ANALİZİ: Yurt dışı şirketin verisini Türkiye'den analiz etme → Kapsam ✓
KAPSAM DIŞI RİSK:
Yurt dışı şirkete fatura kesilip hizmet Türkiye'de kullanılıyorsa → Risk!
Örnek: Türkiye'deki binanın projesini yurt dışı şirkete fatura etmek → Münhasır değil.
YMM: Her sözleşmede 'hizmetin nerede kullanıldığı' teyit edilmeli.</t>
  </si>
  <si>
    <t>KVK Md.10/1-ğ | GİB Özelge</t>
  </si>
  <si>
    <t>N4</t>
  </si>
  <si>
    <t>YİAKV ile İlişki — E.11 Güncel ve Tam Tablo</t>
  </si>
  <si>
    <t>YİAKV (KVK Md.32/C) VE 416 KAZANÇ İNDİRİMİ:
✗ 416 (KVK Md.10/1-ğ Diğer Hizmetler): DÜŞÜLEMEZ → YİAKV E.11
YİAKV E.11 — GÜNCEL KODLAR (414/415/416 dahil):
✗ 402 | ✗ 403 | ✗ 404 | ✗ 414 | ✗ 415 | ✗ 416 | ✗ 417
✗ 451 | ✗ 460/461 | ✗ 462 | ✗ 463 | ✗ 464 | ✗ 465
✗ 466 | ✗ 469–483
→ YİAKV E.11 = Tüm bu kodların dönem toplamı
DÜŞÜLEBILIR:
✓ 283/455 → D.10 | ✓ 456/457 → E.13
✓ 401 → D.4 | ✓ 413 → D.11 | ✗ 453 → E.10</t>
  </si>
  <si>
    <t>KVK Md.32/C | GİB Rehberi No:607 | No:606</t>
  </si>
  <si>
    <t>N5</t>
  </si>
  <si>
    <t>49 No.lu Tebliğ + YMM Tasdik Dil Standardı</t>
  </si>
  <si>
    <t>KULLANIN:
'...Kurumlar Vergisi Kanunu'nun 10. maddesinin birinci fıkrasının (ğ)
bendi kapsamında, [Alıcı Adı/Türü] adlı yurt dışı [kişiye/kuruluşa]
Türkiye'den verilen [Hizmet Türü] hizmetlerinden elde edilen
[Net Kazanç] TL net kazancın %50'si olan [İndirim] TL, kurumlar
vergisi matrahından indirilmiştir. Söz konusu tutar YİAKV
matrahından indirilmemiştir.'
KULLANMAYIN:
'...Yurt içi müşteriye verilen yazılım hizmeti 416 kapsamında.' (Kapsam dışı)
'...Brüt gelirin %50'si 416 kapsamında indirilmiştir.' (Net kazanç olmalı)
'...Türkiye'de yararlanılan mühendislik hizmeti 416 kapsamında.' (Kapsam dışı)
'...416 YİAKV matrahından düşülmüştür.' (YANLIŞ)
KRİTİK RİSKLER:
(1) Yurt içi müşteriye verilen hizmet gelirine %50 uygulamak.
(2) Türkiye'de yararlanılan hizmetleri 416'ya dahil etmek.
(3) Brüt gelire %50 uygulamak (net kazanç olmalı).
(4) Matrahı aşan kısmı devretmeye çalışmak.</t>
  </si>
  <si>
    <t>49 No.lu Tebliğ | KVK Md.10/1-ğ | SM-SMMM-YMM K. Md.12</t>
  </si>
  <si>
    <t xml:space="preserve">  GİB KV BEYAN REHBERİ MART 2026 (No:606) KAPANIŞ (416): KVK Md.10/1-ğ — Mimarlık, mühendislik, yazılım, tasarım, çağrı merkezi, tıbbi raporlama, veri işleme vb. yurt dışı hizmet net kazancının %50'si. Bakanlık izni şartı yok (414/415'ten farklı). Alıcı: yurt dışı kişi veya kuruluş. NET kazanç × %50. ✗ YİAKV E.11.</t>
  </si>
  <si>
    <t>416 – YURT DIŞI DİĞER HİZMETLER KVK Md.10/1-ğ | BELGE LİSTESİ | YMM TASDİK</t>
  </si>
  <si>
    <t>Yurt Dışı Fatura/Sözleşme | Alıcı Teyidi | Gelir Ayrım Notu | Münhasırlık Kanıtı | YİAKV E.11</t>
  </si>
  <si>
    <t>KATEGORİ 1 — ZORUNLU BELGELER</t>
  </si>
  <si>
    <t>No</t>
  </si>
  <si>
    <t>Belge</t>
  </si>
  <si>
    <t>Temin</t>
  </si>
  <si>
    <t>1</t>
  </si>
  <si>
    <t>★ Yurt Dışı Müşteriye Kesilen Faturalar</t>
  </si>
  <si>
    <t>Yurt dışı müşteriye (gerçek kişi veya kuruluş) kesilen fatura/e-fatura. Hizmetin KVK Md.10/1-ğ'de sayılan türlerden biri olduğu anlaşılmalı. Zorunlu.</t>
  </si>
  <si>
    <t>Fatura Sistemi / Muhasebe</t>
  </si>
  <si>
    <t>2</t>
  </si>
  <si>
    <t>★ Yurt Dışı Müşteri Sözleşmesi</t>
  </si>
  <si>
    <t>Alıcının yurt dışı kaynaklı olduğunu kanıtlayan hizmet sözleşmesi. Sözleşmede alıcının yurt dışı adres/merkezi yer almalı. Kuruluşlar için: İşyeri/kanuni/iş merkezi yurt dışında olduğu anlaşılmalı. Zorunlu.</t>
  </si>
  <si>
    <t>Hukuk / Sözleşme Arşivi</t>
  </si>
  <si>
    <t>3</t>
  </si>
  <si>
    <t>★ Münhasıran Yurt Dışında Yararlanma Kanıtı</t>
  </si>
  <si>
    <t>Hizmetin yurt dışında kullanıldığını gösteren belge veya beyan. Yazılım: Deployment kaydı. Mimarlık/Mühendislik: Projenin yurt dışında olduğu belgesi. Çağrı merkezi: Yurt dışı müşteri listesi. Tıbbi raporlama: Yurt dışı hastane kaydı.</t>
  </si>
  <si>
    <t>Proje/Hizmet Belgesi</t>
  </si>
  <si>
    <t>4</t>
  </si>
  <si>
    <t>★ Yurt İçi / Yurt Dışı Müşteri Gelir-Gider Ayrışım Notu</t>
  </si>
  <si>
    <t>Karma faaliyette yurt dışı müşteri geliri ve ilgili gider payının ayrıştırıldığı YMM hesaplama notu. Net kazanç hesabının dayanağı. Zorunlu.</t>
  </si>
  <si>
    <t>YMM Hesaplama Notu</t>
  </si>
  <si>
    <t>5</t>
  </si>
  <si>
    <t>KV Beyannamesi 416 Satırı + YİAKV E.11 Bilgi</t>
  </si>
  <si>
    <t>Beyanname 416 = Net Kazanç × %50. YİAKV E.11 = 402+...+414+415+416+... tüm kodlar dönem toplamı.</t>
  </si>
  <si>
    <t>GİB e-Beyanname + YİAKV ÇK</t>
  </si>
  <si>
    <t>KATEGORİ 2 — YMM TASDİK KONTROL SORULARI</t>
  </si>
  <si>
    <t>Beklenen Sonuç</t>
  </si>
  <si>
    <t>YMM Aksiyonu</t>
  </si>
  <si>
    <t>S1</t>
  </si>
  <si>
    <t>Kapsam dışı → 416 uygulanamaz.</t>
  </si>
  <si>
    <t>YMM kontrolü</t>
  </si>
  <si>
    <t>S2</t>
  </si>
  <si>
    <t>★ Alıcı yurt dışı kaynaklı (kişi veya kuruluş) mu?</t>
  </si>
  <si>
    <t>S3</t>
  </si>
  <si>
    <t>Münhasırlık teyit belgesi.</t>
  </si>
  <si>
    <t>S4</t>
  </si>
  <si>
    <t>★ Yurt içi/yurt dışı müşteri gelir-gider ayrımı yapıldı mı?</t>
  </si>
  <si>
    <t>Ayrışım notu zorunlu.</t>
  </si>
  <si>
    <t>S5</t>
  </si>
  <si>
    <t>★ İndirim NET KAZANCA uygulandı mı? (%50 × Net)</t>
  </si>
  <si>
    <t>S6</t>
  </si>
  <si>
    <t>S7</t>
  </si>
  <si>
    <t>Sözleşme yurt dışı alıcı merkezini teyit ediyor mu?</t>
  </si>
  <si>
    <t>Kuruluş için merkez teyidi.</t>
  </si>
  <si>
    <t>S8</t>
  </si>
  <si>
    <t>★ İndirim matrahı aşıyor mu? (Devredilmez!)</t>
  </si>
  <si>
    <t>S9</t>
  </si>
  <si>
    <t>✗ YİAKV E.11'de bilgi satırı var mı?</t>
  </si>
  <si>
    <t>S10</t>
  </si>
  <si>
    <t>414/415 varsa ayrı satırda mı gösterildi?</t>
  </si>
  <si>
    <t>414+415+416 ayrı beyanname satırları.</t>
  </si>
  <si>
    <t>S11</t>
  </si>
  <si>
    <t>&gt;=500.000 TL → Rapor.</t>
  </si>
  <si>
    <t xml:space="preserve">  GİB KV BEYAN REHBERİ MART 2026 (No:606) | 416 KVK Md.10/1-ğ DİĞER HİZMETLER İNDİRİMİ:
  Kapsam: Mimarlık, mühendislik, yazılım, tasarım, çağrı merkezi, tıbbi raporlama, muhasebe, ürün testi, veri işleme vb.
  414/415'ten fark: Bakanlık izni şartı YOK | Alıcı: Yurt dışı kişi VEYA işyeri/kanuni/iş merkezi yurt dışında kuruluş.
  NET kazanç × %50 (brüt gelir değil). Münhasıran yurt dışında yararlanma zorunlu.
  Matrahı aşan kısım devredilmez. ✗ YİAKV E.11. YMM: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</si>
</sst>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BF360C"/>
      <name val="Arial"/>
    </font>
    <font>
      <b/>
      <sz val="10"/>
      <color rgb="FFBF360C"/>
      <name val="Arial"/>
    </font>
    <font>
      <b/>
      <sz val="11"/>
      <color rgb="FF1B5E20"/>
      <name val="Arial"/>
    </font>
    <font>
      <b/>
      <sz val="12"/>
      <color rgb="FF1B5E20"/>
      <name val="Arial"/>
    </font>
    <font>
      <sz val="9"/>
      <color rgb="FF1F3864"/>
      <name val="Arial"/>
    </font>
    <font>
      <b/>
      <sz val="9"/>
      <color rgb="FFBF360C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BF360C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BF360C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BE9E7"/>
      </patternFill>
    </fill>
    <fill>
      <patternFill patternType="solid">
        <fgColor rgb="FFC6EFCE"/>
      </patternFill>
    </fill>
    <fill>
      <patternFill patternType="solid">
        <fgColor rgb="FFFFCCBC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F360C"/>
      </left>
      <right style="thin">
        <color rgb="FFBF360C"/>
      </right>
      <top style="thin">
        <color rgb="FFBF360C"/>
      </top>
      <bottom style="thin">
        <color rgb="FFBF360C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horizontal="center" vertical="center"/>
    </xf>
    <xf numFmtId="3" fontId="14" fillId="13" borderId="8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left" vertical="center" wrapText="1"/>
    </xf>
    <xf numFmtId="3" fontId="16" fillId="14" borderId="7" xfId="0" applyNumberFormat="1" applyFont="1" applyFill="1" applyBorder="1" applyAlignment="1">
      <alignment horizontal="right" vertical="center" wrapText="1"/>
    </xf>
    <xf numFmtId="3" fontId="4" fillId="14" borderId="9" xfId="0" applyNumberFormat="1" applyFont="1" applyFill="1" applyBorder="1" applyAlignment="1">
      <alignment horizontal="right" vertical="center" wrapText="1"/>
    </xf>
    <xf numFmtId="3" fontId="16" fillId="12" borderId="4" xfId="0" applyNumberFormat="1" applyFont="1" applyFill="1" applyBorder="1" applyAlignment="1">
      <alignment horizontal="right" vertical="center" wrapText="1"/>
    </xf>
    <xf numFmtId="3" fontId="17" fillId="13" borderId="8" xfId="0" applyNumberFormat="1" applyFont="1" applyFill="1" applyBorder="1" applyAlignment="1">
      <alignment horizontal="right" vertical="center" wrapText="1"/>
    </xf>
    <xf numFmtId="0" fontId="18" fillId="10" borderId="4" xfId="0" applyFont="1" applyFill="1" applyBorder="1" applyAlignment="1">
      <alignment horizontal="center" vertical="center" wrapText="1"/>
    </xf>
    <xf numFmtId="3" fontId="16" fillId="11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9" fillId="2" borderId="4" xfId="0" applyNumberFormat="1" applyFont="1" applyFill="1" applyBorder="1" applyAlignment="1">
      <alignment horizontal="right" vertical="center" wrapText="1"/>
    </xf>
    <xf numFmtId="3" fontId="20" fillId="2" borderId="8" xfId="0" applyNumberFormat="1" applyFont="1" applyFill="1" applyBorder="1" applyAlignment="1">
      <alignment horizontal="right" vertical="center" wrapText="1"/>
    </xf>
    <xf numFmtId="3" fontId="12" fillId="12" borderId="4" xfId="0" applyNumberFormat="1" applyFont="1" applyFill="1" applyBorder="1" applyAlignment="1">
      <alignment horizontal="right" vertical="center"/>
    </xf>
    <xf numFmtId="0" fontId="13" fillId="12" borderId="4" xfId="0" applyFont="1" applyFill="1" applyBorder="1" applyAlignment="1">
      <alignment horizontal="center" vertical="center"/>
    </xf>
    <xf numFmtId="3" fontId="21" fillId="13" borderId="8" xfId="0" applyNumberFormat="1" applyFont="1" applyFill="1" applyBorder="1" applyAlignment="1">
      <alignment horizontal="right" vertical="center"/>
    </xf>
    <xf numFmtId="0" fontId="23" fillId="15" borderId="4" xfId="0" applyFont="1" applyFill="1" applyBorder="1" applyAlignment="1">
      <alignment horizontal="center" vertical="center"/>
    </xf>
    <xf numFmtId="3" fontId="24" fillId="13" borderId="8" xfId="0" applyNumberFormat="1" applyFont="1" applyFill="1" applyBorder="1" applyAlignment="1">
      <alignment horizontal="right" vertical="center" wrapText="1"/>
    </xf>
    <xf numFmtId="3" fontId="9" fillId="12" borderId="4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3" fontId="14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7" fillId="17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0" fillId="12" borderId="4" xfId="0" applyFill="1" applyBorder="1"/>
    <xf numFmtId="0" fontId="7" fillId="11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 wrapText="1"/>
    </xf>
    <xf numFmtId="0" fontId="27" fillId="18" borderId="4" xfId="0" applyFont="1" applyFill="1" applyBorder="1" applyAlignment="1">
      <alignment horizontal="left" vertical="top" wrapText="1"/>
    </xf>
    <xf numFmtId="0" fontId="28" fillId="12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8" fillId="9" borderId="4" xfId="0" applyFont="1" applyFill="1" applyBorder="1" applyAlignment="1">
      <alignment horizontal="left" vertical="top" wrapText="1"/>
    </xf>
    <xf numFmtId="0" fontId="28" fillId="11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7" fillId="19" borderId="4" xfId="0" applyFont="1" applyFill="1" applyBorder="1" applyAlignment="1">
      <alignment horizontal="left" vertical="top" wrapText="1"/>
    </xf>
    <xf numFmtId="0" fontId="30" fillId="13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top" wrapText="1"/>
    </xf>
    <xf numFmtId="0" fontId="30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1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7" fillId="22" borderId="4" xfId="0" applyFont="1" applyFill="1" applyBorder="1" applyAlignment="1">
      <alignment horizontal="left" vertical="top" wrapText="1"/>
    </xf>
    <xf numFmtId="0" fontId="32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1" fillId="23" borderId="4" xfId="0" applyFont="1" applyFill="1" applyBorder="1" applyAlignment="1">
      <alignment horizontal="center" vertical="center" wrapText="1"/>
    </xf>
    <xf numFmtId="0" fontId="31" fillId="23" borderId="4" xfId="0" applyFont="1" applyFill="1" applyBorder="1" applyAlignment="1">
      <alignment horizontal="left" vertical="top" wrapText="1"/>
    </xf>
    <xf numFmtId="0" fontId="27" fillId="24" borderId="4" xfId="0" applyFont="1" applyFill="1" applyBorder="1" applyAlignment="1">
      <alignment horizontal="left" vertical="top" wrapText="1"/>
    </xf>
    <xf numFmtId="0" fontId="32" fillId="2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1" fillId="11" borderId="4" xfId="0" applyFont="1" applyFill="1" applyBorder="1" applyAlignment="1">
      <alignment horizontal="left" vertical="center" wrapText="1"/>
    </xf>
    <xf numFmtId="0" fontId="0" fillId="0" borderId="6" xfId="0" applyBorder="1"/>
    <xf numFmtId="0" fontId="7" fillId="11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10" fillId="11" borderId="4" xfId="0" applyFont="1" applyFill="1" applyBorder="1" applyAlignment="1">
      <alignment horizontal="left" vertical="center" wrapText="1"/>
    </xf>
    <xf numFmtId="0" fontId="17" fillId="13" borderId="4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4" fillId="11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25" fillId="13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5" fillId="12" borderId="4" xfId="0" applyFont="1" applyFill="1" applyBorder="1" applyAlignment="1">
      <alignment horizontal="left" vertical="center" wrapText="1"/>
    </xf>
    <xf numFmtId="0" fontId="26" fillId="14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22" fillId="15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0" fillId="15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9" fillId="13" borderId="4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18" fillId="14" borderId="4" xfId="0" applyFont="1" applyFill="1" applyBorder="1" applyAlignment="1">
      <alignment horizontal="left" vertical="center" wrapText="1"/>
    </xf>
    <xf numFmtId="0" fontId="18" fillId="12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27" fillId="17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27" fillId="12" borderId="4" xfId="0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7" fillId="15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27" fillId="15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left" vertical="center"/>
    </xf>
    <xf numFmtId="0" fontId="29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F80E12-5CC5-471D-91F0-CDD19637BDA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a5596c2-9874-4c41-aef5-91cb082f42b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7" t="s">
        <v>0</v>
      </c>
      <c r="B1" s="65"/>
      <c r="C1" s="65"/>
      <c r="D1" s="65"/>
      <c r="E1" s="65"/>
      <c r="F1" s="65"/>
      <c r="G1" s="66"/>
    </row>
    <row r="2" spans="1:7" ht="22" customHeight="1" x14ac:dyDescent="0.55000000000000004">
      <c r="A2" s="97" t="s">
        <v>1</v>
      </c>
      <c r="B2" s="65"/>
      <c r="C2" s="65"/>
      <c r="D2" s="65"/>
      <c r="E2" s="65"/>
      <c r="F2" s="65"/>
      <c r="G2" s="66"/>
    </row>
    <row r="3" spans="1:7" ht="56.05" customHeight="1" x14ac:dyDescent="0.55000000000000004">
      <c r="A3" s="89" t="s">
        <v>2</v>
      </c>
      <c r="B3" s="71"/>
      <c r="C3" s="71"/>
      <c r="D3" s="71"/>
      <c r="E3" s="71"/>
      <c r="F3" s="71"/>
      <c r="G3" s="68"/>
    </row>
    <row r="4" spans="1:7" ht="26.05" customHeight="1" x14ac:dyDescent="0.55000000000000004">
      <c r="A4" s="90" t="s">
        <v>3</v>
      </c>
      <c r="B4" s="71"/>
      <c r="C4" s="71"/>
      <c r="D4" s="71"/>
      <c r="E4" s="71"/>
      <c r="F4" s="71"/>
      <c r="G4" s="68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5" t="s">
        <v>4</v>
      </c>
      <c r="B6" s="65"/>
      <c r="C6" s="65"/>
      <c r="D6" s="65"/>
      <c r="E6" s="65"/>
      <c r="F6" s="65"/>
      <c r="G6" s="66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5" t="s">
        <v>8</v>
      </c>
      <c r="B8" s="71"/>
      <c r="C8" s="71"/>
      <c r="D8" s="68"/>
      <c r="E8" s="3" t="s">
        <v>9</v>
      </c>
      <c r="F8" s="80" t="s">
        <v>10</v>
      </c>
      <c r="G8" s="68"/>
    </row>
    <row r="9" spans="1:7" ht="28" customHeight="1" x14ac:dyDescent="0.55000000000000004">
      <c r="A9" s="85" t="s">
        <v>11</v>
      </c>
      <c r="B9" s="71"/>
      <c r="C9" s="71"/>
      <c r="D9" s="68"/>
      <c r="E9" s="3" t="s">
        <v>9</v>
      </c>
      <c r="F9" s="80" t="s">
        <v>12</v>
      </c>
      <c r="G9" s="68"/>
    </row>
    <row r="10" spans="1:7" ht="28" customHeight="1" x14ac:dyDescent="0.55000000000000004">
      <c r="A10" s="85" t="s">
        <v>13</v>
      </c>
      <c r="B10" s="71"/>
      <c r="C10" s="71"/>
      <c r="D10" s="68"/>
      <c r="E10" s="3" t="s">
        <v>9</v>
      </c>
      <c r="F10" s="80" t="s">
        <v>14</v>
      </c>
      <c r="G10" s="68"/>
    </row>
    <row r="11" spans="1:7" ht="28" customHeight="1" x14ac:dyDescent="0.55000000000000004">
      <c r="A11" s="85" t="s">
        <v>15</v>
      </c>
      <c r="B11" s="71"/>
      <c r="C11" s="71"/>
      <c r="D11" s="68"/>
      <c r="E11" s="3" t="s">
        <v>9</v>
      </c>
      <c r="F11" s="80" t="s">
        <v>16</v>
      </c>
      <c r="G11" s="68"/>
    </row>
    <row r="12" spans="1:7" ht="28" customHeight="1" x14ac:dyDescent="0.55000000000000004">
      <c r="A12" s="85" t="s">
        <v>17</v>
      </c>
      <c r="B12" s="71"/>
      <c r="C12" s="71"/>
      <c r="D12" s="68"/>
      <c r="E12" s="3" t="s">
        <v>9</v>
      </c>
      <c r="F12" s="80" t="s">
        <v>18</v>
      </c>
      <c r="G12" s="68"/>
    </row>
    <row r="13" spans="1:7" ht="28" customHeight="1" x14ac:dyDescent="0.55000000000000004">
      <c r="A13" s="69" t="s">
        <v>19</v>
      </c>
      <c r="B13" s="71"/>
      <c r="C13" s="71"/>
      <c r="D13" s="68"/>
      <c r="E13" s="3" t="s">
        <v>9</v>
      </c>
      <c r="F13" s="77" t="s">
        <v>20</v>
      </c>
      <c r="G13" s="68"/>
    </row>
    <row r="14" spans="1:7" ht="28" customHeight="1" x14ac:dyDescent="0.55000000000000004">
      <c r="A14" s="78" t="s">
        <v>21</v>
      </c>
      <c r="B14" s="71"/>
      <c r="C14" s="71"/>
      <c r="D14" s="68"/>
      <c r="E14" s="3" t="s">
        <v>9</v>
      </c>
      <c r="F14" s="93" t="s">
        <v>22</v>
      </c>
      <c r="G14" s="68"/>
    </row>
    <row r="15" spans="1:7" ht="24" customHeight="1" x14ac:dyDescent="0.55000000000000004">
      <c r="A15" s="75" t="s">
        <v>23</v>
      </c>
      <c r="B15" s="71"/>
      <c r="C15" s="71"/>
      <c r="D15" s="68"/>
      <c r="E15" s="4" t="str">
        <f>IF(AND(E8="EVET",E9="EVET",E10="EVET",E11="EVET",E12="EVET"),"OK - Hesaplanabilir","HATA - Ön koşul eksik")</f>
        <v>OK - Hesaplanabilir</v>
      </c>
      <c r="F15" s="74" t="s">
        <v>24</v>
      </c>
      <c r="G15" s="68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4" t="s">
        <v>25</v>
      </c>
      <c r="B17" s="65"/>
      <c r="C17" s="65"/>
      <c r="D17" s="65"/>
      <c r="E17" s="65"/>
      <c r="F17" s="65"/>
      <c r="G17" s="66"/>
    </row>
    <row r="18" spans="1:7" ht="22" customHeight="1" x14ac:dyDescent="0.55000000000000004">
      <c r="A18" s="78" t="s">
        <v>26</v>
      </c>
      <c r="B18" s="68"/>
      <c r="C18" s="70"/>
      <c r="D18" s="71"/>
      <c r="E18" s="68"/>
      <c r="F18" s="82" t="s">
        <v>27</v>
      </c>
      <c r="G18" s="68"/>
    </row>
    <row r="19" spans="1:7" ht="22" customHeight="1" x14ac:dyDescent="0.55000000000000004">
      <c r="A19" s="69" t="s">
        <v>28</v>
      </c>
      <c r="B19" s="68"/>
      <c r="C19" s="70"/>
      <c r="D19" s="71"/>
      <c r="E19" s="68"/>
      <c r="F19" s="72" t="s">
        <v>29</v>
      </c>
      <c r="G19" s="68"/>
    </row>
    <row r="20" spans="1:7" ht="22" customHeight="1" x14ac:dyDescent="0.55000000000000004">
      <c r="A20" s="78" t="s">
        <v>30</v>
      </c>
      <c r="B20" s="68"/>
      <c r="C20" s="70"/>
      <c r="D20" s="71"/>
      <c r="E20" s="68"/>
      <c r="F20" s="82" t="s">
        <v>31</v>
      </c>
      <c r="G20" s="68"/>
    </row>
    <row r="21" spans="1:7" ht="22" customHeight="1" x14ac:dyDescent="0.55000000000000004">
      <c r="A21" s="69" t="s">
        <v>32</v>
      </c>
      <c r="B21" s="68"/>
      <c r="C21" s="70"/>
      <c r="D21" s="71"/>
      <c r="E21" s="68"/>
      <c r="F21" s="72" t="s">
        <v>33</v>
      </c>
      <c r="G21" s="68"/>
    </row>
    <row r="22" spans="1:7" ht="22" customHeight="1" x14ac:dyDescent="0.55000000000000004">
      <c r="A22" s="78" t="s">
        <v>34</v>
      </c>
      <c r="B22" s="68"/>
      <c r="C22" s="70"/>
      <c r="D22" s="71"/>
      <c r="E22" s="68"/>
      <c r="F22" s="82" t="s">
        <v>35</v>
      </c>
      <c r="G22" s="68"/>
    </row>
    <row r="23" spans="1:7" ht="22" customHeight="1" x14ac:dyDescent="0.55000000000000004">
      <c r="A23" s="69" t="s">
        <v>36</v>
      </c>
      <c r="B23" s="68"/>
      <c r="C23" s="70"/>
      <c r="D23" s="71"/>
      <c r="E23" s="68"/>
      <c r="F23" s="72" t="s">
        <v>37</v>
      </c>
      <c r="G23" s="68"/>
    </row>
    <row r="24" spans="1:7" ht="22" customHeight="1" x14ac:dyDescent="0.55000000000000004">
      <c r="A24" s="78" t="s">
        <v>38</v>
      </c>
      <c r="B24" s="68"/>
      <c r="C24" s="70"/>
      <c r="D24" s="71"/>
      <c r="E24" s="68"/>
      <c r="F24" s="82" t="s">
        <v>39</v>
      </c>
      <c r="G24" s="68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64" t="s">
        <v>40</v>
      </c>
      <c r="B27" s="65"/>
      <c r="C27" s="65"/>
      <c r="D27" s="65"/>
      <c r="E27" s="65"/>
      <c r="F27" s="65"/>
      <c r="G27" s="66"/>
    </row>
    <row r="28" spans="1:7" ht="18" customHeight="1" x14ac:dyDescent="0.55000000000000004">
      <c r="A28" s="2"/>
      <c r="B28" s="2" t="s">
        <v>41</v>
      </c>
      <c r="C28" s="2"/>
      <c r="D28" s="2" t="s">
        <v>42</v>
      </c>
      <c r="E28" s="2"/>
      <c r="F28" s="2" t="s">
        <v>43</v>
      </c>
      <c r="G28" s="2" t="s">
        <v>44</v>
      </c>
    </row>
    <row r="29" spans="1:7" ht="26.05" customHeight="1" x14ac:dyDescent="0.55000000000000004">
      <c r="A29" s="76" t="s">
        <v>45</v>
      </c>
      <c r="B29" s="68"/>
      <c r="C29" s="3" t="s">
        <v>46</v>
      </c>
      <c r="D29" s="72" t="s">
        <v>47</v>
      </c>
      <c r="E29" s="68"/>
      <c r="F29" s="67" t="s">
        <v>48</v>
      </c>
      <c r="G29" s="68"/>
    </row>
    <row r="30" spans="1:7" ht="26.05" customHeight="1" x14ac:dyDescent="0.55000000000000004">
      <c r="A30" s="78" t="s">
        <v>49</v>
      </c>
      <c r="B30" s="68"/>
      <c r="C30" s="3" t="s">
        <v>50</v>
      </c>
      <c r="D30" s="82" t="s">
        <v>51</v>
      </c>
      <c r="E30" s="68"/>
      <c r="F30" s="83" t="s">
        <v>52</v>
      </c>
      <c r="G30" s="68"/>
    </row>
    <row r="31" spans="1:7" ht="26.05" customHeight="1" x14ac:dyDescent="0.55000000000000004">
      <c r="A31" s="76" t="s">
        <v>53</v>
      </c>
      <c r="B31" s="68"/>
      <c r="C31" s="5"/>
      <c r="D31" s="72" t="s">
        <v>54</v>
      </c>
      <c r="E31" s="68"/>
      <c r="F31" s="67" t="s">
        <v>55</v>
      </c>
      <c r="G31" s="68"/>
    </row>
    <row r="32" spans="1:7" ht="26.05" customHeight="1" x14ac:dyDescent="0.55000000000000004">
      <c r="A32" s="88" t="s">
        <v>56</v>
      </c>
      <c r="B32" s="68"/>
      <c r="C32" s="5"/>
      <c r="D32" s="82" t="s">
        <v>57</v>
      </c>
      <c r="E32" s="68"/>
      <c r="F32" s="83" t="s">
        <v>58</v>
      </c>
      <c r="G32" s="68"/>
    </row>
    <row r="33" spans="1:7" ht="26.05" customHeight="1" x14ac:dyDescent="0.55000000000000004">
      <c r="A33" s="76" t="s">
        <v>59</v>
      </c>
      <c r="B33" s="68"/>
      <c r="C33" s="6">
        <f>MAX(0,C31-C32)</f>
        <v>0</v>
      </c>
      <c r="D33" s="72" t="s">
        <v>60</v>
      </c>
      <c r="E33" s="68"/>
      <c r="F33" s="67" t="s">
        <v>61</v>
      </c>
      <c r="G33" s="68"/>
    </row>
    <row r="34" spans="1:7" ht="26.05" customHeight="1" x14ac:dyDescent="0.55000000000000004">
      <c r="A34" s="78" t="s">
        <v>62</v>
      </c>
      <c r="B34" s="68"/>
      <c r="C34" s="7" t="s">
        <v>63</v>
      </c>
      <c r="D34" s="82" t="s">
        <v>64</v>
      </c>
      <c r="E34" s="68"/>
      <c r="F34" s="83" t="s">
        <v>65</v>
      </c>
      <c r="G34" s="68"/>
    </row>
    <row r="35" spans="1:7" ht="26.05" customHeight="1" x14ac:dyDescent="0.55000000000000004">
      <c r="A35" s="76" t="s">
        <v>66</v>
      </c>
      <c r="B35" s="68"/>
      <c r="C35" s="8">
        <f>MAX(0,C31-C32)*0.5</f>
        <v>0</v>
      </c>
      <c r="D35" s="72" t="s">
        <v>67</v>
      </c>
      <c r="E35" s="68"/>
      <c r="F35" s="67" t="s">
        <v>61</v>
      </c>
      <c r="G35" s="68"/>
    </row>
    <row r="36" spans="1:7" ht="5.05" customHeight="1" x14ac:dyDescent="0.55000000000000004">
      <c r="A36" s="1"/>
      <c r="B36" s="1"/>
      <c r="C36" s="1"/>
      <c r="D36" s="1"/>
      <c r="E36" s="1"/>
      <c r="F36" s="1"/>
      <c r="G36" s="1"/>
    </row>
    <row r="37" spans="1:7" ht="24" customHeight="1" x14ac:dyDescent="0.55000000000000004">
      <c r="A37" s="64" t="s">
        <v>68</v>
      </c>
      <c r="B37" s="65"/>
      <c r="C37" s="65"/>
      <c r="D37" s="65"/>
      <c r="E37" s="65"/>
      <c r="F37" s="65"/>
      <c r="G37" s="66"/>
    </row>
    <row r="38" spans="1:7" ht="20.05" customHeight="1" x14ac:dyDescent="0.55000000000000004">
      <c r="A38" s="91" t="s">
        <v>69</v>
      </c>
      <c r="B38" s="71"/>
      <c r="C38" s="71"/>
      <c r="D38" s="71"/>
      <c r="E38" s="71"/>
      <c r="F38" s="71"/>
      <c r="G38" s="68"/>
    </row>
    <row r="39" spans="1:7" ht="18" customHeight="1" x14ac:dyDescent="0.55000000000000004">
      <c r="A39" s="9" t="s">
        <v>70</v>
      </c>
      <c r="B39" s="9" t="s">
        <v>71</v>
      </c>
      <c r="C39" s="9" t="s">
        <v>72</v>
      </c>
      <c r="D39" s="9" t="s">
        <v>73</v>
      </c>
      <c r="E39" s="9" t="s">
        <v>74</v>
      </c>
      <c r="F39" s="9" t="s">
        <v>75</v>
      </c>
      <c r="G39" s="9" t="s">
        <v>76</v>
      </c>
    </row>
    <row r="40" spans="1:7" ht="26.05" customHeight="1" x14ac:dyDescent="0.55000000000000004">
      <c r="A40" s="10"/>
      <c r="B40" s="11"/>
      <c r="C40" s="12"/>
      <c r="D40" s="13"/>
      <c r="E40" s="14">
        <f t="shared" ref="E40:E45" si="0">MAX(0,C40-D40)</f>
        <v>0</v>
      </c>
      <c r="F40" s="15">
        <f t="shared" ref="F40:F45" si="1">E40*0.5</f>
        <v>0</v>
      </c>
      <c r="G40" s="16"/>
    </row>
    <row r="41" spans="1:7" ht="26.05" customHeight="1" x14ac:dyDescent="0.55000000000000004">
      <c r="A41" s="10"/>
      <c r="B41" s="11"/>
      <c r="C41" s="12"/>
      <c r="D41" s="13"/>
      <c r="E41" s="17">
        <f t="shared" si="0"/>
        <v>0</v>
      </c>
      <c r="F41" s="15">
        <f t="shared" si="1"/>
        <v>0</v>
      </c>
      <c r="G41" s="16"/>
    </row>
    <row r="42" spans="1:7" ht="26.05" customHeight="1" x14ac:dyDescent="0.55000000000000004">
      <c r="A42" s="10"/>
      <c r="B42" s="11"/>
      <c r="C42" s="12"/>
      <c r="D42" s="13"/>
      <c r="E42" s="14">
        <f t="shared" si="0"/>
        <v>0</v>
      </c>
      <c r="F42" s="15">
        <f t="shared" si="1"/>
        <v>0</v>
      </c>
      <c r="G42" s="16"/>
    </row>
    <row r="43" spans="1:7" ht="26.05" customHeight="1" x14ac:dyDescent="0.55000000000000004">
      <c r="A43" s="10"/>
      <c r="B43" s="11"/>
      <c r="C43" s="12"/>
      <c r="D43" s="13"/>
      <c r="E43" s="17">
        <f t="shared" si="0"/>
        <v>0</v>
      </c>
      <c r="F43" s="15">
        <f t="shared" si="1"/>
        <v>0</v>
      </c>
      <c r="G43" s="16"/>
    </row>
    <row r="44" spans="1:7" ht="26.05" customHeight="1" x14ac:dyDescent="0.55000000000000004">
      <c r="A44" s="10"/>
      <c r="B44" s="11"/>
      <c r="C44" s="12"/>
      <c r="D44" s="13"/>
      <c r="E44" s="14">
        <f t="shared" si="0"/>
        <v>0</v>
      </c>
      <c r="F44" s="15">
        <f t="shared" si="1"/>
        <v>0</v>
      </c>
      <c r="G44" s="16"/>
    </row>
    <row r="45" spans="1:7" ht="26.05" customHeight="1" x14ac:dyDescent="0.55000000000000004">
      <c r="A45" s="10"/>
      <c r="B45" s="11"/>
      <c r="C45" s="12"/>
      <c r="D45" s="13"/>
      <c r="E45" s="17">
        <f t="shared" si="0"/>
        <v>0</v>
      </c>
      <c r="F45" s="15">
        <f t="shared" si="1"/>
        <v>0</v>
      </c>
      <c r="G45" s="16"/>
    </row>
    <row r="46" spans="1:7" ht="32.049999999999997" customHeight="1" x14ac:dyDescent="0.55000000000000004">
      <c r="A46" s="86" t="s">
        <v>77</v>
      </c>
      <c r="B46" s="68"/>
      <c r="C46" s="18">
        <f>SUM(C40:C45)</f>
        <v>0</v>
      </c>
      <c r="D46" s="18">
        <f>SUM(D40:D45)</f>
        <v>0</v>
      </c>
      <c r="E46" s="19">
        <f>SUM(E40:E45)</f>
        <v>0</v>
      </c>
      <c r="F46" s="20">
        <f>SUM(F40:F45)</f>
        <v>0</v>
      </c>
      <c r="G46" s="84" t="s">
        <v>78</v>
      </c>
    </row>
    <row r="47" spans="1:7" ht="5.05" customHeight="1" x14ac:dyDescent="0.55000000000000004">
      <c r="A47" s="1"/>
      <c r="B47" s="1"/>
      <c r="C47" s="1"/>
      <c r="D47" s="1"/>
      <c r="E47" s="1"/>
      <c r="F47" s="1"/>
      <c r="G47" s="1"/>
    </row>
    <row r="48" spans="1:7" ht="24" customHeight="1" x14ac:dyDescent="0.55000000000000004">
      <c r="A48" s="64" t="s">
        <v>79</v>
      </c>
      <c r="B48" s="65"/>
      <c r="C48" s="65"/>
      <c r="D48" s="65"/>
      <c r="E48" s="65"/>
      <c r="F48" s="65"/>
      <c r="G48" s="66"/>
    </row>
    <row r="49" spans="1:7" ht="18" customHeight="1" x14ac:dyDescent="0.55000000000000004">
      <c r="A49" s="2"/>
      <c r="B49" s="2" t="s">
        <v>80</v>
      </c>
      <c r="C49" s="2"/>
      <c r="D49" s="2" t="s">
        <v>81</v>
      </c>
      <c r="E49" s="2"/>
      <c r="F49" s="2" t="s">
        <v>43</v>
      </c>
      <c r="G49" s="2" t="s">
        <v>82</v>
      </c>
    </row>
    <row r="50" spans="1:7" ht="28" customHeight="1" x14ac:dyDescent="0.55000000000000004">
      <c r="A50" s="78" t="s">
        <v>83</v>
      </c>
      <c r="B50" s="68"/>
      <c r="C50" s="21">
        <f>C46</f>
        <v>0</v>
      </c>
      <c r="D50" s="82" t="s">
        <v>84</v>
      </c>
      <c r="E50" s="68"/>
      <c r="F50" s="93"/>
      <c r="G50" s="68"/>
    </row>
    <row r="51" spans="1:7" ht="28" customHeight="1" x14ac:dyDescent="0.55000000000000004">
      <c r="A51" s="69" t="s">
        <v>85</v>
      </c>
      <c r="B51" s="68"/>
      <c r="C51" s="21">
        <f>D46</f>
        <v>0</v>
      </c>
      <c r="D51" s="72" t="s">
        <v>86</v>
      </c>
      <c r="E51" s="68"/>
      <c r="F51" s="77"/>
      <c r="G51" s="68"/>
    </row>
    <row r="52" spans="1:7" ht="28" customHeight="1" x14ac:dyDescent="0.55000000000000004">
      <c r="A52" s="88" t="s">
        <v>87</v>
      </c>
      <c r="B52" s="68"/>
      <c r="C52" s="21">
        <f>MAX(0,E46)</f>
        <v>0</v>
      </c>
      <c r="D52" s="82" t="s">
        <v>88</v>
      </c>
      <c r="E52" s="68"/>
      <c r="F52" s="93"/>
      <c r="G52" s="68"/>
    </row>
    <row r="53" spans="1:7" ht="28" customHeight="1" x14ac:dyDescent="0.55000000000000004">
      <c r="A53" s="69" t="s">
        <v>89</v>
      </c>
      <c r="B53" s="68"/>
      <c r="C53" s="22" t="s">
        <v>63</v>
      </c>
      <c r="D53" s="72" t="s">
        <v>90</v>
      </c>
      <c r="E53" s="68"/>
      <c r="F53" s="77" t="s">
        <v>65</v>
      </c>
      <c r="G53" s="68"/>
    </row>
    <row r="54" spans="1:7" ht="28" customHeight="1" x14ac:dyDescent="0.55000000000000004">
      <c r="A54" s="73" t="s">
        <v>91</v>
      </c>
      <c r="B54" s="68"/>
      <c r="C54" s="23">
        <f>MAX(0,E46)*0.5</f>
        <v>0</v>
      </c>
      <c r="D54" s="99" t="s">
        <v>92</v>
      </c>
      <c r="E54" s="68"/>
      <c r="F54" s="81" t="s">
        <v>65</v>
      </c>
      <c r="G54" s="68"/>
    </row>
    <row r="55" spans="1:7" ht="28" customHeight="1" x14ac:dyDescent="0.55000000000000004">
      <c r="A55" s="94" t="s">
        <v>93</v>
      </c>
      <c r="B55" s="68"/>
      <c r="C55" s="24" t="s">
        <v>94</v>
      </c>
      <c r="D55" s="96" t="s">
        <v>95</v>
      </c>
      <c r="E55" s="68"/>
      <c r="F55" s="100" t="s">
        <v>96</v>
      </c>
      <c r="G55" s="68"/>
    </row>
    <row r="56" spans="1:7" ht="5.05" customHeight="1" x14ac:dyDescent="0.55000000000000004">
      <c r="A56" s="1"/>
      <c r="B56" s="1"/>
      <c r="C56" s="1"/>
      <c r="D56" s="1"/>
      <c r="E56" s="1"/>
      <c r="F56" s="1"/>
      <c r="G56" s="1"/>
    </row>
    <row r="57" spans="1:7" ht="32.049999999999997" customHeight="1" x14ac:dyDescent="0.55000000000000004">
      <c r="A57" s="98" t="s">
        <v>97</v>
      </c>
      <c r="B57" s="71"/>
      <c r="C57" s="71"/>
      <c r="D57" s="68"/>
      <c r="E57" s="25">
        <f>MAX(0,E46)*0.5</f>
        <v>0</v>
      </c>
      <c r="F57" s="79" t="s">
        <v>98</v>
      </c>
      <c r="G57" s="68"/>
    </row>
    <row r="58" spans="1:7" ht="28" customHeight="1" x14ac:dyDescent="0.55000000000000004">
      <c r="A58" s="92" t="s">
        <v>99</v>
      </c>
      <c r="B58" s="71"/>
      <c r="C58" s="71"/>
      <c r="D58" s="71"/>
      <c r="E58" s="71"/>
      <c r="F58" s="71"/>
      <c r="G58" s="68"/>
    </row>
  </sheetData>
  <mergeCells count="91">
    <mergeCell ref="F53:G53"/>
    <mergeCell ref="F52:G52"/>
    <mergeCell ref="A20:B20"/>
    <mergeCell ref="A29:B29"/>
    <mergeCell ref="A27:G27"/>
    <mergeCell ref="D50:E50"/>
    <mergeCell ref="A31:B31"/>
    <mergeCell ref="A58:G58"/>
    <mergeCell ref="D52:E52"/>
    <mergeCell ref="F50:G50"/>
    <mergeCell ref="A55:B55"/>
    <mergeCell ref="F8:G8"/>
    <mergeCell ref="A21:B21"/>
    <mergeCell ref="A32:B32"/>
    <mergeCell ref="F22:G22"/>
    <mergeCell ref="A23:B23"/>
    <mergeCell ref="D55:E55"/>
    <mergeCell ref="D30:E30"/>
    <mergeCell ref="A12:D12"/>
    <mergeCell ref="A57:D57"/>
    <mergeCell ref="F14:G14"/>
    <mergeCell ref="D54:E54"/>
    <mergeCell ref="A14:D14"/>
    <mergeCell ref="A1:G1"/>
    <mergeCell ref="F31:G31"/>
    <mergeCell ref="F9:G9"/>
    <mergeCell ref="C24:E24"/>
    <mergeCell ref="A52:B52"/>
    <mergeCell ref="A3:G3"/>
    <mergeCell ref="D29:E29"/>
    <mergeCell ref="A34:B34"/>
    <mergeCell ref="A8:D8"/>
    <mergeCell ref="A4:G4"/>
    <mergeCell ref="A38:G38"/>
    <mergeCell ref="A10:D10"/>
    <mergeCell ref="F21:G21"/>
    <mergeCell ref="A6:G6"/>
    <mergeCell ref="A2:G2"/>
    <mergeCell ref="F11:G11"/>
    <mergeCell ref="A9:D9"/>
    <mergeCell ref="F30:G30"/>
    <mergeCell ref="F20:G20"/>
    <mergeCell ref="F18:G18"/>
    <mergeCell ref="F33:G33"/>
    <mergeCell ref="A11:D11"/>
    <mergeCell ref="A24:B24"/>
    <mergeCell ref="F12:G12"/>
    <mergeCell ref="F24:G24"/>
    <mergeCell ref="D32:E32"/>
    <mergeCell ref="F32:G32"/>
    <mergeCell ref="A18:B18"/>
    <mergeCell ref="C19:E19"/>
    <mergeCell ref="F57:G57"/>
    <mergeCell ref="D35:E35"/>
    <mergeCell ref="A30:B30"/>
    <mergeCell ref="F10:G10"/>
    <mergeCell ref="F54:G54"/>
    <mergeCell ref="D34:E34"/>
    <mergeCell ref="F19:G19"/>
    <mergeCell ref="C22:E22"/>
    <mergeCell ref="F34:G34"/>
    <mergeCell ref="G46"/>
    <mergeCell ref="A46:B46"/>
    <mergeCell ref="D53:E53"/>
    <mergeCell ref="F55:G55"/>
    <mergeCell ref="F51:G51"/>
    <mergeCell ref="F35:G35"/>
    <mergeCell ref="A50:B50"/>
    <mergeCell ref="A13:D13"/>
    <mergeCell ref="A54:B54"/>
    <mergeCell ref="F15:G15"/>
    <mergeCell ref="C23:E23"/>
    <mergeCell ref="A48:G48"/>
    <mergeCell ref="A15:D15"/>
    <mergeCell ref="A33:B33"/>
    <mergeCell ref="F23:G23"/>
    <mergeCell ref="C18:E18"/>
    <mergeCell ref="F13:G13"/>
    <mergeCell ref="A22:B22"/>
    <mergeCell ref="A53:B53"/>
    <mergeCell ref="A35:B35"/>
    <mergeCell ref="A37:G37"/>
    <mergeCell ref="D33:E33"/>
    <mergeCell ref="A19:B19"/>
    <mergeCell ref="A17:G17"/>
    <mergeCell ref="F29:G29"/>
    <mergeCell ref="A51:B51"/>
    <mergeCell ref="C21:E21"/>
    <mergeCell ref="D31:E31"/>
    <mergeCell ref="D51:E51"/>
    <mergeCell ref="C20:E20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9">
    <dataValidation type="list" sqref="E8" xr:uid="{00000000-0002-0000-0000-000000000000}">
      <formula1>"EVET,HAYIR-Kapsam Dışı"</formula1>
    </dataValidation>
    <dataValidation type="list" sqref="E9" xr:uid="{00000000-0002-0000-0000-000001000000}">
      <formula1>"EVET,HAYIR-Yurt İçi Alıcı"</formula1>
    </dataValidation>
    <dataValidation type="list" sqref="E10" xr:uid="{00000000-0002-0000-0000-000002000000}">
      <formula1>"EVET,HAYIR-Kapsam Riski"</formula1>
    </dataValidation>
    <dataValidation type="list" sqref="E11" xr:uid="{00000000-0002-0000-0000-000003000000}">
      <formula1>"EVET,HAYIR-Ayrım Yapılmadı"</formula1>
    </dataValidation>
    <dataValidation type="list" sqref="E12" xr:uid="{00000000-0002-0000-0000-000004000000}">
      <formula1>"EVET,HAYIR-Net Kazanç Hesaplanmadı"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_xlfn._LONGTEXT("Mimarlık Hizmetleri,Mühendislik Hizmetleri,Tasarım Hizmetleri (Grafik/Endüstriyel/Moda vb.),Yazılım Geliştirme Hizmetleri,Tıbbi Raporlama Hizmetleri,Muhasebe Kaydı Tutma Hizmetleri,Çağrı Merkezi Hizmetleri,Ürün Testi Hizmetleri,Sertifikasyon Hizmetleri,Ve","ri Saklama Hizmetleri,Veri İşleme Hizmetleri,Veri Analizi Hizmetleri,Mesleki Eğitim Hizmetleri (Maliye Bak. Belirlenen),Diğer KVK Md.10/1-ğ Kapsam Hizmetleri")</formula1>
    </dataValidation>
    <dataValidation type="list" sqref="C30" xr:uid="{00000000-0002-0000-0000-000008000000}">
      <formula1>"Türkiye'de Yerleşmemiş Gerçek Kişi,İşyeri Yurt Dışında Bulunan Kuruluş,Kanuni Merkezi Yurt Dışında Bulunan Kuruluş,İş Merkezi Yurt Dışında Bulunan Kuruluş,Yurt Dışı Tüzel Kişi (Şirket/Kuruluş),Diğer Uygun Yurt Dışı Alıcı"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11" t="s">
        <v>100</v>
      </c>
      <c r="B1" s="65"/>
      <c r="C1" s="65"/>
      <c r="D1" s="65"/>
      <c r="E1" s="65"/>
      <c r="F1" s="65"/>
      <c r="G1" s="66"/>
    </row>
    <row r="2" spans="1:7" ht="20.05" customHeight="1" x14ac:dyDescent="0.55000000000000004">
      <c r="A2" s="114" t="s">
        <v>101</v>
      </c>
      <c r="B2" s="71"/>
      <c r="C2" s="71"/>
      <c r="D2" s="71"/>
      <c r="E2" s="71"/>
      <c r="F2" s="71"/>
      <c r="G2" s="68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4" t="s">
        <v>102</v>
      </c>
      <c r="B4" s="65"/>
      <c r="C4" s="65"/>
      <c r="D4" s="65"/>
      <c r="E4" s="65"/>
      <c r="F4" s="65"/>
      <c r="G4" s="66"/>
    </row>
    <row r="5" spans="1:7" ht="22" customHeight="1" x14ac:dyDescent="0.55000000000000004">
      <c r="A5" s="108" t="s">
        <v>103</v>
      </c>
      <c r="B5" s="71"/>
      <c r="C5" s="68"/>
      <c r="D5" s="26" t="str">
        <f>'VERİ GİRİŞİ'!E15</f>
        <v>OK - Hesaplanabilir</v>
      </c>
      <c r="E5" s="77" t="s">
        <v>104</v>
      </c>
      <c r="F5" s="71"/>
      <c r="G5" s="68"/>
    </row>
    <row r="6" spans="1:7" ht="22" customHeight="1" x14ac:dyDescent="0.55000000000000004">
      <c r="A6" s="109" t="s">
        <v>105</v>
      </c>
      <c r="B6" s="71"/>
      <c r="C6" s="68"/>
      <c r="D6" s="26" t="str">
        <f>'VERİ GİRİŞİ'!C29</f>
        <v>Yazılım Geliştirme Hizmetleri</v>
      </c>
      <c r="E6" s="93" t="s">
        <v>106</v>
      </c>
      <c r="F6" s="71"/>
      <c r="G6" s="68"/>
    </row>
    <row r="7" spans="1:7" ht="22" customHeight="1" x14ac:dyDescent="0.55000000000000004">
      <c r="A7" s="108" t="s">
        <v>107</v>
      </c>
      <c r="B7" s="71"/>
      <c r="C7" s="68"/>
      <c r="D7" s="26" t="str">
        <f>'VERİ GİRİŞİ'!C30</f>
        <v>Türkiye'de Yerleşmemiş Gerçek Kişi</v>
      </c>
      <c r="E7" s="77" t="s">
        <v>108</v>
      </c>
      <c r="F7" s="71"/>
      <c r="G7" s="68"/>
    </row>
    <row r="8" spans="1:7" ht="22" customHeight="1" x14ac:dyDescent="0.55000000000000004">
      <c r="A8" s="109" t="s">
        <v>109</v>
      </c>
      <c r="B8" s="71"/>
      <c r="C8" s="68"/>
      <c r="D8" s="26">
        <f>'VERİ GİRİŞİ'!C52</f>
        <v>0</v>
      </c>
      <c r="E8" s="93" t="s">
        <v>88</v>
      </c>
      <c r="F8" s="71"/>
      <c r="G8" s="68"/>
    </row>
    <row r="9" spans="1:7" ht="22" customHeight="1" x14ac:dyDescent="0.55000000000000004">
      <c r="A9" s="108" t="s">
        <v>110</v>
      </c>
      <c r="B9" s="71"/>
      <c r="C9" s="68"/>
      <c r="D9" s="27" t="s">
        <v>63</v>
      </c>
      <c r="E9" s="77" t="s">
        <v>65</v>
      </c>
      <c r="F9" s="71"/>
      <c r="G9" s="68"/>
    </row>
    <row r="10" spans="1:7" ht="22" customHeight="1" x14ac:dyDescent="0.55000000000000004">
      <c r="A10" s="75" t="s">
        <v>111</v>
      </c>
      <c r="B10" s="71"/>
      <c r="C10" s="68"/>
      <c r="D10" s="28">
        <f>'VERİ GİRİŞİ'!C54</f>
        <v>0</v>
      </c>
      <c r="E10" s="81"/>
      <c r="F10" s="71"/>
      <c r="G10" s="68"/>
    </row>
    <row r="11" spans="1:7" ht="22" customHeight="1" x14ac:dyDescent="0.55000000000000004">
      <c r="A11" s="113" t="s">
        <v>112</v>
      </c>
      <c r="B11" s="71"/>
      <c r="C11" s="68"/>
      <c r="D11" s="24" t="s">
        <v>113</v>
      </c>
      <c r="E11" s="100" t="s">
        <v>114</v>
      </c>
      <c r="F11" s="71"/>
      <c r="G11" s="68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64" t="s">
        <v>115</v>
      </c>
      <c r="B13" s="65"/>
      <c r="C13" s="65"/>
      <c r="D13" s="65"/>
      <c r="E13" s="65"/>
      <c r="F13" s="65"/>
      <c r="G13" s="66"/>
    </row>
    <row r="14" spans="1:7" ht="72" customHeight="1" x14ac:dyDescent="0.55000000000000004">
      <c r="A14" s="101" t="s">
        <v>116</v>
      </c>
      <c r="B14" s="71"/>
      <c r="C14" s="71"/>
      <c r="D14" s="71"/>
      <c r="E14" s="71"/>
      <c r="F14" s="71"/>
      <c r="G14" s="68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64" t="s">
        <v>117</v>
      </c>
      <c r="B16" s="65"/>
      <c r="C16" s="65"/>
      <c r="D16" s="65"/>
      <c r="E16" s="65"/>
      <c r="F16" s="65"/>
      <c r="G16" s="66"/>
    </row>
    <row r="17" spans="1:7" ht="68.05" customHeight="1" x14ac:dyDescent="0.55000000000000004">
      <c r="A17" s="102" t="s">
        <v>118</v>
      </c>
      <c r="B17" s="71"/>
      <c r="C17" s="71"/>
      <c r="D17" s="71"/>
      <c r="E17" s="71"/>
      <c r="F17" s="71"/>
      <c r="G17" s="68"/>
    </row>
    <row r="18" spans="1:7" ht="5.05" customHeight="1" x14ac:dyDescent="0.55000000000000004">
      <c r="A18" s="1"/>
      <c r="B18" s="1"/>
      <c r="C18" s="1"/>
      <c r="D18" s="1"/>
      <c r="E18" s="1"/>
      <c r="F18" s="1"/>
      <c r="G18" s="1"/>
    </row>
    <row r="19" spans="1:7" ht="22" customHeight="1" x14ac:dyDescent="0.55000000000000004">
      <c r="A19" s="64" t="s">
        <v>119</v>
      </c>
      <c r="B19" s="65"/>
      <c r="C19" s="65"/>
      <c r="D19" s="65"/>
      <c r="E19" s="65"/>
      <c r="F19" s="65"/>
      <c r="G19" s="66"/>
    </row>
    <row r="20" spans="1:7" ht="18" customHeight="1" x14ac:dyDescent="0.55000000000000004">
      <c r="A20" s="2"/>
      <c r="B20" s="2" t="s">
        <v>120</v>
      </c>
      <c r="C20" s="2"/>
      <c r="D20" s="2" t="s">
        <v>43</v>
      </c>
      <c r="E20" s="2"/>
      <c r="F20" s="2" t="s">
        <v>121</v>
      </c>
      <c r="G20" s="2"/>
    </row>
    <row r="21" spans="1:7" ht="20.05" customHeight="1" x14ac:dyDescent="0.55000000000000004">
      <c r="A21" s="29" t="s">
        <v>122</v>
      </c>
      <c r="B21" s="103" t="s">
        <v>123</v>
      </c>
      <c r="C21" s="68"/>
      <c r="D21" s="105" t="s">
        <v>124</v>
      </c>
      <c r="E21" s="68"/>
      <c r="F21" s="16" t="s">
        <v>125</v>
      </c>
      <c r="G21" s="32"/>
    </row>
    <row r="22" spans="1:7" ht="20.05" customHeight="1" x14ac:dyDescent="0.55000000000000004">
      <c r="A22" s="29" t="s">
        <v>126</v>
      </c>
      <c r="B22" s="103" t="s">
        <v>127</v>
      </c>
      <c r="C22" s="68"/>
      <c r="D22" s="105" t="s">
        <v>128</v>
      </c>
      <c r="E22" s="68"/>
      <c r="F22" s="16" t="s">
        <v>125</v>
      </c>
      <c r="G22" s="33"/>
    </row>
    <row r="23" spans="1:7" ht="20.05" customHeight="1" x14ac:dyDescent="0.55000000000000004">
      <c r="A23" s="29" t="s">
        <v>129</v>
      </c>
      <c r="B23" s="103" t="s">
        <v>130</v>
      </c>
      <c r="C23" s="68"/>
      <c r="D23" s="105" t="s">
        <v>131</v>
      </c>
      <c r="E23" s="68"/>
      <c r="F23" s="16" t="s">
        <v>125</v>
      </c>
      <c r="G23" s="32"/>
    </row>
    <row r="24" spans="1:7" ht="20.05" customHeight="1" x14ac:dyDescent="0.55000000000000004">
      <c r="A24" s="29" t="s">
        <v>132</v>
      </c>
      <c r="B24" s="103" t="s">
        <v>133</v>
      </c>
      <c r="C24" s="68"/>
      <c r="D24" s="105" t="s">
        <v>134</v>
      </c>
      <c r="E24" s="68"/>
      <c r="F24" s="16" t="s">
        <v>125</v>
      </c>
      <c r="G24" s="33"/>
    </row>
    <row r="25" spans="1:7" ht="20.05" customHeight="1" x14ac:dyDescent="0.55000000000000004">
      <c r="A25" s="29" t="s">
        <v>135</v>
      </c>
      <c r="B25" s="103" t="s">
        <v>136</v>
      </c>
      <c r="C25" s="68"/>
      <c r="D25" s="105" t="s">
        <v>137</v>
      </c>
      <c r="E25" s="68"/>
      <c r="F25" s="16" t="s">
        <v>125</v>
      </c>
      <c r="G25" s="32"/>
    </row>
    <row r="26" spans="1:7" ht="20.05" customHeight="1" x14ac:dyDescent="0.55000000000000004">
      <c r="A26" s="29" t="s">
        <v>138</v>
      </c>
      <c r="B26" s="103" t="s">
        <v>139</v>
      </c>
      <c r="C26" s="68"/>
      <c r="D26" s="105" t="s">
        <v>140</v>
      </c>
      <c r="E26" s="68"/>
      <c r="F26" s="16" t="s">
        <v>125</v>
      </c>
      <c r="G26" s="33"/>
    </row>
    <row r="27" spans="1:7" ht="20.05" customHeight="1" x14ac:dyDescent="0.55000000000000004">
      <c r="A27" s="29" t="s">
        <v>141</v>
      </c>
      <c r="B27" s="106" t="s">
        <v>142</v>
      </c>
      <c r="C27" s="68"/>
      <c r="D27" s="107" t="s">
        <v>143</v>
      </c>
      <c r="E27" s="68"/>
      <c r="F27" s="16" t="s">
        <v>125</v>
      </c>
      <c r="G27" s="32"/>
    </row>
    <row r="28" spans="1:7" ht="20.05" customHeight="1" x14ac:dyDescent="0.55000000000000004">
      <c r="A28" s="29" t="s">
        <v>144</v>
      </c>
      <c r="B28" s="112" t="s">
        <v>145</v>
      </c>
      <c r="C28" s="68"/>
      <c r="D28" s="110" t="s">
        <v>146</v>
      </c>
      <c r="E28" s="68"/>
      <c r="F28" s="16" t="s">
        <v>125</v>
      </c>
      <c r="G28" s="33"/>
    </row>
    <row r="29" spans="1:7" ht="20.05" customHeight="1" x14ac:dyDescent="0.55000000000000004">
      <c r="A29" s="29" t="s">
        <v>147</v>
      </c>
      <c r="B29" s="103" t="s">
        <v>148</v>
      </c>
      <c r="C29" s="68"/>
      <c r="D29" s="105" t="s">
        <v>149</v>
      </c>
      <c r="E29" s="68"/>
      <c r="F29" s="16" t="s">
        <v>125</v>
      </c>
      <c r="G29" s="32"/>
    </row>
    <row r="30" spans="1:7" ht="20.05" customHeight="1" x14ac:dyDescent="0.55000000000000004">
      <c r="A30" s="29" t="s">
        <v>150</v>
      </c>
      <c r="B30" s="112" t="s">
        <v>151</v>
      </c>
      <c r="C30" s="68"/>
      <c r="D30" s="110" t="s">
        <v>152</v>
      </c>
      <c r="E30" s="68"/>
      <c r="F30" s="16" t="s">
        <v>125</v>
      </c>
      <c r="G30" s="33"/>
    </row>
    <row r="31" spans="1:7" ht="20.05" customHeight="1" x14ac:dyDescent="0.55000000000000004">
      <c r="A31" s="29" t="s">
        <v>153</v>
      </c>
      <c r="B31" s="106" t="s">
        <v>154</v>
      </c>
      <c r="C31" s="68"/>
      <c r="D31" s="107" t="s">
        <v>155</v>
      </c>
      <c r="E31" s="68"/>
      <c r="F31" s="16" t="s">
        <v>125</v>
      </c>
      <c r="G31" s="32"/>
    </row>
    <row r="32" spans="1:7" ht="20.05" customHeight="1" x14ac:dyDescent="0.55000000000000004">
      <c r="A32" s="29" t="s">
        <v>156</v>
      </c>
      <c r="B32" s="112" t="s">
        <v>157</v>
      </c>
      <c r="C32" s="68"/>
      <c r="D32" s="110" t="s">
        <v>22</v>
      </c>
      <c r="E32" s="68"/>
      <c r="F32" s="16" t="s">
        <v>125</v>
      </c>
      <c r="G32" s="33"/>
    </row>
  </sheetData>
  <mergeCells count="46">
    <mergeCell ref="A2:G2"/>
    <mergeCell ref="B32:C32"/>
    <mergeCell ref="B26:C26"/>
    <mergeCell ref="A7:C7"/>
    <mergeCell ref="D26:E26"/>
    <mergeCell ref="D32:E32"/>
    <mergeCell ref="E7:G7"/>
    <mergeCell ref="A10:C10"/>
    <mergeCell ref="A1:G1"/>
    <mergeCell ref="B29:C29"/>
    <mergeCell ref="B28:C28"/>
    <mergeCell ref="A9:C9"/>
    <mergeCell ref="D28:E28"/>
    <mergeCell ref="A16:G16"/>
    <mergeCell ref="D25:E25"/>
    <mergeCell ref="B24:C24"/>
    <mergeCell ref="B30:C30"/>
    <mergeCell ref="A11:C11"/>
    <mergeCell ref="D24:E24"/>
    <mergeCell ref="D30:E30"/>
    <mergeCell ref="E5:G5"/>
    <mergeCell ref="B31:C31"/>
    <mergeCell ref="B27:C27"/>
    <mergeCell ref="D31:E31"/>
    <mergeCell ref="A19:G19"/>
    <mergeCell ref="E6:G6"/>
    <mergeCell ref="D21:E21"/>
    <mergeCell ref="A13:G13"/>
    <mergeCell ref="B21:C21"/>
    <mergeCell ref="E11:G11"/>
    <mergeCell ref="A8:C8"/>
    <mergeCell ref="D27:E27"/>
    <mergeCell ref="B23:C23"/>
    <mergeCell ref="D29:E29"/>
    <mergeCell ref="A6:C6"/>
    <mergeCell ref="E8:G8"/>
    <mergeCell ref="D23:E23"/>
    <mergeCell ref="E10:G10"/>
    <mergeCell ref="A14:G14"/>
    <mergeCell ref="A17:G17"/>
    <mergeCell ref="B25:C25"/>
    <mergeCell ref="A4:G4"/>
    <mergeCell ref="B22:C22"/>
    <mergeCell ref="E9:G9"/>
    <mergeCell ref="D22:E22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4" t="s">
        <v>158</v>
      </c>
      <c r="B1" s="65"/>
      <c r="C1" s="65"/>
      <c r="D1" s="65"/>
      <c r="E1" s="65"/>
      <c r="F1" s="65"/>
      <c r="G1" s="66"/>
    </row>
    <row r="2" spans="1:7" ht="22" customHeight="1" x14ac:dyDescent="0.55000000000000004">
      <c r="A2" s="116" t="s">
        <v>159</v>
      </c>
      <c r="B2" s="71"/>
      <c r="C2" s="71"/>
      <c r="D2" s="71"/>
      <c r="E2" s="71"/>
      <c r="F2" s="71"/>
      <c r="G2" s="68"/>
    </row>
    <row r="3" spans="1:7" ht="18" customHeight="1" x14ac:dyDescent="0.55000000000000004">
      <c r="A3" s="36"/>
      <c r="B3" s="36" t="s">
        <v>160</v>
      </c>
      <c r="C3" s="36" t="s">
        <v>161</v>
      </c>
      <c r="D3" s="36" t="s">
        <v>82</v>
      </c>
      <c r="E3" s="36" t="s">
        <v>162</v>
      </c>
      <c r="F3" s="36" t="s">
        <v>163</v>
      </c>
      <c r="G3" s="36" t="s">
        <v>164</v>
      </c>
    </row>
    <row r="4" spans="1:7" ht="22" customHeight="1" x14ac:dyDescent="0.55000000000000004">
      <c r="A4" s="37" t="s">
        <v>163</v>
      </c>
      <c r="B4" s="37" t="s">
        <v>165</v>
      </c>
      <c r="C4" s="37" t="s">
        <v>166</v>
      </c>
      <c r="D4" s="37" t="s">
        <v>167</v>
      </c>
      <c r="E4" s="37" t="s">
        <v>168</v>
      </c>
      <c r="F4" s="37" t="s">
        <v>169</v>
      </c>
      <c r="G4" s="37" t="s">
        <v>170</v>
      </c>
    </row>
    <row r="5" spans="1:7" ht="22" customHeight="1" x14ac:dyDescent="0.55000000000000004">
      <c r="A5" s="117" t="s">
        <v>171</v>
      </c>
      <c r="B5" s="71"/>
      <c r="C5" s="71"/>
      <c r="D5" s="71"/>
      <c r="E5" s="71"/>
      <c r="F5" s="71"/>
      <c r="G5" s="68"/>
    </row>
    <row r="6" spans="1:7" ht="18" customHeight="1" x14ac:dyDescent="0.55000000000000004">
      <c r="A6" s="36"/>
      <c r="B6" s="36" t="s">
        <v>160</v>
      </c>
      <c r="C6" s="36" t="s">
        <v>161</v>
      </c>
      <c r="D6" s="36" t="s">
        <v>82</v>
      </c>
      <c r="E6" s="36" t="s">
        <v>162</v>
      </c>
      <c r="F6" s="36" t="s">
        <v>163</v>
      </c>
      <c r="G6" s="36" t="s">
        <v>164</v>
      </c>
    </row>
    <row r="7" spans="1:7" ht="22" customHeight="1" x14ac:dyDescent="0.55000000000000004">
      <c r="A7" s="37" t="s">
        <v>82</v>
      </c>
      <c r="B7" s="37" t="s">
        <v>172</v>
      </c>
      <c r="C7" s="37" t="s">
        <v>173</v>
      </c>
      <c r="D7" s="37" t="s">
        <v>174</v>
      </c>
      <c r="E7" s="37" t="s">
        <v>175</v>
      </c>
      <c r="F7" s="37" t="s">
        <v>168</v>
      </c>
      <c r="G7" s="37" t="s">
        <v>176</v>
      </c>
    </row>
    <row r="8" spans="1:7" ht="44.05" customHeight="1" x14ac:dyDescent="0.55000000000000004">
      <c r="A8" s="115" t="s">
        <v>177</v>
      </c>
      <c r="B8" s="71"/>
      <c r="C8" s="71"/>
      <c r="D8" s="71"/>
      <c r="E8" s="71"/>
      <c r="F8" s="71"/>
      <c r="G8" s="68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4" t="s">
        <v>178</v>
      </c>
      <c r="B1" s="65"/>
      <c r="C1" s="65"/>
      <c r="D1" s="65"/>
      <c r="E1" s="65"/>
      <c r="F1" s="65"/>
      <c r="G1" s="66"/>
    </row>
    <row r="2" spans="1:7" ht="20.05" customHeight="1" x14ac:dyDescent="0.55000000000000004">
      <c r="A2" s="97" t="s">
        <v>179</v>
      </c>
      <c r="B2" s="65"/>
      <c r="C2" s="65"/>
      <c r="D2" s="65"/>
      <c r="E2" s="65"/>
      <c r="F2" s="65"/>
      <c r="G2" s="66"/>
    </row>
    <row r="3" spans="1:7" ht="18" customHeight="1" x14ac:dyDescent="0.55000000000000004">
      <c r="A3" s="36" t="s">
        <v>180</v>
      </c>
      <c r="B3" s="36" t="s">
        <v>181</v>
      </c>
      <c r="C3" s="36" t="s">
        <v>182</v>
      </c>
      <c r="D3" s="36" t="s">
        <v>183</v>
      </c>
    </row>
    <row r="4" spans="1:7" ht="64" customHeight="1" x14ac:dyDescent="0.55000000000000004">
      <c r="A4" s="29" t="s">
        <v>184</v>
      </c>
      <c r="B4" s="35" t="s">
        <v>185</v>
      </c>
      <c r="C4" s="38" t="s">
        <v>186</v>
      </c>
      <c r="D4" s="39" t="s">
        <v>187</v>
      </c>
    </row>
    <row r="5" spans="1:7" ht="60" customHeight="1" x14ac:dyDescent="0.55000000000000004">
      <c r="A5" s="40" t="s">
        <v>188</v>
      </c>
      <c r="B5" s="30" t="s">
        <v>189</v>
      </c>
      <c r="C5" s="31" t="s">
        <v>190</v>
      </c>
      <c r="D5" s="41" t="s">
        <v>187</v>
      </c>
    </row>
    <row r="6" spans="1:7" ht="56.05" customHeight="1" x14ac:dyDescent="0.55000000000000004">
      <c r="A6" s="29" t="s">
        <v>191</v>
      </c>
      <c r="B6" s="35" t="s">
        <v>192</v>
      </c>
      <c r="C6" s="38" t="s">
        <v>193</v>
      </c>
      <c r="D6" s="39" t="s">
        <v>194</v>
      </c>
    </row>
    <row r="7" spans="1:7" ht="48" customHeight="1" x14ac:dyDescent="0.55000000000000004">
      <c r="A7" s="29" t="s">
        <v>195</v>
      </c>
      <c r="B7" s="35" t="s">
        <v>196</v>
      </c>
      <c r="C7" s="38" t="s">
        <v>197</v>
      </c>
      <c r="D7" s="39" t="s">
        <v>198</v>
      </c>
    </row>
    <row r="8" spans="1:7" ht="64" customHeight="1" x14ac:dyDescent="0.55000000000000004">
      <c r="A8" s="29" t="s">
        <v>199</v>
      </c>
      <c r="B8" s="34" t="s">
        <v>200</v>
      </c>
      <c r="C8" s="38" t="s">
        <v>201</v>
      </c>
      <c r="D8" s="42" t="s">
        <v>202</v>
      </c>
    </row>
    <row r="9" spans="1:7" ht="36" customHeight="1" x14ac:dyDescent="0.55000000000000004">
      <c r="A9" s="118" t="s">
        <v>203</v>
      </c>
      <c r="B9" s="71"/>
      <c r="C9" s="71"/>
      <c r="D9" s="68"/>
      <c r="E9" s="43"/>
      <c r="F9" s="43"/>
      <c r="G9" s="43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4" t="s">
        <v>204</v>
      </c>
      <c r="B1" s="65"/>
      <c r="C1" s="65"/>
      <c r="D1" s="65"/>
      <c r="E1" s="65"/>
      <c r="F1" s="65"/>
      <c r="G1" s="66"/>
    </row>
    <row r="2" spans="1:7" ht="20.05" customHeight="1" x14ac:dyDescent="0.55000000000000004">
      <c r="A2" s="97" t="s">
        <v>205</v>
      </c>
      <c r="B2" s="65"/>
      <c r="C2" s="65"/>
      <c r="D2" s="65"/>
      <c r="E2" s="65"/>
      <c r="F2" s="65"/>
      <c r="G2" s="66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20" t="s">
        <v>206</v>
      </c>
      <c r="B4" s="65"/>
      <c r="C4" s="65"/>
      <c r="D4" s="65"/>
      <c r="E4" s="65"/>
      <c r="F4" s="65"/>
      <c r="G4" s="66"/>
    </row>
    <row r="5" spans="1:7" ht="18" customHeight="1" x14ac:dyDescent="0.55000000000000004">
      <c r="A5" s="36"/>
      <c r="B5" s="36" t="s">
        <v>207</v>
      </c>
      <c r="C5" s="36" t="s">
        <v>208</v>
      </c>
      <c r="D5" s="36" t="s">
        <v>43</v>
      </c>
      <c r="E5" s="36" t="s">
        <v>209</v>
      </c>
      <c r="F5" s="36"/>
    </row>
    <row r="6" spans="1:7" ht="36" customHeight="1" x14ac:dyDescent="0.55000000000000004">
      <c r="A6" s="44"/>
      <c r="B6" s="45" t="s">
        <v>210</v>
      </c>
      <c r="C6" s="46" t="s">
        <v>211</v>
      </c>
      <c r="D6" s="47" t="s">
        <v>212</v>
      </c>
      <c r="E6" s="48" t="s">
        <v>213</v>
      </c>
      <c r="F6" s="44"/>
    </row>
    <row r="7" spans="1:7" ht="36" customHeight="1" x14ac:dyDescent="0.55000000000000004">
      <c r="A7" s="32"/>
      <c r="B7" s="49" t="s">
        <v>214</v>
      </c>
      <c r="C7" s="50" t="s">
        <v>215</v>
      </c>
      <c r="D7" s="47" t="s">
        <v>216</v>
      </c>
      <c r="E7" s="51" t="s">
        <v>217</v>
      </c>
      <c r="F7" s="32"/>
    </row>
    <row r="8" spans="1:7" ht="36" customHeight="1" x14ac:dyDescent="0.55000000000000004">
      <c r="A8" s="44"/>
      <c r="B8" s="45" t="s">
        <v>218</v>
      </c>
      <c r="C8" s="46" t="s">
        <v>219</v>
      </c>
      <c r="D8" s="47" t="s">
        <v>220</v>
      </c>
      <c r="E8" s="48" t="s">
        <v>221</v>
      </c>
      <c r="F8" s="44"/>
    </row>
    <row r="9" spans="1:7" ht="36" customHeight="1" x14ac:dyDescent="0.55000000000000004">
      <c r="A9" s="32"/>
      <c r="B9" s="49" t="s">
        <v>222</v>
      </c>
      <c r="C9" s="50" t="s">
        <v>223</v>
      </c>
      <c r="D9" s="47" t="s">
        <v>224</v>
      </c>
      <c r="E9" s="51" t="s">
        <v>225</v>
      </c>
      <c r="F9" s="32"/>
    </row>
    <row r="10" spans="1:7" ht="36" customHeight="1" x14ac:dyDescent="0.55000000000000004">
      <c r="A10" s="44"/>
      <c r="B10" s="45" t="s">
        <v>226</v>
      </c>
      <c r="C10" s="52" t="s">
        <v>227</v>
      </c>
      <c r="D10" s="47" t="s">
        <v>228</v>
      </c>
      <c r="E10" s="48" t="s">
        <v>229</v>
      </c>
      <c r="F10" s="44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9" t="s">
        <v>230</v>
      </c>
      <c r="B12" s="65"/>
      <c r="C12" s="65"/>
      <c r="D12" s="65"/>
      <c r="E12" s="65"/>
      <c r="F12" s="65"/>
      <c r="G12" s="66"/>
    </row>
    <row r="13" spans="1:7" ht="18" customHeight="1" x14ac:dyDescent="0.55000000000000004">
      <c r="A13" s="53"/>
      <c r="B13" s="53" t="s">
        <v>207</v>
      </c>
      <c r="C13" s="53" t="s">
        <v>5</v>
      </c>
      <c r="D13" s="53" t="s">
        <v>231</v>
      </c>
      <c r="E13" s="53" t="s">
        <v>232</v>
      </c>
      <c r="F13" s="53"/>
    </row>
    <row r="14" spans="1:7" ht="26.05" customHeight="1" x14ac:dyDescent="0.55000000000000004">
      <c r="A14" s="54"/>
      <c r="B14" s="55" t="s">
        <v>233</v>
      </c>
      <c r="C14" s="56" t="s">
        <v>123</v>
      </c>
      <c r="D14" s="57" t="s">
        <v>234</v>
      </c>
      <c r="E14" s="58" t="s">
        <v>235</v>
      </c>
      <c r="F14" s="54"/>
    </row>
    <row r="15" spans="1:7" ht="26.05" customHeight="1" x14ac:dyDescent="0.55000000000000004">
      <c r="A15" s="54"/>
      <c r="B15" s="55" t="s">
        <v>236</v>
      </c>
      <c r="C15" s="56" t="s">
        <v>237</v>
      </c>
      <c r="D15" s="57" t="s">
        <v>128</v>
      </c>
      <c r="E15" s="58" t="s">
        <v>235</v>
      </c>
      <c r="F15" s="54"/>
    </row>
    <row r="16" spans="1:7" ht="26.05" customHeight="1" x14ac:dyDescent="0.55000000000000004">
      <c r="A16" s="54"/>
      <c r="B16" s="55" t="s">
        <v>238</v>
      </c>
      <c r="C16" s="56" t="s">
        <v>130</v>
      </c>
      <c r="D16" s="57" t="s">
        <v>239</v>
      </c>
      <c r="E16" s="58" t="s">
        <v>235</v>
      </c>
      <c r="F16" s="54"/>
    </row>
    <row r="17" spans="1:7" ht="26.05" customHeight="1" x14ac:dyDescent="0.55000000000000004">
      <c r="A17" s="54"/>
      <c r="B17" s="55" t="s">
        <v>240</v>
      </c>
      <c r="C17" s="56" t="s">
        <v>241</v>
      </c>
      <c r="D17" s="57" t="s">
        <v>242</v>
      </c>
      <c r="E17" s="58" t="s">
        <v>235</v>
      </c>
      <c r="F17" s="54"/>
    </row>
    <row r="18" spans="1:7" ht="26.05" customHeight="1" x14ac:dyDescent="0.55000000000000004">
      <c r="A18" s="54"/>
      <c r="B18" s="55" t="s">
        <v>243</v>
      </c>
      <c r="C18" s="56" t="s">
        <v>244</v>
      </c>
      <c r="D18" s="57" t="s">
        <v>137</v>
      </c>
      <c r="E18" s="58" t="s">
        <v>235</v>
      </c>
      <c r="F18" s="54"/>
    </row>
    <row r="19" spans="1:7" ht="26.05" customHeight="1" x14ac:dyDescent="0.55000000000000004">
      <c r="A19" s="54"/>
      <c r="B19" s="55" t="s">
        <v>245</v>
      </c>
      <c r="C19" s="56" t="s">
        <v>139</v>
      </c>
      <c r="D19" s="57" t="s">
        <v>140</v>
      </c>
      <c r="E19" s="58" t="s">
        <v>235</v>
      </c>
      <c r="F19" s="54"/>
    </row>
    <row r="20" spans="1:7" ht="26.05" customHeight="1" x14ac:dyDescent="0.55000000000000004">
      <c r="A20" s="59"/>
      <c r="B20" s="60" t="s">
        <v>246</v>
      </c>
      <c r="C20" s="61" t="s">
        <v>247</v>
      </c>
      <c r="D20" s="62" t="s">
        <v>248</v>
      </c>
      <c r="E20" s="63" t="s">
        <v>235</v>
      </c>
      <c r="F20" s="59"/>
    </row>
    <row r="21" spans="1:7" ht="26.05" customHeight="1" x14ac:dyDescent="0.55000000000000004">
      <c r="A21" s="54"/>
      <c r="B21" s="55" t="s">
        <v>249</v>
      </c>
      <c r="C21" s="56" t="s">
        <v>250</v>
      </c>
      <c r="D21" s="57" t="s">
        <v>149</v>
      </c>
      <c r="E21" s="58" t="s">
        <v>235</v>
      </c>
      <c r="F21" s="54"/>
    </row>
    <row r="22" spans="1:7" ht="26.05" customHeight="1" x14ac:dyDescent="0.55000000000000004">
      <c r="A22" s="59"/>
      <c r="B22" s="60" t="s">
        <v>251</v>
      </c>
      <c r="C22" s="61" t="s">
        <v>252</v>
      </c>
      <c r="D22" s="62" t="s">
        <v>152</v>
      </c>
      <c r="E22" s="63" t="s">
        <v>235</v>
      </c>
      <c r="F22" s="59"/>
    </row>
    <row r="23" spans="1:7" ht="26.05" customHeight="1" x14ac:dyDescent="0.55000000000000004">
      <c r="A23" s="59"/>
      <c r="B23" s="60" t="s">
        <v>253</v>
      </c>
      <c r="C23" s="61" t="s">
        <v>254</v>
      </c>
      <c r="D23" s="62" t="s">
        <v>255</v>
      </c>
      <c r="E23" s="63" t="s">
        <v>235</v>
      </c>
      <c r="F23" s="59"/>
    </row>
    <row r="24" spans="1:7" ht="26.05" customHeight="1" x14ac:dyDescent="0.55000000000000004">
      <c r="A24" s="59"/>
      <c r="B24" s="60" t="s">
        <v>256</v>
      </c>
      <c r="C24" s="61" t="s">
        <v>157</v>
      </c>
      <c r="D24" s="62" t="s">
        <v>257</v>
      </c>
      <c r="E24" s="63" t="s">
        <v>235</v>
      </c>
      <c r="F24" s="59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52" customHeight="1" x14ac:dyDescent="0.55000000000000004">
      <c r="A26" s="118" t="s">
        <v>258</v>
      </c>
      <c r="B26" s="71"/>
      <c r="C26" s="71"/>
      <c r="D26" s="71"/>
      <c r="E26" s="71"/>
      <c r="F26" s="68"/>
      <c r="G26" s="43"/>
    </row>
  </sheetData>
  <mergeCells count="5">
    <mergeCell ref="A1:G1"/>
    <mergeCell ref="A12:G12"/>
    <mergeCell ref="A4:G4"/>
    <mergeCell ref="A2:G2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2026-04-07T08:59:04Z</dcterms:created>
  <dcterms:modified xsi:type="dcterms:W3CDTF">2026-04-07T09:03:13Z</dcterms:modified>
</cp:coreProperties>
</file>