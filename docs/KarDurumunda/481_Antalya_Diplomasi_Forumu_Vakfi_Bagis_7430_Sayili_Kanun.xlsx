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itimatglobal365-my.sharepoint.com/personal/aydindede_itimatglobal_com/Documents/Desktop/GEM/KARIN BULUNMASI HALİNDE/"/>
    </mc:Choice>
  </mc:AlternateContent>
  <xr:revisionPtr revIDLastSave="0" documentId="14_{E6DD57EB-97CC-4A39-85A2-9208FA27BE8F}" xr6:coauthVersionLast="47" xr6:coauthVersionMax="47" xr10:uidLastSave="{00000000-0000-0000-0000-000000000000}"/>
  <bookViews>
    <workbookView xWindow="-96" yWindow="-96" windowWidth="23232" windowHeight="12552" xr2:uid="{00000000-000D-0000-FFFF-FFFF00000000}"/>
  </bookViews>
  <sheets>
    <sheet name="VERİ GİRİŞİ" sheetId="1" r:id="rId1"/>
    <sheet name="HESAPLAMALAR &amp; KONTROL" sheetId="2" r:id="rId2"/>
    <sheet name="MUHASEBE KAYITLARI" sheetId="3" r:id="rId3"/>
    <sheet name="DENETCİ NOTLARI" sheetId="4" r:id="rId4"/>
    <sheet name="BELGE LISTESI" sheetId="5" r:id="rId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8" i="1" l="1"/>
  <c r="D8" i="2"/>
  <c r="D7" i="2"/>
  <c r="D6" i="2"/>
  <c r="D47" i="1"/>
  <c r="C52" i="1" s="1"/>
  <c r="C47" i="1"/>
  <c r="C51" i="1" s="1"/>
  <c r="E46" i="1"/>
  <c r="F46" i="1" s="1"/>
  <c r="E45" i="1"/>
  <c r="F45" i="1" s="1"/>
  <c r="E44" i="1"/>
  <c r="F44" i="1" s="1"/>
  <c r="E43" i="1"/>
  <c r="E47" i="1" s="1"/>
  <c r="C53" i="1" s="1"/>
  <c r="E42" i="1"/>
  <c r="F42" i="1" s="1"/>
  <c r="E41" i="1"/>
  <c r="F41" i="1" s="1"/>
  <c r="C35" i="1"/>
  <c r="E15" i="1"/>
  <c r="D5" i="2" s="1"/>
  <c r="F43" i="1" l="1"/>
  <c r="F47" i="1" s="1"/>
  <c r="C55" i="1" s="1"/>
</calcChain>
</file>

<file path=xl/sharedStrings.xml><?xml version="1.0" encoding="utf-8"?>
<sst xmlns="http://schemas.openxmlformats.org/spreadsheetml/2006/main" count="321" uniqueCount="262">
  <si>
    <t>481 – ANTALYA DİPLOMASİ FORUMU VAKFI BAĞIŞLARI | 7430 SAYILI KANUN | YMM TASDİK</t>
  </si>
  <si>
    <t>Beyanname 481 | GİB KV Beyan Rehberi Mart 2026 (No:606) | ✗ YİAKV MATRAHINDA DÜŞÜLEMEZ</t>
  </si>
  <si>
    <t xml:space="preserve">  7430 SAYILI ANTALYA DİPLOMASİ FORUMU VAKFI KANUNU KAPSAMI:
  7430 sayılı Kanun kapsamında Antalya Diplomasi Forumu Vakfı'na (ADF Vakfı) yapılan bağış ve yardımların tamamı kurumlar vergisi matrahından indirilir.
  ADF VAKFI: Antalya Diplomasi Forumu kapsamında uluslararası diplomasi, diyalog ve işbirliği faaliyetlerini desteklemek amacıyla 7430 sayılı Kanunla kurulan vakıf.
  İNDİRİM: TAMAMININ İNDİRİMİ — matrahı aşan kısım devredilemez.
  ★ YİAKV: DÜŞÜLEMEZ — E.11 bilgi satırı.</t>
  </si>
  <si>
    <t xml:space="preserve">  ✗ YİAKV (KVK Md.32/C): 481 ADF Vakfı Bağışı YİAKV MATRAHINDA DÜŞÜLEMEZ. YİAKV E.11 bilgi satırı — 402/460–480 kodlarıyla aynı E.11 kategorisi.</t>
  </si>
  <si>
    <t>A0. KAPSAM VE NİTELİK UYGUNLUK ÖN KONTROLÜ — 7430 s.K. ADF VAKFI BAĞIŞI</t>
  </si>
  <si>
    <t>Kontrol Sorusu</t>
  </si>
  <si>
    <t>Yanıt</t>
  </si>
  <si>
    <t>YMM Tasdik Notu</t>
  </si>
  <si>
    <t>A0.1  ★ Bağış 7430 s.K. kapsamında Antalya Diplomasi Forumu Vakfı'na mı yapıldı?</t>
  </si>
  <si>
    <t>EVET</t>
  </si>
  <si>
    <t>Antalya Diplomasi Forumu Vakfı (ADF Vakfı) — 7430 sayılı Kanunla kurulan resmi vakıf. Antalya'daki başka vakıf/kurum → Kapsam dışı. Diplomasi forumu adını taşıyan başka özel kuruluş → Kapsam dışı.</t>
  </si>
  <si>
    <t>A0.2  ★ Bağış FİİLEN yapıldı mı? (Nakdi: Banka — Ayni: Teslim belgesi)</t>
  </si>
  <si>
    <t>Nakdi: Banka EFT/havale dekontu. Ayni: İmzalı teslim tutanağı.</t>
  </si>
  <si>
    <t>A0.3  ADF Vakfı'ndan resmi bağış makbuzu / kabul belgesi alındı mı?</t>
  </si>
  <si>
    <t>ADF Vakfı tarafından düzenlenen resmi makbuz veya bağış kabul yazısı zorunludur.</t>
  </si>
  <si>
    <t>A0.4  Bağışın amacı 7430 s.K. kapsamında diplomasi/diyalog faaliyetiyle ilgili mi?</t>
  </si>
  <si>
    <t>Uluslararası diplomasi, barış, diyalog, forum, konferans, diplomatik eğitim vb. ADF Vakfı faaliyet alanı kapsamında.</t>
  </si>
  <si>
    <t>A0.5  Ayni bağış varsa maliyet/net defter değeri ile değerleme yapıldı mı?</t>
  </si>
  <si>
    <t>Ayni bağışlarda maliyet/net defter değeri esas. KDV hesaplanmaz — KDVK Md.17/2-b istisnası.</t>
  </si>
  <si>
    <t>A0.6  ✗ YİAKV E.11'de bilgi satırı olarak gösterildi mi?</t>
  </si>
  <si>
    <t>481 YİAKV matrahından düşülemez — E.11 bilgi.</t>
  </si>
  <si>
    <t>A0.7  YMM Tasdik Raporu gereksinimi değerlendirildi mi?</t>
  </si>
  <si>
    <t>&gt;=500.000 TL → YMM raporu.</t>
  </si>
  <si>
    <t>A0.8  Tasdik Uygunluk Sonucu</t>
  </si>
  <si>
    <t>★ A0.1 ADF Vakfı/7430 | A0.2 fiili yapım | A0.3 makbuz | A0.4 diplomasi alanı — dördü kritik.</t>
  </si>
  <si>
    <t>A. GENEL BİLGİLER</t>
  </si>
  <si>
    <t>Kurumun Unvanı</t>
  </si>
  <si>
    <t>Tam ticaret unvanı</t>
  </si>
  <si>
    <t>VKN</t>
  </si>
  <si>
    <t>10 haneli VKN</t>
  </si>
  <si>
    <t>Hesap Dönemi</t>
  </si>
  <si>
    <t>01.01.2025 – 31.12.2025</t>
  </si>
  <si>
    <t>KV Oranı (%)</t>
  </si>
  <si>
    <t>2025: %25</t>
  </si>
  <si>
    <t>Bağış Alıcısı</t>
  </si>
  <si>
    <t>Antalya Diplomasi Forumu Vakfı (ADF Vakfı)</t>
  </si>
  <si>
    <t>Bağışın Alanı</t>
  </si>
  <si>
    <t>Diplomasi / Uluslararası Diyalog / Forum / Barış</t>
  </si>
  <si>
    <t>Dosya Referansı</t>
  </si>
  <si>
    <t>YMM-2025/481-01</t>
  </si>
  <si>
    <t>B. BAĞIŞ VE YARDIM DETAYLARI — 7430 s.K. / ANTALYA DİPLOMASİ FORUMU VAKFI</t>
  </si>
  <si>
    <t>Parametre</t>
  </si>
  <si>
    <t>Değer</t>
  </si>
  <si>
    <t>Açıklama</t>
  </si>
  <si>
    <t>Kaynak</t>
  </si>
  <si>
    <t>B.1  Bağış Şekli</t>
  </si>
  <si>
    <t>Nakdi (Banka Transferi/EFT/Havale)</t>
  </si>
  <si>
    <t>Nakdi: Banka dekontu. Ayni: Malzeme/ekipman → teslim tutanağı.</t>
  </si>
  <si>
    <t>Belge</t>
  </si>
  <si>
    <t>B.2  Alıcı</t>
  </si>
  <si>
    <t>ADF Vakfı doğrudan veya bünyesindeki program/fon.</t>
  </si>
  <si>
    <t>Vakıf belgesi</t>
  </si>
  <si>
    <t>B.3  Bağışın Amacı</t>
  </si>
  <si>
    <t>Diplomasi ve Diyalog Faaliyetleri</t>
  </si>
  <si>
    <t>7430 s.K. kapsamında ADF Vakfı faaliyet alanı.</t>
  </si>
  <si>
    <t>Protokol/Makbuz</t>
  </si>
  <si>
    <t>B.4  Bağış Tarihi</t>
  </si>
  <si>
    <t>Fiilen yapılan bağışın tarihi (nakdi: ödeme, ayni: teslim).</t>
  </si>
  <si>
    <t>Banka/Tutanak</t>
  </si>
  <si>
    <t>B.5  ★ Nakdi Bağış Tutarı (TL)</t>
  </si>
  <si>
    <t>Banka yoluyla ADF Vakfı'na ödenen tutar.</t>
  </si>
  <si>
    <t>Banka dekontu</t>
  </si>
  <si>
    <t>B.6  Ayni Bağış Değeri (TL — Maliyet/Net Defter Değeri)</t>
  </si>
  <si>
    <t>Ayni bağış varsa maliyet/net defter değeri.</t>
  </si>
  <si>
    <t>Stok/sabit kıymet</t>
  </si>
  <si>
    <t>B.7  ★ TOPLAM BAĞIŞ (B.5 + B.6)</t>
  </si>
  <si>
    <t>Nakdi + Ayni toplam — beyanname 481 tutarının dayanağı.</t>
  </si>
  <si>
    <t>Formül</t>
  </si>
  <si>
    <t>B.8  ★ ADF Vakfı Resmi Makbuzu / Bağış Kabul Belgesi</t>
  </si>
  <si>
    <t>ADF Vakfı tarafından düzenlenen resmi makbuz veya bağış kabul yazısı — zorunlu.</t>
  </si>
  <si>
    <t>ADF Vakfı</t>
  </si>
  <si>
    <t>C. BAĞIŞ VE YARDIM TABLOSU — ANTALYA DİPLOMASİ FORUMU VAKFI (BEYANNAME 481)</t>
  </si>
  <si>
    <t xml:space="preserve">  Her bağış kalemi için ayrı satır. SÜTUN 3 (mavi çerçeve): Nakdi bağış. SÜTUN 4: Ayni bağış maliyet değeri. SÜTUN 5: Toplam (otomatik). SÜTUN 6: İndirim = Tamamı (otomatik).</t>
  </si>
  <si>
    <t>Bağış Tarihi</t>
  </si>
  <si>
    <t>Program / Faaliyet / Amaç</t>
  </si>
  <si>
    <t>Nakdi (TL)</t>
  </si>
  <si>
    <t>Ayni Değer (TL)</t>
  </si>
  <si>
    <t>Toplam (TL)</t>
  </si>
  <si>
    <t>İndirim (TL)</t>
  </si>
  <si>
    <t>Makbuz/Belge No</t>
  </si>
  <si>
    <t>TOPLAM</t>
  </si>
  <si>
    <t>← Beyanname 481 (Tamamının İndirimi)</t>
  </si>
  <si>
    <t>D. BAĞIŞ VE YARDIM İNDİRİMİ ÖZET — BEYANNAME 481 (7430 s.K.)</t>
  </si>
  <si>
    <t>Hesap Kalemi</t>
  </si>
  <si>
    <t>Tutar (TL)</t>
  </si>
  <si>
    <t>Not</t>
  </si>
  <si>
    <t>D.1  Toplam Nakdi Bağış (C Sütun 3)</t>
  </si>
  <si>
    <t>Banka yoluyla yapılan nakdi toplam</t>
  </si>
  <si>
    <t>D.2  Toplam Ayni Bağış Değeri (C Sütun 4)</t>
  </si>
  <si>
    <t>Maliyet/net defter değeri toplam</t>
  </si>
  <si>
    <t>D.3  TOPLAM BAĞIŞ (D.1 + D.2)</t>
  </si>
  <si>
    <t>C tablosu toplam</t>
  </si>
  <si>
    <t>D.4  İndirim Oranı / Sınır</t>
  </si>
  <si>
    <t>TAMAMININ İNDİRİMİ — Devredilmez</t>
  </si>
  <si>
    <t>7430 s.K. kapsamı: Tamamının indirimi — matrahı aşan devredilmez</t>
  </si>
  <si>
    <t>7430 s.K.</t>
  </si>
  <si>
    <t>D.5  ★ BEYANNAME 481 = TOPLAM BAĞIŞ (D.3)</t>
  </si>
  <si>
    <t>→ Beyanname 481 | Kazancın Bulunması Halinde</t>
  </si>
  <si>
    <t>D.6  YİAKV DURUMU — DÜŞÜLEMEZ</t>
  </si>
  <si>
    <t>YİAKV E.11 Bilgi ✗</t>
  </si>
  <si>
    <t>Tüm bağış/yardım kodları YİAKV matrahından düşülemez</t>
  </si>
  <si>
    <t>KVK Md.32/C</t>
  </si>
  <si>
    <t>E.1  ADF VAKFI BAĞIŞI → Beyanname Satır 481 (Kazancın Bulunması Halinde)</t>
  </si>
  <si>
    <t>D.5 = Toplam Bağış Tamamı | 7430 s.K. — Matrahı aşan devredilmez</t>
  </si>
  <si>
    <t xml:space="preserve">  ★ KRİTİK: (1) ALICI: Yalnızca ADF Vakfı (7430 s.K.) — Antalya'daki başka vakıf/kurum değil. (2) ADF Vakfı resmi makbuzu zorunlu. (3) AYNİ BAĞIŞ: Maliyet değeri + KDV istisnası. (4) DEVREDEN YOK. (5) YİAKV ✗: E.11.</t>
  </si>
  <si>
    <t>481 – ANTALYA DİPLOMASİ FORUMU VAKFI BAĞIŞLARI 7430 s.K. | HESAPLAMALAR VE DENETİM</t>
  </si>
  <si>
    <t>Tamamının İndirimi | 7430 s.K. | ADF Vakfı | Beyanname 481 | ✗ YİAKV E.11</t>
  </si>
  <si>
    <t>A. TASDİK ÖZETİ</t>
  </si>
  <si>
    <t>A0 Uygunluğu</t>
  </si>
  <si>
    <t>OK ise devam</t>
  </si>
  <si>
    <t>Alıcı / Amaç (B.2/B.3)</t>
  </si>
  <si>
    <t>ADF Vakfı / 7430 s.K.</t>
  </si>
  <si>
    <t>Toplam Bağış (D.3)</t>
  </si>
  <si>
    <t>C tablosu toplamı</t>
  </si>
  <si>
    <t>481 İNDİRİM (D.5)</t>
  </si>
  <si>
    <t>YİAKV</t>
  </si>
  <si>
    <t>✗ DÜŞÜLEMEZ (E.11 Bilgi)</t>
  </si>
  <si>
    <t>Bağış/yardım tümü YİAKV dışı</t>
  </si>
  <si>
    <t>B. 7430 SAYILI KANUN VE ANTALYA DİPLOMASİ FORUMU VAKFI</t>
  </si>
  <si>
    <t xml:space="preserve">  ANTALYA DİPLOMASİ FORUMU VAKFI (ADF VAKFI) — 7430 SAYILI KANUN:
  Antalya Diplomasi Forumu (ADF), Türkiye'nin küresel diplomasi arenasındaki konumunu güçlendirmek ve uluslararası barış, diyalog ile işbirliğine katkı sağlamak amacıyla düzenlenen üst düzey diplomatik platform etkinliğidir.
  7430 sayılı Kanunla kurulan ADF Vakfı, bu platform faaliyetlerini sürdürmek ve uluslararası diplomasi alanındaki programları desteklemek üzere tesis edilmiştir.
  VAKFIN FAALİYET ALANLARI:
  • Antalya Diplomasi Forumu ve benzeri uluslararası etkinlikler
  • Küresel barış, diyalog ve işbirliği projeleri
  • Diplomatik kapasite geliştirme ve eğitim programları
  • Uluslararası ilişkiler araştırmaları
  KAPSAM DIŞI:
  ✗ Antalya'daki diğer vakıf/dernek veya kamu kurumlarına bağış
  ✗ ADF adını taşıyan başka özel organizasyon
  ✗ Genel turizm veya tanıtım amaçlı etkinlik sponsorluğu</t>
  </si>
  <si>
    <t>C. DENETİM KONTROL LİSTESİ (K1–K11)</t>
  </si>
  <si>
    <t>Kontrol</t>
  </si>
  <si>
    <t>Sonuç</t>
  </si>
  <si>
    <t>K1</t>
  </si>
  <si>
    <t>★ Alıcı gerçekten ADF Vakfı mı? (7430 s.K. kapsamı)</t>
  </si>
  <si>
    <t>Başka Antalya kurumu → Bu kod değil.</t>
  </si>
  <si>
    <t>Uygun/Eksik/Risk</t>
  </si>
  <si>
    <t>K2</t>
  </si>
  <si>
    <t>★ Bağış fiilen yapıldı mı? (Nakdi: Banka — Ayni: Tutanak)</t>
  </si>
  <si>
    <t>Banka dekontu veya teslim tutanağı.</t>
  </si>
  <si>
    <t>K3</t>
  </si>
  <si>
    <t>★ ADF Vakfı'ndan resmi makbuz alındı mı?</t>
  </si>
  <si>
    <t>Makbuz olmadan 481 belgelenemez.</t>
  </si>
  <si>
    <t>K4</t>
  </si>
  <si>
    <t>★ Bağışın amacı 7430 s.K. kapsamında diplomasi faaliyetiyle ilgili mi?</t>
  </si>
  <si>
    <t>ADF Vakfı faaliyet alanı kapsamında.</t>
  </si>
  <si>
    <t>K5</t>
  </si>
  <si>
    <t>Ayni bağış varsa maliyet/net defter değeri esas alındı mı?</t>
  </si>
  <si>
    <t>Piyasa değeri değil. KDV istisnası.</t>
  </si>
  <si>
    <t>K6</t>
  </si>
  <si>
    <t>C tablosu toplamı D.3 ile mutabık mı?</t>
  </si>
  <si>
    <t>E47 = D.3 eşitliği.</t>
  </si>
  <si>
    <t>K7</t>
  </si>
  <si>
    <t>★ İndirim matrahı aşıyor mu? (Devredilemez!)</t>
  </si>
  <si>
    <t>Aşan kısım beyanname notu.</t>
  </si>
  <si>
    <t>K8</t>
  </si>
  <si>
    <t>✗ YİAKV E.11'de bilgi satırı olarak gösterildi mi?</t>
  </si>
  <si>
    <t>481 DÜŞÜLEMEZ — E.11 bilgi.</t>
  </si>
  <si>
    <t>K9</t>
  </si>
  <si>
    <t>7430 s.K. kapsamı resmiyet belgesiyle teyit edildi mi?</t>
  </si>
  <si>
    <t>ADF Vakfı'nın 7430 s.K. kapsamı doğrulandı.</t>
  </si>
  <si>
    <t>K10</t>
  </si>
  <si>
    <t>Beyanname 481 'Kazancın Bulunması Halinde' bölümünde mi?</t>
  </si>
  <si>
    <t>Zarar döneminde uygulanamaz.</t>
  </si>
  <si>
    <t>K11</t>
  </si>
  <si>
    <t>YMM Tasdik Raporu (49 No.lu Tebliğ) değerlendirildi mi?</t>
  </si>
  <si>
    <t>481 – ADF VAKFI BAĞIŞLARI 7430 s.K. | MUHASEBE KAYITLARI</t>
  </si>
  <si>
    <t>KAYIT 1 — NAKDİ BAĞIŞ (EFT/HAVALE — ADF VAKFI)</t>
  </si>
  <si>
    <t>Tarih</t>
  </si>
  <si>
    <t>Hesap</t>
  </si>
  <si>
    <t>Dr</t>
  </si>
  <si>
    <t>Kr</t>
  </si>
  <si>
    <t>Ref</t>
  </si>
  <si>
    <t>[Bağış Tarihi]</t>
  </si>
  <si>
    <t>689 Diğer Olağan Dışı Gid. / 770 Genel Yön.</t>
  </si>
  <si>
    <t>ADF Vakfı bağışı (7430 s.K.) — gider kaydı</t>
  </si>
  <si>
    <t>[Tutar]</t>
  </si>
  <si>
    <t>—</t>
  </si>
  <si>
    <t>ADF Vakfı Makbuzu</t>
  </si>
  <si>
    <t>KAYIT 2 — AYNİ BAĞIŞ (MALZEME / EKİPMAN / ETKİNLİK DESTEĞİ)</t>
  </si>
  <si>
    <t>[Teslim]</t>
  </si>
  <si>
    <t>689 Diğer Olağan Dışı Gid.</t>
  </si>
  <si>
    <t>Ayni bağış — maliyet/net defter değeri</t>
  </si>
  <si>
    <t>[Maliyet]</t>
  </si>
  <si>
    <t>Teslim tutanağı</t>
  </si>
  <si>
    <t>KAYIT 3 — DÖNEM SONU: KKEG + BEYANNAME 481 İNDİRİMİ</t>
  </si>
  <si>
    <t>[Dönem Sonu]</t>
  </si>
  <si>
    <t>951 KKEG</t>
  </si>
  <si>
    <t>ADF Vakfı bağış gideri KKEG'e alınır</t>
  </si>
  <si>
    <t>Beyanname eki</t>
  </si>
  <si>
    <t xml:space="preserve">  DÖNEM SONU NET ETKİ — BEYANNAME 481:
  ADF Vakfı bağışı (689/770) → KKEG → Matrahı artırır → Beyanname 481 tamamının indirimi → Matrahtan düşülür.
  YİAKV: ✗ DÜŞÜLEMEZ — E.11. Ayni bağışta KDV istisnası (KDVK Md.17/2-b).</t>
  </si>
  <si>
    <t>481 – ANTALYA DİPLOMASİ FORUMU VAKFI BAĞIŞLARI 7430 s.K. | DENETÇİ NOTLARI</t>
  </si>
  <si>
    <t>GİB KV Beyan Rehberi 2026 | 7430 s.K. | ADF Vakfı | Diplomasi | YİAKV E.11</t>
  </si>
  <si>
    <t>Kod</t>
  </si>
  <si>
    <t>Konu</t>
  </si>
  <si>
    <t>Mesleki Değerlendirme / Tasdik Standardı</t>
  </si>
  <si>
    <t>Mevzuat / Kaynak</t>
  </si>
  <si>
    <t>N1</t>
  </si>
  <si>
    <t>7430 s.K. — ADF Vakfı Kapsam ve Faaliyet</t>
  </si>
  <si>
    <t>ANTALYA DİPLOMASİ FORUMU VAKFI (ADF VAKFI) — 7430 s.K.:
7430 sayılı Kanunla kurulan Antalya Diplomasi Forumu Vakfı'na yapılan
bağış ve yardımların tamamı kurumlar vergisi matrahından indirilir.
VAKFIN FAALİYET ALANLARI:
• Antalya Diplomasi Forumu ve uluslararası etkinlikler
• Küresel barış, diyalog ve işbirliği projeleri
• Diplomatik kapasite geliştirme programları
• Uluslararası ilişkiler araştırmaları
AYNİ BAĞIŞ: Malzeme, ekipman, etkinlik desteği — maliyet değeri esas.
YİAKV: ✗ DÜŞÜLEMEZ (E.11 bilgi) | BEYANNAME: 481</t>
  </si>
  <si>
    <t>7430 s.K. | GİB KV Beyan Reh. 2026 (No:606)</t>
  </si>
  <si>
    <t>N2</t>
  </si>
  <si>
    <t>★ Kapsam Teyidi — ADF Vakfı Kimliği</t>
  </si>
  <si>
    <t>ADF VAKFI KİMLİĞİ VE DOĞRU ALICI TESPİTİ:
KABUL EDİLEBİLİR ALICI:
✓ Antalya Diplomasi Forumu Vakfı (7430 sayılı Kanunla kurulan resmi vakıf)
KAPSAM DIŞI:
✗ Antalya'daki diğer vakıf veya dernek
✗ Antalya Büyükşehir Belediyesi'ne etkinlik sponsorluğu → 402 kapsamı
✗ Özel diplomatik organizasyon şirketleri
✗ 'Diplomasi Forumu' adını taşıyan başka kuruluş
DOĞRULAMA:
ADF Vakfı'nın 7430 sayılı Kanunla kurulduğunu Resmî Gazete veya vakfın resmi belgesiyle teyit et.
Makbuzda 'Antalya Diplomasi Forumu Vakfı' ünvanı açıkça belirtilmeli.</t>
  </si>
  <si>
    <t>7430 s.K. | Resmî Gazete | GİB Özelge</t>
  </si>
  <si>
    <t>N3</t>
  </si>
  <si>
    <t>Bu Serinin Özel Kanunlu Bağış Kodları — Genel Bakış</t>
  </si>
  <si>
    <t>ÖZEL KANUNLU BAĞIŞ KODLARI (469–481):
Her kod kendi kanun referansıyla ayrı beyanname satırı:
469 — TÜBİTAK (278 s.K.): Genel bilim Ar-Ge
470 — Üniversiteler (2547 s.K.): Genel yükseköğretim
471 — Sosyal Hizmetler (2828 s.K.): Bakanlık/kuruluş
472 — AKDTYK (2876 s.K.): TDK/TTK/ATAM/AKM
473 — SYDV (3294 s.K.): Valilik/kaymakamlık bünyesi
474 — TSKGV (3388 s.K.): TSK güçlendirme vakfı
475 — 3713 s.K.: Terörle mücadele şehit/gazi
476 — 4122 s.K.: Ağaçlandırma masrafı (bağış değil)
477 — 5434 s.K.: TC Emekli Sandığı
478 — TÜSEB (6569 s.K.): Sağlık Ar-Ge
479 — 6546 s.K.: Gelibolu Alan Başk. (bağış+sponsorluk)
480 — TJBTÜ (7034 s.K.): Türk-Japon Üniversitesi
481 — ADF Vakfı (7430 s.K.): Antalya Diplomasi Forumu
Her birinde: Tamamının indirimi | Devredilmez | YİAKV E.11</t>
  </si>
  <si>
    <t>GİB KV Beyan Rehberi 2026 (No:606)</t>
  </si>
  <si>
    <t>N4</t>
  </si>
  <si>
    <t>YİAKV ile İlişki — E.11 Güncel Tablo</t>
  </si>
  <si>
    <t>YİAKV (KVK Md.32/C) VE ADF VAKFI BAĞIŞI:
✗ 481 (7430 s.K.): DÜŞÜLEMEZ → YİAKV E.11
BU OTURUMDA TAMAMLANAN TÜM KODLAR:
✗ 402 | ✗ 460/461 | ✗ 464 | ✗ 465 | ✗ 466 | ✗ 469
✗ 470 | ✗ 471 | ✗ 472 | ✗ 473 | ✗ 474 | ✗ 475
✗ 476 | ✗ 477 | ✗ 478 | ✗ 479 | ✗ 480 | ✗ 481
→ YİAKV E.11 = Tüm bu kodların dönem toplamı
DÜŞÜLEBILIR:
✓ 283/455 → D.10 | ✓ 456/457 → E.13
✓ 401 → D.4 | ✓ 413 → D.11 | ✗ 453 → E.10</t>
  </si>
  <si>
    <t>KVK Md.32/C | GİB Rehberi No:607 | No:606</t>
  </si>
  <si>
    <t>N5</t>
  </si>
  <si>
    <t>49 No.lu Tebliğ + YMM Tasdik Dil Standardı</t>
  </si>
  <si>
    <t>KULLANIN:
'...7430 sayılı Antalya Diplomasi Forumu Vakfı Kanunu kapsamında
Antalya Diplomasi Forumu Vakfı'na [Bağış Tarihi] tarihinde banka
yoluyla ödenen [Nakdi TL] TL nakdi bağış ile [Ayni TL] TL maliyet
bedelindeki ayni bağışın tamamı olan [Toplam TL] TL, kurumlar vergisi
matrahından indirilmiştir. Söz konusu tutar YİAKV matrahından
indirilmemiştir.'
(Matrahı aşıyorsa ekleyin:)
'[Aşan TL] TL'lik kısım matrahı aşması nedeniyle sonraki dönemlere
devredilmemiştir.'
KULLANMAYIN:
'...Antalya'daki başka vakfa yapılan bağış 481 kapsamında.'
'...481 YİAKV matrahından düşülmüştür.' (YANLIŞ)
'...Matrahı aşan kısım devredilmiştir.' (Devredilmez!)
KRİTİK RİSKLER:
(1) ADF Vakfı yerine başka kuruluşu 481'e dahil etmek.
(2) Makbuz olmadan 481 uygulamak.
(3) Matrahı aşan kısmı devretmeye çalışmak.</t>
  </si>
  <si>
    <t>49 No.lu Tebliğ | 7430 s.K. | SM-SMMM-YMM K. Md.12</t>
  </si>
  <si>
    <t xml:space="preserve">  GİB KV BEYAN REHBERİ MART 2026 (No:606) KAPANIŞ (481): 7430 s.K. — Antalya Diplomasi Forumu Vakfı. Resmî Gazete ile kurulan vakıf — Antalya'daki başka kuruluş kapsam dışı. Tamamının indirimi — matrahı aşan devredilmez. Ayni bağışta KDV istisnası. ✗ YİAKV E.11. YMM: SM-SMMM-YMM K. Md.12.</t>
  </si>
  <si>
    <t>481 – ANTALYA DİPLOMASİ FORUMU VAKFI BAĞIŞLARI 7430 s.K. | BELGE LİSTESİ | YMM TASDİK</t>
  </si>
  <si>
    <t>ADF Vakfı Makbuzu | Banka Dekontu | Teslim Tutanağı | Kanun Teyidi | YİAKV E.11</t>
  </si>
  <si>
    <t>KATEGORİ 1 — ZORUNLU BELGELER</t>
  </si>
  <si>
    <t>No</t>
  </si>
  <si>
    <t>Temin</t>
  </si>
  <si>
    <t>1</t>
  </si>
  <si>
    <t>★ Antalya Diplomasi Forumu Vakfı Resmi Bağış Makbuzu / Kabul Belgesi</t>
  </si>
  <si>
    <t>ADF Vakfı tarafından düzenlenen resmi makbuz veya bağış kabul yazısı. 'Antalya Diplomasi Forumu Vakfı' ünvanı ve 7430 s.K. referansı açık olmalı. Zorunlu belge.</t>
  </si>
  <si>
    <t>2</t>
  </si>
  <si>
    <t>★ Nakdi Bağış — Banka EFT/Havale Dekontu</t>
  </si>
  <si>
    <t>ADF Vakfı'nın banka hesabına yapılan nakdi ödemenin dekont belgesi. Her ödeme için ayrı dekont.</t>
  </si>
  <si>
    <t>Banka / Şirket hesabı</t>
  </si>
  <si>
    <t>3</t>
  </si>
  <si>
    <t>Ayni Bağış — Teslim-Tesellüm Tutanağı + Maliyet Notu</t>
  </si>
  <si>
    <t>Malzeme/ekipman/etkinlik desteği için ADF Vakfı imzalı teslim tutanağı ve maliyet/değerleme notu. KDV hesaplanmaz (KDVK Md.17/2-b).</t>
  </si>
  <si>
    <t>Teslim sırasında</t>
  </si>
  <si>
    <t>4</t>
  </si>
  <si>
    <t>ADF Vakfı'nın 7430 s.K. Kapsamında Kurulduğuna Dair Belge</t>
  </si>
  <si>
    <t>Vakfın 7430 sayılı Kanun kapsamında kurulduğunu doğrulayan Resmî Gazete ilanı veya vakıf tescil belgesi. İsim benzerliği/karışıklık riskine karşı.</t>
  </si>
  <si>
    <t>Resmî Gazete / Vakıflar Genel Müdürlüğü</t>
  </si>
  <si>
    <t>5</t>
  </si>
  <si>
    <t>KV Beyannamesi 481 Satırı + YİAKV E.11 Bilgi</t>
  </si>
  <si>
    <t>Beyanname 481 = D.5 tutarı. YİAKV E.11 = 402–481 tüm kodların dönem toplamı.</t>
  </si>
  <si>
    <t>GİB e-Beyanname + YİAKV ÇK</t>
  </si>
  <si>
    <t>KATEGORİ 2 — YMM TASDİK KONTROL SORULARI</t>
  </si>
  <si>
    <t>Beklenen Sonuç</t>
  </si>
  <si>
    <t>YMM Aksiyonu</t>
  </si>
  <si>
    <t>S1</t>
  </si>
  <si>
    <t>★ Alıcı gerçekten ADF Vakfı mı? (7430 s.K.)</t>
  </si>
  <si>
    <t>YMM kontrolü</t>
  </si>
  <si>
    <t>S2</t>
  </si>
  <si>
    <t>★ Bağış fiilen yapıldı mı? (Banka / teslim)</t>
  </si>
  <si>
    <t>Taahhüt değil — fiili ödeme.</t>
  </si>
  <si>
    <t>S3</t>
  </si>
  <si>
    <t>Makbuz zorunlu.</t>
  </si>
  <si>
    <t>S4</t>
  </si>
  <si>
    <t>Vakıf faaliyet alanı kapsamında.</t>
  </si>
  <si>
    <t>S5</t>
  </si>
  <si>
    <t>ADF Vakfı 7430 s.K. kapsamı belgeyle teyit edildi mi?</t>
  </si>
  <si>
    <t>Resmî Gazete veya tescil belgesi.</t>
  </si>
  <si>
    <t>S6</t>
  </si>
  <si>
    <t>Ayni bağış varsa maliyet değeri ve KDV istisnası doğru mu?</t>
  </si>
  <si>
    <t>Maliyet esas, KDV yok.</t>
  </si>
  <si>
    <t>S7</t>
  </si>
  <si>
    <t>★ İndirim matrahı aşıyor mu? (Devredilmez!)</t>
  </si>
  <si>
    <t>S8</t>
  </si>
  <si>
    <t>✗ YİAKV E.11'de bilgi satırı var mı?</t>
  </si>
  <si>
    <t>481 DÜŞÜLEMEZ — E.11.</t>
  </si>
  <si>
    <t>S9</t>
  </si>
  <si>
    <t>Beyanname 481 'Kazancın Bulunması Halinde'?</t>
  </si>
  <si>
    <t>S10</t>
  </si>
  <si>
    <t>YMM Tasdik Raporu değerlendirildi mi?</t>
  </si>
  <si>
    <t>&gt;=500.000 TL → Rapor.</t>
  </si>
  <si>
    <t xml:space="preserve">  GİB KV BEYAN REHBERİ MART 2026 (No:606) | 481 ADF VAKFI BAĞIŞI SON NOT:
  7430 s.K. — Antalya Diplomasi Forumu Vakfı. Vakfın kanun kapsamı teyit edilmeli.
  Tamamının indirimi — matrahı aşan kısım devredilemez.
  ✗ YİAKV E.11 bilgi satırı (402–481 tüm kodlar toplamı).
  YMM müteselsil sorumluluk: SM-SMMM-YMM Kanunu Md.12.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</si>
</sst>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b/>
      <sz val="9"/>
      <color rgb="FFFFFFFF"/>
      <name val="Arial"/>
    </font>
    <font>
      <b/>
      <sz val="8"/>
      <color rgb="FF7B5E00"/>
      <name val="Arial"/>
    </font>
    <font>
      <b/>
      <sz val="10"/>
      <color rgb="FFFFFFFF"/>
      <name val="Arial"/>
    </font>
    <font>
      <b/>
      <sz val="9"/>
      <color rgb="FFC0392B"/>
      <name val="Arial"/>
    </font>
    <font>
      <b/>
      <sz val="10"/>
      <color rgb="FF0000FF"/>
      <name val="Arial"/>
    </font>
    <font>
      <i/>
      <sz val="8"/>
      <color rgb="FFC0392B"/>
      <name val="Arial"/>
    </font>
    <font>
      <b/>
      <sz val="9"/>
      <color rgb="FF1F3864"/>
      <name val="Arial"/>
    </font>
    <font>
      <i/>
      <sz val="8"/>
      <color rgb="FF555555"/>
      <name val="Arial"/>
    </font>
    <font>
      <b/>
      <sz val="10"/>
      <color rgb="FF1B5E20"/>
      <name val="Arial"/>
    </font>
    <font>
      <i/>
      <sz val="8"/>
      <color rgb="FF888888"/>
      <name val="Arial"/>
    </font>
    <font>
      <i/>
      <sz val="8"/>
      <color rgb="FF0D47A1"/>
      <name val="Arial"/>
    </font>
    <font>
      <b/>
      <sz val="10"/>
      <color rgb="FF0D47A1"/>
      <name val="Arial"/>
    </font>
    <font>
      <sz val="9"/>
      <color rgb="FF1F3864"/>
      <name val="Arial"/>
    </font>
    <font>
      <b/>
      <sz val="9"/>
      <color rgb="FF0D47A1"/>
      <name val="Arial"/>
    </font>
    <font>
      <b/>
      <sz val="9"/>
      <color rgb="FF1B5E20"/>
      <name val="Arial"/>
    </font>
    <font>
      <sz val="8"/>
      <color rgb="FF1F3864"/>
      <name val="Arial"/>
    </font>
    <font>
      <b/>
      <sz val="11"/>
      <color rgb="FFFFFFFF"/>
      <name val="Arial"/>
    </font>
    <font>
      <b/>
      <sz val="13"/>
      <color rgb="FFFFFFFF"/>
      <name val="Arial"/>
    </font>
    <font>
      <b/>
      <sz val="13"/>
      <color rgb="FF1B5E20"/>
      <name val="Arial"/>
    </font>
    <font>
      <b/>
      <sz val="9"/>
      <color rgb="FFE65100"/>
      <name val="Arial"/>
    </font>
    <font>
      <b/>
      <sz val="10"/>
      <color rgb="FFE65100"/>
      <name val="Arial"/>
    </font>
    <font>
      <b/>
      <sz val="14"/>
      <color rgb="FF1B5E20"/>
      <name val="Arial"/>
    </font>
    <font>
      <i/>
      <sz val="8"/>
      <color rgb="FF1B5E20"/>
      <name val="Arial"/>
    </font>
    <font>
      <b/>
      <sz val="8"/>
      <color rgb="FFC0392B"/>
      <name val="Arial"/>
    </font>
    <font>
      <b/>
      <sz val="12"/>
      <color rgb="FF1B5E20"/>
      <name val="Arial"/>
    </font>
    <font>
      <sz val="8"/>
      <color rgb="FF333333"/>
      <name val="Arial"/>
    </font>
    <font>
      <i/>
      <sz val="8"/>
      <color rgb="FF444444"/>
      <name val="Arial"/>
    </font>
    <font>
      <b/>
      <sz val="9"/>
      <color rgb="FF7B5E00"/>
      <name val="Arial"/>
    </font>
    <font>
      <sz val="8"/>
      <color rgb="FF444444"/>
      <name val="Arial"/>
    </font>
    <font>
      <b/>
      <sz val="9"/>
      <color rgb="FF1565C0"/>
      <name val="Arial"/>
    </font>
    <font>
      <b/>
      <sz val="8"/>
      <color rgb="FF1565C0"/>
      <name val="Arial"/>
    </font>
  </fonts>
  <fills count="24">
    <fill>
      <patternFill patternType="none"/>
    </fill>
    <fill>
      <patternFill patternType="gray125"/>
    </fill>
    <fill>
      <patternFill patternType="solid">
        <fgColor rgb="FF0D47A1"/>
      </patternFill>
    </fill>
    <fill>
      <patternFill patternType="solid">
        <fgColor rgb="FF2C3E50"/>
      </patternFill>
    </fill>
    <fill>
      <patternFill patternType="solid">
        <fgColor rgb="FFFFF9C4"/>
      </patternFill>
    </fill>
    <fill>
      <patternFill patternType="solid">
        <fgColor rgb="FFE65100"/>
      </patternFill>
    </fill>
    <fill>
      <patternFill patternType="solid">
        <fgColor rgb="FFDEDEDE"/>
      </patternFill>
    </fill>
    <fill>
      <patternFill patternType="solid">
        <fgColor rgb="FFC0392B"/>
      </patternFill>
    </fill>
    <fill>
      <patternFill patternType="solid">
        <fgColor rgb="FF1565C0"/>
      </patternFill>
    </fill>
    <fill>
      <patternFill patternType="solid">
        <fgColor rgb="FFFCE4D6"/>
      </patternFill>
    </fill>
    <fill>
      <patternFill patternType="solid">
        <fgColor rgb="FFFFFF00"/>
      </patternFill>
    </fill>
    <fill>
      <patternFill patternType="solid">
        <fgColor rgb="FFE3F2FD"/>
      </patternFill>
    </fill>
    <fill>
      <patternFill patternType="solid">
        <fgColor rgb="FFFFFFFF"/>
      </patternFill>
    </fill>
    <fill>
      <patternFill patternType="solid">
        <fgColor rgb="FFC6EFCE"/>
      </patternFill>
    </fill>
    <fill>
      <patternFill patternType="solid">
        <fgColor rgb="FFBBDEFB"/>
      </patternFill>
    </fill>
    <fill>
      <patternFill patternType="solid">
        <fgColor rgb="FFFFF3E0"/>
      </patternFill>
    </fill>
    <fill>
      <patternFill patternType="solid">
        <fgColor rgb="FF1B5E20"/>
      </patternFill>
    </fill>
    <fill>
      <patternFill patternType="solid">
        <fgColor rgb="FFFFF5F5"/>
      </patternFill>
    </fill>
    <fill>
      <patternFill patternType="solid">
        <fgColor rgb="FFF7F7F7"/>
      </patternFill>
    </fill>
    <fill>
      <patternFill patternType="solid">
        <fgColor rgb="FFEBF5EB"/>
      </patternFill>
    </fill>
    <fill>
      <patternFill patternType="solid">
        <fgColor rgb="FFB71C1C"/>
      </patternFill>
    </fill>
    <fill>
      <patternFill patternType="solid">
        <fgColor rgb="FFFFEBEE"/>
      </patternFill>
    </fill>
    <fill>
      <patternFill patternType="solid">
        <fgColor rgb="FFFFD0D0"/>
      </patternFill>
    </fill>
    <fill>
      <patternFill patternType="solid">
        <fgColor rgb="FFEEF4FF"/>
      </patternFill>
    </fill>
  </fills>
  <borders count="9">
    <border>
      <left/>
      <right/>
      <top/>
      <bottom/>
      <diagonal/>
    </border>
    <border>
      <left style="thin">
        <color rgb="FF999999"/>
      </left>
      <right style="thin">
        <color rgb="FF999999"/>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BBBBBB"/>
      </left>
      <right style="thin">
        <color rgb="FFBBBBBB"/>
      </right>
      <top style="thin">
        <color rgb="FFBBBBBB"/>
      </top>
      <bottom style="thin">
        <color rgb="FFBBBBBB"/>
      </bottom>
      <diagonal/>
    </border>
    <border>
      <left/>
      <right/>
      <top style="thin">
        <color rgb="FFBBBBBB"/>
      </top>
      <bottom style="thin">
        <color rgb="FFBBBBBB"/>
      </bottom>
      <diagonal/>
    </border>
    <border>
      <left/>
      <right style="thin">
        <color rgb="FFBBBBBB"/>
      </right>
      <top style="thin">
        <color rgb="FFBBBBBB"/>
      </top>
      <bottom style="thin">
        <color rgb="FFBBBBBB"/>
      </bottom>
      <diagonal/>
    </border>
    <border>
      <left style="thin">
        <color rgb="FF0D47A1"/>
      </left>
      <right style="thin">
        <color rgb="FF0D47A1"/>
      </right>
      <top style="thin">
        <color rgb="FF0D47A1"/>
      </top>
      <bottom style="thin">
        <color rgb="FF0D47A1"/>
      </bottom>
      <diagonal/>
    </border>
    <border>
      <left style="thin">
        <color rgb="FF009900"/>
      </left>
      <right style="thin">
        <color rgb="FF009900"/>
      </right>
      <top style="thin">
        <color rgb="FF009900"/>
      </top>
      <bottom style="thin">
        <color rgb="FF009900"/>
      </bottom>
      <diagonal/>
    </border>
  </borders>
  <cellStyleXfs count="1">
    <xf numFmtId="0" fontId="0" fillId="0" borderId="0"/>
  </cellStyleXfs>
  <cellXfs count="119">
    <xf numFmtId="0" fontId="0" fillId="0" borderId="0" xfId="0"/>
    <xf numFmtId="0" fontId="0" fillId="6" borderId="4" xfId="0" applyFill="1" applyBorder="1"/>
    <xf numFmtId="0" fontId="1" fillId="8" borderId="1" xfId="0" applyFont="1" applyFill="1" applyBorder="1" applyAlignment="1">
      <alignment horizontal="center" vertical="center" wrapText="1"/>
    </xf>
    <xf numFmtId="0" fontId="5" fillId="10" borderId="4" xfId="0" applyFont="1" applyFill="1" applyBorder="1" applyAlignment="1">
      <alignment horizontal="center" vertical="center"/>
    </xf>
    <xf numFmtId="0" fontId="9" fillId="13" borderId="4" xfId="0" applyFont="1" applyFill="1" applyBorder="1" applyAlignment="1">
      <alignment horizontal="center" vertical="center"/>
    </xf>
    <xf numFmtId="0" fontId="0" fillId="10" borderId="4" xfId="0" applyFill="1" applyBorder="1"/>
    <xf numFmtId="3" fontId="12" fillId="14" borderId="7" xfId="0" applyNumberFormat="1" applyFont="1" applyFill="1" applyBorder="1" applyAlignment="1">
      <alignment horizontal="right" vertical="center"/>
    </xf>
    <xf numFmtId="0" fontId="1" fillId="2" borderId="1" xfId="0" applyFont="1" applyFill="1" applyBorder="1" applyAlignment="1">
      <alignment horizontal="center" vertical="center" wrapText="1"/>
    </xf>
    <xf numFmtId="0" fontId="13" fillId="10" borderId="4" xfId="0" applyFont="1" applyFill="1" applyBorder="1" applyAlignment="1">
      <alignment horizontal="center" vertical="center" wrapText="1"/>
    </xf>
    <xf numFmtId="0" fontId="13" fillId="10" borderId="4" xfId="0" applyFont="1" applyFill="1" applyBorder="1" applyAlignment="1">
      <alignment horizontal="left" vertical="center" wrapText="1"/>
    </xf>
    <xf numFmtId="3" fontId="14" fillId="14" borderId="7" xfId="0" applyNumberFormat="1" applyFont="1" applyFill="1" applyBorder="1" applyAlignment="1">
      <alignment horizontal="right" vertical="center" wrapText="1"/>
    </xf>
    <xf numFmtId="3" fontId="14" fillId="12" borderId="4" xfId="0" applyNumberFormat="1" applyFont="1" applyFill="1" applyBorder="1" applyAlignment="1">
      <alignment horizontal="right" vertical="center" wrapText="1"/>
    </xf>
    <xf numFmtId="3" fontId="15" fillId="13" borderId="8" xfId="0" applyNumberFormat="1" applyFont="1" applyFill="1" applyBorder="1" applyAlignment="1">
      <alignment horizontal="right" vertical="center" wrapText="1"/>
    </xf>
    <xf numFmtId="0" fontId="16" fillId="10" borderId="4" xfId="0" applyFont="1" applyFill="1" applyBorder="1" applyAlignment="1">
      <alignment horizontal="center" vertical="center" wrapText="1"/>
    </xf>
    <xf numFmtId="3" fontId="14" fillId="11" borderId="4" xfId="0" applyNumberFormat="1" applyFont="1" applyFill="1" applyBorder="1" applyAlignment="1">
      <alignment horizontal="right" vertical="center" wrapText="1"/>
    </xf>
    <xf numFmtId="3" fontId="3" fillId="2" borderId="4" xfId="0" applyNumberFormat="1" applyFont="1" applyFill="1" applyBorder="1" applyAlignment="1">
      <alignment horizontal="right" vertical="center" wrapText="1"/>
    </xf>
    <xf numFmtId="3" fontId="17" fillId="2" borderId="4" xfId="0" applyNumberFormat="1" applyFont="1" applyFill="1" applyBorder="1" applyAlignment="1">
      <alignment horizontal="right" vertical="center" wrapText="1"/>
    </xf>
    <xf numFmtId="3" fontId="18" fillId="2" borderId="8" xfId="0" applyNumberFormat="1" applyFont="1" applyFill="1" applyBorder="1" applyAlignment="1">
      <alignment horizontal="right" vertical="center" wrapText="1"/>
    </xf>
    <xf numFmtId="3" fontId="12" fillId="11" borderId="4" xfId="0" applyNumberFormat="1" applyFont="1" applyFill="1" applyBorder="1" applyAlignment="1">
      <alignment horizontal="right" vertical="center"/>
    </xf>
    <xf numFmtId="0" fontId="12" fillId="14" borderId="4" xfId="0" applyFont="1" applyFill="1" applyBorder="1" applyAlignment="1">
      <alignment horizontal="center" vertical="center"/>
    </xf>
    <xf numFmtId="3" fontId="19" fillId="13" borderId="8" xfId="0" applyNumberFormat="1" applyFont="1" applyFill="1" applyBorder="1" applyAlignment="1">
      <alignment horizontal="right" vertical="center"/>
    </xf>
    <xf numFmtId="0" fontId="21" fillId="15" borderId="4" xfId="0" applyFont="1" applyFill="1" applyBorder="1" applyAlignment="1">
      <alignment horizontal="center" vertical="center"/>
    </xf>
    <xf numFmtId="3" fontId="22" fillId="13" borderId="8" xfId="0" applyNumberFormat="1" applyFont="1" applyFill="1" applyBorder="1" applyAlignment="1">
      <alignment horizontal="right" vertical="center" wrapText="1"/>
    </xf>
    <xf numFmtId="3" fontId="9" fillId="11" borderId="4" xfId="0" applyNumberFormat="1" applyFont="1" applyFill="1" applyBorder="1" applyAlignment="1">
      <alignment horizontal="center" vertical="center"/>
    </xf>
    <xf numFmtId="3" fontId="25" fillId="13" borderId="4" xfId="0" applyNumberFormat="1" applyFont="1" applyFill="1" applyBorder="1" applyAlignment="1">
      <alignment horizontal="right" vertical="center"/>
    </xf>
    <xf numFmtId="0" fontId="1" fillId="2" borderId="4" xfId="0" applyFont="1" applyFill="1" applyBorder="1" applyAlignment="1">
      <alignment horizontal="center" vertical="center" wrapText="1"/>
    </xf>
    <xf numFmtId="0" fontId="4" fillId="9" borderId="4" xfId="0" applyFont="1" applyFill="1" applyBorder="1" applyAlignment="1">
      <alignment horizontal="left" vertical="top" wrapText="1"/>
    </xf>
    <xf numFmtId="0" fontId="26" fillId="17" borderId="4" xfId="0" applyFont="1" applyFill="1" applyBorder="1" applyAlignment="1">
      <alignment horizontal="left" vertical="top" wrapText="1"/>
    </xf>
    <xf numFmtId="0" fontId="0" fillId="11" borderId="4" xfId="0" applyFill="1" applyBorder="1"/>
    <xf numFmtId="0" fontId="0" fillId="12" borderId="4" xfId="0" applyFill="1" applyBorder="1"/>
    <xf numFmtId="0" fontId="7" fillId="11" borderId="4" xfId="0" applyFont="1" applyFill="1" applyBorder="1" applyAlignment="1">
      <alignment horizontal="left" vertical="top" wrapText="1"/>
    </xf>
    <xf numFmtId="0" fontId="7" fillId="12" borderId="4" xfId="0" applyFont="1" applyFill="1" applyBorder="1" applyAlignment="1">
      <alignment horizontal="left" vertical="top" wrapText="1"/>
    </xf>
    <xf numFmtId="0" fontId="1" fillId="8" borderId="1" xfId="0" applyFont="1" applyFill="1" applyBorder="1" applyAlignment="1">
      <alignment horizontal="center" vertical="center"/>
    </xf>
    <xf numFmtId="0" fontId="13" fillId="11" borderId="4" xfId="0" applyFont="1" applyFill="1" applyBorder="1" applyAlignment="1">
      <alignment horizontal="center" vertical="center" wrapText="1"/>
    </xf>
    <xf numFmtId="0" fontId="26" fillId="18" borderId="4" xfId="0" applyFont="1" applyFill="1" applyBorder="1" applyAlignment="1">
      <alignment horizontal="left" vertical="top" wrapText="1"/>
    </xf>
    <xf numFmtId="0" fontId="27" fillId="11" borderId="4" xfId="0" applyFont="1" applyFill="1" applyBorder="1" applyAlignment="1">
      <alignment horizontal="left" vertical="top" wrapText="1"/>
    </xf>
    <xf numFmtId="0" fontId="1" fillId="7" borderId="4" xfId="0" applyFont="1" applyFill="1" applyBorder="1" applyAlignment="1">
      <alignment horizontal="center" vertical="center" wrapText="1"/>
    </xf>
    <xf numFmtId="0" fontId="27" fillId="9" borderId="4" xfId="0" applyFont="1" applyFill="1" applyBorder="1" applyAlignment="1">
      <alignment horizontal="left" vertical="top" wrapText="1"/>
    </xf>
    <xf numFmtId="0" fontId="27" fillId="12" borderId="4" xfId="0" applyFont="1" applyFill="1" applyBorder="1" applyAlignment="1">
      <alignment horizontal="left" vertical="top" wrapText="1"/>
    </xf>
    <xf numFmtId="0" fontId="0" fillId="4" borderId="4" xfId="0" applyFill="1" applyBorder="1"/>
    <xf numFmtId="0" fontId="0" fillId="13" borderId="4" xfId="0" applyFill="1" applyBorder="1"/>
    <xf numFmtId="0" fontId="7" fillId="13" borderId="4" xfId="0" applyFont="1" applyFill="1" applyBorder="1" applyAlignment="1">
      <alignment horizontal="center" vertical="center" wrapText="1"/>
    </xf>
    <xf numFmtId="0" fontId="4" fillId="13" borderId="4" xfId="0" applyFont="1" applyFill="1" applyBorder="1" applyAlignment="1">
      <alignment horizontal="left" vertical="top" wrapText="1"/>
    </xf>
    <xf numFmtId="0" fontId="26" fillId="19" borderId="4" xfId="0" applyFont="1" applyFill="1" applyBorder="1" applyAlignment="1">
      <alignment horizontal="left" vertical="top" wrapText="1"/>
    </xf>
    <xf numFmtId="0" fontId="29" fillId="13" borderId="4" xfId="0" applyFont="1" applyFill="1" applyBorder="1" applyAlignment="1">
      <alignment horizontal="left" vertical="center" wrapText="1"/>
    </xf>
    <xf numFmtId="0" fontId="7" fillId="12" borderId="4" xfId="0" applyFont="1" applyFill="1" applyBorder="1" applyAlignment="1">
      <alignment horizontal="center" vertical="center" wrapText="1"/>
    </xf>
    <xf numFmtId="0" fontId="4" fillId="12" borderId="4" xfId="0" applyFont="1" applyFill="1" applyBorder="1" applyAlignment="1">
      <alignment horizontal="left" vertical="top" wrapText="1"/>
    </xf>
    <xf numFmtId="0" fontId="29" fillId="12" borderId="4" xfId="0" applyFont="1" applyFill="1" applyBorder="1" applyAlignment="1">
      <alignment horizontal="left" vertical="center" wrapText="1"/>
    </xf>
    <xf numFmtId="0" fontId="7" fillId="13" borderId="4" xfId="0" applyFont="1" applyFill="1" applyBorder="1" applyAlignment="1">
      <alignment horizontal="left" vertical="top" wrapText="1"/>
    </xf>
    <xf numFmtId="0" fontId="1" fillId="20" borderId="1" xfId="0" applyFont="1" applyFill="1" applyBorder="1" applyAlignment="1">
      <alignment horizontal="center" vertical="center"/>
    </xf>
    <xf numFmtId="0" fontId="0" fillId="21" borderId="4" xfId="0" applyFill="1" applyBorder="1"/>
    <xf numFmtId="0" fontId="30" fillId="21" borderId="4" xfId="0" applyFont="1" applyFill="1" applyBorder="1" applyAlignment="1">
      <alignment horizontal="center" vertical="center" wrapText="1"/>
    </xf>
    <xf numFmtId="0" fontId="4" fillId="21" borderId="4" xfId="0" applyFont="1" applyFill="1" applyBorder="1" applyAlignment="1">
      <alignment horizontal="left" vertical="top" wrapText="1"/>
    </xf>
    <xf numFmtId="0" fontId="26" fillId="22" borderId="4" xfId="0" applyFont="1" applyFill="1" applyBorder="1" applyAlignment="1">
      <alignment horizontal="left" vertical="top" wrapText="1"/>
    </xf>
    <xf numFmtId="0" fontId="31" fillId="21" borderId="4" xfId="0" applyFont="1" applyFill="1" applyBorder="1" applyAlignment="1">
      <alignment horizontal="center" vertical="center" wrapText="1"/>
    </xf>
    <xf numFmtId="0" fontId="30" fillId="11" borderId="4" xfId="0" applyFont="1" applyFill="1" applyBorder="1" applyAlignment="1">
      <alignment horizontal="center" vertical="center" wrapText="1"/>
    </xf>
    <xf numFmtId="0" fontId="30" fillId="11" borderId="4" xfId="0" applyFont="1" applyFill="1" applyBorder="1" applyAlignment="1">
      <alignment horizontal="left" vertical="top" wrapText="1"/>
    </xf>
    <xf numFmtId="0" fontId="26" fillId="23" borderId="4" xfId="0" applyFont="1" applyFill="1" applyBorder="1" applyAlignment="1">
      <alignment horizontal="left" vertical="top" wrapText="1"/>
    </xf>
    <xf numFmtId="0" fontId="31" fillId="11" borderId="4" xfId="0" applyFont="1" applyFill="1" applyBorder="1" applyAlignment="1">
      <alignment horizontal="center" vertical="center" wrapText="1"/>
    </xf>
    <xf numFmtId="0" fontId="3" fillId="2" borderId="1" xfId="0" applyFont="1" applyFill="1" applyBorder="1" applyAlignment="1">
      <alignment horizontal="left" vertical="center"/>
    </xf>
    <xf numFmtId="0" fontId="0" fillId="0" borderId="2" xfId="0" applyBorder="1"/>
    <xf numFmtId="0" fontId="0" fillId="0" borderId="3" xfId="0" applyBorder="1"/>
    <xf numFmtId="0" fontId="11" fillId="12" borderId="4" xfId="0" applyFont="1" applyFill="1" applyBorder="1" applyAlignment="1">
      <alignment horizontal="left" vertical="center" wrapText="1"/>
    </xf>
    <xf numFmtId="0" fontId="0" fillId="0" borderId="6" xfId="0" applyBorder="1"/>
    <xf numFmtId="0" fontId="7" fillId="12" borderId="4" xfId="0" applyFont="1" applyFill="1" applyBorder="1" applyAlignment="1">
      <alignment horizontal="left" vertical="center" wrapText="1"/>
    </xf>
    <xf numFmtId="0" fontId="0" fillId="10" borderId="4" xfId="0" applyFill="1" applyBorder="1"/>
    <xf numFmtId="0" fontId="0" fillId="0" borderId="5" xfId="0" applyBorder="1"/>
    <xf numFmtId="0" fontId="10" fillId="12" borderId="4" xfId="0" applyFont="1" applyFill="1" applyBorder="1" applyAlignment="1">
      <alignment horizontal="left" vertical="center" wrapText="1"/>
    </xf>
    <xf numFmtId="0" fontId="10" fillId="11" borderId="4" xfId="0" applyFont="1" applyFill="1" applyBorder="1" applyAlignment="1">
      <alignment horizontal="left" vertical="center" wrapText="1"/>
    </xf>
    <xf numFmtId="0" fontId="14" fillId="14" borderId="4" xfId="0" applyFont="1" applyFill="1" applyBorder="1" applyAlignment="1">
      <alignment horizontal="left" vertical="center" wrapText="1"/>
    </xf>
    <xf numFmtId="0" fontId="9" fillId="13" borderId="4" xfId="0" applyFont="1" applyFill="1" applyBorder="1" applyAlignment="1">
      <alignment horizontal="left" vertical="center"/>
    </xf>
    <xf numFmtId="0" fontId="6" fillId="13" borderId="4" xfId="0" applyFont="1" applyFill="1" applyBorder="1" applyAlignment="1">
      <alignment horizontal="left" vertical="center" wrapText="1"/>
    </xf>
    <xf numFmtId="0" fontId="13" fillId="11" borderId="4" xfId="0" applyFont="1" applyFill="1" applyBorder="1" applyAlignment="1">
      <alignment horizontal="left" vertical="center" wrapText="1"/>
    </xf>
    <xf numFmtId="0" fontId="7" fillId="13" borderId="4" xfId="0" applyFont="1" applyFill="1" applyBorder="1" applyAlignment="1">
      <alignment horizontal="left" vertical="center"/>
    </xf>
    <xf numFmtId="0" fontId="24" fillId="9" borderId="4" xfId="0" applyFont="1" applyFill="1" applyBorder="1" applyAlignment="1">
      <alignment horizontal="left" vertical="center" wrapText="1"/>
    </xf>
    <xf numFmtId="0" fontId="20" fillId="15" borderId="4" xfId="0" applyFont="1" applyFill="1" applyBorder="1" applyAlignment="1">
      <alignment horizontal="left" vertical="center" wrapText="1"/>
    </xf>
    <xf numFmtId="0" fontId="4" fillId="12" borderId="4" xfId="0" applyFont="1" applyFill="1" applyBorder="1" applyAlignment="1">
      <alignment horizontal="left" vertical="center" wrapText="1"/>
    </xf>
    <xf numFmtId="0" fontId="8" fillId="12" borderId="4" xfId="0" applyFont="1" applyFill="1" applyBorder="1" applyAlignment="1">
      <alignment horizontal="left" vertical="center" wrapText="1"/>
    </xf>
    <xf numFmtId="0" fontId="10" fillId="15" borderId="4" xfId="0" applyFont="1" applyFill="1" applyBorder="1" applyAlignment="1">
      <alignment horizontal="left" vertical="center" wrapText="1"/>
    </xf>
    <xf numFmtId="0" fontId="8" fillId="15" borderId="4" xfId="0" applyFont="1" applyFill="1" applyBorder="1" applyAlignment="1">
      <alignment horizontal="left" vertical="center" wrapText="1"/>
    </xf>
    <xf numFmtId="0" fontId="7" fillId="11" borderId="4" xfId="0" applyFont="1" applyFill="1" applyBorder="1" applyAlignment="1">
      <alignment horizontal="left" vertical="center" wrapText="1"/>
    </xf>
    <xf numFmtId="0" fontId="8" fillId="11" borderId="4" xfId="0" applyFont="1" applyFill="1" applyBorder="1" applyAlignment="1">
      <alignment horizontal="left" vertical="center" wrapText="1"/>
    </xf>
    <xf numFmtId="0" fontId="8" fillId="14" borderId="4" xfId="0" applyFont="1" applyFill="1" applyBorder="1" applyAlignment="1">
      <alignment horizontal="left" vertical="center" wrapText="1"/>
    </xf>
    <xf numFmtId="0" fontId="11" fillId="11" borderId="4" xfId="0" applyFont="1" applyFill="1" applyBorder="1" applyAlignment="1">
      <alignment horizontal="left" vertical="center" wrapText="1"/>
    </xf>
    <xf numFmtId="0" fontId="4" fillId="9" borderId="4" xfId="0" applyFont="1" applyFill="1" applyBorder="1" applyAlignment="1">
      <alignment horizontal="left" vertical="center" wrapText="1"/>
    </xf>
    <xf numFmtId="0" fontId="1" fillId="2" borderId="1" xfId="0" applyFont="1" applyFill="1" applyBorder="1" applyAlignment="1">
      <alignment horizontal="left" vertical="center"/>
    </xf>
    <xf numFmtId="0" fontId="6" fillId="9" borderId="4" xfId="0" applyFont="1" applyFill="1" applyBorder="1" applyAlignment="1">
      <alignment horizontal="left" vertical="center" wrapText="1"/>
    </xf>
    <xf numFmtId="0" fontId="2" fillId="4" borderId="4"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11" borderId="4" xfId="0" applyFont="1" applyFill="1" applyBorder="1" applyAlignment="1">
      <alignment horizontal="left" vertical="center" wrapText="1"/>
    </xf>
    <xf numFmtId="0" fontId="1" fillId="2" borderId="4" xfId="0" applyFont="1" applyFill="1" applyBorder="1" applyAlignment="1">
      <alignment horizontal="left" vertical="center"/>
    </xf>
    <xf numFmtId="0" fontId="15" fillId="13" borderId="4" xfId="0" applyFont="1" applyFill="1" applyBorder="1" applyAlignment="1">
      <alignment horizontal="left" vertical="center" wrapText="1"/>
    </xf>
    <xf numFmtId="0" fontId="3" fillId="7" borderId="1" xfId="0" applyFont="1" applyFill="1" applyBorder="1" applyAlignment="1">
      <alignment horizontal="left" vertical="center"/>
    </xf>
    <xf numFmtId="0" fontId="10" fillId="13" borderId="4" xfId="0" applyFont="1" applyFill="1" applyBorder="1" applyAlignment="1">
      <alignment horizontal="left" vertical="center" wrapText="1"/>
    </xf>
    <xf numFmtId="0" fontId="1" fillId="3" borderId="1" xfId="0" applyFont="1" applyFill="1" applyBorder="1" applyAlignment="1">
      <alignment horizontal="left" vertical="center"/>
    </xf>
    <xf numFmtId="0" fontId="10" fillId="14" borderId="4" xfId="0" applyFont="1" applyFill="1" applyBorder="1" applyAlignment="1">
      <alignment horizontal="left" vertical="center" wrapText="1"/>
    </xf>
    <xf numFmtId="0" fontId="8" fillId="13" borderId="4" xfId="0" applyFont="1" applyFill="1" applyBorder="1" applyAlignment="1">
      <alignment horizontal="left" vertical="center" wrapText="1"/>
    </xf>
    <xf numFmtId="0" fontId="3" fillId="2" borderId="4" xfId="0" applyFont="1" applyFill="1" applyBorder="1" applyAlignment="1">
      <alignment horizontal="center" vertical="center"/>
    </xf>
    <xf numFmtId="0" fontId="23" fillId="13" borderId="4" xfId="0" applyFont="1" applyFill="1" applyBorder="1" applyAlignment="1">
      <alignment horizontal="left" vertical="center" wrapText="1"/>
    </xf>
    <xf numFmtId="0" fontId="26" fillId="11" borderId="4" xfId="0" applyFont="1" applyFill="1" applyBorder="1" applyAlignment="1">
      <alignment horizontal="left" vertical="top" wrapText="1"/>
    </xf>
    <xf numFmtId="0" fontId="4" fillId="9" borderId="4" xfId="0" applyFont="1" applyFill="1" applyBorder="1" applyAlignment="1">
      <alignment horizontal="left" vertical="top" wrapText="1"/>
    </xf>
    <xf numFmtId="0" fontId="7" fillId="12" borderId="4" xfId="0" applyFont="1" applyFill="1" applyBorder="1" applyAlignment="1">
      <alignment horizontal="left" vertical="top" wrapText="1"/>
    </xf>
    <xf numFmtId="0" fontId="26" fillId="17" borderId="4" xfId="0" applyFont="1" applyFill="1" applyBorder="1" applyAlignment="1">
      <alignment horizontal="left" vertical="top" wrapText="1"/>
    </xf>
    <xf numFmtId="0" fontId="3" fillId="16" borderId="1" xfId="0" applyFont="1" applyFill="1" applyBorder="1" applyAlignment="1">
      <alignment horizontal="left" vertical="center"/>
    </xf>
    <xf numFmtId="0" fontId="26" fillId="12" borderId="4" xfId="0" applyFont="1" applyFill="1" applyBorder="1" applyAlignment="1">
      <alignment horizontal="left" vertical="top" wrapText="1"/>
    </xf>
    <xf numFmtId="0" fontId="7" fillId="12" borderId="4" xfId="0" applyFont="1" applyFill="1" applyBorder="1" applyAlignment="1">
      <alignment horizontal="left" vertical="center"/>
    </xf>
    <xf numFmtId="0" fontId="17" fillId="2" borderId="1" xfId="0" applyFont="1" applyFill="1" applyBorder="1" applyAlignment="1">
      <alignment horizontal="left" vertical="center"/>
    </xf>
    <xf numFmtId="0" fontId="7" fillId="15" borderId="4" xfId="0" applyFont="1" applyFill="1" applyBorder="1" applyAlignment="1">
      <alignment horizontal="left" vertical="center"/>
    </xf>
    <xf numFmtId="0" fontId="7" fillId="11" borderId="4" xfId="0" applyFont="1" applyFill="1" applyBorder="1" applyAlignment="1">
      <alignment horizontal="left" vertical="top" wrapText="1"/>
    </xf>
    <xf numFmtId="0" fontId="7" fillId="11" borderId="4" xfId="0" applyFont="1" applyFill="1" applyBorder="1" applyAlignment="1">
      <alignment horizontal="left" vertical="center"/>
    </xf>
    <xf numFmtId="0" fontId="16" fillId="14" borderId="4" xfId="0" applyFont="1" applyFill="1" applyBorder="1" applyAlignment="1">
      <alignment horizontal="left" vertical="center" wrapText="1"/>
    </xf>
    <xf numFmtId="0" fontId="1" fillId="3" borderId="4" xfId="0" applyFont="1" applyFill="1" applyBorder="1" applyAlignment="1">
      <alignment horizontal="left" vertical="center" wrapText="1"/>
    </xf>
    <xf numFmtId="0" fontId="3" fillId="16" borderId="4" xfId="0" applyFont="1" applyFill="1" applyBorder="1" applyAlignment="1">
      <alignment horizontal="left" vertical="center"/>
    </xf>
    <xf numFmtId="0" fontId="3" fillId="2" borderId="4" xfId="0" applyFont="1" applyFill="1" applyBorder="1" applyAlignment="1">
      <alignment horizontal="left" vertical="center"/>
    </xf>
    <xf numFmtId="0" fontId="26" fillId="15" borderId="4" xfId="0" applyFont="1" applyFill="1" applyBorder="1" applyAlignment="1">
      <alignment horizontal="left" vertical="center" wrapText="1"/>
    </xf>
    <xf numFmtId="0" fontId="3" fillId="7" borderId="4" xfId="0" applyFont="1" applyFill="1" applyBorder="1" applyAlignment="1">
      <alignment horizontal="left" vertical="center"/>
    </xf>
    <xf numFmtId="0" fontId="28" fillId="4" borderId="4" xfId="0" applyFont="1" applyFill="1" applyBorder="1" applyAlignment="1">
      <alignment horizontal="left" vertical="center" wrapText="1"/>
    </xf>
    <xf numFmtId="0" fontId="1" fillId="20" borderId="1" xfId="0" applyFont="1" applyFill="1" applyBorder="1" applyAlignment="1">
      <alignment horizontal="left" vertical="center"/>
    </xf>
    <xf numFmtId="0" fontId="1" fillId="16" borderId="1" xfId="0" applyFont="1" applyFill="1" applyBorder="1" applyAlignment="1">
      <alignment horizontal="left" vertical="center"/>
    </xf>
  </cellXfs>
  <cellStyles count="1">
    <cellStyle name="Normal" xfId="0" builtinId="0"/>
  </cellStyles>
  <dxfs count="4">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17CB9AC-0E58-4333-9043-401A2716CFA7}">
  <we:reference id="WA200009404" version="1.0.0.8" store="Omex" storeType="OMEX"/>
  <we:alternateReferences>
    <we:reference id="WA200009404" version="1.0.0.8" store="WA200009404" storeType="OMEX"/>
  </we:alternateReferences>
  <we:properties>
    <we:property name="claude.fileId" value="&quot;9e8fcde5-6f0a-427c-8a1f-9ff6787c2b50&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9"/>
  <sheetViews>
    <sheetView tabSelected="1" workbookViewId="0">
      <selection sqref="A1:G1"/>
    </sheetView>
  </sheetViews>
  <sheetFormatPr defaultRowHeight="14.4" x14ac:dyDescent="0.55000000000000004"/>
  <cols>
    <col min="1" max="1" width="3" customWidth="1"/>
    <col min="2" max="2" width="30" customWidth="1"/>
    <col min="3" max="4" width="18" customWidth="1"/>
    <col min="5" max="6" width="14" customWidth="1"/>
    <col min="7" max="7" width="22" customWidth="1"/>
  </cols>
  <sheetData>
    <row r="1" spans="1:7" ht="44.05" customHeight="1" x14ac:dyDescent="0.55000000000000004">
      <c r="A1" s="85" t="s">
        <v>0</v>
      </c>
      <c r="B1" s="60"/>
      <c r="C1" s="60"/>
      <c r="D1" s="60"/>
      <c r="E1" s="60"/>
      <c r="F1" s="60"/>
      <c r="G1" s="61"/>
    </row>
    <row r="2" spans="1:7" ht="22" customHeight="1" x14ac:dyDescent="0.55000000000000004">
      <c r="A2" s="94" t="s">
        <v>1</v>
      </c>
      <c r="B2" s="60"/>
      <c r="C2" s="60"/>
      <c r="D2" s="60"/>
      <c r="E2" s="60"/>
      <c r="F2" s="60"/>
      <c r="G2" s="61"/>
    </row>
    <row r="3" spans="1:7" ht="42" customHeight="1" x14ac:dyDescent="0.55000000000000004">
      <c r="A3" s="87" t="s">
        <v>2</v>
      </c>
      <c r="B3" s="66"/>
      <c r="C3" s="66"/>
      <c r="D3" s="66"/>
      <c r="E3" s="66"/>
      <c r="F3" s="66"/>
      <c r="G3" s="63"/>
    </row>
    <row r="4" spans="1:7" ht="22" customHeight="1" x14ac:dyDescent="0.55000000000000004">
      <c r="A4" s="88" t="s">
        <v>3</v>
      </c>
      <c r="B4" s="66"/>
      <c r="C4" s="66"/>
      <c r="D4" s="66"/>
      <c r="E4" s="66"/>
      <c r="F4" s="66"/>
      <c r="G4" s="63"/>
    </row>
    <row r="5" spans="1:7" ht="5.05" customHeight="1" x14ac:dyDescent="0.55000000000000004">
      <c r="A5" s="1"/>
      <c r="B5" s="1"/>
      <c r="C5" s="1"/>
      <c r="D5" s="1"/>
      <c r="E5" s="1"/>
      <c r="F5" s="1"/>
      <c r="G5" s="1"/>
    </row>
    <row r="6" spans="1:7" ht="24" customHeight="1" x14ac:dyDescent="0.55000000000000004">
      <c r="A6" s="92" t="s">
        <v>4</v>
      </c>
      <c r="B6" s="60"/>
      <c r="C6" s="60"/>
      <c r="D6" s="60"/>
      <c r="E6" s="60"/>
      <c r="F6" s="60"/>
      <c r="G6" s="61"/>
    </row>
    <row r="7" spans="1:7" ht="18" customHeight="1" x14ac:dyDescent="0.55000000000000004">
      <c r="A7" s="2"/>
      <c r="B7" s="2" t="s">
        <v>5</v>
      </c>
      <c r="C7" s="2"/>
      <c r="D7" s="2"/>
      <c r="E7" s="2" t="s">
        <v>6</v>
      </c>
      <c r="F7" s="2"/>
      <c r="G7" s="2" t="s">
        <v>7</v>
      </c>
    </row>
    <row r="8" spans="1:7" ht="28" customHeight="1" x14ac:dyDescent="0.55000000000000004">
      <c r="A8" s="84" t="s">
        <v>8</v>
      </c>
      <c r="B8" s="66"/>
      <c r="C8" s="66"/>
      <c r="D8" s="63"/>
      <c r="E8" s="3" t="s">
        <v>9</v>
      </c>
      <c r="F8" s="86" t="s">
        <v>10</v>
      </c>
      <c r="G8" s="63"/>
    </row>
    <row r="9" spans="1:7" ht="28" customHeight="1" x14ac:dyDescent="0.55000000000000004">
      <c r="A9" s="84" t="s">
        <v>11</v>
      </c>
      <c r="B9" s="66"/>
      <c r="C9" s="66"/>
      <c r="D9" s="63"/>
      <c r="E9" s="3" t="s">
        <v>9</v>
      </c>
      <c r="F9" s="86" t="s">
        <v>12</v>
      </c>
      <c r="G9" s="63"/>
    </row>
    <row r="10" spans="1:7" ht="28" customHeight="1" x14ac:dyDescent="0.55000000000000004">
      <c r="A10" s="80" t="s">
        <v>13</v>
      </c>
      <c r="B10" s="66"/>
      <c r="C10" s="66"/>
      <c r="D10" s="63"/>
      <c r="E10" s="3" t="s">
        <v>9</v>
      </c>
      <c r="F10" s="81" t="s">
        <v>14</v>
      </c>
      <c r="G10" s="63"/>
    </row>
    <row r="11" spans="1:7" ht="28" customHeight="1" x14ac:dyDescent="0.55000000000000004">
      <c r="A11" s="64" t="s">
        <v>15</v>
      </c>
      <c r="B11" s="66"/>
      <c r="C11" s="66"/>
      <c r="D11" s="63"/>
      <c r="E11" s="3" t="s">
        <v>9</v>
      </c>
      <c r="F11" s="77" t="s">
        <v>16</v>
      </c>
      <c r="G11" s="63"/>
    </row>
    <row r="12" spans="1:7" ht="28" customHeight="1" x14ac:dyDescent="0.55000000000000004">
      <c r="A12" s="80" t="s">
        <v>17</v>
      </c>
      <c r="B12" s="66"/>
      <c r="C12" s="66"/>
      <c r="D12" s="63"/>
      <c r="E12" s="3" t="s">
        <v>9</v>
      </c>
      <c r="F12" s="81" t="s">
        <v>18</v>
      </c>
      <c r="G12" s="63"/>
    </row>
    <row r="13" spans="1:7" ht="28" customHeight="1" x14ac:dyDescent="0.55000000000000004">
      <c r="A13" s="64" t="s">
        <v>19</v>
      </c>
      <c r="B13" s="66"/>
      <c r="C13" s="66"/>
      <c r="D13" s="63"/>
      <c r="E13" s="3" t="s">
        <v>9</v>
      </c>
      <c r="F13" s="77" t="s">
        <v>20</v>
      </c>
      <c r="G13" s="63"/>
    </row>
    <row r="14" spans="1:7" ht="28" customHeight="1" x14ac:dyDescent="0.55000000000000004">
      <c r="A14" s="80" t="s">
        <v>21</v>
      </c>
      <c r="B14" s="66"/>
      <c r="C14" s="66"/>
      <c r="D14" s="63"/>
      <c r="E14" s="3" t="s">
        <v>9</v>
      </c>
      <c r="F14" s="81" t="s">
        <v>22</v>
      </c>
      <c r="G14" s="63"/>
    </row>
    <row r="15" spans="1:7" ht="24" customHeight="1" x14ac:dyDescent="0.55000000000000004">
      <c r="A15" s="73" t="s">
        <v>23</v>
      </c>
      <c r="B15" s="66"/>
      <c r="C15" s="66"/>
      <c r="D15" s="63"/>
      <c r="E15" s="4" t="str">
        <f>IF(AND(E8="EVET",E9="EVET",E10="EVET",E11="EVET"),"OK - Hesaplanabilir","HATA - Ön koşul eksik")</f>
        <v>OK - Hesaplanabilir</v>
      </c>
      <c r="F15" s="71" t="s">
        <v>24</v>
      </c>
      <c r="G15" s="63"/>
    </row>
    <row r="16" spans="1:7" ht="5.05" customHeight="1" x14ac:dyDescent="0.55000000000000004">
      <c r="A16" s="1"/>
      <c r="B16" s="1"/>
      <c r="C16" s="1"/>
      <c r="D16" s="1"/>
      <c r="E16" s="1"/>
      <c r="F16" s="1"/>
      <c r="G16" s="1"/>
    </row>
    <row r="17" spans="1:7" ht="22" customHeight="1" x14ac:dyDescent="0.55000000000000004">
      <c r="A17" s="59" t="s">
        <v>25</v>
      </c>
      <c r="B17" s="60"/>
      <c r="C17" s="60"/>
      <c r="D17" s="60"/>
      <c r="E17" s="60"/>
      <c r="F17" s="60"/>
      <c r="G17" s="61"/>
    </row>
    <row r="18" spans="1:7" ht="22" customHeight="1" x14ac:dyDescent="0.55000000000000004">
      <c r="A18" s="80" t="s">
        <v>26</v>
      </c>
      <c r="B18" s="63"/>
      <c r="C18" s="65"/>
      <c r="D18" s="66"/>
      <c r="E18" s="63"/>
      <c r="F18" s="68" t="s">
        <v>27</v>
      </c>
      <c r="G18" s="63"/>
    </row>
    <row r="19" spans="1:7" ht="22" customHeight="1" x14ac:dyDescent="0.55000000000000004">
      <c r="A19" s="64" t="s">
        <v>28</v>
      </c>
      <c r="B19" s="63"/>
      <c r="C19" s="65"/>
      <c r="D19" s="66"/>
      <c r="E19" s="63"/>
      <c r="F19" s="67" t="s">
        <v>29</v>
      </c>
      <c r="G19" s="63"/>
    </row>
    <row r="20" spans="1:7" ht="22" customHeight="1" x14ac:dyDescent="0.55000000000000004">
      <c r="A20" s="80" t="s">
        <v>30</v>
      </c>
      <c r="B20" s="63"/>
      <c r="C20" s="65"/>
      <c r="D20" s="66"/>
      <c r="E20" s="63"/>
      <c r="F20" s="68" t="s">
        <v>31</v>
      </c>
      <c r="G20" s="63"/>
    </row>
    <row r="21" spans="1:7" ht="22" customHeight="1" x14ac:dyDescent="0.55000000000000004">
      <c r="A21" s="64" t="s">
        <v>32</v>
      </c>
      <c r="B21" s="63"/>
      <c r="C21" s="65"/>
      <c r="D21" s="66"/>
      <c r="E21" s="63"/>
      <c r="F21" s="67" t="s">
        <v>33</v>
      </c>
      <c r="G21" s="63"/>
    </row>
    <row r="22" spans="1:7" ht="22" customHeight="1" x14ac:dyDescent="0.55000000000000004">
      <c r="A22" s="80" t="s">
        <v>34</v>
      </c>
      <c r="B22" s="63"/>
      <c r="C22" s="65"/>
      <c r="D22" s="66"/>
      <c r="E22" s="63"/>
      <c r="F22" s="68" t="s">
        <v>35</v>
      </c>
      <c r="G22" s="63"/>
    </row>
    <row r="23" spans="1:7" ht="22" customHeight="1" x14ac:dyDescent="0.55000000000000004">
      <c r="A23" s="64" t="s">
        <v>36</v>
      </c>
      <c r="B23" s="63"/>
      <c r="C23" s="65"/>
      <c r="D23" s="66"/>
      <c r="E23" s="63"/>
      <c r="F23" s="67" t="s">
        <v>37</v>
      </c>
      <c r="G23" s="63"/>
    </row>
    <row r="24" spans="1:7" ht="22" customHeight="1" x14ac:dyDescent="0.55000000000000004">
      <c r="A24" s="80" t="s">
        <v>38</v>
      </c>
      <c r="B24" s="63"/>
      <c r="C24" s="65"/>
      <c r="D24" s="66"/>
      <c r="E24" s="63"/>
      <c r="F24" s="68" t="s">
        <v>39</v>
      </c>
      <c r="G24" s="63"/>
    </row>
    <row r="26" spans="1:7" ht="5.05" customHeight="1" x14ac:dyDescent="0.55000000000000004">
      <c r="A26" s="1"/>
      <c r="B26" s="1"/>
      <c r="C26" s="1"/>
      <c r="D26" s="1"/>
      <c r="E26" s="1"/>
      <c r="F26" s="1"/>
      <c r="G26" s="1"/>
    </row>
    <row r="27" spans="1:7" ht="24" customHeight="1" x14ac:dyDescent="0.55000000000000004">
      <c r="A27" s="59" t="s">
        <v>40</v>
      </c>
      <c r="B27" s="60"/>
      <c r="C27" s="60"/>
      <c r="D27" s="60"/>
      <c r="E27" s="60"/>
      <c r="F27" s="60"/>
      <c r="G27" s="61"/>
    </row>
    <row r="28" spans="1:7" ht="18" customHeight="1" x14ac:dyDescent="0.55000000000000004">
      <c r="A28" s="2"/>
      <c r="B28" s="2" t="s">
        <v>41</v>
      </c>
      <c r="C28" s="2"/>
      <c r="D28" s="2" t="s">
        <v>42</v>
      </c>
      <c r="E28" s="2"/>
      <c r="F28" s="2" t="s">
        <v>43</v>
      </c>
      <c r="G28" s="2" t="s">
        <v>44</v>
      </c>
    </row>
    <row r="29" spans="1:7" ht="26.05" customHeight="1" x14ac:dyDescent="0.55000000000000004">
      <c r="A29" s="64" t="s">
        <v>45</v>
      </c>
      <c r="B29" s="63"/>
      <c r="C29" s="3" t="s">
        <v>46</v>
      </c>
      <c r="D29" s="67" t="s">
        <v>47</v>
      </c>
      <c r="E29" s="63"/>
      <c r="F29" s="62" t="s">
        <v>48</v>
      </c>
      <c r="G29" s="63"/>
    </row>
    <row r="30" spans="1:7" ht="26.05" customHeight="1" x14ac:dyDescent="0.55000000000000004">
      <c r="A30" s="80" t="s">
        <v>49</v>
      </c>
      <c r="B30" s="63"/>
      <c r="C30" s="3" t="s">
        <v>35</v>
      </c>
      <c r="D30" s="68" t="s">
        <v>50</v>
      </c>
      <c r="E30" s="63"/>
      <c r="F30" s="83" t="s">
        <v>51</v>
      </c>
      <c r="G30" s="63"/>
    </row>
    <row r="31" spans="1:7" ht="26.05" customHeight="1" x14ac:dyDescent="0.55000000000000004">
      <c r="A31" s="64" t="s">
        <v>52</v>
      </c>
      <c r="B31" s="63"/>
      <c r="C31" s="3" t="s">
        <v>53</v>
      </c>
      <c r="D31" s="67" t="s">
        <v>54</v>
      </c>
      <c r="E31" s="63"/>
      <c r="F31" s="62" t="s">
        <v>55</v>
      </c>
      <c r="G31" s="63"/>
    </row>
    <row r="32" spans="1:7" ht="26.05" customHeight="1" x14ac:dyDescent="0.55000000000000004">
      <c r="A32" s="80" t="s">
        <v>56</v>
      </c>
      <c r="B32" s="63"/>
      <c r="C32" s="5"/>
      <c r="D32" s="68" t="s">
        <v>57</v>
      </c>
      <c r="E32" s="63"/>
      <c r="F32" s="83" t="s">
        <v>58</v>
      </c>
      <c r="G32" s="63"/>
    </row>
    <row r="33" spans="1:7" ht="26.05" customHeight="1" x14ac:dyDescent="0.55000000000000004">
      <c r="A33" s="76" t="s">
        <v>59</v>
      </c>
      <c r="B33" s="63"/>
      <c r="C33" s="5"/>
      <c r="D33" s="67" t="s">
        <v>60</v>
      </c>
      <c r="E33" s="63"/>
      <c r="F33" s="62" t="s">
        <v>61</v>
      </c>
      <c r="G33" s="63"/>
    </row>
    <row r="34" spans="1:7" ht="26.05" customHeight="1" x14ac:dyDescent="0.55000000000000004">
      <c r="A34" s="80" t="s">
        <v>62</v>
      </c>
      <c r="B34" s="63"/>
      <c r="C34" s="5"/>
      <c r="D34" s="68" t="s">
        <v>63</v>
      </c>
      <c r="E34" s="63"/>
      <c r="F34" s="83" t="s">
        <v>64</v>
      </c>
      <c r="G34" s="63"/>
    </row>
    <row r="35" spans="1:7" ht="26.05" customHeight="1" x14ac:dyDescent="0.55000000000000004">
      <c r="A35" s="76" t="s">
        <v>65</v>
      </c>
      <c r="B35" s="63"/>
      <c r="C35" s="6">
        <f>C33+C34</f>
        <v>0</v>
      </c>
      <c r="D35" s="67" t="s">
        <v>66</v>
      </c>
      <c r="E35" s="63"/>
      <c r="F35" s="62" t="s">
        <v>67</v>
      </c>
      <c r="G35" s="63"/>
    </row>
    <row r="36" spans="1:7" ht="26.05" customHeight="1" x14ac:dyDescent="0.55000000000000004">
      <c r="A36" s="89" t="s">
        <v>68</v>
      </c>
      <c r="B36" s="63"/>
      <c r="C36" s="5"/>
      <c r="D36" s="68" t="s">
        <v>69</v>
      </c>
      <c r="E36" s="63"/>
      <c r="F36" s="83" t="s">
        <v>70</v>
      </c>
      <c r="G36" s="63"/>
    </row>
    <row r="37" spans="1:7" ht="5.05" customHeight="1" x14ac:dyDescent="0.55000000000000004">
      <c r="A37" s="1"/>
      <c r="B37" s="1"/>
      <c r="C37" s="1"/>
      <c r="D37" s="1"/>
      <c r="E37" s="1"/>
      <c r="F37" s="1"/>
      <c r="G37" s="1"/>
    </row>
    <row r="38" spans="1:7" ht="24" customHeight="1" x14ac:dyDescent="0.55000000000000004">
      <c r="A38" s="59" t="s">
        <v>71</v>
      </c>
      <c r="B38" s="60"/>
      <c r="C38" s="60"/>
      <c r="D38" s="60"/>
      <c r="E38" s="60"/>
      <c r="F38" s="60"/>
      <c r="G38" s="61"/>
    </row>
    <row r="39" spans="1:7" ht="22" customHeight="1" x14ac:dyDescent="0.55000000000000004">
      <c r="A39" s="72" t="s">
        <v>72</v>
      </c>
      <c r="B39" s="66"/>
      <c r="C39" s="66"/>
      <c r="D39" s="66"/>
      <c r="E39" s="66"/>
      <c r="F39" s="66"/>
      <c r="G39" s="63"/>
    </row>
    <row r="40" spans="1:7" ht="18" customHeight="1" x14ac:dyDescent="0.55000000000000004">
      <c r="A40" s="7" t="s">
        <v>73</v>
      </c>
      <c r="B40" s="7" t="s">
        <v>74</v>
      </c>
      <c r="C40" s="7" t="s">
        <v>75</v>
      </c>
      <c r="D40" s="7" t="s">
        <v>76</v>
      </c>
      <c r="E40" s="7" t="s">
        <v>77</v>
      </c>
      <c r="F40" s="7" t="s">
        <v>78</v>
      </c>
      <c r="G40" s="7" t="s">
        <v>79</v>
      </c>
    </row>
    <row r="41" spans="1:7" ht="26.05" customHeight="1" x14ac:dyDescent="0.55000000000000004">
      <c r="A41" s="8"/>
      <c r="B41" s="9"/>
      <c r="C41" s="10"/>
      <c r="D41" s="10"/>
      <c r="E41" s="11">
        <f t="shared" ref="E41:E46" si="0">IF(OR(C41&gt;0,D41&gt;0),C41+D41,0)</f>
        <v>0</v>
      </c>
      <c r="F41" s="12">
        <f t="shared" ref="F41:F46" si="1">E41</f>
        <v>0</v>
      </c>
      <c r="G41" s="13"/>
    </row>
    <row r="42" spans="1:7" ht="26.05" customHeight="1" x14ac:dyDescent="0.55000000000000004">
      <c r="A42" s="8"/>
      <c r="B42" s="9"/>
      <c r="C42" s="10"/>
      <c r="D42" s="10"/>
      <c r="E42" s="14">
        <f t="shared" si="0"/>
        <v>0</v>
      </c>
      <c r="F42" s="12">
        <f t="shared" si="1"/>
        <v>0</v>
      </c>
      <c r="G42" s="13"/>
    </row>
    <row r="43" spans="1:7" ht="26.05" customHeight="1" x14ac:dyDescent="0.55000000000000004">
      <c r="A43" s="8"/>
      <c r="B43" s="9"/>
      <c r="C43" s="10"/>
      <c r="D43" s="10"/>
      <c r="E43" s="11">
        <f t="shared" si="0"/>
        <v>0</v>
      </c>
      <c r="F43" s="12">
        <f t="shared" si="1"/>
        <v>0</v>
      </c>
      <c r="G43" s="13"/>
    </row>
    <row r="44" spans="1:7" ht="26.05" customHeight="1" x14ac:dyDescent="0.55000000000000004">
      <c r="A44" s="8"/>
      <c r="B44" s="9"/>
      <c r="C44" s="10"/>
      <c r="D44" s="10"/>
      <c r="E44" s="14">
        <f t="shared" si="0"/>
        <v>0</v>
      </c>
      <c r="F44" s="12">
        <f t="shared" si="1"/>
        <v>0</v>
      </c>
      <c r="G44" s="13"/>
    </row>
    <row r="45" spans="1:7" ht="26.05" customHeight="1" x14ac:dyDescent="0.55000000000000004">
      <c r="A45" s="8"/>
      <c r="B45" s="9"/>
      <c r="C45" s="10"/>
      <c r="D45" s="10"/>
      <c r="E45" s="11">
        <f t="shared" si="0"/>
        <v>0</v>
      </c>
      <c r="F45" s="12">
        <f t="shared" si="1"/>
        <v>0</v>
      </c>
      <c r="G45" s="13"/>
    </row>
    <row r="46" spans="1:7" ht="26.05" customHeight="1" x14ac:dyDescent="0.55000000000000004">
      <c r="A46" s="8"/>
      <c r="B46" s="9"/>
      <c r="C46" s="10"/>
      <c r="D46" s="10"/>
      <c r="E46" s="14">
        <f t="shared" si="0"/>
        <v>0</v>
      </c>
      <c r="F46" s="12">
        <f t="shared" si="1"/>
        <v>0</v>
      </c>
      <c r="G46" s="13"/>
    </row>
    <row r="47" spans="1:7" ht="30" customHeight="1" x14ac:dyDescent="0.55000000000000004">
      <c r="A47" s="97" t="s">
        <v>80</v>
      </c>
      <c r="B47" s="63"/>
      <c r="C47" s="15">
        <f>SUM(C41:C46)</f>
        <v>0</v>
      </c>
      <c r="D47" s="15">
        <f>SUM(D41:D46)</f>
        <v>0</v>
      </c>
      <c r="E47" s="16">
        <f>SUM(E41:E46)</f>
        <v>0</v>
      </c>
      <c r="F47" s="17">
        <f>SUM(F41:F46)</f>
        <v>0</v>
      </c>
      <c r="G47" s="90" t="s">
        <v>81</v>
      </c>
    </row>
    <row r="48" spans="1:7" ht="5.05" customHeight="1" x14ac:dyDescent="0.55000000000000004">
      <c r="A48" s="1"/>
      <c r="B48" s="1"/>
      <c r="C48" s="1"/>
      <c r="D48" s="1"/>
      <c r="E48" s="1"/>
      <c r="F48" s="1"/>
      <c r="G48" s="1"/>
    </row>
    <row r="49" spans="1:7" ht="24" customHeight="1" x14ac:dyDescent="0.55000000000000004">
      <c r="A49" s="59" t="s">
        <v>82</v>
      </c>
      <c r="B49" s="60"/>
      <c r="C49" s="60"/>
      <c r="D49" s="60"/>
      <c r="E49" s="60"/>
      <c r="F49" s="60"/>
      <c r="G49" s="61"/>
    </row>
    <row r="50" spans="1:7" ht="18" customHeight="1" x14ac:dyDescent="0.55000000000000004">
      <c r="A50" s="2"/>
      <c r="B50" s="2" t="s">
        <v>83</v>
      </c>
      <c r="C50" s="2"/>
      <c r="D50" s="2" t="s">
        <v>84</v>
      </c>
      <c r="E50" s="2"/>
      <c r="F50" s="2" t="s">
        <v>43</v>
      </c>
      <c r="G50" s="2" t="s">
        <v>85</v>
      </c>
    </row>
    <row r="51" spans="1:7" ht="28" customHeight="1" x14ac:dyDescent="0.55000000000000004">
      <c r="A51" s="64" t="s">
        <v>86</v>
      </c>
      <c r="B51" s="63"/>
      <c r="C51" s="18">
        <f>C47</f>
        <v>0</v>
      </c>
      <c r="D51" s="67" t="s">
        <v>87</v>
      </c>
      <c r="E51" s="63"/>
      <c r="F51" s="77"/>
      <c r="G51" s="63"/>
    </row>
    <row r="52" spans="1:7" ht="28" customHeight="1" x14ac:dyDescent="0.55000000000000004">
      <c r="A52" s="80" t="s">
        <v>88</v>
      </c>
      <c r="B52" s="63"/>
      <c r="C52" s="18">
        <f>D47</f>
        <v>0</v>
      </c>
      <c r="D52" s="68" t="s">
        <v>89</v>
      </c>
      <c r="E52" s="63"/>
      <c r="F52" s="81"/>
      <c r="G52" s="63"/>
    </row>
    <row r="53" spans="1:7" ht="28" customHeight="1" x14ac:dyDescent="0.55000000000000004">
      <c r="A53" s="64" t="s">
        <v>90</v>
      </c>
      <c r="B53" s="63"/>
      <c r="C53" s="18">
        <f>E47</f>
        <v>0</v>
      </c>
      <c r="D53" s="67" t="s">
        <v>91</v>
      </c>
      <c r="E53" s="63"/>
      <c r="F53" s="77"/>
      <c r="G53" s="63"/>
    </row>
    <row r="54" spans="1:7" ht="28" customHeight="1" x14ac:dyDescent="0.55000000000000004">
      <c r="A54" s="69" t="s">
        <v>92</v>
      </c>
      <c r="B54" s="63"/>
      <c r="C54" s="19" t="s">
        <v>93</v>
      </c>
      <c r="D54" s="95" t="s">
        <v>94</v>
      </c>
      <c r="E54" s="63"/>
      <c r="F54" s="82" t="s">
        <v>95</v>
      </c>
      <c r="G54" s="63"/>
    </row>
    <row r="55" spans="1:7" ht="28" customHeight="1" x14ac:dyDescent="0.55000000000000004">
      <c r="A55" s="91" t="s">
        <v>96</v>
      </c>
      <c r="B55" s="63"/>
      <c r="C55" s="20">
        <f>F47</f>
        <v>0</v>
      </c>
      <c r="D55" s="93" t="s">
        <v>97</v>
      </c>
      <c r="E55" s="63"/>
      <c r="F55" s="96" t="s">
        <v>95</v>
      </c>
      <c r="G55" s="63"/>
    </row>
    <row r="56" spans="1:7" ht="28" customHeight="1" x14ac:dyDescent="0.55000000000000004">
      <c r="A56" s="75" t="s">
        <v>98</v>
      </c>
      <c r="B56" s="63"/>
      <c r="C56" s="21" t="s">
        <v>99</v>
      </c>
      <c r="D56" s="78" t="s">
        <v>100</v>
      </c>
      <c r="E56" s="63"/>
      <c r="F56" s="79" t="s">
        <v>101</v>
      </c>
      <c r="G56" s="63"/>
    </row>
    <row r="57" spans="1:7" ht="5.05" customHeight="1" x14ac:dyDescent="0.55000000000000004">
      <c r="A57" s="1"/>
      <c r="B57" s="1"/>
      <c r="C57" s="1"/>
      <c r="D57" s="1"/>
      <c r="E57" s="1"/>
      <c r="F57" s="1"/>
      <c r="G57" s="1"/>
    </row>
    <row r="58" spans="1:7" ht="32.049999999999997" customHeight="1" x14ac:dyDescent="0.55000000000000004">
      <c r="A58" s="70" t="s">
        <v>102</v>
      </c>
      <c r="B58" s="66"/>
      <c r="C58" s="66"/>
      <c r="D58" s="63"/>
      <c r="E58" s="22">
        <f>C55</f>
        <v>0</v>
      </c>
      <c r="F58" s="98" t="s">
        <v>103</v>
      </c>
      <c r="G58" s="63"/>
    </row>
    <row r="59" spans="1:7" ht="28" customHeight="1" x14ac:dyDescent="0.55000000000000004">
      <c r="A59" s="74" t="s">
        <v>104</v>
      </c>
      <c r="B59" s="66"/>
      <c r="C59" s="66"/>
      <c r="D59" s="66"/>
      <c r="E59" s="66"/>
      <c r="F59" s="66"/>
      <c r="G59" s="63"/>
    </row>
  </sheetData>
  <mergeCells count="94">
    <mergeCell ref="A2:G2"/>
    <mergeCell ref="F14:G14"/>
    <mergeCell ref="D54:E54"/>
    <mergeCell ref="A14:D14"/>
    <mergeCell ref="F11:G11"/>
    <mergeCell ref="A24:B24"/>
    <mergeCell ref="F12:G12"/>
    <mergeCell ref="F24:G24"/>
    <mergeCell ref="F51:G51"/>
    <mergeCell ref="D32:E32"/>
    <mergeCell ref="F32:G32"/>
    <mergeCell ref="A18:B18"/>
    <mergeCell ref="F35:G35"/>
    <mergeCell ref="C19:E19"/>
    <mergeCell ref="A47:B47"/>
    <mergeCell ref="F52:G52"/>
    <mergeCell ref="F8:G8"/>
    <mergeCell ref="A21:B21"/>
    <mergeCell ref="A6:G6"/>
    <mergeCell ref="A32:B32"/>
    <mergeCell ref="F22:G22"/>
    <mergeCell ref="A23:B23"/>
    <mergeCell ref="D30:E30"/>
    <mergeCell ref="A12:D12"/>
    <mergeCell ref="A20:B20"/>
    <mergeCell ref="A29:B29"/>
    <mergeCell ref="A27:G27"/>
    <mergeCell ref="A31:B31"/>
    <mergeCell ref="A1:G1"/>
    <mergeCell ref="F31:G31"/>
    <mergeCell ref="F9:G9"/>
    <mergeCell ref="C24:E24"/>
    <mergeCell ref="A52:B52"/>
    <mergeCell ref="A3:G3"/>
    <mergeCell ref="D29:E29"/>
    <mergeCell ref="A34:B34"/>
    <mergeCell ref="A8:D8"/>
    <mergeCell ref="A4:G4"/>
    <mergeCell ref="A36:B36"/>
    <mergeCell ref="A38:G38"/>
    <mergeCell ref="G47"/>
    <mergeCell ref="A10:D10"/>
    <mergeCell ref="F21:G21"/>
    <mergeCell ref="D52:E52"/>
    <mergeCell ref="A9:D9"/>
    <mergeCell ref="F30:G30"/>
    <mergeCell ref="F20:G20"/>
    <mergeCell ref="F18:G18"/>
    <mergeCell ref="F33:G33"/>
    <mergeCell ref="A11:D11"/>
    <mergeCell ref="F10:G10"/>
    <mergeCell ref="F54:G54"/>
    <mergeCell ref="D34:E34"/>
    <mergeCell ref="F19:G19"/>
    <mergeCell ref="C22:E22"/>
    <mergeCell ref="F34:G34"/>
    <mergeCell ref="A49:G49"/>
    <mergeCell ref="D53:E53"/>
    <mergeCell ref="F36:G36"/>
    <mergeCell ref="F53:G53"/>
    <mergeCell ref="A59:G59"/>
    <mergeCell ref="A56:B56"/>
    <mergeCell ref="A33:B33"/>
    <mergeCell ref="F23:G23"/>
    <mergeCell ref="C18:E18"/>
    <mergeCell ref="D56:E56"/>
    <mergeCell ref="F56:G56"/>
    <mergeCell ref="A22:B22"/>
    <mergeCell ref="A53:B53"/>
    <mergeCell ref="A35:B35"/>
    <mergeCell ref="D33:E33"/>
    <mergeCell ref="A19:B19"/>
    <mergeCell ref="D51:E51"/>
    <mergeCell ref="C20:E20"/>
    <mergeCell ref="D35:E35"/>
    <mergeCell ref="A30:B30"/>
    <mergeCell ref="A13:D13"/>
    <mergeCell ref="A54:B54"/>
    <mergeCell ref="A58:D58"/>
    <mergeCell ref="F15:G15"/>
    <mergeCell ref="C23:E23"/>
    <mergeCell ref="A39:G39"/>
    <mergeCell ref="A15:D15"/>
    <mergeCell ref="F13:G13"/>
    <mergeCell ref="A55:B55"/>
    <mergeCell ref="D55:E55"/>
    <mergeCell ref="F55:G55"/>
    <mergeCell ref="F58:G58"/>
    <mergeCell ref="A17:G17"/>
    <mergeCell ref="F29:G29"/>
    <mergeCell ref="A51:B51"/>
    <mergeCell ref="C21:E21"/>
    <mergeCell ref="D31:E31"/>
    <mergeCell ref="D36:E36"/>
  </mergeCells>
  <conditionalFormatting sqref="E15">
    <cfRule type="containsText" dxfId="3" priority="1" operator="containsText" text="OK">
      <formula>NOT(ISERROR(SEARCH("OK",E15)))</formula>
    </cfRule>
    <cfRule type="containsText" dxfId="2" priority="2" operator="containsText" text="HATA">
      <formula>NOT(ISERROR(SEARCH("HATA",E15)))</formula>
    </cfRule>
  </conditionalFormatting>
  <dataValidations count="10">
    <dataValidation type="list" sqref="E8" xr:uid="{00000000-0002-0000-0000-000000000000}">
      <formula1>"EVET,HAYIR-Kapsam Dışı Kurum"</formula1>
    </dataValidation>
    <dataValidation type="list" sqref="E9" xr:uid="{00000000-0002-0000-0000-000001000000}">
      <formula1>"EVET,HAYIR-Taahhüt Aşamasında"</formula1>
    </dataValidation>
    <dataValidation type="list" sqref="E10" xr:uid="{00000000-0002-0000-0000-000002000000}">
      <formula1>"EVET,HAYIR-Belge Eksik"</formula1>
    </dataValidation>
    <dataValidation type="list" sqref="E11" xr:uid="{00000000-0002-0000-0000-000003000000}">
      <formula1>"EVET,HAYIR-Amaç Dışı"</formula1>
    </dataValidation>
    <dataValidation type="list" sqref="E12" xr:uid="{00000000-0002-0000-0000-000004000000}">
      <formula1>"EVET,HAYIR-Değerleme Eksik,Uygulanmaz-Yalnızca Nakdi"</formula1>
    </dataValidation>
    <dataValidation type="list" sqref="E13" xr:uid="{00000000-0002-0000-0000-000005000000}">
      <formula1>"EVET,HAYIR-Eksik"</formula1>
    </dataValidation>
    <dataValidation type="list" sqref="E14" xr:uid="{00000000-0002-0000-0000-000006000000}">
      <formula1>"EVET,Tam Tasdik"</formula1>
    </dataValidation>
    <dataValidation type="list" sqref="C29" xr:uid="{00000000-0002-0000-0000-000007000000}">
      <formula1>"Nakdi (Banka Transferi/EFT/Havale),Ayni (Malzeme/Ekipman/Kültürel/Etkinlik Desteği),Karma (Nakdi + Ayni)"</formula1>
    </dataValidation>
    <dataValidation type="list" sqref="C30" xr:uid="{00000000-0002-0000-0000-000008000000}">
      <formula1>"Antalya Diplomasi Forumu Vakfı (ADF Vakfı),ADF Vakfı Bünyesindeki Program/Fon,Diğer 7430 s.K. Kapsamı"</formula1>
    </dataValidation>
    <dataValidation type="list" sqref="C31" xr:uid="{00000000-0002-0000-0000-000009000000}">
      <formula1>"Diplomasi ve Diyalog Faaliyetleri,Uluslararası Forum ve Konferans Desteği,Küresel Barış ve İşbirliği Programları,Diplomatik Eğitim ve Kapasite Geliştirme,Vakıf Genel Faaliyet Desteği,Diğer 7430 s.K. Kapsamı Faaliyet"</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workbookViewId="0"/>
  </sheetViews>
  <sheetFormatPr defaultRowHeight="14.4" x14ac:dyDescent="0.55000000000000004"/>
  <cols>
    <col min="1" max="1" width="4" customWidth="1"/>
    <col min="2" max="2" width="42" customWidth="1"/>
    <col min="3" max="4" width="15" customWidth="1"/>
    <col min="5" max="5" width="14" customWidth="1"/>
    <col min="6" max="6" width="12" customWidth="1"/>
    <col min="7" max="7" width="18" customWidth="1"/>
  </cols>
  <sheetData>
    <row r="1" spans="1:7" ht="36" customHeight="1" x14ac:dyDescent="0.55000000000000004">
      <c r="A1" s="106" t="s">
        <v>105</v>
      </c>
      <c r="B1" s="60"/>
      <c r="C1" s="60"/>
      <c r="D1" s="60"/>
      <c r="E1" s="60"/>
      <c r="F1" s="60"/>
      <c r="G1" s="61"/>
    </row>
    <row r="2" spans="1:7" ht="20.05" customHeight="1" x14ac:dyDescent="0.55000000000000004">
      <c r="A2" s="111" t="s">
        <v>106</v>
      </c>
      <c r="B2" s="66"/>
      <c r="C2" s="66"/>
      <c r="D2" s="66"/>
      <c r="E2" s="66"/>
      <c r="F2" s="66"/>
      <c r="G2" s="63"/>
    </row>
    <row r="3" spans="1:7" ht="5.05" customHeight="1" x14ac:dyDescent="0.55000000000000004">
      <c r="A3" s="1"/>
      <c r="B3" s="1"/>
      <c r="C3" s="1"/>
      <c r="D3" s="1"/>
      <c r="E3" s="1"/>
      <c r="F3" s="1"/>
      <c r="G3" s="1"/>
    </row>
    <row r="4" spans="1:7" ht="22" customHeight="1" x14ac:dyDescent="0.55000000000000004">
      <c r="A4" s="103" t="s">
        <v>107</v>
      </c>
      <c r="B4" s="60"/>
      <c r="C4" s="60"/>
      <c r="D4" s="60"/>
      <c r="E4" s="60"/>
      <c r="F4" s="60"/>
      <c r="G4" s="61"/>
    </row>
    <row r="5" spans="1:7" ht="22" customHeight="1" x14ac:dyDescent="0.55000000000000004">
      <c r="A5" s="105" t="s">
        <v>108</v>
      </c>
      <c r="B5" s="66"/>
      <c r="C5" s="63"/>
      <c r="D5" s="23" t="str">
        <f>'VERİ GİRİŞİ'!E15</f>
        <v>OK - Hesaplanabilir</v>
      </c>
      <c r="E5" s="77" t="s">
        <v>109</v>
      </c>
      <c r="F5" s="66"/>
      <c r="G5" s="63"/>
    </row>
    <row r="6" spans="1:7" ht="22" customHeight="1" x14ac:dyDescent="0.55000000000000004">
      <c r="A6" s="109" t="s">
        <v>110</v>
      </c>
      <c r="B6" s="66"/>
      <c r="C6" s="63"/>
      <c r="D6" s="23" t="str">
        <f>'VERİ GİRİŞİ'!C30</f>
        <v>Antalya Diplomasi Forumu Vakfı (ADF Vakfı)</v>
      </c>
      <c r="E6" s="81" t="s">
        <v>111</v>
      </c>
      <c r="F6" s="66"/>
      <c r="G6" s="63"/>
    </row>
    <row r="7" spans="1:7" ht="22" customHeight="1" x14ac:dyDescent="0.55000000000000004">
      <c r="A7" s="105" t="s">
        <v>112</v>
      </c>
      <c r="B7" s="66"/>
      <c r="C7" s="63"/>
      <c r="D7" s="23">
        <f>'VERİ GİRİŞİ'!C53</f>
        <v>0</v>
      </c>
      <c r="E7" s="77" t="s">
        <v>113</v>
      </c>
      <c r="F7" s="66"/>
      <c r="G7" s="63"/>
    </row>
    <row r="8" spans="1:7" ht="22" customHeight="1" x14ac:dyDescent="0.55000000000000004">
      <c r="A8" s="73" t="s">
        <v>114</v>
      </c>
      <c r="B8" s="66"/>
      <c r="C8" s="63"/>
      <c r="D8" s="24">
        <f>'VERİ GİRİŞİ'!C55</f>
        <v>0</v>
      </c>
      <c r="E8" s="96"/>
      <c r="F8" s="66"/>
      <c r="G8" s="63"/>
    </row>
    <row r="9" spans="1:7" ht="22" customHeight="1" x14ac:dyDescent="0.55000000000000004">
      <c r="A9" s="107" t="s">
        <v>115</v>
      </c>
      <c r="B9" s="66"/>
      <c r="C9" s="63"/>
      <c r="D9" s="21" t="s">
        <v>116</v>
      </c>
      <c r="E9" s="79" t="s">
        <v>117</v>
      </c>
      <c r="F9" s="66"/>
      <c r="G9" s="63"/>
    </row>
    <row r="10" spans="1:7" ht="5.05" customHeight="1" x14ac:dyDescent="0.55000000000000004">
      <c r="A10" s="1"/>
      <c r="B10" s="1"/>
      <c r="C10" s="1"/>
      <c r="D10" s="1"/>
      <c r="E10" s="1"/>
      <c r="F10" s="1"/>
      <c r="G10" s="1"/>
    </row>
    <row r="11" spans="1:7" ht="22" customHeight="1" x14ac:dyDescent="0.55000000000000004">
      <c r="A11" s="59" t="s">
        <v>118</v>
      </c>
      <c r="B11" s="60"/>
      <c r="C11" s="60"/>
      <c r="D11" s="60"/>
      <c r="E11" s="60"/>
      <c r="F11" s="60"/>
      <c r="G11" s="61"/>
    </row>
    <row r="12" spans="1:7" ht="72" customHeight="1" x14ac:dyDescent="0.55000000000000004">
      <c r="A12" s="110" t="s">
        <v>119</v>
      </c>
      <c r="B12" s="66"/>
      <c r="C12" s="66"/>
      <c r="D12" s="66"/>
      <c r="E12" s="66"/>
      <c r="F12" s="66"/>
      <c r="G12" s="63"/>
    </row>
    <row r="13" spans="1:7" ht="5.05" customHeight="1" x14ac:dyDescent="0.55000000000000004">
      <c r="A13" s="1"/>
      <c r="B13" s="1"/>
      <c r="C13" s="1"/>
      <c r="D13" s="1"/>
      <c r="E13" s="1"/>
      <c r="F13" s="1"/>
      <c r="G13" s="1"/>
    </row>
    <row r="14" spans="1:7" ht="22" customHeight="1" x14ac:dyDescent="0.55000000000000004">
      <c r="A14" s="59" t="s">
        <v>120</v>
      </c>
      <c r="B14" s="60"/>
      <c r="C14" s="60"/>
      <c r="D14" s="60"/>
      <c r="E14" s="60"/>
      <c r="F14" s="60"/>
      <c r="G14" s="61"/>
    </row>
    <row r="15" spans="1:7" ht="18" customHeight="1" x14ac:dyDescent="0.55000000000000004">
      <c r="A15" s="2"/>
      <c r="B15" s="2" t="s">
        <v>121</v>
      </c>
      <c r="C15" s="2"/>
      <c r="D15" s="2" t="s">
        <v>43</v>
      </c>
      <c r="E15" s="2"/>
      <c r="F15" s="2" t="s">
        <v>122</v>
      </c>
      <c r="G15" s="2"/>
    </row>
    <row r="16" spans="1:7" ht="20.05" customHeight="1" x14ac:dyDescent="0.55000000000000004">
      <c r="A16" s="25" t="s">
        <v>123</v>
      </c>
      <c r="B16" s="100" t="s">
        <v>124</v>
      </c>
      <c r="C16" s="63"/>
      <c r="D16" s="102" t="s">
        <v>125</v>
      </c>
      <c r="E16" s="63"/>
      <c r="F16" s="13" t="s">
        <v>126</v>
      </c>
      <c r="G16" s="28"/>
    </row>
    <row r="17" spans="1:7" ht="20.05" customHeight="1" x14ac:dyDescent="0.55000000000000004">
      <c r="A17" s="25" t="s">
        <v>127</v>
      </c>
      <c r="B17" s="100" t="s">
        <v>128</v>
      </c>
      <c r="C17" s="63"/>
      <c r="D17" s="102" t="s">
        <v>129</v>
      </c>
      <c r="E17" s="63"/>
      <c r="F17" s="13" t="s">
        <v>126</v>
      </c>
      <c r="G17" s="29"/>
    </row>
    <row r="18" spans="1:7" ht="20.05" customHeight="1" x14ac:dyDescent="0.55000000000000004">
      <c r="A18" s="25" t="s">
        <v>130</v>
      </c>
      <c r="B18" s="100" t="s">
        <v>131</v>
      </c>
      <c r="C18" s="63"/>
      <c r="D18" s="102" t="s">
        <v>132</v>
      </c>
      <c r="E18" s="63"/>
      <c r="F18" s="13" t="s">
        <v>126</v>
      </c>
      <c r="G18" s="28"/>
    </row>
    <row r="19" spans="1:7" ht="20.05" customHeight="1" x14ac:dyDescent="0.55000000000000004">
      <c r="A19" s="25" t="s">
        <v>133</v>
      </c>
      <c r="B19" s="100" t="s">
        <v>134</v>
      </c>
      <c r="C19" s="63"/>
      <c r="D19" s="102" t="s">
        <v>135</v>
      </c>
      <c r="E19" s="63"/>
      <c r="F19" s="13" t="s">
        <v>126</v>
      </c>
      <c r="G19" s="29"/>
    </row>
    <row r="20" spans="1:7" ht="20.05" customHeight="1" x14ac:dyDescent="0.55000000000000004">
      <c r="A20" s="25" t="s">
        <v>136</v>
      </c>
      <c r="B20" s="108" t="s">
        <v>137</v>
      </c>
      <c r="C20" s="63"/>
      <c r="D20" s="99" t="s">
        <v>138</v>
      </c>
      <c r="E20" s="63"/>
      <c r="F20" s="13" t="s">
        <v>126</v>
      </c>
      <c r="G20" s="28"/>
    </row>
    <row r="21" spans="1:7" ht="20.05" customHeight="1" x14ac:dyDescent="0.55000000000000004">
      <c r="A21" s="25" t="s">
        <v>139</v>
      </c>
      <c r="B21" s="101" t="s">
        <v>140</v>
      </c>
      <c r="C21" s="63"/>
      <c r="D21" s="104" t="s">
        <v>141</v>
      </c>
      <c r="E21" s="63"/>
      <c r="F21" s="13" t="s">
        <v>126</v>
      </c>
      <c r="G21" s="29"/>
    </row>
    <row r="22" spans="1:7" ht="20.05" customHeight="1" x14ac:dyDescent="0.55000000000000004">
      <c r="A22" s="25" t="s">
        <v>142</v>
      </c>
      <c r="B22" s="100" t="s">
        <v>143</v>
      </c>
      <c r="C22" s="63"/>
      <c r="D22" s="102" t="s">
        <v>144</v>
      </c>
      <c r="E22" s="63"/>
      <c r="F22" s="13" t="s">
        <v>126</v>
      </c>
      <c r="G22" s="28"/>
    </row>
    <row r="23" spans="1:7" ht="20.05" customHeight="1" x14ac:dyDescent="0.55000000000000004">
      <c r="A23" s="25" t="s">
        <v>145</v>
      </c>
      <c r="B23" s="101" t="s">
        <v>146</v>
      </c>
      <c r="C23" s="63"/>
      <c r="D23" s="104" t="s">
        <v>147</v>
      </c>
      <c r="E23" s="63"/>
      <c r="F23" s="13" t="s">
        <v>126</v>
      </c>
      <c r="G23" s="29"/>
    </row>
    <row r="24" spans="1:7" ht="20.05" customHeight="1" x14ac:dyDescent="0.55000000000000004">
      <c r="A24" s="25" t="s">
        <v>148</v>
      </c>
      <c r="B24" s="108" t="s">
        <v>149</v>
      </c>
      <c r="C24" s="63"/>
      <c r="D24" s="99" t="s">
        <v>150</v>
      </c>
      <c r="E24" s="63"/>
      <c r="F24" s="13" t="s">
        <v>126</v>
      </c>
      <c r="G24" s="28"/>
    </row>
    <row r="25" spans="1:7" ht="20.05" customHeight="1" x14ac:dyDescent="0.55000000000000004">
      <c r="A25" s="25" t="s">
        <v>151</v>
      </c>
      <c r="B25" s="101" t="s">
        <v>152</v>
      </c>
      <c r="C25" s="63"/>
      <c r="D25" s="104" t="s">
        <v>153</v>
      </c>
      <c r="E25" s="63"/>
      <c r="F25" s="13" t="s">
        <v>126</v>
      </c>
      <c r="G25" s="29"/>
    </row>
    <row r="26" spans="1:7" ht="20.05" customHeight="1" x14ac:dyDescent="0.55000000000000004">
      <c r="A26" s="25" t="s">
        <v>154</v>
      </c>
      <c r="B26" s="108" t="s">
        <v>155</v>
      </c>
      <c r="C26" s="63"/>
      <c r="D26" s="99" t="s">
        <v>22</v>
      </c>
      <c r="E26" s="63"/>
      <c r="F26" s="13" t="s">
        <v>126</v>
      </c>
      <c r="G26" s="28"/>
    </row>
  </sheetData>
  <mergeCells count="38">
    <mergeCell ref="B26:C26"/>
    <mergeCell ref="A7:C7"/>
    <mergeCell ref="D26:E26"/>
    <mergeCell ref="A1:G1"/>
    <mergeCell ref="B19:C19"/>
    <mergeCell ref="A9:C9"/>
    <mergeCell ref="D18:E18"/>
    <mergeCell ref="D25:E25"/>
    <mergeCell ref="B24:C24"/>
    <mergeCell ref="D24:E24"/>
    <mergeCell ref="E5:G5"/>
    <mergeCell ref="B20:C20"/>
    <mergeCell ref="A6:C6"/>
    <mergeCell ref="E8:G8"/>
    <mergeCell ref="A12:G12"/>
    <mergeCell ref="D23:E23"/>
    <mergeCell ref="A2:G2"/>
    <mergeCell ref="A4:G4"/>
    <mergeCell ref="B22:C22"/>
    <mergeCell ref="E9:G9"/>
    <mergeCell ref="D22:E22"/>
    <mergeCell ref="B18:C18"/>
    <mergeCell ref="E6:G6"/>
    <mergeCell ref="D21:E21"/>
    <mergeCell ref="B21:C21"/>
    <mergeCell ref="A5:C5"/>
    <mergeCell ref="A8:C8"/>
    <mergeCell ref="B17:C17"/>
    <mergeCell ref="D17:E17"/>
    <mergeCell ref="A11:G11"/>
    <mergeCell ref="E7:G7"/>
    <mergeCell ref="D16:E16"/>
    <mergeCell ref="D20:E20"/>
    <mergeCell ref="A14:G14"/>
    <mergeCell ref="B16:C16"/>
    <mergeCell ref="B25:C25"/>
    <mergeCell ref="D19:E19"/>
    <mergeCell ref="B23:C23"/>
  </mergeCells>
  <conditionalFormatting sqref="D5">
    <cfRule type="containsText" dxfId="1" priority="1" operator="containsText" text="OK">
      <formula>NOT(ISERROR(SEARCH("OK",D5)))</formula>
    </cfRule>
    <cfRule type="containsText" dxfId="0" priority="2" operator="containsText" text="HATA">
      <formula>NOT(ISERROR(SEARCH("HATA",D5)))</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1"/>
  <sheetViews>
    <sheetView workbookViewId="0"/>
  </sheetViews>
  <sheetFormatPr defaultRowHeight="14.4" x14ac:dyDescent="0.55000000000000004"/>
  <cols>
    <col min="1" max="1" width="4" customWidth="1"/>
    <col min="2" max="2" width="10" customWidth="1"/>
    <col min="3" max="3" width="28" customWidth="1"/>
    <col min="4" max="4" width="22" customWidth="1"/>
    <col min="5" max="6" width="14" customWidth="1"/>
    <col min="7" max="7" width="20" customWidth="1"/>
  </cols>
  <sheetData>
    <row r="1" spans="1:7" ht="32.049999999999997" customHeight="1" x14ac:dyDescent="0.55000000000000004">
      <c r="A1" s="59" t="s">
        <v>156</v>
      </c>
      <c r="B1" s="60"/>
      <c r="C1" s="60"/>
      <c r="D1" s="60"/>
      <c r="E1" s="60"/>
      <c r="F1" s="60"/>
      <c r="G1" s="61"/>
    </row>
    <row r="2" spans="1:7" ht="22" customHeight="1" x14ac:dyDescent="0.55000000000000004">
      <c r="A2" s="113" t="s">
        <v>157</v>
      </c>
      <c r="B2" s="66"/>
      <c r="C2" s="66"/>
      <c r="D2" s="66"/>
      <c r="E2" s="66"/>
      <c r="F2" s="66"/>
      <c r="G2" s="63"/>
    </row>
    <row r="3" spans="1:7" ht="18" customHeight="1" x14ac:dyDescent="0.55000000000000004">
      <c r="A3" s="32"/>
      <c r="B3" s="32" t="s">
        <v>158</v>
      </c>
      <c r="C3" s="32" t="s">
        <v>159</v>
      </c>
      <c r="D3" s="32" t="s">
        <v>85</v>
      </c>
      <c r="E3" s="32" t="s">
        <v>160</v>
      </c>
      <c r="F3" s="32" t="s">
        <v>161</v>
      </c>
      <c r="G3" s="32" t="s">
        <v>162</v>
      </c>
    </row>
    <row r="4" spans="1:7" ht="22" customHeight="1" x14ac:dyDescent="0.55000000000000004">
      <c r="A4" s="33" t="s">
        <v>160</v>
      </c>
      <c r="B4" s="33" t="s">
        <v>163</v>
      </c>
      <c r="C4" s="33" t="s">
        <v>164</v>
      </c>
      <c r="D4" s="33" t="s">
        <v>165</v>
      </c>
      <c r="E4" s="33" t="s">
        <v>166</v>
      </c>
      <c r="F4" s="33" t="s">
        <v>167</v>
      </c>
      <c r="G4" s="33" t="s">
        <v>168</v>
      </c>
    </row>
    <row r="5" spans="1:7" ht="22" customHeight="1" x14ac:dyDescent="0.55000000000000004">
      <c r="A5" s="115" t="s">
        <v>169</v>
      </c>
      <c r="B5" s="66"/>
      <c r="C5" s="66"/>
      <c r="D5" s="66"/>
      <c r="E5" s="66"/>
      <c r="F5" s="66"/>
      <c r="G5" s="63"/>
    </row>
    <row r="6" spans="1:7" ht="18" customHeight="1" x14ac:dyDescent="0.55000000000000004">
      <c r="A6" s="32"/>
      <c r="B6" s="32" t="s">
        <v>158</v>
      </c>
      <c r="C6" s="32" t="s">
        <v>159</v>
      </c>
      <c r="D6" s="32" t="s">
        <v>85</v>
      </c>
      <c r="E6" s="32" t="s">
        <v>160</v>
      </c>
      <c r="F6" s="32" t="s">
        <v>161</v>
      </c>
      <c r="G6" s="32" t="s">
        <v>162</v>
      </c>
    </row>
    <row r="7" spans="1:7" ht="22" customHeight="1" x14ac:dyDescent="0.55000000000000004">
      <c r="A7" s="33" t="s">
        <v>160</v>
      </c>
      <c r="B7" s="33" t="s">
        <v>170</v>
      </c>
      <c r="C7" s="33" t="s">
        <v>171</v>
      </c>
      <c r="D7" s="33" t="s">
        <v>172</v>
      </c>
      <c r="E7" s="33" t="s">
        <v>173</v>
      </c>
      <c r="F7" s="33" t="s">
        <v>167</v>
      </c>
      <c r="G7" s="33" t="s">
        <v>174</v>
      </c>
    </row>
    <row r="8" spans="1:7" ht="22" customHeight="1" x14ac:dyDescent="0.55000000000000004">
      <c r="A8" s="112" t="s">
        <v>175</v>
      </c>
      <c r="B8" s="66"/>
      <c r="C8" s="66"/>
      <c r="D8" s="66"/>
      <c r="E8" s="66"/>
      <c r="F8" s="66"/>
      <c r="G8" s="63"/>
    </row>
    <row r="9" spans="1:7" ht="18" customHeight="1" x14ac:dyDescent="0.55000000000000004">
      <c r="A9" s="32"/>
      <c r="B9" s="32" t="s">
        <v>158</v>
      </c>
      <c r="C9" s="32" t="s">
        <v>159</v>
      </c>
      <c r="D9" s="32" t="s">
        <v>85</v>
      </c>
      <c r="E9" s="32" t="s">
        <v>160</v>
      </c>
      <c r="F9" s="32" t="s">
        <v>161</v>
      </c>
      <c r="G9" s="32" t="s">
        <v>162</v>
      </c>
    </row>
    <row r="10" spans="1:7" ht="22" customHeight="1" x14ac:dyDescent="0.55000000000000004">
      <c r="A10" s="33" t="s">
        <v>160</v>
      </c>
      <c r="B10" s="33" t="s">
        <v>176</v>
      </c>
      <c r="C10" s="33" t="s">
        <v>177</v>
      </c>
      <c r="D10" s="33" t="s">
        <v>178</v>
      </c>
      <c r="E10" s="33" t="s">
        <v>166</v>
      </c>
      <c r="F10" s="33" t="s">
        <v>167</v>
      </c>
      <c r="G10" s="33" t="s">
        <v>179</v>
      </c>
    </row>
    <row r="11" spans="1:7" ht="32.049999999999997" customHeight="1" x14ac:dyDescent="0.55000000000000004">
      <c r="A11" s="114" t="s">
        <v>180</v>
      </c>
      <c r="B11" s="66"/>
      <c r="C11" s="66"/>
      <c r="D11" s="66"/>
      <c r="E11" s="66"/>
      <c r="F11" s="66"/>
      <c r="G11" s="63"/>
    </row>
  </sheetData>
  <mergeCells count="5">
    <mergeCell ref="A1:G1"/>
    <mergeCell ref="A8:G8"/>
    <mergeCell ref="A2:G2"/>
    <mergeCell ref="A11:G11"/>
    <mergeCell ref="A5:G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
  <sheetViews>
    <sheetView workbookViewId="0"/>
  </sheetViews>
  <sheetFormatPr defaultRowHeight="14.4" x14ac:dyDescent="0.55000000000000004"/>
  <cols>
    <col min="1" max="1" width="4" customWidth="1"/>
    <col min="2" max="2" width="24" customWidth="1"/>
    <col min="3" max="3" width="50" customWidth="1"/>
    <col min="4" max="4" width="22" customWidth="1"/>
  </cols>
  <sheetData>
    <row r="1" spans="1:7" ht="32.049999999999997" customHeight="1" x14ac:dyDescent="0.55000000000000004">
      <c r="A1" s="59" t="s">
        <v>181</v>
      </c>
      <c r="B1" s="60"/>
      <c r="C1" s="60"/>
      <c r="D1" s="60"/>
      <c r="E1" s="60"/>
      <c r="F1" s="60"/>
      <c r="G1" s="61"/>
    </row>
    <row r="2" spans="1:7" ht="20.05" customHeight="1" x14ac:dyDescent="0.55000000000000004">
      <c r="A2" s="94" t="s">
        <v>182</v>
      </c>
      <c r="B2" s="60"/>
      <c r="C2" s="60"/>
      <c r="D2" s="60"/>
      <c r="E2" s="60"/>
      <c r="F2" s="60"/>
      <c r="G2" s="61"/>
    </row>
    <row r="3" spans="1:7" ht="18" customHeight="1" x14ac:dyDescent="0.55000000000000004">
      <c r="A3" s="32" t="s">
        <v>183</v>
      </c>
      <c r="B3" s="32" t="s">
        <v>184</v>
      </c>
      <c r="C3" s="32" t="s">
        <v>185</v>
      </c>
      <c r="D3" s="32" t="s">
        <v>186</v>
      </c>
    </row>
    <row r="4" spans="1:7" ht="64" customHeight="1" x14ac:dyDescent="0.55000000000000004">
      <c r="A4" s="25" t="s">
        <v>187</v>
      </c>
      <c r="B4" s="30" t="s">
        <v>188</v>
      </c>
      <c r="C4" s="34" t="s">
        <v>189</v>
      </c>
      <c r="D4" s="35" t="s">
        <v>190</v>
      </c>
    </row>
    <row r="5" spans="1:7" ht="48" customHeight="1" x14ac:dyDescent="0.55000000000000004">
      <c r="A5" s="36" t="s">
        <v>191</v>
      </c>
      <c r="B5" s="26" t="s">
        <v>192</v>
      </c>
      <c r="C5" s="27" t="s">
        <v>193</v>
      </c>
      <c r="D5" s="37" t="s">
        <v>194</v>
      </c>
    </row>
    <row r="6" spans="1:7" ht="68.05" customHeight="1" x14ac:dyDescent="0.55000000000000004">
      <c r="A6" s="25" t="s">
        <v>195</v>
      </c>
      <c r="B6" s="30" t="s">
        <v>196</v>
      </c>
      <c r="C6" s="34" t="s">
        <v>197</v>
      </c>
      <c r="D6" s="35" t="s">
        <v>198</v>
      </c>
    </row>
    <row r="7" spans="1:7" ht="52" customHeight="1" x14ac:dyDescent="0.55000000000000004">
      <c r="A7" s="25" t="s">
        <v>199</v>
      </c>
      <c r="B7" s="30" t="s">
        <v>200</v>
      </c>
      <c r="C7" s="34" t="s">
        <v>201</v>
      </c>
      <c r="D7" s="35" t="s">
        <v>202</v>
      </c>
    </row>
    <row r="8" spans="1:7" ht="64" customHeight="1" x14ac:dyDescent="0.55000000000000004">
      <c r="A8" s="25" t="s">
        <v>203</v>
      </c>
      <c r="B8" s="31" t="s">
        <v>204</v>
      </c>
      <c r="C8" s="34" t="s">
        <v>205</v>
      </c>
      <c r="D8" s="38" t="s">
        <v>206</v>
      </c>
    </row>
    <row r="9" spans="1:7" ht="36" customHeight="1" x14ac:dyDescent="0.55000000000000004">
      <c r="A9" s="116" t="s">
        <v>207</v>
      </c>
      <c r="B9" s="66"/>
      <c r="C9" s="66"/>
      <c r="D9" s="63"/>
      <c r="E9" s="39"/>
      <c r="F9" s="39"/>
      <c r="G9" s="39"/>
    </row>
  </sheetData>
  <mergeCells count="3">
    <mergeCell ref="A9:D9"/>
    <mergeCell ref="A2:G2"/>
    <mergeCell ref="A1:G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5"/>
  <sheetViews>
    <sheetView workbookViewId="0"/>
  </sheetViews>
  <sheetFormatPr defaultRowHeight="14.4" x14ac:dyDescent="0.55000000000000004"/>
  <cols>
    <col min="1" max="1" width="3" customWidth="1"/>
    <col min="2" max="2" width="8" customWidth="1"/>
    <col min="3" max="3" width="40" customWidth="1"/>
    <col min="4" max="4" width="34" customWidth="1"/>
    <col min="5" max="5" width="22" customWidth="1"/>
    <col min="6" max="6" width="3" customWidth="1"/>
  </cols>
  <sheetData>
    <row r="1" spans="1:7" ht="34" customHeight="1" x14ac:dyDescent="0.55000000000000004">
      <c r="A1" s="59" t="s">
        <v>208</v>
      </c>
      <c r="B1" s="60"/>
      <c r="C1" s="60"/>
      <c r="D1" s="60"/>
      <c r="E1" s="60"/>
      <c r="F1" s="60"/>
      <c r="G1" s="61"/>
    </row>
    <row r="2" spans="1:7" ht="20.05" customHeight="1" x14ac:dyDescent="0.55000000000000004">
      <c r="A2" s="94" t="s">
        <v>209</v>
      </c>
      <c r="B2" s="60"/>
      <c r="C2" s="60"/>
      <c r="D2" s="60"/>
      <c r="E2" s="60"/>
      <c r="F2" s="60"/>
      <c r="G2" s="61"/>
    </row>
    <row r="3" spans="1:7" ht="5.05" customHeight="1" x14ac:dyDescent="0.55000000000000004">
      <c r="A3" s="1"/>
      <c r="B3" s="1"/>
      <c r="C3" s="1"/>
      <c r="D3" s="1"/>
      <c r="E3" s="1"/>
      <c r="F3" s="1"/>
      <c r="G3" s="1"/>
    </row>
    <row r="4" spans="1:7" ht="22" customHeight="1" x14ac:dyDescent="0.55000000000000004">
      <c r="A4" s="118" t="s">
        <v>210</v>
      </c>
      <c r="B4" s="60"/>
      <c r="C4" s="60"/>
      <c r="D4" s="60"/>
      <c r="E4" s="60"/>
      <c r="F4" s="60"/>
      <c r="G4" s="61"/>
    </row>
    <row r="5" spans="1:7" ht="18" customHeight="1" x14ac:dyDescent="0.55000000000000004">
      <c r="A5" s="32"/>
      <c r="B5" s="32" t="s">
        <v>211</v>
      </c>
      <c r="C5" s="32" t="s">
        <v>48</v>
      </c>
      <c r="D5" s="32" t="s">
        <v>43</v>
      </c>
      <c r="E5" s="32" t="s">
        <v>212</v>
      </c>
      <c r="F5" s="32"/>
    </row>
    <row r="6" spans="1:7" ht="36" customHeight="1" x14ac:dyDescent="0.55000000000000004">
      <c r="A6" s="40"/>
      <c r="B6" s="41" t="s">
        <v>213</v>
      </c>
      <c r="C6" s="42" t="s">
        <v>214</v>
      </c>
      <c r="D6" s="43" t="s">
        <v>215</v>
      </c>
      <c r="E6" s="44" t="s">
        <v>35</v>
      </c>
      <c r="F6" s="40"/>
    </row>
    <row r="7" spans="1:7" ht="36" customHeight="1" x14ac:dyDescent="0.55000000000000004">
      <c r="A7" s="29"/>
      <c r="B7" s="45" t="s">
        <v>216</v>
      </c>
      <c r="C7" s="46" t="s">
        <v>217</v>
      </c>
      <c r="D7" s="43" t="s">
        <v>218</v>
      </c>
      <c r="E7" s="47" t="s">
        <v>219</v>
      </c>
      <c r="F7" s="29"/>
    </row>
    <row r="8" spans="1:7" ht="36" customHeight="1" x14ac:dyDescent="0.55000000000000004">
      <c r="A8" s="40"/>
      <c r="B8" s="41" t="s">
        <v>220</v>
      </c>
      <c r="C8" s="48" t="s">
        <v>221</v>
      </c>
      <c r="D8" s="43" t="s">
        <v>222</v>
      </c>
      <c r="E8" s="44" t="s">
        <v>223</v>
      </c>
      <c r="F8" s="40"/>
    </row>
    <row r="9" spans="1:7" ht="36" customHeight="1" x14ac:dyDescent="0.55000000000000004">
      <c r="A9" s="29"/>
      <c r="B9" s="45" t="s">
        <v>224</v>
      </c>
      <c r="C9" s="31" t="s">
        <v>225</v>
      </c>
      <c r="D9" s="43" t="s">
        <v>226</v>
      </c>
      <c r="E9" s="47" t="s">
        <v>227</v>
      </c>
      <c r="F9" s="29"/>
    </row>
    <row r="10" spans="1:7" ht="36" customHeight="1" x14ac:dyDescent="0.55000000000000004">
      <c r="A10" s="40"/>
      <c r="B10" s="41" t="s">
        <v>228</v>
      </c>
      <c r="C10" s="48" t="s">
        <v>229</v>
      </c>
      <c r="D10" s="43" t="s">
        <v>230</v>
      </c>
      <c r="E10" s="44" t="s">
        <v>231</v>
      </c>
      <c r="F10" s="40"/>
    </row>
    <row r="11" spans="1:7" ht="5.05" customHeight="1" x14ac:dyDescent="0.55000000000000004">
      <c r="A11" s="1"/>
      <c r="B11" s="1"/>
      <c r="C11" s="1"/>
      <c r="D11" s="1"/>
      <c r="E11" s="1"/>
      <c r="F11" s="1"/>
      <c r="G11" s="1"/>
    </row>
    <row r="12" spans="1:7" ht="22" customHeight="1" x14ac:dyDescent="0.55000000000000004">
      <c r="A12" s="117" t="s">
        <v>232</v>
      </c>
      <c r="B12" s="60"/>
      <c r="C12" s="60"/>
      <c r="D12" s="60"/>
      <c r="E12" s="60"/>
      <c r="F12" s="60"/>
      <c r="G12" s="61"/>
    </row>
    <row r="13" spans="1:7" ht="18" customHeight="1" x14ac:dyDescent="0.55000000000000004">
      <c r="A13" s="49"/>
      <c r="B13" s="49" t="s">
        <v>211</v>
      </c>
      <c r="C13" s="49" t="s">
        <v>5</v>
      </c>
      <c r="D13" s="49" t="s">
        <v>233</v>
      </c>
      <c r="E13" s="49" t="s">
        <v>234</v>
      </c>
      <c r="F13" s="49"/>
    </row>
    <row r="14" spans="1:7" ht="28" customHeight="1" x14ac:dyDescent="0.55000000000000004">
      <c r="A14" s="50"/>
      <c r="B14" s="51" t="s">
        <v>235</v>
      </c>
      <c r="C14" s="52" t="s">
        <v>236</v>
      </c>
      <c r="D14" s="53" t="s">
        <v>125</v>
      </c>
      <c r="E14" s="54" t="s">
        <v>237</v>
      </c>
      <c r="F14" s="50"/>
    </row>
    <row r="15" spans="1:7" ht="28" customHeight="1" x14ac:dyDescent="0.55000000000000004">
      <c r="A15" s="50"/>
      <c r="B15" s="51" t="s">
        <v>238</v>
      </c>
      <c r="C15" s="52" t="s">
        <v>239</v>
      </c>
      <c r="D15" s="53" t="s">
        <v>240</v>
      </c>
      <c r="E15" s="54" t="s">
        <v>237</v>
      </c>
      <c r="F15" s="50"/>
    </row>
    <row r="16" spans="1:7" ht="28" customHeight="1" x14ac:dyDescent="0.55000000000000004">
      <c r="A16" s="50"/>
      <c r="B16" s="51" t="s">
        <v>241</v>
      </c>
      <c r="C16" s="52" t="s">
        <v>131</v>
      </c>
      <c r="D16" s="53" t="s">
        <v>242</v>
      </c>
      <c r="E16" s="54" t="s">
        <v>237</v>
      </c>
      <c r="F16" s="50"/>
    </row>
    <row r="17" spans="1:7" ht="28" customHeight="1" x14ac:dyDescent="0.55000000000000004">
      <c r="A17" s="50"/>
      <c r="B17" s="51" t="s">
        <v>243</v>
      </c>
      <c r="C17" s="52" t="s">
        <v>134</v>
      </c>
      <c r="D17" s="53" t="s">
        <v>244</v>
      </c>
      <c r="E17" s="54" t="s">
        <v>237</v>
      </c>
      <c r="F17" s="50"/>
    </row>
    <row r="18" spans="1:7" ht="28" customHeight="1" x14ac:dyDescent="0.55000000000000004">
      <c r="A18" s="28"/>
      <c r="B18" s="55" t="s">
        <v>245</v>
      </c>
      <c r="C18" s="56" t="s">
        <v>246</v>
      </c>
      <c r="D18" s="57" t="s">
        <v>247</v>
      </c>
      <c r="E18" s="58" t="s">
        <v>237</v>
      </c>
      <c r="F18" s="28"/>
    </row>
    <row r="19" spans="1:7" ht="28" customHeight="1" x14ac:dyDescent="0.55000000000000004">
      <c r="A19" s="28"/>
      <c r="B19" s="55" t="s">
        <v>248</v>
      </c>
      <c r="C19" s="56" t="s">
        <v>249</v>
      </c>
      <c r="D19" s="57" t="s">
        <v>250</v>
      </c>
      <c r="E19" s="58" t="s">
        <v>237</v>
      </c>
      <c r="F19" s="28"/>
    </row>
    <row r="20" spans="1:7" ht="28" customHeight="1" x14ac:dyDescent="0.55000000000000004">
      <c r="A20" s="50"/>
      <c r="B20" s="51" t="s">
        <v>251</v>
      </c>
      <c r="C20" s="52" t="s">
        <v>252</v>
      </c>
      <c r="D20" s="53" t="s">
        <v>144</v>
      </c>
      <c r="E20" s="54" t="s">
        <v>237</v>
      </c>
      <c r="F20" s="50"/>
    </row>
    <row r="21" spans="1:7" ht="28" customHeight="1" x14ac:dyDescent="0.55000000000000004">
      <c r="A21" s="28"/>
      <c r="B21" s="55" t="s">
        <v>253</v>
      </c>
      <c r="C21" s="56" t="s">
        <v>254</v>
      </c>
      <c r="D21" s="57" t="s">
        <v>255</v>
      </c>
      <c r="E21" s="58" t="s">
        <v>237</v>
      </c>
      <c r="F21" s="28"/>
    </row>
    <row r="22" spans="1:7" ht="28" customHeight="1" x14ac:dyDescent="0.55000000000000004">
      <c r="A22" s="28"/>
      <c r="B22" s="55" t="s">
        <v>256</v>
      </c>
      <c r="C22" s="56" t="s">
        <v>257</v>
      </c>
      <c r="D22" s="57" t="s">
        <v>153</v>
      </c>
      <c r="E22" s="58" t="s">
        <v>237</v>
      </c>
      <c r="F22" s="28"/>
    </row>
    <row r="23" spans="1:7" ht="28" customHeight="1" x14ac:dyDescent="0.55000000000000004">
      <c r="A23" s="28"/>
      <c r="B23" s="55" t="s">
        <v>258</v>
      </c>
      <c r="C23" s="56" t="s">
        <v>259</v>
      </c>
      <c r="D23" s="57" t="s">
        <v>260</v>
      </c>
      <c r="E23" s="58" t="s">
        <v>237</v>
      </c>
      <c r="F23" s="28"/>
    </row>
    <row r="24" spans="1:7" ht="5.05" customHeight="1" x14ac:dyDescent="0.55000000000000004">
      <c r="A24" s="1"/>
      <c r="B24" s="1"/>
      <c r="C24" s="1"/>
      <c r="D24" s="1"/>
      <c r="E24" s="1"/>
      <c r="F24" s="1"/>
      <c r="G24" s="1"/>
    </row>
    <row r="25" spans="1:7" ht="52" customHeight="1" x14ac:dyDescent="0.55000000000000004">
      <c r="A25" s="116" t="s">
        <v>261</v>
      </c>
      <c r="B25" s="66"/>
      <c r="C25" s="66"/>
      <c r="D25" s="66"/>
      <c r="E25" s="66"/>
      <c r="F25" s="63"/>
      <c r="G25" s="39"/>
    </row>
  </sheetData>
  <mergeCells count="5">
    <mergeCell ref="A1:G1"/>
    <mergeCell ref="A12:G12"/>
    <mergeCell ref="A4:G4"/>
    <mergeCell ref="A2:G2"/>
    <mergeCell ref="A25:F2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VERİ GİRİŞİ</vt:lpstr>
      <vt:lpstr>HESAPLAMALAR &amp; KONTROL</vt:lpstr>
      <vt:lpstr>MUHASEBE KAYITLARI</vt:lpstr>
      <vt:lpstr>DENETCİ NOTLARI</vt:lpstr>
      <vt:lpstr>BELGE 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Aydın DEDE</cp:lastModifiedBy>
  <dcterms:created xsi:type="dcterms:W3CDTF">2026-04-06T17:10:22Z</dcterms:created>
  <dcterms:modified xsi:type="dcterms:W3CDTF">2026-04-06T17:16:24Z</dcterms:modified>
</cp:coreProperties>
</file>