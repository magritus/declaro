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B39868EB-DFCC-4299-9C1C-F7D1D5464BA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E59" i="1"/>
  <c r="D48" i="1"/>
  <c r="C53" i="1" s="1"/>
  <c r="C48" i="1"/>
  <c r="C52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F48" i="1" s="1"/>
  <c r="C56" i="1" s="1"/>
  <c r="C35" i="1"/>
  <c r="E15" i="1"/>
  <c r="D5" i="2" s="1"/>
  <c r="E48" i="1" l="1"/>
  <c r="C54" i="1" s="1"/>
</calcChain>
</file>

<file path=xl/sharedStrings.xml><?xml version="1.0" encoding="utf-8"?>
<sst xmlns="http://schemas.openxmlformats.org/spreadsheetml/2006/main" count="341" uniqueCount="280">
  <si>
    <t>470 – YÜKSEKÖĞRETİM BAĞIŞLARI | 2547 SAYILI KANUN | ÜNİVERSİTE VE YO KURUMLAR | YMM TASDİK</t>
  </si>
  <si>
    <t>Beyanname 470 | GİB KV Beyan Rehberi Mart 2026 (No:606) | ✗ YİAKV MATRAHINDA DÜŞÜLEMEZ</t>
  </si>
  <si>
    <t xml:space="preserve">  2547 SAYILI YÜKSEKÖĞRETİM KANUNU KAPSAMINDA BAĞIŞ VE YARDIMLAR:
  Kurumlar vergisi mükellefleri tarafından 2547 sayılı Yükseköğretim Kanunu kapsamındaki üniversiteler ve diğer yükseköğretim kurumlarına yapılan bağış ve yardımların tamamı kurumlar vergisi beyannamesi üzerinden matrahtan indirilir.
  ALICI: 2547 s.K. kapsamındaki devlet üniversiteleri, vakıf üniversiteleri (YÖK onaylı), yüksekokullar, meslek yüksekokulları ve bünyelerindeki araştırma merkezi/enstitüler.
  İNDİRİM: TAMAMININ İNDİRİMİ — matrahı aşan kısım devredilemez.
  ★ YİAKV: DÜŞÜLEMEZ — E.11 bilgi satırı.</t>
  </si>
  <si>
    <t xml:space="preserve">  ✗ YİAKV (KVK Md.32/C): 470 Yükseköğretim Bağışı YİAKV MATRAHINDA DÜŞÜLEMEZ. YİAKV E.11 bilgi satırı — 402/460/461/464/465/466/469 ile aynı kategori.</t>
  </si>
  <si>
    <t>A0. KAPSAM VE NİTELİK UYGUNLUK ÖN KONTROLÜ — 2547 s.K. YÜKSEKÖĞRETİM BAĞIŞI</t>
  </si>
  <si>
    <t>Kontrol Sorusu</t>
  </si>
  <si>
    <t>Yanıt</t>
  </si>
  <si>
    <t>YMM Tasdik Notu</t>
  </si>
  <si>
    <t>A0.1  ★ Bağış 2547 s.K. kapsamında bir yükseköğretim kurumuna mı yapıldı?</t>
  </si>
  <si>
    <t>EVET</t>
  </si>
  <si>
    <t>2547 s.K. kapsamındaki devlet üniversiteleri, YÖK onaylı vakıf üniversiteleri, yüksekokullar ve bünyelerindeki araştırma merkezleri/enstitüler. Kapsam dışı: Lise, ilköğretim okulu, özel kurs — bunlar 402 veya farklı kod.</t>
  </si>
  <si>
    <t>A0.2  ★ Bağış FİİLEN yapıldı mı? (Nakdi: Banka — Ayni: Teslim belgesi)</t>
  </si>
  <si>
    <t>Taahhüt edilen ama gerçekleşmeyen bağış indirime konu olamaz. Nakdi: Banka EFT/havale dekontu. Ayni: İmzalı teslim tutanağı.</t>
  </si>
  <si>
    <t>A0.3  Yükseköğretim kurumundan resmi bağış makbuzu / kabul belgesi alındı mı?</t>
  </si>
  <si>
    <t>Üniversite veya ilgili yükseköğretim kurumundan düzenlenen resmi makbuz veya bağış kabul yazısı zorunludur.</t>
  </si>
  <si>
    <t>A0.4  Vakıf üniversitesine bağışsa YÖK tescili / onayı teyit edildi mi?</t>
  </si>
  <si>
    <t>Vakıf üniversiteleri YÖK tarafından onaylanmış olmalı. YÖK onayı olmayan kurum 2547 s.K. kapsamında sayılmaz.</t>
  </si>
  <si>
    <t>A0.5  Ayni bağış varsa maliyet/net defter değeri ile değerleme yapıldı mı?</t>
  </si>
  <si>
    <t>Ayni bağışlarda piyasa değeri değil maliyet/net defter değeri esas. KDV hesaplanmaz — KDVK Md.17/2-b istisnası kapsamında.</t>
  </si>
  <si>
    <t>A0.6  ✗ YİAKV E.11'de bilgi satırı olarak gösterildi mi?</t>
  </si>
  <si>
    <t>470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</si>
  <si>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</si>
  <si>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</si>
  <si>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</si>
  <si>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yükseköğretim kurumu | A0.2 fiili yapım | A0.3 makbuz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</si>
  <si>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</si>
  <si>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</si>
  <si>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</si>
  <si>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</si>
  <si>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</si>
  <si>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</si>
  <si>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</si>
  <si>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</si>
  <si>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</si>
  <si>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</si>
  <si>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Yükseköğretim Kurumu Adı (Üniversite/Yüksekokul)</t>
  </si>
  <si>
    <t>Alıcı Türü</t>
  </si>
  <si>
    <t>Devlet Üniversitesi / Vakıf Üniversitesi / YO vb.</t>
  </si>
  <si>
    <t>Dosya Referansı</t>
  </si>
  <si>
    <t>YMM-2025/470-01</t>
  </si>
  <si>
    <t>B. BAĞIŞ VE YARDIM DETAYLARI — 2547 s.K. YÜKSEKÖĞRETİM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</si>
  <si>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</si>
  <si>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</si>
  <si>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</si>
  <si>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</si>
  <si>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</si>
  <si>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</si>
  <si>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Teslim tutanağı + değerleme.</t>
  </si>
  <si>
    <t>Belge</t>
  </si>
  <si>
    <t>B.2  Alıcı Türü</t>
  </si>
  <si>
    <t>Devlet Üniversitesi (2547 s.K. Kapsamı)</t>
  </si>
  <si>
    <t>Devlet/Vakıf üniversitesi, yüksekokul veya bünyesindeki birim.</t>
  </si>
  <si>
    <t>YÖK/Üniversite</t>
  </si>
  <si>
    <t>B.3  Bağışın Amacı</t>
  </si>
  <si>
    <t>Eğitim ve Öğretim Faaliyetleri</t>
  </si>
  <si>
    <t>Burs, laboratuvar, kütüphane, Ar-Ge, inşaat vb. akademik amaç.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</si>
  <si>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</si>
  <si>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</si>
  <si>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</si>
  <si>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</si>
  <si>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</si>
  <si>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üniversiteye ödenen tutar.</t>
  </si>
  <si>
    <t>Banka dekontu</t>
  </si>
  <si>
    <t>B.6  Ayni Bağış Değeri (TL — Maliyet/Net Defter Değeri)</t>
  </si>
  <si>
    <t>Cihaz/ekipman/kitap bağışı varsa maliyet veya net defter değeri.</t>
  </si>
  <si>
    <t>Stok/sabit kıymet</t>
  </si>
  <si>
    <t>B.7  ★ TOPLAM BAĞIŞ (B.5 + B.6)</t>
  </si>
  <si>
    <t>Nakdi + Ayni toplam — beyanname 470 tutarının dayanağı.</t>
  </si>
  <si>
    <t>Formül</t>
  </si>
  <si>
    <t>B.8  ★ Üniversite Resmi Makbuzu / Bağış Kabul Belgesi</t>
  </si>
  <si>
    <t>Yükseköğretim kurumundan alınan resmi makbuz veya bağış kabul yazısı.</t>
  </si>
  <si>
    <t>Üniversite</t>
  </si>
  <si>
    <t>B.9  Vakıf Üniversitesi İse YÖK Onay Belgesi Alındı mı?</t>
  </si>
  <si>
    <t>Uygulanmaz-Devlet Üniversitesi</t>
  </si>
  <si>
    <t>Vakıf üniversitesi için YÖK onayı teyidi — 2547 s.K. kapsamı için zorunlu.</t>
  </si>
  <si>
    <t>YÖK</t>
  </si>
  <si>
    <t>C. BAĞIŞ VE YARDIM TABLOSU — YÜKSEKÖĞRETİM KURUMLARI (BEYANNAME 470)</t>
  </si>
  <si>
    <t xml:space="preserve">  Her bağış kalemi veya alıcı üniversite için ayrı satır. SÜTUN 3 (mavi çerçeve): Nakdi bağış. SÜTUN 4: Ayni bağış maliyet değeri. SÜTUN 5: Toplam (otomatik). SÜTUN 6: İndirim = Tamamı (otomatik). Birden fazla üniversiteye bağış — her biri ayrı satır.</t>
  </si>
  <si>
    <t>Bağış Tarihi</t>
  </si>
  <si>
    <t>Üniversite / Birim Adı</t>
  </si>
  <si>
    <t>Nakdi (TL)</t>
  </si>
  <si>
    <t>Ayni Değer (TL)</t>
  </si>
  <si>
    <t>Toplam (TL)</t>
  </si>
  <si>
    <t>İndirim (TL)</t>
  </si>
  <si>
    <t>Makbuz/Belge No</t>
  </si>
  <si>
    <t>TOPLAM</t>
  </si>
  <si>
    <t>← Beyanname 470 (Tamamının İndirimi)</t>
  </si>
  <si>
    <t>D. BAĞIŞ VE YARDIM İNDİRİMİ ÖZET — BEYANNAME 470 (2547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</si>
  <si>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</si>
  <si>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</si>
  <si>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</si>
  <si>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</si>
  <si>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</si>
  <si>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</si>
  <si>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</si>
  <si>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</si>
  <si>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</si>
  <si>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</si>
  <si>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</si>
  <si>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2547 s.K. kapsamı: Tamamının indirimi — matrahı aşan kısım devredilemez</t>
  </si>
  <si>
    <t>2547 s.K.</t>
  </si>
  <si>
    <t>D.5  ★ BEYANNAME 470 = TOPLAM BAĞIŞ (D.3)</t>
  </si>
  <si>
    <t>→ Beyanname 470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</si>
  <si>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</si>
  <si>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</si>
  <si>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</si>
  <si>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</si>
  <si>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YÜKSEKÖĞRETİM BAĞIŞI → Beyanname Satır 470 (Kazancın Bulunması Halinde)</t>
  </si>
  <si>
    <t>D.5 = Toplam Bağış Tamamı | 2547 s.K. — Matrahı aşan devredilmez</t>
  </si>
  <si>
    <t xml:space="preserve">  ★ KRİTİK: (1) ALICI: Yalnızca 2547 s.K. kapsamındaki yükseköğretim kurumları — lise/ilköğretim 402 kapsamı. (2) VAKİF ÜNİVERSİTESİ: YÖK onayı zorunlu — onaysız vakıf üniversitesi 470 kapsamı dışı. (3) AYNİ BAĞIŞ: Maliyet/net defter değeri esas. KDV istisnası. (4) DEVREDEN YOK: Matrahı aşan devredilmez. (5) YİAKV ✗: E.11.</t>
  </si>
  <si>
    <t>470 – YÜKSEKÖĞRETİM BAĞIŞLARI 2547 SAYILI KANUN | HESAPLAMALAR VE DENETİM</t>
  </si>
  <si>
    <t>Tamamının İndirimi | 2547 s.K. | Devlet+Vakıf Üniversite | Beyanname 470 | ✗ YİAKV E.11</t>
  </si>
  <si>
    <t>A. TASDİK ÖZETİ</t>
  </si>
  <si>
    <t>A0 Uygunluğu</t>
  </si>
  <si>
    <t>OK ise devam</t>
  </si>
  <si>
    <t>Alıcı Türü (B.2)</t>
  </si>
  <si>
    <t>Devlet/Vakıf Üniversitesi vb.</t>
  </si>
  <si>
    <t>Bağışın Amacı (B.3)</t>
  </si>
  <si>
    <t>Akademik amaç</t>
  </si>
  <si>
    <t>Toplam Bağış (D.3)</t>
  </si>
  <si>
    <t>C tablosu toplamı</t>
  </si>
  <si>
    <t>470 İNDİRİM (D.5)</t>
  </si>
  <si>
    <t>YİAKV</t>
  </si>
  <si>
    <t>✗ DÜŞÜLEMEZ (E.11 Bilgi)</t>
  </si>
  <si>
    <t>Bağış/yardım tümü YİAKV dışı</t>
  </si>
  <si>
    <t>B. 2547 SAYILI KANUN KAPSAMI VE YÜKSEKÖĞRETİM KURUMU TANIMI</t>
  </si>
  <si>
    <t xml:space="preserve">  2547 SAYILI YÜKSEKÖĞRETİM KANUNU KAPSAMI:
  KAPSAM İÇİ KURUMLAR:
  ① Devlet Üniversiteleri: YÖK bünyesindeki tüm devlet üniversiteleri (ODTÜ, Boğaziçi, İTÜ vb.)
  ② Vakıf Üniversiteleri: YÖK tarafından onaylanmış vakıf üniversiteleri (Koç, Sabancı, Bilkent vb.)
  ③ Yüksekokullar ve MYO: 2547 s.K. kapsamındaki yüksekokullar ve meslek yüksekokulları
  ④ Bünyesindeki Birimler: Araştırma merkezleri, enstitüler, burs programları
  KAPSAM DIŞI KURUMLAR:
  ✗ Ortaöğretim (lise) — bunlar 402 (KVK Md.10/1-c) kapsamında okul inşası/faaliyetleri
  ✗ İlköğretim okulları — 402 kapsamı
  ✗ YÖK onayı olmayan özel kurumlar
  ✗ Özel dershaneler ve kurslar
  VAKİF ÜNİVERSİTESİ DİKKATİ: B.9 / A0.4 kontrolü zorunlu — YÖK tescili teyit edilmeli.</t>
  </si>
  <si>
    <t>C. 402 (KVK Md.10/1-c) vs 470 (2547 s.K.) — EĞİTİM BAĞIŞLARINDA DOĞRU KOD SEÇİMİ</t>
  </si>
  <si>
    <t xml:space="preserve">  402 (KVK Md.10/1-c) — EĞİTİM BAĞIŞI:
  Kamu idaresine (MEB dahil) okul, sağlık tesisi veya öğrenci yurdu İNŞASI veya FAALİYETLERİ için bağış.
  Okul: Her kademeden (ilk-orta-lise-üniversite) — inşa veya faaliyet amacıyla.
  Tamamının indirimi, matrahı aşan devredilmez, YİAKV E.11.
  470 (2547 s.K.) — YÜKSEKÖĞRETİM BAĞIŞI:
  Doğrudan yükseköğretim kurumuna (üniversite, yüksekokul) yapılan bağış.
  2547 s.K. kapsamı — lise ve altı değil.
  Tamamının indirimi, matrahı aşan devredilmez, YİAKV E.11.
  ÖRTÜŞME: Bir üniversiteye yapılan bağış hem 402 hem 470 kapsamında görünebilir.
  YMM: Bağışın hangi koda daha net uyduğunu belgele. İkisi de 'tamamının indirimi' — sonuç aynı ama doğru kodu kullan.</t>
  </si>
  <si>
    <t>D. DENETİM KONTROL LİSTESİ (K1–K12)</t>
  </si>
  <si>
    <t>Kontrol</t>
  </si>
  <si>
    <t>Sonuç</t>
  </si>
  <si>
    <t>K1</t>
  </si>
  <si>
    <t>★ Alıcı 2547 s.K. kapsamında mı? (Devlet/Vakıf Üniversitesi / YO)</t>
  </si>
  <si>
    <t>Lise/ilköğretim → 402. Üniversite → 470.</t>
  </si>
  <si>
    <t>Uygun/Eksik/Risk</t>
  </si>
  <si>
    <t>K2</t>
  </si>
  <si>
    <t>★ Vakıf üniversitesiyse YÖK onayı teyit edildi mi?</t>
  </si>
  <si>
    <t>YÖK onayı olmayan → Kapsam dışı.</t>
  </si>
  <si>
    <t>K3</t>
  </si>
  <si>
    <t>★ Bağış fiilen yapıldı mı? (Nakdi: Banka — Ayni: Tutanak)</t>
  </si>
  <si>
    <t>Taahhüt değil — fiili ödeme.</t>
  </si>
  <si>
    <t>K4</t>
  </si>
  <si>
    <t>★ Üniversiteden resmi makbuz alındı mı?</t>
  </si>
  <si>
    <t>Makbuz olmadan 470 belgelenemez.</t>
  </si>
  <si>
    <t>K5</t>
  </si>
  <si>
    <t>Ayni bağış varsa maliyet/net defter değeri esas alındı mı?</t>
  </si>
  <si>
    <t>Piyasa değeri değil. KDV istisnası.</t>
  </si>
  <si>
    <t>K6</t>
  </si>
  <si>
    <t>C tablosu toplamı D.3 ile mutabık mı?</t>
  </si>
  <si>
    <t>E48 = D.3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</si>
  <si>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</si>
  <si>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</si>
  <si>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</si>
  <si>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</si>
  <si>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</si>
  <si>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470 DÜŞÜLEMEZ — E.11 bilgi.</t>
  </si>
  <si>
    <t>K9</t>
  </si>
  <si>
    <t>402 ile 470 doğru ayrıştırıldı mı? (Okul≠Üniversite?)</t>
  </si>
  <si>
    <t>Lise → 402. Üniversite → 470.</t>
  </si>
  <si>
    <t>K10</t>
  </si>
  <si>
    <t>Birden fazla üniversite bağışı C tablosunda ayrı satırlarda mı?</t>
  </si>
  <si>
    <t>Her alıcı ayrı satır.</t>
  </si>
  <si>
    <t>K11</t>
  </si>
  <si>
    <t>Beyanname 470 'Kazancın Bulunması Halinde' bölümünde mi?</t>
  </si>
  <si>
    <t>Zarar döneminde uygulanamaz.</t>
  </si>
  <si>
    <t>K12</t>
  </si>
  <si>
    <t>YMM Tasdik Raporu (49 No.lu Tebliğ) değerlendirildi mi?</t>
  </si>
  <si>
    <t>470 – YÜKSEKÖĞRETİM BAĞIŞLARI 2547 s.K. | MUHASEBE KAYITLARI</t>
  </si>
  <si>
    <t>KAYIT 1 — NAKDİ BAĞIŞ (EFT/HAVALE — ÜNİVERSİTE)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</si>
  <si>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</si>
  <si>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</si>
  <si>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</si>
  <si>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</si>
  <si>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</si>
  <si>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</si>
  <si>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</si>
  <si>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Üniversite bağışı — gider kaydı</t>
  </si>
  <si>
    <t>[Tutar]</t>
  </si>
  <si>
    <t>—</t>
  </si>
  <si>
    <t>Üniversite Makbuzu</t>
  </si>
  <si>
    <t>KAYIT 2 — AYNİ BAĞIŞ (CİHAZ / EKİPMAN / KİTAP)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</si>
  <si>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</si>
  <si>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</si>
  <si>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</si>
  <si>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</si>
  <si>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</si>
  <si>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470 İNDİRİMİ</t>
  </si>
  <si>
    <t>[Dönem Sonu]</t>
  </si>
  <si>
    <t>951 KKEG</t>
  </si>
  <si>
    <t>Bağış gideri KKEG'e alınır (matrahı artırır)</t>
  </si>
  <si>
    <t>Beyanname eki</t>
  </si>
  <si>
    <t xml:space="preserve">  DÖNEM SONU NET ETKİ — BEYANNAME 470:
  Üniversite bağışı (689/770) → KKEG → Matrahı artırır → Beyanname 470 tamamının indirimi → Matrahtan düşülür.
  YİAKV: ✗ DÜŞÜLEMEZ — E.11 bilgi satırı.
  402 ile fark: Kademeden bağımsız okul/sağlık/yurt inşası → 402. 2547 s.K. yükseköğretim kurumu → 470.</t>
  </si>
  <si>
    <t>470 – YÜKSEKÖĞRETİM BAĞIŞLARI 2547 SAYILI KANUN | DENETÇİ NOTLARI</t>
  </si>
  <si>
    <t>GİB KV Beyan Rehberi 2026 (No:606) | 2547 s.K. | Devlet+Vakıf Üniversite | YÖK | YİAKV E.11</t>
  </si>
  <si>
    <t>Kod</t>
  </si>
  <si>
    <t>Konu</t>
  </si>
  <si>
    <t>Mesleki Değerlendirme / Tasdik Standardı</t>
  </si>
  <si>
    <t>Mevzuat / Kaynak</t>
  </si>
  <si>
    <t>N1</t>
  </si>
  <si>
    <t>2547 s.K. — Yükseköğretim Kurumlarına Bağış ve Kapsam</t>
  </si>
  <si>
    <t>YÜKSEKÖĞRETİM BAĞIŞI — 2547 SAYILI KANUN:
2547 sayılı Yükseköğretim Kanunu kapsamındaki yükseköğretim kurumlarına
yapılan bağış ve yardımların tamamı kurumlar vergisi matrahından indirilir.
KAPSAM İÇİ:
• Devlet üniversiteleri (tüm fakülte, enstitü, araştırma merkezleri)
• YÖK onaylı vakıf üniversiteleri
• Yüksekokullar ve meslek yüksekokulları (2547 kapsamı)
• Bünyelerindeki burs, araştırma, fon programları
KAPSAM DIŞI: Lise, ilköğretim, özel kurs → 402 kapsamı.
İNDİRİM: Tamamının indirimi — matrahı aşan devredilmez.
YİAKV: ✗ DÜŞÜLEMEZ (E.11 bilgi) | BEYANNAME: 470</t>
  </si>
  <si>
    <t>2547 s.K. | GİB KV Beyan Reh. 2026 (No:606)</t>
  </si>
  <si>
    <t>N2</t>
  </si>
  <si>
    <t>★ Vakıf Üniversitesi — YÖK Onayı Zorunluluğu</t>
  </si>
  <si>
    <t>VAKİF ÜNİVERSİTESİ VE YÖK ONAYI:
Devlet üniversiteleri için statü belgesi gerekmez — doğrudan 2547 kapsamında.
VAKİF ÜNİVERSİTELERİ İÇİN:
YÖK (Yükseköğretim Kurulu) tarafından tescil ve onay zorunludur.
Onaysız vakıf üniversitesi → 2547 s.K. kapsamında sayılmaz → 470 uygulanamaz.
KONTROL YÖNTEMİ:
YÖK web sitesinden üniversitenin tescil durumu kontrol edilmeli.
A0.4 ve B.9 sorularında bu kontrol kaydedilmeli.
EĞİTİM VAKFI FARKLI: Üniversiteyle bağlantılı vakfa yapılan bağış
470 kapsamında değil — vakfın statüsüne göre 402 veya başka kod.</t>
  </si>
  <si>
    <t>2547 s.K. | YÖK Mevzuatı | GİB Özelge</t>
  </si>
  <si>
    <t>N3</t>
  </si>
  <si>
    <t>★ 402 (KVK Md.10/1-c) ile 470 (2547 s.K.) Ayrımı</t>
  </si>
  <si>
    <t>EĞİTİM BAĞIŞLARINDA KOD SEÇİMİ:
402 (KVK Md.10/1-c):
Kamu idaresi/KYD/Muafiyet Vakfı'na okul, sağlık tesisi, yurt inşası amacıyla.
'Okul' kavramı geniş: İlk/orta/lise/üniversite kademelerini kapsar.
Amaç: Spesifik tesis inşası veya faaliyetleri.
470 (2547 s.K.):
Doğrudan 2547 s.K. kapsamındaki yükseköğretim kurumuna genel bağış.
Amaç: Burs, Ar-Ge, kütüphane, laboratuvar, eğitim vb. — daha geniş.
ÖRTÜŞME DURUMU:
Üniversiteye yapılan bağış her iki koda da uyabilir.
Her ikisi de 'tamamının indirimi' → Vergisel sonuç aynı.
YMM: Bağışın hangi koda daha net uyduğunu belgele. İkisi çelişmez.</t>
  </si>
  <si>
    <t>2547 s.K. | KVK Md.10/1-c | GİB Özelge</t>
  </si>
  <si>
    <t>N4</t>
  </si>
  <si>
    <t>YİAKV ile İlişki — E.11 Kapsamlı Özet</t>
  </si>
  <si>
    <t>YİAKV (KVK Md.32/C) VE YÜKSEKÖĞRETİM BAĞIŞI:
✗ 470 (2547 s.K.): DÜŞÜLEMEZ → YİAKV E.11
YİAKV E.11 — BU OTURUMDA TAMAMLANAN BAĞIŞ/YARDIM KODLARI:
✗ 402 KVK Md.10/1-c | ✗ 460/461 Sponsorluk
✗ 464 AGF (7474 Md.6) | ✗ 465 AYİF (7441 Md.7)
✗ 466 UAB (7432 Md.8) | ✗ 469 TÜBİTAK (278 s.K.)
✗ 470 Yükseköğretim (2547 s.K.)
→ YİAKV E.11 = Tüm bu kodların toplamı
DÜŞÜLEBILIR HATIRLATMA:
✓ 283 Ar-Ge → D.10 | ✓ 455 Tasarım → D.10
✓ 401 Risturn → D.4 | ✓ 413 GSF → D.11</t>
  </si>
  <si>
    <t>KVK Md.32/C | GİB Rehberi No:607 | No:606</t>
  </si>
  <si>
    <t>N5</t>
  </si>
  <si>
    <t>49 No.lu Tebliğ + YMM Tasdik Dil Standardı</t>
  </si>
  <si>
    <t>KULLANIN:
'...2547 sayılı Yükseköğretim Kanunu kapsamında [Üniversite Adı]'na
[Bağış Tarihi] tarihinde banka yoluyla ödenen [Nakdi TL] TL nakdi bağış
ile [Ayni TL] TL maliyet bedelindeki ayni bağışın tamamı olan [Toplam TL] TL,
kurumlar vergisi matrahından indirilmiştir. Söz konusu tutar YİAKV
matrahından indirilmemiştir.'
(Vakıf üniversitesi için ekleyin:)
'[Üniversite Adı], YÖK tarafından [YÖK Tescil No] ile tescil edilmiş
vakıf üniversitesidir.'
KULLANMAYIN:
'...Lise/ilköğretim okulu bağışı 470 kapsamında indirilmiştir.' (Kapsam dışı)
'...YÖK onaysız vakıf üniversitesine yapılan bağış 470 kapsamında.'
'...470 YİAKV matrahından düşülmüştür.' (YANLIŞ)
KRİTİK RİSKLER:
(1) Lise veya ilköğretim bağışını 470'e dahil etmek.
(2) YÖK onayı olmayan vakıf üniversitesine 470 uygulamak.
(3) Üniversite makbuzu olmadan 470 uygulamak.
(4) Matrahı aşan kısmı devretmeye çalışmak.</t>
  </si>
  <si>
    <t>49 No.lu Tebliğ | 2547 s.K. | SM-SMMM-YMM K. Md.12</t>
  </si>
  <si>
    <t xml:space="preserve">  GİB KV BEYAN REHBERİ MART 2026 (No:606) KAPANIŞ (470): 2547 s.K. — Devlet/YÖK onaylı vakıf üniversitesi ve yüksekokullar. Tamamının indirimi — matrahı aşan devredilmez. Vakıf üniversitesi için YÖK onayı zorunlu. Ayni bağışta KDV istisnası. ✗ YİAKV E.11. YMM: SM-SMMM-YMM K. Md.12.</t>
  </si>
  <si>
    <t>470 – YÜKSEKÖĞRETİM BAĞIŞLARI 2547 SAYILI KANUN | BELGE LİSTESİ | YMM TASDİK</t>
  </si>
  <si>
    <t>Üniversite Makbuzu | YÖK Tescil (Vakıf) | Banka Dekontu | Teslim Tutanağı | YİAKV E.11</t>
  </si>
  <si>
    <t>KATEGORİ 1 — ZORUNLU BELGELER</t>
  </si>
  <si>
    <t>No</t>
  </si>
  <si>
    <t>Temin</t>
  </si>
  <si>
    <t>1</t>
  </si>
  <si>
    <t>★ Yükseköğretim Kurumu Resmi Bağış Makbuzu / Kabul Belgesi</t>
  </si>
  <si>
    <t>Üniversite veya ilgili yükseköğretim kurumundan alınan resmi makbuz veya bağış kabul yazısı. Tutar, tarih ve bağışın amacı belirtilmeli. Zorunlu belge.</t>
  </si>
  <si>
    <t>Üniversite / Yüksekokul</t>
  </si>
  <si>
    <t>2</t>
  </si>
  <si>
    <t>★ YÖK Tescil / Onay Belgesi (Vakıf Üniversitesi İçin)</t>
  </si>
  <si>
    <t>Vakıf üniversitelerine yapılan bağışlarda YÖK tarafından onaylanmış üniversite statüsü teyidi. Devlet üniversiteleri için bu belge gerekmez.</t>
  </si>
  <si>
    <t>YÖK (Yükseköğretim Kurulu)</t>
  </si>
  <si>
    <t>3</t>
  </si>
  <si>
    <t>★ Nakdi Bağış — Banka EFT/Havale Dekontu</t>
  </si>
  <si>
    <t>Üniversitenin banka hesabına yapılan nakdi ödemenin dekont belgesi. Her ödeme için ayrı dekont.</t>
  </si>
  <si>
    <t>Banka / Şirket hesabı</t>
  </si>
  <si>
    <t>4</t>
  </si>
  <si>
    <t>Ayni Bağış — Teslim-Tesellüm Tutanağı + Maliyet Notu</t>
  </si>
  <si>
    <t>Cihaz/ekipman/kitap bağışı için imzalı teslim tutanağı ve maliyet/defter değeri notu. KDV hesaplanmaz (KDVK Md.17/2-b).</t>
  </si>
  <si>
    <t>Teslim sırasında</t>
  </si>
  <si>
    <t>5</t>
  </si>
  <si>
    <t>KV Beyannamesi 470 Satırı + YİAKV E.11 Bilgi</t>
  </si>
  <si>
    <t>Beyanname 470 = D.5 tutarı. YİAKV E.11 bilgi satırında diğer bağış kodlarıyla birlikte.</t>
  </si>
  <si>
    <t>GİB e-Beyanname + YİAKV ÇK</t>
  </si>
  <si>
    <t>6</t>
  </si>
  <si>
    <t>Bağış Protokolü / Amaç Belgesi (Gerektiğinde)</t>
  </si>
  <si>
    <t>Spesifik bağış amacı (burs fonu, laboratuvar, kütüphane) varsa üniversite ile imzalanan protokol veya yazışma belgesi.</t>
  </si>
  <si>
    <t>Üniversite ile</t>
  </si>
  <si>
    <t>KATEGORİ 2 — YMM TASDİK KONTROL SORULARI</t>
  </si>
  <si>
    <t>Beklenen Sonuç</t>
  </si>
  <si>
    <t>YMM Aksiyonu</t>
  </si>
  <si>
    <t>S1</t>
  </si>
  <si>
    <t>★ Alıcı 2547 s.K. kapsamında yükseköğretim kurumu mu?</t>
  </si>
  <si>
    <t>Üniversite/YO — Lise değil.</t>
  </si>
  <si>
    <t>YMM kontrolü</t>
  </si>
  <si>
    <t>S2</t>
  </si>
  <si>
    <t>YÖK tescili belgeli.</t>
  </si>
  <si>
    <t>S3</t>
  </si>
  <si>
    <t>★ Bağış fiilen yapıldı mı? (Banka / teslim)</t>
  </si>
  <si>
    <t>S4</t>
  </si>
  <si>
    <t>Makbuz zorunlu.</t>
  </si>
  <si>
    <t>S5</t>
  </si>
  <si>
    <t>402 ile örtüşme analizi yapıldı mı? (Lise→402, Üniversite→470)</t>
  </si>
  <si>
    <t>Doğru kod seçimi belgelendi.</t>
  </si>
  <si>
    <t>S6</t>
  </si>
  <si>
    <t>Ayni bağış varsa maliyet değeri ve KDV istisnası doğru mu?</t>
  </si>
  <si>
    <t>Maliyet esas, KDV yok.</t>
  </si>
  <si>
    <t>S7</t>
  </si>
  <si>
    <t>★ İndirim matrahı aşıyor mu? (Devredilmez!)</t>
  </si>
  <si>
    <t>S8</t>
  </si>
  <si>
    <t>✗ YİAKV E.11'de bilgi satırı var mı?</t>
  </si>
  <si>
    <t>S9</t>
  </si>
  <si>
    <t>Birden fazla üniversite ayrı satırlarda mı? (C tablosu)</t>
  </si>
  <si>
    <t>S10</t>
  </si>
  <si>
    <t>Beyanname 470 'Kazancın Bulunması Halinde'?</t>
  </si>
  <si>
    <t>S11</t>
  </si>
  <si>
    <t>YMM Tasdik Raporu değerlendirildi mi?</t>
  </si>
  <si>
    <t>&gt;=500.000 TL → Rapor.</t>
  </si>
  <si>
    <t xml:space="preserve">  GİB KV BEYAN REHBERİ MART 2026 (No:606) | 470 YÜKSEKÖĞRETİM BAĞIŞI SON NOT:
  2547 s.K. — Devlet üniversiteleri ve YÖK onaylı vakıf üniversiteleri ve yüksekokullar.
  Tamamının indirimi — matrahı aşan kısım devredilemez.
  Vakıf üniversitesi için YÖK onayı zorunludur. 402 ile örtüşme analizi yapılmalıdır.
  ✗ YİAKV E.11 bilgi satırı (402/460/461/464/465/466/469 ile birlikte toplamı).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</si>
</sst>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1F618D"/>
      <name val="Arial"/>
    </font>
    <font>
      <b/>
      <sz val="10"/>
      <color rgb="FF1F618D"/>
      <name val="Arial"/>
    </font>
    <font>
      <sz val="9"/>
      <color rgb="FF1F3864"/>
      <name val="Arial"/>
    </font>
    <font>
      <b/>
      <sz val="9"/>
      <color rgb="FF1F618D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618D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6EAF8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F618D"/>
      </left>
      <right style="thin">
        <color rgb="FF1F618D"/>
      </right>
      <top style="thin">
        <color rgb="FF1F618D"/>
      </top>
      <bottom style="thin">
        <color rgb="FF1F618D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4" fillId="11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24" fillId="9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26" fillId="17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16" fillId="11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1344E-6A87-405C-A2AC-D82075083C4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6331b0b-3e61-4556-bf99-b5ab2800f4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62"/>
      <c r="C1" s="62"/>
      <c r="D1" s="62"/>
      <c r="E1" s="62"/>
      <c r="F1" s="62"/>
      <c r="G1" s="63"/>
    </row>
    <row r="2" spans="1:7" ht="22" customHeight="1" x14ac:dyDescent="0.55000000000000004">
      <c r="A2" s="96" t="s">
        <v>1</v>
      </c>
      <c r="B2" s="62"/>
      <c r="C2" s="62"/>
      <c r="D2" s="62"/>
      <c r="E2" s="62"/>
      <c r="F2" s="62"/>
      <c r="G2" s="63"/>
    </row>
    <row r="3" spans="1:7" ht="42" customHeight="1" x14ac:dyDescent="0.55000000000000004">
      <c r="A3" s="87" t="s">
        <v>2</v>
      </c>
      <c r="B3" s="67"/>
      <c r="C3" s="67"/>
      <c r="D3" s="67"/>
      <c r="E3" s="67"/>
      <c r="F3" s="67"/>
      <c r="G3" s="65"/>
    </row>
    <row r="4" spans="1:7" ht="22" customHeight="1" x14ac:dyDescent="0.55000000000000004">
      <c r="A4" s="88" t="s">
        <v>3</v>
      </c>
      <c r="B4" s="67"/>
      <c r="C4" s="67"/>
      <c r="D4" s="67"/>
      <c r="E4" s="67"/>
      <c r="F4" s="67"/>
      <c r="G4" s="65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4" t="s">
        <v>4</v>
      </c>
      <c r="B6" s="62"/>
      <c r="C6" s="62"/>
      <c r="D6" s="62"/>
      <c r="E6" s="62"/>
      <c r="F6" s="62"/>
      <c r="G6" s="63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3" t="s">
        <v>8</v>
      </c>
      <c r="B8" s="67"/>
      <c r="C8" s="67"/>
      <c r="D8" s="65"/>
      <c r="E8" s="3" t="s">
        <v>9</v>
      </c>
      <c r="F8" s="86" t="s">
        <v>10</v>
      </c>
      <c r="G8" s="65"/>
    </row>
    <row r="9" spans="1:7" ht="28" customHeight="1" x14ac:dyDescent="0.55000000000000004">
      <c r="A9" s="83" t="s">
        <v>11</v>
      </c>
      <c r="B9" s="67"/>
      <c r="C9" s="67"/>
      <c r="D9" s="65"/>
      <c r="E9" s="3" t="s">
        <v>9</v>
      </c>
      <c r="F9" s="86" t="s">
        <v>12</v>
      </c>
      <c r="G9" s="65"/>
    </row>
    <row r="10" spans="1:7" ht="28" customHeight="1" x14ac:dyDescent="0.55000000000000004">
      <c r="A10" s="71" t="s">
        <v>13</v>
      </c>
      <c r="B10" s="67"/>
      <c r="C10" s="67"/>
      <c r="D10" s="65"/>
      <c r="E10" s="3" t="s">
        <v>9</v>
      </c>
      <c r="F10" s="81" t="s">
        <v>14</v>
      </c>
      <c r="G10" s="65"/>
    </row>
    <row r="11" spans="1:7" ht="28" customHeight="1" x14ac:dyDescent="0.55000000000000004">
      <c r="A11" s="70" t="s">
        <v>15</v>
      </c>
      <c r="B11" s="67"/>
      <c r="C11" s="67"/>
      <c r="D11" s="65"/>
      <c r="E11" s="3" t="s">
        <v>9</v>
      </c>
      <c r="F11" s="76" t="s">
        <v>16</v>
      </c>
      <c r="G11" s="65"/>
    </row>
    <row r="12" spans="1:7" ht="28" customHeight="1" x14ac:dyDescent="0.55000000000000004">
      <c r="A12" s="71" t="s">
        <v>17</v>
      </c>
      <c r="B12" s="67"/>
      <c r="C12" s="67"/>
      <c r="D12" s="65"/>
      <c r="E12" s="3" t="s">
        <v>9</v>
      </c>
      <c r="F12" s="81" t="s">
        <v>18</v>
      </c>
      <c r="G12" s="65"/>
    </row>
    <row r="13" spans="1:7" ht="28" customHeight="1" x14ac:dyDescent="0.55000000000000004">
      <c r="A13" s="70" t="s">
        <v>19</v>
      </c>
      <c r="B13" s="67"/>
      <c r="C13" s="67"/>
      <c r="D13" s="65"/>
      <c r="E13" s="3" t="s">
        <v>9</v>
      </c>
      <c r="F13" s="76" t="s">
        <v>20</v>
      </c>
      <c r="G13" s="65"/>
    </row>
    <row r="14" spans="1:7" ht="28" customHeight="1" x14ac:dyDescent="0.55000000000000004">
      <c r="A14" s="71" t="s">
        <v>21</v>
      </c>
      <c r="B14" s="67"/>
      <c r="C14" s="67"/>
      <c r="D14" s="65"/>
      <c r="E14" s="3" t="s">
        <v>9</v>
      </c>
      <c r="F14" s="81" t="s">
        <v>22</v>
      </c>
      <c r="G14" s="65"/>
    </row>
    <row r="15" spans="1:7" ht="24" customHeight="1" x14ac:dyDescent="0.55000000000000004">
      <c r="A15" s="73" t="s">
        <v>23</v>
      </c>
      <c r="B15" s="67"/>
      <c r="C15" s="67"/>
      <c r="D15" s="65"/>
      <c r="E15" s="4" t="str">
        <f>IF(AND(E8="EVET",E9="EVET",E10="EVET"),"OK - Hesaplanabilir","HATA - Ön koşul eksik")</f>
        <v>OK - Hesaplanabilir</v>
      </c>
      <c r="F15" s="72" t="s">
        <v>24</v>
      </c>
      <c r="G15" s="65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1" t="s">
        <v>25</v>
      </c>
      <c r="B17" s="62"/>
      <c r="C17" s="62"/>
      <c r="D17" s="62"/>
      <c r="E17" s="62"/>
      <c r="F17" s="62"/>
      <c r="G17" s="63"/>
    </row>
    <row r="18" spans="1:7" ht="22" customHeight="1" x14ac:dyDescent="0.55000000000000004">
      <c r="A18" s="71" t="s">
        <v>26</v>
      </c>
      <c r="B18" s="65"/>
      <c r="C18" s="66"/>
      <c r="D18" s="67"/>
      <c r="E18" s="65"/>
      <c r="F18" s="69" t="s">
        <v>27</v>
      </c>
      <c r="G18" s="65"/>
    </row>
    <row r="19" spans="1:7" ht="22" customHeight="1" x14ac:dyDescent="0.55000000000000004">
      <c r="A19" s="70" t="s">
        <v>28</v>
      </c>
      <c r="B19" s="65"/>
      <c r="C19" s="66"/>
      <c r="D19" s="67"/>
      <c r="E19" s="65"/>
      <c r="F19" s="68" t="s">
        <v>29</v>
      </c>
      <c r="G19" s="65"/>
    </row>
    <row r="20" spans="1:7" ht="22" customHeight="1" x14ac:dyDescent="0.55000000000000004">
      <c r="A20" s="71" t="s">
        <v>30</v>
      </c>
      <c r="B20" s="65"/>
      <c r="C20" s="66"/>
      <c r="D20" s="67"/>
      <c r="E20" s="65"/>
      <c r="F20" s="69" t="s">
        <v>31</v>
      </c>
      <c r="G20" s="65"/>
    </row>
    <row r="21" spans="1:7" ht="22" customHeight="1" x14ac:dyDescent="0.55000000000000004">
      <c r="A21" s="70" t="s">
        <v>32</v>
      </c>
      <c r="B21" s="65"/>
      <c r="C21" s="66"/>
      <c r="D21" s="67"/>
      <c r="E21" s="65"/>
      <c r="F21" s="68" t="s">
        <v>33</v>
      </c>
      <c r="G21" s="65"/>
    </row>
    <row r="22" spans="1:7" ht="22" customHeight="1" x14ac:dyDescent="0.55000000000000004">
      <c r="A22" s="71" t="s">
        <v>34</v>
      </c>
      <c r="B22" s="65"/>
      <c r="C22" s="66"/>
      <c r="D22" s="67"/>
      <c r="E22" s="65"/>
      <c r="F22" s="69" t="s">
        <v>35</v>
      </c>
      <c r="G22" s="65"/>
    </row>
    <row r="23" spans="1:7" ht="22" customHeight="1" x14ac:dyDescent="0.55000000000000004">
      <c r="A23" s="70" t="s">
        <v>36</v>
      </c>
      <c r="B23" s="65"/>
      <c r="C23" s="66"/>
      <c r="D23" s="67"/>
      <c r="E23" s="65"/>
      <c r="F23" s="68" t="s">
        <v>37</v>
      </c>
      <c r="G23" s="65"/>
    </row>
    <row r="24" spans="1:7" ht="22" customHeight="1" x14ac:dyDescent="0.55000000000000004">
      <c r="A24" s="71" t="s">
        <v>38</v>
      </c>
      <c r="B24" s="65"/>
      <c r="C24" s="66"/>
      <c r="D24" s="67"/>
      <c r="E24" s="65"/>
      <c r="F24" s="69" t="s">
        <v>39</v>
      </c>
      <c r="G24" s="65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1" t="s">
        <v>40</v>
      </c>
      <c r="B27" s="62"/>
      <c r="C27" s="62"/>
      <c r="D27" s="62"/>
      <c r="E27" s="62"/>
      <c r="F27" s="62"/>
      <c r="G27" s="63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70" t="s">
        <v>45</v>
      </c>
      <c r="B29" s="65"/>
      <c r="C29" s="3" t="s">
        <v>46</v>
      </c>
      <c r="D29" s="68" t="s">
        <v>47</v>
      </c>
      <c r="E29" s="65"/>
      <c r="F29" s="64" t="s">
        <v>48</v>
      </c>
      <c r="G29" s="65"/>
    </row>
    <row r="30" spans="1:7" ht="26.05" customHeight="1" x14ac:dyDescent="0.55000000000000004">
      <c r="A30" s="71" t="s">
        <v>49</v>
      </c>
      <c r="B30" s="65"/>
      <c r="C30" s="3" t="s">
        <v>50</v>
      </c>
      <c r="D30" s="69" t="s">
        <v>51</v>
      </c>
      <c r="E30" s="65"/>
      <c r="F30" s="82" t="s">
        <v>52</v>
      </c>
      <c r="G30" s="65"/>
    </row>
    <row r="31" spans="1:7" ht="26.05" customHeight="1" x14ac:dyDescent="0.55000000000000004">
      <c r="A31" s="70" t="s">
        <v>53</v>
      </c>
      <c r="B31" s="65"/>
      <c r="C31" s="3" t="s">
        <v>54</v>
      </c>
      <c r="D31" s="68" t="s">
        <v>55</v>
      </c>
      <c r="E31" s="65"/>
      <c r="F31" s="64" t="s">
        <v>56</v>
      </c>
      <c r="G31" s="65"/>
    </row>
    <row r="32" spans="1:7" ht="26.05" customHeight="1" x14ac:dyDescent="0.55000000000000004">
      <c r="A32" s="71" t="s">
        <v>57</v>
      </c>
      <c r="B32" s="65"/>
      <c r="C32" s="5"/>
      <c r="D32" s="69" t="s">
        <v>58</v>
      </c>
      <c r="E32" s="65"/>
      <c r="F32" s="82" t="s">
        <v>59</v>
      </c>
      <c r="G32" s="65"/>
    </row>
    <row r="33" spans="1:7" ht="26.05" customHeight="1" x14ac:dyDescent="0.55000000000000004">
      <c r="A33" s="75" t="s">
        <v>60</v>
      </c>
      <c r="B33" s="65"/>
      <c r="C33" s="5"/>
      <c r="D33" s="68" t="s">
        <v>61</v>
      </c>
      <c r="E33" s="65"/>
      <c r="F33" s="64" t="s">
        <v>62</v>
      </c>
      <c r="G33" s="65"/>
    </row>
    <row r="34" spans="1:7" ht="26.05" customHeight="1" x14ac:dyDescent="0.55000000000000004">
      <c r="A34" s="71" t="s">
        <v>63</v>
      </c>
      <c r="B34" s="65"/>
      <c r="C34" s="5"/>
      <c r="D34" s="69" t="s">
        <v>64</v>
      </c>
      <c r="E34" s="65"/>
      <c r="F34" s="82" t="s">
        <v>65</v>
      </c>
      <c r="G34" s="65"/>
    </row>
    <row r="35" spans="1:7" ht="26.05" customHeight="1" x14ac:dyDescent="0.55000000000000004">
      <c r="A35" s="75" t="s">
        <v>66</v>
      </c>
      <c r="B35" s="65"/>
      <c r="C35" s="6">
        <f>C33+C34</f>
        <v>0</v>
      </c>
      <c r="D35" s="68" t="s">
        <v>67</v>
      </c>
      <c r="E35" s="65"/>
      <c r="F35" s="64" t="s">
        <v>68</v>
      </c>
      <c r="G35" s="65"/>
    </row>
    <row r="36" spans="1:7" ht="26.05" customHeight="1" x14ac:dyDescent="0.55000000000000004">
      <c r="A36" s="89" t="s">
        <v>69</v>
      </c>
      <c r="B36" s="65"/>
      <c r="C36" s="5"/>
      <c r="D36" s="69" t="s">
        <v>70</v>
      </c>
      <c r="E36" s="65"/>
      <c r="F36" s="82" t="s">
        <v>71</v>
      </c>
      <c r="G36" s="65"/>
    </row>
    <row r="37" spans="1:7" ht="26.05" customHeight="1" x14ac:dyDescent="0.55000000000000004">
      <c r="A37" s="70" t="s">
        <v>72</v>
      </c>
      <c r="B37" s="65"/>
      <c r="C37" s="3" t="s">
        <v>73</v>
      </c>
      <c r="D37" s="68" t="s">
        <v>74</v>
      </c>
      <c r="E37" s="65"/>
      <c r="F37" s="64" t="s">
        <v>75</v>
      </c>
      <c r="G37" s="65"/>
    </row>
    <row r="38" spans="1:7" ht="5.05" customHeight="1" x14ac:dyDescent="0.55000000000000004">
      <c r="A38" s="1"/>
      <c r="B38" s="1"/>
      <c r="C38" s="1"/>
      <c r="D38" s="1"/>
      <c r="E38" s="1"/>
      <c r="F38" s="1"/>
      <c r="G38" s="1"/>
    </row>
    <row r="39" spans="1:7" ht="24" customHeight="1" x14ac:dyDescent="0.55000000000000004">
      <c r="A39" s="61" t="s">
        <v>76</v>
      </c>
      <c r="B39" s="62"/>
      <c r="C39" s="62"/>
      <c r="D39" s="62"/>
      <c r="E39" s="62"/>
      <c r="F39" s="62"/>
      <c r="G39" s="63"/>
    </row>
    <row r="40" spans="1:7" ht="24" customHeight="1" x14ac:dyDescent="0.55000000000000004">
      <c r="A40" s="90" t="s">
        <v>77</v>
      </c>
      <c r="B40" s="67"/>
      <c r="C40" s="67"/>
      <c r="D40" s="67"/>
      <c r="E40" s="67"/>
      <c r="F40" s="67"/>
      <c r="G40" s="65"/>
    </row>
    <row r="41" spans="1:7" ht="18" customHeight="1" x14ac:dyDescent="0.55000000000000004">
      <c r="A41" s="7" t="s">
        <v>78</v>
      </c>
      <c r="B41" s="7" t="s">
        <v>79</v>
      </c>
      <c r="C41" s="7" t="s">
        <v>80</v>
      </c>
      <c r="D41" s="7" t="s">
        <v>81</v>
      </c>
      <c r="E41" s="7" t="s">
        <v>82</v>
      </c>
      <c r="F41" s="7" t="s">
        <v>83</v>
      </c>
      <c r="G41" s="7" t="s">
        <v>84</v>
      </c>
    </row>
    <row r="42" spans="1:7" ht="26.05" customHeight="1" x14ac:dyDescent="0.55000000000000004">
      <c r="A42" s="8"/>
      <c r="B42" s="9"/>
      <c r="C42" s="10"/>
      <c r="D42" s="10"/>
      <c r="E42" s="11">
        <f t="shared" ref="E42:E47" si="0">IF(OR(C42&gt;0,D42&gt;0),C42+D42,0)</f>
        <v>0</v>
      </c>
      <c r="F42" s="12">
        <f t="shared" ref="F42:F47" si="1">E42</f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4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1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4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1">
        <f t="shared" si="0"/>
        <v>0</v>
      </c>
      <c r="F46" s="12">
        <f t="shared" si="1"/>
        <v>0</v>
      </c>
      <c r="G46" s="13"/>
    </row>
    <row r="47" spans="1:7" ht="26.05" customHeight="1" x14ac:dyDescent="0.55000000000000004">
      <c r="A47" s="8"/>
      <c r="B47" s="9"/>
      <c r="C47" s="10"/>
      <c r="D47" s="10"/>
      <c r="E47" s="14">
        <f t="shared" si="0"/>
        <v>0</v>
      </c>
      <c r="F47" s="12">
        <f t="shared" si="1"/>
        <v>0</v>
      </c>
      <c r="G47" s="13"/>
    </row>
    <row r="48" spans="1:7" ht="30" customHeight="1" x14ac:dyDescent="0.55000000000000004">
      <c r="A48" s="80" t="s">
        <v>85</v>
      </c>
      <c r="B48" s="65"/>
      <c r="C48" s="15">
        <f>SUM(C42:C47)</f>
        <v>0</v>
      </c>
      <c r="D48" s="15">
        <f>SUM(D42:D47)</f>
        <v>0</v>
      </c>
      <c r="E48" s="16">
        <f>SUM(E42:E47)</f>
        <v>0</v>
      </c>
      <c r="F48" s="17">
        <f>SUM(F42:F47)</f>
        <v>0</v>
      </c>
      <c r="G48" s="100" t="s">
        <v>86</v>
      </c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61" t="s">
        <v>87</v>
      </c>
      <c r="B50" s="62"/>
      <c r="C50" s="62"/>
      <c r="D50" s="62"/>
      <c r="E50" s="62"/>
      <c r="F50" s="62"/>
      <c r="G50" s="63"/>
    </row>
    <row r="51" spans="1:7" ht="18" customHeight="1" x14ac:dyDescent="0.55000000000000004">
      <c r="A51" s="2"/>
      <c r="B51" s="2" t="s">
        <v>88</v>
      </c>
      <c r="C51" s="2"/>
      <c r="D51" s="2" t="s">
        <v>89</v>
      </c>
      <c r="E51" s="2"/>
      <c r="F51" s="2" t="s">
        <v>43</v>
      </c>
      <c r="G51" s="2" t="s">
        <v>90</v>
      </c>
    </row>
    <row r="52" spans="1:7" ht="28" customHeight="1" x14ac:dyDescent="0.55000000000000004">
      <c r="A52" s="71" t="s">
        <v>91</v>
      </c>
      <c r="B52" s="65"/>
      <c r="C52" s="18">
        <f>C48</f>
        <v>0</v>
      </c>
      <c r="D52" s="69" t="s">
        <v>92</v>
      </c>
      <c r="E52" s="65"/>
      <c r="F52" s="81"/>
      <c r="G52" s="65"/>
    </row>
    <row r="53" spans="1:7" ht="28" customHeight="1" x14ac:dyDescent="0.55000000000000004">
      <c r="A53" s="70" t="s">
        <v>93</v>
      </c>
      <c r="B53" s="65"/>
      <c r="C53" s="18">
        <f>D48</f>
        <v>0</v>
      </c>
      <c r="D53" s="68" t="s">
        <v>94</v>
      </c>
      <c r="E53" s="65"/>
      <c r="F53" s="76"/>
      <c r="G53" s="65"/>
    </row>
    <row r="54" spans="1:7" ht="28" customHeight="1" x14ac:dyDescent="0.55000000000000004">
      <c r="A54" s="71" t="s">
        <v>95</v>
      </c>
      <c r="B54" s="65"/>
      <c r="C54" s="18">
        <f>E48</f>
        <v>0</v>
      </c>
      <c r="D54" s="69" t="s">
        <v>96</v>
      </c>
      <c r="E54" s="65"/>
      <c r="F54" s="81"/>
      <c r="G54" s="65"/>
    </row>
    <row r="55" spans="1:7" ht="28" customHeight="1" x14ac:dyDescent="0.55000000000000004">
      <c r="A55" s="92" t="s">
        <v>97</v>
      </c>
      <c r="B55" s="65"/>
      <c r="C55" s="19" t="s">
        <v>98</v>
      </c>
      <c r="D55" s="95" t="s">
        <v>99</v>
      </c>
      <c r="E55" s="65"/>
      <c r="F55" s="98" t="s">
        <v>100</v>
      </c>
      <c r="G55" s="65"/>
    </row>
    <row r="56" spans="1:7" ht="28" customHeight="1" x14ac:dyDescent="0.55000000000000004">
      <c r="A56" s="74" t="s">
        <v>101</v>
      </c>
      <c r="B56" s="65"/>
      <c r="C56" s="20">
        <f>F48</f>
        <v>0</v>
      </c>
      <c r="D56" s="77" t="s">
        <v>102</v>
      </c>
      <c r="E56" s="65"/>
      <c r="F56" s="78" t="s">
        <v>100</v>
      </c>
      <c r="G56" s="65"/>
    </row>
    <row r="57" spans="1:7" ht="28" customHeight="1" x14ac:dyDescent="0.55000000000000004">
      <c r="A57" s="93" t="s">
        <v>103</v>
      </c>
      <c r="B57" s="65"/>
      <c r="C57" s="21" t="s">
        <v>104</v>
      </c>
      <c r="D57" s="99" t="s">
        <v>105</v>
      </c>
      <c r="E57" s="65"/>
      <c r="F57" s="79" t="s">
        <v>106</v>
      </c>
      <c r="G57" s="65"/>
    </row>
    <row r="58" spans="1:7" ht="5.05" customHeight="1" x14ac:dyDescent="0.55000000000000004">
      <c r="A58" s="1"/>
      <c r="B58" s="1"/>
      <c r="C58" s="1"/>
      <c r="D58" s="1"/>
      <c r="E58" s="1"/>
      <c r="F58" s="1"/>
      <c r="G58" s="1"/>
    </row>
    <row r="59" spans="1:7" ht="32.049999999999997" customHeight="1" x14ac:dyDescent="0.55000000000000004">
      <c r="A59" s="84" t="s">
        <v>107</v>
      </c>
      <c r="B59" s="67"/>
      <c r="C59" s="67"/>
      <c r="D59" s="65"/>
      <c r="E59" s="22" t="str">
        <f>D56</f>
        <v>→ Beyanname 470 | Kazancın Bulunması Halinde</v>
      </c>
      <c r="F59" s="97" t="s">
        <v>108</v>
      </c>
      <c r="G59" s="65"/>
    </row>
    <row r="60" spans="1:7" ht="30" customHeight="1" x14ac:dyDescent="0.55000000000000004">
      <c r="A60" s="91" t="s">
        <v>109</v>
      </c>
      <c r="B60" s="67"/>
      <c r="C60" s="67"/>
      <c r="D60" s="67"/>
      <c r="E60" s="67"/>
      <c r="F60" s="67"/>
      <c r="G60" s="65"/>
    </row>
  </sheetData>
  <mergeCells count="97">
    <mergeCell ref="A2:G2"/>
    <mergeCell ref="F14:G14"/>
    <mergeCell ref="D54:E54"/>
    <mergeCell ref="A14:D14"/>
    <mergeCell ref="F11:G11"/>
    <mergeCell ref="A24:B24"/>
    <mergeCell ref="F12:G12"/>
    <mergeCell ref="F24:G24"/>
    <mergeCell ref="D32:E32"/>
    <mergeCell ref="F32:G32"/>
    <mergeCell ref="A18:B18"/>
    <mergeCell ref="F35:G35"/>
    <mergeCell ref="C19:E19"/>
    <mergeCell ref="G48"/>
    <mergeCell ref="F52:G52"/>
    <mergeCell ref="A20:B20"/>
    <mergeCell ref="A6:G6"/>
    <mergeCell ref="A32:B32"/>
    <mergeCell ref="F22:G22"/>
    <mergeCell ref="A23:B23"/>
    <mergeCell ref="D55:E55"/>
    <mergeCell ref="D30:E30"/>
    <mergeCell ref="A12:D12"/>
    <mergeCell ref="A50:G50"/>
    <mergeCell ref="F55:G55"/>
    <mergeCell ref="F37:G37"/>
    <mergeCell ref="A29:B29"/>
    <mergeCell ref="A27:G27"/>
    <mergeCell ref="A31:B31"/>
    <mergeCell ref="F53:G53"/>
    <mergeCell ref="A60:G60"/>
    <mergeCell ref="A55:B55"/>
    <mergeCell ref="F8:G8"/>
    <mergeCell ref="A21:B21"/>
    <mergeCell ref="A57:B57"/>
    <mergeCell ref="F59:G59"/>
    <mergeCell ref="D57:E57"/>
    <mergeCell ref="A59:D59"/>
    <mergeCell ref="A11:D11"/>
    <mergeCell ref="D53:E53"/>
    <mergeCell ref="A1:G1"/>
    <mergeCell ref="D37:E37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10:D10"/>
    <mergeCell ref="A9:D9"/>
    <mergeCell ref="F30:G30"/>
    <mergeCell ref="F20:G20"/>
    <mergeCell ref="F18:G18"/>
    <mergeCell ref="F33:G33"/>
    <mergeCell ref="F21:G21"/>
    <mergeCell ref="F57:G57"/>
    <mergeCell ref="D35:E35"/>
    <mergeCell ref="A48:B48"/>
    <mergeCell ref="A30:B30"/>
    <mergeCell ref="F10:G10"/>
    <mergeCell ref="F54:G54"/>
    <mergeCell ref="D34:E34"/>
    <mergeCell ref="F19:G19"/>
    <mergeCell ref="C22:E22"/>
    <mergeCell ref="F34:G34"/>
    <mergeCell ref="A37:B37"/>
    <mergeCell ref="D52:E52"/>
    <mergeCell ref="A40:G40"/>
    <mergeCell ref="F36:G36"/>
    <mergeCell ref="A56:B56"/>
    <mergeCell ref="A33:B33"/>
    <mergeCell ref="F23:G23"/>
    <mergeCell ref="C18:E18"/>
    <mergeCell ref="F13:G13"/>
    <mergeCell ref="D56:E56"/>
    <mergeCell ref="F56:G56"/>
    <mergeCell ref="A22:B22"/>
    <mergeCell ref="A53:B53"/>
    <mergeCell ref="A35:B35"/>
    <mergeCell ref="D33:E33"/>
    <mergeCell ref="A19:B19"/>
    <mergeCell ref="C20:E20"/>
    <mergeCell ref="A13:D13"/>
    <mergeCell ref="A54:B54"/>
    <mergeCell ref="F15:G15"/>
    <mergeCell ref="C23:E23"/>
    <mergeCell ref="A39:G39"/>
    <mergeCell ref="A15:D15"/>
    <mergeCell ref="A17:G17"/>
    <mergeCell ref="F29:G29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1">
    <dataValidation type="list" sqref="E8" xr:uid="{00000000-0002-0000-0000-000000000000}">
      <formula1>"EVET,HAYIR-Kapsam Dışı Kurum"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"EVET,HAYIR-YÖK Onayı Eksik,Uygulanmaz-Devlet Üniversitesi"</formula1>
    </dataValidation>
    <dataValidation type="list" sqref="E12" xr:uid="{00000000-0002-0000-0000-000004000000}">
      <formula1>"EVET,HAYIR-Değerleme Eksik,Uygulanmaz-Yalnızca Nakdi"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Transferi/EFT/Havale),Ayni (Cihaz/Ekipman/Kütüphane/Malzeme),Karma (Nakdi + Ayni)"</formula1>
    </dataValidation>
    <dataValidation type="list" sqref="C30" xr:uid="{00000000-0002-0000-0000-000008000000}">
      <formula1>_xlfn._LONGTEXT("Devlet Üniversitesi (2547 s.K. Kapsamı),Vakıf Üniversitesi (2547 s.K. Kapsamı / YÖK Onaylı),Yüksekokullar ve Meslek Yüksekokulları (2547 s.K.),Üniversite Bünyesindeki Araştırma Merkezi/Enstitü,Üniversite Bünyesindeki Fon/Burs Programı,Diğer 2547 s.K. Kaps","amı Yükseköğretim Kurumu")</formula1>
    </dataValidation>
    <dataValidation type="list" sqref="C31" xr:uid="{00000000-0002-0000-0000-000009000000}">
      <formula1>"Eğitim ve Öğretim Faaliyetleri,Bilimsel Araştırma ve Ar-Ge,Burs ve Öğrenci Desteği,Kütüphane ve Laboratuvar Altyapısı,Kampüs İnşaat ve Tadilat,Sosyal ve Kültürel Tesisler,Diğer Akademik Amaç"</formula1>
    </dataValidation>
    <dataValidation type="list" sqref="C37" xr:uid="{00000000-0002-0000-0000-00000A000000}">
      <formula1>"Uygulanmaz-Devlet Üniversitesi,EVET — YÖK Onaylı,HAYIR — YÖK Onayı Teyit Edilmedi"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0" t="s">
        <v>110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114" t="s">
        <v>111</v>
      </c>
      <c r="B2" s="67"/>
      <c r="C2" s="67"/>
      <c r="D2" s="67"/>
      <c r="E2" s="67"/>
      <c r="F2" s="67"/>
      <c r="G2" s="65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3" t="s">
        <v>112</v>
      </c>
      <c r="B4" s="62"/>
      <c r="C4" s="62"/>
      <c r="D4" s="62"/>
      <c r="E4" s="62"/>
      <c r="F4" s="62"/>
      <c r="G4" s="63"/>
    </row>
    <row r="5" spans="1:7" ht="22" customHeight="1" x14ac:dyDescent="0.55000000000000004">
      <c r="A5" s="107" t="s">
        <v>113</v>
      </c>
      <c r="B5" s="67"/>
      <c r="C5" s="65"/>
      <c r="D5" s="23" t="str">
        <f>'VERİ GİRİŞİ'!E15</f>
        <v>OK - Hesaplanabilir</v>
      </c>
      <c r="E5" s="76" t="s">
        <v>114</v>
      </c>
      <c r="F5" s="67"/>
      <c r="G5" s="65"/>
    </row>
    <row r="6" spans="1:7" ht="22" customHeight="1" x14ac:dyDescent="0.55000000000000004">
      <c r="A6" s="108" t="s">
        <v>115</v>
      </c>
      <c r="B6" s="67"/>
      <c r="C6" s="65"/>
      <c r="D6" s="23" t="str">
        <f>'VERİ GİRİŞİ'!C30</f>
        <v>Devlet Üniversitesi (2547 s.K. Kapsamı)</v>
      </c>
      <c r="E6" s="81" t="s">
        <v>116</v>
      </c>
      <c r="F6" s="67"/>
      <c r="G6" s="65"/>
    </row>
    <row r="7" spans="1:7" ht="22" customHeight="1" x14ac:dyDescent="0.55000000000000004">
      <c r="A7" s="107" t="s">
        <v>117</v>
      </c>
      <c r="B7" s="67"/>
      <c r="C7" s="65"/>
      <c r="D7" s="23" t="str">
        <f>'VERİ GİRİŞİ'!C31</f>
        <v>Eğitim ve Öğretim Faaliyetleri</v>
      </c>
      <c r="E7" s="76" t="s">
        <v>118</v>
      </c>
      <c r="F7" s="67"/>
      <c r="G7" s="65"/>
    </row>
    <row r="8" spans="1:7" ht="22" customHeight="1" x14ac:dyDescent="0.55000000000000004">
      <c r="A8" s="108" t="s">
        <v>119</v>
      </c>
      <c r="B8" s="67"/>
      <c r="C8" s="65"/>
      <c r="D8" s="23">
        <f>'VERİ GİRİŞİ'!C54</f>
        <v>0</v>
      </c>
      <c r="E8" s="81" t="s">
        <v>120</v>
      </c>
      <c r="F8" s="67"/>
      <c r="G8" s="65"/>
    </row>
    <row r="9" spans="1:7" ht="22" customHeight="1" x14ac:dyDescent="0.55000000000000004">
      <c r="A9" s="73" t="s">
        <v>121</v>
      </c>
      <c r="B9" s="67"/>
      <c r="C9" s="65"/>
      <c r="D9" s="24">
        <f>'VERİ GİRİŞİ'!C56</f>
        <v>0</v>
      </c>
      <c r="E9" s="78"/>
      <c r="F9" s="67"/>
      <c r="G9" s="65"/>
    </row>
    <row r="10" spans="1:7" ht="22" customHeight="1" x14ac:dyDescent="0.55000000000000004">
      <c r="A10" s="109" t="s">
        <v>122</v>
      </c>
      <c r="B10" s="67"/>
      <c r="C10" s="65"/>
      <c r="D10" s="21" t="s">
        <v>123</v>
      </c>
      <c r="E10" s="79" t="s">
        <v>124</v>
      </c>
      <c r="F10" s="67"/>
      <c r="G10" s="65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1" t="s">
        <v>125</v>
      </c>
      <c r="B12" s="62"/>
      <c r="C12" s="62"/>
      <c r="D12" s="62"/>
      <c r="E12" s="62"/>
      <c r="F12" s="62"/>
      <c r="G12" s="63"/>
    </row>
    <row r="13" spans="1:7" ht="80.05" customHeight="1" x14ac:dyDescent="0.55000000000000004">
      <c r="A13" s="106" t="s">
        <v>126</v>
      </c>
      <c r="B13" s="67"/>
      <c r="C13" s="67"/>
      <c r="D13" s="67"/>
      <c r="E13" s="67"/>
      <c r="F13" s="67"/>
      <c r="G13" s="65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1" t="s">
        <v>127</v>
      </c>
      <c r="B15" s="62"/>
      <c r="C15" s="62"/>
      <c r="D15" s="62"/>
      <c r="E15" s="62"/>
      <c r="F15" s="62"/>
      <c r="G15" s="63"/>
    </row>
    <row r="16" spans="1:7" ht="60" customHeight="1" x14ac:dyDescent="0.55000000000000004">
      <c r="A16" s="113" t="s">
        <v>128</v>
      </c>
      <c r="B16" s="67"/>
      <c r="C16" s="67"/>
      <c r="D16" s="67"/>
      <c r="E16" s="67"/>
      <c r="F16" s="67"/>
      <c r="G16" s="65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61" t="s">
        <v>129</v>
      </c>
      <c r="B18" s="62"/>
      <c r="C18" s="62"/>
      <c r="D18" s="62"/>
      <c r="E18" s="62"/>
      <c r="F18" s="62"/>
      <c r="G18" s="63"/>
    </row>
    <row r="19" spans="1:7" ht="18" customHeight="1" x14ac:dyDescent="0.55000000000000004">
      <c r="A19" s="2"/>
      <c r="B19" s="2" t="s">
        <v>130</v>
      </c>
      <c r="C19" s="2"/>
      <c r="D19" s="2" t="s">
        <v>43</v>
      </c>
      <c r="E19" s="2"/>
      <c r="F19" s="2" t="s">
        <v>131</v>
      </c>
      <c r="G19" s="2"/>
    </row>
    <row r="20" spans="1:7" ht="20.05" customHeight="1" x14ac:dyDescent="0.55000000000000004">
      <c r="A20" s="25" t="s">
        <v>132</v>
      </c>
      <c r="B20" s="104" t="s">
        <v>133</v>
      </c>
      <c r="C20" s="65"/>
      <c r="D20" s="101" t="s">
        <v>134</v>
      </c>
      <c r="E20" s="65"/>
      <c r="F20" s="13" t="s">
        <v>135</v>
      </c>
      <c r="G20" s="28"/>
    </row>
    <row r="21" spans="1:7" ht="20.05" customHeight="1" x14ac:dyDescent="0.55000000000000004">
      <c r="A21" s="25" t="s">
        <v>136</v>
      </c>
      <c r="B21" s="104" t="s">
        <v>137</v>
      </c>
      <c r="C21" s="65"/>
      <c r="D21" s="101" t="s">
        <v>138</v>
      </c>
      <c r="E21" s="65"/>
      <c r="F21" s="13" t="s">
        <v>135</v>
      </c>
      <c r="G21" s="29"/>
    </row>
    <row r="22" spans="1:7" ht="20.05" customHeight="1" x14ac:dyDescent="0.55000000000000004">
      <c r="A22" s="25" t="s">
        <v>139</v>
      </c>
      <c r="B22" s="104" t="s">
        <v>140</v>
      </c>
      <c r="C22" s="65"/>
      <c r="D22" s="101" t="s">
        <v>141</v>
      </c>
      <c r="E22" s="65"/>
      <c r="F22" s="13" t="s">
        <v>135</v>
      </c>
      <c r="G22" s="28"/>
    </row>
    <row r="23" spans="1:7" ht="20.05" customHeight="1" x14ac:dyDescent="0.55000000000000004">
      <c r="A23" s="25" t="s">
        <v>142</v>
      </c>
      <c r="B23" s="104" t="s">
        <v>143</v>
      </c>
      <c r="C23" s="65"/>
      <c r="D23" s="101" t="s">
        <v>144</v>
      </c>
      <c r="E23" s="65"/>
      <c r="F23" s="13" t="s">
        <v>135</v>
      </c>
      <c r="G23" s="29"/>
    </row>
    <row r="24" spans="1:7" ht="20.05" customHeight="1" x14ac:dyDescent="0.55000000000000004">
      <c r="A24" s="25" t="s">
        <v>145</v>
      </c>
      <c r="B24" s="111" t="s">
        <v>146</v>
      </c>
      <c r="C24" s="65"/>
      <c r="D24" s="112" t="s">
        <v>147</v>
      </c>
      <c r="E24" s="65"/>
      <c r="F24" s="13" t="s">
        <v>135</v>
      </c>
      <c r="G24" s="28"/>
    </row>
    <row r="25" spans="1:7" ht="20.05" customHeight="1" x14ac:dyDescent="0.55000000000000004">
      <c r="A25" s="25" t="s">
        <v>148</v>
      </c>
      <c r="B25" s="102" t="s">
        <v>149</v>
      </c>
      <c r="C25" s="65"/>
      <c r="D25" s="105" t="s">
        <v>150</v>
      </c>
      <c r="E25" s="65"/>
      <c r="F25" s="13" t="s">
        <v>135</v>
      </c>
      <c r="G25" s="29"/>
    </row>
    <row r="26" spans="1:7" ht="20.05" customHeight="1" x14ac:dyDescent="0.55000000000000004">
      <c r="A26" s="25" t="s">
        <v>151</v>
      </c>
      <c r="B26" s="104" t="s">
        <v>152</v>
      </c>
      <c r="C26" s="65"/>
      <c r="D26" s="101" t="s">
        <v>153</v>
      </c>
      <c r="E26" s="65"/>
      <c r="F26" s="13" t="s">
        <v>135</v>
      </c>
      <c r="G26" s="28"/>
    </row>
    <row r="27" spans="1:7" ht="20.05" customHeight="1" x14ac:dyDescent="0.55000000000000004">
      <c r="A27" s="25" t="s">
        <v>154</v>
      </c>
      <c r="B27" s="102" t="s">
        <v>155</v>
      </c>
      <c r="C27" s="65"/>
      <c r="D27" s="105" t="s">
        <v>156</v>
      </c>
      <c r="E27" s="65"/>
      <c r="F27" s="13" t="s">
        <v>135</v>
      </c>
      <c r="G27" s="29"/>
    </row>
    <row r="28" spans="1:7" ht="20.05" customHeight="1" x14ac:dyDescent="0.55000000000000004">
      <c r="A28" s="25" t="s">
        <v>157</v>
      </c>
      <c r="B28" s="111" t="s">
        <v>158</v>
      </c>
      <c r="C28" s="65"/>
      <c r="D28" s="112" t="s">
        <v>159</v>
      </c>
      <c r="E28" s="65"/>
      <c r="F28" s="13" t="s">
        <v>135</v>
      </c>
      <c r="G28" s="28"/>
    </row>
    <row r="29" spans="1:7" ht="20.05" customHeight="1" x14ac:dyDescent="0.55000000000000004">
      <c r="A29" s="25" t="s">
        <v>160</v>
      </c>
      <c r="B29" s="102" t="s">
        <v>161</v>
      </c>
      <c r="C29" s="65"/>
      <c r="D29" s="105" t="s">
        <v>162</v>
      </c>
      <c r="E29" s="65"/>
      <c r="F29" s="13" t="s">
        <v>135</v>
      </c>
      <c r="G29" s="29"/>
    </row>
    <row r="30" spans="1:7" ht="20.05" customHeight="1" x14ac:dyDescent="0.55000000000000004">
      <c r="A30" s="25" t="s">
        <v>163</v>
      </c>
      <c r="B30" s="111" t="s">
        <v>164</v>
      </c>
      <c r="C30" s="65"/>
      <c r="D30" s="112" t="s">
        <v>165</v>
      </c>
      <c r="E30" s="65"/>
      <c r="F30" s="13" t="s">
        <v>135</v>
      </c>
      <c r="G30" s="28"/>
    </row>
    <row r="31" spans="1:7" ht="20.05" customHeight="1" x14ac:dyDescent="0.55000000000000004">
      <c r="A31" s="25" t="s">
        <v>166</v>
      </c>
      <c r="B31" s="102" t="s">
        <v>167</v>
      </c>
      <c r="C31" s="65"/>
      <c r="D31" s="105" t="s">
        <v>22</v>
      </c>
      <c r="E31" s="65"/>
      <c r="F31" s="13" t="s">
        <v>135</v>
      </c>
      <c r="G31" s="29"/>
    </row>
  </sheetData>
  <mergeCells count="44">
    <mergeCell ref="A2:G2"/>
    <mergeCell ref="B26:C26"/>
    <mergeCell ref="A7:C7"/>
    <mergeCell ref="D26:E26"/>
    <mergeCell ref="A1:G1"/>
    <mergeCell ref="B29:C29"/>
    <mergeCell ref="B28:C28"/>
    <mergeCell ref="A9:C9"/>
    <mergeCell ref="D28:E28"/>
    <mergeCell ref="A16:G16"/>
    <mergeCell ref="D25:E25"/>
    <mergeCell ref="B24:C24"/>
    <mergeCell ref="D24:E24"/>
    <mergeCell ref="A18:G18"/>
    <mergeCell ref="E5:G5"/>
    <mergeCell ref="B20:C20"/>
    <mergeCell ref="D29:E29"/>
    <mergeCell ref="A6:C6"/>
    <mergeCell ref="E8:G8"/>
    <mergeCell ref="A12:G12"/>
    <mergeCell ref="B31:C31"/>
    <mergeCell ref="B27:C27"/>
    <mergeCell ref="D31:E31"/>
    <mergeCell ref="E6:G6"/>
    <mergeCell ref="D21:E21"/>
    <mergeCell ref="A13:G13"/>
    <mergeCell ref="B21:C21"/>
    <mergeCell ref="A8:C8"/>
    <mergeCell ref="D27:E27"/>
    <mergeCell ref="B23:C23"/>
    <mergeCell ref="A15:G15"/>
    <mergeCell ref="E7:G7"/>
    <mergeCell ref="A10:C10"/>
    <mergeCell ref="B30:C30"/>
    <mergeCell ref="D30:E30"/>
    <mergeCell ref="D23:E23"/>
    <mergeCell ref="D20:E20"/>
    <mergeCell ref="E10:G10"/>
    <mergeCell ref="B25:C25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1" t="s">
        <v>168</v>
      </c>
      <c r="B1" s="62"/>
      <c r="C1" s="62"/>
      <c r="D1" s="62"/>
      <c r="E1" s="62"/>
      <c r="F1" s="62"/>
      <c r="G1" s="63"/>
    </row>
    <row r="2" spans="1:7" ht="22" customHeight="1" x14ac:dyDescent="0.55000000000000004">
      <c r="A2" s="116" t="s">
        <v>169</v>
      </c>
      <c r="B2" s="67"/>
      <c r="C2" s="67"/>
      <c r="D2" s="67"/>
      <c r="E2" s="67"/>
      <c r="F2" s="67"/>
      <c r="G2" s="65"/>
    </row>
    <row r="3" spans="1:7" ht="18" customHeight="1" x14ac:dyDescent="0.55000000000000004">
      <c r="A3" s="32"/>
      <c r="B3" s="32" t="s">
        <v>170</v>
      </c>
      <c r="C3" s="32" t="s">
        <v>171</v>
      </c>
      <c r="D3" s="32" t="s">
        <v>90</v>
      </c>
      <c r="E3" s="32" t="s">
        <v>172</v>
      </c>
      <c r="F3" s="32" t="s">
        <v>173</v>
      </c>
      <c r="G3" s="32" t="s">
        <v>174</v>
      </c>
    </row>
    <row r="4" spans="1:7" ht="22" customHeight="1" x14ac:dyDescent="0.55000000000000004">
      <c r="A4" s="33" t="s">
        <v>172</v>
      </c>
      <c r="B4" s="33" t="s">
        <v>175</v>
      </c>
      <c r="C4" s="33" t="s">
        <v>176</v>
      </c>
      <c r="D4" s="33" t="s">
        <v>177</v>
      </c>
      <c r="E4" s="33" t="s">
        <v>178</v>
      </c>
      <c r="F4" s="33" t="s">
        <v>179</v>
      </c>
      <c r="G4" s="33" t="s">
        <v>180</v>
      </c>
    </row>
    <row r="5" spans="1:7" ht="22" customHeight="1" x14ac:dyDescent="0.55000000000000004">
      <c r="A5" s="118" t="s">
        <v>181</v>
      </c>
      <c r="B5" s="67"/>
      <c r="C5" s="67"/>
      <c r="D5" s="67"/>
      <c r="E5" s="67"/>
      <c r="F5" s="67"/>
      <c r="G5" s="65"/>
    </row>
    <row r="6" spans="1:7" ht="18" customHeight="1" x14ac:dyDescent="0.55000000000000004">
      <c r="A6" s="32"/>
      <c r="B6" s="32" t="s">
        <v>170</v>
      </c>
      <c r="C6" s="32" t="s">
        <v>171</v>
      </c>
      <c r="D6" s="32" t="s">
        <v>90</v>
      </c>
      <c r="E6" s="32" t="s">
        <v>172</v>
      </c>
      <c r="F6" s="32" t="s">
        <v>173</v>
      </c>
      <c r="G6" s="32" t="s">
        <v>174</v>
      </c>
    </row>
    <row r="7" spans="1:7" ht="22" customHeight="1" x14ac:dyDescent="0.55000000000000004">
      <c r="A7" s="33" t="s">
        <v>172</v>
      </c>
      <c r="B7" s="33" t="s">
        <v>182</v>
      </c>
      <c r="C7" s="33" t="s">
        <v>183</v>
      </c>
      <c r="D7" s="33" t="s">
        <v>184</v>
      </c>
      <c r="E7" s="33" t="s">
        <v>185</v>
      </c>
      <c r="F7" s="33" t="s">
        <v>179</v>
      </c>
      <c r="G7" s="33" t="s">
        <v>186</v>
      </c>
    </row>
    <row r="8" spans="1:7" ht="22" customHeight="1" x14ac:dyDescent="0.55000000000000004">
      <c r="A8" s="115" t="s">
        <v>187</v>
      </c>
      <c r="B8" s="67"/>
      <c r="C8" s="67"/>
      <c r="D8" s="67"/>
      <c r="E8" s="67"/>
      <c r="F8" s="67"/>
      <c r="G8" s="65"/>
    </row>
    <row r="9" spans="1:7" ht="18" customHeight="1" x14ac:dyDescent="0.55000000000000004">
      <c r="A9" s="32"/>
      <c r="B9" s="32" t="s">
        <v>170</v>
      </c>
      <c r="C9" s="32" t="s">
        <v>171</v>
      </c>
      <c r="D9" s="32" t="s">
        <v>90</v>
      </c>
      <c r="E9" s="32" t="s">
        <v>172</v>
      </c>
      <c r="F9" s="32" t="s">
        <v>173</v>
      </c>
      <c r="G9" s="32" t="s">
        <v>174</v>
      </c>
    </row>
    <row r="10" spans="1:7" ht="22" customHeight="1" x14ac:dyDescent="0.55000000000000004">
      <c r="A10" s="33" t="s">
        <v>172</v>
      </c>
      <c r="B10" s="33" t="s">
        <v>188</v>
      </c>
      <c r="C10" s="33" t="s">
        <v>189</v>
      </c>
      <c r="D10" s="33" t="s">
        <v>190</v>
      </c>
      <c r="E10" s="33" t="s">
        <v>178</v>
      </c>
      <c r="F10" s="33" t="s">
        <v>179</v>
      </c>
      <c r="G10" s="33" t="s">
        <v>191</v>
      </c>
    </row>
    <row r="11" spans="1:7" ht="36" customHeight="1" x14ac:dyDescent="0.55000000000000004">
      <c r="A11" s="117" t="s">
        <v>192</v>
      </c>
      <c r="B11" s="67"/>
      <c r="C11" s="67"/>
      <c r="D11" s="67"/>
      <c r="E11" s="67"/>
      <c r="F11" s="67"/>
      <c r="G11" s="65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1" t="s">
        <v>193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96" t="s">
        <v>194</v>
      </c>
      <c r="B2" s="62"/>
      <c r="C2" s="62"/>
      <c r="D2" s="62"/>
      <c r="E2" s="62"/>
      <c r="F2" s="62"/>
      <c r="G2" s="63"/>
    </row>
    <row r="3" spans="1:7" ht="18" customHeight="1" x14ac:dyDescent="0.55000000000000004">
      <c r="A3" s="32" t="s">
        <v>195</v>
      </c>
      <c r="B3" s="32" t="s">
        <v>196</v>
      </c>
      <c r="C3" s="32" t="s">
        <v>197</v>
      </c>
      <c r="D3" s="32" t="s">
        <v>198</v>
      </c>
    </row>
    <row r="4" spans="1:7" ht="68.05" customHeight="1" x14ac:dyDescent="0.55000000000000004">
      <c r="A4" s="25" t="s">
        <v>199</v>
      </c>
      <c r="B4" s="30" t="s">
        <v>200</v>
      </c>
      <c r="C4" s="34" t="s">
        <v>201</v>
      </c>
      <c r="D4" s="35" t="s">
        <v>202</v>
      </c>
    </row>
    <row r="5" spans="1:7" ht="52" customHeight="1" x14ac:dyDescent="0.55000000000000004">
      <c r="A5" s="36" t="s">
        <v>203</v>
      </c>
      <c r="B5" s="26" t="s">
        <v>204</v>
      </c>
      <c r="C5" s="27" t="s">
        <v>205</v>
      </c>
      <c r="D5" s="37" t="s">
        <v>206</v>
      </c>
    </row>
    <row r="6" spans="1:7" ht="52" customHeight="1" x14ac:dyDescent="0.55000000000000004">
      <c r="A6" s="36" t="s">
        <v>207</v>
      </c>
      <c r="B6" s="38" t="s">
        <v>208</v>
      </c>
      <c r="C6" s="34" t="s">
        <v>209</v>
      </c>
      <c r="D6" s="35" t="s">
        <v>210</v>
      </c>
    </row>
    <row r="7" spans="1:7" ht="48" customHeight="1" x14ac:dyDescent="0.55000000000000004">
      <c r="A7" s="25" t="s">
        <v>211</v>
      </c>
      <c r="B7" s="30" t="s">
        <v>212</v>
      </c>
      <c r="C7" s="34" t="s">
        <v>213</v>
      </c>
      <c r="D7" s="35" t="s">
        <v>214</v>
      </c>
    </row>
    <row r="8" spans="1:7" ht="68.05" customHeight="1" x14ac:dyDescent="0.55000000000000004">
      <c r="A8" s="25" t="s">
        <v>215</v>
      </c>
      <c r="B8" s="31" t="s">
        <v>216</v>
      </c>
      <c r="C8" s="34" t="s">
        <v>217</v>
      </c>
      <c r="D8" s="39" t="s">
        <v>218</v>
      </c>
    </row>
    <row r="9" spans="1:7" ht="36" customHeight="1" x14ac:dyDescent="0.55000000000000004">
      <c r="A9" s="119" t="s">
        <v>219</v>
      </c>
      <c r="B9" s="67"/>
      <c r="C9" s="67"/>
      <c r="D9" s="65"/>
      <c r="E9" s="40"/>
      <c r="F9" s="40"/>
      <c r="G9" s="40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1" t="s">
        <v>220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96" t="s">
        <v>221</v>
      </c>
      <c r="B2" s="62"/>
      <c r="C2" s="62"/>
      <c r="D2" s="62"/>
      <c r="E2" s="62"/>
      <c r="F2" s="62"/>
      <c r="G2" s="6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1" t="s">
        <v>222</v>
      </c>
      <c r="B4" s="62"/>
      <c r="C4" s="62"/>
      <c r="D4" s="62"/>
      <c r="E4" s="62"/>
      <c r="F4" s="62"/>
      <c r="G4" s="63"/>
    </row>
    <row r="5" spans="1:7" ht="18" customHeight="1" x14ac:dyDescent="0.55000000000000004">
      <c r="A5" s="32"/>
      <c r="B5" s="32" t="s">
        <v>223</v>
      </c>
      <c r="C5" s="32" t="s">
        <v>48</v>
      </c>
      <c r="D5" s="32" t="s">
        <v>43</v>
      </c>
      <c r="E5" s="32" t="s">
        <v>224</v>
      </c>
      <c r="F5" s="32"/>
    </row>
    <row r="6" spans="1:7" ht="36" customHeight="1" x14ac:dyDescent="0.55000000000000004">
      <c r="A6" s="41"/>
      <c r="B6" s="42" t="s">
        <v>225</v>
      </c>
      <c r="C6" s="43" t="s">
        <v>226</v>
      </c>
      <c r="D6" s="44" t="s">
        <v>227</v>
      </c>
      <c r="E6" s="45" t="s">
        <v>228</v>
      </c>
      <c r="F6" s="41"/>
    </row>
    <row r="7" spans="1:7" ht="36" customHeight="1" x14ac:dyDescent="0.55000000000000004">
      <c r="A7" s="29"/>
      <c r="B7" s="46" t="s">
        <v>229</v>
      </c>
      <c r="C7" s="47" t="s">
        <v>230</v>
      </c>
      <c r="D7" s="44" t="s">
        <v>231</v>
      </c>
      <c r="E7" s="48" t="s">
        <v>232</v>
      </c>
      <c r="F7" s="29"/>
    </row>
    <row r="8" spans="1:7" ht="36" customHeight="1" x14ac:dyDescent="0.55000000000000004">
      <c r="A8" s="41"/>
      <c r="B8" s="42" t="s">
        <v>233</v>
      </c>
      <c r="C8" s="43" t="s">
        <v>234</v>
      </c>
      <c r="D8" s="44" t="s">
        <v>235</v>
      </c>
      <c r="E8" s="45" t="s">
        <v>236</v>
      </c>
      <c r="F8" s="41"/>
    </row>
    <row r="9" spans="1:7" ht="36" customHeight="1" x14ac:dyDescent="0.55000000000000004">
      <c r="A9" s="29"/>
      <c r="B9" s="46" t="s">
        <v>237</v>
      </c>
      <c r="C9" s="31" t="s">
        <v>238</v>
      </c>
      <c r="D9" s="44" t="s">
        <v>239</v>
      </c>
      <c r="E9" s="48" t="s">
        <v>240</v>
      </c>
      <c r="F9" s="29"/>
    </row>
    <row r="10" spans="1:7" ht="36" customHeight="1" x14ac:dyDescent="0.55000000000000004">
      <c r="A10" s="41"/>
      <c r="B10" s="42" t="s">
        <v>241</v>
      </c>
      <c r="C10" s="49" t="s">
        <v>242</v>
      </c>
      <c r="D10" s="44" t="s">
        <v>243</v>
      </c>
      <c r="E10" s="45" t="s">
        <v>244</v>
      </c>
      <c r="F10" s="41"/>
    </row>
    <row r="11" spans="1:7" ht="36" customHeight="1" x14ac:dyDescent="0.55000000000000004">
      <c r="A11" s="29"/>
      <c r="B11" s="46" t="s">
        <v>245</v>
      </c>
      <c r="C11" s="31" t="s">
        <v>246</v>
      </c>
      <c r="D11" s="44" t="s">
        <v>247</v>
      </c>
      <c r="E11" s="48" t="s">
        <v>248</v>
      </c>
      <c r="F11" s="29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20" t="s">
        <v>249</v>
      </c>
      <c r="B13" s="62"/>
      <c r="C13" s="62"/>
      <c r="D13" s="62"/>
      <c r="E13" s="62"/>
      <c r="F13" s="62"/>
      <c r="G13" s="63"/>
    </row>
    <row r="14" spans="1:7" ht="18" customHeight="1" x14ac:dyDescent="0.55000000000000004">
      <c r="A14" s="50"/>
      <c r="B14" s="50" t="s">
        <v>223</v>
      </c>
      <c r="C14" s="50" t="s">
        <v>5</v>
      </c>
      <c r="D14" s="50" t="s">
        <v>250</v>
      </c>
      <c r="E14" s="50" t="s">
        <v>251</v>
      </c>
      <c r="F14" s="50"/>
    </row>
    <row r="15" spans="1:7" ht="28" customHeight="1" x14ac:dyDescent="0.55000000000000004">
      <c r="A15" s="51"/>
      <c r="B15" s="52" t="s">
        <v>252</v>
      </c>
      <c r="C15" s="53" t="s">
        <v>253</v>
      </c>
      <c r="D15" s="54" t="s">
        <v>254</v>
      </c>
      <c r="E15" s="55" t="s">
        <v>255</v>
      </c>
      <c r="F15" s="51"/>
    </row>
    <row r="16" spans="1:7" ht="28" customHeight="1" x14ac:dyDescent="0.55000000000000004">
      <c r="A16" s="51"/>
      <c r="B16" s="52" t="s">
        <v>256</v>
      </c>
      <c r="C16" s="53" t="s">
        <v>137</v>
      </c>
      <c r="D16" s="54" t="s">
        <v>257</v>
      </c>
      <c r="E16" s="55" t="s">
        <v>255</v>
      </c>
      <c r="F16" s="51"/>
    </row>
    <row r="17" spans="1:7" ht="28" customHeight="1" x14ac:dyDescent="0.55000000000000004">
      <c r="A17" s="51"/>
      <c r="B17" s="52" t="s">
        <v>258</v>
      </c>
      <c r="C17" s="53" t="s">
        <v>259</v>
      </c>
      <c r="D17" s="54" t="s">
        <v>141</v>
      </c>
      <c r="E17" s="55" t="s">
        <v>255</v>
      </c>
      <c r="F17" s="51"/>
    </row>
    <row r="18" spans="1:7" ht="28" customHeight="1" x14ac:dyDescent="0.55000000000000004">
      <c r="A18" s="51"/>
      <c r="B18" s="52" t="s">
        <v>260</v>
      </c>
      <c r="C18" s="53" t="s">
        <v>143</v>
      </c>
      <c r="D18" s="54" t="s">
        <v>261</v>
      </c>
      <c r="E18" s="55" t="s">
        <v>255</v>
      </c>
      <c r="F18" s="51"/>
    </row>
    <row r="19" spans="1:7" ht="28" customHeight="1" x14ac:dyDescent="0.55000000000000004">
      <c r="A19" s="56"/>
      <c r="B19" s="57" t="s">
        <v>262</v>
      </c>
      <c r="C19" s="58" t="s">
        <v>263</v>
      </c>
      <c r="D19" s="59" t="s">
        <v>264</v>
      </c>
      <c r="E19" s="60" t="s">
        <v>255</v>
      </c>
      <c r="F19" s="56"/>
    </row>
    <row r="20" spans="1:7" ht="28" customHeight="1" x14ac:dyDescent="0.55000000000000004">
      <c r="A20" s="56"/>
      <c r="B20" s="57" t="s">
        <v>265</v>
      </c>
      <c r="C20" s="58" t="s">
        <v>266</v>
      </c>
      <c r="D20" s="59" t="s">
        <v>267</v>
      </c>
      <c r="E20" s="60" t="s">
        <v>255</v>
      </c>
      <c r="F20" s="56"/>
    </row>
    <row r="21" spans="1:7" ht="28" customHeight="1" x14ac:dyDescent="0.55000000000000004">
      <c r="A21" s="51"/>
      <c r="B21" s="52" t="s">
        <v>268</v>
      </c>
      <c r="C21" s="53" t="s">
        <v>269</v>
      </c>
      <c r="D21" s="54" t="s">
        <v>153</v>
      </c>
      <c r="E21" s="55" t="s">
        <v>255</v>
      </c>
      <c r="F21" s="51"/>
    </row>
    <row r="22" spans="1:7" ht="28" customHeight="1" x14ac:dyDescent="0.55000000000000004">
      <c r="A22" s="56"/>
      <c r="B22" s="57" t="s">
        <v>270</v>
      </c>
      <c r="C22" s="58" t="s">
        <v>271</v>
      </c>
      <c r="D22" s="59" t="s">
        <v>156</v>
      </c>
      <c r="E22" s="60" t="s">
        <v>255</v>
      </c>
      <c r="F22" s="56"/>
    </row>
    <row r="23" spans="1:7" ht="28" customHeight="1" x14ac:dyDescent="0.55000000000000004">
      <c r="A23" s="56"/>
      <c r="B23" s="57" t="s">
        <v>272</v>
      </c>
      <c r="C23" s="58" t="s">
        <v>273</v>
      </c>
      <c r="D23" s="59" t="s">
        <v>162</v>
      </c>
      <c r="E23" s="60" t="s">
        <v>255</v>
      </c>
      <c r="F23" s="56"/>
    </row>
    <row r="24" spans="1:7" ht="28" customHeight="1" x14ac:dyDescent="0.55000000000000004">
      <c r="A24" s="56"/>
      <c r="B24" s="57" t="s">
        <v>274</v>
      </c>
      <c r="C24" s="58" t="s">
        <v>275</v>
      </c>
      <c r="D24" s="59" t="s">
        <v>165</v>
      </c>
      <c r="E24" s="60" t="s">
        <v>255</v>
      </c>
      <c r="F24" s="56"/>
    </row>
    <row r="25" spans="1:7" ht="28" customHeight="1" x14ac:dyDescent="0.55000000000000004">
      <c r="A25" s="56"/>
      <c r="B25" s="57" t="s">
        <v>276</v>
      </c>
      <c r="C25" s="58" t="s">
        <v>277</v>
      </c>
      <c r="D25" s="59" t="s">
        <v>278</v>
      </c>
      <c r="E25" s="60" t="s">
        <v>255</v>
      </c>
      <c r="F25" s="56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52" customHeight="1" x14ac:dyDescent="0.55000000000000004">
      <c r="A27" s="119" t="s">
        <v>279</v>
      </c>
      <c r="B27" s="67"/>
      <c r="C27" s="67"/>
      <c r="D27" s="67"/>
      <c r="E27" s="67"/>
      <c r="F27" s="65"/>
      <c r="G27" s="40"/>
    </row>
  </sheetData>
  <mergeCells count="5">
    <mergeCell ref="A13:G13"/>
    <mergeCell ref="A1:G1"/>
    <mergeCell ref="A27:F27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2026-04-06T08:23:59Z</dcterms:created>
  <dcterms:modified xsi:type="dcterms:W3CDTF">2026-04-06T10:29:15Z</dcterms:modified>
</cp:coreProperties>
</file>