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C65B6B3C-4AB7-4DAC-BFA6-E7E5B600A70B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E48" i="1"/>
  <c r="C48" i="1"/>
  <c r="B48" i="1"/>
  <c r="E47" i="1"/>
  <c r="C47" i="1"/>
  <c r="B47" i="1"/>
  <c r="E46" i="1"/>
  <c r="C46" i="1"/>
  <c r="B46" i="1"/>
  <c r="E45" i="1"/>
  <c r="C45" i="1"/>
  <c r="B45" i="1"/>
  <c r="E44" i="1"/>
  <c r="C44" i="1"/>
  <c r="B44" i="1"/>
  <c r="E43" i="1"/>
  <c r="C43" i="1"/>
  <c r="B43" i="1"/>
  <c r="E42" i="1"/>
  <c r="C42" i="1"/>
  <c r="B42" i="1"/>
  <c r="E41" i="1"/>
  <c r="C41" i="1"/>
  <c r="B41" i="1"/>
  <c r="D36" i="1"/>
  <c r="E50" i="1" s="1"/>
  <c r="E14" i="1"/>
  <c r="D5" i="2" s="1"/>
  <c r="D7" i="2" l="1"/>
</calcChain>
</file>

<file path=xl/sharedStrings.xml><?xml version="1.0" encoding="utf-8"?>
<sst xmlns="http://schemas.openxmlformats.org/spreadsheetml/2006/main" count="273" uniqueCount="205">
  <si>
    <t>450 – DİĞER İNDİRİMLER | GİB KV Beyanname Catch-All Kodu | YMM TASDİK</t>
  </si>
  <si>
    <t>Beyanname 450 | GİB KV Beyan Rehberi Mart 2026 (No:606) | Kazancın Bulunması Halinde</t>
  </si>
  <si>
    <t xml:space="preserve">  BEYANNAME 450 — DİĞER İNDİRİMLER:
  GİB kurumlar vergisi beyannamesinde ayrı bir kod numarası verilmemiş ancak mevzuatta
  öngörülen indirim kalemlerinin beyan edileceği genel (catch-all) satırdır.
  ★ KULLANIM KOŞULLARI (ÜÇÜ BİRDEN ZORUNLU):
  ① MEVZUAT DAYANAĞI: Her indirim kalemi için açık yasal dayanak (KVK maddesi, geçici
     madde, özel kanun, ÇVÖA veya özelge) mutlaka belirtilmeli.
  ② BELGE: İndirimi kanıtlayan belge(ler) tasdik dosyasında bulunmalı.
  ③ TEKRAR ETMEME: 450'de yer alan indirim, beyannamede başka bir kodda
     (402, 404, 414 vb.) zaten beyan edilmemiş olmalı.
  ★ YMM MÜTESELSİL SORUMLULUĞU: Dayanaksız veya belgesiz indirim → Tarhiyat riski.
  ★ YİAKV: Her indirim kalemi için YİAKV durumu ayrı ayrı değerlendirilmeli.</t>
  </si>
  <si>
    <t xml:space="preserve">  ★ UYARI: 450 kodu '450 — Diğer İndirimler' başlığı altında catch-all niteliğindedir. Standart kodlarda (402-467) karşılığı olan bir indirim 450'ye yazılırsa mükerrerlik veya kod hatası oluşur. Önce standart kodlar kontrol edilmeli — 450 sadece kapsam dışı kalanlar için.</t>
  </si>
  <si>
    <t>A0. KAPSAM VE NİTELİK UYGUNLUK ÖN KONTROLÜ — BEYANNAME 450 DİĞER İNDİRİMLER</t>
  </si>
  <si>
    <t>Kontrol Sorusu</t>
  </si>
  <si>
    <t>Yanıt</t>
  </si>
  <si>
    <t>YMM Tasdik Notu</t>
  </si>
  <si>
    <t>A0.1  ★ Bu indirim standart kodlarda (402–467) karşılığı OLMAYAN bir kalem mi?</t>
  </si>
  <si>
    <t>EVET</t>
  </si>
  <si>
    <t>İndirim 402 (eğitim/sağlık), 404 (kültür/turizm), 414 (sağlık hizm.), 416 (diğer hizm.), 452 (korumalı işyeri), 467 (İFM) vb. standart kodlara girmiyorsa 450 kullanılır. Standart kodda karşılığı varsa önce o kod kullanılmalı.</t>
  </si>
  <si>
    <t>A0.2  ★ Her indirim kalemi için AÇIK MEVZUAT DAYANAĞI belirlendi mi?</t>
  </si>
  <si>
    <t>KVK maddesi, geçici maddesi, özel kanun, ÇVÖA veya GİB özelgesi ile dayanak gösterilmeli. Dayanaksız indirim → Tarhiyat ve ceza riski.</t>
  </si>
  <si>
    <t>A0.3  ★ İndirim hakkı beyan dönemine ait mi? (Devir/zamanlaama kontrolü)</t>
  </si>
  <si>
    <t>İndirim hakkının cari döneme ait olduğu teyit edilmeli. Geçmiş dönem indirimleri mahsuplaşma veya düzeltme beyannamesiyle ele alınmalı.</t>
  </si>
  <si>
    <t>A0.4  Her indirim kalemi için destekleyici BELGE temin edildi mi?</t>
  </si>
  <si>
    <t>Fatura, sözleşme, özelge, mahkeme kararı, teknik hesaplama vb. ilgili belge zorunludur.</t>
  </si>
  <si>
    <t>A0.5  ✗/✓ YİAKV durumu her kalem için ayrı ayrı değerlendirildi mi?</t>
  </si>
  <si>
    <t>450'deki her kalem için YİAKV matrahına etkisi (E.11 veya korumalı) ayrıca belirlenmeli.</t>
  </si>
  <si>
    <t>A0.6  YMM Tasdik Raporu gereksinimi değerlendirildi mi?</t>
  </si>
  <si>
    <t>&gt;=500.000 TL → YMM raporu.</t>
  </si>
  <si>
    <t>A0.7  Tasdik Uygunluk Sonucu</t>
  </si>
  <si>
    <t>★ A0.1 standart kod kontrolü | A0.2 mevzuat dayanak | A0.3 dönem | A0.4 belge.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</si>
  <si>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</si>
  <si>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</si>
  <si>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</si>
  <si>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</si>
  <si>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</si>
  <si>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</si>
  <si>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</si>
  <si>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</si>
  <si>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</si>
  <si>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Toplam 450 İndirim Kalemi Sayısı</t>
  </si>
  <si>
    <t>Beyanname 450'ye dahil edilen farklı indirim türü sayısı</t>
  </si>
  <si>
    <t>Dosya Referansı</t>
  </si>
  <si>
    <t>YMM-2025/450-01</t>
  </si>
  <si>
    <t>B. DİĞER İNDİRİM KALEMLERİ TABLOSU — BEYANNAME 450</t>
  </si>
  <si>
    <t xml:space="preserve">  Her indirim kalemi için ayrı satır. SÜTUN 2: İndirim türü/açıklaması. SÜTUN 3: Mevzuat dayanağı (KVK Md./Geç.Md./Kanun No.). SÜTUN 4: İndirim tutarı. SÜTUN 5: YİAKV durumu. SÜTUN 6: Belge referansı. ★ Dayanaksız satır bırakılmamalı.</t>
  </si>
  <si>
    <t>No</t>
  </si>
  <si>
    <t>İndirim Açıklaması</t>
  </si>
  <si>
    <t>Mevzuat Dayanağı</t>
  </si>
  <si>
    <t>İndirim Tutarı (TL)</t>
  </si>
  <si>
    <t>YİAKV Durumu</t>
  </si>
  <si>
    <t>Belge Referansı</t>
  </si>
  <si>
    <t>YMM Notu</t>
  </si>
  <si>
    <t>1</t>
  </si>
  <si>
    <t>YMM Teyidi Gerekli</t>
  </si>
  <si>
    <t>2</t>
  </si>
  <si>
    <t>3</t>
  </si>
  <si>
    <t>4</t>
  </si>
  <si>
    <t>5</t>
  </si>
  <si>
    <t>6</t>
  </si>
  <si>
    <t>7</t>
  </si>
  <si>
    <t>8</t>
  </si>
  <si>
    <t>BEYANNAME 450 TOPLAMI</t>
  </si>
  <si>
    <t>← Beyanname 450 — Kazancın Bulunması Halinde | Devredilmez</t>
  </si>
  <si>
    <t>C. YİAKV AYRIMI — 450 İNDİRİM KALEMLERİ SINIFLANDIRMASI</t>
  </si>
  <si>
    <t xml:space="preserve">  450'deki her indirim kalemi için YİAKV matrahına etkisi ayrı değerlendirilmeli. Korumalı kalemler YİAKV matrahından düşülür — E.11 kalemleri düşülemez. Her kalem için GİB Rehberi No:607 ve ilgili mevzuat incelenmeli.</t>
  </si>
  <si>
    <t>İndirim Kalemi</t>
  </si>
  <si>
    <t>Mevzuat</t>
  </si>
  <si>
    <t>Tutar (TL)</t>
  </si>
  <si>
    <t>Etki</t>
  </si>
  <si>
    <t>D.1  BEYANNAME 450 TOPLAM İNDİRİMİ (Kazancın Bulunması Halinde)</t>
  </si>
  <si>
    <t>B Tablosu Toplamı | Devredilmez</t>
  </si>
  <si>
    <t xml:space="preserve">  ★ KRİTİK: (1) STANDART KOD KONTROLÜ — 402-467 arası kodlarda karşılığı olan kalem 450'ye giremez. (2) MEVZUAT DAYANAĞI — her satır zorunlu. (3) YİAKV — kalem bazında ayrı değerlendirme. (4) MÜKERRER İNDİRİM — aynı kalem başka kodda gösterilmemeli. (5) DEVREDILMEZ.</t>
  </si>
  <si>
    <t>450 – DİĞER İNDİRİMLER | HESAPLAMALAR VE DENETİM</t>
  </si>
  <si>
    <t>Catch-All Kod | Mevzuat Dayanak Zorunlu | Kalem Bazı YİAKV | Beyanname 450</t>
  </si>
  <si>
    <t>A. TASDİK ÖZETİ</t>
  </si>
  <si>
    <t>A0 Uygunluğu</t>
  </si>
  <si>
    <t>OK ise devam</t>
  </si>
  <si>
    <t>Kalem Sayısı</t>
  </si>
  <si>
    <t>Beyanname 450 kalem adedi</t>
  </si>
  <si>
    <t>450 TOPLAM İNDİRİM</t>
  </si>
  <si>
    <t>B Tablosu toplamı</t>
  </si>
  <si>
    <t>B. 450 KODUNUN KULLANIM AMACI VE SINIRI</t>
  </si>
  <si>
    <t xml:space="preserve">  BEYANNAME 450 — DİĞER İNDİRİMLER CATCH-ALL KODU:
  KULLANILMASI GEREKEN DURUMLAR:
  • Mevzuatta açıkça öngörülmüş ancak standart beyanname kodunda (402-467)
    ayrı satırı bulunmayan indirimler
  • GİB özelgesiyle teyit edilmiş özel indirim hakları
  • Kanun geçici maddesi kapsamı ve süreli indirimler
  • ÇVÖA kapsamında vergi muafiyeti/indirimlerinin yansıması
  KULLANILMAMASI GEREKEN DURUMLAR:
  ✗ Standart kodda (402-467) karşılığı olan indirim → İlgili koda yazılmalı
  ✗ Mevzuat dayanağı belirsiz indirim → 450 dahil edilemez
  ✗ Aynı tutarın başka kodda beyan edilmesi → Mükerrer indirim
  ✗ Gider niteliğindeki tutarlar → 450 değil doğrudan gider kalemi
  YMM MÜTESELSİL SORUMLULUĞU:
  450'ye dahil edilen her kalem için YMM'nin:
  ① Yasal dayanağı teyit etmesi
  ② Belgeyi incelemesi
  ③ YİAKV etkisini değerlendirmesi
  ④ Standart kodda karşılığı olmadığını doğrulaması
  zorunludur.</t>
  </si>
  <si>
    <t>C. DENETİM KONTROL LİSTESİ (K1–K10)</t>
  </si>
  <si>
    <t>Kontrol</t>
  </si>
  <si>
    <t>Açıklama</t>
  </si>
  <si>
    <t>Sonuç</t>
  </si>
  <si>
    <t>K1</t>
  </si>
  <si>
    <t>★ Her kalem için standart kod kontrolü yapıldı mı?</t>
  </si>
  <si>
    <t>402-467 kodlarında karşılığı varsa 450 değil.</t>
  </si>
  <si>
    <t>Uygun/Eksik/Risk</t>
  </si>
  <si>
    <t>K2</t>
  </si>
  <si>
    <t>★ Her kalem için mevzuat dayanağı belirlendi mi?</t>
  </si>
  <si>
    <t>B tablosu Sütun 3 dolu olmalı.</t>
  </si>
  <si>
    <t>K3</t>
  </si>
  <si>
    <t>★ Her kaleme ait belge tasdik dosyasında mı?</t>
  </si>
  <si>
    <t>Belgesiz kalem → 450'ye dahil edilemez.</t>
  </si>
  <si>
    <t>K4</t>
  </si>
  <si>
    <t>★ Her kalem cari döneme ait mi?</t>
  </si>
  <si>
    <t>Dönem dışı indirim → Düzeltme beyannamesi.</t>
  </si>
  <si>
    <t>K5</t>
  </si>
  <si>
    <t>★ YİAKV durumu kalem bazında değerlendirildi mi?</t>
  </si>
  <si>
    <t>C tablosu sütun 4 teyit edilmeli.</t>
  </si>
  <si>
    <t>K6</t>
  </si>
  <si>
    <t>Mükerrer indirim riski kontrol edildi mi?</t>
  </si>
  <si>
    <t>Aynı tutar başka kodda beyan edilmemiş.</t>
  </si>
  <si>
    <t>K7</t>
  </si>
  <si>
    <t>B tablosu toplamı D.1 ile mutabık mı?</t>
  </si>
  <si>
    <t>D36 = D.1 eşitliği.</t>
  </si>
  <si>
    <t>K8</t>
  </si>
  <si>
    <t>★ İndirim matrahı aşıyor mu? (Devredilemez!)</t>
  </si>
  <si>
    <t>Aşan kısım beyanname notu.</t>
  </si>
  <si>
    <t>K9</t>
  </si>
  <si>
    <t>Beyanname 450 'Kazancın Bulunması Halinde'?</t>
  </si>
  <si>
    <t>Zarar → uygulanamaz.</t>
  </si>
  <si>
    <t>K10</t>
  </si>
  <si>
    <t>YMM Tasdik Raporu değerlendirildi mi?</t>
  </si>
  <si>
    <t>450 – DİĞER İNDİRİMLER | MUHASEBE KAYITLARI</t>
  </si>
  <si>
    <t>NOT: 450 Diğer İndirimler — Muhasebe Kaydı İndirim Türüne Göre Değişir</t>
  </si>
  <si>
    <t xml:space="preserve">  MUHASEBE KAYDI GENEL ÇERÇEVE:
  450 kapsamındaki indirimler, türlerine göre farklı muhasebe etkisi yaratabilir:
  ① Gider niteliğinde değilse (saf beyanname indirimi): Gelir tablosunu etkilemez — sadece beyanname.
  ② Gider niteliğindeyse: İlgili gider hesabına (689/770 vb.) kaydedilir, KKEG'e alınır,
     beyanname 450 indirimi olarak matrahtan düşülür.
  Her indirim türü için muhasebe kaydı ve KKEG etkisi ayrı değerlendirilmelidir.</t>
  </si>
  <si>
    <t>Senaryo</t>
  </si>
  <si>
    <t>Muhasebe Etkisi</t>
  </si>
  <si>
    <t>Beyanname Etkisi</t>
  </si>
  <si>
    <t>Dr/Kr</t>
  </si>
  <si>
    <t>Ref</t>
  </si>
  <si>
    <t>→</t>
  </si>
  <si>
    <t>Saf Beyanname İndirimi (Gider değil)</t>
  </si>
  <si>
    <t>Gelir tablosu etkilenmez</t>
  </si>
  <si>
    <t>Matrahtan direkt indirim</t>
  </si>
  <si>
    <t>— Muhasebe kaydı yok —</t>
  </si>
  <si>
    <t>Beyanname 450</t>
  </si>
  <si>
    <t>Gider + Beyanname İndirimi</t>
  </si>
  <si>
    <t>689/770 → KKEG → 450 indirimi</t>
  </si>
  <si>
    <t>KKEG tutarı matrahtan düşülür</t>
  </si>
  <si>
    <t>Dr: 951 KKEG | Kr: 952 Karş.</t>
  </si>
  <si>
    <t>ÇVÖA Kapsamı Mahsup</t>
  </si>
  <si>
    <t>Yurt dışı vergi → Mahsup</t>
  </si>
  <si>
    <t>Beyanname üzerinde mahsup</t>
  </si>
  <si>
    <t>— Muhasebe etkisi ayrı —</t>
  </si>
  <si>
    <t>ÇVÖA Protokolü</t>
  </si>
  <si>
    <t>450 – DİĞER İNDİRİMLER | DENETÇİ NOTLARI</t>
  </si>
  <si>
    <t>Catch-All Kod | Mevzuat Dayanak | Standart Kod Kontrolü | YİAKV Kalem Bazı | 49 No.lu Tebliğ</t>
  </si>
  <si>
    <t>Kod</t>
  </si>
  <si>
    <t>Konu</t>
  </si>
  <si>
    <t>Mesleki Değerlendirme / Tasdik Standardı</t>
  </si>
  <si>
    <t>Mevzuat / Kaynak</t>
  </si>
  <si>
    <t>N1</t>
  </si>
  <si>
    <t>Beyanname 450 — Catch-All Kodun Kapsamı ve Sınırları</t>
  </si>
  <si>
    <t>BEYANNAME 450 — DİĞER İNDİRİMLER:
GİB kurumlar vergisi beyannamesinde 402-467 arası standart kodlarda
karşılığı bulunmayan ancak mevzuatta öngörülmüş indirimler için
kullanılan genel satırdır.
KULLANIM ALANINA GİREN ÖRNEKLER:
• Özel kanunlarla tanınan ve standart kodda olmayan indirimler
• GİB özelgesiyle teyit edilmiş spesifik indirim hakları
• Geçici madde kapsamı süreli indirimler
• ÇVÖA kapsamı vergi mahsup/indirim unsurları
KULLANIM DIŞI:
✗ 402-467 standart kodlarda karşılığı olan her kalem
✗ Mevzuat dayanağı belirsiz indirimler
✗ Gider niteliğindeki tutarların doğrudan beyanı</t>
  </si>
  <si>
    <t>GİB KV Beyan Reh. 2026 (No:606) | VUK | KVK</t>
  </si>
  <si>
    <t>N2</t>
  </si>
  <si>
    <t>★ Mevzuat Dayanak Zorunluluğu — YMM Müteselsil Sorumluluğu</t>
  </si>
  <si>
    <t>450'NİN EN KRİTİK KURALI — MEVZUAT DAYANAĞI:
Her indirim kalemi için açık yasal dayanak ZORUNLUDUR:
KABUL EDİLEN DAYANAKLAR:
① KVK madde/fıkra referansı (ör. KVK Md.10/1-x)
② Kanun geçici maddesi (ör. KVK Geç. Md.61)
③ Özel kanun numarası ve ilgili maddesi
④ GİB özelge tarihi ve sayısı
⑤ ÇVÖA adı, madde ve fıkrası
KABUL EDİLMEYEN DAYANAKLAR:
✗ 'Genel uygulama', 'sektör standardı', 'muhasebe prensibi'
✗ Dayanak gösterilmeksizin yazılan tutar
YMM SORUMLULUĞU:
Dayanaksız 450 kalemi → Tarhiyat + Vergi ziyaı cezası
SM-SMMM-YMM Kanunu Md.12 → Müteselsil sorumluluk</t>
  </si>
  <si>
    <t>VUK Md.341 | KVK Md.30 | SM-SMMM-YMM K. Md.12</t>
  </si>
  <si>
    <t>N3</t>
  </si>
  <si>
    <t>Standart Kod Kontrolü — 402-467 Önceliği</t>
  </si>
  <si>
    <t>STANDART KOD KONTROL LİSTESİ — 450 ÖNCESI:
Aşağıdaki kategorilerde indirim varsa önce ilgili kod kullanılmalı:
BAĞIŞ/YARDIM KODLARI (✗ YİAKV E.11):
402 Eğitim/Sağlık/Yurt | 403 Gençlik/İzci/Yurt | 404 Kültür/Turizm
417 İbadethane | 419 Kapadokya | 451 CB Kampanya
462 Kızılay | 463 Yeşilay | 464-483 Özel Kanunlu Bağışlar
İNDİRİM KODLARI:
406 Yatırım İndirimi | 414-416 Yurt Dışı Hizmet | 452 Korumalı İşyeri
453 Nakdi Sermaye | 455/283 Ar-Ge | 456/457 Teknokent | 467 İFM
SPONSORLUK:
460/461 Spor Sponsorluğu | 466 UAB
Bu kodların hiçbirine girmeyen meşru indirim → 450</t>
  </si>
  <si>
    <t>GİB KV Beyan Reh. 2026 (No:606) | KVK Md.10</t>
  </si>
  <si>
    <t>N4</t>
  </si>
  <si>
    <t>YİAKV — Kalem Bazında Ayrı Değerlendirme</t>
  </si>
  <si>
    <t>YİAKV (KVK Md.32/C) VE 450 DİĞER İNDİRİMLER:
450'deki her kalem için YİAKV etkisi AYRI DEĞERLENDİRİLMELİDİR.
OLASI DURUMLAR:
① Kalem KVK Md.32/C f.2'de açıkça sayılan korumalı kalemse:
   → YİAKV matrahından düşülebilir (kalem bazında teyit)
② Kalem E.11 kapsamındaysa:
   → YİAKV matrahından düşülemez
③ Durum belirsizse:
   → GİB Rehberi No:607 + özelge araştırması zorunlu
KARŞILAŞTIRMALI REFERANS:
406 Yatırım İndirimi → ✗ E.11 (düşülemez)
467 İFM Kazancı → ✓ (g) bendi (düşülebilir)
450 kalemleri → Kalem bazında ayrı teyit
YMM: B ve C tablolarında her satır için YİAKV durumu doldurulmalı.</t>
  </si>
  <si>
    <t>KVK Md.32/C | GİB Rehberi No:607</t>
  </si>
  <si>
    <t>N5</t>
  </si>
  <si>
    <t>49 No.lu Tebliğ + YMM Tasdik Dil Standardı</t>
  </si>
  <si>
    <t>KULLANIN (her kalem için ayrı paragraf):
'...[Mevzuat Dayanağı (KVK Md./Kanun No./Özelge)] kapsamında
[İndirim Konusu Açıklaması] nedeniyle [Tutar] TL, kurumlar
vergisi matrahından Diğer İndirimler (Beyanname 450) kapsamında
indirilmiştir. [YİAKV durumu belirtilmeli].'
KULLANMAYIN:
'...Çeşitli indirimler kapsamında toplam [X] TL.' (Ayrıntısız)
'...Mevzuat gereği indirim.' (Madde belirtilmemiş)
'...Standart kodda (ör. 462) yer alan tutarlar ayrıca 450'ye.'
   (Mükerrerlik)
KRİTİK RİSKLER:
(1) Standart koda sahip indirimi 450'ye yazmak.
(2) Mevzuat dayanağı göstermemek.
(3) Belgesiz indirim dahil etmek.
(4) YİAKV etkisini değerlendirmemek.</t>
  </si>
  <si>
    <t>49 No.lu Tebliğ | SM-SMMM-YMM K. Md.12</t>
  </si>
  <si>
    <t xml:space="preserve">  GİB KV BEYAN REHBERİ MART 2026 (No:606) KAPANIŞ (450): Diğer İndirimler — 402-467 standart kodlarına girmeyen, mevzuata dayalı indirimler. Her kalem için: Mevzuat dayanağı + Belge + Standart kod dışı teyit + YİAKV kalem bazı değerlendirme. Dayanaksız veya belgesiz kalem → Tarhiyat riski. YMM: SM-SMMM-YMM K. Md.12.</t>
  </si>
  <si>
    <t>450 – DİĞER İNDİRİMLER | BELGE LİSTESİ | YMM TASDİK</t>
  </si>
  <si>
    <t>Mevzuat Dayanağı Belgesi | Özelge | İndirim Hesabı | Standart Kod Dışı Teyit | YİAKV</t>
  </si>
  <si>
    <t>KATEGORİ 1 — HER KALEM İÇİN ZORUNLU BELGELER</t>
  </si>
  <si>
    <t>Belge</t>
  </si>
  <si>
    <t>Temin</t>
  </si>
  <si>
    <t>★ Mevzuat Dayanak Belgesi (Her Kalem İçin Ayrı)</t>
  </si>
  <si>
    <t>KVK maddesi metni, özel kanun maddesi, GİB özelgesi veya ÇVÖA ilgili maddesi. Her indirim kalemi için ayrı mevzuat dayanağı belgesi. Zorunlu.</t>
  </si>
  <si>
    <t>Mevzuat / GİB Özelge Arşivi</t>
  </si>
  <si>
    <t>★ İndirim Hakkını Kanıtlayan Dayanak Belge</t>
  </si>
  <si>
    <t>Fatura, sözleşme, hesap özeti, teknik hesaplama raporu, mahkeme kararı vb. İndirim tutarını doğrulayan her türlü resmi belge. Zorunlu.</t>
  </si>
  <si>
    <t>Şirket Arşivi / Muhasebe</t>
  </si>
  <si>
    <t>★ Standart Kod Dışı Teyit Notu</t>
  </si>
  <si>
    <t>İndirim kaleminin 402-467 arası standart kodlarda yer almadığını gösteren YMM değerlendirme notu. Her kalem için ayrı. Zorunlu.</t>
  </si>
  <si>
    <t>YMM Değerlendirme Notu</t>
  </si>
  <si>
    <t>★ YİAKV Kalem Bazında Değerlendirme Notu</t>
  </si>
  <si>
    <t>Her kalem için YİAKV matrahına etkisinin değerlendirildiği GİB Rehberi No:607 kapsamında YMM notu. Zorunlu.</t>
  </si>
  <si>
    <t>KV Beyannamesi 450 Satırı + Kalem Detayı</t>
  </si>
  <si>
    <t>Beyanname 450 = B Tablosu Toplamı. Her kaleme ait açıklama ve tutar ayrıca tasdik dosyasında bulunmalı.</t>
  </si>
  <si>
    <t>GİB e-Beyanname + Dosya</t>
  </si>
  <si>
    <t>KATEGORİ 2 — YMM TASDİK KONTROL SORULARI</t>
  </si>
  <si>
    <t>Beklenen Sonuç</t>
  </si>
  <si>
    <t>YMM Aksiyonu</t>
  </si>
  <si>
    <t>S1</t>
  </si>
  <si>
    <t>★ Her kalem standart kodda (402-467) karşılığı olmayan bir kalem mi?</t>
  </si>
  <si>
    <t>Standart kod önceliği kontrol.</t>
  </si>
  <si>
    <t>YMM kontrolü</t>
  </si>
  <si>
    <t>S2</t>
  </si>
  <si>
    <t>B Tablosu sütun 3 dolu.</t>
  </si>
  <si>
    <t>S3</t>
  </si>
  <si>
    <t>★ Her kaleme ait belge mevcut mu?</t>
  </si>
  <si>
    <t>Belgesiz kalem → Çıkar.</t>
  </si>
  <si>
    <t>S4</t>
  </si>
  <si>
    <t>Dönem dışı → Düzeltme beyannamesi.</t>
  </si>
  <si>
    <t>S5</t>
  </si>
  <si>
    <t>★ YİAKV kalem bazında değerlendirildi mi?</t>
  </si>
  <si>
    <t>C Tablosu sütun 4 dolu.</t>
  </si>
  <si>
    <t>S6</t>
  </si>
  <si>
    <t>Mükerrer indirim kontrolü yapıldı mı?</t>
  </si>
  <si>
    <t>Başka kodda beyan edilmemiş.</t>
  </si>
  <si>
    <t>S7</t>
  </si>
  <si>
    <t>★ İndirim matrahı aşıyor mu? (Devredilmez!)</t>
  </si>
  <si>
    <t>S8</t>
  </si>
  <si>
    <t>S9</t>
  </si>
  <si>
    <t>&gt;=500.000 TL → Rapor.</t>
  </si>
  <si>
    <t xml:space="preserve">  GİB KV BEYAN REHBERİ MART 2026 (No:606) | 450 DİĞER İNDİRİMLER CATCH-ALL KODU:
  402-467 standart kodlarına girmeyen mevzuata dayalı indirimler.
  Her kalem için: ① Standart kod dışı teyit ② Mevzuat dayanağı ③ Belge ④ YİAKV kalem bazı.
  Dayanaksız veya belgesiz kalem 450'ye dahil edilemez — tarhiyat ve ceza riski.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</si>
</sst>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F3864"/>
      <name val="Arial"/>
    </font>
    <font>
      <b/>
      <sz val="9"/>
      <color rgb="FF37474F"/>
      <name val="Arial"/>
    </font>
    <font>
      <sz val="9"/>
      <color rgb="FFC0392B"/>
      <name val="Arial"/>
    </font>
    <font>
      <sz val="8"/>
      <color rgb="FF1F3864"/>
      <name val="Arial"/>
    </font>
    <font>
      <b/>
      <sz val="14"/>
      <color rgb="FFFFFFFF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b/>
      <sz val="12"/>
      <color rgb="FF1B5E20"/>
      <name val="Arial"/>
    </font>
    <font>
      <sz val="8"/>
      <color rgb="FF333333"/>
      <name val="Arial"/>
    </font>
    <font>
      <sz val="8"/>
      <color rgb="FF1B5E20"/>
      <name val="Arial"/>
    </font>
    <font>
      <sz val="8"/>
      <color rgb="FF37474F"/>
      <name val="Arial"/>
    </font>
    <font>
      <sz val="8"/>
      <color rgb="FF444444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CEFF1"/>
      </patternFill>
    </fill>
    <fill>
      <patternFill patternType="solid">
        <fgColor rgb="FFC6EFCE"/>
      </patternFill>
    </fill>
    <fill>
      <patternFill patternType="solid">
        <fgColor rgb="FFCFD8DC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FF3E0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37474F"/>
      </left>
      <right style="thin">
        <color rgb="FF37474F"/>
      </right>
      <top style="thin">
        <color rgb="FF37474F"/>
      </top>
      <bottom style="thin">
        <color rgb="FF37474F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left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2" fillId="14" borderId="7" xfId="0" applyNumberFormat="1" applyFont="1" applyFill="1" applyBorder="1" applyAlignment="1">
      <alignment horizontal="right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left" vertical="center" wrapText="1"/>
    </xf>
    <xf numFmtId="3" fontId="15" fillId="2" borderId="8" xfId="0" applyNumberFormat="1" applyFont="1" applyFill="1" applyBorder="1" applyAlignment="1">
      <alignment horizontal="right" vertical="center" wrapText="1"/>
    </xf>
    <xf numFmtId="3" fontId="12" fillId="11" borderId="4" xfId="0" applyNumberFormat="1" applyFont="1" applyFill="1" applyBorder="1" applyAlignment="1">
      <alignment horizontal="right" vertical="center" wrapText="1"/>
    </xf>
    <xf numFmtId="3" fontId="12" fillId="12" borderId="4" xfId="0" applyNumberFormat="1" applyFont="1" applyFill="1" applyBorder="1" applyAlignment="1">
      <alignment horizontal="right" vertical="center" wrapText="1"/>
    </xf>
    <xf numFmtId="3" fontId="16" fillId="13" borderId="8" xfId="0" applyNumberFormat="1" applyFont="1" applyFill="1" applyBorder="1" applyAlignment="1">
      <alignment horizontal="right" vertical="center" wrapText="1"/>
    </xf>
    <xf numFmtId="3" fontId="20" fillId="12" borderId="4" xfId="0" applyNumberFormat="1" applyFont="1" applyFill="1" applyBorder="1" applyAlignment="1">
      <alignment horizontal="right" vertical="center"/>
    </xf>
    <xf numFmtId="1" fontId="20" fillId="12" borderId="4" xfId="0" applyNumberFormat="1" applyFont="1" applyFill="1" applyBorder="1" applyAlignment="1">
      <alignment horizontal="right" vertical="center"/>
    </xf>
    <xf numFmtId="3" fontId="21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2" fillId="16" borderId="4" xfId="0" applyFont="1" applyFill="1" applyBorder="1" applyAlignment="1">
      <alignment horizontal="left" vertical="top" wrapText="1"/>
    </xf>
    <xf numFmtId="0" fontId="0" fillId="12" borderId="4" xfId="0" applyFill="1" applyBorder="1"/>
    <xf numFmtId="0" fontId="0" fillId="11" borderId="4" xfId="0" applyFill="1" applyBorder="1"/>
    <xf numFmtId="0" fontId="7" fillId="11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12" fillId="11" borderId="4" xfId="0" applyFont="1" applyFill="1" applyBorder="1" applyAlignment="1">
      <alignment horizontal="left" vertical="center" wrapText="1"/>
    </xf>
    <xf numFmtId="0" fontId="23" fillId="11" borderId="4" xfId="0" applyFont="1" applyFill="1" applyBorder="1" applyAlignment="1">
      <alignment horizontal="left" vertical="center" wrapText="1"/>
    </xf>
    <xf numFmtId="0" fontId="24" fillId="12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25" fillId="11" borderId="4" xfId="0" applyFont="1" applyFill="1" applyBorder="1" applyAlignment="1">
      <alignment horizontal="left" vertical="center" wrapText="1"/>
    </xf>
    <xf numFmtId="0" fontId="12" fillId="12" borderId="4" xfId="0" applyFont="1" applyFill="1" applyBorder="1" applyAlignment="1">
      <alignment horizontal="left" vertical="center" wrapText="1"/>
    </xf>
    <xf numFmtId="0" fontId="23" fillId="12" borderId="4" xfId="0" applyFont="1" applyFill="1" applyBorder="1" applyAlignment="1">
      <alignment horizontal="left" vertical="center" wrapText="1"/>
    </xf>
    <xf numFmtId="0" fontId="25" fillId="12" borderId="4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/>
    </xf>
    <xf numFmtId="0" fontId="22" fillId="18" borderId="4" xfId="0" applyFont="1" applyFill="1" applyBorder="1" applyAlignment="1">
      <alignment horizontal="left" vertical="top" wrapText="1"/>
    </xf>
    <xf numFmtId="0" fontId="26" fillId="12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6" fillId="9" borderId="4" xfId="0" applyFont="1" applyFill="1" applyBorder="1" applyAlignment="1">
      <alignment horizontal="left" vertical="top" wrapText="1"/>
    </xf>
    <xf numFmtId="0" fontId="26" fillId="11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2" fillId="19" borderId="4" xfId="0" applyFont="1" applyFill="1" applyBorder="1" applyAlignment="1">
      <alignment horizontal="left" vertical="top" wrapText="1"/>
    </xf>
    <xf numFmtId="0" fontId="25" fillId="13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left" vertical="top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28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2" fillId="22" borderId="4" xfId="0" applyFont="1" applyFill="1" applyBorder="1" applyAlignment="1">
      <alignment horizontal="left" vertical="top" wrapText="1"/>
    </xf>
    <xf numFmtId="0" fontId="29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28" fillId="23" borderId="4" xfId="0" applyFont="1" applyFill="1" applyBorder="1" applyAlignment="1">
      <alignment horizontal="center" vertical="center" wrapText="1"/>
    </xf>
    <xf numFmtId="0" fontId="28" fillId="23" borderId="4" xfId="0" applyFont="1" applyFill="1" applyBorder="1" applyAlignment="1">
      <alignment horizontal="left" vertical="top" wrapText="1"/>
    </xf>
    <xf numFmtId="0" fontId="22" fillId="24" borderId="4" xfId="0" applyFont="1" applyFill="1" applyBorder="1" applyAlignment="1">
      <alignment horizontal="left" vertical="top" wrapText="1"/>
    </xf>
    <xf numFmtId="0" fontId="29" fillId="23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0" fillId="0" borderId="6" xfId="0" applyBorder="1"/>
    <xf numFmtId="0" fontId="4" fillId="9" borderId="4" xfId="0" applyFont="1" applyFill="1" applyBorder="1" applyAlignment="1">
      <alignment horizontal="left" vertical="center" wrapText="1"/>
    </xf>
    <xf numFmtId="0" fontId="0" fillId="0" borderId="5" xfId="0" applyBorder="1"/>
    <xf numFmtId="0" fontId="6" fillId="9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1" fillId="5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7" fillId="11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1" fillId="12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17" fillId="13" borderId="4" xfId="0" applyFont="1" applyFill="1" applyBorder="1" applyAlignment="1">
      <alignment horizontal="left" vertical="center" wrapText="1"/>
    </xf>
    <xf numFmtId="0" fontId="18" fillId="9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22" fillId="12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22" fillId="11" borderId="4" xfId="0" applyFont="1" applyFill="1" applyBorder="1" applyAlignment="1">
      <alignment horizontal="left" vertical="top" wrapText="1"/>
    </xf>
    <xf numFmtId="0" fontId="3" fillId="15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top" wrapText="1"/>
    </xf>
    <xf numFmtId="0" fontId="14" fillId="14" borderId="4" xfId="0" applyFont="1" applyFill="1" applyBorder="1" applyAlignment="1">
      <alignment horizontal="left" vertical="center" wrapText="1"/>
    </xf>
    <xf numFmtId="0" fontId="22" fillId="16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top" wrapText="1"/>
    </xf>
    <xf numFmtId="0" fontId="8" fillId="13" borderId="4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22" fillId="17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center"/>
    </xf>
    <xf numFmtId="0" fontId="27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45230E-EBC3-41BC-9AFC-1A1990FACED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fc674db-5418-4288-a124-1aea8664233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11" workbookViewId="0">
      <selection sqref="A1:G1"/>
    </sheetView>
  </sheetViews>
  <sheetFormatPr defaultRowHeight="14.4" x14ac:dyDescent="0.55000000000000004"/>
  <cols>
    <col min="1" max="1" width="3" customWidth="1"/>
    <col min="2" max="2" width="28" customWidth="1"/>
    <col min="3" max="4" width="20" customWidth="1"/>
    <col min="5" max="6" width="12" customWidth="1"/>
    <col min="7" max="7" width="18" customWidth="1"/>
  </cols>
  <sheetData>
    <row r="1" spans="1:7" ht="44.05" customHeight="1" x14ac:dyDescent="0.55000000000000004">
      <c r="A1" s="82" t="s">
        <v>0</v>
      </c>
      <c r="B1" s="72"/>
      <c r="C1" s="72"/>
      <c r="D1" s="72"/>
      <c r="E1" s="72"/>
      <c r="F1" s="72"/>
      <c r="G1" s="73"/>
    </row>
    <row r="2" spans="1:7" ht="22" customHeight="1" x14ac:dyDescent="0.55000000000000004">
      <c r="A2" s="87" t="s">
        <v>1</v>
      </c>
      <c r="B2" s="72"/>
      <c r="C2" s="72"/>
      <c r="D2" s="72"/>
      <c r="E2" s="72"/>
      <c r="F2" s="72"/>
      <c r="G2" s="73"/>
    </row>
    <row r="3" spans="1:7" ht="56.05" customHeight="1" x14ac:dyDescent="0.55000000000000004">
      <c r="A3" s="85" t="s">
        <v>2</v>
      </c>
      <c r="B3" s="66"/>
      <c r="C3" s="66"/>
      <c r="D3" s="66"/>
      <c r="E3" s="66"/>
      <c r="F3" s="66"/>
      <c r="G3" s="64"/>
    </row>
    <row r="4" spans="1:7" ht="24" customHeight="1" x14ac:dyDescent="0.55000000000000004">
      <c r="A4" s="70" t="s">
        <v>3</v>
      </c>
      <c r="B4" s="66"/>
      <c r="C4" s="66"/>
      <c r="D4" s="66"/>
      <c r="E4" s="66"/>
      <c r="F4" s="66"/>
      <c r="G4" s="64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83" t="s">
        <v>4</v>
      </c>
      <c r="B6" s="72"/>
      <c r="C6" s="72"/>
      <c r="D6" s="72"/>
      <c r="E6" s="72"/>
      <c r="F6" s="72"/>
      <c r="G6" s="73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65" t="s">
        <v>8</v>
      </c>
      <c r="B8" s="66"/>
      <c r="C8" s="66"/>
      <c r="D8" s="64"/>
      <c r="E8" s="3" t="s">
        <v>9</v>
      </c>
      <c r="F8" s="67" t="s">
        <v>10</v>
      </c>
      <c r="G8" s="64"/>
    </row>
    <row r="9" spans="1:7" ht="28" customHeight="1" x14ac:dyDescent="0.55000000000000004">
      <c r="A9" s="65" t="s">
        <v>11</v>
      </c>
      <c r="B9" s="66"/>
      <c r="C9" s="66"/>
      <c r="D9" s="64"/>
      <c r="E9" s="3" t="s">
        <v>9</v>
      </c>
      <c r="F9" s="67" t="s">
        <v>12</v>
      </c>
      <c r="G9" s="64"/>
    </row>
    <row r="10" spans="1:7" ht="28" customHeight="1" x14ac:dyDescent="0.55000000000000004">
      <c r="A10" s="65" t="s">
        <v>13</v>
      </c>
      <c r="B10" s="66"/>
      <c r="C10" s="66"/>
      <c r="D10" s="64"/>
      <c r="E10" s="3" t="s">
        <v>9</v>
      </c>
      <c r="F10" s="67" t="s">
        <v>14</v>
      </c>
      <c r="G10" s="64"/>
    </row>
    <row r="11" spans="1:7" ht="28" customHeight="1" x14ac:dyDescent="0.55000000000000004">
      <c r="A11" s="74" t="s">
        <v>15</v>
      </c>
      <c r="B11" s="66"/>
      <c r="C11" s="66"/>
      <c r="D11" s="64"/>
      <c r="E11" s="3" t="s">
        <v>9</v>
      </c>
      <c r="F11" s="63" t="s">
        <v>16</v>
      </c>
      <c r="G11" s="64"/>
    </row>
    <row r="12" spans="1:7" ht="28" customHeight="1" x14ac:dyDescent="0.55000000000000004">
      <c r="A12" s="79" t="s">
        <v>17</v>
      </c>
      <c r="B12" s="66"/>
      <c r="C12" s="66"/>
      <c r="D12" s="64"/>
      <c r="E12" s="3" t="s">
        <v>9</v>
      </c>
      <c r="F12" s="75" t="s">
        <v>18</v>
      </c>
      <c r="G12" s="64"/>
    </row>
    <row r="13" spans="1:7" ht="28" customHeight="1" x14ac:dyDescent="0.55000000000000004">
      <c r="A13" s="74" t="s">
        <v>19</v>
      </c>
      <c r="B13" s="66"/>
      <c r="C13" s="66"/>
      <c r="D13" s="64"/>
      <c r="E13" s="3" t="s">
        <v>9</v>
      </c>
      <c r="F13" s="63" t="s">
        <v>20</v>
      </c>
      <c r="G13" s="64"/>
    </row>
    <row r="14" spans="1:7" ht="24" customHeight="1" x14ac:dyDescent="0.55000000000000004">
      <c r="A14" s="89" t="s">
        <v>21</v>
      </c>
      <c r="B14" s="66"/>
      <c r="C14" s="66"/>
      <c r="D14" s="64"/>
      <c r="E14" s="4" t="str">
        <f>IF(AND(E8="EVET",E9="EVET",E10="EVET",E11="EVET"),"OK - Hesaplanabilir","HATA - Ön koşul eksik")</f>
        <v>OK - Hesaplanabilir</v>
      </c>
      <c r="F14" s="88" t="s">
        <v>22</v>
      </c>
      <c r="G14" s="64"/>
    </row>
    <row r="15" spans="1:7" ht="5.05" customHeight="1" x14ac:dyDescent="0.55000000000000004">
      <c r="A15" s="1"/>
      <c r="B15" s="1"/>
      <c r="C15" s="1"/>
      <c r="D15" s="1"/>
      <c r="E15" s="1"/>
      <c r="F15" s="1"/>
      <c r="G15" s="1"/>
    </row>
    <row r="16" spans="1:7" ht="22" customHeight="1" x14ac:dyDescent="0.55000000000000004">
      <c r="A16" s="71" t="s">
        <v>23</v>
      </c>
      <c r="B16" s="72"/>
      <c r="C16" s="72"/>
      <c r="D16" s="72"/>
      <c r="E16" s="72"/>
      <c r="F16" s="72"/>
      <c r="G16" s="73"/>
    </row>
    <row r="17" spans="1:7" ht="22" customHeight="1" x14ac:dyDescent="0.55000000000000004">
      <c r="A17" s="74" t="s">
        <v>24</v>
      </c>
      <c r="B17" s="64"/>
      <c r="C17" s="69"/>
      <c r="D17" s="66"/>
      <c r="E17" s="64"/>
      <c r="F17" s="68" t="s">
        <v>25</v>
      </c>
      <c r="G17" s="64"/>
    </row>
    <row r="18" spans="1:7" ht="22" customHeight="1" x14ac:dyDescent="0.55000000000000004">
      <c r="A18" s="79" t="s">
        <v>26</v>
      </c>
      <c r="B18" s="64"/>
      <c r="C18" s="69"/>
      <c r="D18" s="66"/>
      <c r="E18" s="64"/>
      <c r="F18" s="78" t="s">
        <v>27</v>
      </c>
      <c r="G18" s="64"/>
    </row>
    <row r="19" spans="1:7" ht="22" customHeight="1" x14ac:dyDescent="0.55000000000000004">
      <c r="A19" s="74" t="s">
        <v>28</v>
      </c>
      <c r="B19" s="64"/>
      <c r="C19" s="69"/>
      <c r="D19" s="66"/>
      <c r="E19" s="64"/>
      <c r="F19" s="68" t="s">
        <v>29</v>
      </c>
      <c r="G19" s="64"/>
    </row>
    <row r="20" spans="1:7" ht="22" customHeight="1" x14ac:dyDescent="0.55000000000000004">
      <c r="A20" s="79" t="s">
        <v>30</v>
      </c>
      <c r="B20" s="64"/>
      <c r="C20" s="69"/>
      <c r="D20" s="66"/>
      <c r="E20" s="64"/>
      <c r="F20" s="78" t="s">
        <v>31</v>
      </c>
      <c r="G20" s="64"/>
    </row>
    <row r="21" spans="1:7" ht="22" customHeight="1" x14ac:dyDescent="0.55000000000000004">
      <c r="A21" s="74" t="s">
        <v>32</v>
      </c>
      <c r="B21" s="64"/>
      <c r="C21" s="69"/>
      <c r="D21" s="66"/>
      <c r="E21" s="64"/>
      <c r="F21" s="68" t="s">
        <v>33</v>
      </c>
      <c r="G21" s="64"/>
    </row>
    <row r="22" spans="1:7" ht="22" customHeight="1" x14ac:dyDescent="0.55000000000000004">
      <c r="A22" s="79" t="s">
        <v>34</v>
      </c>
      <c r="B22" s="64"/>
      <c r="C22" s="69"/>
      <c r="D22" s="66"/>
      <c r="E22" s="64"/>
      <c r="F22" s="78" t="s">
        <v>35</v>
      </c>
      <c r="G22" s="64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26.05" customHeight="1" x14ac:dyDescent="0.55000000000000004">
      <c r="A25" s="71" t="s">
        <v>36</v>
      </c>
      <c r="B25" s="72"/>
      <c r="C25" s="72"/>
      <c r="D25" s="72"/>
      <c r="E25" s="72"/>
      <c r="F25" s="72"/>
      <c r="G25" s="73"/>
    </row>
    <row r="26" spans="1:7" ht="26.05" customHeight="1" x14ac:dyDescent="0.55000000000000004">
      <c r="A26" s="77" t="s">
        <v>37</v>
      </c>
      <c r="B26" s="66"/>
      <c r="C26" s="66"/>
      <c r="D26" s="66"/>
      <c r="E26" s="66"/>
      <c r="F26" s="66"/>
      <c r="G26" s="64"/>
    </row>
    <row r="27" spans="1:7" ht="18" customHeight="1" x14ac:dyDescent="0.55000000000000004">
      <c r="A27" s="6" t="s">
        <v>38</v>
      </c>
      <c r="B27" s="6" t="s">
        <v>39</v>
      </c>
      <c r="C27" s="6" t="s">
        <v>40</v>
      </c>
      <c r="D27" s="6" t="s">
        <v>41</v>
      </c>
      <c r="E27" s="6" t="s">
        <v>42</v>
      </c>
      <c r="F27" s="6" t="s">
        <v>43</v>
      </c>
      <c r="G27" s="6" t="s">
        <v>44</v>
      </c>
    </row>
    <row r="28" spans="1:7" ht="30" customHeight="1" x14ac:dyDescent="0.55000000000000004">
      <c r="A28" s="7" t="s">
        <v>45</v>
      </c>
      <c r="B28" s="8"/>
      <c r="C28" s="9"/>
      <c r="D28" s="10"/>
      <c r="E28" s="3" t="s">
        <v>46</v>
      </c>
      <c r="F28" s="11"/>
      <c r="G28" s="12"/>
    </row>
    <row r="29" spans="1:7" ht="30" customHeight="1" x14ac:dyDescent="0.55000000000000004">
      <c r="A29" s="13" t="s">
        <v>47</v>
      </c>
      <c r="B29" s="8"/>
      <c r="C29" s="9"/>
      <c r="D29" s="10"/>
      <c r="E29" s="3" t="s">
        <v>46</v>
      </c>
      <c r="F29" s="11"/>
      <c r="G29" s="14"/>
    </row>
    <row r="30" spans="1:7" ht="30" customHeight="1" x14ac:dyDescent="0.55000000000000004">
      <c r="A30" s="7" t="s">
        <v>48</v>
      </c>
      <c r="B30" s="8"/>
      <c r="C30" s="9"/>
      <c r="D30" s="10"/>
      <c r="E30" s="3" t="s">
        <v>46</v>
      </c>
      <c r="F30" s="11"/>
      <c r="G30" s="12"/>
    </row>
    <row r="31" spans="1:7" ht="30" customHeight="1" x14ac:dyDescent="0.55000000000000004">
      <c r="A31" s="13" t="s">
        <v>49</v>
      </c>
      <c r="B31" s="8"/>
      <c r="C31" s="9"/>
      <c r="D31" s="10"/>
      <c r="E31" s="3" t="s">
        <v>46</v>
      </c>
      <c r="F31" s="11"/>
      <c r="G31" s="14"/>
    </row>
    <row r="32" spans="1:7" ht="30" customHeight="1" x14ac:dyDescent="0.55000000000000004">
      <c r="A32" s="7" t="s">
        <v>50</v>
      </c>
      <c r="B32" s="8"/>
      <c r="C32" s="9"/>
      <c r="D32" s="10"/>
      <c r="E32" s="3" t="s">
        <v>46</v>
      </c>
      <c r="F32" s="11"/>
      <c r="G32" s="12"/>
    </row>
    <row r="33" spans="1:7" ht="30" customHeight="1" x14ac:dyDescent="0.55000000000000004">
      <c r="A33" s="13" t="s">
        <v>51</v>
      </c>
      <c r="B33" s="8"/>
      <c r="C33" s="9"/>
      <c r="D33" s="10"/>
      <c r="E33" s="3" t="s">
        <v>46</v>
      </c>
      <c r="F33" s="11"/>
      <c r="G33" s="14"/>
    </row>
    <row r="34" spans="1:7" ht="30" customHeight="1" x14ac:dyDescent="0.55000000000000004">
      <c r="A34" s="7" t="s">
        <v>52</v>
      </c>
      <c r="B34" s="8"/>
      <c r="C34" s="9"/>
      <c r="D34" s="10"/>
      <c r="E34" s="3" t="s">
        <v>46</v>
      </c>
      <c r="F34" s="11"/>
      <c r="G34" s="12"/>
    </row>
    <row r="35" spans="1:7" ht="30" customHeight="1" x14ac:dyDescent="0.55000000000000004">
      <c r="A35" s="13" t="s">
        <v>53</v>
      </c>
      <c r="B35" s="8"/>
      <c r="C35" s="9"/>
      <c r="D35" s="10"/>
      <c r="E35" s="3" t="s">
        <v>46</v>
      </c>
      <c r="F35" s="11"/>
      <c r="G35" s="14"/>
    </row>
    <row r="36" spans="1:7" ht="30" customHeight="1" x14ac:dyDescent="0.55000000000000004">
      <c r="A36" s="84" t="s">
        <v>54</v>
      </c>
      <c r="B36" s="66"/>
      <c r="C36" s="64"/>
      <c r="D36" s="15">
        <f>SUM(D28:D35)</f>
        <v>0</v>
      </c>
      <c r="E36" s="76" t="s">
        <v>55</v>
      </c>
      <c r="F36" s="66"/>
      <c r="G36" s="64"/>
    </row>
    <row r="37" spans="1:7" ht="5.05" customHeight="1" x14ac:dyDescent="0.55000000000000004">
      <c r="A37" s="1"/>
      <c r="B37" s="1"/>
      <c r="C37" s="1"/>
      <c r="D37" s="1"/>
      <c r="E37" s="1"/>
      <c r="F37" s="1"/>
      <c r="G37" s="1"/>
    </row>
    <row r="38" spans="1:7" ht="24" customHeight="1" x14ac:dyDescent="0.55000000000000004">
      <c r="A38" s="71" t="s">
        <v>56</v>
      </c>
      <c r="B38" s="72"/>
      <c r="C38" s="72"/>
      <c r="D38" s="72"/>
      <c r="E38" s="72"/>
      <c r="F38" s="72"/>
      <c r="G38" s="73"/>
    </row>
    <row r="39" spans="1:7" ht="22" customHeight="1" x14ac:dyDescent="0.55000000000000004">
      <c r="A39" s="77" t="s">
        <v>57</v>
      </c>
      <c r="B39" s="66"/>
      <c r="C39" s="66"/>
      <c r="D39" s="66"/>
      <c r="E39" s="66"/>
      <c r="F39" s="66"/>
      <c r="G39" s="64"/>
    </row>
    <row r="40" spans="1:7" ht="18" customHeight="1" x14ac:dyDescent="0.55000000000000004">
      <c r="A40" s="6" t="s">
        <v>38</v>
      </c>
      <c r="B40" s="6" t="s">
        <v>58</v>
      </c>
      <c r="C40" s="6" t="s">
        <v>59</v>
      </c>
      <c r="D40" s="6" t="s">
        <v>42</v>
      </c>
      <c r="E40" s="6" t="s">
        <v>60</v>
      </c>
      <c r="F40" s="6" t="s">
        <v>61</v>
      </c>
      <c r="G40" s="6" t="s">
        <v>44</v>
      </c>
    </row>
    <row r="41" spans="1:7" ht="22" customHeight="1" x14ac:dyDescent="0.55000000000000004">
      <c r="A41" s="13" t="s">
        <v>45</v>
      </c>
      <c r="B41" s="14">
        <f>'VERİ GİRİŞİ'!B28</f>
        <v>0</v>
      </c>
      <c r="C41" s="14">
        <f>'VERİ GİRİŞİ'!C28</f>
        <v>0</v>
      </c>
      <c r="D41" s="3" t="s">
        <v>46</v>
      </c>
      <c r="E41" s="16">
        <f>'VERİ GİRİŞİ'!D28</f>
        <v>0</v>
      </c>
      <c r="F41" s="11"/>
      <c r="G41" s="14"/>
    </row>
    <row r="42" spans="1:7" ht="22" customHeight="1" x14ac:dyDescent="0.55000000000000004">
      <c r="A42" s="7" t="s">
        <v>47</v>
      </c>
      <c r="B42" s="12">
        <f>'VERİ GİRİŞİ'!B29</f>
        <v>0</v>
      </c>
      <c r="C42" s="12">
        <f>'VERİ GİRİŞİ'!C29</f>
        <v>0</v>
      </c>
      <c r="D42" s="3" t="s">
        <v>46</v>
      </c>
      <c r="E42" s="17">
        <f>'VERİ GİRİŞİ'!D29</f>
        <v>0</v>
      </c>
      <c r="F42" s="11"/>
      <c r="G42" s="12"/>
    </row>
    <row r="43" spans="1:7" ht="22" customHeight="1" x14ac:dyDescent="0.55000000000000004">
      <c r="A43" s="13" t="s">
        <v>48</v>
      </c>
      <c r="B43" s="14">
        <f>'VERİ GİRİŞİ'!B30</f>
        <v>0</v>
      </c>
      <c r="C43" s="14">
        <f>'VERİ GİRİŞİ'!C30</f>
        <v>0</v>
      </c>
      <c r="D43" s="3" t="s">
        <v>46</v>
      </c>
      <c r="E43" s="16">
        <f>'VERİ GİRİŞİ'!D30</f>
        <v>0</v>
      </c>
      <c r="F43" s="11"/>
      <c r="G43" s="14"/>
    </row>
    <row r="44" spans="1:7" ht="22" customHeight="1" x14ac:dyDescent="0.55000000000000004">
      <c r="A44" s="7" t="s">
        <v>49</v>
      </c>
      <c r="B44" s="12">
        <f>'VERİ GİRİŞİ'!B31</f>
        <v>0</v>
      </c>
      <c r="C44" s="12">
        <f>'VERİ GİRİŞİ'!C31</f>
        <v>0</v>
      </c>
      <c r="D44" s="3" t="s">
        <v>46</v>
      </c>
      <c r="E44" s="17">
        <f>'VERİ GİRİŞİ'!D31</f>
        <v>0</v>
      </c>
      <c r="F44" s="11"/>
      <c r="G44" s="12"/>
    </row>
    <row r="45" spans="1:7" ht="22" customHeight="1" x14ac:dyDescent="0.55000000000000004">
      <c r="A45" s="13" t="s">
        <v>50</v>
      </c>
      <c r="B45" s="14">
        <f>'VERİ GİRİŞİ'!B32</f>
        <v>0</v>
      </c>
      <c r="C45" s="14">
        <f>'VERİ GİRİŞİ'!C32</f>
        <v>0</v>
      </c>
      <c r="D45" s="3" t="s">
        <v>46</v>
      </c>
      <c r="E45" s="16">
        <f>'VERİ GİRİŞİ'!D32</f>
        <v>0</v>
      </c>
      <c r="F45" s="11"/>
      <c r="G45" s="14"/>
    </row>
    <row r="46" spans="1:7" ht="22" customHeight="1" x14ac:dyDescent="0.55000000000000004">
      <c r="A46" s="7" t="s">
        <v>51</v>
      </c>
      <c r="B46" s="12">
        <f>'VERİ GİRİŞİ'!B33</f>
        <v>0</v>
      </c>
      <c r="C46" s="12">
        <f>'VERİ GİRİŞİ'!C33</f>
        <v>0</v>
      </c>
      <c r="D46" s="3" t="s">
        <v>46</v>
      </c>
      <c r="E46" s="17">
        <f>'VERİ GİRİŞİ'!D33</f>
        <v>0</v>
      </c>
      <c r="F46" s="11"/>
      <c r="G46" s="12"/>
    </row>
    <row r="47" spans="1:7" ht="22" customHeight="1" x14ac:dyDescent="0.55000000000000004">
      <c r="A47" s="13" t="s">
        <v>52</v>
      </c>
      <c r="B47" s="14">
        <f>'VERİ GİRİŞİ'!B34</f>
        <v>0</v>
      </c>
      <c r="C47" s="14">
        <f>'VERİ GİRİŞİ'!C34</f>
        <v>0</v>
      </c>
      <c r="D47" s="3" t="s">
        <v>46</v>
      </c>
      <c r="E47" s="16">
        <f>'VERİ GİRİŞİ'!D34</f>
        <v>0</v>
      </c>
      <c r="F47" s="11"/>
      <c r="G47" s="14"/>
    </row>
    <row r="48" spans="1:7" ht="22" customHeight="1" x14ac:dyDescent="0.55000000000000004">
      <c r="A48" s="7" t="s">
        <v>53</v>
      </c>
      <c r="B48" s="12">
        <f>'VERİ GİRİŞİ'!B35</f>
        <v>0</v>
      </c>
      <c r="C48" s="12">
        <f>'VERİ GİRİŞİ'!C35</f>
        <v>0</v>
      </c>
      <c r="D48" s="3" t="s">
        <v>46</v>
      </c>
      <c r="E48" s="17">
        <f>'VERİ GİRİŞİ'!D35</f>
        <v>0</v>
      </c>
      <c r="F48" s="11"/>
      <c r="G48" s="12"/>
    </row>
    <row r="49" spans="1:7" ht="5.05" customHeight="1" x14ac:dyDescent="0.55000000000000004">
      <c r="A49" s="1"/>
      <c r="B49" s="1"/>
      <c r="C49" s="1"/>
      <c r="D49" s="1"/>
      <c r="E49" s="1"/>
      <c r="F49" s="1"/>
      <c r="G49" s="1"/>
    </row>
    <row r="50" spans="1:7" ht="32.049999999999997" customHeight="1" x14ac:dyDescent="0.55000000000000004">
      <c r="A50" s="86" t="s">
        <v>62</v>
      </c>
      <c r="B50" s="66"/>
      <c r="C50" s="66"/>
      <c r="D50" s="64"/>
      <c r="E50" s="18">
        <f>D36</f>
        <v>0</v>
      </c>
      <c r="F50" s="80" t="s">
        <v>63</v>
      </c>
      <c r="G50" s="64"/>
    </row>
    <row r="51" spans="1:7" ht="28" customHeight="1" x14ac:dyDescent="0.55000000000000004">
      <c r="A51" s="81" t="s">
        <v>64</v>
      </c>
      <c r="B51" s="66"/>
      <c r="C51" s="66"/>
      <c r="D51" s="66"/>
      <c r="E51" s="66"/>
      <c r="F51" s="66"/>
      <c r="G51" s="64"/>
    </row>
  </sheetData>
  <mergeCells count="47">
    <mergeCell ref="A1:G1"/>
    <mergeCell ref="C19:E19"/>
    <mergeCell ref="A6:G6"/>
    <mergeCell ref="C18:E18"/>
    <mergeCell ref="A16:G16"/>
    <mergeCell ref="F13:G13"/>
    <mergeCell ref="A17:B17"/>
    <mergeCell ref="F9:G9"/>
    <mergeCell ref="A3:G3"/>
    <mergeCell ref="A12:D12"/>
    <mergeCell ref="A19:B19"/>
    <mergeCell ref="A2:G2"/>
    <mergeCell ref="F14:G14"/>
    <mergeCell ref="A14:D14"/>
    <mergeCell ref="F50:G50"/>
    <mergeCell ref="A51:G51"/>
    <mergeCell ref="F17:G17"/>
    <mergeCell ref="F8:G8"/>
    <mergeCell ref="A21:B21"/>
    <mergeCell ref="F22:G22"/>
    <mergeCell ref="A25:G25"/>
    <mergeCell ref="A22:B22"/>
    <mergeCell ref="A20:B20"/>
    <mergeCell ref="A36:C36"/>
    <mergeCell ref="A50:D50"/>
    <mergeCell ref="A26:G26"/>
    <mergeCell ref="C20:E20"/>
    <mergeCell ref="A39:G39"/>
    <mergeCell ref="F20:G20"/>
    <mergeCell ref="F18:G18"/>
    <mergeCell ref="C17:E17"/>
    <mergeCell ref="A11:D11"/>
    <mergeCell ref="A18:B18"/>
    <mergeCell ref="A4:G4"/>
    <mergeCell ref="A38:G38"/>
    <mergeCell ref="C21:E21"/>
    <mergeCell ref="A10:D10"/>
    <mergeCell ref="A13:D13"/>
    <mergeCell ref="F21:G21"/>
    <mergeCell ref="A9:D9"/>
    <mergeCell ref="F12:G12"/>
    <mergeCell ref="E36:G36"/>
    <mergeCell ref="F11:G11"/>
    <mergeCell ref="A8:D8"/>
    <mergeCell ref="F10:G10"/>
    <mergeCell ref="F19:G19"/>
    <mergeCell ref="C22:E22"/>
  </mergeCells>
  <conditionalFormatting sqref="E14">
    <cfRule type="containsText" dxfId="3" priority="1" operator="containsText" text="OK">
      <formula>NOT(ISERROR(SEARCH("OK",E14)))</formula>
    </cfRule>
    <cfRule type="containsText" dxfId="2" priority="2" operator="containsText" text="HATA">
      <formula>NOT(ISERROR(SEARCH("HATA",E14)))</formula>
    </cfRule>
  </conditionalFormatting>
  <dataValidations count="7">
    <dataValidation type="list" sqref="E8" xr:uid="{00000000-0002-0000-0000-000000000000}">
      <formula1>"EVET,HAYIR-Standart Kodda Karşılığı Var"</formula1>
    </dataValidation>
    <dataValidation type="list" sqref="E9" xr:uid="{00000000-0002-0000-0000-000001000000}">
      <formula1>"EVET,HAYIR-Dayanak Belirsiz"</formula1>
    </dataValidation>
    <dataValidation type="list" sqref="E10" xr:uid="{00000000-0002-0000-0000-000002000000}">
      <formula1>"EVET,HAYIR-Dönem Dışı"</formula1>
    </dataValidation>
    <dataValidation type="list" sqref="E11" xr:uid="{00000000-0002-0000-0000-000003000000}">
      <formula1>"EVET,HAYIR-Belge Eksik"</formula1>
    </dataValidation>
    <dataValidation type="list" sqref="E12" xr:uid="{00000000-0002-0000-0000-000004000000}">
      <formula1>"EVET,HAYIR-Değerlendirilmedi"</formula1>
    </dataValidation>
    <dataValidation type="list" sqref="E13" xr:uid="{00000000-0002-0000-0000-000005000000}">
      <formula1>"EVET,Tam Tasdik"</formula1>
    </dataValidation>
    <dataValidation type="list" sqref="D41:D48 E28:E35" xr:uid="{00000000-0002-0000-0000-000006000000}">
      <formula1>"Düşülebilir (Korumalı Kalem),Düşülemez (E.11),YMM Teyidi Gerekli"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0" t="s">
        <v>65</v>
      </c>
      <c r="B1" s="72"/>
      <c r="C1" s="72"/>
      <c r="D1" s="72"/>
      <c r="E1" s="72"/>
      <c r="F1" s="72"/>
      <c r="G1" s="73"/>
    </row>
    <row r="2" spans="1:7" ht="20.05" customHeight="1" x14ac:dyDescent="0.55000000000000004">
      <c r="A2" s="102" t="s">
        <v>66</v>
      </c>
      <c r="B2" s="66"/>
      <c r="C2" s="66"/>
      <c r="D2" s="66"/>
      <c r="E2" s="66"/>
      <c r="F2" s="66"/>
      <c r="G2" s="64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93" t="s">
        <v>67</v>
      </c>
      <c r="B4" s="72"/>
      <c r="C4" s="72"/>
      <c r="D4" s="72"/>
      <c r="E4" s="72"/>
      <c r="F4" s="72"/>
      <c r="G4" s="73"/>
    </row>
    <row r="5" spans="1:7" ht="22" customHeight="1" x14ac:dyDescent="0.55000000000000004">
      <c r="A5" s="97" t="s">
        <v>68</v>
      </c>
      <c r="B5" s="66"/>
      <c r="C5" s="64"/>
      <c r="D5" s="19" t="str">
        <f>'VERİ GİRİŞİ'!E14</f>
        <v>OK - Hesaplanabilir</v>
      </c>
      <c r="E5" s="63" t="s">
        <v>69</v>
      </c>
      <c r="F5" s="66"/>
      <c r="G5" s="64"/>
    </row>
    <row r="6" spans="1:7" ht="22" customHeight="1" x14ac:dyDescent="0.55000000000000004">
      <c r="A6" s="101" t="s">
        <v>70</v>
      </c>
      <c r="B6" s="66"/>
      <c r="C6" s="64"/>
      <c r="D6" s="20">
        <f>'VERİ GİRİŞİ'!E21</f>
        <v>0</v>
      </c>
      <c r="E6" s="75" t="s">
        <v>71</v>
      </c>
      <c r="F6" s="66"/>
      <c r="G6" s="64"/>
    </row>
    <row r="7" spans="1:7" ht="22" customHeight="1" x14ac:dyDescent="0.55000000000000004">
      <c r="A7" s="89" t="s">
        <v>72</v>
      </c>
      <c r="B7" s="66"/>
      <c r="C7" s="64"/>
      <c r="D7" s="21">
        <f>'VERİ GİRİŞİ'!D36</f>
        <v>0</v>
      </c>
      <c r="E7" s="99" t="s">
        <v>73</v>
      </c>
      <c r="F7" s="66"/>
      <c r="G7" s="64"/>
    </row>
    <row r="8" spans="1:7" ht="5.05" customHeight="1" x14ac:dyDescent="0.55000000000000004">
      <c r="A8" s="1"/>
      <c r="B8" s="1"/>
      <c r="C8" s="1"/>
      <c r="D8" s="1"/>
      <c r="E8" s="1"/>
      <c r="F8" s="1"/>
      <c r="G8" s="1"/>
    </row>
    <row r="9" spans="1:7" ht="22" customHeight="1" x14ac:dyDescent="0.55000000000000004">
      <c r="A9" s="71" t="s">
        <v>74</v>
      </c>
      <c r="B9" s="72"/>
      <c r="C9" s="72"/>
      <c r="D9" s="72"/>
      <c r="E9" s="72"/>
      <c r="F9" s="72"/>
      <c r="G9" s="73"/>
    </row>
    <row r="10" spans="1:7" ht="76" customHeight="1" x14ac:dyDescent="0.55000000000000004">
      <c r="A10" s="95" t="s">
        <v>75</v>
      </c>
      <c r="B10" s="66"/>
      <c r="C10" s="66"/>
      <c r="D10" s="66"/>
      <c r="E10" s="66"/>
      <c r="F10" s="66"/>
      <c r="G10" s="64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71" t="s">
        <v>76</v>
      </c>
      <c r="B12" s="72"/>
      <c r="C12" s="72"/>
      <c r="D12" s="72"/>
      <c r="E12" s="72"/>
      <c r="F12" s="72"/>
      <c r="G12" s="73"/>
    </row>
    <row r="13" spans="1:7" ht="18" customHeight="1" x14ac:dyDescent="0.55000000000000004">
      <c r="A13" s="2"/>
      <c r="B13" s="2" t="s">
        <v>77</v>
      </c>
      <c r="C13" s="2"/>
      <c r="D13" s="2" t="s">
        <v>78</v>
      </c>
      <c r="E13" s="2"/>
      <c r="F13" s="2" t="s">
        <v>79</v>
      </c>
      <c r="G13" s="2"/>
    </row>
    <row r="14" spans="1:7" ht="20.05" customHeight="1" x14ac:dyDescent="0.55000000000000004">
      <c r="A14" s="22" t="s">
        <v>80</v>
      </c>
      <c r="B14" s="91" t="s">
        <v>81</v>
      </c>
      <c r="C14" s="64"/>
      <c r="D14" s="96" t="s">
        <v>82</v>
      </c>
      <c r="E14" s="64"/>
      <c r="F14" s="11" t="s">
        <v>83</v>
      </c>
      <c r="G14" s="25"/>
    </row>
    <row r="15" spans="1:7" ht="20.05" customHeight="1" x14ac:dyDescent="0.55000000000000004">
      <c r="A15" s="22" t="s">
        <v>84</v>
      </c>
      <c r="B15" s="91" t="s">
        <v>85</v>
      </c>
      <c r="C15" s="64"/>
      <c r="D15" s="96" t="s">
        <v>86</v>
      </c>
      <c r="E15" s="64"/>
      <c r="F15" s="11" t="s">
        <v>83</v>
      </c>
      <c r="G15" s="26"/>
    </row>
    <row r="16" spans="1:7" ht="20.05" customHeight="1" x14ac:dyDescent="0.55000000000000004">
      <c r="A16" s="22" t="s">
        <v>87</v>
      </c>
      <c r="B16" s="91" t="s">
        <v>88</v>
      </c>
      <c r="C16" s="64"/>
      <c r="D16" s="96" t="s">
        <v>89</v>
      </c>
      <c r="E16" s="64"/>
      <c r="F16" s="11" t="s">
        <v>83</v>
      </c>
      <c r="G16" s="25"/>
    </row>
    <row r="17" spans="1:7" ht="20.05" customHeight="1" x14ac:dyDescent="0.55000000000000004">
      <c r="A17" s="22" t="s">
        <v>90</v>
      </c>
      <c r="B17" s="91" t="s">
        <v>91</v>
      </c>
      <c r="C17" s="64"/>
      <c r="D17" s="96" t="s">
        <v>92</v>
      </c>
      <c r="E17" s="64"/>
      <c r="F17" s="11" t="s">
        <v>83</v>
      </c>
      <c r="G17" s="26"/>
    </row>
    <row r="18" spans="1:7" ht="20.05" customHeight="1" x14ac:dyDescent="0.55000000000000004">
      <c r="A18" s="22" t="s">
        <v>93</v>
      </c>
      <c r="B18" s="91" t="s">
        <v>94</v>
      </c>
      <c r="C18" s="64"/>
      <c r="D18" s="96" t="s">
        <v>95</v>
      </c>
      <c r="E18" s="64"/>
      <c r="F18" s="11" t="s">
        <v>83</v>
      </c>
      <c r="G18" s="25"/>
    </row>
    <row r="19" spans="1:7" ht="20.05" customHeight="1" x14ac:dyDescent="0.55000000000000004">
      <c r="A19" s="22" t="s">
        <v>96</v>
      </c>
      <c r="B19" s="98" t="s">
        <v>97</v>
      </c>
      <c r="C19" s="64"/>
      <c r="D19" s="92" t="s">
        <v>98</v>
      </c>
      <c r="E19" s="64"/>
      <c r="F19" s="11" t="s">
        <v>83</v>
      </c>
      <c r="G19" s="26"/>
    </row>
    <row r="20" spans="1:7" ht="20.05" customHeight="1" x14ac:dyDescent="0.55000000000000004">
      <c r="A20" s="22" t="s">
        <v>99</v>
      </c>
      <c r="B20" s="94" t="s">
        <v>100</v>
      </c>
      <c r="C20" s="64"/>
      <c r="D20" s="90" t="s">
        <v>101</v>
      </c>
      <c r="E20" s="64"/>
      <c r="F20" s="11" t="s">
        <v>83</v>
      </c>
      <c r="G20" s="25"/>
    </row>
    <row r="21" spans="1:7" ht="20.05" customHeight="1" x14ac:dyDescent="0.55000000000000004">
      <c r="A21" s="22" t="s">
        <v>102</v>
      </c>
      <c r="B21" s="91" t="s">
        <v>103</v>
      </c>
      <c r="C21" s="64"/>
      <c r="D21" s="96" t="s">
        <v>104</v>
      </c>
      <c r="E21" s="64"/>
      <c r="F21" s="11" t="s">
        <v>83</v>
      </c>
      <c r="G21" s="26"/>
    </row>
    <row r="22" spans="1:7" ht="20.05" customHeight="1" x14ac:dyDescent="0.55000000000000004">
      <c r="A22" s="22" t="s">
        <v>105</v>
      </c>
      <c r="B22" s="94" t="s">
        <v>106</v>
      </c>
      <c r="C22" s="64"/>
      <c r="D22" s="90" t="s">
        <v>107</v>
      </c>
      <c r="E22" s="64"/>
      <c r="F22" s="11" t="s">
        <v>83</v>
      </c>
      <c r="G22" s="25"/>
    </row>
    <row r="23" spans="1:7" ht="20.05" customHeight="1" x14ac:dyDescent="0.55000000000000004">
      <c r="A23" s="22" t="s">
        <v>108</v>
      </c>
      <c r="B23" s="98" t="s">
        <v>109</v>
      </c>
      <c r="C23" s="64"/>
      <c r="D23" s="92" t="s">
        <v>20</v>
      </c>
      <c r="E23" s="64"/>
      <c r="F23" s="11" t="s">
        <v>83</v>
      </c>
      <c r="G23" s="26"/>
    </row>
  </sheetData>
  <mergeCells count="32">
    <mergeCell ref="A1:G1"/>
    <mergeCell ref="B19:C19"/>
    <mergeCell ref="D18:E18"/>
    <mergeCell ref="B15:C15"/>
    <mergeCell ref="D15:E15"/>
    <mergeCell ref="E5:G5"/>
    <mergeCell ref="A6:C6"/>
    <mergeCell ref="A12:G12"/>
    <mergeCell ref="D14:E14"/>
    <mergeCell ref="A2:G2"/>
    <mergeCell ref="A7:C7"/>
    <mergeCell ref="B23:C23"/>
    <mergeCell ref="B14:C14"/>
    <mergeCell ref="B17:C17"/>
    <mergeCell ref="D17:E17"/>
    <mergeCell ref="E7:G7"/>
    <mergeCell ref="D16:E16"/>
    <mergeCell ref="B20:C20"/>
    <mergeCell ref="D23:E23"/>
    <mergeCell ref="D20:E20"/>
    <mergeCell ref="B16:C16"/>
    <mergeCell ref="D19:E19"/>
    <mergeCell ref="A4:G4"/>
    <mergeCell ref="B22:C22"/>
    <mergeCell ref="D22:E22"/>
    <mergeCell ref="B18:C18"/>
    <mergeCell ref="A10:G10"/>
    <mergeCell ref="E6:G6"/>
    <mergeCell ref="D21:E21"/>
    <mergeCell ref="B21:C21"/>
    <mergeCell ref="A9:G9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71" t="s">
        <v>110</v>
      </c>
      <c r="B1" s="72"/>
      <c r="C1" s="72"/>
      <c r="D1" s="72"/>
      <c r="E1" s="72"/>
      <c r="F1" s="72"/>
      <c r="G1" s="73"/>
    </row>
    <row r="2" spans="1:7" ht="22" customHeight="1" x14ac:dyDescent="0.55000000000000004">
      <c r="A2" s="104" t="s">
        <v>111</v>
      </c>
      <c r="B2" s="66"/>
      <c r="C2" s="66"/>
      <c r="D2" s="66"/>
      <c r="E2" s="66"/>
      <c r="F2" s="66"/>
      <c r="G2" s="64"/>
    </row>
    <row r="3" spans="1:7" ht="44.05" customHeight="1" x14ac:dyDescent="0.55000000000000004">
      <c r="A3" s="103" t="s">
        <v>112</v>
      </c>
      <c r="B3" s="66"/>
      <c r="C3" s="66"/>
      <c r="D3" s="66"/>
      <c r="E3" s="66"/>
      <c r="F3" s="66"/>
      <c r="G3" s="64"/>
    </row>
    <row r="4" spans="1:7" ht="18" customHeight="1" x14ac:dyDescent="0.55000000000000004">
      <c r="A4" s="6"/>
      <c r="B4" s="6" t="s">
        <v>113</v>
      </c>
      <c r="C4" s="6" t="s">
        <v>114</v>
      </c>
      <c r="D4" s="6" t="s">
        <v>115</v>
      </c>
      <c r="E4" s="6" t="s">
        <v>116</v>
      </c>
      <c r="F4" s="6"/>
      <c r="G4" s="6" t="s">
        <v>117</v>
      </c>
    </row>
    <row r="5" spans="1:7" ht="28" customHeight="1" x14ac:dyDescent="0.55000000000000004">
      <c r="A5" s="13" t="s">
        <v>118</v>
      </c>
      <c r="B5" s="29" t="s">
        <v>119</v>
      </c>
      <c r="C5" s="14" t="s">
        <v>120</v>
      </c>
      <c r="D5" s="30" t="s">
        <v>121</v>
      </c>
      <c r="E5" s="31" t="s">
        <v>122</v>
      </c>
      <c r="F5" s="32"/>
      <c r="G5" s="33" t="s">
        <v>123</v>
      </c>
    </row>
    <row r="6" spans="1:7" ht="28" customHeight="1" x14ac:dyDescent="0.55000000000000004">
      <c r="A6" s="7" t="s">
        <v>118</v>
      </c>
      <c r="B6" s="34" t="s">
        <v>124</v>
      </c>
      <c r="C6" s="12" t="s">
        <v>125</v>
      </c>
      <c r="D6" s="35" t="s">
        <v>126</v>
      </c>
      <c r="E6" s="31" t="s">
        <v>127</v>
      </c>
      <c r="F6" s="5"/>
      <c r="G6" s="36" t="s">
        <v>123</v>
      </c>
    </row>
    <row r="7" spans="1:7" ht="28" customHeight="1" x14ac:dyDescent="0.55000000000000004">
      <c r="A7" s="13" t="s">
        <v>118</v>
      </c>
      <c r="B7" s="29" t="s">
        <v>128</v>
      </c>
      <c r="C7" s="14" t="s">
        <v>129</v>
      </c>
      <c r="D7" s="30" t="s">
        <v>130</v>
      </c>
      <c r="E7" s="31" t="s">
        <v>131</v>
      </c>
      <c r="F7" s="32"/>
      <c r="G7" s="33" t="s">
        <v>132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71" t="s">
        <v>133</v>
      </c>
      <c r="B1" s="72"/>
      <c r="C1" s="72"/>
      <c r="D1" s="72"/>
      <c r="E1" s="72"/>
      <c r="F1" s="72"/>
      <c r="G1" s="73"/>
    </row>
    <row r="2" spans="1:7" ht="20.05" customHeight="1" x14ac:dyDescent="0.55000000000000004">
      <c r="A2" s="87" t="s">
        <v>134</v>
      </c>
      <c r="B2" s="72"/>
      <c r="C2" s="72"/>
      <c r="D2" s="72"/>
      <c r="E2" s="72"/>
      <c r="F2" s="72"/>
      <c r="G2" s="73"/>
    </row>
    <row r="3" spans="1:7" ht="18" customHeight="1" x14ac:dyDescent="0.55000000000000004">
      <c r="A3" s="37" t="s">
        <v>135</v>
      </c>
      <c r="B3" s="37" t="s">
        <v>136</v>
      </c>
      <c r="C3" s="37" t="s">
        <v>137</v>
      </c>
      <c r="D3" s="37" t="s">
        <v>138</v>
      </c>
    </row>
    <row r="4" spans="1:7" ht="64" customHeight="1" x14ac:dyDescent="0.55000000000000004">
      <c r="A4" s="22" t="s">
        <v>139</v>
      </c>
      <c r="B4" s="28" t="s">
        <v>140</v>
      </c>
      <c r="C4" s="38" t="s">
        <v>141</v>
      </c>
      <c r="D4" s="39" t="s">
        <v>142</v>
      </c>
    </row>
    <row r="5" spans="1:7" ht="52" customHeight="1" x14ac:dyDescent="0.55000000000000004">
      <c r="A5" s="40" t="s">
        <v>143</v>
      </c>
      <c r="B5" s="23" t="s">
        <v>144</v>
      </c>
      <c r="C5" s="24" t="s">
        <v>145</v>
      </c>
      <c r="D5" s="41" t="s">
        <v>146</v>
      </c>
    </row>
    <row r="6" spans="1:7" ht="60" customHeight="1" x14ac:dyDescent="0.55000000000000004">
      <c r="A6" s="22" t="s">
        <v>147</v>
      </c>
      <c r="B6" s="28" t="s">
        <v>148</v>
      </c>
      <c r="C6" s="38" t="s">
        <v>149</v>
      </c>
      <c r="D6" s="39" t="s">
        <v>150</v>
      </c>
    </row>
    <row r="7" spans="1:7" ht="52" customHeight="1" x14ac:dyDescent="0.55000000000000004">
      <c r="A7" s="22" t="s">
        <v>151</v>
      </c>
      <c r="B7" s="28" t="s">
        <v>152</v>
      </c>
      <c r="C7" s="38" t="s">
        <v>153</v>
      </c>
      <c r="D7" s="39" t="s">
        <v>154</v>
      </c>
    </row>
    <row r="8" spans="1:7" ht="60" customHeight="1" x14ac:dyDescent="0.55000000000000004">
      <c r="A8" s="22" t="s">
        <v>155</v>
      </c>
      <c r="B8" s="27" t="s">
        <v>156</v>
      </c>
      <c r="C8" s="38" t="s">
        <v>157</v>
      </c>
      <c r="D8" s="42" t="s">
        <v>158</v>
      </c>
    </row>
    <row r="9" spans="1:7" ht="36" customHeight="1" x14ac:dyDescent="0.55000000000000004">
      <c r="A9" s="105" t="s">
        <v>159</v>
      </c>
      <c r="B9" s="66"/>
      <c r="C9" s="66"/>
      <c r="D9" s="64"/>
      <c r="E9" s="43"/>
      <c r="F9" s="43"/>
      <c r="G9" s="43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71" t="s">
        <v>160</v>
      </c>
      <c r="B1" s="72"/>
      <c r="C1" s="72"/>
      <c r="D1" s="72"/>
      <c r="E1" s="72"/>
      <c r="F1" s="72"/>
      <c r="G1" s="73"/>
    </row>
    <row r="2" spans="1:7" ht="20.05" customHeight="1" x14ac:dyDescent="0.55000000000000004">
      <c r="A2" s="87" t="s">
        <v>161</v>
      </c>
      <c r="B2" s="72"/>
      <c r="C2" s="72"/>
      <c r="D2" s="72"/>
      <c r="E2" s="72"/>
      <c r="F2" s="72"/>
      <c r="G2" s="73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7" t="s">
        <v>162</v>
      </c>
      <c r="B4" s="72"/>
      <c r="C4" s="72"/>
      <c r="D4" s="72"/>
      <c r="E4" s="72"/>
      <c r="F4" s="72"/>
      <c r="G4" s="73"/>
    </row>
    <row r="5" spans="1:7" ht="18" customHeight="1" x14ac:dyDescent="0.55000000000000004">
      <c r="A5" s="37"/>
      <c r="B5" s="37" t="s">
        <v>38</v>
      </c>
      <c r="C5" s="37" t="s">
        <v>163</v>
      </c>
      <c r="D5" s="37" t="s">
        <v>78</v>
      </c>
      <c r="E5" s="37" t="s">
        <v>164</v>
      </c>
      <c r="F5" s="37"/>
    </row>
    <row r="6" spans="1:7" ht="36" customHeight="1" x14ac:dyDescent="0.55000000000000004">
      <c r="A6" s="44"/>
      <c r="B6" s="45" t="s">
        <v>45</v>
      </c>
      <c r="C6" s="46" t="s">
        <v>165</v>
      </c>
      <c r="D6" s="47" t="s">
        <v>166</v>
      </c>
      <c r="E6" s="48" t="s">
        <v>167</v>
      </c>
      <c r="F6" s="44"/>
    </row>
    <row r="7" spans="1:7" ht="36" customHeight="1" x14ac:dyDescent="0.55000000000000004">
      <c r="A7" s="26"/>
      <c r="B7" s="49" t="s">
        <v>47</v>
      </c>
      <c r="C7" s="50" t="s">
        <v>168</v>
      </c>
      <c r="D7" s="47" t="s">
        <v>169</v>
      </c>
      <c r="E7" s="33" t="s">
        <v>170</v>
      </c>
      <c r="F7" s="26"/>
    </row>
    <row r="8" spans="1:7" ht="36" customHeight="1" x14ac:dyDescent="0.55000000000000004">
      <c r="A8" s="44"/>
      <c r="B8" s="45" t="s">
        <v>48</v>
      </c>
      <c r="C8" s="46" t="s">
        <v>171</v>
      </c>
      <c r="D8" s="47" t="s">
        <v>172</v>
      </c>
      <c r="E8" s="48" t="s">
        <v>173</v>
      </c>
      <c r="F8" s="44"/>
    </row>
    <row r="9" spans="1:7" ht="36" customHeight="1" x14ac:dyDescent="0.55000000000000004">
      <c r="A9" s="26"/>
      <c r="B9" s="49" t="s">
        <v>49</v>
      </c>
      <c r="C9" s="50" t="s">
        <v>174</v>
      </c>
      <c r="D9" s="47" t="s">
        <v>175</v>
      </c>
      <c r="E9" s="33" t="s">
        <v>173</v>
      </c>
      <c r="F9" s="26"/>
    </row>
    <row r="10" spans="1:7" ht="36" customHeight="1" x14ac:dyDescent="0.55000000000000004">
      <c r="A10" s="44"/>
      <c r="B10" s="45" t="s">
        <v>50</v>
      </c>
      <c r="C10" s="51" t="s">
        <v>176</v>
      </c>
      <c r="D10" s="47" t="s">
        <v>177</v>
      </c>
      <c r="E10" s="48" t="s">
        <v>178</v>
      </c>
      <c r="F10" s="44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06" t="s">
        <v>179</v>
      </c>
      <c r="B12" s="72"/>
      <c r="C12" s="72"/>
      <c r="D12" s="72"/>
      <c r="E12" s="72"/>
      <c r="F12" s="72"/>
      <c r="G12" s="73"/>
    </row>
    <row r="13" spans="1:7" ht="18" customHeight="1" x14ac:dyDescent="0.55000000000000004">
      <c r="A13" s="52"/>
      <c r="B13" s="52" t="s">
        <v>38</v>
      </c>
      <c r="C13" s="52" t="s">
        <v>5</v>
      </c>
      <c r="D13" s="52" t="s">
        <v>180</v>
      </c>
      <c r="E13" s="52" t="s">
        <v>181</v>
      </c>
      <c r="F13" s="52"/>
    </row>
    <row r="14" spans="1:7" ht="28" customHeight="1" x14ac:dyDescent="0.55000000000000004">
      <c r="A14" s="53"/>
      <c r="B14" s="54" t="s">
        <v>182</v>
      </c>
      <c r="C14" s="55" t="s">
        <v>183</v>
      </c>
      <c r="D14" s="56" t="s">
        <v>184</v>
      </c>
      <c r="E14" s="57" t="s">
        <v>185</v>
      </c>
      <c r="F14" s="53"/>
    </row>
    <row r="15" spans="1:7" ht="28" customHeight="1" x14ac:dyDescent="0.55000000000000004">
      <c r="A15" s="53"/>
      <c r="B15" s="54" t="s">
        <v>186</v>
      </c>
      <c r="C15" s="55" t="s">
        <v>85</v>
      </c>
      <c r="D15" s="56" t="s">
        <v>187</v>
      </c>
      <c r="E15" s="57" t="s">
        <v>185</v>
      </c>
      <c r="F15" s="53"/>
    </row>
    <row r="16" spans="1:7" ht="28" customHeight="1" x14ac:dyDescent="0.55000000000000004">
      <c r="A16" s="53"/>
      <c r="B16" s="54" t="s">
        <v>188</v>
      </c>
      <c r="C16" s="55" t="s">
        <v>189</v>
      </c>
      <c r="D16" s="56" t="s">
        <v>190</v>
      </c>
      <c r="E16" s="57" t="s">
        <v>185</v>
      </c>
      <c r="F16" s="53"/>
    </row>
    <row r="17" spans="1:7" ht="28" customHeight="1" x14ac:dyDescent="0.55000000000000004">
      <c r="A17" s="53"/>
      <c r="B17" s="54" t="s">
        <v>191</v>
      </c>
      <c r="C17" s="55" t="s">
        <v>91</v>
      </c>
      <c r="D17" s="56" t="s">
        <v>192</v>
      </c>
      <c r="E17" s="57" t="s">
        <v>185</v>
      </c>
      <c r="F17" s="53"/>
    </row>
    <row r="18" spans="1:7" ht="28" customHeight="1" x14ac:dyDescent="0.55000000000000004">
      <c r="A18" s="53"/>
      <c r="B18" s="54" t="s">
        <v>193</v>
      </c>
      <c r="C18" s="55" t="s">
        <v>194</v>
      </c>
      <c r="D18" s="56" t="s">
        <v>195</v>
      </c>
      <c r="E18" s="57" t="s">
        <v>185</v>
      </c>
      <c r="F18" s="53"/>
    </row>
    <row r="19" spans="1:7" ht="28" customHeight="1" x14ac:dyDescent="0.55000000000000004">
      <c r="A19" s="58"/>
      <c r="B19" s="59" t="s">
        <v>196</v>
      </c>
      <c r="C19" s="60" t="s">
        <v>197</v>
      </c>
      <c r="D19" s="61" t="s">
        <v>198</v>
      </c>
      <c r="E19" s="62" t="s">
        <v>185</v>
      </c>
      <c r="F19" s="58"/>
    </row>
    <row r="20" spans="1:7" ht="28" customHeight="1" x14ac:dyDescent="0.55000000000000004">
      <c r="A20" s="53"/>
      <c r="B20" s="54" t="s">
        <v>199</v>
      </c>
      <c r="C20" s="55" t="s">
        <v>200</v>
      </c>
      <c r="D20" s="56" t="s">
        <v>104</v>
      </c>
      <c r="E20" s="57" t="s">
        <v>185</v>
      </c>
      <c r="F20" s="53"/>
    </row>
    <row r="21" spans="1:7" ht="28" customHeight="1" x14ac:dyDescent="0.55000000000000004">
      <c r="A21" s="58"/>
      <c r="B21" s="59" t="s">
        <v>201</v>
      </c>
      <c r="C21" s="60" t="s">
        <v>106</v>
      </c>
      <c r="D21" s="61" t="s">
        <v>107</v>
      </c>
      <c r="E21" s="62" t="s">
        <v>185</v>
      </c>
      <c r="F21" s="58"/>
    </row>
    <row r="22" spans="1:7" ht="28" customHeight="1" x14ac:dyDescent="0.55000000000000004">
      <c r="A22" s="58"/>
      <c r="B22" s="59" t="s">
        <v>202</v>
      </c>
      <c r="C22" s="60" t="s">
        <v>109</v>
      </c>
      <c r="D22" s="61" t="s">
        <v>203</v>
      </c>
      <c r="E22" s="62" t="s">
        <v>185</v>
      </c>
      <c r="F22" s="58"/>
    </row>
    <row r="23" spans="1:7" ht="5.05" customHeight="1" x14ac:dyDescent="0.55000000000000004">
      <c r="A23" s="1"/>
      <c r="B23" s="1"/>
      <c r="C23" s="1"/>
      <c r="D23" s="1"/>
      <c r="E23" s="1"/>
      <c r="F23" s="1"/>
      <c r="G23" s="1"/>
    </row>
    <row r="24" spans="1:7" ht="52" customHeight="1" x14ac:dyDescent="0.55000000000000004">
      <c r="A24" s="105" t="s">
        <v>204</v>
      </c>
      <c r="B24" s="66"/>
      <c r="C24" s="66"/>
      <c r="D24" s="66"/>
      <c r="E24" s="66"/>
      <c r="F24" s="64"/>
      <c r="G24" s="43"/>
    </row>
  </sheetData>
  <mergeCells count="5">
    <mergeCell ref="A24:F24"/>
    <mergeCell ref="A1:G1"/>
    <mergeCell ref="A12:G1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2026-04-07T10:14:03Z</dcterms:created>
  <dcterms:modified xsi:type="dcterms:W3CDTF">2026-04-07T10:28:01Z</dcterms:modified>
</cp:coreProperties>
</file>