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FE9954E3-8B4A-4E5E-B570-AD63EC43296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56" i="1"/>
  <c r="D57" i="1" s="1"/>
  <c r="D55" i="1"/>
  <c r="D54" i="1"/>
  <c r="D53" i="1"/>
  <c r="D52" i="1"/>
  <c r="C44" i="1"/>
  <c r="C42" i="1"/>
  <c r="C33" i="1"/>
  <c r="C35" i="1" s="1"/>
  <c r="C31" i="1"/>
  <c r="E15" i="1"/>
  <c r="D5" i="2" s="1"/>
  <c r="C45" i="1" l="1"/>
  <c r="C36" i="1"/>
  <c r="C38" i="1" s="1"/>
  <c r="C43" i="1"/>
  <c r="D7" i="2"/>
  <c r="D6" i="2"/>
  <c r="D9" i="2" l="1"/>
  <c r="E59" i="1"/>
</calcChain>
</file>

<file path=xl/sharedStrings.xml><?xml version="1.0" encoding="utf-8"?>
<sst xmlns="http://schemas.openxmlformats.org/spreadsheetml/2006/main" count="382" uniqueCount="292">
  <si>
    <t>413 – GİRİŞİM SERMAYESİ FONU | VUK Mad.325/A + KVK Mad.10/1-g | DÖNEM KAZANCININ %10'U SINIRI | YMM TASDİK</t>
  </si>
  <si>
    <t>Beyanname 413 | GİB KV Beyan Rehberi Mart 2026 (No:606) | ✓ YİAKV D.11 — DÜŞÜLEBİLİR</t>
  </si>
  <si>
    <t xml:space="preserve">  GİRİŞİM SERMAYESİ FONU (GSF) NEDİR?
  VUK Md.325/A kapsamında pasifte 'Özel Fon Hesabı'na alınan tutarlar, KVK Md.10/1-g uyarınca kurumlar vergisi matrahından indirilebilir.
  AMAÇ: Girişim sermayesi yatırım fonu katılma payı VEYA GSYO hisse senedi alımı VEYA GSVF kurulmasına (kurucu ortak olarak) yatırım.
  SINIRLAR: ① Dönem Kazancının %10'u — indirim tavanı. ② Öz kaynakların %20'si — birikimli fon tavanı.
  KULLANIM: Ayrıldığı yılı izleyen 2 yıl içinde amacına uygun kullanılmalı — aksi hâlde vergi + faiz + ceza.</t>
  </si>
  <si>
    <t xml:space="preserve">  ✓ YİAKV (KVK Md.32/C): Girişim Sermayesi Fonu İndirimi (413) YİAKV MATRAHINDA DÜŞÜLEBİLİR. YİAKV Çalışma Kâğıdı D.11 satırına — 'Girişim Sermayesi Fonu (KVK Md.10/1-g)' — yazılır.</t>
  </si>
  <si>
    <t>A0. KAPSAM VE NİTELİK UYGUNLUK ÖN KONTROLÜ — KVK Md.10/1-g + VUK Md.325/A</t>
  </si>
  <si>
    <t>Kontrol Sorusu</t>
  </si>
  <si>
    <t>Yanıt</t>
  </si>
  <si>
    <t>YMM Tasdik Notu</t>
  </si>
  <si>
    <t>A0.1  ★ Fon, bilançonun PASİFİNDE ayrı 'Girişim Sermayesi Fonu' hesabında gösteriliyor mu?</t>
  </si>
  <si>
    <t>EVET</t>
  </si>
  <si>
    <t>VUK Md.325/A zorunluluğu: Fon pasifte özel hesapta izlenmeli. 549 veya ayrı alt hesap kullanılmalı. Hesap açılmadan 413 indirimi uygulanamaz.</t>
  </si>
  <si>
    <t>A0.2  ★ GSF'nin ayrıştırma amacı KVK Md.10/1-g kapsamında mı?</t>
  </si>
  <si>
    <t>Girişim Sermayesi Yatırım Fonu Katılma Payı Alımı</t>
  </si>
  <si>
    <t>Kapsam: (1) GSVF katılma payı alımı (2) GSYO hisse senedi alımı (3) GSVF kurulması (kurucu ortak). Kapsam dışı amaç → 413 indirimi geçersiz.</t>
  </si>
  <si>
    <t>A0.3  ★ İndirim tutarı dönem kazancının %10'unu aşmıyor mu?</t>
  </si>
  <si>
    <t>KVK Md.10/1-g: '...kazancın %10'unu aşmayan kısmı.' Limit: Cari yıl dönem kazancı (ticari kâr değil — KV matrahı öncesi uygun kazanç). Aşan kısım → İndirim yok.</t>
  </si>
  <si>
    <t>A0.4  ★ Birikimli GSF tutarı öz kaynakların %20'sini aşmıyor mu?</t>
  </si>
  <si>
    <t>VUK Md.325/A ikinci sınır: Toplam fon bakiyesi öz kaynakların %20'sini aşamaz. Geçmiş yıllardan kalan fon bakiyeleri + cari yıl = Birikimli kontrol.</t>
  </si>
  <si>
    <t>A0.5  Ayrıldığı yılı izleyen 2 yıl içinde amacına uygun kullanım planlandı mı?</t>
  </si>
  <si>
    <t>2 yıl içinde kullanılmayan GSF → Kullanılmayan yılın geliri sayılır → Vergi + gecikme faizi + ceza. Kullanım planı veya portföy yönetim anlaşması belgede olmalı.</t>
  </si>
  <si>
    <t>A0.6  ✓ YİAKV D.11'e (Girişim Sermayesi Fonu) dahil edildi mi?</t>
  </si>
  <si>
    <t>413 indirimi YİAKV matrahından düşülebilir — YİAKV D.11'e yazılmalı.</t>
  </si>
  <si>
    <t>A0.7  YMM Tasdik Raporu gereksinimi değerlendirildi mi? (49 No.lu Tebliğ)</t>
  </si>
  <si>
    <t>&gt;=500.000 TL → YMM raporu.</t>
  </si>
  <si>
    <t>A0.8  Tasdik Uygunluk Sonucu</t>
  </si>
  <si>
    <t>★ A0.1 fon hesabı | A0.3 %10 limit | A0.4 %20 özkaynak limit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</si>
  <si>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</si>
  <si>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</si>
  <si>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</si>
  <si>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</si>
  <si>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</si>
  <si>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</si>
  <si>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</si>
  <si>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</si>
  <si>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</si>
  <si>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Dosya Referansı</t>
  </si>
  <si>
    <t>YMM-2025/413-01</t>
  </si>
  <si>
    <t>GSF Kullanım Amacı</t>
  </si>
  <si>
    <t>GSVF Katılma Payı / GSYO Hisse / Fon Kurulması</t>
  </si>
  <si>
    <t>GSF Fon Hesabı (549 vb.)</t>
  </si>
  <si>
    <t>Bilanço pasif hesabı — VUK 325/A zorunlu</t>
  </si>
  <si>
    <t>B. GİRİŞİM SERMAYESİ FONU LIMIT HESABI — %10 KAZANÇ + %20 ÖZKAYNAK</t>
  </si>
  <si>
    <t xml:space="preserve">  ★ Cari yıl indirim: MIN(%10 × Dönem Kazancı, Özkaynak %20 Tavanı − Geçmiş Fon). İki sınırın da altında kalan tutar fiilen indirilebilir azami miktardır.</t>
  </si>
  <si>
    <t>Hesap Kalemi</t>
  </si>
  <si>
    <t>Tutar (TL)</t>
  </si>
  <si>
    <t>Formül / Açıklama</t>
  </si>
  <si>
    <t>Kaynak</t>
  </si>
  <si>
    <t>B.1  Dönem Kazancı (KV Matrahı Hesabından Önce — Ticari Kâr Tabanı)</t>
  </si>
  <si>
    <t>KVK Md.10/1-g'deki '%10 kazanç' baz tutarı. Ticari bilanço kârı + KKEG − İstisnalar (bazı yorumlar).</t>
  </si>
  <si>
    <t>Mali tablolar</t>
  </si>
  <si>
    <t>B.2  ★ %10 Limit (B.1 × %10) — Cari Yıl Azami GSF İndirimi</t>
  </si>
  <si>
    <t>Formül</t>
  </si>
  <si>
    <t>B.3  Öz Kaynaklar Toplamı (Dönem Sonu Bilançosu)</t>
  </si>
  <si>
    <t>500+510+520+530+540+549+570 vb.</t>
  </si>
  <si>
    <t>Bilanço</t>
  </si>
  <si>
    <t>B.4  ★ Öz Kaynak %20 Tavanı (B.3 × %20)</t>
  </si>
  <si>
    <t>B.5  Geçmiş Yıllardan Birikmiş GSF Bakiyesi (Kullanılmamış Kısım)</t>
  </si>
  <si>
    <t>549 hesap kalanı — dönem başı</t>
  </si>
  <si>
    <t>549 Hesap</t>
  </si>
  <si>
    <t>B.6  ★ Kalan Öz Kaynak Tavanı (B.4 − B.5) — Bu Yıl Ayrılabilecek Azami</t>
  </si>
  <si>
    <t>Tavan: Özkaynak %20 − Birikmiş</t>
  </si>
  <si>
    <t>B.7  ★★ AZAMİ GSF (MIN(B.2, B.6)) — İKİ SINIRIN KÜÇÜĞÜ</t>
  </si>
  <si>
    <t>Her iki sınır aktif — küçük olan geçerli</t>
  </si>
  <si>
    <t>KVK Md.10/1-g + VUK 325/A</t>
  </si>
  <si>
    <t>B.8  Kurumun Bu Dönem Ayırdığı GSF Tutarı (Fiili — Pasifte Kayıtlı)</t>
  </si>
  <si>
    <t>549 hesabına bu dönem eklenen tutar</t>
  </si>
  <si>
    <t>549 hesap hareketi</t>
  </si>
  <si>
    <t>B.9  ★ KVK 10/1-g İNDİRİME KONU GSF (MIN(B.7, B.8))</t>
  </si>
  <si>
    <t>Azami ile fiili ayrımın küçüğü = İndirim</t>
  </si>
  <si>
    <t>C. GİRİŞİM SERMAYESİ FONU İNDİRİMİ ÖZET — BEYANNAME 413</t>
  </si>
  <si>
    <t>Açıklama</t>
  </si>
  <si>
    <t>Not</t>
  </si>
  <si>
    <t>C.1  %10 Kazanç Limiti (B.2)</t>
  </si>
  <si>
    <t>%10 × Dönem Kazancı</t>
  </si>
  <si>
    <t>C.2  Özkaynak %20 Kalan Tavanı (B.6)</t>
  </si>
  <si>
    <t>Max. Birikimli GSF − Geçmiş</t>
  </si>
  <si>
    <t>C.3  Fiili Ayrılan GSF (B.8 — Pasif Hesap)</t>
  </si>
  <si>
    <t>549 hesabında kayıtlı</t>
  </si>
  <si>
    <t>C.4  ★ BEYANNAME 413 = MIN(C.1, C.2, C.3)</t>
  </si>
  <si>
    <t>→ Beyanname 413 | Kazancın Bulunması Halinde</t>
  </si>
  <si>
    <t>KVK Md.10/1-g</t>
  </si>
  <si>
    <t>C.5  YİAKV Durumu</t>
  </si>
  <si>
    <t>✓ YİAKV D.11 — DÜŞÜLEBİLİR</t>
  </si>
  <si>
    <t>Girişim Ser. Fonu İndirimi</t>
  </si>
  <si>
    <t>KVK Md.32/C</t>
  </si>
  <si>
    <t>C.6  Kullanım Süre Kontrolü</t>
  </si>
  <si>
    <t>2 Yıl İçinde Kullanılmalı</t>
  </si>
  <si>
    <t>Aşılırsa: Gelir sayılır + Faiz + Ceza</t>
  </si>
  <si>
    <t>VUK Md.325/A</t>
  </si>
  <si>
    <t>D. GEÇMİŞ DÖNEM GSF KULLANIM TAKİP TABLOSU — 2 YIL SÜRE KONTROLÜ</t>
  </si>
  <si>
    <t xml:space="preserve">  ★ VUK Md.325/A: Ayrılan yılı izleyen 2 yıl içinde amacına uygun kullanılmalı. Süre aşımı → Kullanılmayan GSF o yıl GELİR sayılır. KV + gecikme faizi + vergi ziyaı cezası.</t>
  </si>
  <si>
    <t>Ayrılış Yılı</t>
  </si>
  <si>
    <t>Ayrılan Tutar (TL)</t>
  </si>
  <si>
    <t>Kullanılan (TL)</t>
  </si>
  <si>
    <t>Kalan (TL)</t>
  </si>
  <si>
    <t>Son Kullanım Tarihi</t>
  </si>
  <si>
    <t>Durum</t>
  </si>
  <si>
    <t>YMM Notu</t>
  </si>
  <si>
    <t>TOPLAM</t>
  </si>
  <si>
    <t>← Toplam kalan GSF (549 bakiye ile mutabık olmalı)</t>
  </si>
  <si>
    <t>E.1  GİRİŞİM SERMAYESİ FONU İNDİRİMİ → Beyanname Satır 413 (Kazancın Bulunması Halinde)</t>
  </si>
  <si>
    <t>C.4 = MIN(%10 Limit, %20 Özkaynak Tavanı, Fiili Ayrım) | KVK Md.10/1-g</t>
  </si>
  <si>
    <t>E.2  YİAKV'de DURUM: GSF İndirimi (413) YİAKV MATRAHINDA DÜŞÜLEBİLİR → D.11</t>
  </si>
  <si>
    <t>YİAKV D.11 — Girişim Sermayesi Fonu (KVK Md.10/1-g)</t>
  </si>
  <si>
    <t xml:space="preserve">  ★ KRİTİK UYARILAR:
(1) FON HESABI: VUK 325/A pasifte 549 özel fon hesabı — olmadan 413 geçersiz.
(2) %10 SINIRI: Dönem kazancının %10'u aşılıyor mu? — Her yıl hesaplanmalı.
(3) %20 ÖZKAYNAK SINIRI: Birikimli GSF ≤ Özkaynak %20 — Geçmiş bakiye dahil kontrol.
(4) 2 YIL KULLANIM: Ayrılan yılı izleyen 2 yıl içinde kullanılmayan kısım GELİR — D tablosu takip.
(5) YİAKV ✓: 413 DÜŞÜLEBİLİR — 460/461/402 bağış/sponsorluk kodlarından farklı.</t>
  </si>
  <si>
    <t>413 – GİRİŞİM SERMAYESİ FONU VUK 325/A + KVK 10/1-g | HESAPLAMALAR VE DENETİM</t>
  </si>
  <si>
    <t>%10 Kazanç + %20 Özkaynak Sınırı | 2 Yıl Kullanım | Beyanname 413 | ✓ YİAKV D.11</t>
  </si>
  <si>
    <t>A. TASDİK ÖZETİ</t>
  </si>
  <si>
    <t>A0 Uygunluğu</t>
  </si>
  <si>
    <t>OK ise devam</t>
  </si>
  <si>
    <t>%10 Kazanç Limiti (B.2)</t>
  </si>
  <si>
    <t>Cari yıl azami</t>
  </si>
  <si>
    <t>%20 Özkaynak Kalan Tavan (B.6)</t>
  </si>
  <si>
    <t>Birikimli sınır</t>
  </si>
  <si>
    <t>Fiili Ayrılan GSF (B.8)</t>
  </si>
  <si>
    <t>413 İNDİRİM = MIN(C.1,C.2,C.3)</t>
  </si>
  <si>
    <t>YİAKV</t>
  </si>
  <si>
    <t>✓ DÜŞÜLEBİLİR — D.11</t>
  </si>
  <si>
    <t>Girişim Sermayesi Fonu</t>
  </si>
  <si>
    <t>B. GSF HESAPLAMA AKIŞI — İKİ SINIR MEKANİZMASI</t>
  </si>
  <si>
    <t xml:space="preserve">  HESAPLAMA AKIŞI:
  ADIM 1 — %10 Kazanç Limiti:
  Cari Yıl Dönem Kazancı × %10 = Cari Yıl Azami GSF İndirimi
  ADIM 2 — %20 Öz Kaynak Sınırı:
  Öz Kaynaklar Toplamı × %20 = Birikimli GSF Tavanı
  Birikimli Tavan − Geçmiş Yıl Birikmiş GSF Bakiyesi = Bu Yıl Kalan Tavan
  ADIM 3 — İNDİRİME KONU TUTAR:
  MIN(Adım 1, Adım 2, Fiili Ayrılan GSF) = Beyanname 413
  ÖRNEK:
  Dönem Kazancı: 10.000.000 TL → %10 Limit: 1.000.000 TL
  Öz Kaynaklar: 8.000.000 TL → %20 Tavan: 1.600.000 TL | Geçmiş Bakiye: 400.000 → Kalan: 1.200.000 TL
  Fiili Ayrılan: 900.000 TL
  Beyanname 413: MIN(1.000.000 ; 1.200.000 ; 900.000) = 900.000 TL</t>
  </si>
  <si>
    <t>C. 2 YIL KULLANIM ZORUNLULUĞU — SÜRE AŞIMI RİSK ANALİZİ</t>
  </si>
  <si>
    <t xml:space="preserve">  VUK Md.325/A — 2 YIL KULLANIM KURALI:
  Fon, ayrıldığı yılı izleyen 2 yılın sonuna kadar:
  ① Girişim Sermayesi Yatırım Fonu katılma paylarına VEYA
  ② Girişim Sermayesi Yatırım Ortaklığı hisselerine VEYA
  ③ GSVF kurulması (kurucu ortak) amacıyla kullanılmalıdır.
  SÜRE AŞIMI YAPTIRIMI:
  Kullanılmayan kısım, kullanılmadığı yılın geliri sayılır → O yıl için vergi tarhiyatı.
  Ayrıca: VUK Md.112 gecikme faizi + Vergi ziyaı cezası.
  YMM: D tablosunu her dönem güncelleyin. Süreye yaklaşan fonlar için uyarı verin.</t>
  </si>
  <si>
    <t>D. DENETİM KONTROL LİSTESİ (K1–K13)</t>
  </si>
  <si>
    <t>Kontrol</t>
  </si>
  <si>
    <t>Sonuç</t>
  </si>
  <si>
    <t>K1</t>
  </si>
  <si>
    <t>★ VUK 325/A pasifte özel fon hesabı açıldı mı? (549 veya alt hesap)</t>
  </si>
  <si>
    <t>Hesap olmadan indirim geçersiz. Bilanço teyidi zorunlu.</t>
  </si>
  <si>
    <t>Uygun/Eksik/Risk</t>
  </si>
  <si>
    <t>K2</t>
  </si>
  <si>
    <t>★ GSF amacı KVK 10/1-g kapsamında mı? (GSVF/GSYO/Fon kurulması)</t>
  </si>
  <si>
    <t>Kapsam dışı amaç → İndirim reddedilir.</t>
  </si>
  <si>
    <t>K3</t>
  </si>
  <si>
    <t>★ %10 dönem kazancı limiti aşılmıyor mu?</t>
  </si>
  <si>
    <t>B.2 ≥ B.8 (Fiili ayrım). Limit hesabı doğru.</t>
  </si>
  <si>
    <t>K4</t>
  </si>
  <si>
    <t>★ %20 öz kaynak birikimli sınırı aşılmıyor mu?</t>
  </si>
  <si>
    <t>B.4 ≥ B.5 + B.8. Bilanço öz kaynak teyidi.</t>
  </si>
  <si>
    <t>K5</t>
  </si>
  <si>
    <t>549 hesabı bu dönem hareketi bilanço ile mutabık mı?</t>
  </si>
  <si>
    <t>B.8 = 549 hesabına bu dönem eklenen tutar.</t>
  </si>
  <si>
    <t>K6</t>
  </si>
  <si>
    <t>D tablosu geçmiş dönem GSF'leri güncel mi?</t>
  </si>
  <si>
    <t>Süre dolmuş fonlar gelir kaydedilmiş mi?</t>
  </si>
  <si>
    <t>K7</t>
  </si>
  <si>
    <t>★ 2 yıl süre aşılan GSF var mı? Gelir kaydedildi mi?</t>
  </si>
  <si>
    <t>D tablosu 'Süre Doldu' olanlar → 679 gelir kaydı.</t>
  </si>
  <si>
    <t>K8</t>
  </si>
  <si>
    <t>C.4 = MIN(C.1, C.2, C.3) formülü doğru mu?</t>
  </si>
  <si>
    <t>Üç sınırın en küçüğü alınıyor.</t>
  </si>
  <si>
    <t>K9</t>
  </si>
  <si>
    <t>✓ YİAKV D.11'e (Girişim Sermayesi Fonu) tutarı yazıldı mı?</t>
  </si>
  <si>
    <t>413 YİAKV'de düşülür — D.11 zorunlu.</t>
  </si>
  <si>
    <t>K10</t>
  </si>
  <si>
    <t>Beyanname 413 'Kazancın Bulunması Halinde' bölümünde mi?</t>
  </si>
  <si>
    <t>Zarar döneminde uygulanamaz.</t>
  </si>
  <si>
    <t>K11</t>
  </si>
  <si>
    <t>GSVY/GSYO yetkili kurum olarak SPK tescili var mı? (Katılım varsa)</t>
  </si>
  <si>
    <t>Katılım yapılan GSVF/GSYO SPK tescilini belgele.</t>
  </si>
  <si>
    <t>K12</t>
  </si>
  <si>
    <t>Kullanılan GSF tutarı ile 549 hesap çıkışları mutabık mı?</t>
  </si>
  <si>
    <t>D tablosu C.3 = 549 çıkışları.</t>
  </si>
  <si>
    <t>K13</t>
  </si>
  <si>
    <t>YMM Tasdik Raporu (49 No.lu Tebliğ) değerlendirildi mi?</t>
  </si>
  <si>
    <t>413 – GİRİŞİM SERMAYESİ FONU VUK 325/A | MUHASEBE KAYITLARI</t>
  </si>
  <si>
    <t>KAYIT 1 — GSF AYRIMI (VUK 325/A PASIF FON HESABI)</t>
  </si>
  <si>
    <t>Tarih</t>
  </si>
  <si>
    <t>Hesap</t>
  </si>
  <si>
    <t>Dr</t>
  </si>
  <si>
    <t>Kr</t>
  </si>
  <si>
    <t>Ref</t>
  </si>
  <si>
    <t>[Dönem Sonu]</t>
  </si>
  <si>
    <t>690 Dönem Kârı veya Zararı</t>
  </si>
  <si>
    <t>GSF ayrımı — dönem kârından fon ayrılması</t>
  </si>
  <si>
    <t>[Tutar]</t>
  </si>
  <si>
    <t>—</t>
  </si>
  <si>
    <t>YMM Hesaplama</t>
  </si>
  <si>
    <t>549 Özel Fonlar — Girişim Sermayesi Fonu</t>
  </si>
  <si>
    <t>VUK 325/A zorunlu: Pasifte özel fon hesabı</t>
  </si>
  <si>
    <t>Bilanço 549</t>
  </si>
  <si>
    <t>KAYIT 2 — GSF KULLANIM (GSVF KATILMA PAYI / GSYO HİSSE ALIMI)</t>
  </si>
  <si>
    <t>[Kullanım Tarihi]</t>
  </si>
  <si>
    <t>110 Hisse Senetleri / 118 GSVF Katılma Payları</t>
  </si>
  <si>
    <t>GSVF katılma payı veya GSYO hisse alımı</t>
  </si>
  <si>
    <t>SPK/TAKASBANK</t>
  </si>
  <si>
    <t>Fon kullanımı → 549 kapatılır</t>
  </si>
  <si>
    <t>KAYIT 3 — SÜRE AŞIMI (2 YIL İÇİNDE KULLANILMAYAN TUTAR)</t>
  </si>
  <si>
    <t>[Süre Dolum Yılı]</t>
  </si>
  <si>
    <t>Süresi dolan fon — 549 kapatılır</t>
  </si>
  <si>
    <t>VUK 325/A</t>
  </si>
  <si>
    <t>679 Diğer Olağan Dışı Gelir ve Kârlar</t>
  </si>
  <si>
    <t>Gelir kaydedilir → O yıl KV matrahına girer</t>
  </si>
  <si>
    <t>Beyanname eklenir</t>
  </si>
  <si>
    <t>KAYIT 4 — DÖNEM SONU: KKEG + BEYANNAME 413 İNDİRİMİ</t>
  </si>
  <si>
    <t>951 KKEG</t>
  </si>
  <si>
    <t>GSF gider kaydı KKEG'e alınır</t>
  </si>
  <si>
    <t>Beyanname</t>
  </si>
  <si>
    <t>952 KKEG Karşılığı</t>
  </si>
  <si>
    <t>KKEG karşılığı → Matrahı artırır</t>
  </si>
  <si>
    <t xml:space="preserve">  YİAKV ve BEYANNAME BAĞLANTISI:
  ① 549 pasifte fon ayrımı → Beyanname 413 → KV matrahından indirilir.
  ② YİAKV D.11 → Matrahtan düşülebilir ✓ (bağış/sponsorluktan farklı).
  ③ Süre dolumu → 679 gelir → O yılın matrahına girer → 413 geri alınmış sayılır.</t>
  </si>
  <si>
    <t>413 – GİRİŞİM SERMAYESİ FONU VUK 325/A + KVK 10/1-g | DENETÇİ NOTLARI</t>
  </si>
  <si>
    <t>GİB KV Beyan Rehberi 2026 (No:606) | %10/%20 Sınır | 2 Yıl Kullanım | SPK | YİAKV D.11</t>
  </si>
  <si>
    <t>Kod</t>
  </si>
  <si>
    <t>Konu</t>
  </si>
  <si>
    <t>Mesleki Değerlendirme / Tasdik Standardı</t>
  </si>
  <si>
    <t>Mevzuat / Kaynak</t>
  </si>
  <si>
    <t>N1</t>
  </si>
  <si>
    <t>VUK 325/A + KVK 10/1-g — GSF İndiriminin Tanımı ve Kapsamı</t>
  </si>
  <si>
    <t>GİRİŞİM SERMAYESİ FONU (GSF) İNDİRİMİ:
KAPSAM (KVK Md.10/1-g):
Aşağıdaki amaçlarla bilançonun pasifinde 549 özel fon hesabına alınan tutarlar:
① Girişim Sermayesi Yatırım Fonu (GSVF) katılma payı alımı
② Girişim Sermayesi Yatırım Ortaklığı (GSYO) hisse senedi alımı
③ GSVF kurulması (kurucu ortak sıfatıyla)
İKİ SINIR:
① Dönem kazancının %10'u (yıllık tavan)
② Öz kaynakların %20'si (birikimli tavan — geçmiş yıl bakiyesi dahil)
2 YIL KULLANIM: Ayrıldığı yılı izleyen 2 yıl içinde amacına uygun kullanılmalı.
YİAKV: ✓ DÜŞÜLEBILIR (D.11) | BEYANNAME: 413</t>
  </si>
  <si>
    <t>KVK Md.10/1-g | VUK Md.325/A | GİB KV Beyan Reh. 2026 (No:606)</t>
  </si>
  <si>
    <t>N2</t>
  </si>
  <si>
    <t>★ %10 Kazanç Sınırı — Baz Tutar Tartışması</t>
  </si>
  <si>
    <t>DÖNEM KAZANCI TANIMI — YMM'NİN YORUMU:
KVK Md.10/1-g'deki '%10 kazanç' ifadesinin baz tutarı:
TUTUCU YORUM (Tercih Edilmesi Gereken):
KV beyanname matrahından önce hesaplanan kazanç.
Ticari bilanço kârı + KKEG − İstisna ve indirimler (diğer 10/1 indirimleri öncesi).
GENİŞ YORUM: Ticari bilanço kârı (tüm işlemlerden önce).
GİB/GELİR İDARESİ: Beyan edilen kurum kazancı esas alınır görüşü ağırlıklı.
Ancak tartışmalı — YMM'nin tutarlı bir görüş benimseyip belgelemesi gerekir.
ÖZELGE: %10 baz tutarı konusunda GİB özelgesi alınması tavsiye edilir.</t>
  </si>
  <si>
    <t>KVK Md.10/1-g | GİB Özelge | VUK Md.325/A</t>
  </si>
  <si>
    <t>N3</t>
  </si>
  <si>
    <t>★ 2 Yıl Kullanım Zorunluluğu — Süre Aşımı Yaptırımları</t>
  </si>
  <si>
    <t>VUK Md.325/A KULLANIM SÜRESİ:
Fon, ayrıldığı yılı izleyen 2 yılın sonuna kadar kullanılmalı.
Örnek: 2023 yılında ayrılan GSF → En geç 31.12.2025 tarihine kadar kullanılmalı.
KULLANILMAYAN FON — YAPTIRIMI:
① Kullanılmayan kısım → Kullanılmadığı yılın kazancına eklenir (679 Gelir)
② O yılın KV matrahına girer → KV hesaplanır
③ VUK Md.112 gecikme faizi (2023 yılı fonu → 2025 itibariyle faiz)
④ Vergi ziyaı cezası (ağır koşullarda)
YMM YAKLAŞIMI:
D tablosunu her dönem güncelleyin.
Süreye yaklaşan fonlar için dönem başında mükellefe uyarı verin.
Kullanım kanıtı: SPK/TAKASBANK alım belgesi veya fon tescil belgesi.</t>
  </si>
  <si>
    <t>VUK Md.325/A | VUK Md.112 | KVK Md.10/1-g</t>
  </si>
  <si>
    <t>N4</t>
  </si>
  <si>
    <t>YİAKV (KVK Md.32/C) — GSF İndirimi Düşülebilir</t>
  </si>
  <si>
    <t>YİAKV VE GSF İNDİRİMİ (413) — DÜŞÜLEBILIR:
KVK Md.32/C YİAKV matrahında:
✓ Girişim Sermayesi Fonu (KVK 10/1-g) → DÜŞÜLEBİLİR → YİAKV D.11
KARŞILAŞTIRMA:
✓ Ar-Ge İndirimi (283) → D.10 ✓
✓ Tasarım İndirimi (455) → D.10 ✓
✓ Risturn (401) → D.4 ✓
✓ GSF İndirimi (413) → D.11 ✓
✗ Bağış/Sponsorluk (402/460/461) → E.11 ✗
YİAKV D.11 UYGULAMASI:
Beyanname 413 tutarı = YİAKV D.11 tutarı → Aynı tutar.
İki çalışma kâğıdı mutabık olmalı.</t>
  </si>
  <si>
    <t>KVK Md.32/C | GİB Rehberi No:607 | No:606</t>
  </si>
  <si>
    <t>N5</t>
  </si>
  <si>
    <t>49 No.lu Tebliğ + YMM Tasdik Dil Standardı</t>
  </si>
  <si>
    <t>KULLANIN:
'...VUK Madde 325/A kapsamında bilançonun pasifinde 549 Özel Fonlar hesabına
alınan [Tutar] TL girişim sermayesi fonu, dönem kazancının %10'u olan [%10 Limit] TL
ve öz kaynakların %20'si tavanından bu yıla isabet eden [Kalan Tavan] TL sınırlarının
en küçüğü olan [İndirim] TL olarak, KVK Madde 10/1-g kapsamında kurumlar vergisi
matrahından indirilmiştir. Söz konusu tutar yurt içi asgari kurumlar vergisi
matrahından da indirilmiştir.'
KULLANMAYIN:
'...VUK 325/A fon hesabı açılmadan GSF indirimi uygulanmıştır.' (Geçersiz)
'..%10 sınır kontrol edilmeksizin tüm ayrılan tutar indirim konusu yapılmıştır.' (Hatalı)
'...2 yıl süre takibi yapılmamıştır.' (Risk — gelir tarhiyatı)
KRİTİK RİSKLER:
(1) 549 hesabı olmadan 413 uygulamak.
(2) %10/%20 limitlerini gözardı etmek.
(3) 2 yıl kullanım takibini ihmal etmek.
(4) YİAKV D.11'e yazmayı unutmak (413 düşülebilir!).</t>
  </si>
  <si>
    <t>49 No.lu Tebliğ | KVK Md.10/1-g | VUK Md.325/A | SM-SMMM-YMM K. Md.12</t>
  </si>
  <si>
    <t xml:space="preserve">  GİB KV BEYAN REHBERİ MART 2026 (No:606) KAPANIŞ (413 — GSF): VUK 325/A pasifte 549 fon hesabı zorunlu. İki sınır: %10 kazanç + %20 özkaynak. 2 yıl kullanım — süre aşımı → gelir + ceza. ✓ YİAKV D.11 — düşülebilir. YMM: SM-SMMM-YMM K. Md.12.</t>
  </si>
  <si>
    <t>413 – GİRİŞİM SERMAYESİ FONU VUK 325/A + KVK 10/1-g | BELGE LİSTESİ</t>
  </si>
  <si>
    <t>GİB KV Beyan Rehberi 2026 | 549 Hesabı | %10/%20 Limit | 2 Yıl Kullanım | SPK Belgesi</t>
  </si>
  <si>
    <t>KATEGORİ 1 — ZORUNLU BELGELER</t>
  </si>
  <si>
    <t>No</t>
  </si>
  <si>
    <t>Belge</t>
  </si>
  <si>
    <t>Temin</t>
  </si>
  <si>
    <t>1</t>
  </si>
  <si>
    <t>★ 549 Özel Fonlar Hesabı Ekstresi — GSF Fon Hareketi</t>
  </si>
  <si>
    <t>VUK 325/A zorunlu: GSF pasifte 549 hesabında kayıtlı olmalı. Dönem başı bakiye + Bu dönem ayrım + Kullanımlar = Dönem sonu bakiye. YMM bilanço ile mutabık kontrol.</t>
  </si>
  <si>
    <t>Muhasebe sistemi</t>
  </si>
  <si>
    <t>2</t>
  </si>
  <si>
    <t>★ Limit Hesaplama Notu (%10 Kazanç + %20 Özkaynak)</t>
  </si>
  <si>
    <t>B.1 → B.9 hesaplama adımları YMM tarafından hazırlanan not. Dönem kazancı ve öz kaynak tutarları bilanço/beyanname ile desteklenmeli.</t>
  </si>
  <si>
    <t>YMM tarafından hazırlanır</t>
  </si>
  <si>
    <t>3</t>
  </si>
  <si>
    <t>★ GSF Kullanım Belgesi (GSVF Katılma Payı / GSYO Hisse Alımı)</t>
  </si>
  <si>
    <t>GSVF katılma payı: TAKASBANK/portföy yönetim şirketi hesap ekstresi. GSYO hisse: Alım dekontu + SPK tescil. Her kullanım için ayrı belge.</t>
  </si>
  <si>
    <t>SPK / TAKASBANK</t>
  </si>
  <si>
    <t>4</t>
  </si>
  <si>
    <t>KV Beyannamesi 413 Satırı + YİAKV D.11 Tutarı</t>
  </si>
  <si>
    <t>Beyanname 413 = C.4 tutarı. YİAKV D.11'de aynı tutar — mutabık.</t>
  </si>
  <si>
    <t>GİB e-Beyanname + YİAKV ÇK</t>
  </si>
  <si>
    <t>5</t>
  </si>
  <si>
    <t>★ 2 Yıl Kullanım Takip Tablosu (D Tablosu Güncel)</t>
  </si>
  <si>
    <t>Tüm geçmiş dönem GSF'leri, kullanım durumları ve süre bilgileri. Süre dolan fonlar için 679 gelir kaydı belgesi.</t>
  </si>
  <si>
    <t>6</t>
  </si>
  <si>
    <t>GSVF/GSYO SPK Tescil veya Kuruluş Belgesi (Gerektiğinde)</t>
  </si>
  <si>
    <t>Katılım yapılan GSVF veya GSYO'nun SPK tescili veya kuruluş belgesi.</t>
  </si>
  <si>
    <t>SPK / Sermaye Piyasası Kurulu</t>
  </si>
  <si>
    <t>KATEGORİ 2 — YMM TASDİK KONTROL SORULARI</t>
  </si>
  <si>
    <t>Beklenen Sonuç</t>
  </si>
  <si>
    <t>YMM Aksiyonu</t>
  </si>
  <si>
    <t>S1</t>
  </si>
  <si>
    <t>★ VUK 325/A pasifte 549 fon hesabı açıldı mı?</t>
  </si>
  <si>
    <t>Hesap olmadan 413 geçersiz.</t>
  </si>
  <si>
    <t>YMM kontrolü</t>
  </si>
  <si>
    <t>S2</t>
  </si>
  <si>
    <t>★ %10 kazanç limiti aşılmıyor mu?</t>
  </si>
  <si>
    <t>B.2 ≥ C.4. Limit hesabı belgeli.</t>
  </si>
  <si>
    <t>S3</t>
  </si>
  <si>
    <t>★ %20 özkaynak birikimli sınırı aşılmıyor mu?</t>
  </si>
  <si>
    <t>B.4 ≥ B.5 + C.4.</t>
  </si>
  <si>
    <t>S4</t>
  </si>
  <si>
    <t>★ GSF amacı KVK 10/1-g kapsamında mı?</t>
  </si>
  <si>
    <t>GSVF/GSYO/Fon kurulması.</t>
  </si>
  <si>
    <t>S5</t>
  </si>
  <si>
    <t>549 hesabı hareketi bilanço ile mutabık mı?</t>
  </si>
  <si>
    <t>Ayrım + Kullanım = Bakiye.</t>
  </si>
  <si>
    <t>S6</t>
  </si>
  <si>
    <t>D tablosu güncel — süre aşımı 679'a.</t>
  </si>
  <si>
    <t>S7</t>
  </si>
  <si>
    <t>GSF kullanım belgesi (TAKASBANK/SPK) mevcut mu?</t>
  </si>
  <si>
    <t>Her kullanım için ayrı belge.</t>
  </si>
  <si>
    <t>S8</t>
  </si>
  <si>
    <t>✓ YİAKV D.11'e GSF tutarı yazıldı mı?</t>
  </si>
  <si>
    <t>413 = YİAKV D.11 — mutabık.</t>
  </si>
  <si>
    <t>S9</t>
  </si>
  <si>
    <t>Beyanname 413 'Kazancın Bulunması Halinde'?</t>
  </si>
  <si>
    <t>S10</t>
  </si>
  <si>
    <t>YMM Tasdik Raporu değerlendirildi mi?</t>
  </si>
  <si>
    <t>&gt;=500.000 TL → Rapor.</t>
  </si>
  <si>
    <t xml:space="preserve">  GİB KV BEYAN REHBERİ MART 2026 (No:606) | 413 GSF SON NOT:
  VUK 325/A pasifte 549 fon hesabı zorunlu. KVK 10/1-g: Kazancın %10'u + Özkaynak %20 (birikimli) iki sınır.
  2 yıl kullanım kuralı — süre takibi kritik — aşılırsa gelir + faiz + ceza.
  ✓ YİAKV D.11'e dahil edilir — DÜŞÜLEBILIR (bağış/sponsorluktan ayrım önemli).
  %10 kazanç baz tartışması için GİB özelgesi tavsiye edilir.
  YMM müteselsil sorumluluk: SM-SMMM-YMM Kanunu Md.12.</t>
  </si>
  <si>
    <t>B.1 × %10 = Cari Yıl Azami GSF</t>
  </si>
  <si>
    <t>B.3 × %20 = Birikimli GSF Tavanı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</si>
</sst>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F3864"/>
      <name val="Arial"/>
    </font>
    <font>
      <i/>
      <sz val="8"/>
      <color rgb="FF21618C"/>
      <name val="Arial"/>
    </font>
    <font>
      <b/>
      <sz val="10"/>
      <color rgb="FF21618C"/>
      <name val="Arial"/>
    </font>
    <font>
      <b/>
      <sz val="9"/>
      <color rgb="FF1B5E20"/>
      <name val="Arial"/>
    </font>
    <font>
      <b/>
      <sz val="11"/>
      <color rgb="FF1B5E20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sz val="9"/>
      <color rgb="FFC0392B"/>
      <name val="Arial"/>
    </font>
    <font>
      <b/>
      <sz val="9"/>
      <color rgb="FF21618C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8"/>
      <color rgb="FF333333"/>
      <name val="Arial"/>
    </font>
    <font>
      <b/>
      <sz val="8"/>
      <color rgb="FFC0392B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4">
    <fill>
      <patternFill patternType="none"/>
    </fill>
    <fill>
      <patternFill patternType="gray125"/>
    </fill>
    <fill>
      <patternFill patternType="solid">
        <fgColor rgb="FF21618C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1B5E2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AF2FF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4E6F1"/>
      </patternFill>
    </fill>
    <fill>
      <patternFill patternType="solid">
        <fgColor rgb="FFFFF3E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21618C"/>
      </left>
      <right style="thin">
        <color rgb="FF21618C"/>
      </right>
      <top style="thin">
        <color rgb="FF21618C"/>
      </top>
      <bottom style="thin">
        <color rgb="FF21618C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4" fillId="11" borderId="7" xfId="0" applyNumberFormat="1" applyFont="1" applyFill="1" applyBorder="1" applyAlignment="1">
      <alignment horizontal="right" vertical="center"/>
    </xf>
    <xf numFmtId="3" fontId="16" fillId="13" borderId="8" xfId="0" applyNumberFormat="1" applyFont="1" applyFill="1" applyBorder="1" applyAlignment="1">
      <alignment horizontal="right" vertical="center"/>
    </xf>
    <xf numFmtId="3" fontId="14" fillId="11" borderId="4" xfId="0" applyNumberFormat="1" applyFont="1" applyFill="1" applyBorder="1" applyAlignment="1">
      <alignment horizontal="right" vertical="center"/>
    </xf>
    <xf numFmtId="3" fontId="17" fillId="13" borderId="8" xfId="0" applyNumberFormat="1" applyFont="1" applyFill="1" applyBorder="1" applyAlignment="1">
      <alignment horizontal="right" vertical="center"/>
    </xf>
    <xf numFmtId="0" fontId="19" fillId="1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3" fontId="21" fillId="10" borderId="7" xfId="0" applyNumberFormat="1" applyFont="1" applyFill="1" applyBorder="1" applyAlignment="1">
      <alignment horizontal="right" vertical="center" wrapText="1"/>
    </xf>
    <xf numFmtId="3" fontId="12" fillId="10" borderId="4" xfId="0" applyNumberFormat="1" applyFont="1" applyFill="1" applyBorder="1" applyAlignment="1">
      <alignment horizontal="right" vertical="center" wrapText="1"/>
    </xf>
    <xf numFmtId="3" fontId="21" fillId="11" borderId="4" xfId="0" applyNumberFormat="1" applyFont="1" applyFill="1" applyBorder="1" applyAlignment="1">
      <alignment horizontal="right" vertical="center" wrapText="1"/>
    </xf>
    <xf numFmtId="0" fontId="0" fillId="10" borderId="4" xfId="0" applyFill="1" applyBorder="1" applyAlignment="1">
      <alignment horizontal="center" vertical="center"/>
    </xf>
    <xf numFmtId="0" fontId="22" fillId="11" borderId="4" xfId="0" applyFont="1" applyFill="1" applyBorder="1" applyAlignment="1">
      <alignment horizontal="left" vertical="center" wrapText="1"/>
    </xf>
    <xf numFmtId="3" fontId="21" fillId="12" borderId="4" xfId="0" applyNumberFormat="1" applyFont="1" applyFill="1" applyBorder="1" applyAlignment="1">
      <alignment horizontal="right" vertical="center" wrapText="1"/>
    </xf>
    <xf numFmtId="0" fontId="22" fillId="12" borderId="4" xfId="0" applyFont="1" applyFill="1" applyBorder="1" applyAlignment="1">
      <alignment horizontal="left" vertical="center" wrapText="1"/>
    </xf>
    <xf numFmtId="3" fontId="23" fillId="2" borderId="4" xfId="0" applyNumberFormat="1" applyFont="1" applyFill="1" applyBorder="1" applyAlignment="1">
      <alignment horizontal="right" vertical="center" wrapText="1"/>
    </xf>
    <xf numFmtId="3" fontId="24" fillId="13" borderId="8" xfId="0" applyNumberFormat="1" applyFont="1" applyFill="1" applyBorder="1" applyAlignment="1">
      <alignment horizontal="right" vertical="center" wrapText="1"/>
    </xf>
    <xf numFmtId="3" fontId="10" fillId="11" borderId="4" xfId="0" applyNumberFormat="1" applyFont="1" applyFill="1" applyBorder="1" applyAlignment="1">
      <alignment horizontal="center" vertical="center"/>
    </xf>
    <xf numFmtId="3" fontId="26" fillId="13" borderId="4" xfId="0" applyNumberFormat="1" applyFont="1" applyFill="1" applyBorder="1" applyAlignment="1">
      <alignment horizontal="right" vertical="center"/>
    </xf>
    <xf numFmtId="0" fontId="10" fillId="11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top" wrapText="1"/>
    </xf>
    <xf numFmtId="0" fontId="27" fillId="16" borderId="4" xfId="0" applyFont="1" applyFill="1" applyBorder="1" applyAlignment="1">
      <alignment horizontal="left" vertical="top" wrapText="1"/>
    </xf>
    <xf numFmtId="0" fontId="22" fillId="10" borderId="4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0" fillId="12" borderId="4" xfId="0" applyFill="1" applyBorder="1"/>
    <xf numFmtId="0" fontId="8" fillId="11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left" vertical="top" wrapText="1"/>
    </xf>
    <xf numFmtId="0" fontId="29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top" wrapText="1"/>
    </xf>
    <xf numFmtId="0" fontId="0" fillId="13" borderId="4" xfId="0" applyFill="1" applyBorder="1"/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left" vertical="top" wrapText="1"/>
    </xf>
    <xf numFmtId="0" fontId="27" fillId="18" borderId="4" xfId="0" applyFont="1" applyFill="1" applyBorder="1" applyAlignment="1">
      <alignment horizontal="left" vertical="top" wrapText="1"/>
    </xf>
    <xf numFmtId="0" fontId="31" fillId="13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top" wrapText="1"/>
    </xf>
    <xf numFmtId="0" fontId="31" fillId="12" borderId="4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/>
    </xf>
    <xf numFmtId="0" fontId="0" fillId="20" borderId="4" xfId="0" applyFill="1" applyBorder="1"/>
    <xf numFmtId="0" fontId="32" fillId="20" borderId="4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left" vertical="top" wrapText="1"/>
    </xf>
    <xf numFmtId="0" fontId="27" fillId="21" borderId="4" xfId="0" applyFont="1" applyFill="1" applyBorder="1" applyAlignment="1">
      <alignment horizontal="left" vertical="top" wrapText="1"/>
    </xf>
    <xf numFmtId="0" fontId="33" fillId="20" borderId="4" xfId="0" applyFont="1" applyFill="1" applyBorder="1" applyAlignment="1">
      <alignment horizontal="center" vertical="center" wrapText="1"/>
    </xf>
    <xf numFmtId="0" fontId="0" fillId="22" borderId="4" xfId="0" applyFill="1" applyBorder="1"/>
    <xf numFmtId="0" fontId="32" fillId="22" borderId="4" xfId="0" applyFont="1" applyFill="1" applyBorder="1" applyAlignment="1">
      <alignment horizontal="center" vertical="center" wrapText="1"/>
    </xf>
    <xf numFmtId="0" fontId="32" fillId="22" borderId="4" xfId="0" applyFont="1" applyFill="1" applyBorder="1" applyAlignment="1">
      <alignment horizontal="left" vertical="top" wrapText="1"/>
    </xf>
    <xf numFmtId="0" fontId="27" fillId="23" borderId="4" xfId="0" applyFont="1" applyFill="1" applyBorder="1" applyAlignment="1">
      <alignment horizontal="left" vertical="top" wrapText="1"/>
    </xf>
    <xf numFmtId="0" fontId="33" fillId="2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10" borderId="4" xfId="0" applyFill="1" applyBorder="1"/>
    <xf numFmtId="0" fontId="0" fillId="0" borderId="5" xfId="0" applyBorder="1"/>
    <xf numFmtId="0" fontId="0" fillId="0" borderId="6" xfId="0" applyBorder="1"/>
    <xf numFmtId="0" fontId="11" fillId="14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14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3" fillId="14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20" fillId="11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5" fillId="13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8" fillId="12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27" fillId="16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27" fillId="14" borderId="1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27" fillId="11" borderId="4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top" wrapText="1"/>
    </xf>
    <xf numFmtId="0" fontId="28" fillId="15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53DD72-C73C-4391-BB5C-050D874DC2E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6624991-ef0f-4e8f-97ce-f0c69da16ad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5" customWidth="1"/>
    <col min="6" max="6" width="14" customWidth="1"/>
    <col min="7" max="7" width="22" customWidth="1"/>
  </cols>
  <sheetData>
    <row r="1" spans="1:7" ht="44.05" customHeight="1" x14ac:dyDescent="0.55000000000000004">
      <c r="A1" s="91" t="s">
        <v>0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97" t="s">
        <v>1</v>
      </c>
      <c r="B2" s="62"/>
      <c r="C2" s="62"/>
      <c r="D2" s="62"/>
      <c r="E2" s="62"/>
      <c r="F2" s="62"/>
      <c r="G2" s="63"/>
    </row>
    <row r="3" spans="1:7" ht="48" customHeight="1" x14ac:dyDescent="0.55000000000000004">
      <c r="A3" s="92" t="s">
        <v>2</v>
      </c>
      <c r="B3" s="62"/>
      <c r="C3" s="62"/>
      <c r="D3" s="62"/>
      <c r="E3" s="62"/>
      <c r="F3" s="62"/>
      <c r="G3" s="63"/>
    </row>
    <row r="4" spans="1:7" ht="22" customHeight="1" x14ac:dyDescent="0.55000000000000004">
      <c r="A4" s="93" t="s">
        <v>3</v>
      </c>
      <c r="B4" s="62"/>
      <c r="C4" s="62"/>
      <c r="D4" s="62"/>
      <c r="E4" s="62"/>
      <c r="F4" s="62"/>
      <c r="G4" s="63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5" t="s">
        <v>4</v>
      </c>
      <c r="B6" s="62"/>
      <c r="C6" s="62"/>
      <c r="D6" s="62"/>
      <c r="E6" s="62"/>
      <c r="F6" s="62"/>
      <c r="G6" s="6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5" t="s">
        <v>8</v>
      </c>
      <c r="B8" s="65"/>
      <c r="C8" s="65"/>
      <c r="D8" s="66"/>
      <c r="E8" s="3" t="s">
        <v>9</v>
      </c>
      <c r="F8" s="80" t="s">
        <v>10</v>
      </c>
      <c r="G8" s="66"/>
    </row>
    <row r="9" spans="1:7" ht="28" customHeight="1" x14ac:dyDescent="0.55000000000000004">
      <c r="A9" s="85" t="s">
        <v>11</v>
      </c>
      <c r="B9" s="65"/>
      <c r="C9" s="65"/>
      <c r="D9" s="66"/>
      <c r="E9" s="3" t="s">
        <v>12</v>
      </c>
      <c r="F9" s="80" t="s">
        <v>13</v>
      </c>
      <c r="G9" s="66"/>
    </row>
    <row r="10" spans="1:7" ht="28" customHeight="1" x14ac:dyDescent="0.55000000000000004">
      <c r="A10" s="85" t="s">
        <v>14</v>
      </c>
      <c r="B10" s="65"/>
      <c r="C10" s="65"/>
      <c r="D10" s="66"/>
      <c r="E10" s="3" t="s">
        <v>9</v>
      </c>
      <c r="F10" s="80" t="s">
        <v>15</v>
      </c>
      <c r="G10" s="66"/>
    </row>
    <row r="11" spans="1:7" ht="28" customHeight="1" x14ac:dyDescent="0.55000000000000004">
      <c r="A11" s="85" t="s">
        <v>16</v>
      </c>
      <c r="B11" s="65"/>
      <c r="C11" s="65"/>
      <c r="D11" s="66"/>
      <c r="E11" s="3" t="s">
        <v>9</v>
      </c>
      <c r="F11" s="80" t="s">
        <v>17</v>
      </c>
      <c r="G11" s="66"/>
    </row>
    <row r="12" spans="1:7" ht="28" customHeight="1" x14ac:dyDescent="0.55000000000000004">
      <c r="A12" s="78" t="s">
        <v>18</v>
      </c>
      <c r="B12" s="65"/>
      <c r="C12" s="65"/>
      <c r="D12" s="66"/>
      <c r="E12" s="3" t="s">
        <v>9</v>
      </c>
      <c r="F12" s="89" t="s">
        <v>19</v>
      </c>
      <c r="G12" s="66"/>
    </row>
    <row r="13" spans="1:7" ht="28" customHeight="1" x14ac:dyDescent="0.55000000000000004">
      <c r="A13" s="70" t="s">
        <v>20</v>
      </c>
      <c r="B13" s="65"/>
      <c r="C13" s="65"/>
      <c r="D13" s="66"/>
      <c r="E13" s="3" t="s">
        <v>9</v>
      </c>
      <c r="F13" s="79" t="s">
        <v>21</v>
      </c>
      <c r="G13" s="66"/>
    </row>
    <row r="14" spans="1:7" ht="28" customHeight="1" x14ac:dyDescent="0.55000000000000004">
      <c r="A14" s="78" t="s">
        <v>22</v>
      </c>
      <c r="B14" s="65"/>
      <c r="C14" s="65"/>
      <c r="D14" s="66"/>
      <c r="E14" s="3" t="s">
        <v>9</v>
      </c>
      <c r="F14" s="89" t="s">
        <v>23</v>
      </c>
      <c r="G14" s="66"/>
    </row>
    <row r="15" spans="1:7" ht="24" customHeight="1" x14ac:dyDescent="0.55000000000000004">
      <c r="A15" s="73" t="s">
        <v>24</v>
      </c>
      <c r="B15" s="65"/>
      <c r="C15" s="65"/>
      <c r="D15" s="66"/>
      <c r="E15" s="4" t="str">
        <f>IF(AND(E8="EVET",E9&lt;&gt;"",E10="EVET",E11="EVET"),"OK - Hesaplanabilir","HATA - Ön koşul eksik")</f>
        <v>OK - Hesaplanabilir</v>
      </c>
      <c r="F15" s="72" t="s">
        <v>25</v>
      </c>
      <c r="G15" s="66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1" t="s">
        <v>26</v>
      </c>
      <c r="B17" s="62"/>
      <c r="C17" s="62"/>
      <c r="D17" s="62"/>
      <c r="E17" s="62"/>
      <c r="F17" s="62"/>
      <c r="G17" s="63"/>
    </row>
    <row r="18" spans="1:7" ht="22" customHeight="1" x14ac:dyDescent="0.55000000000000004">
      <c r="A18" s="78" t="s">
        <v>27</v>
      </c>
      <c r="B18" s="66"/>
      <c r="C18" s="64"/>
      <c r="D18" s="65"/>
      <c r="E18" s="66"/>
      <c r="F18" s="82" t="s">
        <v>28</v>
      </c>
      <c r="G18" s="66"/>
    </row>
    <row r="19" spans="1:7" ht="22" customHeight="1" x14ac:dyDescent="0.55000000000000004">
      <c r="A19" s="70" t="s">
        <v>29</v>
      </c>
      <c r="B19" s="66"/>
      <c r="C19" s="64"/>
      <c r="D19" s="65"/>
      <c r="E19" s="66"/>
      <c r="F19" s="77" t="s">
        <v>30</v>
      </c>
      <c r="G19" s="66"/>
    </row>
    <row r="20" spans="1:7" ht="22" customHeight="1" x14ac:dyDescent="0.55000000000000004">
      <c r="A20" s="78" t="s">
        <v>31</v>
      </c>
      <c r="B20" s="66"/>
      <c r="C20" s="64"/>
      <c r="D20" s="65"/>
      <c r="E20" s="66"/>
      <c r="F20" s="82" t="s">
        <v>32</v>
      </c>
      <c r="G20" s="66"/>
    </row>
    <row r="21" spans="1:7" ht="22" customHeight="1" x14ac:dyDescent="0.55000000000000004">
      <c r="A21" s="70" t="s">
        <v>33</v>
      </c>
      <c r="B21" s="66"/>
      <c r="C21" s="64"/>
      <c r="D21" s="65"/>
      <c r="E21" s="66"/>
      <c r="F21" s="77" t="s">
        <v>34</v>
      </c>
      <c r="G21" s="66"/>
    </row>
    <row r="22" spans="1:7" ht="22" customHeight="1" x14ac:dyDescent="0.55000000000000004">
      <c r="A22" s="78" t="s">
        <v>35</v>
      </c>
      <c r="B22" s="66"/>
      <c r="C22" s="64"/>
      <c r="D22" s="65"/>
      <c r="E22" s="66"/>
      <c r="F22" s="82" t="s">
        <v>36</v>
      </c>
      <c r="G22" s="66"/>
    </row>
    <row r="23" spans="1:7" ht="22" customHeight="1" x14ac:dyDescent="0.55000000000000004">
      <c r="A23" s="70" t="s">
        <v>37</v>
      </c>
      <c r="B23" s="66"/>
      <c r="C23" s="64"/>
      <c r="D23" s="65"/>
      <c r="E23" s="66"/>
      <c r="F23" s="77" t="s">
        <v>38</v>
      </c>
      <c r="G23" s="66"/>
    </row>
    <row r="24" spans="1:7" ht="22" customHeight="1" x14ac:dyDescent="0.55000000000000004">
      <c r="A24" s="78" t="s">
        <v>39</v>
      </c>
      <c r="B24" s="66"/>
      <c r="C24" s="64"/>
      <c r="D24" s="65"/>
      <c r="E24" s="66"/>
      <c r="F24" s="82" t="s">
        <v>40</v>
      </c>
      <c r="G24" s="66"/>
    </row>
    <row r="26" spans="1:7" ht="5.05" customHeight="1" x14ac:dyDescent="0.55000000000000004">
      <c r="A26" s="1"/>
      <c r="B26" s="1"/>
      <c r="C26" s="1"/>
      <c r="D26" s="1"/>
      <c r="E26" s="1"/>
      <c r="F26" s="1"/>
      <c r="G26" s="1"/>
    </row>
    <row r="27" spans="1:7" ht="24" customHeight="1" x14ac:dyDescent="0.55000000000000004">
      <c r="A27" s="61" t="s">
        <v>41</v>
      </c>
      <c r="B27" s="62"/>
      <c r="C27" s="62"/>
      <c r="D27" s="62"/>
      <c r="E27" s="62"/>
      <c r="F27" s="62"/>
      <c r="G27" s="63"/>
    </row>
    <row r="28" spans="1:7" ht="24" customHeight="1" x14ac:dyDescent="0.55000000000000004">
      <c r="A28" s="71" t="s">
        <v>42</v>
      </c>
      <c r="B28" s="65"/>
      <c r="C28" s="65"/>
      <c r="D28" s="65"/>
      <c r="E28" s="65"/>
      <c r="F28" s="65"/>
      <c r="G28" s="66"/>
    </row>
    <row r="29" spans="1:7" ht="18" customHeight="1" x14ac:dyDescent="0.55000000000000004">
      <c r="A29" s="2"/>
      <c r="B29" s="2" t="s">
        <v>43</v>
      </c>
      <c r="C29" s="2"/>
      <c r="D29" s="2" t="s">
        <v>44</v>
      </c>
      <c r="E29" s="2"/>
      <c r="F29" s="2" t="s">
        <v>45</v>
      </c>
      <c r="G29" s="2" t="s">
        <v>46</v>
      </c>
    </row>
    <row r="30" spans="1:7" ht="26.05" customHeight="1" x14ac:dyDescent="0.55000000000000004">
      <c r="A30" s="78" t="s">
        <v>47</v>
      </c>
      <c r="B30" s="66"/>
      <c r="C30" s="5"/>
      <c r="D30" s="82" t="s">
        <v>48</v>
      </c>
      <c r="E30" s="66"/>
      <c r="F30" s="83" t="s">
        <v>49</v>
      </c>
      <c r="G30" s="66"/>
    </row>
    <row r="31" spans="1:7" ht="26.05" customHeight="1" x14ac:dyDescent="0.55000000000000004">
      <c r="A31" s="76" t="s">
        <v>50</v>
      </c>
      <c r="B31" s="66"/>
      <c r="C31" s="6">
        <f>C30*0.1</f>
        <v>0</v>
      </c>
      <c r="D31" s="67" t="s">
        <v>290</v>
      </c>
      <c r="E31" s="66"/>
      <c r="F31" s="86" t="s">
        <v>51</v>
      </c>
      <c r="G31" s="66"/>
    </row>
    <row r="32" spans="1:7" ht="26.05" customHeight="1" x14ac:dyDescent="0.55000000000000004">
      <c r="A32" s="78" t="s">
        <v>52</v>
      </c>
      <c r="B32" s="66"/>
      <c r="C32" s="5"/>
      <c r="D32" s="82" t="s">
        <v>53</v>
      </c>
      <c r="E32" s="66"/>
      <c r="F32" s="83" t="s">
        <v>54</v>
      </c>
      <c r="G32" s="66"/>
    </row>
    <row r="33" spans="1:7" ht="26.05" customHeight="1" x14ac:dyDescent="0.55000000000000004">
      <c r="A33" s="76" t="s">
        <v>55</v>
      </c>
      <c r="B33" s="66"/>
      <c r="C33" s="6">
        <f>C32*0.2</f>
        <v>0</v>
      </c>
      <c r="D33" s="67" t="s">
        <v>291</v>
      </c>
      <c r="E33" s="66"/>
      <c r="F33" s="86" t="s">
        <v>51</v>
      </c>
      <c r="G33" s="66"/>
    </row>
    <row r="34" spans="1:7" ht="26.05" customHeight="1" x14ac:dyDescent="0.55000000000000004">
      <c r="A34" s="78" t="s">
        <v>56</v>
      </c>
      <c r="B34" s="66"/>
      <c r="C34" s="5"/>
      <c r="D34" s="82" t="s">
        <v>57</v>
      </c>
      <c r="E34" s="66"/>
      <c r="F34" s="83" t="s">
        <v>58</v>
      </c>
      <c r="G34" s="66"/>
    </row>
    <row r="35" spans="1:7" ht="26.05" customHeight="1" x14ac:dyDescent="0.55000000000000004">
      <c r="A35" s="76" t="s">
        <v>59</v>
      </c>
      <c r="B35" s="66"/>
      <c r="C35" s="6">
        <f>MAX(C33-C34,0)</f>
        <v>0</v>
      </c>
      <c r="D35" s="67" t="s">
        <v>60</v>
      </c>
      <c r="E35" s="66"/>
      <c r="F35" s="86" t="s">
        <v>51</v>
      </c>
      <c r="G35" s="66"/>
    </row>
    <row r="36" spans="1:7" ht="26.05" customHeight="1" x14ac:dyDescent="0.55000000000000004">
      <c r="A36" s="84" t="s">
        <v>61</v>
      </c>
      <c r="B36" s="66"/>
      <c r="C36" s="7">
        <f>MIN(C31,C35)</f>
        <v>0</v>
      </c>
      <c r="D36" s="68" t="s">
        <v>62</v>
      </c>
      <c r="E36" s="66"/>
      <c r="F36" s="94" t="s">
        <v>63</v>
      </c>
      <c r="G36" s="66"/>
    </row>
    <row r="37" spans="1:7" ht="26.05" customHeight="1" x14ac:dyDescent="0.55000000000000004">
      <c r="A37" s="70" t="s">
        <v>64</v>
      </c>
      <c r="B37" s="66"/>
      <c r="C37" s="5"/>
      <c r="D37" s="77" t="s">
        <v>65</v>
      </c>
      <c r="E37" s="66"/>
      <c r="F37" s="101" t="s">
        <v>66</v>
      </c>
      <c r="G37" s="66"/>
    </row>
    <row r="38" spans="1:7" ht="26.05" customHeight="1" x14ac:dyDescent="0.55000000000000004">
      <c r="A38" s="76" t="s">
        <v>67</v>
      </c>
      <c r="B38" s="66"/>
      <c r="C38" s="6">
        <f>MIN(C36,C37)</f>
        <v>0</v>
      </c>
      <c r="D38" s="67" t="s">
        <v>68</v>
      </c>
      <c r="E38" s="66"/>
      <c r="F38" s="86" t="s">
        <v>51</v>
      </c>
      <c r="G38" s="66"/>
    </row>
    <row r="39" spans="1:7" ht="5.05" customHeight="1" x14ac:dyDescent="0.55000000000000004">
      <c r="A39" s="1"/>
      <c r="B39" s="1"/>
      <c r="C39" s="1"/>
      <c r="D39" s="1"/>
      <c r="E39" s="1"/>
      <c r="F39" s="1"/>
      <c r="G39" s="1"/>
    </row>
    <row r="40" spans="1:7" ht="24" customHeight="1" x14ac:dyDescent="0.55000000000000004">
      <c r="A40" s="61" t="s">
        <v>69</v>
      </c>
      <c r="B40" s="62"/>
      <c r="C40" s="62"/>
      <c r="D40" s="62"/>
      <c r="E40" s="62"/>
      <c r="F40" s="62"/>
      <c r="G40" s="63"/>
    </row>
    <row r="41" spans="1:7" ht="18" customHeight="1" x14ac:dyDescent="0.55000000000000004">
      <c r="A41" s="2"/>
      <c r="B41" s="2" t="s">
        <v>43</v>
      </c>
      <c r="C41" s="2"/>
      <c r="D41" s="2" t="s">
        <v>44</v>
      </c>
      <c r="E41" s="2"/>
      <c r="F41" s="2" t="s">
        <v>70</v>
      </c>
      <c r="G41" s="2" t="s">
        <v>71</v>
      </c>
    </row>
    <row r="42" spans="1:7" ht="28" customHeight="1" x14ac:dyDescent="0.55000000000000004">
      <c r="A42" s="78" t="s">
        <v>72</v>
      </c>
      <c r="B42" s="66"/>
      <c r="C42" s="8">
        <f>C31</f>
        <v>0</v>
      </c>
      <c r="D42" s="82" t="s">
        <v>73</v>
      </c>
      <c r="E42" s="66"/>
      <c r="F42" s="89"/>
      <c r="G42" s="66"/>
    </row>
    <row r="43" spans="1:7" ht="28" customHeight="1" x14ac:dyDescent="0.55000000000000004">
      <c r="A43" s="70" t="s">
        <v>74</v>
      </c>
      <c r="B43" s="66"/>
      <c r="C43" s="8">
        <f>C35</f>
        <v>0</v>
      </c>
      <c r="D43" s="77" t="s">
        <v>75</v>
      </c>
      <c r="E43" s="66"/>
      <c r="F43" s="79"/>
      <c r="G43" s="66"/>
    </row>
    <row r="44" spans="1:7" ht="28" customHeight="1" x14ac:dyDescent="0.55000000000000004">
      <c r="A44" s="78" t="s">
        <v>76</v>
      </c>
      <c r="B44" s="66"/>
      <c r="C44" s="8">
        <f>C37</f>
        <v>0</v>
      </c>
      <c r="D44" s="82" t="s">
        <v>77</v>
      </c>
      <c r="E44" s="66"/>
      <c r="F44" s="89"/>
      <c r="G44" s="66"/>
    </row>
    <row r="45" spans="1:7" ht="28" customHeight="1" x14ac:dyDescent="0.55000000000000004">
      <c r="A45" s="84" t="s">
        <v>78</v>
      </c>
      <c r="B45" s="66"/>
      <c r="C45" s="9">
        <f>MIN(C42,C43,C44)</f>
        <v>0</v>
      </c>
      <c r="D45" s="68" t="s">
        <v>79</v>
      </c>
      <c r="E45" s="66"/>
      <c r="F45" s="87" t="s">
        <v>80</v>
      </c>
      <c r="G45" s="66"/>
    </row>
    <row r="46" spans="1:7" ht="28" customHeight="1" x14ac:dyDescent="0.55000000000000004">
      <c r="A46" s="88" t="s">
        <v>81</v>
      </c>
      <c r="B46" s="66"/>
      <c r="C46" s="4" t="s">
        <v>82</v>
      </c>
      <c r="D46" s="82" t="s">
        <v>83</v>
      </c>
      <c r="E46" s="66"/>
      <c r="F46" s="89" t="s">
        <v>84</v>
      </c>
      <c r="G46" s="66"/>
    </row>
    <row r="47" spans="1:7" ht="28" customHeight="1" x14ac:dyDescent="0.55000000000000004">
      <c r="A47" s="100" t="s">
        <v>85</v>
      </c>
      <c r="B47" s="66"/>
      <c r="C47" s="10" t="s">
        <v>86</v>
      </c>
      <c r="D47" s="77" t="s">
        <v>87</v>
      </c>
      <c r="E47" s="66"/>
      <c r="F47" s="79" t="s">
        <v>88</v>
      </c>
      <c r="G47" s="66"/>
    </row>
    <row r="48" spans="1:7" ht="5.05" customHeight="1" x14ac:dyDescent="0.55000000000000004">
      <c r="A48" s="1"/>
      <c r="B48" s="1"/>
      <c r="C48" s="1"/>
      <c r="D48" s="1"/>
      <c r="E48" s="1"/>
      <c r="F48" s="1"/>
      <c r="G48" s="1"/>
    </row>
    <row r="49" spans="1:7" ht="24" customHeight="1" x14ac:dyDescent="0.55000000000000004">
      <c r="A49" s="61" t="s">
        <v>89</v>
      </c>
      <c r="B49" s="62"/>
      <c r="C49" s="62"/>
      <c r="D49" s="62"/>
      <c r="E49" s="62"/>
      <c r="F49" s="62"/>
      <c r="G49" s="63"/>
    </row>
    <row r="50" spans="1:7" ht="24" customHeight="1" x14ac:dyDescent="0.55000000000000004">
      <c r="A50" s="96" t="s">
        <v>90</v>
      </c>
      <c r="B50" s="65"/>
      <c r="C50" s="65"/>
      <c r="D50" s="65"/>
      <c r="E50" s="65"/>
      <c r="F50" s="65"/>
      <c r="G50" s="66"/>
    </row>
    <row r="51" spans="1:7" ht="18" customHeight="1" x14ac:dyDescent="0.55000000000000004">
      <c r="A51" s="11" t="s">
        <v>91</v>
      </c>
      <c r="B51" s="11" t="s">
        <v>92</v>
      </c>
      <c r="C51" s="11" t="s">
        <v>93</v>
      </c>
      <c r="D51" s="11" t="s">
        <v>94</v>
      </c>
      <c r="E51" s="11" t="s">
        <v>95</v>
      </c>
      <c r="F51" s="11" t="s">
        <v>96</v>
      </c>
      <c r="G51" s="11" t="s">
        <v>97</v>
      </c>
    </row>
    <row r="52" spans="1:7" ht="26.05" customHeight="1" x14ac:dyDescent="0.55000000000000004">
      <c r="A52" s="12"/>
      <c r="B52" s="13"/>
      <c r="C52" s="14"/>
      <c r="D52" s="15">
        <f>IF(B52&gt;0,B52-C52,0)</f>
        <v>0</v>
      </c>
      <c r="E52" s="12"/>
      <c r="F52" s="16"/>
      <c r="G52" s="17"/>
    </row>
    <row r="53" spans="1:7" ht="26.05" customHeight="1" x14ac:dyDescent="0.55000000000000004">
      <c r="A53" s="12"/>
      <c r="B53" s="13"/>
      <c r="C53" s="14"/>
      <c r="D53" s="18">
        <f>IF(B53&gt;0,B53-C53,0)</f>
        <v>0</v>
      </c>
      <c r="E53" s="12"/>
      <c r="F53" s="16"/>
      <c r="G53" s="19"/>
    </row>
    <row r="54" spans="1:7" ht="26.05" customHeight="1" x14ac:dyDescent="0.55000000000000004">
      <c r="A54" s="12"/>
      <c r="B54" s="13"/>
      <c r="C54" s="14"/>
      <c r="D54" s="15">
        <f>IF(B54&gt;0,B54-C54,0)</f>
        <v>0</v>
      </c>
      <c r="E54" s="12"/>
      <c r="F54" s="16"/>
      <c r="G54" s="17"/>
    </row>
    <row r="55" spans="1:7" ht="26.05" customHeight="1" x14ac:dyDescent="0.55000000000000004">
      <c r="A55" s="12"/>
      <c r="B55" s="13"/>
      <c r="C55" s="14"/>
      <c r="D55" s="18">
        <f>IF(B55&gt;0,B55-C55,0)</f>
        <v>0</v>
      </c>
      <c r="E55" s="12"/>
      <c r="F55" s="16"/>
      <c r="G55" s="19"/>
    </row>
    <row r="56" spans="1:7" ht="26.05" customHeight="1" x14ac:dyDescent="0.55000000000000004">
      <c r="A56" s="12"/>
      <c r="B56" s="13"/>
      <c r="C56" s="14"/>
      <c r="D56" s="15">
        <f>IF(B56&gt;0,B56-C56,0)</f>
        <v>0</v>
      </c>
      <c r="E56" s="12"/>
      <c r="F56" s="16"/>
      <c r="G56" s="17"/>
    </row>
    <row r="57" spans="1:7" ht="28" customHeight="1" x14ac:dyDescent="0.55000000000000004">
      <c r="A57" s="69" t="s">
        <v>98</v>
      </c>
      <c r="B57" s="65"/>
      <c r="C57" s="66"/>
      <c r="D57" s="20">
        <f>SUM(D52:D56)</f>
        <v>0</v>
      </c>
      <c r="E57" s="74" t="s">
        <v>99</v>
      </c>
      <c r="F57" s="65"/>
      <c r="G57" s="66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90" t="s">
        <v>100</v>
      </c>
      <c r="B59" s="65"/>
      <c r="C59" s="65"/>
      <c r="D59" s="66"/>
      <c r="E59" s="21">
        <f>C45</f>
        <v>0</v>
      </c>
      <c r="F59" s="98" t="s">
        <v>101</v>
      </c>
      <c r="G59" s="66"/>
    </row>
    <row r="60" spans="1:7" ht="32.049999999999997" customHeight="1" x14ac:dyDescent="0.55000000000000004">
      <c r="A60" s="75" t="s">
        <v>102</v>
      </c>
      <c r="B60" s="65"/>
      <c r="C60" s="65"/>
      <c r="D60" s="66"/>
      <c r="E60" s="81" t="s">
        <v>103</v>
      </c>
      <c r="F60" s="65"/>
      <c r="G60" s="66"/>
    </row>
    <row r="61" spans="1:7" ht="44.05" customHeight="1" x14ac:dyDescent="0.55000000000000004">
      <c r="A61" s="99" t="s">
        <v>104</v>
      </c>
      <c r="B61" s="62"/>
      <c r="C61" s="62"/>
      <c r="D61" s="62"/>
      <c r="E61" s="62"/>
      <c r="F61" s="62"/>
      <c r="G61" s="63"/>
    </row>
  </sheetData>
  <mergeCells count="100">
    <mergeCell ref="A61:G61"/>
    <mergeCell ref="C19:E19"/>
    <mergeCell ref="F38:G38"/>
    <mergeCell ref="D43:E43"/>
    <mergeCell ref="A47:B47"/>
    <mergeCell ref="A20:B20"/>
    <mergeCell ref="F37:G37"/>
    <mergeCell ref="D42:E42"/>
    <mergeCell ref="A27:G27"/>
    <mergeCell ref="A44:B44"/>
    <mergeCell ref="A31:B31"/>
    <mergeCell ref="D44:E44"/>
    <mergeCell ref="F44:G44"/>
    <mergeCell ref="F59:G59"/>
    <mergeCell ref="F12:G12"/>
    <mergeCell ref="F24:G24"/>
    <mergeCell ref="D32:E32"/>
    <mergeCell ref="F32:G32"/>
    <mergeCell ref="F35:G35"/>
    <mergeCell ref="A2:G2"/>
    <mergeCell ref="F14:G14"/>
    <mergeCell ref="A14:D14"/>
    <mergeCell ref="F11:G11"/>
    <mergeCell ref="A24:B24"/>
    <mergeCell ref="A18:B18"/>
    <mergeCell ref="F8:G8"/>
    <mergeCell ref="A21:B21"/>
    <mergeCell ref="A6:G6"/>
    <mergeCell ref="A32:B32"/>
    <mergeCell ref="F22:G22"/>
    <mergeCell ref="A23:B23"/>
    <mergeCell ref="D30:E30"/>
    <mergeCell ref="A12:D12"/>
    <mergeCell ref="A1:G1"/>
    <mergeCell ref="F47:G47"/>
    <mergeCell ref="D37:E37"/>
    <mergeCell ref="F31:G31"/>
    <mergeCell ref="F46:G46"/>
    <mergeCell ref="F9:G9"/>
    <mergeCell ref="C24:E24"/>
    <mergeCell ref="A3:G3"/>
    <mergeCell ref="D38:E38"/>
    <mergeCell ref="A34:B34"/>
    <mergeCell ref="A8:D8"/>
    <mergeCell ref="A4:G4"/>
    <mergeCell ref="A36:B36"/>
    <mergeCell ref="A10:D10"/>
    <mergeCell ref="F21:G21"/>
    <mergeCell ref="A40:G40"/>
    <mergeCell ref="A9:D9"/>
    <mergeCell ref="F30:G30"/>
    <mergeCell ref="F20:G20"/>
    <mergeCell ref="F18:G18"/>
    <mergeCell ref="F33:G33"/>
    <mergeCell ref="A11:D11"/>
    <mergeCell ref="F10:G10"/>
    <mergeCell ref="E60:G60"/>
    <mergeCell ref="D34:E34"/>
    <mergeCell ref="F19:G19"/>
    <mergeCell ref="C22:E22"/>
    <mergeCell ref="F34:G34"/>
    <mergeCell ref="F45:G45"/>
    <mergeCell ref="F42:G42"/>
    <mergeCell ref="A59:D59"/>
    <mergeCell ref="A49:G49"/>
    <mergeCell ref="D47:E47"/>
    <mergeCell ref="F36:G36"/>
    <mergeCell ref="A38:B38"/>
    <mergeCell ref="A43:B43"/>
    <mergeCell ref="A50:G50"/>
    <mergeCell ref="D46:E46"/>
    <mergeCell ref="A60:D60"/>
    <mergeCell ref="A33:B33"/>
    <mergeCell ref="F23:G23"/>
    <mergeCell ref="A42:B42"/>
    <mergeCell ref="C18:E18"/>
    <mergeCell ref="A22:B22"/>
    <mergeCell ref="A35:B35"/>
    <mergeCell ref="F43:G43"/>
    <mergeCell ref="D33:E33"/>
    <mergeCell ref="A19:B19"/>
    <mergeCell ref="C20:E20"/>
    <mergeCell ref="D35:E35"/>
    <mergeCell ref="A30:B30"/>
    <mergeCell ref="A45:B45"/>
    <mergeCell ref="A37:B37"/>
    <mergeCell ref="A46:B46"/>
    <mergeCell ref="A13:D13"/>
    <mergeCell ref="A28:G28"/>
    <mergeCell ref="F15:G15"/>
    <mergeCell ref="C23:E23"/>
    <mergeCell ref="A15:D15"/>
    <mergeCell ref="F13:G13"/>
    <mergeCell ref="A17:G17"/>
    <mergeCell ref="C21:E21"/>
    <mergeCell ref="D31:E31"/>
    <mergeCell ref="D36:E36"/>
    <mergeCell ref="A57:C57"/>
    <mergeCell ref="D45:E45"/>
    <mergeCell ref="E57:G57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7">
    <dataValidation type="list" sqref="E8" xr:uid="{00000000-0002-0000-0000-000000000000}">
      <formula1>"EVET,HAYIR-Fon Hesabı Yok"</formula1>
    </dataValidation>
    <dataValidation type="list" sqref="E9" xr:uid="{00000000-0002-0000-0000-000001000000}">
      <formula1>"Girişim Sermayesi Yatırım Fonu Katılma Payı Alımı,Girişim Sermayesi Yatırım Ortaklığı Hisse Senedi Alımı,Girişim Sermayesi Yatırım Fonu Kurulması (Kurucu Ortak),Teknoloji Geliştirme Bölgesi Girişimci Yatırımı"</formula1>
    </dataValidation>
    <dataValidation type="list" sqref="E10:E11" xr:uid="{00000000-0002-0000-0000-000002000000}">
      <formula1>"EVET,HAYIR-Limit Aşılıyor"</formula1>
    </dataValidation>
    <dataValidation type="list" sqref="E12" xr:uid="{00000000-0002-0000-0000-000004000000}">
      <formula1>"EVET,HAYIR-Plan Yok"</formula1>
    </dataValidation>
    <dataValidation type="list" sqref="E13" xr:uid="{00000000-0002-0000-0000-000005000000}">
      <formula1>"EVET,HAYIR-Eksik"</formula1>
    </dataValidation>
    <dataValidation type="list" sqref="E14" xr:uid="{00000000-0002-0000-0000-000006000000}">
      <formula1>"EVET,Tam Tasdik"</formula1>
    </dataValidation>
    <dataValidation type="list" sqref="F52:F56" xr:uid="{00000000-0002-0000-0000-000007000000}">
      <formula1>"Kullanıldı ✓,Kısmen Kullanıldı,Kullanılmadı — Süre Devam,★ Süre Doldu — GELİR SAYILIR"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11" t="s">
        <v>105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114" t="s">
        <v>106</v>
      </c>
      <c r="B2" s="65"/>
      <c r="C2" s="65"/>
      <c r="D2" s="65"/>
      <c r="E2" s="65"/>
      <c r="F2" s="65"/>
      <c r="G2" s="66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4" t="s">
        <v>107</v>
      </c>
      <c r="B4" s="62"/>
      <c r="C4" s="62"/>
      <c r="D4" s="62"/>
      <c r="E4" s="62"/>
      <c r="F4" s="62"/>
      <c r="G4" s="63"/>
    </row>
    <row r="5" spans="1:7" ht="22" customHeight="1" x14ac:dyDescent="0.55000000000000004">
      <c r="A5" s="108" t="s">
        <v>108</v>
      </c>
      <c r="B5" s="65"/>
      <c r="C5" s="66"/>
      <c r="D5" s="22" t="str">
        <f>'VERİ GİRİŞİ'!E15</f>
        <v>OK - Hesaplanabilir</v>
      </c>
      <c r="E5" s="79" t="s">
        <v>109</v>
      </c>
      <c r="F5" s="65"/>
      <c r="G5" s="66"/>
    </row>
    <row r="6" spans="1:7" ht="22" customHeight="1" x14ac:dyDescent="0.55000000000000004">
      <c r="A6" s="109" t="s">
        <v>110</v>
      </c>
      <c r="B6" s="65"/>
      <c r="C6" s="66"/>
      <c r="D6" s="22">
        <f>'VERİ GİRİŞİ'!C31</f>
        <v>0</v>
      </c>
      <c r="E6" s="89" t="s">
        <v>111</v>
      </c>
      <c r="F6" s="65"/>
      <c r="G6" s="66"/>
    </row>
    <row r="7" spans="1:7" ht="22" customHeight="1" x14ac:dyDescent="0.55000000000000004">
      <c r="A7" s="108" t="s">
        <v>112</v>
      </c>
      <c r="B7" s="65"/>
      <c r="C7" s="66"/>
      <c r="D7" s="22">
        <f>'VERİ GİRİŞİ'!C35</f>
        <v>0</v>
      </c>
      <c r="E7" s="79" t="s">
        <v>113</v>
      </c>
      <c r="F7" s="65"/>
      <c r="G7" s="66"/>
    </row>
    <row r="8" spans="1:7" ht="22" customHeight="1" x14ac:dyDescent="0.55000000000000004">
      <c r="A8" s="109" t="s">
        <v>114</v>
      </c>
      <c r="B8" s="65"/>
      <c r="C8" s="66"/>
      <c r="D8" s="22">
        <f>'VERİ GİRİŞİ'!C37</f>
        <v>0</v>
      </c>
      <c r="E8" s="89" t="s">
        <v>66</v>
      </c>
      <c r="F8" s="65"/>
      <c r="G8" s="66"/>
    </row>
    <row r="9" spans="1:7" ht="22" customHeight="1" x14ac:dyDescent="0.55000000000000004">
      <c r="A9" s="73" t="s">
        <v>115</v>
      </c>
      <c r="B9" s="65"/>
      <c r="C9" s="66"/>
      <c r="D9" s="23">
        <f>'VERİ GİRİŞİ'!C45</f>
        <v>0</v>
      </c>
      <c r="E9" s="87"/>
      <c r="F9" s="65"/>
      <c r="G9" s="66"/>
    </row>
    <row r="10" spans="1:7" ht="22" customHeight="1" x14ac:dyDescent="0.55000000000000004">
      <c r="A10" s="109" t="s">
        <v>116</v>
      </c>
      <c r="B10" s="65"/>
      <c r="C10" s="66"/>
      <c r="D10" s="24" t="s">
        <v>117</v>
      </c>
      <c r="E10" s="89" t="s">
        <v>118</v>
      </c>
      <c r="F10" s="65"/>
      <c r="G10" s="66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1" t="s">
        <v>119</v>
      </c>
      <c r="B12" s="62"/>
      <c r="C12" s="62"/>
      <c r="D12" s="62"/>
      <c r="E12" s="62"/>
      <c r="F12" s="62"/>
      <c r="G12" s="63"/>
    </row>
    <row r="13" spans="1:7" ht="80.05" customHeight="1" x14ac:dyDescent="0.55000000000000004">
      <c r="A13" s="107" t="s">
        <v>120</v>
      </c>
      <c r="B13" s="62"/>
      <c r="C13" s="62"/>
      <c r="D13" s="62"/>
      <c r="E13" s="62"/>
      <c r="F13" s="62"/>
      <c r="G13" s="63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1" t="s">
        <v>121</v>
      </c>
      <c r="B15" s="62"/>
      <c r="C15" s="62"/>
      <c r="D15" s="62"/>
      <c r="E15" s="62"/>
      <c r="F15" s="62"/>
      <c r="G15" s="63"/>
    </row>
    <row r="16" spans="1:7" ht="60" customHeight="1" x14ac:dyDescent="0.55000000000000004">
      <c r="A16" s="113" t="s">
        <v>122</v>
      </c>
      <c r="B16" s="62"/>
      <c r="C16" s="62"/>
      <c r="D16" s="62"/>
      <c r="E16" s="62"/>
      <c r="F16" s="62"/>
      <c r="G16" s="63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1" t="s">
        <v>123</v>
      </c>
      <c r="B18" s="62"/>
      <c r="C18" s="62"/>
      <c r="D18" s="62"/>
      <c r="E18" s="62"/>
      <c r="F18" s="62"/>
      <c r="G18" s="63"/>
    </row>
    <row r="19" spans="1:7" ht="18" customHeight="1" x14ac:dyDescent="0.55000000000000004">
      <c r="A19" s="2"/>
      <c r="B19" s="2" t="s">
        <v>124</v>
      </c>
      <c r="C19" s="2"/>
      <c r="D19" s="2" t="s">
        <v>70</v>
      </c>
      <c r="E19" s="2"/>
      <c r="F19" s="2" t="s">
        <v>125</v>
      </c>
      <c r="G19" s="2"/>
    </row>
    <row r="20" spans="1:7" ht="20.05" customHeight="1" x14ac:dyDescent="0.55000000000000004">
      <c r="A20" s="25" t="s">
        <v>126</v>
      </c>
      <c r="B20" s="105" t="s">
        <v>127</v>
      </c>
      <c r="C20" s="66"/>
      <c r="D20" s="102" t="s">
        <v>128</v>
      </c>
      <c r="E20" s="66"/>
      <c r="F20" s="28" t="s">
        <v>129</v>
      </c>
      <c r="G20" s="29"/>
    </row>
    <row r="21" spans="1:7" ht="20.05" customHeight="1" x14ac:dyDescent="0.55000000000000004">
      <c r="A21" s="25" t="s">
        <v>130</v>
      </c>
      <c r="B21" s="105" t="s">
        <v>131</v>
      </c>
      <c r="C21" s="66"/>
      <c r="D21" s="102" t="s">
        <v>132</v>
      </c>
      <c r="E21" s="66"/>
      <c r="F21" s="28" t="s">
        <v>129</v>
      </c>
      <c r="G21" s="30"/>
    </row>
    <row r="22" spans="1:7" ht="20.05" customHeight="1" x14ac:dyDescent="0.55000000000000004">
      <c r="A22" s="25" t="s">
        <v>133</v>
      </c>
      <c r="B22" s="105" t="s">
        <v>134</v>
      </c>
      <c r="C22" s="66"/>
      <c r="D22" s="102" t="s">
        <v>135</v>
      </c>
      <c r="E22" s="66"/>
      <c r="F22" s="28" t="s">
        <v>129</v>
      </c>
      <c r="G22" s="29"/>
    </row>
    <row r="23" spans="1:7" ht="20.05" customHeight="1" x14ac:dyDescent="0.55000000000000004">
      <c r="A23" s="25" t="s">
        <v>136</v>
      </c>
      <c r="B23" s="105" t="s">
        <v>137</v>
      </c>
      <c r="C23" s="66"/>
      <c r="D23" s="102" t="s">
        <v>138</v>
      </c>
      <c r="E23" s="66"/>
      <c r="F23" s="28" t="s">
        <v>129</v>
      </c>
      <c r="G23" s="30"/>
    </row>
    <row r="24" spans="1:7" ht="20.05" customHeight="1" x14ac:dyDescent="0.55000000000000004">
      <c r="A24" s="25" t="s">
        <v>139</v>
      </c>
      <c r="B24" s="112" t="s">
        <v>140</v>
      </c>
      <c r="C24" s="66"/>
      <c r="D24" s="110" t="s">
        <v>141</v>
      </c>
      <c r="E24" s="66"/>
      <c r="F24" s="28" t="s">
        <v>129</v>
      </c>
      <c r="G24" s="29"/>
    </row>
    <row r="25" spans="1:7" ht="20.05" customHeight="1" x14ac:dyDescent="0.55000000000000004">
      <c r="A25" s="25" t="s">
        <v>142</v>
      </c>
      <c r="B25" s="103" t="s">
        <v>143</v>
      </c>
      <c r="C25" s="66"/>
      <c r="D25" s="106" t="s">
        <v>144</v>
      </c>
      <c r="E25" s="66"/>
      <c r="F25" s="28" t="s">
        <v>129</v>
      </c>
      <c r="G25" s="30"/>
    </row>
    <row r="26" spans="1:7" ht="20.05" customHeight="1" x14ac:dyDescent="0.55000000000000004">
      <c r="A26" s="25" t="s">
        <v>145</v>
      </c>
      <c r="B26" s="105" t="s">
        <v>146</v>
      </c>
      <c r="C26" s="66"/>
      <c r="D26" s="102" t="s">
        <v>147</v>
      </c>
      <c r="E26" s="66"/>
      <c r="F26" s="28" t="s">
        <v>129</v>
      </c>
      <c r="G26" s="29"/>
    </row>
    <row r="27" spans="1:7" ht="20.05" customHeight="1" x14ac:dyDescent="0.55000000000000004">
      <c r="A27" s="25" t="s">
        <v>148</v>
      </c>
      <c r="B27" s="103" t="s">
        <v>149</v>
      </c>
      <c r="C27" s="66"/>
      <c r="D27" s="106" t="s">
        <v>150</v>
      </c>
      <c r="E27" s="66"/>
      <c r="F27" s="28" t="s">
        <v>129</v>
      </c>
      <c r="G27" s="30"/>
    </row>
    <row r="28" spans="1:7" ht="20.05" customHeight="1" x14ac:dyDescent="0.55000000000000004">
      <c r="A28" s="25" t="s">
        <v>151</v>
      </c>
      <c r="B28" s="112" t="s">
        <v>152</v>
      </c>
      <c r="C28" s="66"/>
      <c r="D28" s="110" t="s">
        <v>153</v>
      </c>
      <c r="E28" s="66"/>
      <c r="F28" s="28" t="s">
        <v>129</v>
      </c>
      <c r="G28" s="29"/>
    </row>
    <row r="29" spans="1:7" ht="20.05" customHeight="1" x14ac:dyDescent="0.55000000000000004">
      <c r="A29" s="25" t="s">
        <v>154</v>
      </c>
      <c r="B29" s="103" t="s">
        <v>155</v>
      </c>
      <c r="C29" s="66"/>
      <c r="D29" s="106" t="s">
        <v>156</v>
      </c>
      <c r="E29" s="66"/>
      <c r="F29" s="28" t="s">
        <v>129</v>
      </c>
      <c r="G29" s="30"/>
    </row>
    <row r="30" spans="1:7" ht="20.05" customHeight="1" x14ac:dyDescent="0.55000000000000004">
      <c r="A30" s="25" t="s">
        <v>157</v>
      </c>
      <c r="B30" s="112" t="s">
        <v>158</v>
      </c>
      <c r="C30" s="66"/>
      <c r="D30" s="110" t="s">
        <v>159</v>
      </c>
      <c r="E30" s="66"/>
      <c r="F30" s="28" t="s">
        <v>129</v>
      </c>
      <c r="G30" s="29"/>
    </row>
    <row r="31" spans="1:7" ht="20.05" customHeight="1" x14ac:dyDescent="0.55000000000000004">
      <c r="A31" s="25" t="s">
        <v>160</v>
      </c>
      <c r="B31" s="103" t="s">
        <v>161</v>
      </c>
      <c r="C31" s="66"/>
      <c r="D31" s="106" t="s">
        <v>162</v>
      </c>
      <c r="E31" s="66"/>
      <c r="F31" s="28" t="s">
        <v>129</v>
      </c>
      <c r="G31" s="30"/>
    </row>
    <row r="32" spans="1:7" ht="20.05" customHeight="1" x14ac:dyDescent="0.55000000000000004">
      <c r="A32" s="25" t="s">
        <v>163</v>
      </c>
      <c r="B32" s="112" t="s">
        <v>164</v>
      </c>
      <c r="C32" s="66"/>
      <c r="D32" s="110" t="s">
        <v>23</v>
      </c>
      <c r="E32" s="66"/>
      <c r="F32" s="28" t="s">
        <v>129</v>
      </c>
      <c r="G32" s="29"/>
    </row>
  </sheetData>
  <mergeCells count="46">
    <mergeCell ref="A2:G2"/>
    <mergeCell ref="B32:C32"/>
    <mergeCell ref="B26:C26"/>
    <mergeCell ref="A7:C7"/>
    <mergeCell ref="D26:E26"/>
    <mergeCell ref="D32:E32"/>
    <mergeCell ref="A15:G15"/>
    <mergeCell ref="E7:G7"/>
    <mergeCell ref="A10:C10"/>
    <mergeCell ref="A1:G1"/>
    <mergeCell ref="B29:C29"/>
    <mergeCell ref="B28:C28"/>
    <mergeCell ref="A9:C9"/>
    <mergeCell ref="D28:E28"/>
    <mergeCell ref="A16:G16"/>
    <mergeCell ref="D25:E25"/>
    <mergeCell ref="B24:C24"/>
    <mergeCell ref="B30:C30"/>
    <mergeCell ref="D24:E24"/>
    <mergeCell ref="A18:G18"/>
    <mergeCell ref="D30:E30"/>
    <mergeCell ref="B31:C31"/>
    <mergeCell ref="B27:C27"/>
    <mergeCell ref="D31:E31"/>
    <mergeCell ref="E6:G6"/>
    <mergeCell ref="D21:E21"/>
    <mergeCell ref="A13:G13"/>
    <mergeCell ref="B21:C21"/>
    <mergeCell ref="A8:C8"/>
    <mergeCell ref="D27:E27"/>
    <mergeCell ref="B23:C23"/>
    <mergeCell ref="B20:C20"/>
    <mergeCell ref="D29:E29"/>
    <mergeCell ref="A6:C6"/>
    <mergeCell ref="E8:G8"/>
    <mergeCell ref="A12:G12"/>
    <mergeCell ref="D23:E23"/>
    <mergeCell ref="D20:E20"/>
    <mergeCell ref="E10:G10"/>
    <mergeCell ref="B25:C25"/>
    <mergeCell ref="A4:G4"/>
    <mergeCell ref="B22:C22"/>
    <mergeCell ref="E9:G9"/>
    <mergeCell ref="D22:E22"/>
    <mergeCell ref="A5:C5"/>
    <mergeCell ref="E5:G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1" t="s">
        <v>165</v>
      </c>
      <c r="B1" s="62"/>
      <c r="C1" s="62"/>
      <c r="D1" s="62"/>
      <c r="E1" s="62"/>
      <c r="F1" s="62"/>
      <c r="G1" s="63"/>
    </row>
    <row r="2" spans="1:7" ht="22" customHeight="1" x14ac:dyDescent="0.55000000000000004">
      <c r="A2" s="91" t="s">
        <v>166</v>
      </c>
      <c r="B2" s="62"/>
      <c r="C2" s="62"/>
      <c r="D2" s="62"/>
      <c r="E2" s="62"/>
      <c r="F2" s="62"/>
      <c r="G2" s="63"/>
    </row>
    <row r="3" spans="1:7" ht="18" customHeight="1" x14ac:dyDescent="0.55000000000000004">
      <c r="A3" s="33"/>
      <c r="B3" s="33" t="s">
        <v>167</v>
      </c>
      <c r="C3" s="33" t="s">
        <v>168</v>
      </c>
      <c r="D3" s="33" t="s">
        <v>71</v>
      </c>
      <c r="E3" s="33" t="s">
        <v>169</v>
      </c>
      <c r="F3" s="33" t="s">
        <v>170</v>
      </c>
      <c r="G3" s="33" t="s">
        <v>171</v>
      </c>
    </row>
    <row r="4" spans="1:7" ht="24" customHeight="1" x14ac:dyDescent="0.55000000000000004">
      <c r="A4" s="34" t="s">
        <v>169</v>
      </c>
      <c r="B4" s="34" t="s">
        <v>172</v>
      </c>
      <c r="C4" s="34" t="s">
        <v>173</v>
      </c>
      <c r="D4" s="34" t="s">
        <v>174</v>
      </c>
      <c r="E4" s="34" t="s">
        <v>175</v>
      </c>
      <c r="F4" s="34" t="s">
        <v>176</v>
      </c>
      <c r="G4" s="34" t="s">
        <v>177</v>
      </c>
    </row>
    <row r="5" spans="1:7" ht="24" customHeight="1" x14ac:dyDescent="0.55000000000000004">
      <c r="A5" s="35" t="s">
        <v>170</v>
      </c>
      <c r="B5" s="35" t="s">
        <v>172</v>
      </c>
      <c r="C5" s="35" t="s">
        <v>178</v>
      </c>
      <c r="D5" s="35" t="s">
        <v>179</v>
      </c>
      <c r="E5" s="35" t="s">
        <v>176</v>
      </c>
      <c r="F5" s="35" t="s">
        <v>175</v>
      </c>
      <c r="G5" s="35" t="s">
        <v>180</v>
      </c>
    </row>
    <row r="6" spans="1:7" ht="22" customHeight="1" x14ac:dyDescent="0.55000000000000004">
      <c r="A6" s="116" t="s">
        <v>181</v>
      </c>
      <c r="B6" s="62"/>
      <c r="C6" s="62"/>
      <c r="D6" s="62"/>
      <c r="E6" s="62"/>
      <c r="F6" s="62"/>
      <c r="G6" s="63"/>
    </row>
    <row r="7" spans="1:7" ht="18" customHeight="1" x14ac:dyDescent="0.55000000000000004">
      <c r="A7" s="33"/>
      <c r="B7" s="33" t="s">
        <v>167</v>
      </c>
      <c r="C7" s="33" t="s">
        <v>168</v>
      </c>
      <c r="D7" s="33" t="s">
        <v>71</v>
      </c>
      <c r="E7" s="33" t="s">
        <v>169</v>
      </c>
      <c r="F7" s="33" t="s">
        <v>170</v>
      </c>
      <c r="G7" s="33" t="s">
        <v>171</v>
      </c>
    </row>
    <row r="8" spans="1:7" ht="24" customHeight="1" x14ac:dyDescent="0.55000000000000004">
      <c r="A8" s="34" t="s">
        <v>169</v>
      </c>
      <c r="B8" s="34" t="s">
        <v>182</v>
      </c>
      <c r="C8" s="34" t="s">
        <v>183</v>
      </c>
      <c r="D8" s="34" t="s">
        <v>184</v>
      </c>
      <c r="E8" s="34" t="s">
        <v>175</v>
      </c>
      <c r="F8" s="34" t="s">
        <v>176</v>
      </c>
      <c r="G8" s="34" t="s">
        <v>185</v>
      </c>
    </row>
    <row r="9" spans="1:7" ht="24" customHeight="1" x14ac:dyDescent="0.55000000000000004">
      <c r="A9" s="35" t="s">
        <v>170</v>
      </c>
      <c r="B9" s="35" t="s">
        <v>182</v>
      </c>
      <c r="C9" s="35" t="s">
        <v>178</v>
      </c>
      <c r="D9" s="35" t="s">
        <v>186</v>
      </c>
      <c r="E9" s="35" t="s">
        <v>176</v>
      </c>
      <c r="F9" s="35" t="s">
        <v>175</v>
      </c>
      <c r="G9" s="35" t="s">
        <v>58</v>
      </c>
    </row>
    <row r="10" spans="1:7" ht="22" customHeight="1" x14ac:dyDescent="0.55000000000000004">
      <c r="A10" s="117" t="s">
        <v>187</v>
      </c>
      <c r="B10" s="62"/>
      <c r="C10" s="62"/>
      <c r="D10" s="62"/>
      <c r="E10" s="62"/>
      <c r="F10" s="62"/>
      <c r="G10" s="63"/>
    </row>
    <row r="11" spans="1:7" ht="18" customHeight="1" x14ac:dyDescent="0.55000000000000004">
      <c r="A11" s="33"/>
      <c r="B11" s="33" t="s">
        <v>167</v>
      </c>
      <c r="C11" s="33" t="s">
        <v>168</v>
      </c>
      <c r="D11" s="33" t="s">
        <v>71</v>
      </c>
      <c r="E11" s="33" t="s">
        <v>169</v>
      </c>
      <c r="F11" s="33" t="s">
        <v>170</v>
      </c>
      <c r="G11" s="33" t="s">
        <v>171</v>
      </c>
    </row>
    <row r="12" spans="1:7" ht="24" customHeight="1" x14ac:dyDescent="0.55000000000000004">
      <c r="A12" s="34" t="s">
        <v>169</v>
      </c>
      <c r="B12" s="34" t="s">
        <v>188</v>
      </c>
      <c r="C12" s="34" t="s">
        <v>178</v>
      </c>
      <c r="D12" s="34" t="s">
        <v>189</v>
      </c>
      <c r="E12" s="34" t="s">
        <v>175</v>
      </c>
      <c r="F12" s="34" t="s">
        <v>176</v>
      </c>
      <c r="G12" s="34" t="s">
        <v>190</v>
      </c>
    </row>
    <row r="13" spans="1:7" ht="24" customHeight="1" x14ac:dyDescent="0.55000000000000004">
      <c r="A13" s="35" t="s">
        <v>170</v>
      </c>
      <c r="B13" s="35" t="s">
        <v>188</v>
      </c>
      <c r="C13" s="35" t="s">
        <v>191</v>
      </c>
      <c r="D13" s="35" t="s">
        <v>192</v>
      </c>
      <c r="E13" s="35" t="s">
        <v>176</v>
      </c>
      <c r="F13" s="35" t="s">
        <v>175</v>
      </c>
      <c r="G13" s="35" t="s">
        <v>193</v>
      </c>
    </row>
    <row r="14" spans="1:7" ht="22" customHeight="1" x14ac:dyDescent="0.55000000000000004">
      <c r="A14" s="115" t="s">
        <v>194</v>
      </c>
      <c r="B14" s="62"/>
      <c r="C14" s="62"/>
      <c r="D14" s="62"/>
      <c r="E14" s="62"/>
      <c r="F14" s="62"/>
      <c r="G14" s="63"/>
    </row>
    <row r="15" spans="1:7" ht="18" customHeight="1" x14ac:dyDescent="0.55000000000000004">
      <c r="A15" s="33"/>
      <c r="B15" s="33" t="s">
        <v>167</v>
      </c>
      <c r="C15" s="33" t="s">
        <v>168</v>
      </c>
      <c r="D15" s="33" t="s">
        <v>71</v>
      </c>
      <c r="E15" s="33" t="s">
        <v>169</v>
      </c>
      <c r="F15" s="33" t="s">
        <v>170</v>
      </c>
      <c r="G15" s="33" t="s">
        <v>171</v>
      </c>
    </row>
    <row r="16" spans="1:7" ht="24" customHeight="1" x14ac:dyDescent="0.55000000000000004">
      <c r="A16" s="34" t="s">
        <v>169</v>
      </c>
      <c r="B16" s="34" t="s">
        <v>172</v>
      </c>
      <c r="C16" s="34" t="s">
        <v>195</v>
      </c>
      <c r="D16" s="34" t="s">
        <v>196</v>
      </c>
      <c r="E16" s="34" t="s">
        <v>175</v>
      </c>
      <c r="F16" s="34" t="s">
        <v>176</v>
      </c>
      <c r="G16" s="34" t="s">
        <v>197</v>
      </c>
    </row>
    <row r="17" spans="1:7" ht="24" customHeight="1" x14ac:dyDescent="0.55000000000000004">
      <c r="A17" s="35" t="s">
        <v>170</v>
      </c>
      <c r="B17" s="35" t="s">
        <v>172</v>
      </c>
      <c r="C17" s="35" t="s">
        <v>198</v>
      </c>
      <c r="D17" s="35" t="s">
        <v>199</v>
      </c>
      <c r="E17" s="35" t="s">
        <v>176</v>
      </c>
      <c r="F17" s="35" t="s">
        <v>175</v>
      </c>
      <c r="G17" s="35" t="s">
        <v>197</v>
      </c>
    </row>
    <row r="18" spans="1:7" ht="36" customHeight="1" x14ac:dyDescent="0.55000000000000004">
      <c r="A18" s="107" t="s">
        <v>200</v>
      </c>
      <c r="B18" s="62"/>
      <c r="C18" s="62"/>
      <c r="D18" s="62"/>
      <c r="E18" s="62"/>
      <c r="F18" s="62"/>
      <c r="G18" s="63"/>
    </row>
  </sheetData>
  <mergeCells count="6">
    <mergeCell ref="A14:G14"/>
    <mergeCell ref="A1:G1"/>
    <mergeCell ref="A18:G18"/>
    <mergeCell ref="A6:G6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1" t="s">
        <v>201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7" t="s">
        <v>202</v>
      </c>
      <c r="B2" s="62"/>
      <c r="C2" s="62"/>
      <c r="D2" s="62"/>
      <c r="E2" s="62"/>
      <c r="F2" s="62"/>
      <c r="G2" s="63"/>
    </row>
    <row r="3" spans="1:7" ht="18" customHeight="1" x14ac:dyDescent="0.55000000000000004">
      <c r="A3" s="33" t="s">
        <v>203</v>
      </c>
      <c r="B3" s="33" t="s">
        <v>204</v>
      </c>
      <c r="C3" s="33" t="s">
        <v>205</v>
      </c>
      <c r="D3" s="33" t="s">
        <v>206</v>
      </c>
    </row>
    <row r="4" spans="1:7" ht="76" customHeight="1" x14ac:dyDescent="0.55000000000000004">
      <c r="A4" s="25" t="s">
        <v>207</v>
      </c>
      <c r="B4" s="31" t="s">
        <v>208</v>
      </c>
      <c r="C4" s="36" t="s">
        <v>209</v>
      </c>
      <c r="D4" s="37" t="s">
        <v>210</v>
      </c>
    </row>
    <row r="5" spans="1:7" ht="56.05" customHeight="1" x14ac:dyDescent="0.55000000000000004">
      <c r="A5" s="38" t="s">
        <v>211</v>
      </c>
      <c r="B5" s="26" t="s">
        <v>212</v>
      </c>
      <c r="C5" s="27" t="s">
        <v>213</v>
      </c>
      <c r="D5" s="39" t="s">
        <v>214</v>
      </c>
    </row>
    <row r="6" spans="1:7" ht="60" customHeight="1" x14ac:dyDescent="0.55000000000000004">
      <c r="A6" s="25" t="s">
        <v>215</v>
      </c>
      <c r="B6" s="40" t="s">
        <v>216</v>
      </c>
      <c r="C6" s="36" t="s">
        <v>217</v>
      </c>
      <c r="D6" s="37" t="s">
        <v>218</v>
      </c>
    </row>
    <row r="7" spans="1:7" ht="52" customHeight="1" x14ac:dyDescent="0.55000000000000004">
      <c r="A7" s="25" t="s">
        <v>219</v>
      </c>
      <c r="B7" s="31" t="s">
        <v>220</v>
      </c>
      <c r="C7" s="36" t="s">
        <v>221</v>
      </c>
      <c r="D7" s="37" t="s">
        <v>222</v>
      </c>
    </row>
    <row r="8" spans="1:7" ht="72" customHeight="1" x14ac:dyDescent="0.55000000000000004">
      <c r="A8" s="25" t="s">
        <v>223</v>
      </c>
      <c r="B8" s="32" t="s">
        <v>224</v>
      </c>
      <c r="C8" s="36" t="s">
        <v>225</v>
      </c>
      <c r="D8" s="41" t="s">
        <v>226</v>
      </c>
    </row>
    <row r="9" spans="1:7" ht="40" customHeight="1" x14ac:dyDescent="0.55000000000000004">
      <c r="A9" s="118" t="s">
        <v>227</v>
      </c>
      <c r="B9" s="62"/>
      <c r="C9" s="62"/>
      <c r="D9" s="63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1" t="s">
        <v>228</v>
      </c>
      <c r="B1" s="62"/>
      <c r="C1" s="62"/>
      <c r="D1" s="62"/>
      <c r="E1" s="62"/>
      <c r="F1" s="62"/>
      <c r="G1" s="63"/>
    </row>
    <row r="2" spans="1:7" ht="20.05" customHeight="1" x14ac:dyDescent="0.55000000000000004">
      <c r="A2" s="97" t="s">
        <v>229</v>
      </c>
      <c r="B2" s="62"/>
      <c r="C2" s="62"/>
      <c r="D2" s="62"/>
      <c r="E2" s="62"/>
      <c r="F2" s="62"/>
      <c r="G2" s="6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5" t="s">
        <v>230</v>
      </c>
      <c r="B4" s="62"/>
      <c r="C4" s="62"/>
      <c r="D4" s="62"/>
      <c r="E4" s="62"/>
      <c r="F4" s="62"/>
      <c r="G4" s="63"/>
    </row>
    <row r="5" spans="1:7" ht="18" customHeight="1" x14ac:dyDescent="0.55000000000000004">
      <c r="A5" s="33"/>
      <c r="B5" s="33" t="s">
        <v>231</v>
      </c>
      <c r="C5" s="33" t="s">
        <v>232</v>
      </c>
      <c r="D5" s="33" t="s">
        <v>70</v>
      </c>
      <c r="E5" s="33" t="s">
        <v>233</v>
      </c>
      <c r="F5" s="33"/>
    </row>
    <row r="6" spans="1:7" ht="38.049999999999997" customHeight="1" x14ac:dyDescent="0.55000000000000004">
      <c r="A6" s="42"/>
      <c r="B6" s="43" t="s">
        <v>234</v>
      </c>
      <c r="C6" s="44" t="s">
        <v>235</v>
      </c>
      <c r="D6" s="45" t="s">
        <v>236</v>
      </c>
      <c r="E6" s="46" t="s">
        <v>237</v>
      </c>
      <c r="F6" s="42"/>
    </row>
    <row r="7" spans="1:7" ht="38.049999999999997" customHeight="1" x14ac:dyDescent="0.55000000000000004">
      <c r="A7" s="30"/>
      <c r="B7" s="47" t="s">
        <v>238</v>
      </c>
      <c r="C7" s="48" t="s">
        <v>239</v>
      </c>
      <c r="D7" s="45" t="s">
        <v>240</v>
      </c>
      <c r="E7" s="49" t="s">
        <v>241</v>
      </c>
      <c r="F7" s="30"/>
    </row>
    <row r="8" spans="1:7" ht="38.049999999999997" customHeight="1" x14ac:dyDescent="0.55000000000000004">
      <c r="A8" s="42"/>
      <c r="B8" s="43" t="s">
        <v>242</v>
      </c>
      <c r="C8" s="44" t="s">
        <v>243</v>
      </c>
      <c r="D8" s="45" t="s">
        <v>244</v>
      </c>
      <c r="E8" s="46" t="s">
        <v>245</v>
      </c>
      <c r="F8" s="42"/>
    </row>
    <row r="9" spans="1:7" ht="38.049999999999997" customHeight="1" x14ac:dyDescent="0.55000000000000004">
      <c r="A9" s="30"/>
      <c r="B9" s="47" t="s">
        <v>246</v>
      </c>
      <c r="C9" s="32" t="s">
        <v>247</v>
      </c>
      <c r="D9" s="45" t="s">
        <v>248</v>
      </c>
      <c r="E9" s="49" t="s">
        <v>249</v>
      </c>
      <c r="F9" s="30"/>
    </row>
    <row r="10" spans="1:7" ht="38.049999999999997" customHeight="1" x14ac:dyDescent="0.55000000000000004">
      <c r="A10" s="42"/>
      <c r="B10" s="43" t="s">
        <v>250</v>
      </c>
      <c r="C10" s="44" t="s">
        <v>251</v>
      </c>
      <c r="D10" s="45" t="s">
        <v>252</v>
      </c>
      <c r="E10" s="46" t="s">
        <v>241</v>
      </c>
      <c r="F10" s="42"/>
    </row>
    <row r="11" spans="1:7" ht="38.049999999999997" customHeight="1" x14ac:dyDescent="0.55000000000000004">
      <c r="A11" s="30"/>
      <c r="B11" s="47" t="s">
        <v>253</v>
      </c>
      <c r="C11" s="32" t="s">
        <v>254</v>
      </c>
      <c r="D11" s="45" t="s">
        <v>255</v>
      </c>
      <c r="E11" s="49" t="s">
        <v>256</v>
      </c>
      <c r="F11" s="30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9" t="s">
        <v>257</v>
      </c>
      <c r="B13" s="62"/>
      <c r="C13" s="62"/>
      <c r="D13" s="62"/>
      <c r="E13" s="62"/>
      <c r="F13" s="62"/>
      <c r="G13" s="63"/>
    </row>
    <row r="14" spans="1:7" ht="18" customHeight="1" x14ac:dyDescent="0.55000000000000004">
      <c r="A14" s="50"/>
      <c r="B14" s="50" t="s">
        <v>231</v>
      </c>
      <c r="C14" s="50" t="s">
        <v>5</v>
      </c>
      <c r="D14" s="50" t="s">
        <v>258</v>
      </c>
      <c r="E14" s="50" t="s">
        <v>259</v>
      </c>
      <c r="F14" s="50"/>
    </row>
    <row r="15" spans="1:7" ht="28" customHeight="1" x14ac:dyDescent="0.55000000000000004">
      <c r="A15" s="51"/>
      <c r="B15" s="52" t="s">
        <v>260</v>
      </c>
      <c r="C15" s="53" t="s">
        <v>261</v>
      </c>
      <c r="D15" s="54" t="s">
        <v>262</v>
      </c>
      <c r="E15" s="55" t="s">
        <v>263</v>
      </c>
      <c r="F15" s="51"/>
    </row>
    <row r="16" spans="1:7" ht="28" customHeight="1" x14ac:dyDescent="0.55000000000000004">
      <c r="A16" s="51"/>
      <c r="B16" s="52" t="s">
        <v>264</v>
      </c>
      <c r="C16" s="53" t="s">
        <v>265</v>
      </c>
      <c r="D16" s="54" t="s">
        <v>266</v>
      </c>
      <c r="E16" s="55" t="s">
        <v>263</v>
      </c>
      <c r="F16" s="51"/>
    </row>
    <row r="17" spans="1:7" ht="28" customHeight="1" x14ac:dyDescent="0.55000000000000004">
      <c r="A17" s="51"/>
      <c r="B17" s="52" t="s">
        <v>267</v>
      </c>
      <c r="C17" s="53" t="s">
        <v>268</v>
      </c>
      <c r="D17" s="54" t="s">
        <v>269</v>
      </c>
      <c r="E17" s="55" t="s">
        <v>263</v>
      </c>
      <c r="F17" s="51"/>
    </row>
    <row r="18" spans="1:7" ht="28" customHeight="1" x14ac:dyDescent="0.55000000000000004">
      <c r="A18" s="51"/>
      <c r="B18" s="52" t="s">
        <v>270</v>
      </c>
      <c r="C18" s="53" t="s">
        <v>271</v>
      </c>
      <c r="D18" s="54" t="s">
        <v>272</v>
      </c>
      <c r="E18" s="55" t="s">
        <v>263</v>
      </c>
      <c r="F18" s="51"/>
    </row>
    <row r="19" spans="1:7" ht="28" customHeight="1" x14ac:dyDescent="0.55000000000000004">
      <c r="A19" s="56"/>
      <c r="B19" s="57" t="s">
        <v>273</v>
      </c>
      <c r="C19" s="58" t="s">
        <v>274</v>
      </c>
      <c r="D19" s="59" t="s">
        <v>275</v>
      </c>
      <c r="E19" s="60" t="s">
        <v>263</v>
      </c>
      <c r="F19" s="56"/>
    </row>
    <row r="20" spans="1:7" ht="28" customHeight="1" x14ac:dyDescent="0.55000000000000004">
      <c r="A20" s="51"/>
      <c r="B20" s="52" t="s">
        <v>276</v>
      </c>
      <c r="C20" s="53" t="s">
        <v>146</v>
      </c>
      <c r="D20" s="54" t="s">
        <v>277</v>
      </c>
      <c r="E20" s="55" t="s">
        <v>263</v>
      </c>
      <c r="F20" s="51"/>
    </row>
    <row r="21" spans="1:7" ht="28" customHeight="1" x14ac:dyDescent="0.55000000000000004">
      <c r="A21" s="56"/>
      <c r="B21" s="57" t="s">
        <v>278</v>
      </c>
      <c r="C21" s="58" t="s">
        <v>279</v>
      </c>
      <c r="D21" s="59" t="s">
        <v>280</v>
      </c>
      <c r="E21" s="60" t="s">
        <v>263</v>
      </c>
      <c r="F21" s="56"/>
    </row>
    <row r="22" spans="1:7" ht="28" customHeight="1" x14ac:dyDescent="0.55000000000000004">
      <c r="A22" s="56"/>
      <c r="B22" s="57" t="s">
        <v>281</v>
      </c>
      <c r="C22" s="58" t="s">
        <v>282</v>
      </c>
      <c r="D22" s="59" t="s">
        <v>283</v>
      </c>
      <c r="E22" s="60" t="s">
        <v>263</v>
      </c>
      <c r="F22" s="56"/>
    </row>
    <row r="23" spans="1:7" ht="28" customHeight="1" x14ac:dyDescent="0.55000000000000004">
      <c r="A23" s="56"/>
      <c r="B23" s="57" t="s">
        <v>284</v>
      </c>
      <c r="C23" s="58" t="s">
        <v>285</v>
      </c>
      <c r="D23" s="59" t="s">
        <v>156</v>
      </c>
      <c r="E23" s="60" t="s">
        <v>263</v>
      </c>
      <c r="F23" s="56"/>
    </row>
    <row r="24" spans="1:7" ht="28" customHeight="1" x14ac:dyDescent="0.55000000000000004">
      <c r="A24" s="56"/>
      <c r="B24" s="57" t="s">
        <v>286</v>
      </c>
      <c r="C24" s="58" t="s">
        <v>287</v>
      </c>
      <c r="D24" s="59" t="s">
        <v>288</v>
      </c>
      <c r="E24" s="60" t="s">
        <v>263</v>
      </c>
      <c r="F24" s="56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60" customHeight="1" x14ac:dyDescent="0.55000000000000004">
      <c r="A26" s="118" t="s">
        <v>289</v>
      </c>
      <c r="B26" s="62"/>
      <c r="C26" s="62"/>
      <c r="D26" s="62"/>
      <c r="E26" s="62"/>
      <c r="F26" s="63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2026-04-05T19:04:04Z</dcterms:created>
  <dcterms:modified xsi:type="dcterms:W3CDTF">2026-04-05T19:08:26Z</dcterms:modified>
</cp:coreProperties>
</file>