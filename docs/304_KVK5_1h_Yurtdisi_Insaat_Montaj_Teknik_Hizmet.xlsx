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02ADB5D4-C641-4EAF-B569-3A84552FA17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C74" i="2"/>
  <c r="F68" i="1"/>
  <c r="C53" i="1"/>
  <c r="C52" i="1"/>
  <c r="C51" i="1"/>
  <c r="D14" i="2"/>
  <c r="D13" i="2"/>
  <c r="D9" i="2"/>
  <c r="D8" i="2"/>
  <c r="D7" i="2"/>
  <c r="D42" i="1"/>
  <c r="D6" i="2" s="1"/>
  <c r="E16" i="1"/>
  <c r="D5" i="2" s="1"/>
</calcChain>
</file>

<file path=xl/sharedStrings.xml><?xml version="1.0" encoding="utf-8"?>
<sst xmlns="http://schemas.openxmlformats.org/spreadsheetml/2006/main" count="545" uniqueCount="438">
  <si>
    <t>304 – YURT DIŞI İNŞAAT, ONARMA, MONTAJ VE TEKNİK HİZMETLERDEN SAĞLANAN KAZANÇLAR | KVK Md.5/1-h | YMM TASDİK ÇALIŞMA KÂĞIDI | BEYANNAME SATIR 304</t>
  </si>
  <si>
    <t>KVK Md.5/1-h | %100 Tam İstisna | Yurt Dışında Fiilen İcra Edilen İnşaat/Onarma/Montaj/Teknik Hizmet | Türkiye'de Genel Sonuç Hesaplarına İntikal | Transfer Zorunluluğu YOK | Vergi Yükü Şartı YOK | Beyanname Satır 304 — Zarar Olsa Dahi İndirilecek</t>
  </si>
  <si>
    <t xml:space="preserve">  322 (5/1-g) İLE KARŞILAŞTIRMA — 304 (5/1-h) DAHA ESNEK: ① Türkiye'ye transfer zorunlu DEĞİL. ② %15 vergi yükü şartı YOK. ③ Faaliyet türü sınırlı: İnşaat / Onarma / Montaj / Teknik Hizmet (genel şube faaliyeti kapsam dışı). ④ Her ikisi de %100 istisna ve 'Zarar Olsa Dahi İndirilecek' bölümündedir.</t>
  </si>
  <si>
    <t xml:space="preserve">  ★ EN KRİTİK ŞARTLAR: (1) Faaliyet yurt dışında FİİLEN icra edilmiş olmalı — Türkiye'den uzaktan verilen hizmet kapsam tartışmalı. (2) Kazanç Türkiye'de genel sonuç hesaplarına (gelir tablosuna) intikal ettirilmeli. (3) Faaliyet türü sözleşmeyle ispat edilmeli: İnşaat, onarma, montaj veya teknik hizmet. Ticaret, komisyon, aracılık → Kapsam dışı.</t>
  </si>
  <si>
    <t>A0. KAPSAM VE NİTELİK UYGUNLUK ÖN KONTROLÜ</t>
  </si>
  <si>
    <t>Kontrol Sorusu</t>
  </si>
  <si>
    <t>Yanıt</t>
  </si>
  <si>
    <t>YMM Tasdik Notu</t>
  </si>
  <si>
    <t>A0.1  Faaliyet türü KVK 5/1-h kapsamında mı? (İnşaat/Onarma/Montaj/Teknik Hizmet)</t>
  </si>
  <si>
    <t>EVET</t>
  </si>
  <si>
    <t>KAPSAM İÇİ: İnşaat (bina/köprü/yol/baraj), onarma/tadilat, montaj/kurulum, teknik hizmet. KAPSAM DIŞI: Ticaret, komisyon, aracılık, yazılım ürünü satışı, yatırım danışmanlığı. Sözleşme niteliği faaliyet türünü belirler.</t>
  </si>
  <si>
    <t>A0.2  ★ Faaliyet YURT DIŞINDA FİİLEN icra edildi mi? (Türkiye'den uzak değil)</t>
  </si>
  <si>
    <t>KRİTİK: Personelin/şantiyenin yurt dışında fiziken bulunması gerekir. Pasaport, vize, çalışma izni, şantiye belgesi ile ispat. Türkiye'den uzaktan (remote) verilen teknik danışmanlık: Tartışmalı — özelge önerilir.</t>
  </si>
  <si>
    <t>A0.3  ★ Kazanç Türkiye'de genel sonuç hesaplarına intikal etti mi?</t>
  </si>
  <si>
    <t>KRİTİK: KVK 5/1-h — '...Türkiye'de genel sonuç hesaplarına intikal ettirilen kazançlar...' Yurt dışında bırakılan, Türkiye gelir tablosuna yansıtılmayan kazanç istisna dışıdır. 322 (5/1-g) ile ortak şart — ANCAK transfer zorunluluğu yoktur.</t>
  </si>
  <si>
    <t>A0.4  Birden fazla proje varsa her biri için ayrı sözleşme ve muhasebe var mı?</t>
  </si>
  <si>
    <t>Her yurt dışı proje için ayrı gelir-gider takibi veya belgelenmiş dağıtım anahtarı. Karma muhasebede tüm geliri istisnaya almak hatalıdır.</t>
  </si>
  <si>
    <t>A0.5  Yurt dışı işin yapıldığı ülkeyle Türkiye arasında ÇVÖA var mı?</t>
  </si>
  <si>
    <t>ÇVÖA varsa şantiye işyeri maddesine göre vergilendirme yetkisi analiz edilmeli. Yurt dışında ödenen vergi: 5/1-h istisnası seçilirse mahsup yapılamaz; alternatif olarak KVK Md.33 mahsup değerlendirilebilir.</t>
  </si>
  <si>
    <t>A0.6  5/1-h ile KVK Md.33 mahsup alternatifleri karşılaştırıldı mı?</t>
  </si>
  <si>
    <t>5/1-h istisnası: Yurt dışı kazanç tamamen istisna, mahsup yapılamaz. KVK Md.33 mahsup: Yurt dışı kazanç vergiye tabi, ödenen yurt dışı vergi KV'den mahsup. Yüksek yurt dışı vergi oranında mahsup tercih edilebilir.</t>
  </si>
  <si>
    <t>A0.7  YİAKV matrahında 304 istisnasının etkisi analiz edildi mi?</t>
  </si>
  <si>
    <t>KVK 5/1-h (304) istisnasının YİAKV (KVK 32/C) matrahına etkisi dönem mevzuatı ve GİB açıklamalarıyla analiz edilmelidir.</t>
  </si>
  <si>
    <t>A0.8  YMM Tasdik Raporu gereksinimi değerlendirildi mi? (49 No.lu Tebliğ)</t>
  </si>
  <si>
    <t>49 No.lu Tebliğ (30.12.2025): Tek satır &gt;=500.000 TL veya toplam &gt;=1.000.000 TL → YMM raporu. Tam tasdik sözleşmesi olanlar ayrıca rapor düzenlemez.</t>
  </si>
  <si>
    <t>A0.9  Tasdik Uygunluk Sonucu</t>
  </si>
  <si>
    <t>★ A0.2 (yurt dışı icra) ve A0.3 (genel sonuç hesapları) kritik.</t>
  </si>
  <si>
    <t>A. GENEL BİLGİLER</t>
  </si>
  <si>
    <t>Kurumun Unvanı</t>
  </si>
  <si>
    <t>İstisna kullanan kurumun tam adı</t>
  </si>
  <si>
    <t>VKN</t>
  </si>
  <si>
    <t>10 haneli VKN</t>
  </si>
  <si>
    <t>Proje / İşin Tanımı (Genel)</t>
  </si>
  <si>
    <t>Tüm projeleri kapsayan özet</t>
  </si>
  <si>
    <t>Faaliyet Gösterilen Ülkeler</t>
  </si>
  <si>
    <t>Ülke(ler) listesi — birden fazla ülke var ise</t>
  </si>
  <si>
    <t>Hesap Dönemi</t>
  </si>
  <si>
    <t>Örn: 01.01.2025 – 31.12.2025</t>
  </si>
  <si>
    <t>KV Oranı (%)</t>
  </si>
  <si>
    <t>2025: %25 | Finans: %30</t>
  </si>
  <si>
    <t>B. YURT DIŞI PROJE / İŞ TANIMI — Her Proje İçin Bir Satır</t>
  </si>
  <si>
    <t xml:space="preserve">  Birden fazla proje varsa her satır ayrı bir proje/sözleşmeyi temsil eder. İş türü: İnşaat / Onarma / Montaj / Teknik Hizmet — sözleşme niteliği belirleyicidir. Para birimi: İş bedelinin cinsinden — TCMB alış kuru ile TL'ye çevrim gerekir.</t>
  </si>
  <si>
    <t>Proje / İş Tanımı</t>
  </si>
  <si>
    <t>Ülke</t>
  </si>
  <si>
    <t>İş Türü</t>
  </si>
  <si>
    <t>Para Birimi</t>
  </si>
  <si>
    <t>Sözleşme Tutarı (Döviz)</t>
  </si>
  <si>
    <t>Yurt Dışı İcra Teyidi</t>
  </si>
  <si>
    <t>Proje-1</t>
  </si>
  <si>
    <t>Pasaport/Vize/Şantiye belgesi</t>
  </si>
  <si>
    <t>Proje-2</t>
  </si>
  <si>
    <t>Proje-3</t>
  </si>
  <si>
    <t>Proje-4</t>
  </si>
  <si>
    <t>Proje-5</t>
  </si>
  <si>
    <t>C. FAAlİYET TÜRÜ KAPSAM KONTROLÜ — 5/1-h Sınırları</t>
  </si>
  <si>
    <t xml:space="preserve">  5/1-h kapsamı belirli faaliyet türleriyle sınırlıdır. Sözleşme niteliğine göre kapsam içi/dışı ayrımı yapılır. Karma faaliyette yalnızca kapsam içi kısım istisna tutulur. Uzaktan teknik hizmet tartışmalı — özelge alınması tavsiye edilir.</t>
  </si>
  <si>
    <t>Kontrol</t>
  </si>
  <si>
    <t>Değerlendirme</t>
  </si>
  <si>
    <t>Açıklama</t>
  </si>
  <si>
    <t>C.1  Sözleşme türü inşaat, onarma, montaj veya teknik hizmet mi?</t>
  </si>
  <si>
    <t>Ticaret, komisyon, aracılık → Kapsam dışı. Hizmet sözleşmesi niteliği teyit edilmeli.</t>
  </si>
  <si>
    <t>C.2  Faaliyet yurt dışında FİZİKEN icra ediliyor/edildi mi?</t>
  </si>
  <si>
    <t>Türkiye'den uzaktan hizmet tartışmalı. Personel/şantiye yurt dışında fiziken olmalı.</t>
  </si>
  <si>
    <t>C.3  Karma faaliyette (hizmet+mal satışı) gelir ayrımı yapıldı mı?</t>
  </si>
  <si>
    <t>Uygulanmıyor</t>
  </si>
  <si>
    <t>Karma sözleşmede: Yalnızca hizmet kısmı istisna. Mal satışı kısmı ayrıştırılmalı.</t>
  </si>
  <si>
    <t>C.4  Uzaktan Teknik Hizmet varsa: Özelge analizi yapıldı mı?</t>
  </si>
  <si>
    <t>Uzaktan hizmet için özelge alınması şiddetle tavsiye edilir. GİB tutumu dönemden döneme değişebilir.</t>
  </si>
  <si>
    <t>C.5  KAPSAM GENEL SONUCU</t>
  </si>
  <si>
    <t>C.1 ve C.2 EVET ise kapsam içi</t>
  </si>
  <si>
    <t>D. YURT DIŞI PROJE GELİR VE GİDERLERİ — İstisna Kazanç Tespiti</t>
  </si>
  <si>
    <t xml:space="preserve">  Tüm yurt dışı proje gelirleri Türkiye gelir tablosuna intikal ettirilir (şart). Doğrudan proje giderleri eksiksiz düşülür. Türkiye merkez genel giderlerinden projeye isabet eden pay dağıtım anahtarıyla belirlenir. Döviz: TCMB alış kuru — tahakkuk veya transfer tarihi itibariyle.</t>
  </si>
  <si>
    <t>Kalem</t>
  </si>
  <si>
    <t>Tutar (TL)</t>
  </si>
  <si>
    <t>YMM Notu</t>
  </si>
  <si>
    <t>D.1  Yurt Dışı Hâkediş / Hizmet Gelirleri — Tüm Projeler Toplamı (TL)</t>
  </si>
  <si>
    <t>Tahakkuk eden veya tahsil edilen gelir — TCMB alış kuru ile TL</t>
  </si>
  <si>
    <t>640/641/649 veya ilgili hesap ekstreleri</t>
  </si>
  <si>
    <t>D.2  Yurt Dışı Projeyle Doğrudan İlgili Giderler (TL)</t>
  </si>
  <si>
    <t>İşçilik (yurt dışı personel), malzeme, ekipman, alt yüklenici, ulaşım, konaklama</t>
  </si>
  <si>
    <t>Fatura + ödeme belgesiyle belgelenmiş</t>
  </si>
  <si>
    <t>D.3  Türkiye Merkezi Genel Gider Payı — Projeye İsabet Eden (TL)</t>
  </si>
  <si>
    <t>Dağıtım anahtarı: Proje cirosu / Toplam ciro vb. Yöntem yazılı belgelenmeli.</t>
  </si>
  <si>
    <t>Dağıtım anahtarı belgesi dosyaya eklenecek</t>
  </si>
  <si>
    <t>D.4  Yurt Dışında Ödenen Vergi / Stopaj (TL)</t>
  </si>
  <si>
    <t>TCMB alış kuru ile TL — vergi makbuzu dayanağıyla</t>
  </si>
  <si>
    <t>5/1-h seçilirse mahsup yapılamaz — KVK Md.33 analizi için</t>
  </si>
  <si>
    <t>D.5  NET YURT DIŞI PROJE KAZANCI = D.1 − D.2 − D.3</t>
  </si>
  <si>
    <t>Pozitif = Kazanç | Negatif = Zarar | Vergi hariç</t>
  </si>
  <si>
    <t>Otomatik hesap</t>
  </si>
  <si>
    <t>D.6  DURUM</t>
  </si>
  <si>
    <t>Otomatik değerlendirme</t>
  </si>
  <si>
    <t>Zarar: 304 satırına 0 — E.3 notuna bak</t>
  </si>
  <si>
    <t>D.7  5/1-h İSTİSNA TUTARI (%100)</t>
  </si>
  <si>
    <t>Kapsam EVET ise kazancın tamamı — kapsam HAYIR ise sıfır</t>
  </si>
  <si>
    <t>→ Beyanname 304</t>
  </si>
  <si>
    <t>E. GENEL SONUÇ HESAPLARINA İNTİKAL KONTROLÜ — 5/1-h'ın Temel Şartı</t>
  </si>
  <si>
    <t xml:space="preserve">  KVK 5/1-h: '...Türkiye'de genel sonuç hesaplarına intikal ettirilen kazançlar...' Bu şart 322 (5/1-g) ile aynıdır — ANCAK 322'deki transfer zorunluluğu YOKTUR. Kazanç yurt dışında kalabilir; Türkiye gelir tablosuna yansıması yeterlidir. Transfer olmasa bile kazancın Türkiye'de beyan edilmesi ve vergiye tabi tutulacak tutarla birlikte ticari kâra dahil edilmesi zorunludur.</t>
  </si>
  <si>
    <t>E.1  Yurt Dışı Proje Gelirleri Türkiye Gelir Tablosuna (600/640/649) Yansıdı mı?</t>
  </si>
  <si>
    <t>Gelir hesabı ekstresi ile teyit. D.1 = ilgili gelir hesabı toplamı uyumlu olmalı.</t>
  </si>
  <si>
    <t>E.2  Türkiye KV Beyannamesi Başlangıç Ticari Kârı Bu Geliri Kapsıyor mu?</t>
  </si>
  <si>
    <t>Muhasebe gelir tablosu = Beyanname başlangıç ticari kârı = Yurt dışı gelir dahil.</t>
  </si>
  <si>
    <t>E.3  Yurt Dışında Kalan Kazanç Türkiye Gelir Tablosuna Yine de Dahil mi?</t>
  </si>
  <si>
    <t>5/1-h'da transfer zorunlu DEĞİL — ancak kazancın Türkiye gelir tablosuna intikal ettirilmesi zorunludur. Yurt dışında tutulan ama gelir tablosuna yansıtılan kazanç istisna kapsamındadır.</t>
  </si>
  <si>
    <t>E.4  Döviz Kuru Dönüşümü TCMB Alış Kuru ile Yapıldı mı?</t>
  </si>
  <si>
    <t>Tahakkuk veya transfer tarihindeki TCMB döviz alış kuru esas. Tutarlılık zorunlu.</t>
  </si>
  <si>
    <t>F. 5/1-h İSTİSNASI vs KVK Md.33 MAHSUP — KARAR ANALİZİ</t>
  </si>
  <si>
    <t xml:space="preserve">  5/1-h istisnası veya KVK Md.33 yurt dışı vergi mahsubu — ikisi aynı anda kullanılamaz. 5/1-h: Yurt dışı kazanç tamamen istisna — yurt dışında ödenen vergi mahsup edilemez. Mahsup: Yurt dışı kazanç Türkiye'de vergiye tabi — ödenen vergi KV'den mahsup edilir. Yüksek yurt dışı vergi oranında mahsup, düşük oranında istisna avantajlı olabilir.</t>
  </si>
  <si>
    <t>F.1  5/1-h İstisnası mı, KVK Md.33 Mahsup mu?</t>
  </si>
  <si>
    <t>5/1-h İstisnası</t>
  </si>
  <si>
    <t>5/1-h: Yurt dışı vergi oranı düşükse avantajlı. Mahsup: Yüksek yurt dışı vergi oranında avantajlı.</t>
  </si>
  <si>
    <t>F.2  5/1-h Seçildi mi? (Mahsup tercih edilmediyse EVET)</t>
  </si>
  <si>
    <t>5/1-h seçilirse: Yurt dışında ödenen vergi (D.4) mahsup YAPILAMAZ.</t>
  </si>
  <si>
    <t>G. BEYANNAME 304 — KVK 5/1-h YURT DIŞI İNŞAAT/TEKNİK HİZMET İSTİSNASI</t>
  </si>
  <si>
    <t>G.1  TOPLAM İSTİSNA → Beyanname Satır 304 (ZARAR OLSA DAHİ İNDİRİLECEK — %100 Tam İstisna)</t>
  </si>
  <si>
    <t>D.7 — Net Yurt Dışı Kazanç × %100</t>
  </si>
  <si>
    <t xml:space="preserve">  KRİTİK UYARILAR: (1) 'ZARAR OLSA DAHİ': 304 beyannamede Zarar Olsa Dahi İndirilecek bölümündedir — 351/352 gibi 'Kazancın Bulunması Halinde' değil. (2) TRANSFER ZORUNLU DEĞİL: 322 (5/1-g)'den farklı — Türkiye'ye transfer gerekmez, sadece Türkiye gelir tablosuna yansıması yeterlidir. (3) VERGİ YÜKÜ ŞARTI YOK: %15 eşiği aranmaz. (4) FAAlİYET TÜRÜ: Sözleşme niteliği inşaat/onarma/montaj/teknik hizmet olmalı.</t>
  </si>
  <si>
    <t>304 – YURT DIŞI İNŞAAT/ONARMA/MONTAJ/TEKNİK HİZMET | HESAPLAMALAR VE DENETİM</t>
  </si>
  <si>
    <t>KVK Md.5/1-h | %100 Tam İstisna | Beyanname 304 | Zarar Olsa Dahi | Transfer Zorunlu DEĞİL | %15 Vergi Yükü Şartı YOK | Fon Hesabı YOK | Faaliyet: İnşaat/Onarma/Montaj/Teknik Hizmet</t>
  </si>
  <si>
    <t>A. TASDİK ÖZETİ — VERİ GİRİŞİNDEN OTOMATİK</t>
  </si>
  <si>
    <t>A0 Tasdik Uygunluğu</t>
  </si>
  <si>
    <t>OK ise devam</t>
  </si>
  <si>
    <t>Kapsam Sonucu (C.5)</t>
  </si>
  <si>
    <t>EVET: Kapsam içi</t>
  </si>
  <si>
    <t>Yurt Dışı Proje Gelirleri (D.1)</t>
  </si>
  <si>
    <t>Tüm projeler toplamı</t>
  </si>
  <si>
    <t>Proje Giderleri (D.2)</t>
  </si>
  <si>
    <t>Doğrudan giderler</t>
  </si>
  <si>
    <t>Merkez Gider Payı (D.3)</t>
  </si>
  <si>
    <t>Dağıtım anahtarı ile</t>
  </si>
  <si>
    <t>Net Yurt Dışı Kazanç (D.5)</t>
  </si>
  <si>
    <t>Durum (D.6)</t>
  </si>
  <si>
    <t>Kazanç/Zarar/Sıfır</t>
  </si>
  <si>
    <t>304 İSTİSNA TUTARI %100 (D.7)</t>
  </si>
  <si>
    <t>İstisna/Mahsup Tercihi (F.1)</t>
  </si>
  <si>
    <t>5/1-h veya Md.33</t>
  </si>
  <si>
    <t>İntikal Durumu (E.1)</t>
  </si>
  <si>
    <t>EVET zorunlu</t>
  </si>
  <si>
    <t>B. 304 (5/1-h) vs 322 (5/1-g) — TAM KARŞILAŞTIRMA</t>
  </si>
  <si>
    <t xml:space="preserve">  Bu iki istisna sık karıştırılır. 304 faaliyet türü sınırlı ama şartları daha az. 322 her türlü şube faaliyetini kapsar ama transfer ve %15 vergi yükü şartı ekler.</t>
  </si>
  <si>
    <t>Kriter</t>
  </si>
  <si>
    <t>304 — 5/1-h (YD İnşaat/Teknik)</t>
  </si>
  <si>
    <t>322 — 5/1-g (YD Şube)</t>
  </si>
  <si>
    <t>İstisna Oranı</t>
  </si>
  <si>
    <t>%100 Tam İstisna</t>
  </si>
  <si>
    <t>Beyanname Satırı</t>
  </si>
  <si>
    <t>304</t>
  </si>
  <si>
    <t>322</t>
  </si>
  <si>
    <t>Beyanname Bölümü</t>
  </si>
  <si>
    <t>Zarar Olsa Dahi İndirilecek</t>
  </si>
  <si>
    <t>Faaliyet Türü</t>
  </si>
  <si>
    <t>Yalnızca: İnşaat/Onarma/Montaj/Teknik Hizmet</t>
  </si>
  <si>
    <t>Her türlü işyeri/temsilci faaliyeti</t>
  </si>
  <si>
    <t>Türkiye'ye Transfer</t>
  </si>
  <si>
    <t>ZORUNLU DEĞİL — Transfer olmasa da istisna uygulanabilir</t>
  </si>
  <si>
    <t>ZORUNLU — KV beyan tarihine kadar</t>
  </si>
  <si>
    <t>%15 Vergi Yükü Şartı</t>
  </si>
  <si>
    <t>YOK — Vergi yükü şartı aranmaz</t>
  </si>
  <si>
    <t>VAR — C bölümünde hesaplanır</t>
  </si>
  <si>
    <t>Genel Sonuç Hesaplarına İntikal</t>
  </si>
  <si>
    <t>EVET — Zorunlu</t>
  </si>
  <si>
    <t>Uzaktan Hizmet (Remote)</t>
  </si>
  <si>
    <t>Tartışmalı — Özelge tavsiye edilir</t>
  </si>
  <si>
    <t>Türkiye'den uzak: Kapsam dışı</t>
  </si>
  <si>
    <t>Karma Faaliyet (İnşaat+Ticaret)</t>
  </si>
  <si>
    <t>Ayrıştırma zorunlu — Yalnızca hizmet kısmı</t>
  </si>
  <si>
    <t>Ayrıştırma zorunlu</t>
  </si>
  <si>
    <t>Fon Hesabı (549)</t>
  </si>
  <si>
    <t>YOK</t>
  </si>
  <si>
    <t>2 Yıl Aktif Şartı</t>
  </si>
  <si>
    <t>KVK Md.33 Mahsup Alternatifi</t>
  </si>
  <si>
    <t>Alternatifleri karşılaştır</t>
  </si>
  <si>
    <t>Avantaj</t>
  </si>
  <si>
    <t>Transfer ve vergi yükü şartı yok</t>
  </si>
  <si>
    <t>Her türlü şube faaliyeti kapsam içi</t>
  </si>
  <si>
    <t>C. KVK 5/1-h KAPSAM SINIRI — FAAlİYET TÜRÜ VE YURT DIŞI İCRA</t>
  </si>
  <si>
    <t xml:space="preserve">  5/1-h faaliyet türü kapsamı: EVET (Yeşil) / HAYIR (Kırmızı) / TARTIŞMALI (Sarı).</t>
  </si>
  <si>
    <t>Faaliyet / Durum</t>
  </si>
  <si>
    <t>5/1-h Kapsamı?</t>
  </si>
  <si>
    <t>Yurt Dışı İnşaat (Şantiye + Personel Yurt Dışında)</t>
  </si>
  <si>
    <t>EVET ✓</t>
  </si>
  <si>
    <t>Temel kapsam — fiili yurt dışı inşaat</t>
  </si>
  <si>
    <t>Yurt Dışı Onarma/Bakım (Fiilen Yurt Dışında)</t>
  </si>
  <si>
    <t>Makine, altyapı, bina — kapsam içi</t>
  </si>
  <si>
    <t>Yurt Dışı Montaj (Fabrika, Makine, Tesisat)</t>
  </si>
  <si>
    <t>Montaj yurt dışında yapıldıysa kapsam içi</t>
  </si>
  <si>
    <t>Yurt Dışı Teknik Hizmet (Personel Yurt Dışında)</t>
  </si>
  <si>
    <t>Uzman/mühendis yurt dışında çalışıyorsa</t>
  </si>
  <si>
    <t>Türkiye'den Uzaktan Teknik Danışmanlık</t>
  </si>
  <si>
    <t>TARTIŞMALI ⚠</t>
  </si>
  <si>
    <t>Yurt dışında icra şartı — özelge alın</t>
  </si>
  <si>
    <t>Türkiye'de Üretilen Ürünün İhracatı</t>
  </si>
  <si>
    <t>HAYIR ✗</t>
  </si>
  <si>
    <t>Mal ihracatı — 5/1-h kapsamında değil</t>
  </si>
  <si>
    <t>İnşaat + Malzeme Satışı (Karma)</t>
  </si>
  <si>
    <t>KISMI ⚠</t>
  </si>
  <si>
    <t>Yalnızca hizmet kısmı istisna — ayrıştır</t>
  </si>
  <si>
    <t>Yurt Dışı İştirak Aracılığıyla Yapılan İnşaat</t>
  </si>
  <si>
    <t>İştirak ayrı tüzel kişilik — 5/1-b/c</t>
  </si>
  <si>
    <t>Yurt Dışı Genel Ticaret Faaliyeti</t>
  </si>
  <si>
    <t>5/1-g (322) kapsamında değerlendir</t>
  </si>
  <si>
    <t>Yazılım/Dijital Hizmet (Yurt Dışı Müşteri)</t>
  </si>
  <si>
    <t>'Teknik hizmet' kapsamı tartışmalı — özelge</t>
  </si>
  <si>
    <t>D. 304 (5/1-h) vs 322 (5/1-g) — DOĞRU KODU SEÇME REHBERİ</t>
  </si>
  <si>
    <t xml:space="preserve">  Aynı şirket hem inşaat (5/1-h) hem de genel şube (5/1-g) faaliyeti yürütüyorsa her biri için doğru istisna kodu seçilmelidir. Her ikisi de 'Zarar Olsa Dahi' bölümündedir.</t>
  </si>
  <si>
    <t>Senaryo</t>
  </si>
  <si>
    <t>Doğru Kod</t>
  </si>
  <si>
    <t>Gerekçe</t>
  </si>
  <si>
    <t>İnşaat şirketinin yurt dışında şantiyesi var, inşaat yapıyor</t>
  </si>
  <si>
    <t>304 (5/1-h)</t>
  </si>
  <si>
    <t>Faaliyet türü inşaat/montaj — yurt dışında fiilen icra</t>
  </si>
  <si>
    <t>İnşaat şirketi yurt dışında şube açmış, genel iş yapıyor (satış, koordinasyon)</t>
  </si>
  <si>
    <t>322 (5/1-g)</t>
  </si>
  <si>
    <t>Genel şube faaliyeti — inşaat kapsam dışı</t>
  </si>
  <si>
    <t>Aynı şirket: Şantiye (inşaat) + Bölge Ofisi (koordinasyon)</t>
  </si>
  <si>
    <t>304 ve 322</t>
  </si>
  <si>
    <t>İnşaat → 304, Koordinasyon ofisi → 322 — Ayrı analiz</t>
  </si>
  <si>
    <t>Teknik mühendislik hizmeti — personel yurt dışında</t>
  </si>
  <si>
    <t>Teknik hizmet kapsamı + yurt dışı icra</t>
  </si>
  <si>
    <t>Teknik danışmanlık — Türkiye'den uzaktan verilen</t>
  </si>
  <si>
    <t>Tartışmalı — Özelge</t>
  </si>
  <si>
    <t>'Yurt dışında yapılma' şartı — uzaktan tartışmalı</t>
  </si>
  <si>
    <t>Yazılım şirketi, yurt dışına SaaS hizmeti</t>
  </si>
  <si>
    <t>Büyük olasılıkla değil</t>
  </si>
  <si>
    <t>Teknik hizmet kapsamı dışı — mal/hizmet türü analizi</t>
  </si>
  <si>
    <t>E. DENETİM KONTROL LİSTESİ (K1–K12)</t>
  </si>
  <si>
    <t>Sonuç</t>
  </si>
  <si>
    <t>YMM Aksiyonu</t>
  </si>
  <si>
    <t>K1</t>
  </si>
  <si>
    <t>Faaliyet türü 5/1-h kapsamında mı? Sözleşme niteliği teyit edildi mi?</t>
  </si>
  <si>
    <t>İnşaat/Onarma/Montaj/Teknik Hizmet sözleşmesi. Ticaret/komisyon → Kapsam dışı.</t>
  </si>
  <si>
    <t>Uygun / Eksik / Risk</t>
  </si>
  <si>
    <t>K2</t>
  </si>
  <si>
    <t>★ Faaliyet yurt dışında FİİLEN icra edildi mi?</t>
  </si>
  <si>
    <t>Pasaport, vize, şantiye belgesi, çalışma izni. Türkiye'den uzaktan hizmet tartışmalı.</t>
  </si>
  <si>
    <t>K3</t>
  </si>
  <si>
    <t>★ Yurt dışı proje gelirleri Türkiye gelir tablosuna intikal etti mi?</t>
  </si>
  <si>
    <t>600/640/649 hesap ekstresi ile teyit. Yurt dışında bırakılan kazanç istisna dışı. NOT: Transfer zorunlu DEĞİL — sadece gelir tablosuna yansıması yeterli.</t>
  </si>
  <si>
    <t>K4</t>
  </si>
  <si>
    <t>Gider ayrıştırması doğru yapıldı mı? Merkez gider payı belgelendi mi?</t>
  </si>
  <si>
    <t>Dağıtım anahtarı tutarlı ve yazılı. D.3 tutarı belgelenmiş anahtar ile uyumlu.</t>
  </si>
  <si>
    <t>K5</t>
  </si>
  <si>
    <t>Karma faaliyet (hizmet+mal) varsa gelir ayrımı yapıldı mı?</t>
  </si>
  <si>
    <t>Yalnızca hizmet/inşaat kısmı istisna. Mal satışı kısmı ayrıştırılmalı.</t>
  </si>
  <si>
    <t>K6</t>
  </si>
  <si>
    <t>5/1-h ile 322 (5/1-g) karıştırılmadı mı?</t>
  </si>
  <si>
    <t>İnşaat/teknik hizmet → 304. Genel şube → 322. Karma faaliyette her biri ayrı kod.</t>
  </si>
  <si>
    <t>K7</t>
  </si>
  <si>
    <t>5/1-h ve KVK Md.33 mahsup birlikte uygulanmadı mı?</t>
  </si>
  <si>
    <t>F bölümünde tercih yapılmış olmalı. İkisi aynı anda kullanılamaz.</t>
  </si>
  <si>
    <t>K8</t>
  </si>
  <si>
    <t>Döviz kuru dönüşümü TCMB alış kuru ile yapıldı mı?</t>
  </si>
  <si>
    <t>Tahakkuk veya transfer tarihindeki TCMB alış kuru. Tutarlılık zorunlu.</t>
  </si>
  <si>
    <t>K9</t>
  </si>
  <si>
    <t>ÇVÖA analizi yapıldı mı? Şantiye işyeri oluşumu değerlendirildi mi?</t>
  </si>
  <si>
    <t>Şantiye işyeri oluştu + Yurt dışında vergilendirildi: 5/1-h değerlendirilebilir. İşyeri oluşmadı: Kazanç Türkiye'de vergilendirilir.</t>
  </si>
  <si>
    <t>K10</t>
  </si>
  <si>
    <t>304 'Zarar Olsa Dahi İndirilecek' bölümünde mi?</t>
  </si>
  <si>
    <t>304 → 'Zarar Olsa Dahi'. 351/352 gibi 'Kazancın Bulunması Halinde' DEĞİL.</t>
  </si>
  <si>
    <t>K11</t>
  </si>
  <si>
    <t>Beyanname 304 tutarı D.7 ile uyumlu mu?</t>
  </si>
  <si>
    <t>304 = D.7 = D.5 × %100 (kapsam EVET ise). Fark varsa kapsam analizi hatası.</t>
  </si>
  <si>
    <t>K12</t>
  </si>
  <si>
    <t>YİAKV matrahında 304 istisnasının etkisi analiz edildi mi?</t>
  </si>
  <si>
    <t>Dönem mevzuatı ve GİB açıklamaları esas alınmalıdır.</t>
  </si>
  <si>
    <t>F. BEYANNAME EŞLEŞTİRME</t>
  </si>
  <si>
    <t>Satır</t>
  </si>
  <si>
    <t>Tutar / Not</t>
  </si>
  <si>
    <t>KVK 5/1-h — YD İnşaat/Onarma/Montaj/Teknik Hizmet | %100 | Zarar Olsa Dahi İndirilecek</t>
  </si>
  <si>
    <t>YD Şube (5/1-g)</t>
  </si>
  <si>
    <t>Genel şube/temsilci faaliyeti → 322 (5/1-g). Transfer + %15 vergi yükü şartı var.</t>
  </si>
  <si>
    <t>Md.33</t>
  </si>
  <si>
    <t>Mahsup Alternatifi</t>
  </si>
  <si>
    <t>5/1-h yerine mahsup tercih edilmişse — ikisi aynı anda uygulanamaz.</t>
  </si>
  <si>
    <t>304 – YURT DIŞI İNŞAAT/ONARMA/MONTAJ/TEKNİK HİZMET | MUHASEBE KAYITLARI</t>
  </si>
  <si>
    <t>KVK Md.5/1-h | %100 İstisna | Beyanname 304 | Transfer Zorunlu Değil | Fon Hesabı YOK | Zarar Olsa Dahi</t>
  </si>
  <si>
    <t xml:space="preserve">  NOT: Rehber niteliğindedir. TCMB kuru ve proje bazlı muhasebe politikasına göre uyarlanmalıdır.</t>
  </si>
  <si>
    <t>KAYIT 1 — YURT DIŞI HAKEDİŞ / HİZMET BEDELİ TAHAKKUKU (Türkiye Gelir Tablosuna İntikal)</t>
  </si>
  <si>
    <t>Proje hâkediş bedeli tahakkuku — TCMB alış kuru ile TL | Türkiye gelir tablosuna yansıması zorunlu</t>
  </si>
  <si>
    <t>Tarih</t>
  </si>
  <si>
    <t>Hesap Adı / Kodu</t>
  </si>
  <si>
    <t>Muhasebe Notu</t>
  </si>
  <si>
    <t>Dr (TL)</t>
  </si>
  <si>
    <t>Kr (TL)</t>
  </si>
  <si>
    <t>Referans</t>
  </si>
  <si>
    <t>Dr</t>
  </si>
  <si>
    <t>[Tahakkuk]</t>
  </si>
  <si>
    <t>121 Alacaklar / 127 Diğer Alacaklar</t>
  </si>
  <si>
    <t>Yurt dışı inşaat/hizmet hâkediş alacağı — TCMB alış kuru ile TL</t>
  </si>
  <si>
    <t>[Tutar TL]</t>
  </si>
  <si>
    <t>—</t>
  </si>
  <si>
    <t>Hâkediş belgesi + TCMB kur</t>
  </si>
  <si>
    <t>Kr</t>
  </si>
  <si>
    <t>600 YD/Yurt İçi Satışlar / 640 veya 649 İlgili Gelir</t>
  </si>
  <si>
    <t>Yurt dışı inşaat/teknik hizmet geliri — KVK 5/1-h (Beyanname 304)</t>
  </si>
  <si>
    <t>KV 304</t>
  </si>
  <si>
    <t>KRİTİK FARK — 304 (5/1-h) vs 322 (5/1-g) MUHASEBE:
304: Bu tahakkuk kaydı 'genel sonuç hesaplarına intikal' şartını karşılar. Türkiye'ye transfer GEREKMİYOR — sadece gelir tablosuna yansıması yeterli. KV beyannamesinde 304. Satır 'Zarar Olsa Dahi İndirilecek' bölümünde gösterilir.
322: Ek olarak KV beyan tarihine kadar Türkiye'ye TRANSFER zorunlu.</t>
  </si>
  <si>
    <t>KAYIT 2 — YURT DIŞI PROJE GİDERLERİ</t>
  </si>
  <si>
    <t>[Gider]</t>
  </si>
  <si>
    <t>730/780/689 İlgili Gider Hesabı</t>
  </si>
  <si>
    <t>Yurt dışı işçilik, malzeme, ekipman, alt yüklenici — doğrudan proje giderleri</t>
  </si>
  <si>
    <t>[Gider TL]</t>
  </si>
  <si>
    <t>Fatura + ödeme belgesi</t>
  </si>
  <si>
    <t>102 Bankalar / 320 Borçlar</t>
  </si>
  <si>
    <t>Gider ödemesi</t>
  </si>
  <si>
    <t>Banka dekontu</t>
  </si>
  <si>
    <t>GİDER DAĞITIMI: Türkiye merkez genel giderleri (kira, yönetim, IT vb.) projeye isabet eden pay oranında dağıtılır (D.3). Dağıtım anahtarı (örn: Proje cirosu / Toplam ciro) yazılı olarak belgelenmelidir. 322 (5/1-g) ile aynı dağıtım kuralları uygulanır.</t>
  </si>
  <si>
    <t>KAYIT 3 — YURT DIŞINDA ÖDENEN VERGİ / STOPAJ</t>
  </si>
  <si>
    <t>[Ödeme]</t>
  </si>
  <si>
    <t>193 Peşin Ödenen Vergiler / 689 Diğer Gider</t>
  </si>
  <si>
    <t>Yurt dışında kesilen stopaj — TCMB alış kuru ile TL</t>
  </si>
  <si>
    <t>[Vergi TL]</t>
  </si>
  <si>
    <t>Vergi makbuzu</t>
  </si>
  <si>
    <t>121 Alacaklar / 102 Bankalar</t>
  </si>
  <si>
    <t>Hâkediş alacağından kesilen stopaj karşılığı</t>
  </si>
  <si>
    <t>5/1-h İSTİSNASI SEÇİLİRSE: Yurt dışı vergi 689 Gider → KKEG → Beyannamede iptali.
KVK Md.33 MAHSUP SEÇİLİRSE: Yurt dışı vergi 193 hesabında → Hesaplanan KV'den mahsup.
İKİSİ BİRLİKTE KULLANILAMAZ — F bölümünde yapılan tercih geçerlidir.</t>
  </si>
  <si>
    <t>KAYIT 4 — BEYANNAME 304 MUTABAKAT NOTU</t>
  </si>
  <si>
    <t xml:space="preserve">  BEYANNAME AKIŞI — KVK 5/1-h (Beyanname 304):
1. Hâkediş geliri 600/640/649 hesabına → Türkiye ticari kârına dahil olur
2. KV Beyannamesi 304. Satır: 'ZARAR OLSA DAHİ İNDİRİLECEK' → D.7 (%100 kazanç)
   NOT: Transfer Türkiye'ye yapılmamış olsa bile istisna uygulanabilir
304 vs 322 KARŞILAŞTIRMA:
304 (5/1-h): Transfer zorunlu DEĞİL | %15 vergi yükü şartı YOK | Faaliyet: İnşaat/Teknik
322 (5/1-g): Transfer ZORUNLU | %15 vergi yükü şartı VAR | Faaliyet: Her türlü şube
HER İKİSİ DE: 'Zarar Olsa Dahi İndirilecek' | %100 İstisna | Fon Hesabı YOK
3 KADEME UYUM: Hâkediş muhasebesi (D.5) = VERİ GİRİŞİ D.5 = Beyanname 304</t>
  </si>
  <si>
    <t>304 – YURT DIŞI İNŞAAT/ONARMA/MONTAJ/TEKNİK HİZMET | DENETÇİ NOTLARI</t>
  </si>
  <si>
    <t>KVK Md.5/1-h | %100 İstisna | Beyanname 304 | Transfer Zorunlu DEĞİL | %15 Vergi Yükü Şartı YOK | Zarar Olsa Dahi | 322 Karşılaştırma</t>
  </si>
  <si>
    <t>BÖLÜM 1 — YASAL DAYANAK, ŞARTLAR VE 304 (5/1-h) — 322 (5/1-g) FARKLARI</t>
  </si>
  <si>
    <t>Kod</t>
  </si>
  <si>
    <t>Konu</t>
  </si>
  <si>
    <t>Mesleki Değerlendirme</t>
  </si>
  <si>
    <t>Mevzuat</t>
  </si>
  <si>
    <t>N1</t>
  </si>
  <si>
    <t>KVK 5/1-h — Yasal Metin, Beyanname 304 ve Temel Şartlar</t>
  </si>
  <si>
    <t>KVK Md.5/1-h (özet):
'Yurt dışında yapılan inşaat, onarım, montaj işleri ile teknik hizmetlerden sağlanan ve
Türkiye'de genel sonuç hesaplarına intikal ettirilen kazançlar'
TEMEL ŞARTLAR:
① Faaliyet türü: İnşaat / Onarma / Montaj / Teknik Hizmet — sözleşme ile ispat
② Yurt dışında fiilen icra: Personel/şantiye yurt dışında fiziken
③ Türkiye'de genel sonuç hesaplarına intikal: Gelir tablosuna yansıma
BEYANNAME: 304. Satır | 'ZARAR OLSA DAHİ İNDİRİLECEK' | %100 Tam İstisna
FON HESABI: YOK | 2 YIL ŞARTI: YOK | TRANSFER: ZORUNLU DEĞİL | VERGİ YÜKÜ: YOK</t>
  </si>
  <si>
    <t>KVK Md.5/1-h | 1 Seri No.lu KV GT</t>
  </si>
  <si>
    <t>N2</t>
  </si>
  <si>
    <t>★ Transfer Zorunlu Değil — 322 (5/1-g)'den Kritik Fark</t>
  </si>
  <si>
    <t>5/1-h (304) İLE 5/1-g (322) ARASINDAKİ EN KRİTİK FARK:
5/1-g (322): Kazancın Türkiye'ye TRANSFER edilmesi zorunlu (KV beyan tarihine kadar).
5/1-h (304): Transfer zorunlu DEĞİL. Yurt dışında kalan kazanç için istisna uygulanabilir.
5/1-h'DA YETERLİ OLAN:
Yurt dışı proje gelirinin Türkiye'deki gelir tablosuna (600/640 vb.) yansıtılması.
Fiziksel para transferi olmasa da muhasebe kaydı 'intikal' şartını karşılar.
5/1-h'DA %15 VERGİ YÜKÜ ŞARTI YOK:
İşin yapıldığı ülkenin vergi oranından bağımsız olarak istisna uygulanabilir.
Vergi cenneti ülkede yapılan inşaat da 5/1-h kapsamındadır.
YMM notu: Muhasebe tahakkuk kaydı intikal şartını belgeler.
Vergi incelemesinde 'transfer dekontu' aranmaz — ancak muhasebe belgesi şarttır.</t>
  </si>
  <si>
    <t>KVK Md.5/1-h | GİB Özelgeleri | 1 Seri No.lu KV GT</t>
  </si>
  <si>
    <t>N3</t>
  </si>
  <si>
    <t>★ 'Yurt Dışında Yapılma' Şartı — Faaliyet İcra Kriterleri</t>
  </si>
  <si>
    <t>YURT DIŞINDA FİİLEN İCRA:
KAPSAM İÇİ:
✓ Personel yurt dışında şantiyede çalışıyor
✓ Yurt dışındaki tesise makine monte eden ekip
✓ Yurt dışındaki müşteri yerinde teknik hizmet veren uzman
✓ Yurt dışı alt yüklenici koordinasyonu (koordinatör yurt dışında)
TARTIŞMALI:
⚠ Türkiye'den uzaktan (remote) teknik danışmanlık — özelge alınmalı
⚠ Tasarım/mühendislik çalışması Türkiye'de, uygulama yurt dışında (karma)
⚠ Yazılım/dijital hizmetlerin uzaktan teslimi
KAPSAM DIŞI:
✗ Yurt içinde üretilen malın ihracatı
✗ Türkiye'den yönetilen yurt dışı iştirak faaliyeti (5/1-b/c)
✗ Komisyon/aracılık/ticaret faaliyeti
YMM notu: Pasaport, vize, çalışma izni, konaklama faturaları tasdik dosyasında.</t>
  </si>
  <si>
    <t>KVK Md.5/1-h | GİB Özelgeleri | Danıştay</t>
  </si>
  <si>
    <t>N4</t>
  </si>
  <si>
    <t>Faaliyet Türü Sınırı ve 304–322 Doğru Kod Seçimi</t>
  </si>
  <si>
    <t>5/1-h (304) FAAlİYET TÜRÜ SINIRI:
Yalnızca: İnşaat, Onarma/Tamir, Montaj/Kurulum, Teknik Hizmet
Diğer faaliyetler: 5/1-g (322) veya başka bent kapsamında değerlendirilmeli
DOGRU KOD SEÇİMİ — ÖNEMLI SENARYOLAR:
① İnşaat şirketi, yurt dışı şantiyede inşaat yapıyor → 304 (5/1-h)
② İnşaat şirketi, yurt dışı koordinasyon ofisi açtı → 322 (5/1-g)
③ Aynı şube: İnşaat + Genel koordinasyon → 304 ve 322 ayrı ayrı
④ Teknik mühendislik hizmet personeli yurt dışında → 304 (5/1-h)
⑤ Teknik danışmanlık — Türkiye'den uzaktan → Tartışmalı — Özelge
YMM notu: Tek projenin tüm gelirini yanlış koda beyan etmek tarhiyat riski taşır.</t>
  </si>
  <si>
    <t>KVK Md.5/1-h | 5/1-g | 1 Seri No.lu KV GT</t>
  </si>
  <si>
    <t>BÖLÜM 2 — GİDER DAĞITIMI, ÇVÖA VE YMM TASDİK STANDARDI</t>
  </si>
  <si>
    <t>N5</t>
  </si>
  <si>
    <t>Gider Dağıtımı ve Muhasebe Ayrımı (322 ile Aynı Kural)</t>
  </si>
  <si>
    <t>HER PROJE İÇİN AYRI GELİR-GİDER TAKİBİ:
Zorunlu: Her proje için ayrı hesap veya dağıtım anahtarı
DAĞITIM ANAHTARI:
• Proje cirosu / Toplam şirket cirosu (en yaygın)
• Projede çalışan personel sayısı / Toplam personel
• Proje harcamaları / Toplam harcamalar
KABUL EDİLEBİLİR: Tutarlı ve yazılı olarak belgelenmiş yöntem
KABUL EDİLEMEZ: Dönemden döneme değiştirilen veya belgelenemeyen anahtarlar
YMM notu: Dağıtım anahtarı belgesi tasdik dosyasına eklenmelidir.
Karma giderlerin tamamının yurt dışı istisna gelirine yüklenmesi hatalıdır.</t>
  </si>
  <si>
    <t>KVK Md.5/1-h | VUK Md.175</t>
  </si>
  <si>
    <t>N6</t>
  </si>
  <si>
    <t>ÇVÖA Etkisi ve 5/1-h — Şantiye İşyeri Analizi</t>
  </si>
  <si>
    <t>5/1-h VE ÇVÖA İLİŞKİSİ:
İşyeri oluşumu: Şantiyenin ÇVÖA'ya göre işyeri oluşturup oluşturmadığı teyit edilmeli.
Genellikle 6-12 ay kuralı: Şantiye belirli süreyi geçerse işyeri oluşur.
SONUÇLAR:
• İşyeri oluştu + Yurt dışında vergilendirildi:
  → 5/1-h istisnası uygulanabilir (vergi yükü şartı aranmaz)
  → Alternatif: KVK Md.33 mahsup (yüksek yurt dışı vergi oranında)
• İşyeri oluşmadı:
  → Yurt dışında vergilendirme hakkı yok — Türkiye'de vergilendirme
  → 5/1-h şartları sağlanıyorsa istisna yine de uygulanabilir
YMM notu: ÇVÖA metninin inşaat maddesi incelenmeli.
Hazine.gov.tr ÇVÖA listesinden teyit edilmeli.</t>
  </si>
  <si>
    <t>KVK Md.5/1-h | ÇVÖA İnşaat Maddesi</t>
  </si>
  <si>
    <t>N7</t>
  </si>
  <si>
    <t>49 No.lu Tebliğ + YMM Tasdik Dil Standardı</t>
  </si>
  <si>
    <t>49 No.lu Tebliğ (30.12.2025): &gt;=500.000 TL → YMM raporu. Tam tasdik → ayrıca rapor yok.
KULLANIN:
'...faaliyetin yurt dışında fiilen icra edildiği belge ve kayıtlarla doğrulanmıştır'
'...kazanç Türkiye'de genel sonuç hesaplarına intikal ettirilmiştir'
'...sözleşme KVK 5/1-h kapsamında [inşaat/onarma/montaj/teknik hizmet] niteliğindedir'
KULLANMAYIN:
'...yurt dışı hizmet geliri istisna kapsamındadır' (belgesiz)
'...transfer edilmiştir' (transfer aranmaz, gereksiz)
KRİTİK HATALAR:
(1) 5/1-h yerine 5/1-g kodu kullanmak (304 yerine 322)
(2) 'Transfer edilmediği için istisna yok' demek — 5/1-h'da transfer şartı yok
(3) Uzaktan hizmeti kapsam içi saymak — özelge alınmadan riski var
(4) 5/1-h ve Md.33 mahsubun birlikte uygulanması</t>
  </si>
  <si>
    <t>49 No.lu Tebliğ | SM-SMMM-YMM K. Md.12</t>
  </si>
  <si>
    <t>N8</t>
  </si>
  <si>
    <t>304 — Beyanname 'Zarar Olsa Dahi İndirilecek' Bölümü</t>
  </si>
  <si>
    <t>'ZARAR OLSA DAHİ İNDİRİLECEK' ANLAMI:
Türkiye kurumunun o dönem zararda olması 5/1-h istisnasını engellemez.
Yurt dışı proje kazancı pozitifse: İstisna uygulanır, Türkiye zararı derinleşir.
Yurt dışı proje zararda ise: İstisna tutarı = 0 (negatif kazancın istisnası olmaz).
351/352 İLE KIYASLAMA:
351/352 → 'Kazancın Bulunması Halinde': Türkiye zararlıysa istisna uygulanamaz.
304/322 → 'Zarar Olsa Dahi': Türkiye zararlı olsa bile istisna uygulanır.
KKEG KURALI:
5/1-h için KVK'da 5/3 gibi açık KKEG hükmü yoktur.
Proje zararının KKEG olup olmayacağı tartışmalıdır — ihtiyatlı yaklaşım için özelge alın.</t>
  </si>
  <si>
    <t>KVK Md.5/1-h | Beyanname Yapısı</t>
  </si>
  <si>
    <t xml:space="preserve">  GÜNCEL DURUM — YAZILIM/DİJİTAL HİZMETLER: Yurt dışındaki müşteriye internet üzerinden sunulan yazılım/danışmanlık hizmetlerinin KVK 5/1-h kapsamında 'teknik hizmet' sayılıp sayılmayacağı tartışmalıdır. GİB bazı özelgelerde uzaktan teknik danışmanlığı kapsam içinde değerlendirmiş, bazılarında hizmetin yurt dışında fiilen yapılması gerektiğini vurgulamıştır. Bu konuda özelge alınması şiddetle tavsiye edilir.</t>
  </si>
  <si>
    <t>304 – YURT DIŞI İNŞAAT/ONARMA/MONTAJ/TEKNİK HİZMET | BELGE VE BİLGİ LİSTESİ | YMM TASDİK</t>
  </si>
  <si>
    <t>KVK Md.5/1-h | %100 İstisna | Beyanname 304 | Zarar Olsa Dahi | Transfer Zorunlu DEĞİL | %15 Vergi Yükü Şartı YOK | ÇVÖA | 49 No.lu Tebliğ</t>
  </si>
  <si>
    <t xml:space="preserve">  Kategori 1: Zorunlu belgeler. Kategori 2: ÇVÖA ve özel durum belgeleri. Kategori 3: YMM tasdik kontrol soruları (★ kritik).</t>
  </si>
  <si>
    <t>KATEGORİ 1 — ZORUNLU BELGELER (3 Temel Şartın Belgesi)</t>
  </si>
  <si>
    <t xml:space="preserve">  3 şart: ① Sözleşme (faaliyet türü) ② Yurt dışı icra belgesi ③ Gelir tablosu (intikal). Transfer belgesi aranmaz — 322'den (5/1-g) farklı.</t>
  </si>
  <si>
    <t>No</t>
  </si>
  <si>
    <t>Belge / Bilgi Adı</t>
  </si>
  <si>
    <t>Detay ve YMM Kontrol Noktaları</t>
  </si>
  <si>
    <t>Temin Yeri</t>
  </si>
  <si>
    <t>1</t>
  </si>
  <si>
    <t>Yurt Dışı İş / Hizmet Sözleşmesi (Faaliyet Türü Kanıtı)</t>
  </si>
  <si>
    <t>İşin türünü kanıtlayan sözleşme: İnşaat, onarma, montaj veya teknik hizmet.
Sözleşmede: Yurt dışı iş yeri adresi, iş kapsamı, bedeli ve süresi görünmeli.
YMM notu: Sözleşme niteliği 5/1-h kapsamının birincil belgesidir.</t>
  </si>
  <si>
    <t>Yazılı sözleşme (Türkçe tercüme ile)</t>
  </si>
  <si>
    <t>2</t>
  </si>
  <si>
    <t>★ Yurt Dışında Fiilen İcra Belgesi (Personel/Şantiye Varlığı)</t>
  </si>
  <si>
    <t>Personelin yurt dışında bulunduğunu kanıtlayan: Pasaport giriş-çıkış damgaları, vize, yurt dışı çalışma izni.
Şantiye/iş yeri kira sözleşmesi, yurt dışı ofis/şantiye adresi belgesi.
YMM notu: 'Yurt dışında yapılma' şartının zorunlu kanıtı.</t>
  </si>
  <si>
    <t>Pasaport fotokopileri + Vize/çalışma izni + Şantiye belgesi</t>
  </si>
  <si>
    <t>3</t>
  </si>
  <si>
    <t>Hâkediş Belgeleri / İş Tamamlama / Kabul Tutanağı</t>
  </si>
  <si>
    <t>Dönem içinde tahakkuk eden hizmet bedeli tutarını gösteren hâkediş belgesi.
İş tamamlama veya kabul tutanağı (Completion Certificate, Acceptance Protocol).
YMM notu: D.1 (gelir) tutarı hâkediş belgeleriyle mutabık olmalıdır.</t>
  </si>
  <si>
    <t>Hâkediş/İlerleme raporu + İş tamamlama belgesi</t>
  </si>
  <si>
    <t>4</t>
  </si>
  <si>
    <t>Yurt Dışı Proje Gelir-Gider Tablosu / Muhasebe Ayrımı Belgesi</t>
  </si>
  <si>
    <t>Her proje için ayrı gelir-gider takibi veya dağıtım anahtarı uygulandığını gösteren belge.
Türkiye merkezi giderlerinden projeye isabet eden pay (D.3) hesabı.
YMM notu: Dağıtım anahtarı tutarlı ve yazılı olmalıdır.</t>
  </si>
  <si>
    <t>Muhasebe ekstresi + Dağıtım anahtarı tablosu</t>
  </si>
  <si>
    <t>5</t>
  </si>
  <si>
    <t>Türkiye Gelir Tablosu — Yurt Dışı Proje Gelirlerinin İntikal Teyidi</t>
  </si>
  <si>
    <t>Yurt dışı proje gelirlerinin Türkiye'deki 600/640/649 hesaplarına yansıdığını gösteren ekstreler.
NOT: Transfer belgesi değil — muhasebe tahakkuk kaydı yeterlidir.
YMM notu: 'Genel sonuç hesaplarına intikal' şartının belgesidir.</t>
  </si>
  <si>
    <t>Muhasebe programı — Gelir hesabı ekstresi</t>
  </si>
  <si>
    <t>6</t>
  </si>
  <si>
    <t>TCMB Kur Belgesi (Döviz → TL Dönüşüm Tarihleri)</t>
  </si>
  <si>
    <t>Her hâkediş/tahsilat için uygulanacak TCMB döviz alış kuru ve tarihi.
Kur farkları 646/656 hesabına ayrıca kaydedilmeli.
YMM notu: Kur tarihi (tahakkuk mu, tahsilat mı?) tutarlı ve yazılı olmalıdır.</t>
  </si>
  <si>
    <t>TCMB.gov.tr kur arşivi / Banka dekontları</t>
  </si>
  <si>
    <t>7</t>
  </si>
  <si>
    <t>KV Beyannamesi Taslağı — 304. Satır</t>
  </si>
  <si>
    <t>304. satırındaki tutarın D.7 ile birebir uyumlu olduğu kontrol edilmeli.
'ZARAR OLSA DAHİ İNDİRİLECEK' bölümünde doğru konumlandırıldığı teyit edilmeli.
('Kazancın Bulunması Halinde' bölümünde DEĞİL.)</t>
  </si>
  <si>
    <t>GİB e-Beyanname sistemi</t>
  </si>
  <si>
    <t>KATEGORİ 2 — ÇVÖA VE EK BELGELER</t>
  </si>
  <si>
    <t>8</t>
  </si>
  <si>
    <t>ÇVÖA Analiz Notu — Şantiye İşyeri Maddesi</t>
  </si>
  <si>
    <t>Faaliyet gösterilen ülkeyle Türkiye arasındaki ÇVÖA'nın inşaat/şantiye işyeri maddesi.
Şantiye işyeri oluşup oluşmadığı, vergilendirme yetkisi ve ÇVÖA etkisi.
YMM notu: İşyeri oluştu + yurt dışında vergilendirildi → 5/1-h veya Md.33 analizi.</t>
  </si>
  <si>
    <t>ÇVÖA metni (inşaat maddesi) + YMM analiz notu</t>
  </si>
  <si>
    <t>9</t>
  </si>
  <si>
    <t>Alt Yüklenici Sözleşmeleri ve Ödemeleri</t>
  </si>
  <si>
    <t>Yurt dışı alt yüklenicilerle yapılan sözleşmeler ve ödemeler.
Alt yüklenicinin yurt dışında çalıştığının teyidi.
Yurt dışı alt yüklenici giderleri D.2'ye dahil edilmeli.</t>
  </si>
  <si>
    <t>Alt yüklenici sözleşmeleri + Ödeme dekontları</t>
  </si>
  <si>
    <t>10</t>
  </si>
  <si>
    <t>Yurt Dışı Vergi Makbuzu (Mahsup Analizi için)</t>
  </si>
  <si>
    <t>5/1-h istisnası seçilmişse: Yurt dışı vergi 689 Gider → KKEG → Beyannamede iptal.
KVK Md.33 mahsup seçilmişse: Vergi makbuzu mahsup satırıyla uyumlu olmalı.
YMM notu: F bölümünde yapılan tercih (5/1-h veya mahsup) muhasebede uygulanmalı.</t>
  </si>
  <si>
    <t>Yurt dışı vergi makbuzu + Ödeme belgesi</t>
  </si>
  <si>
    <t>11</t>
  </si>
  <si>
    <t>YİAKV Matrah Hesaplama Tablosu (304 Etkisi)</t>
  </si>
  <si>
    <t>KVK 5/1-h (304) istisnasının YİAKV matrahına etkisi güncel GİB açıklamalarıyla analiz edilmeli.</t>
  </si>
  <si>
    <t>YİAKV çalışma kâğıdı / KVK 32/C</t>
  </si>
  <si>
    <t>KATEGORİ 3 — YMM TASDİK KONTROL SORULARI (★ Kritik)</t>
  </si>
  <si>
    <t>Beklenen Sonuç / Tasdik Standardı</t>
  </si>
  <si>
    <t>S1</t>
  </si>
  <si>
    <t>Sözleşme metni incelenmeli: İnşaat/Onarma/Montaj/Teknik Hizmet. Ticaret/komisyon/aracılık → Kapsam dışı.</t>
  </si>
  <si>
    <t>YMM kontrolü</t>
  </si>
  <si>
    <t>S2</t>
  </si>
  <si>
    <t>Pasaport, vize, şantiye belgesi, çalışma izni zorunlu. Uzaktan hizmet tartışmalı — özelge alın.</t>
  </si>
  <si>
    <t>S3</t>
  </si>
  <si>
    <t>600/640/649 hesap ekstresi. NOT: Transfer belgesi ARANMAZ — sadece muhasebe intikal kaydı yeterli.</t>
  </si>
  <si>
    <t>S4</t>
  </si>
  <si>
    <t>Dağıtım anahtarı yazılı ve tutarlı. D.3 tutarı belgesiyle uyumlu.</t>
  </si>
  <si>
    <t>S5</t>
  </si>
  <si>
    <t>304 (5/1-h) ve 322 (5/1-g) faaliyetleri karıştırıldı mı?</t>
  </si>
  <si>
    <t>İnşaat/teknik hizmet → 304. Genel şube faaliyeti → 322. Karma faaliyette her faaliyet doğru koda ayrılmalı.</t>
  </si>
  <si>
    <t>S6</t>
  </si>
  <si>
    <t>S7</t>
  </si>
  <si>
    <t>'Kazancın Bulunması Halinde' bölümünde DEĞİL. Türkiye kurumu zararlı olsa bile 304 istisnası uygulanır.</t>
  </si>
  <si>
    <t>S8</t>
  </si>
  <si>
    <t>Transfer belgesi aranmadı mı? (DOĞRU UYGULAMA: 304'te transfer şartı yok)</t>
  </si>
  <si>
    <t>5/1-h'da transfer şartı yoktur. Muhasebe intikal kaydı yeterlidir. 'Transfer edilmediği için istisna yok' demek hatalıdır.</t>
  </si>
  <si>
    <t>S9</t>
  </si>
  <si>
    <t>S10</t>
  </si>
  <si>
    <t>ÇVÖA analizi yapıldı mı? Şantiye işyeri oluştu mu?</t>
  </si>
  <si>
    <t>İşyeri oluştu + Vergilendirildi: 5/1-h veya Md.33. İşyeri oluşmadı: Türkiye'de vergilendirme — 5/1-h şartları yine değerlendirilebilir.</t>
  </si>
  <si>
    <t xml:space="preserve">  SON NOT: 49 No.lu Tebliğ: &gt;=500.000 TL → YMM raporu. Tam tasdik → ayrıca rapor yok. 304 (5/1-h) vs 322 (5/1-g) TEMEL FARK: Transfer zorunlu değil + %15 vergi yükü şartı yok. Zorunlu belgeler: ① Sözleşme (faaliyet türü) ② Yurt dışı icra belgesi (pasaport/şantiye) ③ Türkiye gelir tablosu ekstresi (transfer belgesi aranmaz!). Uzaktan teknik hizmet tartışmalı — özelge alınması tavsiye edilir. Beyanname: 304. Satır — 'Zarar Olsa Dahi İndirilecek'.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</si>
</sst>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1A237E"/>
      <name val="Arial"/>
    </font>
    <font>
      <sz val="9"/>
      <color rgb="FFC0392B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A5276"/>
      <name val="Arial"/>
    </font>
    <font>
      <b/>
      <sz val="9"/>
      <color rgb="FF1A237E"/>
      <name val="Arial"/>
    </font>
    <font>
      <b/>
      <sz val="9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b/>
      <sz val="11"/>
      <color rgb="FFFFFFFF"/>
      <name val="Arial"/>
    </font>
    <font>
      <b/>
      <sz val="14"/>
      <color rgb="FF1B5E20"/>
      <name val="Arial"/>
    </font>
    <font>
      <b/>
      <sz val="12"/>
      <color rgb="FFFFFFFF"/>
      <name val="Arial"/>
    </font>
    <font>
      <b/>
      <sz val="11"/>
      <color rgb="FF1B5E20"/>
      <name val="Arial"/>
    </font>
    <font>
      <sz val="9"/>
      <color rgb="FF1F3864"/>
      <name val="Arial"/>
    </font>
    <font>
      <b/>
      <sz val="9"/>
      <color rgb="FF006064"/>
      <name val="Arial"/>
    </font>
    <font>
      <sz val="8"/>
      <color rgb="FF333333"/>
      <name val="Arial"/>
    </font>
    <font>
      <b/>
      <sz val="9"/>
      <color rgb="FF7B5E00"/>
      <name val="Arial"/>
    </font>
    <font>
      <sz val="8"/>
      <color rgb="FF555555"/>
      <name val="Arial"/>
    </font>
    <font>
      <b/>
      <sz val="36"/>
      <color rgb="FFFFFFFF"/>
      <name val="Arial"/>
    </font>
    <font>
      <i/>
      <sz val="8"/>
      <color rgb="FF444444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2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E4057"/>
      </patternFill>
    </fill>
    <fill>
      <patternFill patternType="solid">
        <fgColor rgb="FFE8EAF6"/>
      </patternFill>
    </fill>
    <fill>
      <patternFill patternType="solid">
        <fgColor rgb="FFFCE4D6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EEF4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3F4FE"/>
      </patternFill>
    </fill>
    <fill>
      <patternFill patternType="solid">
        <fgColor rgb="FF1B5E20"/>
      </patternFill>
    </fill>
    <fill>
      <patternFill patternType="solid">
        <fgColor rgb="FFE0F2F1"/>
      </patternFill>
    </fill>
    <fill>
      <patternFill patternType="solid">
        <fgColor rgb="FFFFF9C4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922B21"/>
      </patternFill>
    </fill>
    <fill>
      <patternFill patternType="solid">
        <fgColor rgb="FFEBF5FB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EDE7F6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8F4F8"/>
      </patternFill>
    </fill>
    <fill>
      <patternFill patternType="solid">
        <fgColor rgb="FFD0EAF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4" borderId="2" xfId="0" applyFill="1" applyBorder="1"/>
    <xf numFmtId="0" fontId="0" fillId="6" borderId="2" xfId="0" applyFill="1" applyBorder="1"/>
    <xf numFmtId="0" fontId="1" fillId="8" borderId="1" xfId="0" applyFont="1" applyFill="1" applyBorder="1" applyAlignment="1">
      <alignment horizontal="center" vertical="center"/>
    </xf>
    <xf numFmtId="0" fontId="0" fillId="9" borderId="2" xfId="0" applyFill="1" applyBorder="1"/>
    <xf numFmtId="0" fontId="6" fillId="10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2" borderId="2" xfId="0" applyFill="1" applyBorder="1"/>
    <xf numFmtId="0" fontId="10" fillId="12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 wrapText="1"/>
    </xf>
    <xf numFmtId="0" fontId="0" fillId="13" borderId="2" xfId="0" applyFill="1" applyBorder="1"/>
    <xf numFmtId="0" fontId="11" fillId="13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/>
    </xf>
    <xf numFmtId="0" fontId="5" fillId="11" borderId="2" xfId="0" applyFont="1" applyFill="1" applyBorder="1" applyAlignment="1">
      <alignment horizontal="left" vertical="top" wrapText="1"/>
    </xf>
    <xf numFmtId="0" fontId="0" fillId="10" borderId="2" xfId="0" applyFill="1" applyBorder="1" applyAlignment="1">
      <alignment horizontal="center" vertical="top"/>
    </xf>
    <xf numFmtId="0" fontId="23" fillId="17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left" vertical="top" wrapText="1"/>
    </xf>
    <xf numFmtId="0" fontId="23" fillId="18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left" vertical="top" wrapText="1"/>
    </xf>
    <xf numFmtId="0" fontId="27" fillId="11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center" vertical="top"/>
    </xf>
    <xf numFmtId="0" fontId="5" fillId="12" borderId="2" xfId="0" applyFont="1" applyFill="1" applyBorder="1" applyAlignment="1">
      <alignment horizontal="left" vertical="top" wrapText="1"/>
    </xf>
    <xf numFmtId="0" fontId="23" fillId="21" borderId="2" xfId="0" applyFont="1" applyFill="1" applyBorder="1" applyAlignment="1">
      <alignment horizontal="left" vertical="top" wrapText="1"/>
    </xf>
    <xf numFmtId="0" fontId="27" fillId="12" borderId="2" xfId="0" applyFont="1" applyFill="1" applyBorder="1" applyAlignment="1">
      <alignment horizontal="left" vertical="top" wrapText="1"/>
    </xf>
    <xf numFmtId="0" fontId="0" fillId="23" borderId="2" xfId="0" applyFill="1" applyBorder="1"/>
    <xf numFmtId="0" fontId="5" fillId="23" borderId="2" xfId="0" applyFont="1" applyFill="1" applyBorder="1" applyAlignment="1">
      <alignment horizontal="center" vertical="top"/>
    </xf>
    <xf numFmtId="0" fontId="5" fillId="23" borderId="2" xfId="0" applyFont="1" applyFill="1" applyBorder="1" applyAlignment="1">
      <alignment horizontal="left" vertical="top" wrapText="1"/>
    </xf>
    <xf numFmtId="0" fontId="23" fillId="24" borderId="2" xfId="0" applyFont="1" applyFill="1" applyBorder="1" applyAlignment="1">
      <alignment horizontal="left" vertical="top" wrapText="1"/>
    </xf>
    <xf numFmtId="0" fontId="27" fillId="23" borderId="2" xfId="0" applyFont="1" applyFill="1" applyBorder="1" applyAlignment="1">
      <alignment horizontal="left" vertical="top" wrapText="1"/>
    </xf>
    <xf numFmtId="0" fontId="1" fillId="25" borderId="1" xfId="0" applyFont="1" applyFill="1" applyBorder="1" applyAlignment="1">
      <alignment horizontal="center" vertical="center"/>
    </xf>
    <xf numFmtId="0" fontId="0" fillId="26" borderId="2" xfId="0" applyFill="1" applyBorder="1"/>
    <xf numFmtId="0" fontId="28" fillId="26" borderId="2" xfId="0" applyFont="1" applyFill="1" applyBorder="1" applyAlignment="1">
      <alignment horizontal="center" vertical="top"/>
    </xf>
    <xf numFmtId="0" fontId="28" fillId="26" borderId="2" xfId="0" applyFont="1" applyFill="1" applyBorder="1" applyAlignment="1">
      <alignment horizontal="left" vertical="top" wrapText="1"/>
    </xf>
    <xf numFmtId="0" fontId="23" fillId="9" borderId="2" xfId="0" applyFont="1" applyFill="1" applyBorder="1" applyAlignment="1">
      <alignment horizontal="left" vertical="top" wrapText="1"/>
    </xf>
    <xf numFmtId="0" fontId="29" fillId="26" borderId="2" xfId="0" applyFont="1" applyFill="1" applyBorder="1" applyAlignment="1">
      <alignment horizontal="center" vertical="top" wrapText="1"/>
    </xf>
    <xf numFmtId="0" fontId="0" fillId="27" borderId="2" xfId="0" applyFill="1" applyBorder="1"/>
    <xf numFmtId="0" fontId="28" fillId="27" borderId="2" xfId="0" applyFont="1" applyFill="1" applyBorder="1" applyAlignment="1">
      <alignment horizontal="center" vertical="top"/>
    </xf>
    <xf numFmtId="0" fontId="28" fillId="27" borderId="2" xfId="0" applyFont="1" applyFill="1" applyBorder="1" applyAlignment="1">
      <alignment horizontal="left" vertical="top" wrapText="1"/>
    </xf>
    <xf numFmtId="0" fontId="23" fillId="28" borderId="2" xfId="0" applyFont="1" applyFill="1" applyBorder="1" applyAlignment="1">
      <alignment horizontal="left" vertical="top" wrapText="1"/>
    </xf>
    <xf numFmtId="0" fontId="29" fillId="27" borderId="2" xfId="0" applyFont="1" applyFill="1" applyBorder="1" applyAlignment="1">
      <alignment horizontal="center" vertical="top" wrapText="1"/>
    </xf>
    <xf numFmtId="0" fontId="9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14" fillId="1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10" borderId="2" xfId="0" applyFill="1" applyBorder="1"/>
    <xf numFmtId="0" fontId="5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7" fillId="11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12" fillId="9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8" fillId="5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7" fillId="9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3" fillId="5" borderId="2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23" fillId="17" borderId="2" xfId="0" applyFont="1" applyFill="1" applyBorder="1" applyAlignment="1">
      <alignment horizontal="left" vertical="top" wrapText="1"/>
    </xf>
    <xf numFmtId="0" fontId="0" fillId="17" borderId="2" xfId="0" applyFill="1" applyBorder="1"/>
    <xf numFmtId="0" fontId="23" fillId="12" borderId="2" xfId="0" applyFont="1" applyFill="1" applyBorder="1" applyAlignment="1">
      <alignment horizontal="left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14" fillId="12" borderId="2" xfId="0" applyFont="1" applyFill="1" applyBorder="1" applyAlignment="1">
      <alignment horizontal="left" vertical="center"/>
    </xf>
    <xf numFmtId="0" fontId="23" fillId="18" borderId="2" xfId="0" applyFont="1" applyFill="1" applyBorder="1" applyAlignment="1">
      <alignment horizontal="left" vertical="top" wrapText="1"/>
    </xf>
    <xf numFmtId="0" fontId="0" fillId="18" borderId="2" xfId="0" applyFill="1" applyBorder="1"/>
    <xf numFmtId="0" fontId="5" fillId="9" borderId="2" xfId="0" applyFont="1" applyFill="1" applyBorder="1" applyAlignment="1">
      <alignment horizontal="left" vertical="top" wrapText="1"/>
    </xf>
    <xf numFmtId="0" fontId="21" fillId="9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0" fillId="15" borderId="2" xfId="0" applyFill="1" applyBorder="1"/>
    <xf numFmtId="0" fontId="23" fillId="11" borderId="2" xfId="0" applyFont="1" applyFill="1" applyBorder="1" applyAlignment="1">
      <alignment horizontal="left" vertical="center" wrapText="1"/>
    </xf>
    <xf numFmtId="0" fontId="25" fillId="9" borderId="2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/>
    </xf>
    <xf numFmtId="0" fontId="23" fillId="11" borderId="2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7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25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21" fillId="9" borderId="2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24" fillId="16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4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4" fillId="22" borderId="1" xfId="0" applyFont="1" applyFill="1" applyBorder="1" applyAlignment="1">
      <alignment horizontal="left" vertical="center"/>
    </xf>
    <xf numFmtId="0" fontId="0" fillId="22" borderId="1" xfId="0" applyFill="1" applyBorder="1"/>
    <xf numFmtId="0" fontId="4" fillId="2" borderId="4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0" fillId="25" borderId="1" xfId="0" applyFill="1" applyBorder="1"/>
    <xf numFmtId="0" fontId="12" fillId="20" borderId="2" xfId="0" applyFont="1" applyFill="1" applyBorder="1" applyAlignment="1">
      <alignment horizontal="left" vertical="center" wrapText="1"/>
    </xf>
    <xf numFmtId="0" fontId="0" fillId="20" borderId="2" xfId="0" applyFill="1" applyBorder="1"/>
  </cellXfs>
  <cellStyles count="1">
    <cellStyle name="Normal" xfId="0" builtinId="0"/>
  </cellStyles>
  <dxfs count="8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DA9D3A-2D44-422E-90B9-4D499263CA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40a29c9-99ce-42a6-a4a1-30c4c705308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2" customWidth="1"/>
    <col min="3" max="3" width="18" customWidth="1"/>
    <col min="4" max="4" width="20" customWidth="1"/>
    <col min="5" max="5" width="16" customWidth="1"/>
    <col min="6" max="6" width="12" customWidth="1"/>
    <col min="7" max="7" width="24" customWidth="1"/>
  </cols>
  <sheetData>
    <row r="1" spans="1:7" ht="44.05" customHeight="1" x14ac:dyDescent="0.55000000000000004">
      <c r="A1" s="80" t="s">
        <v>0</v>
      </c>
      <c r="B1" s="62"/>
      <c r="C1" s="62"/>
      <c r="D1" s="62"/>
      <c r="E1" s="62"/>
      <c r="F1" s="62"/>
      <c r="G1" s="62"/>
    </row>
    <row r="2" spans="1:7" ht="20.05" customHeight="1" x14ac:dyDescent="0.55000000000000004">
      <c r="A2" s="90" t="s">
        <v>1</v>
      </c>
      <c r="B2" s="91"/>
      <c r="C2" s="91"/>
      <c r="D2" s="91"/>
      <c r="E2" s="91"/>
      <c r="F2" s="91"/>
      <c r="G2" s="91"/>
    </row>
    <row r="3" spans="1:7" ht="36" customHeight="1" x14ac:dyDescent="0.55000000000000004">
      <c r="A3" s="84" t="s">
        <v>2</v>
      </c>
      <c r="B3" s="85"/>
      <c r="C3" s="85"/>
      <c r="D3" s="85"/>
      <c r="E3" s="85"/>
      <c r="F3" s="85"/>
      <c r="G3" s="85"/>
    </row>
    <row r="4" spans="1:7" ht="40" customHeight="1" x14ac:dyDescent="0.55000000000000004">
      <c r="A4" s="88" t="s">
        <v>3</v>
      </c>
      <c r="B4" s="77"/>
      <c r="C4" s="77"/>
      <c r="D4" s="77"/>
      <c r="E4" s="77"/>
      <c r="F4" s="77"/>
      <c r="G4" s="77"/>
    </row>
    <row r="5" spans="1:7" ht="5.05" customHeight="1" x14ac:dyDescent="0.55000000000000004">
      <c r="A5" s="2"/>
      <c r="B5" s="2"/>
      <c r="C5" s="2"/>
      <c r="D5" s="2"/>
      <c r="E5" s="2"/>
      <c r="F5" s="2"/>
      <c r="G5" s="2"/>
    </row>
    <row r="6" spans="1:7" ht="24" customHeight="1" x14ac:dyDescent="0.55000000000000004">
      <c r="A6" s="86" t="s">
        <v>4</v>
      </c>
      <c r="B6" s="87"/>
      <c r="C6" s="87"/>
      <c r="D6" s="87"/>
      <c r="E6" s="87"/>
      <c r="F6" s="87"/>
      <c r="G6" s="87"/>
    </row>
    <row r="7" spans="1:7" ht="18" customHeight="1" x14ac:dyDescent="0.55000000000000004">
      <c r="A7" s="3"/>
      <c r="B7" s="3" t="s">
        <v>5</v>
      </c>
      <c r="C7" s="3"/>
      <c r="D7" s="3"/>
      <c r="E7" s="3" t="s">
        <v>6</v>
      </c>
      <c r="F7" s="3"/>
      <c r="G7" s="3" t="s">
        <v>7</v>
      </c>
    </row>
    <row r="8" spans="1:7" ht="30" customHeight="1" x14ac:dyDescent="0.55000000000000004">
      <c r="A8" s="75" t="s">
        <v>8</v>
      </c>
      <c r="B8" s="68"/>
      <c r="C8" s="68"/>
      <c r="D8" s="68"/>
      <c r="E8" s="5" t="s">
        <v>9</v>
      </c>
      <c r="F8" s="83" t="s">
        <v>10</v>
      </c>
      <c r="G8" s="68"/>
    </row>
    <row r="9" spans="1:7" ht="30" customHeight="1" x14ac:dyDescent="0.55000000000000004">
      <c r="A9" s="78" t="s">
        <v>11</v>
      </c>
      <c r="B9" s="77"/>
      <c r="C9" s="77"/>
      <c r="D9" s="77"/>
      <c r="E9" s="5" t="s">
        <v>9</v>
      </c>
      <c r="F9" s="76" t="s">
        <v>12</v>
      </c>
      <c r="G9" s="77"/>
    </row>
    <row r="10" spans="1:7" ht="30" customHeight="1" x14ac:dyDescent="0.55000000000000004">
      <c r="A10" s="78" t="s">
        <v>13</v>
      </c>
      <c r="B10" s="77"/>
      <c r="C10" s="77"/>
      <c r="D10" s="77"/>
      <c r="E10" s="5" t="s">
        <v>9</v>
      </c>
      <c r="F10" s="76" t="s">
        <v>14</v>
      </c>
      <c r="G10" s="77"/>
    </row>
    <row r="11" spans="1:7" ht="30" customHeight="1" x14ac:dyDescent="0.55000000000000004">
      <c r="A11" s="64" t="s">
        <v>15</v>
      </c>
      <c r="B11" s="65"/>
      <c r="C11" s="65"/>
      <c r="D11" s="65"/>
      <c r="E11" s="5" t="s">
        <v>9</v>
      </c>
      <c r="F11" s="66" t="s">
        <v>16</v>
      </c>
      <c r="G11" s="65"/>
    </row>
    <row r="12" spans="1:7" ht="30" customHeight="1" x14ac:dyDescent="0.55000000000000004">
      <c r="A12" s="75" t="s">
        <v>17</v>
      </c>
      <c r="B12" s="68"/>
      <c r="C12" s="68"/>
      <c r="D12" s="68"/>
      <c r="E12" s="5" t="s">
        <v>9</v>
      </c>
      <c r="F12" s="83" t="s">
        <v>18</v>
      </c>
      <c r="G12" s="68"/>
    </row>
    <row r="13" spans="1:7" ht="30" customHeight="1" x14ac:dyDescent="0.55000000000000004">
      <c r="A13" s="64" t="s">
        <v>19</v>
      </c>
      <c r="B13" s="65"/>
      <c r="C13" s="65"/>
      <c r="D13" s="65"/>
      <c r="E13" s="5" t="s">
        <v>9</v>
      </c>
      <c r="F13" s="66" t="s">
        <v>20</v>
      </c>
      <c r="G13" s="65"/>
    </row>
    <row r="14" spans="1:7" ht="30" customHeight="1" x14ac:dyDescent="0.55000000000000004">
      <c r="A14" s="75" t="s">
        <v>21</v>
      </c>
      <c r="B14" s="68"/>
      <c r="C14" s="68"/>
      <c r="D14" s="68"/>
      <c r="E14" s="5" t="s">
        <v>9</v>
      </c>
      <c r="F14" s="83" t="s">
        <v>22</v>
      </c>
      <c r="G14" s="68"/>
    </row>
    <row r="15" spans="1:7" ht="30" customHeight="1" x14ac:dyDescent="0.55000000000000004">
      <c r="A15" s="64" t="s">
        <v>23</v>
      </c>
      <c r="B15" s="65"/>
      <c r="C15" s="65"/>
      <c r="D15" s="65"/>
      <c r="E15" s="5" t="s">
        <v>9</v>
      </c>
      <c r="F15" s="66" t="s">
        <v>24</v>
      </c>
      <c r="G15" s="65"/>
    </row>
    <row r="16" spans="1:7" ht="22" customHeight="1" x14ac:dyDescent="0.55000000000000004">
      <c r="A16" s="71" t="s">
        <v>25</v>
      </c>
      <c r="B16" s="59"/>
      <c r="C16" s="59"/>
      <c r="D16" s="59"/>
      <c r="E16" s="8" t="str">
        <f>IF(AND(E8="EVET",E9="EVET",E10="EVET",E11="EVET",E15="EVET"),"OK - Hesaplanabilir","HATA - Ön koşul eksik")</f>
        <v>OK - Hesaplanabilir</v>
      </c>
      <c r="F16" s="58" t="s">
        <v>26</v>
      </c>
      <c r="G16" s="59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2" customHeight="1" x14ac:dyDescent="0.55000000000000004">
      <c r="A18" s="61" t="s">
        <v>27</v>
      </c>
      <c r="B18" s="62"/>
      <c r="C18" s="62"/>
      <c r="D18" s="62"/>
      <c r="E18" s="62"/>
      <c r="F18" s="62"/>
      <c r="G18" s="62"/>
    </row>
    <row r="19" spans="1:7" ht="20.05" customHeight="1" x14ac:dyDescent="0.55000000000000004">
      <c r="A19" s="73" t="s">
        <v>28</v>
      </c>
      <c r="B19" s="65"/>
      <c r="C19" s="63"/>
      <c r="D19" s="63"/>
      <c r="E19" s="63"/>
      <c r="F19" s="70" t="s">
        <v>29</v>
      </c>
      <c r="G19" s="65"/>
    </row>
    <row r="20" spans="1:7" ht="20.05" customHeight="1" x14ac:dyDescent="0.55000000000000004">
      <c r="A20" s="72" t="s">
        <v>30</v>
      </c>
      <c r="B20" s="68"/>
      <c r="C20" s="63"/>
      <c r="D20" s="63"/>
      <c r="E20" s="63"/>
      <c r="F20" s="67" t="s">
        <v>31</v>
      </c>
      <c r="G20" s="68"/>
    </row>
    <row r="21" spans="1:7" ht="20.05" customHeight="1" x14ac:dyDescent="0.55000000000000004">
      <c r="A21" s="73" t="s">
        <v>32</v>
      </c>
      <c r="B21" s="65"/>
      <c r="C21" s="63"/>
      <c r="D21" s="63"/>
      <c r="E21" s="63"/>
      <c r="F21" s="70" t="s">
        <v>33</v>
      </c>
      <c r="G21" s="65"/>
    </row>
    <row r="22" spans="1:7" ht="20.05" customHeight="1" x14ac:dyDescent="0.55000000000000004">
      <c r="A22" s="72" t="s">
        <v>34</v>
      </c>
      <c r="B22" s="68"/>
      <c r="C22" s="63"/>
      <c r="D22" s="63"/>
      <c r="E22" s="63"/>
      <c r="F22" s="67" t="s">
        <v>35</v>
      </c>
      <c r="G22" s="68"/>
    </row>
    <row r="23" spans="1:7" ht="20.05" customHeight="1" x14ac:dyDescent="0.55000000000000004">
      <c r="A23" s="73" t="s">
        <v>36</v>
      </c>
      <c r="B23" s="65"/>
      <c r="C23" s="63"/>
      <c r="D23" s="63"/>
      <c r="E23" s="63"/>
      <c r="F23" s="70" t="s">
        <v>37</v>
      </c>
      <c r="G23" s="65"/>
    </row>
    <row r="24" spans="1:7" ht="20.05" customHeight="1" x14ac:dyDescent="0.55000000000000004">
      <c r="A24" s="72" t="s">
        <v>38</v>
      </c>
      <c r="B24" s="68"/>
      <c r="C24" s="63"/>
      <c r="D24" s="63"/>
      <c r="E24" s="63"/>
      <c r="F24" s="67" t="s">
        <v>39</v>
      </c>
      <c r="G24" s="68"/>
    </row>
    <row r="25" spans="1:7" ht="5.05" customHeight="1" x14ac:dyDescent="0.55000000000000004">
      <c r="A25" s="2"/>
      <c r="B25" s="2"/>
      <c r="C25" s="2"/>
      <c r="D25" s="2"/>
      <c r="E25" s="2"/>
      <c r="F25" s="2"/>
      <c r="G25" s="2"/>
    </row>
    <row r="26" spans="1:7" ht="24" customHeight="1" x14ac:dyDescent="0.55000000000000004">
      <c r="A26" s="61" t="s">
        <v>40</v>
      </c>
      <c r="B26" s="62"/>
      <c r="C26" s="62"/>
      <c r="D26" s="62"/>
      <c r="E26" s="62"/>
      <c r="F26" s="62"/>
      <c r="G26" s="62"/>
    </row>
    <row r="27" spans="1:7" ht="32.049999999999997" customHeight="1" x14ac:dyDescent="0.55000000000000004">
      <c r="A27" s="69" t="s">
        <v>41</v>
      </c>
      <c r="B27" s="68"/>
      <c r="C27" s="68"/>
      <c r="D27" s="68"/>
      <c r="E27" s="68"/>
      <c r="F27" s="68"/>
      <c r="G27" s="68"/>
    </row>
    <row r="28" spans="1:7" ht="18" customHeight="1" x14ac:dyDescent="0.55000000000000004">
      <c r="A28" s="3"/>
      <c r="B28" s="3" t="s">
        <v>42</v>
      </c>
      <c r="C28" s="3" t="s">
        <v>43</v>
      </c>
      <c r="D28" s="3" t="s">
        <v>44</v>
      </c>
      <c r="E28" s="3" t="s">
        <v>45</v>
      </c>
      <c r="F28" s="3" t="s">
        <v>46</v>
      </c>
      <c r="G28" s="3" t="s">
        <v>47</v>
      </c>
    </row>
    <row r="29" spans="1:7" ht="26.05" customHeight="1" x14ac:dyDescent="0.55000000000000004">
      <c r="A29" s="1"/>
      <c r="B29" s="9" t="s">
        <v>48</v>
      </c>
      <c r="C29" s="10"/>
      <c r="D29" s="10"/>
      <c r="E29" s="10"/>
      <c r="F29" s="10"/>
      <c r="G29" s="11" t="s">
        <v>49</v>
      </c>
    </row>
    <row r="30" spans="1:7" ht="26.05" customHeight="1" x14ac:dyDescent="0.55000000000000004">
      <c r="A30" s="12"/>
      <c r="B30" s="9" t="s">
        <v>50</v>
      </c>
      <c r="C30" s="10"/>
      <c r="D30" s="10"/>
      <c r="E30" s="10"/>
      <c r="F30" s="10"/>
      <c r="G30" s="13" t="s">
        <v>49</v>
      </c>
    </row>
    <row r="31" spans="1:7" ht="26.05" customHeight="1" x14ac:dyDescent="0.55000000000000004">
      <c r="A31" s="1"/>
      <c r="B31" s="9" t="s">
        <v>51</v>
      </c>
      <c r="C31" s="10"/>
      <c r="D31" s="10"/>
      <c r="E31" s="10"/>
      <c r="F31" s="10"/>
      <c r="G31" s="11" t="s">
        <v>49</v>
      </c>
    </row>
    <row r="32" spans="1:7" ht="26.05" customHeight="1" x14ac:dyDescent="0.55000000000000004">
      <c r="A32" s="12"/>
      <c r="B32" s="9" t="s">
        <v>52</v>
      </c>
      <c r="C32" s="10"/>
      <c r="D32" s="10"/>
      <c r="E32" s="10"/>
      <c r="F32" s="10"/>
      <c r="G32" s="13" t="s">
        <v>49</v>
      </c>
    </row>
    <row r="33" spans="1:7" ht="26.05" customHeight="1" x14ac:dyDescent="0.55000000000000004">
      <c r="A33" s="1"/>
      <c r="B33" s="9" t="s">
        <v>53</v>
      </c>
      <c r="C33" s="10"/>
      <c r="D33" s="10"/>
      <c r="E33" s="10"/>
      <c r="F33" s="10"/>
      <c r="G33" s="11" t="s">
        <v>49</v>
      </c>
    </row>
    <row r="34" spans="1:7" ht="5.05" customHeight="1" x14ac:dyDescent="0.55000000000000004">
      <c r="A34" s="2"/>
      <c r="B34" s="2"/>
      <c r="C34" s="2"/>
      <c r="D34" s="2"/>
      <c r="E34" s="2"/>
      <c r="F34" s="2"/>
      <c r="G34" s="2"/>
    </row>
    <row r="35" spans="1:7" ht="24" customHeight="1" x14ac:dyDescent="0.55000000000000004">
      <c r="A35" s="61" t="s">
        <v>54</v>
      </c>
      <c r="B35" s="62"/>
      <c r="C35" s="62"/>
      <c r="D35" s="62"/>
      <c r="E35" s="62"/>
      <c r="F35" s="62"/>
      <c r="G35" s="62"/>
    </row>
    <row r="36" spans="1:7" ht="32.049999999999997" customHeight="1" x14ac:dyDescent="0.55000000000000004">
      <c r="A36" s="69" t="s">
        <v>55</v>
      </c>
      <c r="B36" s="68"/>
      <c r="C36" s="68"/>
      <c r="D36" s="68"/>
      <c r="E36" s="68"/>
      <c r="F36" s="68"/>
      <c r="G36" s="68"/>
    </row>
    <row r="37" spans="1:7" ht="18" customHeight="1" x14ac:dyDescent="0.55000000000000004">
      <c r="A37" s="3"/>
      <c r="B37" s="3" t="s">
        <v>56</v>
      </c>
      <c r="C37" s="3"/>
      <c r="D37" s="3" t="s">
        <v>57</v>
      </c>
      <c r="E37" s="3"/>
      <c r="F37" s="3" t="s">
        <v>58</v>
      </c>
      <c r="G37" s="3"/>
    </row>
    <row r="38" spans="1:7" ht="26.05" customHeight="1" x14ac:dyDescent="0.55000000000000004">
      <c r="A38" s="75" t="s">
        <v>59</v>
      </c>
      <c r="B38" s="68"/>
      <c r="C38" s="68"/>
      <c r="D38" s="5" t="s">
        <v>9</v>
      </c>
      <c r="E38" s="4"/>
      <c r="F38" s="67" t="s">
        <v>60</v>
      </c>
      <c r="G38" s="68"/>
    </row>
    <row r="39" spans="1:7" ht="26.05" customHeight="1" x14ac:dyDescent="0.55000000000000004">
      <c r="A39" s="64" t="s">
        <v>61</v>
      </c>
      <c r="B39" s="65"/>
      <c r="C39" s="65"/>
      <c r="D39" s="5" t="s">
        <v>9</v>
      </c>
      <c r="E39" s="6"/>
      <c r="F39" s="70" t="s">
        <v>62</v>
      </c>
      <c r="G39" s="65"/>
    </row>
    <row r="40" spans="1:7" ht="26.05" customHeight="1" x14ac:dyDescent="0.55000000000000004">
      <c r="A40" s="75" t="s">
        <v>63</v>
      </c>
      <c r="B40" s="68"/>
      <c r="C40" s="68"/>
      <c r="D40" s="5" t="s">
        <v>64</v>
      </c>
      <c r="E40" s="4"/>
      <c r="F40" s="67" t="s">
        <v>65</v>
      </c>
      <c r="G40" s="68"/>
    </row>
    <row r="41" spans="1:7" ht="26.05" customHeight="1" x14ac:dyDescent="0.55000000000000004">
      <c r="A41" s="64" t="s">
        <v>66</v>
      </c>
      <c r="B41" s="65"/>
      <c r="C41" s="65"/>
      <c r="D41" s="5" t="s">
        <v>64</v>
      </c>
      <c r="E41" s="6"/>
      <c r="F41" s="70" t="s">
        <v>67</v>
      </c>
      <c r="G41" s="65"/>
    </row>
    <row r="42" spans="1:7" ht="26.05" customHeight="1" x14ac:dyDescent="0.55000000000000004">
      <c r="A42" s="60" t="s">
        <v>68</v>
      </c>
      <c r="B42" s="59"/>
      <c r="C42" s="59"/>
      <c r="D42" s="8" t="str">
        <f>IF(AND(C38="EVET",C39="EVET"),"EVET — Kapsam İçi","HAYIR — Kapsam Analizi Gerekli")</f>
        <v>HAYIR — Kapsam Analizi Gerekli</v>
      </c>
      <c r="E42" s="7"/>
      <c r="F42" s="79" t="s">
        <v>69</v>
      </c>
      <c r="G42" s="59"/>
    </row>
    <row r="43" spans="1:7" ht="5.05" customHeight="1" x14ac:dyDescent="0.55000000000000004">
      <c r="A43" s="2"/>
      <c r="B43" s="2"/>
      <c r="C43" s="2"/>
      <c r="D43" s="2"/>
      <c r="E43" s="2"/>
      <c r="F43" s="2"/>
      <c r="G43" s="2"/>
    </row>
    <row r="44" spans="1:7" ht="24" customHeight="1" x14ac:dyDescent="0.55000000000000004">
      <c r="A44" s="61" t="s">
        <v>70</v>
      </c>
      <c r="B44" s="62"/>
      <c r="C44" s="62"/>
      <c r="D44" s="62"/>
      <c r="E44" s="62"/>
      <c r="F44" s="62"/>
      <c r="G44" s="62"/>
    </row>
    <row r="45" spans="1:7" ht="36" customHeight="1" x14ac:dyDescent="0.55000000000000004">
      <c r="A45" s="69" t="s">
        <v>71</v>
      </c>
      <c r="B45" s="68"/>
      <c r="C45" s="68"/>
      <c r="D45" s="68"/>
      <c r="E45" s="68"/>
      <c r="F45" s="68"/>
      <c r="G45" s="68"/>
    </row>
    <row r="46" spans="1:7" ht="18" customHeight="1" x14ac:dyDescent="0.55000000000000004">
      <c r="A46" s="3"/>
      <c r="B46" s="3" t="s">
        <v>72</v>
      </c>
      <c r="C46" s="3"/>
      <c r="D46" s="3" t="s">
        <v>73</v>
      </c>
      <c r="E46" s="3"/>
      <c r="F46" s="3" t="s">
        <v>58</v>
      </c>
      <c r="G46" s="3" t="s">
        <v>74</v>
      </c>
    </row>
    <row r="47" spans="1:7" ht="26.05" customHeight="1" x14ac:dyDescent="0.55000000000000004">
      <c r="A47" s="64" t="s">
        <v>75</v>
      </c>
      <c r="B47" s="65"/>
      <c r="C47" s="10"/>
      <c r="D47" s="70" t="s">
        <v>76</v>
      </c>
      <c r="E47" s="65"/>
      <c r="F47" s="66" t="s">
        <v>77</v>
      </c>
      <c r="G47" s="65"/>
    </row>
    <row r="48" spans="1:7" ht="26.05" customHeight="1" x14ac:dyDescent="0.55000000000000004">
      <c r="A48" s="75" t="s">
        <v>78</v>
      </c>
      <c r="B48" s="68"/>
      <c r="C48" s="10"/>
      <c r="D48" s="67" t="s">
        <v>79</v>
      </c>
      <c r="E48" s="68"/>
      <c r="F48" s="83" t="s">
        <v>80</v>
      </c>
      <c r="G48" s="68"/>
    </row>
    <row r="49" spans="1:7" ht="26.05" customHeight="1" x14ac:dyDescent="0.55000000000000004">
      <c r="A49" s="64" t="s">
        <v>81</v>
      </c>
      <c r="B49" s="65"/>
      <c r="C49" s="10"/>
      <c r="D49" s="70" t="s">
        <v>82</v>
      </c>
      <c r="E49" s="65"/>
      <c r="F49" s="66" t="s">
        <v>83</v>
      </c>
      <c r="G49" s="65"/>
    </row>
    <row r="50" spans="1:7" ht="26.05" customHeight="1" x14ac:dyDescent="0.55000000000000004">
      <c r="A50" s="75" t="s">
        <v>84</v>
      </c>
      <c r="B50" s="68"/>
      <c r="C50" s="10"/>
      <c r="D50" s="67" t="s">
        <v>85</v>
      </c>
      <c r="E50" s="68"/>
      <c r="F50" s="83" t="s">
        <v>86</v>
      </c>
      <c r="G50" s="68"/>
    </row>
    <row r="51" spans="1:7" ht="26.05" customHeight="1" x14ac:dyDescent="0.55000000000000004">
      <c r="A51" s="60" t="s">
        <v>87</v>
      </c>
      <c r="B51" s="59"/>
      <c r="C51" s="15">
        <f>IFERROR(D47-D48-D49,0)</f>
        <v>0</v>
      </c>
      <c r="D51" s="74" t="s">
        <v>88</v>
      </c>
      <c r="E51" s="59"/>
      <c r="F51" s="58" t="s">
        <v>89</v>
      </c>
      <c r="G51" s="59"/>
    </row>
    <row r="52" spans="1:7" ht="26.05" customHeight="1" x14ac:dyDescent="0.55000000000000004">
      <c r="A52" s="60" t="s">
        <v>90</v>
      </c>
      <c r="B52" s="59"/>
      <c r="C52" s="15" t="str">
        <f>IF(ISNUMBER(C51),IF(C51&gt;0,"KAZANÇ — %100 İstisna Uygulanabilir (Şartlar Sağlandıysa)",IF(C51&lt;0,"ZARAR — Zarar Olsa Dahi İndirilecek","SIFIR")),"VERİ GİRİŞİ BEKLENİYOR")</f>
        <v>SIFIR</v>
      </c>
      <c r="D52" s="74" t="s">
        <v>91</v>
      </c>
      <c r="E52" s="59"/>
      <c r="F52" s="58" t="s">
        <v>92</v>
      </c>
      <c r="G52" s="59"/>
    </row>
    <row r="53" spans="1:7" ht="26.05" customHeight="1" x14ac:dyDescent="0.55000000000000004">
      <c r="A53" s="60" t="s">
        <v>93</v>
      </c>
      <c r="B53" s="59"/>
      <c r="C53" s="15">
        <f>IF(C42="EVET — Kapsam İçi",IFERROR(C51,0),0)</f>
        <v>0</v>
      </c>
      <c r="D53" s="74" t="s">
        <v>94</v>
      </c>
      <c r="E53" s="59"/>
      <c r="F53" s="58" t="s">
        <v>95</v>
      </c>
      <c r="G53" s="59"/>
    </row>
    <row r="54" spans="1:7" ht="5.05" customHeight="1" x14ac:dyDescent="0.55000000000000004">
      <c r="A54" s="2"/>
      <c r="B54" s="2"/>
      <c r="C54" s="2"/>
      <c r="D54" s="2"/>
      <c r="E54" s="2"/>
      <c r="F54" s="2"/>
      <c r="G54" s="2"/>
    </row>
    <row r="55" spans="1:7" ht="24" customHeight="1" x14ac:dyDescent="0.55000000000000004">
      <c r="A55" s="86" t="s">
        <v>96</v>
      </c>
      <c r="B55" s="87"/>
      <c r="C55" s="87"/>
      <c r="D55" s="87"/>
      <c r="E55" s="87"/>
      <c r="F55" s="87"/>
      <c r="G55" s="87"/>
    </row>
    <row r="56" spans="1:7" ht="44.05" customHeight="1" x14ac:dyDescent="0.55000000000000004">
      <c r="A56" s="88" t="s">
        <v>97</v>
      </c>
      <c r="B56" s="77"/>
      <c r="C56" s="77"/>
      <c r="D56" s="77"/>
      <c r="E56" s="77"/>
      <c r="F56" s="77"/>
      <c r="G56" s="77"/>
    </row>
    <row r="57" spans="1:7" ht="24" customHeight="1" x14ac:dyDescent="0.55000000000000004">
      <c r="A57" s="64" t="s">
        <v>98</v>
      </c>
      <c r="B57" s="65"/>
      <c r="C57" s="65"/>
      <c r="D57" s="5" t="s">
        <v>9</v>
      </c>
      <c r="E57" s="6"/>
      <c r="F57" s="66" t="s">
        <v>99</v>
      </c>
      <c r="G57" s="65"/>
    </row>
    <row r="58" spans="1:7" ht="24" customHeight="1" x14ac:dyDescent="0.55000000000000004">
      <c r="A58" s="75" t="s">
        <v>100</v>
      </c>
      <c r="B58" s="68"/>
      <c r="C58" s="68"/>
      <c r="D58" s="5" t="s">
        <v>9</v>
      </c>
      <c r="E58" s="4"/>
      <c r="F58" s="83" t="s">
        <v>101</v>
      </c>
      <c r="G58" s="68"/>
    </row>
    <row r="59" spans="1:7" ht="24" customHeight="1" x14ac:dyDescent="0.55000000000000004">
      <c r="A59" s="64" t="s">
        <v>102</v>
      </c>
      <c r="B59" s="65"/>
      <c r="C59" s="65"/>
      <c r="D59" s="5" t="s">
        <v>9</v>
      </c>
      <c r="E59" s="6"/>
      <c r="F59" s="66" t="s">
        <v>103</v>
      </c>
      <c r="G59" s="65"/>
    </row>
    <row r="60" spans="1:7" ht="24" customHeight="1" x14ac:dyDescent="0.55000000000000004">
      <c r="A60" s="75" t="s">
        <v>104</v>
      </c>
      <c r="B60" s="68"/>
      <c r="C60" s="68"/>
      <c r="D60" s="5" t="s">
        <v>9</v>
      </c>
      <c r="E60" s="4"/>
      <c r="F60" s="83" t="s">
        <v>105</v>
      </c>
      <c r="G60" s="68"/>
    </row>
    <row r="61" spans="1:7" ht="5.05" customHeight="1" x14ac:dyDescent="0.55000000000000004">
      <c r="A61" s="2"/>
      <c r="B61" s="2"/>
      <c r="C61" s="2"/>
      <c r="D61" s="2"/>
      <c r="E61" s="2"/>
      <c r="F61" s="2"/>
      <c r="G61" s="2"/>
    </row>
    <row r="62" spans="1:7" ht="22" customHeight="1" x14ac:dyDescent="0.55000000000000004">
      <c r="A62" s="61" t="s">
        <v>106</v>
      </c>
      <c r="B62" s="62"/>
      <c r="C62" s="62"/>
      <c r="D62" s="62"/>
      <c r="E62" s="62"/>
      <c r="F62" s="62"/>
      <c r="G62" s="62"/>
    </row>
    <row r="63" spans="1:7" ht="36" customHeight="1" x14ac:dyDescent="0.55000000000000004">
      <c r="A63" s="69" t="s">
        <v>107</v>
      </c>
      <c r="B63" s="68"/>
      <c r="C63" s="68"/>
      <c r="D63" s="68"/>
      <c r="E63" s="68"/>
      <c r="F63" s="68"/>
      <c r="G63" s="68"/>
    </row>
    <row r="64" spans="1:7" ht="24" customHeight="1" x14ac:dyDescent="0.55000000000000004">
      <c r="A64" s="75" t="s">
        <v>108</v>
      </c>
      <c r="B64" s="68"/>
      <c r="C64" s="68"/>
      <c r="D64" s="5" t="s">
        <v>109</v>
      </c>
      <c r="E64" s="4"/>
      <c r="F64" s="83" t="s">
        <v>110</v>
      </c>
      <c r="G64" s="68"/>
    </row>
    <row r="65" spans="1:7" ht="24" customHeight="1" x14ac:dyDescent="0.55000000000000004">
      <c r="A65" s="64" t="s">
        <v>111</v>
      </c>
      <c r="B65" s="65"/>
      <c r="C65" s="65"/>
      <c r="D65" s="5" t="s">
        <v>9</v>
      </c>
      <c r="E65" s="6"/>
      <c r="F65" s="66" t="s">
        <v>112</v>
      </c>
      <c r="G65" s="65"/>
    </row>
    <row r="66" spans="1:7" ht="5.05" customHeight="1" x14ac:dyDescent="0.55000000000000004">
      <c r="A66" s="2"/>
      <c r="B66" s="2"/>
      <c r="C66" s="2"/>
      <c r="D66" s="2"/>
      <c r="E66" s="2"/>
      <c r="F66" s="2"/>
      <c r="G66" s="2"/>
    </row>
    <row r="67" spans="1:7" ht="26.05" customHeight="1" x14ac:dyDescent="0.55000000000000004">
      <c r="A67" s="89" t="s">
        <v>113</v>
      </c>
      <c r="B67" s="62"/>
      <c r="C67" s="62"/>
      <c r="D67" s="62"/>
      <c r="E67" s="62"/>
      <c r="F67" s="62"/>
      <c r="G67" s="62"/>
    </row>
    <row r="68" spans="1:7" ht="30" customHeight="1" x14ac:dyDescent="0.55000000000000004">
      <c r="A68" s="92" t="s">
        <v>114</v>
      </c>
      <c r="B68" s="93"/>
      <c r="C68" s="93"/>
      <c r="D68" s="93"/>
      <c r="E68" s="93"/>
      <c r="F68" s="16">
        <f>C53</f>
        <v>0</v>
      </c>
      <c r="G68" s="14" t="s">
        <v>115</v>
      </c>
    </row>
    <row r="69" spans="1:7" ht="40" customHeight="1" x14ac:dyDescent="0.55000000000000004">
      <c r="A69" s="81" t="s">
        <v>116</v>
      </c>
      <c r="B69" s="82"/>
      <c r="C69" s="82"/>
      <c r="D69" s="82"/>
      <c r="E69" s="82"/>
      <c r="F69" s="82"/>
      <c r="G69" s="82"/>
    </row>
  </sheetData>
  <mergeCells count="98">
    <mergeCell ref="A68:E68"/>
    <mergeCell ref="D50:E50"/>
    <mergeCell ref="A65:C65"/>
    <mergeCell ref="F53:G53"/>
    <mergeCell ref="A2:G2"/>
    <mergeCell ref="F14:G14"/>
    <mergeCell ref="A14:D14"/>
    <mergeCell ref="F11:G11"/>
    <mergeCell ref="A24:B24"/>
    <mergeCell ref="F12:G12"/>
    <mergeCell ref="F24:G24"/>
    <mergeCell ref="C19:E19"/>
    <mergeCell ref="A20:B20"/>
    <mergeCell ref="A67:G67"/>
    <mergeCell ref="D49:E49"/>
    <mergeCell ref="F50:G50"/>
    <mergeCell ref="F8:G8"/>
    <mergeCell ref="A21:B21"/>
    <mergeCell ref="F22:G22"/>
    <mergeCell ref="A23:B23"/>
    <mergeCell ref="A59:C59"/>
    <mergeCell ref="A64:C64"/>
    <mergeCell ref="A18:G18"/>
    <mergeCell ref="A12:D12"/>
    <mergeCell ref="F49:G49"/>
    <mergeCell ref="A41:C41"/>
    <mergeCell ref="F65:G65"/>
    <mergeCell ref="F40:G40"/>
    <mergeCell ref="F59:G59"/>
    <mergeCell ref="A4:G4"/>
    <mergeCell ref="A10:D10"/>
    <mergeCell ref="F21:G21"/>
    <mergeCell ref="A42:C42"/>
    <mergeCell ref="D52:E52"/>
    <mergeCell ref="A6:G6"/>
    <mergeCell ref="A44:G44"/>
    <mergeCell ref="F51:G51"/>
    <mergeCell ref="F41:G41"/>
    <mergeCell ref="A50:B50"/>
    <mergeCell ref="F38:G38"/>
    <mergeCell ref="A47:B47"/>
    <mergeCell ref="A39:C39"/>
    <mergeCell ref="F52:G52"/>
    <mergeCell ref="A27:G27"/>
    <mergeCell ref="A1:G1"/>
    <mergeCell ref="F47:G47"/>
    <mergeCell ref="A69:G69"/>
    <mergeCell ref="A58:C58"/>
    <mergeCell ref="A40:C40"/>
    <mergeCell ref="F9:G9"/>
    <mergeCell ref="C24:E24"/>
    <mergeCell ref="F39:G39"/>
    <mergeCell ref="A60:C60"/>
    <mergeCell ref="F48:G48"/>
    <mergeCell ref="A52:B52"/>
    <mergeCell ref="A3:G3"/>
    <mergeCell ref="A55:G55"/>
    <mergeCell ref="F64:G64"/>
    <mergeCell ref="A8:D8"/>
    <mergeCell ref="A49:B49"/>
    <mergeCell ref="F10:G10"/>
    <mergeCell ref="F19:G19"/>
    <mergeCell ref="C22:E22"/>
    <mergeCell ref="A63:G63"/>
    <mergeCell ref="A9:D9"/>
    <mergeCell ref="F20:G20"/>
    <mergeCell ref="F42:G42"/>
    <mergeCell ref="A11:D11"/>
    <mergeCell ref="A38:C38"/>
    <mergeCell ref="D53:E53"/>
    <mergeCell ref="A36:G36"/>
    <mergeCell ref="D47:E47"/>
    <mergeCell ref="F58:G58"/>
    <mergeCell ref="A56:G56"/>
    <mergeCell ref="F60:G60"/>
    <mergeCell ref="A13:D13"/>
    <mergeCell ref="F15:G15"/>
    <mergeCell ref="C23:E23"/>
    <mergeCell ref="A15:D15"/>
    <mergeCell ref="D48:E48"/>
    <mergeCell ref="A45:G45"/>
    <mergeCell ref="F23:G23"/>
    <mergeCell ref="A16:D16"/>
    <mergeCell ref="F13:G13"/>
    <mergeCell ref="A22:B22"/>
    <mergeCell ref="A19:B19"/>
    <mergeCell ref="A26:G26"/>
    <mergeCell ref="C20:E20"/>
    <mergeCell ref="A48:B48"/>
    <mergeCell ref="F16:G16"/>
    <mergeCell ref="A51:B51"/>
    <mergeCell ref="A35:G35"/>
    <mergeCell ref="A62:G62"/>
    <mergeCell ref="C21:E21"/>
    <mergeCell ref="A57:C57"/>
    <mergeCell ref="A53:B53"/>
    <mergeCell ref="D51:E51"/>
    <mergeCell ref="F57:G57"/>
  </mergeCells>
  <conditionalFormatting sqref="D42">
    <cfRule type="containsText" dxfId="7" priority="3" operator="containsText" text="EVET">
      <formula>NOT(ISERROR(SEARCH("EVET",D42)))</formula>
    </cfRule>
    <cfRule type="containsText" dxfId="6" priority="4" operator="containsText" text="HAYIR">
      <formula>NOT(ISERROR(SEARCH("HAYIR",D42)))</formula>
    </cfRule>
  </conditionalFormatting>
  <conditionalFormatting sqref="E16">
    <cfRule type="containsText" dxfId="5" priority="1" operator="containsText" text="OK">
      <formula>NOT(ISERROR(SEARCH("OK",E16)))</formula>
    </cfRule>
    <cfRule type="containsText" dxfId="4" priority="2" operator="containsText" text="HATA">
      <formula>NOT(ISERROR(SEARCH("HATA",E16)))</formula>
    </cfRule>
  </conditionalFormatting>
  <dataValidations count="12">
    <dataValidation type="list" sqref="D38 E8:E9" xr:uid="{00000000-0002-0000-0000-000000000000}">
      <formula1>"EVET,HAYIR-Kapsam Dışı"</formula1>
    </dataValidation>
    <dataValidation type="list" sqref="D59 D57 E10:E11" xr:uid="{00000000-0002-0000-0000-000002000000}">
      <formula1>"EVET,HAYIR-Risk"</formula1>
    </dataValidation>
    <dataValidation type="list" sqref="E12" xr:uid="{00000000-0002-0000-0000-000004000000}">
      <formula1>"EVET,HAYIR-ÇVÖA Yok"</formula1>
    </dataValidation>
    <dataValidation type="list" sqref="E13:E14" xr:uid="{00000000-0002-0000-0000-000005000000}">
      <formula1>"EVET,Analiz Gerekli"</formula1>
    </dataValidation>
    <dataValidation type="list" sqref="E15" xr:uid="{00000000-0002-0000-0000-000007000000}">
      <formula1>"EVET,Tam Tasdik"</formula1>
    </dataValidation>
    <dataValidation type="list" sqref="D29:D33" xr:uid="{00000000-0002-0000-0000-000008000000}">
      <formula1>"İnşaat,Onarma,Montaj,Teknik Hizmet,Karma (Açıklayın)"</formula1>
    </dataValidation>
    <dataValidation type="list" sqref="D39" xr:uid="{00000000-0002-0000-0000-00000E000000}">
      <formula1>"EVET,HAYIR-Risk,Kısmen"</formula1>
    </dataValidation>
    <dataValidation type="list" sqref="D40" xr:uid="{00000000-0002-0000-0000-00000F000000}">
      <formula1>"EVET,HAYIR-Risk,Uygulanmıyor"</formula1>
    </dataValidation>
    <dataValidation type="list" sqref="D41" xr:uid="{00000000-0002-0000-0000-000010000000}">
      <formula1>"EVET,HAYIR,Uygulanmıyor"</formula1>
    </dataValidation>
    <dataValidation type="list" sqref="D58 D60" xr:uid="{00000000-0002-0000-0000-000012000000}">
      <formula1>"EVET,HAYIR"</formula1>
    </dataValidation>
    <dataValidation type="list" sqref="D64" xr:uid="{00000000-0002-0000-0000-000015000000}">
      <formula1>"5/1-h İstisnası,KVK Md.33 Mahsup,Analiz Gerekli"</formula1>
    </dataValidation>
    <dataValidation type="list" sqref="D65" xr:uid="{00000000-0002-0000-0000-000016000000}">
      <formula1>"EVET,HAYIR-Mahsup Tercih Edildi"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workbookViewId="0"/>
  </sheetViews>
  <sheetFormatPr defaultRowHeight="14.4" x14ac:dyDescent="0.55000000000000004"/>
  <cols>
    <col min="1" max="1" width="4" customWidth="1"/>
    <col min="2" max="2" width="36" customWidth="1"/>
    <col min="3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10" t="s">
        <v>117</v>
      </c>
      <c r="B1" s="62"/>
      <c r="C1" s="62"/>
      <c r="D1" s="62"/>
      <c r="E1" s="62"/>
      <c r="F1" s="62"/>
      <c r="G1" s="62"/>
    </row>
    <row r="2" spans="1:7" ht="20.05" customHeight="1" x14ac:dyDescent="0.55000000000000004">
      <c r="A2" s="90" t="s">
        <v>118</v>
      </c>
      <c r="B2" s="91"/>
      <c r="C2" s="91"/>
      <c r="D2" s="91"/>
      <c r="E2" s="91"/>
      <c r="F2" s="91"/>
      <c r="G2" s="91"/>
    </row>
    <row r="3" spans="1:7" ht="5.05" customHeight="1" x14ac:dyDescent="0.55000000000000004">
      <c r="A3" s="2"/>
      <c r="B3" s="2"/>
      <c r="C3" s="2"/>
      <c r="D3" s="2"/>
      <c r="E3" s="2"/>
      <c r="F3" s="2"/>
      <c r="G3" s="2"/>
    </row>
    <row r="4" spans="1:7" ht="22" customHeight="1" x14ac:dyDescent="0.55000000000000004">
      <c r="A4" s="112" t="s">
        <v>119</v>
      </c>
      <c r="B4" s="113"/>
      <c r="C4" s="113"/>
      <c r="D4" s="113"/>
      <c r="E4" s="113"/>
      <c r="F4" s="113"/>
      <c r="G4" s="113"/>
    </row>
    <row r="5" spans="1:7" ht="22" customHeight="1" x14ac:dyDescent="0.55000000000000004">
      <c r="A5" s="73" t="s">
        <v>120</v>
      </c>
      <c r="B5" s="65"/>
      <c r="C5" s="65"/>
      <c r="D5" s="17" t="str">
        <f>'VERİ GİRİŞİ'!E16</f>
        <v>OK - Hesaplanabilir</v>
      </c>
      <c r="E5" s="66" t="s">
        <v>121</v>
      </c>
      <c r="F5" s="65"/>
      <c r="G5" s="65"/>
    </row>
    <row r="6" spans="1:7" ht="22" customHeight="1" x14ac:dyDescent="0.55000000000000004">
      <c r="A6" s="72" t="s">
        <v>122</v>
      </c>
      <c r="B6" s="68"/>
      <c r="C6" s="68"/>
      <c r="D6" s="17" t="str">
        <f>'VERİ GİRİŞİ'!D42</f>
        <v>HAYIR — Kapsam Analizi Gerekli</v>
      </c>
      <c r="E6" s="83" t="s">
        <v>123</v>
      </c>
      <c r="F6" s="68"/>
      <c r="G6" s="68"/>
    </row>
    <row r="7" spans="1:7" ht="22" customHeight="1" x14ac:dyDescent="0.55000000000000004">
      <c r="A7" s="73" t="s">
        <v>124</v>
      </c>
      <c r="B7" s="65"/>
      <c r="C7" s="65"/>
      <c r="D7" s="17" t="str">
        <f>'VERİ GİRİŞİ'!D47</f>
        <v>Tahakkuk eden veya tahsil edilen gelir — TCMB alış kuru ile TL</v>
      </c>
      <c r="E7" s="66" t="s">
        <v>125</v>
      </c>
      <c r="F7" s="65"/>
      <c r="G7" s="65"/>
    </row>
    <row r="8" spans="1:7" ht="22" customHeight="1" x14ac:dyDescent="0.55000000000000004">
      <c r="A8" s="72" t="s">
        <v>126</v>
      </c>
      <c r="B8" s="68"/>
      <c r="C8" s="68"/>
      <c r="D8" s="17" t="str">
        <f>'VERİ GİRİŞİ'!D48</f>
        <v>İşçilik (yurt dışı personel), malzeme, ekipman, alt yüklenici, ulaşım, konaklama</v>
      </c>
      <c r="E8" s="83" t="s">
        <v>127</v>
      </c>
      <c r="F8" s="68"/>
      <c r="G8" s="68"/>
    </row>
    <row r="9" spans="1:7" ht="22" customHeight="1" x14ac:dyDescent="0.55000000000000004">
      <c r="A9" s="73" t="s">
        <v>128</v>
      </c>
      <c r="B9" s="65"/>
      <c r="C9" s="65"/>
      <c r="D9" s="17" t="str">
        <f>'VERİ GİRİŞİ'!D49</f>
        <v>Dağıtım anahtarı: Proje cirosu / Toplam ciro vb. Yöntem yazılı belgelenmeli.</v>
      </c>
      <c r="E9" s="66" t="s">
        <v>129</v>
      </c>
      <c r="F9" s="65"/>
      <c r="G9" s="65"/>
    </row>
    <row r="10" spans="1:7" ht="22" customHeight="1" x14ac:dyDescent="0.55000000000000004">
      <c r="A10" s="72" t="s">
        <v>130</v>
      </c>
      <c r="B10" s="68"/>
      <c r="C10" s="68"/>
      <c r="D10" s="17">
        <f>'VERİ GİRİŞİ'!C51</f>
        <v>0</v>
      </c>
      <c r="E10" s="83"/>
      <c r="F10" s="68"/>
      <c r="G10" s="68"/>
    </row>
    <row r="11" spans="1:7" ht="22" customHeight="1" x14ac:dyDescent="0.55000000000000004">
      <c r="A11" s="73" t="s">
        <v>131</v>
      </c>
      <c r="B11" s="65"/>
      <c r="C11" s="65"/>
      <c r="D11" s="17" t="str">
        <f>'VERİ GİRİŞİ'!C52</f>
        <v>SIFIR</v>
      </c>
      <c r="E11" s="66" t="s">
        <v>132</v>
      </c>
      <c r="F11" s="65"/>
      <c r="G11" s="65"/>
    </row>
    <row r="12" spans="1:7" ht="22" customHeight="1" x14ac:dyDescent="0.55000000000000004">
      <c r="A12" s="71" t="s">
        <v>133</v>
      </c>
      <c r="B12" s="59"/>
      <c r="C12" s="59"/>
      <c r="D12" s="18">
        <f>'VERİ GİRİŞİ'!C53</f>
        <v>0</v>
      </c>
      <c r="E12" s="114"/>
      <c r="F12" s="59"/>
      <c r="G12" s="59"/>
    </row>
    <row r="13" spans="1:7" ht="22" customHeight="1" x14ac:dyDescent="0.55000000000000004">
      <c r="A13" s="73" t="s">
        <v>134</v>
      </c>
      <c r="B13" s="65"/>
      <c r="C13" s="65"/>
      <c r="D13" s="17" t="str">
        <f>'VERİ GİRİŞİ'!D64</f>
        <v>5/1-h İstisnası</v>
      </c>
      <c r="E13" s="66" t="s">
        <v>135</v>
      </c>
      <c r="F13" s="65"/>
      <c r="G13" s="65"/>
    </row>
    <row r="14" spans="1:7" ht="22" customHeight="1" x14ac:dyDescent="0.55000000000000004">
      <c r="A14" s="72" t="s">
        <v>136</v>
      </c>
      <c r="B14" s="68"/>
      <c r="C14" s="68"/>
      <c r="D14" s="17" t="str">
        <f>'VERİ GİRİŞİ'!D57</f>
        <v>EVET</v>
      </c>
      <c r="E14" s="83" t="s">
        <v>137</v>
      </c>
      <c r="F14" s="68"/>
      <c r="G14" s="68"/>
    </row>
    <row r="15" spans="1:7" ht="5.05" customHeight="1" x14ac:dyDescent="0.55000000000000004">
      <c r="A15" s="2"/>
      <c r="B15" s="2"/>
      <c r="C15" s="2"/>
      <c r="D15" s="2"/>
      <c r="E15" s="2"/>
      <c r="F15" s="2"/>
      <c r="G15" s="2"/>
    </row>
    <row r="16" spans="1:7" ht="22" customHeight="1" x14ac:dyDescent="0.55000000000000004">
      <c r="A16" s="61" t="s">
        <v>138</v>
      </c>
      <c r="B16" s="62"/>
      <c r="C16" s="62"/>
      <c r="D16" s="62"/>
      <c r="E16" s="62"/>
      <c r="F16" s="62"/>
      <c r="G16" s="62"/>
    </row>
    <row r="17" spans="1:7" ht="28" customHeight="1" x14ac:dyDescent="0.55000000000000004">
      <c r="A17" s="69" t="s">
        <v>139</v>
      </c>
      <c r="B17" s="68"/>
      <c r="C17" s="68"/>
      <c r="D17" s="68"/>
      <c r="E17" s="68"/>
      <c r="F17" s="68"/>
      <c r="G17" s="68"/>
    </row>
    <row r="18" spans="1:7" ht="18" customHeight="1" x14ac:dyDescent="0.55000000000000004">
      <c r="A18" s="3"/>
      <c r="B18" s="3" t="s">
        <v>140</v>
      </c>
      <c r="C18" s="3"/>
      <c r="D18" s="3" t="s">
        <v>141</v>
      </c>
      <c r="E18" s="3"/>
      <c r="F18" s="3" t="s">
        <v>142</v>
      </c>
      <c r="G18" s="3"/>
    </row>
    <row r="19" spans="1:7" ht="22" customHeight="1" x14ac:dyDescent="0.55000000000000004">
      <c r="A19" s="73" t="s">
        <v>143</v>
      </c>
      <c r="B19" s="65"/>
      <c r="C19" s="97" t="s">
        <v>144</v>
      </c>
      <c r="D19" s="65"/>
      <c r="E19" s="97" t="s">
        <v>144</v>
      </c>
      <c r="F19" s="65"/>
      <c r="G19" s="6"/>
    </row>
    <row r="20" spans="1:7" ht="22" customHeight="1" x14ac:dyDescent="0.55000000000000004">
      <c r="A20" s="72" t="s">
        <v>145</v>
      </c>
      <c r="B20" s="68"/>
      <c r="C20" s="105" t="s">
        <v>146</v>
      </c>
      <c r="D20" s="68"/>
      <c r="E20" s="105" t="s">
        <v>147</v>
      </c>
      <c r="F20" s="68"/>
      <c r="G20" s="4"/>
    </row>
    <row r="21" spans="1:7" ht="22" customHeight="1" x14ac:dyDescent="0.55000000000000004">
      <c r="A21" s="73" t="s">
        <v>148</v>
      </c>
      <c r="B21" s="65"/>
      <c r="C21" s="97" t="s">
        <v>149</v>
      </c>
      <c r="D21" s="65"/>
      <c r="E21" s="97" t="s">
        <v>149</v>
      </c>
      <c r="F21" s="65"/>
      <c r="G21" s="6"/>
    </row>
    <row r="22" spans="1:7" ht="22" customHeight="1" x14ac:dyDescent="0.55000000000000004">
      <c r="A22" s="72" t="s">
        <v>150</v>
      </c>
      <c r="B22" s="68"/>
      <c r="C22" s="105" t="s">
        <v>151</v>
      </c>
      <c r="D22" s="68"/>
      <c r="E22" s="106" t="s">
        <v>152</v>
      </c>
      <c r="F22" s="107"/>
      <c r="G22" s="4"/>
    </row>
    <row r="23" spans="1:7" ht="22" customHeight="1" x14ac:dyDescent="0.55000000000000004">
      <c r="A23" s="73" t="s">
        <v>153</v>
      </c>
      <c r="B23" s="65"/>
      <c r="C23" s="115" t="s">
        <v>154</v>
      </c>
      <c r="D23" s="59"/>
      <c r="E23" s="97" t="s">
        <v>155</v>
      </c>
      <c r="F23" s="65"/>
      <c r="G23" s="6"/>
    </row>
    <row r="24" spans="1:7" ht="22" customHeight="1" x14ac:dyDescent="0.55000000000000004">
      <c r="A24" s="72" t="s">
        <v>156</v>
      </c>
      <c r="B24" s="68"/>
      <c r="C24" s="115" t="s">
        <v>157</v>
      </c>
      <c r="D24" s="59"/>
      <c r="E24" s="105" t="s">
        <v>158</v>
      </c>
      <c r="F24" s="68"/>
      <c r="G24" s="4"/>
    </row>
    <row r="25" spans="1:7" ht="22" customHeight="1" x14ac:dyDescent="0.55000000000000004">
      <c r="A25" s="73" t="s">
        <v>159</v>
      </c>
      <c r="B25" s="65"/>
      <c r="C25" s="97" t="s">
        <v>160</v>
      </c>
      <c r="D25" s="65"/>
      <c r="E25" s="97" t="s">
        <v>160</v>
      </c>
      <c r="F25" s="65"/>
      <c r="G25" s="6"/>
    </row>
    <row r="26" spans="1:7" ht="22" customHeight="1" x14ac:dyDescent="0.55000000000000004">
      <c r="A26" s="72" t="s">
        <v>161</v>
      </c>
      <c r="B26" s="68"/>
      <c r="C26" s="105" t="s">
        <v>162</v>
      </c>
      <c r="D26" s="68"/>
      <c r="E26" s="105" t="s">
        <v>163</v>
      </c>
      <c r="F26" s="68"/>
      <c r="G26" s="4"/>
    </row>
    <row r="27" spans="1:7" ht="22" customHeight="1" x14ac:dyDescent="0.55000000000000004">
      <c r="A27" s="73" t="s">
        <v>164</v>
      </c>
      <c r="B27" s="65"/>
      <c r="C27" s="97" t="s">
        <v>165</v>
      </c>
      <c r="D27" s="65"/>
      <c r="E27" s="97" t="s">
        <v>166</v>
      </c>
      <c r="F27" s="65"/>
      <c r="G27" s="6"/>
    </row>
    <row r="28" spans="1:7" ht="22" customHeight="1" x14ac:dyDescent="0.55000000000000004">
      <c r="A28" s="72" t="s">
        <v>167</v>
      </c>
      <c r="B28" s="68"/>
      <c r="C28" s="105" t="s">
        <v>168</v>
      </c>
      <c r="D28" s="68"/>
      <c r="E28" s="105" t="s">
        <v>168</v>
      </c>
      <c r="F28" s="68"/>
      <c r="G28" s="4"/>
    </row>
    <row r="29" spans="1:7" ht="22" customHeight="1" x14ac:dyDescent="0.55000000000000004">
      <c r="A29" s="73" t="s">
        <v>169</v>
      </c>
      <c r="B29" s="65"/>
      <c r="C29" s="97" t="s">
        <v>168</v>
      </c>
      <c r="D29" s="65"/>
      <c r="E29" s="97" t="s">
        <v>168</v>
      </c>
      <c r="F29" s="65"/>
      <c r="G29" s="6"/>
    </row>
    <row r="30" spans="1:7" ht="22" customHeight="1" x14ac:dyDescent="0.55000000000000004">
      <c r="A30" s="72" t="s">
        <v>170</v>
      </c>
      <c r="B30" s="68"/>
      <c r="C30" s="105" t="s">
        <v>171</v>
      </c>
      <c r="D30" s="68"/>
      <c r="E30" s="105" t="s">
        <v>171</v>
      </c>
      <c r="F30" s="68"/>
      <c r="G30" s="4"/>
    </row>
    <row r="31" spans="1:7" ht="22" customHeight="1" x14ac:dyDescent="0.55000000000000004">
      <c r="A31" s="73" t="s">
        <v>172</v>
      </c>
      <c r="B31" s="65"/>
      <c r="C31" s="97" t="s">
        <v>173</v>
      </c>
      <c r="D31" s="65"/>
      <c r="E31" s="97" t="s">
        <v>174</v>
      </c>
      <c r="F31" s="65"/>
      <c r="G31" s="6"/>
    </row>
    <row r="32" spans="1:7" ht="5.05" customHeight="1" x14ac:dyDescent="0.55000000000000004">
      <c r="A32" s="2"/>
      <c r="B32" s="2"/>
      <c r="C32" s="2"/>
      <c r="D32" s="2"/>
      <c r="E32" s="2"/>
      <c r="F32" s="2"/>
      <c r="G32" s="2"/>
    </row>
    <row r="33" spans="1:7" ht="22" customHeight="1" x14ac:dyDescent="0.55000000000000004">
      <c r="A33" s="61" t="s">
        <v>175</v>
      </c>
      <c r="B33" s="62"/>
      <c r="C33" s="62"/>
      <c r="D33" s="62"/>
      <c r="E33" s="62"/>
      <c r="F33" s="62"/>
      <c r="G33" s="62"/>
    </row>
    <row r="34" spans="1:7" ht="22" customHeight="1" x14ac:dyDescent="0.55000000000000004">
      <c r="A34" s="69" t="s">
        <v>176</v>
      </c>
      <c r="B34" s="68"/>
      <c r="C34" s="68"/>
      <c r="D34" s="68"/>
      <c r="E34" s="68"/>
      <c r="F34" s="68"/>
      <c r="G34" s="68"/>
    </row>
    <row r="35" spans="1:7" ht="18" customHeight="1" x14ac:dyDescent="0.55000000000000004">
      <c r="A35" s="3"/>
      <c r="B35" s="3" t="s">
        <v>177</v>
      </c>
      <c r="C35" s="3"/>
      <c r="D35" s="3" t="s">
        <v>178</v>
      </c>
      <c r="E35" s="3"/>
      <c r="F35" s="3" t="s">
        <v>58</v>
      </c>
      <c r="G35" s="3"/>
    </row>
    <row r="36" spans="1:7" ht="24" customHeight="1" x14ac:dyDescent="0.55000000000000004">
      <c r="A36" s="75" t="s">
        <v>179</v>
      </c>
      <c r="B36" s="68"/>
      <c r="C36" s="68"/>
      <c r="D36" s="23" t="s">
        <v>180</v>
      </c>
      <c r="E36" s="98" t="s">
        <v>181</v>
      </c>
      <c r="F36" s="68"/>
      <c r="G36" s="68"/>
    </row>
    <row r="37" spans="1:7" ht="24" customHeight="1" x14ac:dyDescent="0.55000000000000004">
      <c r="A37" s="64" t="s">
        <v>182</v>
      </c>
      <c r="B37" s="65"/>
      <c r="C37" s="65"/>
      <c r="D37" s="23" t="s">
        <v>180</v>
      </c>
      <c r="E37" s="108" t="s">
        <v>183</v>
      </c>
      <c r="F37" s="65"/>
      <c r="G37" s="65"/>
    </row>
    <row r="38" spans="1:7" ht="24" customHeight="1" x14ac:dyDescent="0.55000000000000004">
      <c r="A38" s="75" t="s">
        <v>184</v>
      </c>
      <c r="B38" s="68"/>
      <c r="C38" s="68"/>
      <c r="D38" s="23" t="s">
        <v>180</v>
      </c>
      <c r="E38" s="98" t="s">
        <v>185</v>
      </c>
      <c r="F38" s="68"/>
      <c r="G38" s="68"/>
    </row>
    <row r="39" spans="1:7" ht="24" customHeight="1" x14ac:dyDescent="0.55000000000000004">
      <c r="A39" s="64" t="s">
        <v>186</v>
      </c>
      <c r="B39" s="65"/>
      <c r="C39" s="65"/>
      <c r="D39" s="23" t="s">
        <v>180</v>
      </c>
      <c r="E39" s="108" t="s">
        <v>187</v>
      </c>
      <c r="F39" s="65"/>
      <c r="G39" s="65"/>
    </row>
    <row r="40" spans="1:7" ht="24" customHeight="1" x14ac:dyDescent="0.55000000000000004">
      <c r="A40" s="75" t="s">
        <v>188</v>
      </c>
      <c r="B40" s="68"/>
      <c r="C40" s="68"/>
      <c r="D40" s="24" t="s">
        <v>189</v>
      </c>
      <c r="E40" s="98" t="s">
        <v>190</v>
      </c>
      <c r="F40" s="68"/>
      <c r="G40" s="68"/>
    </row>
    <row r="41" spans="1:7" ht="24" customHeight="1" x14ac:dyDescent="0.55000000000000004">
      <c r="A41" s="64" t="s">
        <v>191</v>
      </c>
      <c r="B41" s="65"/>
      <c r="C41" s="65"/>
      <c r="D41" s="25" t="s">
        <v>192</v>
      </c>
      <c r="E41" s="108" t="s">
        <v>193</v>
      </c>
      <c r="F41" s="65"/>
      <c r="G41" s="65"/>
    </row>
    <row r="42" spans="1:7" ht="24" customHeight="1" x14ac:dyDescent="0.55000000000000004">
      <c r="A42" s="75" t="s">
        <v>194</v>
      </c>
      <c r="B42" s="68"/>
      <c r="C42" s="68"/>
      <c r="D42" s="24" t="s">
        <v>195</v>
      </c>
      <c r="E42" s="98" t="s">
        <v>196</v>
      </c>
      <c r="F42" s="68"/>
      <c r="G42" s="68"/>
    </row>
    <row r="43" spans="1:7" ht="24" customHeight="1" x14ac:dyDescent="0.55000000000000004">
      <c r="A43" s="64" t="s">
        <v>197</v>
      </c>
      <c r="B43" s="65"/>
      <c r="C43" s="65"/>
      <c r="D43" s="25" t="s">
        <v>192</v>
      </c>
      <c r="E43" s="108" t="s">
        <v>198</v>
      </c>
      <c r="F43" s="65"/>
      <c r="G43" s="65"/>
    </row>
    <row r="44" spans="1:7" ht="24" customHeight="1" x14ac:dyDescent="0.55000000000000004">
      <c r="A44" s="75" t="s">
        <v>199</v>
      </c>
      <c r="B44" s="68"/>
      <c r="C44" s="68"/>
      <c r="D44" s="25" t="s">
        <v>192</v>
      </c>
      <c r="E44" s="98" t="s">
        <v>200</v>
      </c>
      <c r="F44" s="68"/>
      <c r="G44" s="68"/>
    </row>
    <row r="45" spans="1:7" ht="24" customHeight="1" x14ac:dyDescent="0.55000000000000004">
      <c r="A45" s="64" t="s">
        <v>201</v>
      </c>
      <c r="B45" s="65"/>
      <c r="C45" s="65"/>
      <c r="D45" s="24" t="s">
        <v>189</v>
      </c>
      <c r="E45" s="108" t="s">
        <v>202</v>
      </c>
      <c r="F45" s="65"/>
      <c r="G45" s="65"/>
    </row>
    <row r="46" spans="1:7" ht="5.05" customHeight="1" x14ac:dyDescent="0.55000000000000004">
      <c r="A46" s="2"/>
      <c r="B46" s="2"/>
      <c r="C46" s="2"/>
      <c r="D46" s="2"/>
      <c r="E46" s="2"/>
      <c r="F46" s="2"/>
      <c r="G46" s="2"/>
    </row>
    <row r="47" spans="1:7" ht="22" customHeight="1" x14ac:dyDescent="0.55000000000000004">
      <c r="A47" s="61" t="s">
        <v>203</v>
      </c>
      <c r="B47" s="62"/>
      <c r="C47" s="62"/>
      <c r="D47" s="62"/>
      <c r="E47" s="62"/>
      <c r="F47" s="62"/>
      <c r="G47" s="62"/>
    </row>
    <row r="48" spans="1:7" ht="28" customHeight="1" x14ac:dyDescent="0.55000000000000004">
      <c r="A48" s="69" t="s">
        <v>204</v>
      </c>
      <c r="B48" s="68"/>
      <c r="C48" s="68"/>
      <c r="D48" s="68"/>
      <c r="E48" s="68"/>
      <c r="F48" s="68"/>
      <c r="G48" s="68"/>
    </row>
    <row r="49" spans="1:7" ht="18" customHeight="1" x14ac:dyDescent="0.55000000000000004">
      <c r="A49" s="3"/>
      <c r="B49" s="3" t="s">
        <v>205</v>
      </c>
      <c r="C49" s="3"/>
      <c r="D49" s="3" t="s">
        <v>206</v>
      </c>
      <c r="E49" s="3"/>
      <c r="F49" s="3" t="s">
        <v>207</v>
      </c>
      <c r="G49" s="3"/>
    </row>
    <row r="50" spans="1:7" ht="24" customHeight="1" x14ac:dyDescent="0.55000000000000004">
      <c r="A50" s="98" t="s">
        <v>208</v>
      </c>
      <c r="B50" s="68"/>
      <c r="C50" s="68"/>
      <c r="D50" s="22" t="s">
        <v>209</v>
      </c>
      <c r="E50" s="109" t="s">
        <v>210</v>
      </c>
      <c r="F50" s="68"/>
      <c r="G50" s="68"/>
    </row>
    <row r="51" spans="1:7" ht="24" customHeight="1" x14ac:dyDescent="0.55000000000000004">
      <c r="A51" s="108" t="s">
        <v>211</v>
      </c>
      <c r="B51" s="65"/>
      <c r="C51" s="65"/>
      <c r="D51" s="21" t="s">
        <v>212</v>
      </c>
      <c r="E51" s="116" t="s">
        <v>213</v>
      </c>
      <c r="F51" s="65"/>
      <c r="G51" s="65"/>
    </row>
    <row r="52" spans="1:7" ht="24" customHeight="1" x14ac:dyDescent="0.55000000000000004">
      <c r="A52" s="98" t="s">
        <v>214</v>
      </c>
      <c r="B52" s="68"/>
      <c r="C52" s="68"/>
      <c r="D52" s="26" t="s">
        <v>215</v>
      </c>
      <c r="E52" s="109" t="s">
        <v>216</v>
      </c>
      <c r="F52" s="68"/>
      <c r="G52" s="68"/>
    </row>
    <row r="53" spans="1:7" ht="24" customHeight="1" x14ac:dyDescent="0.55000000000000004">
      <c r="A53" s="108" t="s">
        <v>217</v>
      </c>
      <c r="B53" s="65"/>
      <c r="C53" s="65"/>
      <c r="D53" s="22" t="s">
        <v>209</v>
      </c>
      <c r="E53" s="116" t="s">
        <v>218</v>
      </c>
      <c r="F53" s="65"/>
      <c r="G53" s="65"/>
    </row>
    <row r="54" spans="1:7" ht="24" customHeight="1" x14ac:dyDescent="0.55000000000000004">
      <c r="A54" s="98" t="s">
        <v>219</v>
      </c>
      <c r="B54" s="68"/>
      <c r="C54" s="68"/>
      <c r="D54" s="27" t="s">
        <v>220</v>
      </c>
      <c r="E54" s="109" t="s">
        <v>221</v>
      </c>
      <c r="F54" s="68"/>
      <c r="G54" s="68"/>
    </row>
    <row r="55" spans="1:7" ht="24" customHeight="1" x14ac:dyDescent="0.55000000000000004">
      <c r="A55" s="108" t="s">
        <v>222</v>
      </c>
      <c r="B55" s="65"/>
      <c r="C55" s="65"/>
      <c r="D55" s="27" t="s">
        <v>223</v>
      </c>
      <c r="E55" s="116" t="s">
        <v>224</v>
      </c>
      <c r="F55" s="65"/>
      <c r="G55" s="65"/>
    </row>
    <row r="56" spans="1:7" ht="5.05" customHeight="1" x14ac:dyDescent="0.55000000000000004">
      <c r="A56" s="2"/>
      <c r="B56" s="2"/>
      <c r="C56" s="2"/>
      <c r="D56" s="2"/>
      <c r="E56" s="2"/>
      <c r="F56" s="2"/>
      <c r="G56" s="2"/>
    </row>
    <row r="57" spans="1:7" ht="22" customHeight="1" x14ac:dyDescent="0.55000000000000004">
      <c r="A57" s="61" t="s">
        <v>225</v>
      </c>
      <c r="B57" s="62"/>
      <c r="C57" s="62"/>
      <c r="D57" s="62"/>
      <c r="E57" s="62"/>
      <c r="F57" s="62"/>
      <c r="G57" s="62"/>
    </row>
    <row r="58" spans="1:7" ht="18" customHeight="1" x14ac:dyDescent="0.55000000000000004">
      <c r="A58" s="3"/>
      <c r="B58" s="3" t="s">
        <v>56</v>
      </c>
      <c r="C58" s="3"/>
      <c r="D58" s="3" t="s">
        <v>58</v>
      </c>
      <c r="E58" s="3"/>
      <c r="F58" s="3" t="s">
        <v>226</v>
      </c>
      <c r="G58" s="3" t="s">
        <v>227</v>
      </c>
    </row>
    <row r="59" spans="1:7" ht="24" customHeight="1" x14ac:dyDescent="0.55000000000000004">
      <c r="A59" s="28" t="s">
        <v>228</v>
      </c>
      <c r="B59" s="99" t="s">
        <v>229</v>
      </c>
      <c r="C59" s="65"/>
      <c r="D59" s="111" t="s">
        <v>230</v>
      </c>
      <c r="E59" s="65"/>
      <c r="F59" s="30" t="s">
        <v>231</v>
      </c>
      <c r="G59" s="6"/>
    </row>
    <row r="60" spans="1:7" ht="24" customHeight="1" x14ac:dyDescent="0.55000000000000004">
      <c r="A60" s="28" t="s">
        <v>232</v>
      </c>
      <c r="B60" s="100" t="s">
        <v>233</v>
      </c>
      <c r="C60" s="77"/>
      <c r="D60" s="94" t="s">
        <v>234</v>
      </c>
      <c r="E60" s="95"/>
      <c r="F60" s="30" t="s">
        <v>231</v>
      </c>
      <c r="G60" s="4"/>
    </row>
    <row r="61" spans="1:7" ht="24" customHeight="1" x14ac:dyDescent="0.55000000000000004">
      <c r="A61" s="28" t="s">
        <v>235</v>
      </c>
      <c r="B61" s="100" t="s">
        <v>236</v>
      </c>
      <c r="C61" s="77"/>
      <c r="D61" s="94" t="s">
        <v>237</v>
      </c>
      <c r="E61" s="95"/>
      <c r="F61" s="30" t="s">
        <v>231</v>
      </c>
      <c r="G61" s="6"/>
    </row>
    <row r="62" spans="1:7" ht="24" customHeight="1" x14ac:dyDescent="0.55000000000000004">
      <c r="A62" s="28" t="s">
        <v>238</v>
      </c>
      <c r="B62" s="104" t="s">
        <v>239</v>
      </c>
      <c r="C62" s="68"/>
      <c r="D62" s="102" t="s">
        <v>240</v>
      </c>
      <c r="E62" s="103"/>
      <c r="F62" s="30" t="s">
        <v>231</v>
      </c>
      <c r="G62" s="4"/>
    </row>
    <row r="63" spans="1:7" ht="24" customHeight="1" x14ac:dyDescent="0.55000000000000004">
      <c r="A63" s="28" t="s">
        <v>241</v>
      </c>
      <c r="B63" s="99" t="s">
        <v>242</v>
      </c>
      <c r="C63" s="65"/>
      <c r="D63" s="111" t="s">
        <v>243</v>
      </c>
      <c r="E63" s="65"/>
      <c r="F63" s="30" t="s">
        <v>231</v>
      </c>
      <c r="G63" s="6"/>
    </row>
    <row r="64" spans="1:7" ht="24" customHeight="1" x14ac:dyDescent="0.55000000000000004">
      <c r="A64" s="28" t="s">
        <v>244</v>
      </c>
      <c r="B64" s="104" t="s">
        <v>245</v>
      </c>
      <c r="C64" s="68"/>
      <c r="D64" s="102" t="s">
        <v>246</v>
      </c>
      <c r="E64" s="103"/>
      <c r="F64" s="30" t="s">
        <v>231</v>
      </c>
      <c r="G64" s="4"/>
    </row>
    <row r="65" spans="1:7" ht="24" customHeight="1" x14ac:dyDescent="0.55000000000000004">
      <c r="A65" s="28" t="s">
        <v>247</v>
      </c>
      <c r="B65" s="99" t="s">
        <v>248</v>
      </c>
      <c r="C65" s="65"/>
      <c r="D65" s="111" t="s">
        <v>249</v>
      </c>
      <c r="E65" s="65"/>
      <c r="F65" s="30" t="s">
        <v>231</v>
      </c>
      <c r="G65" s="6"/>
    </row>
    <row r="66" spans="1:7" ht="24" customHeight="1" x14ac:dyDescent="0.55000000000000004">
      <c r="A66" s="28" t="s">
        <v>250</v>
      </c>
      <c r="B66" s="104" t="s">
        <v>251</v>
      </c>
      <c r="C66" s="68"/>
      <c r="D66" s="102" t="s">
        <v>252</v>
      </c>
      <c r="E66" s="103"/>
      <c r="F66" s="30" t="s">
        <v>231</v>
      </c>
      <c r="G66" s="4"/>
    </row>
    <row r="67" spans="1:7" ht="24" customHeight="1" x14ac:dyDescent="0.55000000000000004">
      <c r="A67" s="28" t="s">
        <v>253</v>
      </c>
      <c r="B67" s="99" t="s">
        <v>254</v>
      </c>
      <c r="C67" s="65"/>
      <c r="D67" s="111" t="s">
        <v>255</v>
      </c>
      <c r="E67" s="65"/>
      <c r="F67" s="30" t="s">
        <v>231</v>
      </c>
      <c r="G67" s="6"/>
    </row>
    <row r="68" spans="1:7" ht="24" customHeight="1" x14ac:dyDescent="0.55000000000000004">
      <c r="A68" s="28" t="s">
        <v>256</v>
      </c>
      <c r="B68" s="104" t="s">
        <v>257</v>
      </c>
      <c r="C68" s="68"/>
      <c r="D68" s="102" t="s">
        <v>258</v>
      </c>
      <c r="E68" s="103"/>
      <c r="F68" s="30" t="s">
        <v>231</v>
      </c>
      <c r="G68" s="4"/>
    </row>
    <row r="69" spans="1:7" ht="24" customHeight="1" x14ac:dyDescent="0.55000000000000004">
      <c r="A69" s="28" t="s">
        <v>259</v>
      </c>
      <c r="B69" s="99" t="s">
        <v>260</v>
      </c>
      <c r="C69" s="65"/>
      <c r="D69" s="111" t="s">
        <v>261</v>
      </c>
      <c r="E69" s="65"/>
      <c r="F69" s="30" t="s">
        <v>231</v>
      </c>
      <c r="G69" s="6"/>
    </row>
    <row r="70" spans="1:7" ht="24" customHeight="1" x14ac:dyDescent="0.55000000000000004">
      <c r="A70" s="28" t="s">
        <v>262</v>
      </c>
      <c r="B70" s="104" t="s">
        <v>263</v>
      </c>
      <c r="C70" s="68"/>
      <c r="D70" s="102" t="s">
        <v>264</v>
      </c>
      <c r="E70" s="103"/>
      <c r="F70" s="30" t="s">
        <v>231</v>
      </c>
      <c r="G70" s="4"/>
    </row>
    <row r="71" spans="1:7" ht="5.05" customHeight="1" x14ac:dyDescent="0.55000000000000004">
      <c r="A71" s="2"/>
      <c r="B71" s="2"/>
      <c r="C71" s="2"/>
      <c r="D71" s="2"/>
      <c r="E71" s="2"/>
      <c r="F71" s="2"/>
      <c r="G71" s="2"/>
    </row>
    <row r="72" spans="1:7" ht="22" customHeight="1" x14ac:dyDescent="0.55000000000000004">
      <c r="A72" s="61" t="s">
        <v>265</v>
      </c>
      <c r="B72" s="62"/>
      <c r="C72" s="62"/>
      <c r="D72" s="62"/>
      <c r="E72" s="62"/>
      <c r="F72" s="62"/>
      <c r="G72" s="62"/>
    </row>
    <row r="73" spans="1:7" ht="18" customHeight="1" x14ac:dyDescent="0.55000000000000004">
      <c r="A73" s="3"/>
      <c r="B73" s="3" t="s">
        <v>266</v>
      </c>
      <c r="C73" s="3"/>
      <c r="D73" s="3" t="s">
        <v>267</v>
      </c>
      <c r="E73" s="3"/>
      <c r="F73" s="3" t="s">
        <v>58</v>
      </c>
      <c r="G73" s="3"/>
    </row>
    <row r="74" spans="1:7" ht="24" customHeight="1" x14ac:dyDescent="0.55000000000000004">
      <c r="A74" s="101" t="s">
        <v>146</v>
      </c>
      <c r="B74" s="59"/>
      <c r="C74" s="18">
        <f>'VERİ GİRİŞİ'!C53</f>
        <v>0</v>
      </c>
      <c r="D74" s="96" t="s">
        <v>268</v>
      </c>
      <c r="E74" s="59"/>
      <c r="F74" s="59"/>
      <c r="G74" s="59"/>
    </row>
    <row r="75" spans="1:7" ht="24" customHeight="1" x14ac:dyDescent="0.55000000000000004">
      <c r="A75" s="72" t="s">
        <v>147</v>
      </c>
      <c r="B75" s="68"/>
      <c r="C75" s="34" t="s">
        <v>269</v>
      </c>
      <c r="D75" s="98" t="s">
        <v>270</v>
      </c>
      <c r="E75" s="68"/>
      <c r="F75" s="68"/>
      <c r="G75" s="68"/>
    </row>
    <row r="76" spans="1:7" ht="24" customHeight="1" x14ac:dyDescent="0.55000000000000004">
      <c r="A76" s="72" t="s">
        <v>271</v>
      </c>
      <c r="B76" s="68"/>
      <c r="C76" s="34" t="s">
        <v>272</v>
      </c>
      <c r="D76" s="98" t="s">
        <v>273</v>
      </c>
      <c r="E76" s="68"/>
      <c r="F76" s="68"/>
      <c r="G76" s="68"/>
    </row>
  </sheetData>
  <mergeCells count="132">
    <mergeCell ref="E5:G5"/>
    <mergeCell ref="E39:G39"/>
    <mergeCell ref="A33:G33"/>
    <mergeCell ref="D59:E59"/>
    <mergeCell ref="E38:G38"/>
    <mergeCell ref="A10:C10"/>
    <mergeCell ref="E30:F30"/>
    <mergeCell ref="E53:G53"/>
    <mergeCell ref="A9:C9"/>
    <mergeCell ref="E50:G50"/>
    <mergeCell ref="A39:C39"/>
    <mergeCell ref="B65:C65"/>
    <mergeCell ref="E55:G55"/>
    <mergeCell ref="A20:B20"/>
    <mergeCell ref="A36:C36"/>
    <mergeCell ref="A11:C11"/>
    <mergeCell ref="A29:B29"/>
    <mergeCell ref="E52:G52"/>
    <mergeCell ref="A45:C45"/>
    <mergeCell ref="D76:G76"/>
    <mergeCell ref="E21:F21"/>
    <mergeCell ref="E14:G14"/>
    <mergeCell ref="D67:E67"/>
    <mergeCell ref="A2:G2"/>
    <mergeCell ref="E51:G51"/>
    <mergeCell ref="A47:G47"/>
    <mergeCell ref="A54:C54"/>
    <mergeCell ref="D69:E69"/>
    <mergeCell ref="A24:B24"/>
    <mergeCell ref="A41:C41"/>
    <mergeCell ref="B62:C62"/>
    <mergeCell ref="C24:D24"/>
    <mergeCell ref="E24:F24"/>
    <mergeCell ref="B59:C59"/>
    <mergeCell ref="A72:G72"/>
    <mergeCell ref="C26:D26"/>
    <mergeCell ref="B70:C70"/>
    <mergeCell ref="A25:B25"/>
    <mergeCell ref="C25:D25"/>
    <mergeCell ref="A8:C8"/>
    <mergeCell ref="E19:F19"/>
    <mergeCell ref="E28:F28"/>
    <mergeCell ref="A53:C53"/>
    <mergeCell ref="A5:C5"/>
    <mergeCell ref="A14:C14"/>
    <mergeCell ref="A34:G34"/>
    <mergeCell ref="D66:E66"/>
    <mergeCell ref="A38:C38"/>
    <mergeCell ref="E54:G54"/>
    <mergeCell ref="A26:B26"/>
    <mergeCell ref="A13:C13"/>
    <mergeCell ref="A1:G1"/>
    <mergeCell ref="E41:G41"/>
    <mergeCell ref="A44:C44"/>
    <mergeCell ref="A40:C40"/>
    <mergeCell ref="E26:F26"/>
    <mergeCell ref="E43:G43"/>
    <mergeCell ref="A51:C51"/>
    <mergeCell ref="E25:F25"/>
    <mergeCell ref="E8:G8"/>
    <mergeCell ref="A57:G57"/>
    <mergeCell ref="A7:C7"/>
    <mergeCell ref="E10:G10"/>
    <mergeCell ref="D63:E63"/>
    <mergeCell ref="A4:G4"/>
    <mergeCell ref="E9:G9"/>
    <mergeCell ref="A50:C50"/>
    <mergeCell ref="A6:C6"/>
    <mergeCell ref="C19:D19"/>
    <mergeCell ref="A28:B28"/>
    <mergeCell ref="C28:D28"/>
    <mergeCell ref="E22:F22"/>
    <mergeCell ref="B63:C63"/>
    <mergeCell ref="E44:G44"/>
    <mergeCell ref="A31:B31"/>
    <mergeCell ref="A30:B30"/>
    <mergeCell ref="C30:D30"/>
    <mergeCell ref="A55:C55"/>
    <mergeCell ref="A12:C12"/>
    <mergeCell ref="E6:G6"/>
    <mergeCell ref="C20:D20"/>
    <mergeCell ref="A42:C42"/>
    <mergeCell ref="E20:F20"/>
    <mergeCell ref="C29:D29"/>
    <mergeCell ref="E36:G36"/>
    <mergeCell ref="E11:G11"/>
    <mergeCell ref="E29:F29"/>
    <mergeCell ref="E45:G45"/>
    <mergeCell ref="B60:C60"/>
    <mergeCell ref="C22:D22"/>
    <mergeCell ref="C31:D31"/>
    <mergeCell ref="E7:G7"/>
    <mergeCell ref="A43:C43"/>
    <mergeCell ref="A52:C52"/>
    <mergeCell ref="B69:C69"/>
    <mergeCell ref="A76:B76"/>
    <mergeCell ref="C27:D27"/>
    <mergeCell ref="E27:F27"/>
    <mergeCell ref="D62:E62"/>
    <mergeCell ref="A22:B22"/>
    <mergeCell ref="E42:G42"/>
    <mergeCell ref="B64:C64"/>
    <mergeCell ref="D64:E64"/>
    <mergeCell ref="A19:B19"/>
    <mergeCell ref="B66:C66"/>
    <mergeCell ref="D75:G75"/>
    <mergeCell ref="D65:E65"/>
    <mergeCell ref="A75:B75"/>
    <mergeCell ref="E31:F31"/>
    <mergeCell ref="A21:B21"/>
    <mergeCell ref="C21:D21"/>
    <mergeCell ref="E37:G37"/>
    <mergeCell ref="E12:G12"/>
    <mergeCell ref="A16:G16"/>
    <mergeCell ref="A23:B23"/>
    <mergeCell ref="D60:E60"/>
    <mergeCell ref="E13:G13"/>
    <mergeCell ref="A17:G17"/>
    <mergeCell ref="A37:C37"/>
    <mergeCell ref="D74:G74"/>
    <mergeCell ref="E23:F23"/>
    <mergeCell ref="E40:G40"/>
    <mergeCell ref="B67:C67"/>
    <mergeCell ref="A48:G48"/>
    <mergeCell ref="B61:C61"/>
    <mergeCell ref="D61:E61"/>
    <mergeCell ref="A74:B74"/>
    <mergeCell ref="D70:E70"/>
    <mergeCell ref="A27:B27"/>
    <mergeCell ref="C23:D23"/>
    <mergeCell ref="B68:C68"/>
    <mergeCell ref="D68:E68"/>
  </mergeCells>
  <conditionalFormatting sqref="D5">
    <cfRule type="containsText" dxfId="3" priority="1" operator="containsText" text="OK">
      <formula>NOT(ISERROR(SEARCH("OK",D5)))</formula>
    </cfRule>
    <cfRule type="containsText" dxfId="2" priority="2" operator="containsText" text="HATA">
      <formula>NOT(ISERROR(SEARCH("HATA",D5)))</formula>
    </cfRule>
  </conditionalFormatting>
  <conditionalFormatting sqref="D6">
    <cfRule type="containsText" dxfId="1" priority="3" operator="containsText" text="EVET">
      <formula>NOT(ISERROR(SEARCH("EVET",D6)))</formula>
    </cfRule>
    <cfRule type="containsText" dxfId="0" priority="4" operator="containsText" text="HAYIR">
      <formula>NOT(ISERROR(SEARCH("HAYIR",D6)))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0" customWidth="1"/>
    <col min="5" max="6" width="14" customWidth="1"/>
    <col min="7" max="7" width="22" customWidth="1"/>
  </cols>
  <sheetData>
    <row r="1" spans="1:7" ht="28" customHeight="1" x14ac:dyDescent="0.55000000000000004">
      <c r="A1" s="117" t="s">
        <v>274</v>
      </c>
      <c r="B1" s="62"/>
      <c r="C1" s="62"/>
      <c r="D1" s="62"/>
      <c r="E1" s="62"/>
      <c r="F1" s="62"/>
      <c r="G1" s="62"/>
    </row>
    <row r="2" spans="1:7" ht="22" customHeight="1" x14ac:dyDescent="0.55000000000000004">
      <c r="A2" s="90" t="s">
        <v>275</v>
      </c>
      <c r="B2" s="91"/>
      <c r="C2" s="91"/>
      <c r="D2" s="91"/>
      <c r="E2" s="91"/>
      <c r="F2" s="91"/>
      <c r="G2" s="91"/>
    </row>
    <row r="3" spans="1:7" ht="24" customHeight="1" x14ac:dyDescent="0.55000000000000004">
      <c r="A3" s="88" t="s">
        <v>276</v>
      </c>
      <c r="B3" s="77"/>
      <c r="C3" s="77"/>
      <c r="D3" s="77"/>
      <c r="E3" s="77"/>
      <c r="F3" s="77"/>
      <c r="G3" s="77"/>
    </row>
    <row r="4" spans="1:7" ht="5.05" customHeight="1" x14ac:dyDescent="0.55000000000000004">
      <c r="A4" s="2"/>
      <c r="B4" s="2"/>
      <c r="C4" s="2"/>
      <c r="D4" s="2"/>
      <c r="E4" s="2"/>
      <c r="F4" s="2"/>
      <c r="G4" s="2"/>
    </row>
    <row r="5" spans="1:7" ht="26.05" customHeight="1" x14ac:dyDescent="0.55000000000000004">
      <c r="A5" s="61" t="s">
        <v>277</v>
      </c>
      <c r="B5" s="62"/>
      <c r="C5" s="62"/>
      <c r="D5" s="62"/>
      <c r="E5" s="62"/>
      <c r="F5" s="62"/>
      <c r="G5" s="62"/>
    </row>
    <row r="6" spans="1:7" ht="20.05" customHeight="1" x14ac:dyDescent="0.55000000000000004">
      <c r="A6" s="118" t="s">
        <v>278</v>
      </c>
      <c r="B6" s="119"/>
      <c r="C6" s="119"/>
      <c r="D6" s="119"/>
      <c r="E6" s="119"/>
      <c r="F6" s="119"/>
      <c r="G6" s="119"/>
    </row>
    <row r="7" spans="1:7" ht="18" customHeight="1" x14ac:dyDescent="0.55000000000000004">
      <c r="A7" s="3"/>
      <c r="B7" s="3" t="s">
        <v>279</v>
      </c>
      <c r="C7" s="3" t="s">
        <v>280</v>
      </c>
      <c r="D7" s="3" t="s">
        <v>281</v>
      </c>
      <c r="E7" s="3" t="s">
        <v>282</v>
      </c>
      <c r="F7" s="3" t="s">
        <v>283</v>
      </c>
      <c r="G7" s="3" t="s">
        <v>284</v>
      </c>
    </row>
    <row r="8" spans="1:7" ht="28" customHeight="1" x14ac:dyDescent="0.55000000000000004">
      <c r="A8" s="20" t="s">
        <v>285</v>
      </c>
      <c r="B8" s="20" t="s">
        <v>286</v>
      </c>
      <c r="C8" s="20" t="s">
        <v>287</v>
      </c>
      <c r="D8" s="20" t="s">
        <v>288</v>
      </c>
      <c r="E8" s="20" t="s">
        <v>289</v>
      </c>
      <c r="F8" s="20" t="s">
        <v>290</v>
      </c>
      <c r="G8" s="20" t="s">
        <v>291</v>
      </c>
    </row>
    <row r="9" spans="1:7" ht="28" customHeight="1" x14ac:dyDescent="0.55000000000000004">
      <c r="A9" s="19" t="s">
        <v>292</v>
      </c>
      <c r="B9" s="19" t="s">
        <v>286</v>
      </c>
      <c r="C9" s="19" t="s">
        <v>293</v>
      </c>
      <c r="D9" s="19" t="s">
        <v>294</v>
      </c>
      <c r="E9" s="19" t="s">
        <v>290</v>
      </c>
      <c r="F9" s="19" t="s">
        <v>289</v>
      </c>
      <c r="G9" s="19" t="s">
        <v>295</v>
      </c>
    </row>
    <row r="10" spans="1:7" ht="44.05" customHeight="1" x14ac:dyDescent="0.55000000000000004">
      <c r="A10" s="96" t="s">
        <v>296</v>
      </c>
      <c r="B10" s="59"/>
      <c r="C10" s="59"/>
      <c r="D10" s="59"/>
      <c r="E10" s="59"/>
      <c r="F10" s="59"/>
      <c r="G10" s="59"/>
    </row>
    <row r="11" spans="1:7" ht="5.05" customHeight="1" x14ac:dyDescent="0.55000000000000004">
      <c r="A11" s="2"/>
      <c r="B11" s="2"/>
      <c r="C11" s="2"/>
      <c r="D11" s="2"/>
      <c r="E11" s="2"/>
      <c r="F11" s="2"/>
      <c r="G11" s="2"/>
    </row>
    <row r="12" spans="1:7" ht="26.05" customHeight="1" x14ac:dyDescent="0.55000000000000004">
      <c r="A12" s="61" t="s">
        <v>297</v>
      </c>
      <c r="B12" s="62"/>
      <c r="C12" s="62"/>
      <c r="D12" s="62"/>
      <c r="E12" s="62"/>
      <c r="F12" s="62"/>
      <c r="G12" s="62"/>
    </row>
    <row r="13" spans="1:7" ht="18" customHeight="1" x14ac:dyDescent="0.55000000000000004">
      <c r="A13" s="3"/>
      <c r="B13" s="3" t="s">
        <v>279</v>
      </c>
      <c r="C13" s="3" t="s">
        <v>280</v>
      </c>
      <c r="D13" s="3" t="s">
        <v>281</v>
      </c>
      <c r="E13" s="3" t="s">
        <v>282</v>
      </c>
      <c r="F13" s="3" t="s">
        <v>283</v>
      </c>
      <c r="G13" s="3" t="s">
        <v>284</v>
      </c>
    </row>
    <row r="14" spans="1:7" ht="28" customHeight="1" x14ac:dyDescent="0.55000000000000004">
      <c r="A14" s="20" t="s">
        <v>285</v>
      </c>
      <c r="B14" s="20" t="s">
        <v>298</v>
      </c>
      <c r="C14" s="20" t="s">
        <v>299</v>
      </c>
      <c r="D14" s="20" t="s">
        <v>300</v>
      </c>
      <c r="E14" s="20" t="s">
        <v>301</v>
      </c>
      <c r="F14" s="20" t="s">
        <v>290</v>
      </c>
      <c r="G14" s="20" t="s">
        <v>302</v>
      </c>
    </row>
    <row r="15" spans="1:7" ht="28" customHeight="1" x14ac:dyDescent="0.55000000000000004">
      <c r="A15" s="19" t="s">
        <v>292</v>
      </c>
      <c r="B15" s="19" t="s">
        <v>298</v>
      </c>
      <c r="C15" s="19" t="s">
        <v>303</v>
      </c>
      <c r="D15" s="19" t="s">
        <v>304</v>
      </c>
      <c r="E15" s="19" t="s">
        <v>290</v>
      </c>
      <c r="F15" s="19" t="s">
        <v>301</v>
      </c>
      <c r="G15" s="19" t="s">
        <v>305</v>
      </c>
    </row>
    <row r="16" spans="1:7" ht="32.049999999999997" customHeight="1" x14ac:dyDescent="0.55000000000000004">
      <c r="A16" s="98" t="s">
        <v>306</v>
      </c>
      <c r="B16" s="68"/>
      <c r="C16" s="68"/>
      <c r="D16" s="68"/>
      <c r="E16" s="68"/>
      <c r="F16" s="68"/>
      <c r="G16" s="68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6.05" customHeight="1" x14ac:dyDescent="0.55000000000000004">
      <c r="A18" s="61" t="s">
        <v>307</v>
      </c>
      <c r="B18" s="62"/>
      <c r="C18" s="62"/>
      <c r="D18" s="62"/>
      <c r="E18" s="62"/>
      <c r="F18" s="62"/>
      <c r="G18" s="62"/>
    </row>
    <row r="19" spans="1:7" ht="18" customHeight="1" x14ac:dyDescent="0.55000000000000004">
      <c r="A19" s="3"/>
      <c r="B19" s="3" t="s">
        <v>279</v>
      </c>
      <c r="C19" s="3" t="s">
        <v>280</v>
      </c>
      <c r="D19" s="3" t="s">
        <v>281</v>
      </c>
      <c r="E19" s="3" t="s">
        <v>282</v>
      </c>
      <c r="F19" s="3" t="s">
        <v>283</v>
      </c>
      <c r="G19" s="3" t="s">
        <v>284</v>
      </c>
    </row>
    <row r="20" spans="1:7" ht="28" customHeight="1" x14ac:dyDescent="0.55000000000000004">
      <c r="A20" s="20" t="s">
        <v>285</v>
      </c>
      <c r="B20" s="20" t="s">
        <v>308</v>
      </c>
      <c r="C20" s="20" t="s">
        <v>309</v>
      </c>
      <c r="D20" s="20" t="s">
        <v>310</v>
      </c>
      <c r="E20" s="20" t="s">
        <v>311</v>
      </c>
      <c r="F20" s="20" t="s">
        <v>290</v>
      </c>
      <c r="G20" s="20" t="s">
        <v>312</v>
      </c>
    </row>
    <row r="21" spans="1:7" ht="28" customHeight="1" x14ac:dyDescent="0.55000000000000004">
      <c r="A21" s="19" t="s">
        <v>292</v>
      </c>
      <c r="B21" s="19" t="s">
        <v>308</v>
      </c>
      <c r="C21" s="19" t="s">
        <v>313</v>
      </c>
      <c r="D21" s="19" t="s">
        <v>314</v>
      </c>
      <c r="E21" s="19" t="s">
        <v>290</v>
      </c>
      <c r="F21" s="19" t="s">
        <v>311</v>
      </c>
      <c r="G21" s="35"/>
    </row>
    <row r="22" spans="1:7" ht="36" customHeight="1" x14ac:dyDescent="0.55000000000000004">
      <c r="A22" s="98" t="s">
        <v>315</v>
      </c>
      <c r="B22" s="68"/>
      <c r="C22" s="68"/>
      <c r="D22" s="68"/>
      <c r="E22" s="68"/>
      <c r="F22" s="68"/>
      <c r="G22" s="68"/>
    </row>
    <row r="23" spans="1:7" ht="5.05" customHeight="1" x14ac:dyDescent="0.55000000000000004">
      <c r="A23" s="2"/>
      <c r="B23" s="2"/>
      <c r="C23" s="2"/>
      <c r="D23" s="2"/>
      <c r="E23" s="2"/>
      <c r="F23" s="2"/>
      <c r="G23" s="2"/>
    </row>
    <row r="24" spans="1:7" ht="26.05" customHeight="1" x14ac:dyDescent="0.55000000000000004">
      <c r="A24" s="61" t="s">
        <v>316</v>
      </c>
      <c r="B24" s="62"/>
      <c r="C24" s="62"/>
      <c r="D24" s="62"/>
      <c r="E24" s="62"/>
      <c r="F24" s="62"/>
      <c r="G24" s="62"/>
    </row>
    <row r="25" spans="1:7" ht="60" customHeight="1" x14ac:dyDescent="0.55000000000000004">
      <c r="A25" s="120" t="s">
        <v>317</v>
      </c>
      <c r="B25" s="68"/>
      <c r="C25" s="68"/>
      <c r="D25" s="68"/>
      <c r="E25" s="68"/>
      <c r="F25" s="68"/>
      <c r="G25" s="68"/>
    </row>
  </sheetData>
  <mergeCells count="12">
    <mergeCell ref="A24:G24"/>
    <mergeCell ref="A2:G2"/>
    <mergeCell ref="A16:G16"/>
    <mergeCell ref="A25:G25"/>
    <mergeCell ref="A10:G10"/>
    <mergeCell ref="A5:G5"/>
    <mergeCell ref="A1:G1"/>
    <mergeCell ref="A18:G18"/>
    <mergeCell ref="A3:G3"/>
    <mergeCell ref="A6:G6"/>
    <mergeCell ref="A22:G22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4.4" x14ac:dyDescent="0.55000000000000004"/>
  <cols>
    <col min="1" max="1" width="4" customWidth="1"/>
    <col min="2" max="2" width="22" customWidth="1"/>
    <col min="3" max="3" width="48" customWidth="1"/>
    <col min="4" max="4" width="22" customWidth="1"/>
  </cols>
  <sheetData>
    <row r="1" spans="1:4" ht="36" customHeight="1" x14ac:dyDescent="0.55000000000000004">
      <c r="A1" s="121" t="s">
        <v>318</v>
      </c>
      <c r="B1" s="122"/>
      <c r="C1" s="122"/>
      <c r="D1" s="122"/>
    </row>
    <row r="2" spans="1:4" ht="20.05" customHeight="1" x14ac:dyDescent="0.55000000000000004">
      <c r="A2" s="90" t="s">
        <v>319</v>
      </c>
      <c r="B2" s="91"/>
      <c r="C2" s="91"/>
      <c r="D2" s="91"/>
    </row>
    <row r="3" spans="1:4" ht="5.05" customHeight="1" x14ac:dyDescent="0.55000000000000004">
      <c r="A3" s="2"/>
      <c r="B3" s="2"/>
      <c r="C3" s="2"/>
      <c r="D3" s="2"/>
    </row>
    <row r="4" spans="1:4" ht="26.05" customHeight="1" x14ac:dyDescent="0.55000000000000004">
      <c r="A4" s="112" t="s">
        <v>320</v>
      </c>
      <c r="B4" s="113"/>
      <c r="C4" s="113"/>
      <c r="D4" s="113"/>
    </row>
    <row r="5" spans="1:4" ht="18" customHeight="1" x14ac:dyDescent="0.55000000000000004">
      <c r="A5" s="3" t="s">
        <v>321</v>
      </c>
      <c r="B5" s="3" t="s">
        <v>322</v>
      </c>
      <c r="C5" s="3" t="s">
        <v>323</v>
      </c>
      <c r="D5" s="3" t="s">
        <v>324</v>
      </c>
    </row>
    <row r="6" spans="1:4" ht="60" customHeight="1" x14ac:dyDescent="0.55000000000000004">
      <c r="A6" s="28" t="s">
        <v>325</v>
      </c>
      <c r="B6" s="32" t="s">
        <v>326</v>
      </c>
      <c r="C6" s="33" t="s">
        <v>327</v>
      </c>
      <c r="D6" s="36" t="s">
        <v>328</v>
      </c>
    </row>
    <row r="7" spans="1:4" ht="60" customHeight="1" x14ac:dyDescent="0.55000000000000004">
      <c r="A7" s="28" t="s">
        <v>329</v>
      </c>
      <c r="B7" s="29" t="s">
        <v>330</v>
      </c>
      <c r="C7" s="31" t="s">
        <v>331</v>
      </c>
      <c r="D7" s="37" t="s">
        <v>332</v>
      </c>
    </row>
    <row r="8" spans="1:4" ht="60" customHeight="1" x14ac:dyDescent="0.55000000000000004">
      <c r="A8" s="28" t="s">
        <v>333</v>
      </c>
      <c r="B8" s="32" t="s">
        <v>334</v>
      </c>
      <c r="C8" s="33" t="s">
        <v>335</v>
      </c>
      <c r="D8" s="36" t="s">
        <v>336</v>
      </c>
    </row>
    <row r="9" spans="1:4" ht="60" customHeight="1" x14ac:dyDescent="0.55000000000000004">
      <c r="A9" s="28" t="s">
        <v>337</v>
      </c>
      <c r="B9" s="29" t="s">
        <v>338</v>
      </c>
      <c r="C9" s="31" t="s">
        <v>339</v>
      </c>
      <c r="D9" s="37" t="s">
        <v>340</v>
      </c>
    </row>
    <row r="10" spans="1:4" ht="5.05" customHeight="1" x14ac:dyDescent="0.55000000000000004">
      <c r="A10" s="2"/>
      <c r="B10" s="2"/>
      <c r="C10" s="2"/>
      <c r="D10" s="2"/>
    </row>
    <row r="11" spans="1:4" ht="26.05" customHeight="1" x14ac:dyDescent="0.55000000000000004">
      <c r="A11" s="125" t="s">
        <v>341</v>
      </c>
      <c r="B11" s="126"/>
      <c r="C11" s="126"/>
      <c r="D11" s="126"/>
    </row>
    <row r="12" spans="1:4" ht="18" customHeight="1" x14ac:dyDescent="0.55000000000000004">
      <c r="A12" s="3" t="s">
        <v>321</v>
      </c>
      <c r="B12" s="3" t="s">
        <v>322</v>
      </c>
      <c r="C12" s="3" t="s">
        <v>323</v>
      </c>
      <c r="D12" s="3" t="s">
        <v>324</v>
      </c>
    </row>
    <row r="13" spans="1:4" ht="60" customHeight="1" x14ac:dyDescent="0.55000000000000004">
      <c r="A13" s="28" t="s">
        <v>342</v>
      </c>
      <c r="B13" s="32" t="s">
        <v>343</v>
      </c>
      <c r="C13" s="33" t="s">
        <v>344</v>
      </c>
      <c r="D13" s="36" t="s">
        <v>345</v>
      </c>
    </row>
    <row r="14" spans="1:4" ht="60" customHeight="1" x14ac:dyDescent="0.55000000000000004">
      <c r="A14" s="28" t="s">
        <v>346</v>
      </c>
      <c r="B14" s="29" t="s">
        <v>347</v>
      </c>
      <c r="C14" s="31" t="s">
        <v>348</v>
      </c>
      <c r="D14" s="37" t="s">
        <v>349</v>
      </c>
    </row>
    <row r="15" spans="1:4" ht="60" customHeight="1" x14ac:dyDescent="0.55000000000000004">
      <c r="A15" s="28" t="s">
        <v>350</v>
      </c>
      <c r="B15" s="32" t="s">
        <v>351</v>
      </c>
      <c r="C15" s="33" t="s">
        <v>352</v>
      </c>
      <c r="D15" s="36" t="s">
        <v>353</v>
      </c>
    </row>
    <row r="16" spans="1:4" ht="60" customHeight="1" x14ac:dyDescent="0.55000000000000004">
      <c r="A16" s="28" t="s">
        <v>354</v>
      </c>
      <c r="B16" s="29" t="s">
        <v>355</v>
      </c>
      <c r="C16" s="31" t="s">
        <v>356</v>
      </c>
      <c r="D16" s="37" t="s">
        <v>357</v>
      </c>
    </row>
    <row r="17" spans="1:4" ht="5.05" customHeight="1" x14ac:dyDescent="0.55000000000000004">
      <c r="A17" s="2"/>
      <c r="B17" s="2"/>
      <c r="C17" s="2"/>
      <c r="D17" s="2"/>
    </row>
    <row r="18" spans="1:4" ht="36" customHeight="1" x14ac:dyDescent="0.55000000000000004">
      <c r="A18" s="123" t="s">
        <v>358</v>
      </c>
      <c r="B18" s="124"/>
      <c r="C18" s="124"/>
      <c r="D18" s="124"/>
    </row>
  </sheetData>
  <mergeCells count="5">
    <mergeCell ref="A1:D1"/>
    <mergeCell ref="A18:D18"/>
    <mergeCell ref="A4:D4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29" t="s">
        <v>359</v>
      </c>
      <c r="B1" s="122"/>
      <c r="C1" s="122"/>
      <c r="D1" s="122"/>
      <c r="E1" s="122"/>
      <c r="F1" s="122"/>
    </row>
    <row r="2" spans="1:6" ht="20.05" customHeight="1" x14ac:dyDescent="0.55000000000000004">
      <c r="A2" s="90" t="s">
        <v>360</v>
      </c>
      <c r="B2" s="91"/>
      <c r="C2" s="91"/>
      <c r="D2" s="91"/>
      <c r="E2" s="91"/>
      <c r="F2" s="91"/>
    </row>
    <row r="3" spans="1:6" ht="24" customHeight="1" x14ac:dyDescent="0.55000000000000004">
      <c r="A3" s="132" t="s">
        <v>361</v>
      </c>
      <c r="B3" s="133"/>
      <c r="C3" s="133"/>
      <c r="D3" s="133"/>
      <c r="E3" s="133"/>
      <c r="F3" s="133"/>
    </row>
    <row r="4" spans="1:6" ht="5.05" customHeight="1" x14ac:dyDescent="0.55000000000000004">
      <c r="A4" s="2"/>
      <c r="B4" s="2"/>
      <c r="C4" s="2"/>
      <c r="D4" s="2"/>
      <c r="E4" s="2"/>
      <c r="F4" s="2"/>
    </row>
    <row r="5" spans="1:6" ht="26.05" customHeight="1" x14ac:dyDescent="0.55000000000000004">
      <c r="A5" s="112" t="s">
        <v>362</v>
      </c>
      <c r="B5" s="113"/>
      <c r="C5" s="113"/>
      <c r="D5" s="113"/>
      <c r="E5" s="113"/>
      <c r="F5" s="113"/>
    </row>
    <row r="6" spans="1:6" ht="22" customHeight="1" x14ac:dyDescent="0.55000000000000004">
      <c r="A6" s="78" t="s">
        <v>363</v>
      </c>
      <c r="B6" s="77"/>
      <c r="C6" s="77"/>
      <c r="D6" s="77"/>
      <c r="E6" s="77"/>
      <c r="F6" s="77"/>
    </row>
    <row r="7" spans="1:6" ht="18" customHeight="1" x14ac:dyDescent="0.55000000000000004">
      <c r="A7" s="3"/>
      <c r="B7" s="3" t="s">
        <v>364</v>
      </c>
      <c r="C7" s="3" t="s">
        <v>365</v>
      </c>
      <c r="D7" s="3" t="s">
        <v>366</v>
      </c>
      <c r="E7" s="3" t="s">
        <v>367</v>
      </c>
      <c r="F7" s="3"/>
    </row>
    <row r="8" spans="1:6" ht="48" customHeight="1" x14ac:dyDescent="0.55000000000000004">
      <c r="A8" s="7"/>
      <c r="B8" s="38" t="s">
        <v>368</v>
      </c>
      <c r="C8" s="39" t="s">
        <v>369</v>
      </c>
      <c r="D8" s="40" t="s">
        <v>370</v>
      </c>
      <c r="E8" s="41" t="s">
        <v>371</v>
      </c>
      <c r="F8" s="7"/>
    </row>
    <row r="9" spans="1:6" ht="52" customHeight="1" x14ac:dyDescent="0.55000000000000004">
      <c r="A9" s="7"/>
      <c r="B9" s="38" t="s">
        <v>372</v>
      </c>
      <c r="C9" s="39" t="s">
        <v>373</v>
      </c>
      <c r="D9" s="40" t="s">
        <v>374</v>
      </c>
      <c r="E9" s="41" t="s">
        <v>375</v>
      </c>
      <c r="F9" s="7"/>
    </row>
    <row r="10" spans="1:6" ht="44.05" customHeight="1" x14ac:dyDescent="0.55000000000000004">
      <c r="A10" s="7"/>
      <c r="B10" s="38" t="s">
        <v>376</v>
      </c>
      <c r="C10" s="39" t="s">
        <v>377</v>
      </c>
      <c r="D10" s="40" t="s">
        <v>378</v>
      </c>
      <c r="E10" s="41" t="s">
        <v>379</v>
      </c>
      <c r="F10" s="7"/>
    </row>
    <row r="11" spans="1:6" ht="44.05" customHeight="1" x14ac:dyDescent="0.55000000000000004">
      <c r="A11" s="7"/>
      <c r="B11" s="38" t="s">
        <v>380</v>
      </c>
      <c r="C11" s="39" t="s">
        <v>381</v>
      </c>
      <c r="D11" s="40" t="s">
        <v>382</v>
      </c>
      <c r="E11" s="41" t="s">
        <v>383</v>
      </c>
      <c r="F11" s="7"/>
    </row>
    <row r="12" spans="1:6" ht="44.05" customHeight="1" x14ac:dyDescent="0.55000000000000004">
      <c r="A12" s="7"/>
      <c r="B12" s="38" t="s">
        <v>384</v>
      </c>
      <c r="C12" s="39" t="s">
        <v>385</v>
      </c>
      <c r="D12" s="40" t="s">
        <v>386</v>
      </c>
      <c r="E12" s="41" t="s">
        <v>387</v>
      </c>
      <c r="F12" s="7"/>
    </row>
    <row r="13" spans="1:6" ht="40" customHeight="1" x14ac:dyDescent="0.55000000000000004">
      <c r="A13" s="7"/>
      <c r="B13" s="38" t="s">
        <v>388</v>
      </c>
      <c r="C13" s="39" t="s">
        <v>389</v>
      </c>
      <c r="D13" s="40" t="s">
        <v>390</v>
      </c>
      <c r="E13" s="41" t="s">
        <v>391</v>
      </c>
      <c r="F13" s="7"/>
    </row>
    <row r="14" spans="1:6" ht="40" customHeight="1" x14ac:dyDescent="0.55000000000000004">
      <c r="A14" s="7"/>
      <c r="B14" s="38" t="s">
        <v>392</v>
      </c>
      <c r="C14" s="39" t="s">
        <v>393</v>
      </c>
      <c r="D14" s="40" t="s">
        <v>394</v>
      </c>
      <c r="E14" s="41" t="s">
        <v>395</v>
      </c>
      <c r="F14" s="7"/>
    </row>
    <row r="15" spans="1:6" ht="5.05" customHeight="1" x14ac:dyDescent="0.55000000000000004">
      <c r="A15" s="2"/>
      <c r="B15" s="2"/>
      <c r="C15" s="2"/>
      <c r="D15" s="2"/>
      <c r="E15" s="2"/>
      <c r="F15" s="2"/>
    </row>
    <row r="16" spans="1:6" ht="26.05" customHeight="1" x14ac:dyDescent="0.55000000000000004">
      <c r="A16" s="127" t="s">
        <v>396</v>
      </c>
      <c r="B16" s="128"/>
      <c r="C16" s="128"/>
      <c r="D16" s="128"/>
      <c r="E16" s="128"/>
      <c r="F16" s="128"/>
    </row>
    <row r="17" spans="1:6" ht="18" customHeight="1" x14ac:dyDescent="0.55000000000000004">
      <c r="A17" s="3"/>
      <c r="B17" s="3" t="s">
        <v>364</v>
      </c>
      <c r="C17" s="3" t="s">
        <v>365</v>
      </c>
      <c r="D17" s="3" t="s">
        <v>366</v>
      </c>
      <c r="E17" s="3" t="s">
        <v>367</v>
      </c>
      <c r="F17" s="3"/>
    </row>
    <row r="18" spans="1:6" ht="44.05" customHeight="1" x14ac:dyDescent="0.55000000000000004">
      <c r="A18" s="42"/>
      <c r="B18" s="43" t="s">
        <v>397</v>
      </c>
      <c r="C18" s="44" t="s">
        <v>398</v>
      </c>
      <c r="D18" s="45" t="s">
        <v>399</v>
      </c>
      <c r="E18" s="46" t="s">
        <v>400</v>
      </c>
      <c r="F18" s="42"/>
    </row>
    <row r="19" spans="1:6" ht="36" customHeight="1" x14ac:dyDescent="0.55000000000000004">
      <c r="A19" s="42"/>
      <c r="B19" s="43" t="s">
        <v>401</v>
      </c>
      <c r="C19" s="44" t="s">
        <v>402</v>
      </c>
      <c r="D19" s="45" t="s">
        <v>403</v>
      </c>
      <c r="E19" s="46" t="s">
        <v>404</v>
      </c>
      <c r="F19" s="42"/>
    </row>
    <row r="20" spans="1:6" ht="40" customHeight="1" x14ac:dyDescent="0.55000000000000004">
      <c r="A20" s="42"/>
      <c r="B20" s="43" t="s">
        <v>405</v>
      </c>
      <c r="C20" s="44" t="s">
        <v>406</v>
      </c>
      <c r="D20" s="45" t="s">
        <v>407</v>
      </c>
      <c r="E20" s="46" t="s">
        <v>408</v>
      </c>
      <c r="F20" s="42"/>
    </row>
    <row r="21" spans="1:6" ht="36" customHeight="1" x14ac:dyDescent="0.55000000000000004">
      <c r="A21" s="42"/>
      <c r="B21" s="43" t="s">
        <v>409</v>
      </c>
      <c r="C21" s="44" t="s">
        <v>410</v>
      </c>
      <c r="D21" s="45" t="s">
        <v>411</v>
      </c>
      <c r="E21" s="46" t="s">
        <v>412</v>
      </c>
      <c r="F21" s="42"/>
    </row>
    <row r="22" spans="1:6" ht="5.05" customHeight="1" x14ac:dyDescent="0.55000000000000004">
      <c r="A22" s="2"/>
      <c r="B22" s="2"/>
      <c r="C22" s="2"/>
      <c r="D22" s="2"/>
      <c r="E22" s="2"/>
      <c r="F22" s="2"/>
    </row>
    <row r="23" spans="1:6" ht="26.05" customHeight="1" x14ac:dyDescent="0.55000000000000004">
      <c r="A23" s="130" t="s">
        <v>413</v>
      </c>
      <c r="B23" s="131"/>
      <c r="C23" s="131"/>
      <c r="D23" s="131"/>
      <c r="E23" s="131"/>
      <c r="F23" s="131"/>
    </row>
    <row r="24" spans="1:6" ht="18" customHeight="1" x14ac:dyDescent="0.55000000000000004">
      <c r="A24" s="47"/>
      <c r="B24" s="47" t="s">
        <v>364</v>
      </c>
      <c r="C24" s="47" t="s">
        <v>5</v>
      </c>
      <c r="D24" s="47" t="s">
        <v>414</v>
      </c>
      <c r="E24" s="47" t="s">
        <v>227</v>
      </c>
      <c r="F24" s="47"/>
    </row>
    <row r="25" spans="1:6" ht="48" customHeight="1" x14ac:dyDescent="0.55000000000000004">
      <c r="A25" s="48"/>
      <c r="B25" s="49" t="s">
        <v>415</v>
      </c>
      <c r="C25" s="50" t="s">
        <v>229</v>
      </c>
      <c r="D25" s="51" t="s">
        <v>416</v>
      </c>
      <c r="E25" s="52" t="s">
        <v>417</v>
      </c>
      <c r="F25" s="48"/>
    </row>
    <row r="26" spans="1:6" ht="48" customHeight="1" x14ac:dyDescent="0.55000000000000004">
      <c r="A26" s="53"/>
      <c r="B26" s="54" t="s">
        <v>418</v>
      </c>
      <c r="C26" s="55" t="s">
        <v>233</v>
      </c>
      <c r="D26" s="56" t="s">
        <v>419</v>
      </c>
      <c r="E26" s="57" t="s">
        <v>417</v>
      </c>
      <c r="F26" s="53"/>
    </row>
    <row r="27" spans="1:6" ht="48" customHeight="1" x14ac:dyDescent="0.55000000000000004">
      <c r="A27" s="53"/>
      <c r="B27" s="54" t="s">
        <v>420</v>
      </c>
      <c r="C27" s="55" t="s">
        <v>236</v>
      </c>
      <c r="D27" s="56" t="s">
        <v>421</v>
      </c>
      <c r="E27" s="57" t="s">
        <v>417</v>
      </c>
      <c r="F27" s="53"/>
    </row>
    <row r="28" spans="1:6" ht="48" customHeight="1" x14ac:dyDescent="0.55000000000000004">
      <c r="A28" s="48"/>
      <c r="B28" s="49" t="s">
        <v>422</v>
      </c>
      <c r="C28" s="50" t="s">
        <v>239</v>
      </c>
      <c r="D28" s="51" t="s">
        <v>423</v>
      </c>
      <c r="E28" s="52" t="s">
        <v>417</v>
      </c>
      <c r="F28" s="48"/>
    </row>
    <row r="29" spans="1:6" ht="48" customHeight="1" x14ac:dyDescent="0.55000000000000004">
      <c r="A29" s="48"/>
      <c r="B29" s="49" t="s">
        <v>424</v>
      </c>
      <c r="C29" s="50" t="s">
        <v>425</v>
      </c>
      <c r="D29" s="51" t="s">
        <v>426</v>
      </c>
      <c r="E29" s="52" t="s">
        <v>417</v>
      </c>
      <c r="F29" s="48"/>
    </row>
    <row r="30" spans="1:6" ht="48" customHeight="1" x14ac:dyDescent="0.55000000000000004">
      <c r="A30" s="48"/>
      <c r="B30" s="49" t="s">
        <v>427</v>
      </c>
      <c r="C30" s="50" t="s">
        <v>248</v>
      </c>
      <c r="D30" s="51" t="s">
        <v>249</v>
      </c>
      <c r="E30" s="52" t="s">
        <v>417</v>
      </c>
      <c r="F30" s="48"/>
    </row>
    <row r="31" spans="1:6" ht="48" customHeight="1" x14ac:dyDescent="0.55000000000000004">
      <c r="A31" s="48"/>
      <c r="B31" s="49" t="s">
        <v>428</v>
      </c>
      <c r="C31" s="50" t="s">
        <v>257</v>
      </c>
      <c r="D31" s="51" t="s">
        <v>429</v>
      </c>
      <c r="E31" s="52" t="s">
        <v>417</v>
      </c>
      <c r="F31" s="48"/>
    </row>
    <row r="32" spans="1:6" ht="48" customHeight="1" x14ac:dyDescent="0.55000000000000004">
      <c r="A32" s="48"/>
      <c r="B32" s="49" t="s">
        <v>430</v>
      </c>
      <c r="C32" s="50" t="s">
        <v>431</v>
      </c>
      <c r="D32" s="51" t="s">
        <v>432</v>
      </c>
      <c r="E32" s="52" t="s">
        <v>417</v>
      </c>
      <c r="F32" s="48"/>
    </row>
    <row r="33" spans="1:6" ht="48" customHeight="1" x14ac:dyDescent="0.55000000000000004">
      <c r="A33" s="48"/>
      <c r="B33" s="49" t="s">
        <v>433</v>
      </c>
      <c r="C33" s="50" t="s">
        <v>260</v>
      </c>
      <c r="D33" s="51" t="s">
        <v>261</v>
      </c>
      <c r="E33" s="52" t="s">
        <v>417</v>
      </c>
      <c r="F33" s="48"/>
    </row>
    <row r="34" spans="1:6" ht="48" customHeight="1" x14ac:dyDescent="0.55000000000000004">
      <c r="A34" s="48"/>
      <c r="B34" s="49" t="s">
        <v>434</v>
      </c>
      <c r="C34" s="50" t="s">
        <v>435</v>
      </c>
      <c r="D34" s="51" t="s">
        <v>436</v>
      </c>
      <c r="E34" s="52" t="s">
        <v>417</v>
      </c>
      <c r="F34" s="48"/>
    </row>
    <row r="35" spans="1:6" ht="5.05" customHeight="1" x14ac:dyDescent="0.55000000000000004">
      <c r="A35" s="2"/>
      <c r="B35" s="2"/>
      <c r="C35" s="2"/>
      <c r="D35" s="2"/>
      <c r="E35" s="2"/>
      <c r="F35" s="2"/>
    </row>
    <row r="36" spans="1:6" ht="52" customHeight="1" x14ac:dyDescent="0.55000000000000004">
      <c r="A36" s="123" t="s">
        <v>437</v>
      </c>
      <c r="B36" s="124"/>
      <c r="C36" s="124"/>
      <c r="D36" s="124"/>
      <c r="E36" s="124"/>
      <c r="F36" s="124"/>
    </row>
  </sheetData>
  <mergeCells count="8">
    <mergeCell ref="A2:F2"/>
    <mergeCell ref="A16:F16"/>
    <mergeCell ref="A36:F36"/>
    <mergeCell ref="A1:F1"/>
    <mergeCell ref="A5:F5"/>
    <mergeCell ref="A23:F23"/>
    <mergeCell ref="A6:F6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2026-04-04T15:35:22Z</dcterms:created>
  <dcterms:modified xsi:type="dcterms:W3CDTF">2026-04-04T15:40:41Z</dcterms:modified>
</cp:coreProperties>
</file>