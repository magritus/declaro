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V BEYANNAMESİ SATIRLARI/"/>
    </mc:Choice>
  </mc:AlternateContent>
  <xr:revisionPtr revIDLastSave="0" documentId="8_{A1ECFF04-E0AC-4776-9642-58C21FFD0A0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" sheetId="2" r:id="rId2"/>
    <sheet name="MUHASEBE KAYITLARI" sheetId="3" r:id="rId3"/>
    <sheet name="DENETÇİ NOTLARI" sheetId="4" r:id="rId4"/>
    <sheet name="BELGE LİSTESİ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2" l="1"/>
  <c r="H31" i="2"/>
  <c r="H30" i="2"/>
  <c r="H29" i="2"/>
  <c r="H28" i="2"/>
  <c r="G32" i="2"/>
  <c r="G31" i="2"/>
  <c r="G30" i="2"/>
  <c r="G29" i="2"/>
  <c r="G28" i="2"/>
  <c r="C33" i="1"/>
  <c r="D8" i="2"/>
  <c r="D10" i="2"/>
  <c r="D7" i="2"/>
  <c r="D6" i="2"/>
  <c r="C34" i="1"/>
  <c r="F39" i="1" s="1"/>
  <c r="C32" i="1"/>
  <c r="E33" i="2"/>
  <c r="H23" i="2"/>
  <c r="H22" i="2"/>
  <c r="H21" i="2"/>
  <c r="H20" i="2"/>
  <c r="H19" i="2"/>
  <c r="H18" i="2"/>
  <c r="D13" i="2"/>
  <c r="D26" i="1"/>
  <c r="G25" i="1"/>
  <c r="G24" i="1"/>
  <c r="G23" i="1"/>
  <c r="G22" i="1"/>
  <c r="G21" i="1"/>
  <c r="D9" i="2" l="1"/>
  <c r="C37" i="1"/>
  <c r="D37" i="2"/>
  <c r="C36" i="1"/>
  <c r="D11" i="2" s="1"/>
  <c r="D12" i="2" l="1"/>
  <c r="D38" i="2"/>
  <c r="F40" i="1"/>
</calcChain>
</file>

<file path=xl/sharedStrings.xml><?xml version="1.0" encoding="utf-8"?>
<sst xmlns="http://schemas.openxmlformats.org/spreadsheetml/2006/main" count="444" uniqueCount="301">
  <si>
    <t>HESAPLANAN VERGİ İNDİRİMİ  |  GVK Mük. Md.121 — Vergiye Uyumlu Mükelleflere %5 İndirim  |  KV Beyanname  |  YMM TASDİK</t>
  </si>
  <si>
    <t>Şirket: ___________________  |  VKN: _______________  |  Dönem: 01.01.2026 – 31.12.2026  |  Hazırlayan: _______________</t>
  </si>
  <si>
    <t xml:space="preserve">  GVK MÜK. MD.121 — VERGİYE UYUMLU MÜKELLEFLERE VERGİ İNDİRİMİ:
  Ticari, zirai veya mesleki faaliyeti nedeniyle gelir vergisi mükellefi olanlar ile
  kurumlar vergisi mükellefleri (Finans, bankacılık, sigorta, reasürans, emeklilik
  şirketleri ile emeklilik yatırım fonları KAPSAM DIŞI) belirlenen şartları sağlıyorsa
  hesaplanan verginin %5'ini ödenmesi gereken vergiden indirebilir.
  ★ HESAPLAMA: Hesaplanan KV × %5 = İndirim Tutarı (Üst Sınır: ~12.400.000 TL — 2026)
  ★ MAHSUP SIRASI: Önce KV → Artanı beyanname tarihini izleyen 1 yıl içinde
    diğer vergilerden mahsup → Kalan iade EDİLMEZ.
  ★ ŞART İHLALİ: Sonradan tespit halinde vergi ziyaı cezasız geri alınır ancak gecikme
    faizi uygulanır.</t>
  </si>
  <si>
    <t xml:space="preserve">  ★ KAPSAM DIŞI KURUMLAR: Finans ve bankacılık sektöründe faaliyet gösterenler,
  sigorta ve reasürans şirketleri, emeklilik şirketleri ve emeklilik yatırım fonları
  GVK Mük.121 indiriminden yararlanamaz.
  ★ 2026 ÜST SINIR: 2025 sınırı 9.900.000 TL olup %49 YD oranıyla güncellenerek
  2026 için ~12.400.000 TL olması beklenmektedir (GVK Mük.121 f.4 YD hükmü).
  Resmi Gazete'de yayımlanacak tebliğ ile netleşecektir.</t>
  </si>
  <si>
    <t>A. GENEL BİLGİLER VE 2026 PARAMETRELERİ</t>
  </si>
  <si>
    <t>Kurumun Unvanı</t>
  </si>
  <si>
    <t>Tam ticaret unvanı</t>
  </si>
  <si>
    <t>VKN</t>
  </si>
  <si>
    <t>10 haneli VKN</t>
  </si>
  <si>
    <t>Hesap Dönemi</t>
  </si>
  <si>
    <t>01.01.2026 – 31.12.2026</t>
  </si>
  <si>
    <t>Sektör / Kapsam Kontrolü</t>
  </si>
  <si>
    <t>Finans/Bankacılık/Sigorta/Emeklilik → Kapsam Dışı</t>
  </si>
  <si>
    <t>Finans/Banka/Sigorta/Emeklilik → KAPSAM DIŞI</t>
  </si>
  <si>
    <t>İndirim Oranı (%5)</t>
  </si>
  <si>
    <t>124.000</t>
  </si>
  <si>
    <t>GVK Mük.121 — Sabit oran</t>
  </si>
  <si>
    <t>★ 2026 İndirim Üst Sınırı (~TL)</t>
  </si>
  <si>
    <t>12.400.000</t>
  </si>
  <si>
    <t>GVK Mük.121 f.4 — YD oranı ile güncellenir — Resmi Gazete teyidi zorunlu (Beklenen: ~12.400.000 TL)</t>
  </si>
  <si>
    <t>Tarhiyat Sınırı (%1 = ~124.000 TL)</t>
  </si>
  <si>
    <t>Üst sınırın %1'i — Bu tutarı aşmayan kesinleşmiş tarhiyat şartı ihlal saymaz</t>
  </si>
  <si>
    <t>Vadesi Geçmiş Borç Sınırı</t>
  </si>
  <si>
    <t>1.000</t>
  </si>
  <si>
    <t>1.000 TL — Bu tutarı aşan vergi borcu şartı ihlal eder</t>
  </si>
  <si>
    <t>Dosya Referansı</t>
  </si>
  <si>
    <t>YMM-2026/VUM-01</t>
  </si>
  <si>
    <t>B. GVK MÜK. MD.121 UYGUNLUK ŞARTLARI KONTROL MATRİSİ — 5 ŞART</t>
  </si>
  <si>
    <t xml:space="preserve">  Tüm 5 şartın EKSİKSİZ karşılanması gerekir. Tek şartın ihlali → İndirim HakkI KAYBEDİLİR (cari yıl + 2 yıl yasak). ★ Şartlar beyanname VERİLDİĞİ TARİH itibarıyla değerlendirilir.</t>
  </si>
  <si>
    <t>Şart</t>
  </si>
  <si>
    <t>Kapsadığı Dönem</t>
  </si>
  <si>
    <t>Durum</t>
  </si>
  <si>
    <t>Kontrol Sonucu</t>
  </si>
  <si>
    <t>Açıklama</t>
  </si>
  <si>
    <t>Ş1</t>
  </si>
  <si>
    <t>★ Son 3 Yıl Beyanname Kanuni Süresinde Verilmesi
(2024, 2025, 2026 KV + Diğer Tüm Beyannameler)</t>
  </si>
  <si>
    <t>2024–2026 hesap dönemleri</t>
  </si>
  <si>
    <t>EVET — Şart Karşılandı</t>
  </si>
  <si>
    <t>Düzeltme/pişmanlık beyannamesi şartı ihlal saymaz. GVK Mük.121/1</t>
  </si>
  <si>
    <t>Ş2</t>
  </si>
  <si>
    <t>★ Son 3 Yıl Tahakkuk Eden Vergilerin Süresinde Ödenmesi
(Beyanname tarihi itibarıyla — 1.000 TL vadesi geçmiş borç sınırı)</t>
  </si>
  <si>
    <t>2024–2026 + Beyanname tarihi</t>
  </si>
  <si>
    <t>İade alacağından mahsuben ödeme kabul. 1.000 TL borç sınırı. GVK Mük.121/2</t>
  </si>
  <si>
    <t>Ş3</t>
  </si>
  <si>
    <t>★ Son 3 Yıl Kesinleşmiş Tarhiyat Bulunmaması
(Veya Tarhiyat Toplamı Üst Sınırın %1'ini ≤ ~124.000 TL Aşmaması)</t>
  </si>
  <si>
    <t>Kesinleşme şartı: Uzlaşma + yargı kararı + idari kesinleşme. GVK Mük.121/2</t>
  </si>
  <si>
    <t>Ş4</t>
  </si>
  <si>
    <t>★ Son 5 Yıl VUK Md.359 Kaçakçılık Fiili Tespitinin Bulunmaması
(Sahte/yanıltıcı belge, defter tahrifi, muhasebe hileleri vb.)</t>
  </si>
  <si>
    <t>Son 5 takvim yılı</t>
  </si>
  <si>
    <t>VUK Md.359 kapsamı: Sahte belge, defter tahrifi, muhasebe hileleri. GVK Mük.121/2</t>
  </si>
  <si>
    <t>Ş5</t>
  </si>
  <si>
    <t>Finans/Bankacılık/Sigorta/Emeklilik Sektörü Dışında Faaliyet
(Kapsam Dışı Sektörlerde Faaliyet → İndirim Hakkı Yok)</t>
  </si>
  <si>
    <t>Cari dönem</t>
  </si>
  <si>
    <t>GVK Mük.121/1: Finans, bankacılık, sigorta, reasürans, emeklilik kapsam dışı</t>
  </si>
  <si>
    <t>★ GENEL UYGUNLUK SONUCU</t>
  </si>
  <si>
    <t>C. VERGİ İNDİRİMİ TUTARI HESABI</t>
  </si>
  <si>
    <t>Hesap Kalemi</t>
  </si>
  <si>
    <t>Tutar (TL)</t>
  </si>
  <si>
    <t>Kaynak</t>
  </si>
  <si>
    <t>C.1  Hesaplanan Kurumlar Vergisi (KV Beyanname)</t>
  </si>
  <si>
    <t>KV Matrahı × KV Oranı — beyanname 'Hesaplanan KV' satırı</t>
  </si>
  <si>
    <t>KV Beyanname</t>
  </si>
  <si>
    <t>C.2  İndirim Oranı</t>
  </si>
  <si>
    <t>%5</t>
  </si>
  <si>
    <t>GVK Mük.121 — Sabit %5</t>
  </si>
  <si>
    <t>GVK Mük.121/1</t>
  </si>
  <si>
    <t>C.3  Ham İndirim Tutarı (C.1 × %5)</t>
  </si>
  <si>
    <t>Hesaplanan KV × %5 — Üst sınır ve uygunluk kontrolü yapılmadan önce</t>
  </si>
  <si>
    <t>Formül</t>
  </si>
  <si>
    <t>C.4  ★ 2026 İndirim Üst Sınırı (~12.400.000 TL)</t>
  </si>
  <si>
    <t>GVK Mük.121 f.4: YD oranıyla güncellenen azami tutar. Resmi Gazete teyidi zorunlu.</t>
  </si>
  <si>
    <t>GVK Mük.121 f.4</t>
  </si>
  <si>
    <t>C.5  ★ HESAPLANAN VERGİ İNDİRİMİ TUTARI = MIN(C.3, C.4)</t>
  </si>
  <si>
    <t>→ Beyanname: Hesaplanan Vergi İndirimi Tutarı (Hes. KV × %5)</t>
  </si>
  <si>
    <t>GVK Mük.121</t>
  </si>
  <si>
    <t>C.6  Ödenmesi Gereken KV (İndirim Öncesi)</t>
  </si>
  <si>
    <t>Beyanname 'Ödenmesi Gereken KV' — İndirim uygulanmadan önceki tutar</t>
  </si>
  <si>
    <t>C.7  ★ İNDİRİMDEN SONRA ÖDENECEK KV</t>
  </si>
  <si>
    <t>C.8  Devreden İndirim (Diğer Vergilere Mahsup)</t>
  </si>
  <si>
    <t>Vergi İndirimi &gt; Ödenmesi Gereken KV → Kalan 1 yıl diğer vergilerden mahsup</t>
  </si>
  <si>
    <t>GVK Mük.121/3</t>
  </si>
  <si>
    <t>D.1  BEYANNAME SATIRI → Hesaplanan Vergi İndirimi Tutarı (Hesaplanan KV × %5)</t>
  </si>
  <si>
    <t>MIN(Hes.KV × %5, ~12.400.000 TL Üst Sınır) | Tüm 5 şart sağlandıysa</t>
  </si>
  <si>
    <t>D.2  Devreden İndirim Tutarı (1 Yıl Süre ile Diğer Vergilerden Mahsup)</t>
  </si>
  <si>
    <t>GVK Mük.121/3 — 1 yıl geçmesi → İade YOK</t>
  </si>
  <si>
    <t xml:space="preserve">  ★ KRİTİK: (1) 5 ŞARTIN TAMAMININ SAĞLANMASI — tek ihlal tüm indirimi kaybettirir.
  (2) ÜST SINIR — 2026 resmi tebliğ ile netleştirilmeli (~12.400.000 TL).
  (3) MAHSUP SÜRESİ — Kalan indirim 1 yıl içinde mahsup, ardından iade YOK.
  (4) ŞART İHLAL TESPİTİ — Cezasız tarhiyat + gecikme faizi uygulanır.
  (5) 3 YIL KAPSAM DIŞI — Şartı ihlal eden mükellef 3 yıl indirimden yararlanamaz.</t>
  </si>
  <si>
    <t>HESAPLAMALAR  |  3 Yıl Beyanname &amp; Ödeme Takibi  |  Tarhiyat Tablosu  |  Mahsup Planı</t>
  </si>
  <si>
    <t>GVK Mük.Md.121 | Son 3 Yıl Şart Kontrolü | Üst Sınır | Mahsup Sırası | Süre Takibi</t>
  </si>
  <si>
    <t>A. HESAPLAMA ÖZETİ</t>
  </si>
  <si>
    <t>Parametre</t>
  </si>
  <si>
    <t>Değer</t>
  </si>
  <si>
    <t>Hesaplanan KV</t>
  </si>
  <si>
    <t>Beyanname hesaplanan KV</t>
  </si>
  <si>
    <t>× %5 İndirim Oranı</t>
  </si>
  <si>
    <t>Ham indirim tutarı</t>
  </si>
  <si>
    <t>2026 Üst Sınır (Parametre)</t>
  </si>
  <si>
    <t>~12.400.000 TL (Beklenen)</t>
  </si>
  <si>
    <t>★ HESAPLANAN VERGİ İNDİRİMİ</t>
  </si>
  <si>
    <t>MIN(Ham, Üst Sınır) + Uygunluk</t>
  </si>
  <si>
    <t>Ödenmesi Gereken KV</t>
  </si>
  <si>
    <t>Beyanname ödenmesi gereken KV</t>
  </si>
  <si>
    <t>İndirimden Sonra Ödenecek KV</t>
  </si>
  <si>
    <t>MAX(0, Ödenmesi Gereken − İndirim)</t>
  </si>
  <si>
    <t>Devreden İndirim (Mahsup)</t>
  </si>
  <si>
    <t>1 yıl içinde diğer vergilerden mahsup</t>
  </si>
  <si>
    <t>Genel Uygunluk Sonucu</t>
  </si>
  <si>
    <t>5 şart kontrolü</t>
  </si>
  <si>
    <t>GVK Mük.121/2</t>
  </si>
  <si>
    <t>B. SON 3 YIL BEYANNAME KANUNİ SÜRE KONTROL TABLOSU (Ş1)</t>
  </si>
  <si>
    <t xml:space="preserve">  Son 3 yıl (2024, 2025, 2026) tüm beyanname türleri kontrol edilir. Düzeltme veya pişmanlık beyannamesi → Şartı ihlal saymaz. Ancak geç verilen ilk beyanname → Şartı ihlal eder.</t>
  </si>
  <si>
    <t>Beyanname Türü</t>
  </si>
  <si>
    <t>2024 Dönemi</t>
  </si>
  <si>
    <t>2025 Dönemi</t>
  </si>
  <si>
    <t>2026 Dönemi</t>
  </si>
  <si>
    <t>Sonuç</t>
  </si>
  <si>
    <t>1</t>
  </si>
  <si>
    <t>KV Yıllık Beyanname</t>
  </si>
  <si>
    <t>Süresinde ✓</t>
  </si>
  <si>
    <t>2</t>
  </si>
  <si>
    <t>Muhtasar ve Prim Hizmet Beyannamesi</t>
  </si>
  <si>
    <t>3</t>
  </si>
  <si>
    <t>KDV Beyannameleri (Tüm Dönemler)</t>
  </si>
  <si>
    <t>4</t>
  </si>
  <si>
    <t>Damga Vergisi Beyannamesi</t>
  </si>
  <si>
    <t>5</t>
  </si>
  <si>
    <t>Geçici Vergi Beyannameleri</t>
  </si>
  <si>
    <t>6</t>
  </si>
  <si>
    <t>Diğer Beyannameler (Varsa)</t>
  </si>
  <si>
    <t>C. SON 3 YIL KESİNLEŞMİŞ TARHİYAT TABLOSU (Ş3)</t>
  </si>
  <si>
    <t xml:space="preserve">  Tarhiyatın kesinleşme şekilleri: Uzlaşma, yargı kararı, idari kesinleşme. Tarhiyat toplamı ≤ Üst Sınırın %1'i (~124.000 TL) ise şartı ihlal saymaz. ★ Gecikme faizi ve vergi cezası dahil toplam bakiyeye bakılır.</t>
  </si>
  <si>
    <t>Tarhiyat Konusu</t>
  </si>
  <si>
    <t>Kesinleşme Tarihi</t>
  </si>
  <si>
    <t>Vergi Türü</t>
  </si>
  <si>
    <t>Tarhiyat Tutarı (TL)</t>
  </si>
  <si>
    <t>Kesinleşme Şekli</t>
  </si>
  <si>
    <t>Üst Sınır %1 İçinde?</t>
  </si>
  <si>
    <t>Şart Durumu</t>
  </si>
  <si>
    <t>Yok</t>
  </si>
  <si>
    <t>TOPLAM TARHİYAT</t>
  </si>
  <si>
    <t>D. VERGİ İNDİRİMİ MAHSUP SIRASI VE SÜRE PLANI</t>
  </si>
  <si>
    <t>Mahsup Aşaması</t>
  </si>
  <si>
    <t>Süre/Kural</t>
  </si>
  <si>
    <t>1. Aşama: Ödenmesi Gereken KV'den Mahsup (Önce)</t>
  </si>
  <si>
    <t>Beyanname 'Hesaplanan Vergi İndirimi Tutarı' satırı</t>
  </si>
  <si>
    <t>2. Aşama: Kalan → Diğer Vergilerden Mahsup</t>
  </si>
  <si>
    <t>Beyanname verilme tarihini izleyen 1 tam yıl içinde</t>
  </si>
  <si>
    <t>3. Aşama: Süre Geçen Kalan → İADE YOKTUR</t>
  </si>
  <si>
    <t>—</t>
  </si>
  <si>
    <t>1 yıl dolunca kalan tutar iade EDİLEMEZ — talep de kabul görmez</t>
  </si>
  <si>
    <t>MUHASEBE KAYITLARI  |  370/371/193/136 Hesaplar  |  Vergi İndirimi &amp; Mahsup</t>
  </si>
  <si>
    <t>GVK Mük.121 | KV Tahakkuk | İndirim Kayıtları | Diğer Vergilerden Mahsup</t>
  </si>
  <si>
    <t xml:space="preserve">  ÖNEMLİ NOT: Vergi indirimi (GVK Mük.121) muhasebe kaydı KV tahakkuk kaydı ile birlikte yapılır. İndirim beyanname üzerinde uygulanır — ayrı bir muhasebe yevmiyesi gerekmez. Ancak devreden indirim tutarı için alacak takibi 136 hesap üzerinden yapılabilir.</t>
  </si>
  <si>
    <t>KAYIT 1 — DÖNEM SONU KV TAHAKKUKU — VERGİ İNDİRİMİ SONRASI</t>
  </si>
  <si>
    <t>Hesap</t>
  </si>
  <si>
    <t>Hesap Adı</t>
  </si>
  <si>
    <t>Borç</t>
  </si>
  <si>
    <t>Alacak</t>
  </si>
  <si>
    <t>Belge</t>
  </si>
  <si>
    <t>Dr</t>
  </si>
  <si>
    <t>370</t>
  </si>
  <si>
    <t>Dönem Karı Vergi ve Diğer Yük.</t>
  </si>
  <si>
    <t>KV tahakkuku (indirim uygulandıktan sonra) — [Ödenecek KV] + [Devreden İndirim]</t>
  </si>
  <si>
    <t>[Toplam]</t>
  </si>
  <si>
    <t>Kr</t>
  </si>
  <si>
    <t>371</t>
  </si>
  <si>
    <t>Dönem Karı Vergi Yük. Karşılığı</t>
  </si>
  <si>
    <t>Ödenmesi gereken KV (indirim sonrası)</t>
  </si>
  <si>
    <t>[Ödenecek]</t>
  </si>
  <si>
    <t>Tahakkuk</t>
  </si>
  <si>
    <t>KAYIT 2 — KV ÖDEMESİ</t>
  </si>
  <si>
    <t>Beyanname üzerinden ödenmesi gereken KV</t>
  </si>
  <si>
    <t>Dekont</t>
  </si>
  <si>
    <t>KAYIT 3 — DEVREDEN İNDİRİMİN DİĞER VERGİDEN MAHSUBU (1 Yıl İçinde)</t>
  </si>
  <si>
    <t>360</t>
  </si>
  <si>
    <t>Ödenecek Vergi ve Fonlar</t>
  </si>
  <si>
    <t>Mahsup edilen diğer vergi borcu (örn: KDV, stopaj)</t>
  </si>
  <si>
    <t>[Mahsup]</t>
  </si>
  <si>
    <t>Beyan</t>
  </si>
  <si>
    <t>KAYIT 4 — ŞART İHLAL TESPİTİ — GERİ ALMA (Cezasız, Faizli)</t>
  </si>
  <si>
    <t>689</t>
  </si>
  <si>
    <t>Diğer Olağandışı Gider (Gecikme Faizi)</t>
  </si>
  <si>
    <t>GVK Mük.121 şartının sonradan ihlali → Cezasız tarhiyat + gecikme faizi</t>
  </si>
  <si>
    <t>[Faiz]</t>
  </si>
  <si>
    <t>VUK</t>
  </si>
  <si>
    <t>Dönem Karı Vergi</t>
  </si>
  <si>
    <t>İndirim dönemi için ek tahakkuk</t>
  </si>
  <si>
    <t>[İndirim]</t>
  </si>
  <si>
    <t>Ödenecek Vergi</t>
  </si>
  <si>
    <t>Geri alınan KV borcu</t>
  </si>
  <si>
    <t>Tarhiyat</t>
  </si>
  <si>
    <t>DENETÇİ NOTLARI  |  Risk Haritası &amp; Check-list  |  GVK Mük.Md.121  |  YMM TASDİK</t>
  </si>
  <si>
    <t>5 Şart Kontrolü | Kapsam Dışı | Tarhiyat Sınırı | Mahsup Süresi | Şart İhlali Sonuçları</t>
  </si>
  <si>
    <t>A. RİSK HARİTASI</t>
  </si>
  <si>
    <t>Kod</t>
  </si>
  <si>
    <t>Risk Konusu</t>
  </si>
  <si>
    <t>Risk Açıklaması</t>
  </si>
  <si>
    <t>Risk Seviyesi</t>
  </si>
  <si>
    <t>►</t>
  </si>
  <si>
    <t>R1</t>
  </si>
  <si>
    <t>Kapsam Dışı Sektör Tespiti</t>
  </si>
  <si>
    <t>Finans, bankacılık, sigorta, reasürans, emeklilik şirketi veya emeklilik yatırım fonu ise indirimden yararlanamaz. 'Bankacılık benzeri' faaliyetlerin kapsama girip girmediği özelge ile teyit edilmeli. Kapsam dışı olmasına rağmen indirim uygulamak → ÇOK YÜKSEK risk.</t>
  </si>
  <si>
    <t>ÇOK YÜKSEK</t>
  </si>
  <si>
    <t>R2</t>
  </si>
  <si>
    <t>Geç Verilen Beyanname (Ş1 İhlali)</t>
  </si>
  <si>
    <t>Son 3 yılda (2024, 2025, 2026) tüm beyanname türleri kontrol edilir. Tek bir beyannamenin geç verilmesi tüm indirimi kaybettirir. Düzeltme/pişmanlık beyannameleri bu şartı ihlal saymaz.</t>
  </si>
  <si>
    <t>R3</t>
  </si>
  <si>
    <t>Vadesi Geçmiş 1.000 TL+ Vergi Borcu (Ş2 İhlali)</t>
  </si>
  <si>
    <t>Beyanname verildiği tarih itibarıyla 1.000 TL'yi aşan vadesi geçmiş vergi borcu indirimi engeller. İndirimden sonra borcun tespit edilmesi → Cezasız tarhiyat + faiz. Mahsuben ödeme yolunun açık olup olmadığı kontrol edilmeli.</t>
  </si>
  <si>
    <t>YÜKSEK</t>
  </si>
  <si>
    <t>R4</t>
  </si>
  <si>
    <t>Kesinleşmiş Tarhiyat Sınırı Aşımı (Ş3 İhlali)</t>
  </si>
  <si>
    <t>Son 3 yılda kesinleşmiş tarhiyat toplamı üst sınırın %1'ini (~124.000 TL) aşıyorsa Ş3 ihlal edilmiş sayılır. Kesinleşme şekli önemli: Uzlaşma, yargı kararı, idari kesinleşme. İtiraz veya dava aşamasındaki tarhiyat henüz kesinleşmemiştir.</t>
  </si>
  <si>
    <t>R5</t>
  </si>
  <si>
    <t>VUK Md.359 Kaçakçılık Fiili (Ş4 İhlali)</t>
  </si>
  <si>
    <t>Son 5 yılda sahte/yanıltıcı belge düzenleme veya kullanma, defter tahrifi, muhasebe hileleri gibi VUK Md.359 kapsamı fiillerin tespiti indirimi engeller. İnceleme devam ediyorsa henüz kesinleşmemiş olabilir — YMM değerlendirmesi gerekli.</t>
  </si>
  <si>
    <t>R6</t>
  </si>
  <si>
    <t>Üst Sınır Güncelleme Takibi</t>
  </si>
  <si>
    <t>2026 yılı için geçerli üst sınır (~12.400.000 TL) Resmi Gazete'de yayımlanacak tebliğle netleşecektir. Resmi teyit yapılmadan eski sınır kullanılması → Eksik/fazla indirim. Her yıl beyanname döneminde güncel sınır kontrol edilmelidir.</t>
  </si>
  <si>
    <t>R7</t>
  </si>
  <si>
    <t>Mahsup Süresi Kaçırma</t>
  </si>
  <si>
    <t>Devreden indirim tutarı beyanname tarihini izleyen 1 tam yıl içinde diğer vergilerden mahsup edilmezse kalıcı olarak kaybolur. İade hakkı bulunmamaktadır. Takvim takibi zorunludur.</t>
  </si>
  <si>
    <t>ORTA</t>
  </si>
  <si>
    <t>R8</t>
  </si>
  <si>
    <t>Şart İhlalinin Sonradan Tespiti</t>
  </si>
  <si>
    <t>İndirimden yararlanıldıktan sonra şartı sağlamadığı tespit edilen mükelleften vergi ziyaı cezası uygulanmaksızın geri alınır ancak gecikme faizi uygulanır. Aynı zamanda sonraki 3 yıl da indirimden yararlanamaz.</t>
  </si>
  <si>
    <t>B. YMM DENETİM CHECK-LIST</t>
  </si>
  <si>
    <t>Adım</t>
  </si>
  <si>
    <t>Kontrol / Prosedür</t>
  </si>
  <si>
    <t>Dayanak</t>
  </si>
  <si>
    <t>✦</t>
  </si>
  <si>
    <t>C1</t>
  </si>
  <si>
    <t>Sektör kontrolü — kapsam içi mi? (Finans/sigorta/emeklilik?)</t>
  </si>
  <si>
    <t>Yapılmadı ✗</t>
  </si>
  <si>
    <t>C2</t>
  </si>
  <si>
    <t>Son 3 yıl (2024-2026) tüm beyannamelerin kanuni süre kontrolü yapıldı mı?</t>
  </si>
  <si>
    <t>GVK Mük.121/2-1</t>
  </si>
  <si>
    <t>C3</t>
  </si>
  <si>
    <t>Beyanname verildiği tarih itibarıyla 1.000 TL+ vadesi geçmiş borç sorgusu yapıldı mı?</t>
  </si>
  <si>
    <t>GVK Mük.121/2-2</t>
  </si>
  <si>
    <t>C4</t>
  </si>
  <si>
    <t>Son 3 yıl kesinleşmiş tarhiyat araştırması yapıldı mı?</t>
  </si>
  <si>
    <t>C5</t>
  </si>
  <si>
    <t>Tarhiyat toplamının üst sınır %1'ini (~124.000 TL) aşmadığı teyit edildi mi?</t>
  </si>
  <si>
    <t>C6</t>
  </si>
  <si>
    <t>Son 5 yıl VUK Md.359 kapsamı fiil araştırması yapıldı mı?</t>
  </si>
  <si>
    <t>GVK Mük.121/2-3</t>
  </si>
  <si>
    <t>C7</t>
  </si>
  <si>
    <t>★ 2026 güncel üst sınır (~12.400.000 TL) Resmi Gazete'den teyit edildi mi?</t>
  </si>
  <si>
    <t>C8</t>
  </si>
  <si>
    <t>İndirim hesabı: MIN(Hes.KV × %5, Üst Sınır) formülü doğru uygulandı mı?</t>
  </si>
  <si>
    <t>C9</t>
  </si>
  <si>
    <t>Ödenmesi gereken KV'den indirim mahsubu yapıldı mı?</t>
  </si>
  <si>
    <t>C10</t>
  </si>
  <si>
    <t>Kalan devreden indirim tutarı 136 hesapta takibe alındı mı?</t>
  </si>
  <si>
    <t>C11</t>
  </si>
  <si>
    <t>Mahsup süresi (1 yıl) için takvim hatırlatma oluşturuldu mu?</t>
  </si>
  <si>
    <t>C12</t>
  </si>
  <si>
    <t>★ Beyanname 'Hesaplanan Vergi İndirimi Tutarı' satırı D34 ile mutabık mı?</t>
  </si>
  <si>
    <t>C13</t>
  </si>
  <si>
    <t>YMM Tasdik Raporu (≥500.000 TL) değerlendirildi mi?</t>
  </si>
  <si>
    <t>49 No.lu Tebliğ</t>
  </si>
  <si>
    <t xml:space="preserve">  YMM TASDİK DİL STANDARDI:
  '...GVK Mükerrer Madde 121 kapsamında hesaplanan vergi indiriminden yararlanılabilmesi için aranan şartlar incelenmiş; 2024, 2025 ve 2026 hesap dönemlerine ait tüm beyannamelerin kanuni süresinde verildiği, tahakkuk eden vergilerin ödendiği, vadesi geçmiş 1.000 TL üzerinde vergi borcunun bulunmadığı, indirim sınırının %1'ini aşan kesinleşmiş tarhiyat bulunmadığı ve son 5 yılda VUK Madde 359 kapsamında fiil tespitinin gerçekleşmediği tespit edilmiştir. Bu çerçevede [Hesaplanan KV × %5 =] [İndirim Tutarı] TL vergi indirimi hesaplanmış, ödenmesi gereken [Ödenmesi Gereken KV] TL'den mahsup edilmiştir.'</t>
  </si>
  <si>
    <t>BELGE LİSTESİ  |  GVK Mük.Md.121 %5 Vergi İndirimi  |  YMM TASDİK DOSYASI</t>
  </si>
  <si>
    <t>Beyanname Zamanında Verilme | Vergi Borcu Yokluğu | Tarhiyat | VUK 359 | Üst Sınır Tebliği</t>
  </si>
  <si>
    <t>KATEGORİ 1 — ZORUNLU BELGELER</t>
  </si>
  <si>
    <t>No</t>
  </si>
  <si>
    <t>Temin Kaynağı</t>
  </si>
  <si>
    <t>B1</t>
  </si>
  <si>
    <t>★ GİB e-Beyanname Sistemi — Son 3 Yıl Tüm Beyanname Veriş Tarihleri</t>
  </si>
  <si>
    <t>2024, 2025, 2026 yıllarına ait tüm beyanname türleri (KV, Muhtasar, KDV, GV vb.) için GİB'den alınan zaman damgalı veriş tarihi dökümü. Kanuni süre kontrolü için zorunludur.</t>
  </si>
  <si>
    <t>GİB e-Beyanname Portalı</t>
  </si>
  <si>
    <t>Eksik ✗</t>
  </si>
  <si>
    <t>B2</t>
  </si>
  <si>
    <t>★ GİB Borcu Yoktur Yazısı / Vergi Borç Sorgulama Belgesi</t>
  </si>
  <si>
    <t>Beyanname verildiği tarih itibarıyla vadesi geçmiş 1.000 TL üzerinde vergi borcu bulunmadığını gösteren GİB'den alınan güncel belge veya İnteraktif Vergi Dairesi ekran görüntüsü.</t>
  </si>
  <si>
    <t>GİB / İnteraktif VD</t>
  </si>
  <si>
    <t>B3</t>
  </si>
  <si>
    <t>★ Son 3 Yıl Vergi Tahakkuk ve Ödeme Dökümü</t>
  </si>
  <si>
    <t>Tüm vergi türleri için son 3 yıl (2024-2026) tahakkuk ve ödeme durumunu gösteren GİB'den alınan döküm. Gecikmiş ödeme bulunmadığının teyidi için.</t>
  </si>
  <si>
    <t>GİB / Vergi Dairesi</t>
  </si>
  <si>
    <t>B4</t>
  </si>
  <si>
    <t>★ Kesinleşmiş Tarhiyat Sorgulama Belgesi (Son 3 Yıl)</t>
  </si>
  <si>
    <t>Son 3 yılda (2024-2026) kesinleşmiş ikmalen, re'sen veya idarece yapılmış tarhiyat bulunmadığını veya sınırı (%1 = ~124.000 TL) aşmadığını gösteren vergi dairesi yazısı veya YMM tespit notu.</t>
  </si>
  <si>
    <t>Vergi Dairesi / YMM</t>
  </si>
  <si>
    <t>B5</t>
  </si>
  <si>
    <t>Son 5 Yıl VUK Md.359 Fiil Sorgulama (Sahte/Yanıltıcı Belge vb.)</t>
  </si>
  <si>
    <t>Son 5 yılda VUK Madde 359 kapsamında kaçakçılık fiili tespiti bulunmadığını gösteren vergi dairesi yazısı veya inceleme sonuç belgesi.</t>
  </si>
  <si>
    <t>Vergi Dairesi / İnceleme Birimi</t>
  </si>
  <si>
    <t>B6</t>
  </si>
  <si>
    <t>★ 2026 Yılı Vergi İndirimi Üst Sınır Tebliği (Resmi Gazete)</t>
  </si>
  <si>
    <t>GVK Mük.121 f.4 kapsamında 1.1.2026 tarihinden itibaren geçerli üst sınır tutarını belirleyen Resmi Gazete'de yayımlanmış tebliğ. Beklenen: ~12.400.000 TL — Resmi teyit zorunludur.</t>
  </si>
  <si>
    <t>Resmi Gazete / GİB</t>
  </si>
  <si>
    <t>B7</t>
  </si>
  <si>
    <t>KV Beyannamesi — Hesaplanan KV ve İndirim Satırı</t>
  </si>
  <si>
    <t>Beyanname 'Hesaplanan KV' ve 'Hesaplanan Vergi İndirimi Tutarı' satırları. Bu çalışma kâğıdı D34 değeri ile beyanname değerinin mutabakatı.</t>
  </si>
  <si>
    <t>GİB e-Beyanname</t>
  </si>
  <si>
    <t>B8</t>
  </si>
  <si>
    <t>Devreden İndirim Mahsup Takip Belgesi (Varsa)</t>
  </si>
  <si>
    <t>Devreden indirim tutarı varsa; 1 yıl içinde hangi vergilerden mahsup edileceğinin planlandığı ve mahsup yapıldıktan sonra mahsup belgesi.</t>
  </si>
  <si>
    <t>Muhasebe / Beyanname</t>
  </si>
  <si>
    <t xml:space="preserve">  GVK MÜK. MD.121 KAPANIŞ: 5 şartın tamamı sağlanmalı. İndirim = MIN(Hesaplanan KV × %5, ~12.400.000 TL Üst Sınır). Mahsup: Önce KV, artanı 1 yıl diğer vergilerden mahsup — süre geçen iade YOK. Şart ihlali sonradan tespit: Cezasız tarhiyat + gecikme faizi + 3 yıl yasak. Kapsam dışı: Finans/bankacılık/sigorta/emeklilik.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</si>
</sst>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b/>
      <sz val="8"/>
      <color rgb="FF7B5E00"/>
      <name val="Calibri"/>
    </font>
    <font>
      <b/>
      <sz val="8"/>
      <color rgb="FFB71C1C"/>
      <name val="Calibri"/>
    </font>
    <font>
      <sz val="9"/>
      <color rgb="FF1F3864"/>
      <name val="Calibri"/>
    </font>
    <font>
      <b/>
      <sz val="9"/>
      <color rgb="FF1F3864"/>
      <name val="Calibri"/>
    </font>
    <font>
      <i/>
      <sz val="8"/>
      <color rgb="FF888888"/>
      <name val="Calibri"/>
    </font>
    <font>
      <sz val="9"/>
      <color rgb="FF0000FF"/>
      <name val="Calibri"/>
    </font>
    <font>
      <b/>
      <sz val="10"/>
      <color rgb="FF7B5E00"/>
      <name val="Calibri"/>
    </font>
    <font>
      <sz val="8"/>
      <color rgb="FF1F3864"/>
      <name val="Calibri"/>
    </font>
    <font>
      <b/>
      <sz val="9"/>
      <color rgb="FFB71C1C"/>
      <name val="Calibri"/>
    </font>
    <font>
      <sz val="8"/>
      <color rgb="FF555555"/>
      <name val="Calibri"/>
    </font>
    <font>
      <b/>
      <sz val="9"/>
      <color rgb="FF2E7D32"/>
      <name val="Calibri"/>
    </font>
    <font>
      <b/>
      <sz val="11"/>
      <color rgb="FF2E7D32"/>
      <name val="Calibri"/>
    </font>
    <font>
      <i/>
      <sz val="8"/>
      <color rgb="FF555555"/>
      <name val="Calibri"/>
    </font>
    <font>
      <b/>
      <sz val="10"/>
      <color rgb="FFFFFFFF"/>
      <name val="Calibri"/>
    </font>
    <font>
      <b/>
      <sz val="12"/>
      <color rgb="FF2E7D32"/>
      <name val="Calibri"/>
    </font>
    <font>
      <i/>
      <sz val="8"/>
      <color rgb="FF1565C0"/>
      <name val="Calibri"/>
    </font>
    <font>
      <b/>
      <sz val="11"/>
      <color rgb="FF7B5E00"/>
      <name val="Calibri"/>
    </font>
    <font>
      <b/>
      <sz val="10"/>
      <color rgb="FF1F3864"/>
      <name val="Calibri"/>
    </font>
    <font>
      <b/>
      <sz val="13"/>
      <color rgb="FF2E7D32"/>
      <name val="Calibri"/>
    </font>
    <font>
      <b/>
      <sz val="9"/>
      <color rgb="FF1565C0"/>
      <name val="Calibri"/>
    </font>
    <font>
      <b/>
      <sz val="10"/>
      <color rgb="FF1565C0"/>
      <name val="Calibri"/>
    </font>
    <font>
      <b/>
      <sz val="10"/>
      <color rgb="FF2E7D32"/>
      <name val="Calibri"/>
    </font>
    <font>
      <b/>
      <sz val="14"/>
      <color rgb="FF2E7D32"/>
      <name val="Calibri"/>
    </font>
    <font>
      <i/>
      <sz val="8"/>
      <color rgb="FF2E7D32"/>
      <name val="Calibri"/>
    </font>
    <font>
      <b/>
      <sz val="12"/>
      <color rgb="FF1565C0"/>
      <name val="Calibri"/>
    </font>
    <font>
      <sz val="8"/>
      <color rgb="FF1565C0"/>
      <name val="Calibri"/>
    </font>
    <font>
      <b/>
      <sz val="10"/>
      <color rgb="FFE65100"/>
      <name val="Calibri"/>
    </font>
    <font>
      <b/>
      <sz val="8"/>
      <color rgb="FF2E7D32"/>
      <name val="Calibri"/>
    </font>
    <font>
      <sz val="9"/>
      <color rgb="FFB71C1C"/>
      <name val="Calibri"/>
    </font>
    <font>
      <b/>
      <sz val="11"/>
      <color rgb="FFB71C1C"/>
      <name val="Calibri"/>
    </font>
    <font>
      <sz val="9"/>
      <color rgb="FF7B5E00"/>
      <name val="Calibri"/>
    </font>
    <font>
      <b/>
      <sz val="8"/>
      <color rgb="FFFFFFFF"/>
      <name val="Calibri"/>
    </font>
    <font>
      <sz val="8"/>
      <color rgb="FF333333"/>
      <name val="Calibri"/>
    </font>
    <font>
      <sz val="8"/>
      <color rgb="FF7B5E00"/>
      <name val="Calibri"/>
    </font>
    <font>
      <b/>
      <sz val="9"/>
      <color rgb="FF0000FF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1B4820"/>
      </patternFill>
    </fill>
    <fill>
      <patternFill patternType="solid">
        <fgColor rgb="FFFFF9C4"/>
      </patternFill>
    </fill>
    <fill>
      <patternFill patternType="solid">
        <fgColor rgb="FFFCE4D6"/>
      </patternFill>
    </fill>
    <fill>
      <patternFill patternType="solid">
        <fgColor rgb="FFD0D0D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E8F5E9"/>
      </patternFill>
    </fill>
    <fill>
      <patternFill patternType="solid">
        <fgColor rgb="FF263238"/>
      </patternFill>
    </fill>
    <fill>
      <patternFill patternType="solid">
        <fgColor rgb="FFE3F2FD"/>
      </patternFill>
    </fill>
    <fill>
      <patternFill patternType="solid">
        <fgColor rgb="FFC6EFCE"/>
      </patternFill>
    </fill>
    <fill>
      <patternFill patternType="solid">
        <fgColor rgb="FFE8EAF6"/>
      </patternFill>
    </fill>
    <fill>
      <patternFill patternType="solid">
        <fgColor rgb="FF2E7D32"/>
      </patternFill>
    </fill>
    <fill>
      <patternFill patternType="solid">
        <fgColor rgb="FFFFF3E0"/>
      </patternFill>
    </fill>
    <fill>
      <patternFill patternType="solid">
        <fgColor rgb="FFDCEDC8"/>
      </patternFill>
    </fill>
    <fill>
      <patternFill patternType="solid">
        <fgColor rgb="FFC5E1A5"/>
      </patternFill>
    </fill>
    <fill>
      <patternFill patternType="solid">
        <fgColor rgb="FFAED581"/>
      </patternFill>
    </fill>
    <fill>
      <patternFill patternType="solid">
        <fgColor rgb="FF1565C0"/>
      </patternFill>
    </fill>
    <fill>
      <patternFill patternType="solid">
        <fgColor rgb="FFB71C1C"/>
      </patternFill>
    </fill>
    <fill>
      <patternFill patternType="solid">
        <fgColor rgb="FFE57373"/>
      </patternFill>
    </fill>
    <fill>
      <patternFill patternType="solid">
        <fgColor rgb="FFE65100"/>
      </patternFill>
    </fill>
    <fill>
      <patternFill patternType="solid">
        <fgColor rgb="FFEBF5EB"/>
      </patternFill>
    </fill>
    <fill>
      <patternFill patternType="solid">
        <fgColor rgb="FFF9FFF9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B5E00"/>
      </left>
      <right style="thin">
        <color rgb="FF7B5E00"/>
      </right>
      <top style="thin">
        <color rgb="FF7B5E00"/>
      </top>
      <bottom style="thin">
        <color rgb="FF7B5E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/>
      <right/>
      <top style="thin">
        <color rgb="FF009900"/>
      </top>
      <bottom style="thin">
        <color rgb="FF009900"/>
      </bottom>
      <diagonal/>
    </border>
    <border>
      <left/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B71C1C"/>
      </left>
      <right style="thin">
        <color rgb="FFB71C1C"/>
      </right>
      <top style="thin">
        <color rgb="FFB71C1C"/>
      </top>
      <bottom style="thin">
        <color rgb="FFB71C1C"/>
      </bottom>
      <diagonal/>
    </border>
    <border>
      <left/>
      <right style="thin">
        <color rgb="FFB71C1C"/>
      </right>
      <top style="thin">
        <color rgb="FFB71C1C"/>
      </top>
      <bottom style="thin">
        <color rgb="FFB71C1C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6" borderId="4" xfId="0" applyFill="1" applyBorder="1"/>
    <xf numFmtId="0" fontId="6" fillId="7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/>
    </xf>
    <xf numFmtId="0" fontId="0" fillId="9" borderId="4" xfId="0" applyFill="1" applyBorder="1"/>
    <xf numFmtId="0" fontId="2" fillId="10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right" vertical="center"/>
    </xf>
    <xf numFmtId="0" fontId="19" fillId="4" borderId="4" xfId="0" applyFont="1" applyFill="1" applyBorder="1" applyAlignment="1">
      <alignment horizontal="center" vertical="center"/>
    </xf>
    <xf numFmtId="3" fontId="20" fillId="9" borderId="4" xfId="0" applyNumberFormat="1" applyFont="1" applyFill="1" applyBorder="1" applyAlignment="1">
      <alignment horizontal="right" vertical="center"/>
    </xf>
    <xf numFmtId="3" fontId="20" fillId="7" borderId="4" xfId="0" applyNumberFormat="1" applyFont="1" applyFill="1" applyBorder="1" applyAlignment="1">
      <alignment horizontal="right" vertical="center"/>
    </xf>
    <xf numFmtId="3" fontId="21" fillId="12" borderId="8" xfId="0" applyNumberFormat="1" applyFont="1" applyFill="1" applyBorder="1" applyAlignment="1">
      <alignment horizontal="right" vertical="center"/>
    </xf>
    <xf numFmtId="0" fontId="5" fillId="12" borderId="4" xfId="0" applyFont="1" applyFill="1" applyBorder="1" applyAlignment="1">
      <alignment horizontal="left" vertical="center" wrapText="1"/>
    </xf>
    <xf numFmtId="3" fontId="23" fillId="13" borderId="4" xfId="0" applyNumberFormat="1" applyFont="1" applyFill="1" applyBorder="1" applyAlignment="1">
      <alignment horizontal="right" vertical="center"/>
    </xf>
    <xf numFmtId="0" fontId="5" fillId="13" borderId="4" xfId="0" applyFont="1" applyFill="1" applyBorder="1" applyAlignment="1">
      <alignment horizontal="left" vertical="center" wrapText="1"/>
    </xf>
    <xf numFmtId="3" fontId="25" fillId="12" borderId="8" xfId="0" applyNumberFormat="1" applyFont="1" applyFill="1" applyBorder="1" applyAlignment="1">
      <alignment horizontal="right" vertical="center" wrapText="1"/>
    </xf>
    <xf numFmtId="3" fontId="27" fillId="13" borderId="11" xfId="0" applyNumberFormat="1" applyFont="1" applyFill="1" applyBorder="1" applyAlignment="1">
      <alignment horizontal="righ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left" vertical="center" wrapText="1"/>
    </xf>
    <xf numFmtId="0" fontId="28" fillId="15" borderId="4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/>
    </xf>
    <xf numFmtId="0" fontId="0" fillId="16" borderId="4" xfId="0" applyFill="1" applyBorder="1"/>
    <xf numFmtId="0" fontId="13" fillId="16" borderId="4" xfId="0" applyFont="1" applyFill="1" applyBorder="1" applyAlignment="1">
      <alignment horizontal="center" vertical="center"/>
    </xf>
    <xf numFmtId="0" fontId="0" fillId="17" borderId="4" xfId="0" applyFill="1" applyBorder="1"/>
    <xf numFmtId="0" fontId="13" fillId="17" borderId="4" xfId="0" applyFont="1" applyFill="1" applyBorder="1" applyAlignment="1">
      <alignment horizontal="center" vertical="center"/>
    </xf>
    <xf numFmtId="0" fontId="0" fillId="18" borderId="4" xfId="0" applyFill="1" applyBorder="1"/>
    <xf numFmtId="0" fontId="13" fillId="18" borderId="4" xfId="0" applyFont="1" applyFill="1" applyBorder="1" applyAlignment="1">
      <alignment horizontal="center" vertical="center"/>
    </xf>
    <xf numFmtId="0" fontId="0" fillId="7" borderId="4" xfId="0" applyFill="1" applyBorder="1"/>
    <xf numFmtId="0" fontId="13" fillId="7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 wrapText="1"/>
    </xf>
    <xf numFmtId="3" fontId="31" fillId="8" borderId="4" xfId="0" applyNumberFormat="1" applyFont="1" applyFill="1" applyBorder="1" applyAlignment="1">
      <alignment horizontal="right" vertical="center" wrapText="1"/>
    </xf>
    <xf numFmtId="0" fontId="0" fillId="2" borderId="4" xfId="0" applyFill="1" applyBorder="1"/>
    <xf numFmtId="3" fontId="1" fillId="2" borderId="8" xfId="0" applyNumberFormat="1" applyFont="1" applyFill="1" applyBorder="1" applyAlignment="1">
      <alignment horizontal="right" vertical="center" wrapText="1"/>
    </xf>
    <xf numFmtId="0" fontId="28" fillId="1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top" wrapText="1"/>
    </xf>
    <xf numFmtId="0" fontId="35" fillId="9" borderId="4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top" wrapText="1"/>
    </xf>
    <xf numFmtId="0" fontId="2" fillId="21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top" wrapText="1"/>
    </xf>
    <xf numFmtId="0" fontId="2" fillId="22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6" fillId="12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top" wrapText="1"/>
    </xf>
    <xf numFmtId="0" fontId="35" fillId="23" borderId="4" xfId="0" applyFont="1" applyFill="1" applyBorder="1" applyAlignment="1">
      <alignment horizontal="left" vertical="top" wrapText="1"/>
    </xf>
    <xf numFmtId="0" fontId="12" fillId="12" borderId="4" xfId="0" applyFont="1" applyFill="1" applyBorder="1" applyAlignment="1">
      <alignment horizontal="center" vertical="center" wrapText="1"/>
    </xf>
    <xf numFmtId="0" fontId="37" fillId="8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left" vertical="top" wrapText="1"/>
    </xf>
    <xf numFmtId="0" fontId="35" fillId="24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left" vertical="top" wrapText="1"/>
    </xf>
    <xf numFmtId="0" fontId="24" fillId="12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6" fillId="9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0" fillId="8" borderId="4" xfId="0" applyFill="1" applyBorder="1"/>
    <xf numFmtId="0" fontId="7" fillId="12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18" fillId="12" borderId="4" xfId="0" applyFont="1" applyFill="1" applyBorder="1" applyAlignment="1">
      <alignment horizontal="left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6" fillId="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wrapText="1"/>
    </xf>
    <xf numFmtId="0" fontId="18" fillId="7" borderId="4" xfId="0" applyFont="1" applyFill="1" applyBorder="1" applyAlignment="1">
      <alignment horizontal="left" vertical="center" wrapText="1"/>
    </xf>
    <xf numFmtId="0" fontId="22" fillId="13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 wrapText="1"/>
    </xf>
    <xf numFmtId="0" fontId="0" fillId="9" borderId="4" xfId="0" applyFill="1" applyBorder="1"/>
    <xf numFmtId="0" fontId="10" fillId="9" borderId="4" xfId="0" applyFont="1" applyFill="1" applyBorder="1" applyAlignment="1">
      <alignment horizontal="left" vertical="center" wrapText="1"/>
    </xf>
    <xf numFmtId="0" fontId="23" fillId="13" borderId="4" xfId="0" applyFont="1" applyFill="1" applyBorder="1" applyAlignment="1">
      <alignment horizontal="left" vertical="center"/>
    </xf>
    <xf numFmtId="0" fontId="17" fillId="12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5" fillId="7" borderId="4" xfId="0" applyFont="1" applyFill="1" applyBorder="1" applyAlignment="1">
      <alignment horizontal="left" vertical="center" wrapText="1"/>
    </xf>
    <xf numFmtId="3" fontId="20" fillId="9" borderId="4" xfId="0" applyNumberFormat="1" applyFont="1" applyFill="1" applyBorder="1" applyAlignment="1">
      <alignment horizontal="right" vertical="center"/>
    </xf>
    <xf numFmtId="0" fontId="15" fillId="9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/>
    </xf>
    <xf numFmtId="0" fontId="6" fillId="18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/>
    </xf>
    <xf numFmtId="49" fontId="29" fillId="15" borderId="4" xfId="0" applyNumberFormat="1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24" fillId="12" borderId="8" xfId="0" applyFont="1" applyFill="1" applyBorder="1" applyAlignment="1">
      <alignment horizontal="center" vertical="center" wrapText="1"/>
    </xf>
    <xf numFmtId="3" fontId="14" fillId="12" borderId="8" xfId="0" applyNumberFormat="1" applyFont="1" applyFill="1" applyBorder="1" applyAlignment="1">
      <alignment horizontal="right" vertical="center"/>
    </xf>
    <xf numFmtId="0" fontId="15" fillId="15" borderId="4" xfId="0" applyFont="1" applyFill="1" applyBorder="1" applyAlignment="1">
      <alignment horizontal="left" vertical="center" wrapText="1"/>
    </xf>
    <xf numFmtId="3" fontId="17" fillId="12" borderId="8" xfId="0" applyNumberFormat="1" applyFont="1" applyFill="1" applyBorder="1" applyAlignment="1">
      <alignment horizontal="right" vertical="center"/>
    </xf>
    <xf numFmtId="0" fontId="15" fillId="12" borderId="4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/>
    </xf>
    <xf numFmtId="0" fontId="32" fillId="5" borderId="12" xfId="0" applyFont="1" applyFill="1" applyBorder="1" applyAlignment="1">
      <alignment horizontal="center" vertical="center"/>
    </xf>
    <xf numFmtId="0" fontId="0" fillId="0" borderId="13" xfId="0" applyBorder="1"/>
    <xf numFmtId="0" fontId="15" fillId="5" borderId="4" xfId="0" applyFont="1" applyFill="1" applyBorder="1" applyAlignment="1">
      <alignment horizontal="left" vertical="center" wrapText="1"/>
    </xf>
    <xf numFmtId="3" fontId="22" fillId="13" borderId="4" xfId="0" applyNumberFormat="1" applyFont="1" applyFill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/>
    </xf>
    <xf numFmtId="0" fontId="13" fillId="12" borderId="4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/>
    </xf>
    <xf numFmtId="0" fontId="33" fillId="4" borderId="4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left" vertical="center"/>
    </xf>
    <xf numFmtId="0" fontId="16" fillId="20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36" fillId="4" borderId="4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left" vertical="center"/>
    </xf>
  </cellXfs>
  <cellStyles count="1">
    <cellStyle name="Normal" xfId="0" builtinId="0"/>
  </cellStyles>
  <dxfs count="16"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B71C1C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E7D32"/>
        <name val="Calibr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3ED8A0-1061-4BF5-8626-0B2BCC27F32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f9491b1-1faf-423f-b793-fb918521b40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K12" sqref="K12"/>
    </sheetView>
  </sheetViews>
  <sheetFormatPr defaultRowHeight="14.4" x14ac:dyDescent="0.55000000000000004"/>
  <cols>
    <col min="1" max="1" width="3" customWidth="1"/>
    <col min="2" max="2" width="30" customWidth="1"/>
    <col min="3" max="3" width="16" customWidth="1"/>
    <col min="4" max="4" width="14" customWidth="1"/>
    <col min="5" max="7" width="10" customWidth="1"/>
    <col min="8" max="8" width="18" customWidth="1"/>
  </cols>
  <sheetData>
    <row r="1" spans="1:8" ht="44.05" customHeight="1" x14ac:dyDescent="0.55000000000000004">
      <c r="A1" s="87" t="s">
        <v>0</v>
      </c>
      <c r="B1" s="88"/>
      <c r="C1" s="88"/>
      <c r="D1" s="88"/>
      <c r="E1" s="88"/>
      <c r="F1" s="88"/>
      <c r="G1" s="88"/>
      <c r="H1" s="89"/>
    </row>
    <row r="2" spans="1:8" ht="22" customHeight="1" x14ac:dyDescent="0.55000000000000004">
      <c r="A2" s="99" t="s">
        <v>1</v>
      </c>
      <c r="B2" s="88"/>
      <c r="C2" s="88"/>
      <c r="D2" s="88"/>
      <c r="E2" s="88"/>
      <c r="F2" s="88"/>
      <c r="G2" s="88"/>
      <c r="H2" s="89"/>
    </row>
    <row r="3" spans="1:8" ht="58" customHeight="1" x14ac:dyDescent="0.55000000000000004">
      <c r="A3" s="98" t="s">
        <v>2</v>
      </c>
      <c r="B3" s="77"/>
      <c r="C3" s="77"/>
      <c r="D3" s="77"/>
      <c r="E3" s="77"/>
      <c r="F3" s="77"/>
      <c r="G3" s="77"/>
      <c r="H3" s="78"/>
    </row>
    <row r="4" spans="1:8" ht="30" customHeight="1" x14ac:dyDescent="0.55000000000000004">
      <c r="A4" s="97" t="s">
        <v>3</v>
      </c>
      <c r="B4" s="77"/>
      <c r="C4" s="77"/>
      <c r="D4" s="77"/>
      <c r="E4" s="77"/>
      <c r="F4" s="77"/>
      <c r="G4" s="77"/>
      <c r="H4" s="78"/>
    </row>
    <row r="5" spans="1:8" ht="4" customHeight="1" x14ac:dyDescent="0.55000000000000004">
      <c r="A5" s="1"/>
      <c r="B5" s="1"/>
      <c r="C5" s="1"/>
      <c r="D5" s="1"/>
      <c r="E5" s="1"/>
      <c r="F5" s="1"/>
      <c r="G5" s="1"/>
      <c r="H5" s="1"/>
    </row>
    <row r="6" spans="1:8" ht="22" customHeight="1" x14ac:dyDescent="0.55000000000000004">
      <c r="A6" s="87" t="s">
        <v>4</v>
      </c>
      <c r="B6" s="88"/>
      <c r="C6" s="88"/>
      <c r="D6" s="88"/>
      <c r="E6" s="88"/>
      <c r="F6" s="88"/>
      <c r="G6" s="88"/>
      <c r="H6" s="89"/>
    </row>
    <row r="7" spans="1:8" ht="22" customHeight="1" x14ac:dyDescent="0.55000000000000004">
      <c r="A7" s="81" t="s">
        <v>5</v>
      </c>
      <c r="B7" s="78"/>
      <c r="C7" s="82"/>
      <c r="D7" s="77"/>
      <c r="E7" s="77"/>
      <c r="F7" s="78"/>
      <c r="G7" s="84" t="s">
        <v>6</v>
      </c>
      <c r="H7" s="78"/>
    </row>
    <row r="8" spans="1:8" ht="22" customHeight="1" x14ac:dyDescent="0.55000000000000004">
      <c r="A8" s="79" t="s">
        <v>7</v>
      </c>
      <c r="B8" s="78"/>
      <c r="C8" s="82"/>
      <c r="D8" s="77"/>
      <c r="E8" s="77"/>
      <c r="F8" s="78"/>
      <c r="G8" s="80" t="s">
        <v>8</v>
      </c>
      <c r="H8" s="78"/>
    </row>
    <row r="9" spans="1:8" ht="22" customHeight="1" x14ac:dyDescent="0.55000000000000004">
      <c r="A9" s="81" t="s">
        <v>9</v>
      </c>
      <c r="B9" s="78"/>
      <c r="C9" s="82"/>
      <c r="D9" s="77"/>
      <c r="E9" s="77"/>
      <c r="F9" s="78"/>
      <c r="G9" s="84" t="s">
        <v>10</v>
      </c>
      <c r="H9" s="78"/>
    </row>
    <row r="10" spans="1:8" ht="22" customHeight="1" x14ac:dyDescent="0.55000000000000004">
      <c r="A10" s="79" t="s">
        <v>11</v>
      </c>
      <c r="B10" s="78"/>
      <c r="C10" s="3" t="s">
        <v>12</v>
      </c>
      <c r="D10" s="101"/>
      <c r="E10" s="77"/>
      <c r="F10" s="78"/>
      <c r="G10" s="80" t="s">
        <v>13</v>
      </c>
      <c r="H10" s="78"/>
    </row>
    <row r="11" spans="1:8" ht="22" customHeight="1" x14ac:dyDescent="0.55000000000000004">
      <c r="A11" s="81" t="s">
        <v>14</v>
      </c>
      <c r="B11" s="78"/>
      <c r="C11" s="93" t="s">
        <v>15</v>
      </c>
      <c r="D11" s="77"/>
      <c r="E11" s="77"/>
      <c r="F11" s="78"/>
      <c r="G11" s="84" t="s">
        <v>16</v>
      </c>
      <c r="H11" s="78"/>
    </row>
    <row r="12" spans="1:8" ht="22" customHeight="1" x14ac:dyDescent="0.55000000000000004">
      <c r="A12" s="79" t="s">
        <v>17</v>
      </c>
      <c r="B12" s="78"/>
      <c r="C12" s="93" t="s">
        <v>18</v>
      </c>
      <c r="D12" s="77"/>
      <c r="E12" s="77"/>
      <c r="F12" s="78"/>
      <c r="G12" s="80" t="s">
        <v>19</v>
      </c>
      <c r="H12" s="78"/>
    </row>
    <row r="13" spans="1:8" ht="22" customHeight="1" x14ac:dyDescent="0.55000000000000004">
      <c r="A13" s="81" t="s">
        <v>20</v>
      </c>
      <c r="B13" s="78"/>
      <c r="C13" s="93" t="s">
        <v>15</v>
      </c>
      <c r="D13" s="77"/>
      <c r="E13" s="77"/>
      <c r="F13" s="78"/>
      <c r="G13" s="84" t="s">
        <v>21</v>
      </c>
      <c r="H13" s="78"/>
    </row>
    <row r="14" spans="1:8" ht="22" customHeight="1" x14ac:dyDescent="0.55000000000000004">
      <c r="A14" s="79" t="s">
        <v>22</v>
      </c>
      <c r="B14" s="78"/>
      <c r="C14" s="93" t="s">
        <v>23</v>
      </c>
      <c r="D14" s="77"/>
      <c r="E14" s="77"/>
      <c r="F14" s="78"/>
      <c r="G14" s="80" t="s">
        <v>24</v>
      </c>
      <c r="H14" s="78"/>
    </row>
    <row r="15" spans="1:8" ht="22" customHeight="1" x14ac:dyDescent="0.55000000000000004">
      <c r="A15" s="81" t="s">
        <v>25</v>
      </c>
      <c r="B15" s="78"/>
      <c r="C15" s="82"/>
      <c r="D15" s="77"/>
      <c r="E15" s="77"/>
      <c r="F15" s="78"/>
      <c r="G15" s="84" t="s">
        <v>26</v>
      </c>
      <c r="H15" s="78"/>
    </row>
    <row r="17" spans="1:8" ht="4" customHeight="1" x14ac:dyDescent="0.55000000000000004">
      <c r="A17" s="1"/>
      <c r="B17" s="1"/>
      <c r="C17" s="1"/>
      <c r="D17" s="1"/>
      <c r="E17" s="1"/>
      <c r="F17" s="1"/>
      <c r="G17" s="1"/>
      <c r="H17" s="1"/>
    </row>
    <row r="18" spans="1:8" ht="26.05" customHeight="1" x14ac:dyDescent="0.55000000000000004">
      <c r="A18" s="87" t="s">
        <v>27</v>
      </c>
      <c r="B18" s="88"/>
      <c r="C18" s="88"/>
      <c r="D18" s="88"/>
      <c r="E18" s="88"/>
      <c r="F18" s="88"/>
      <c r="G18" s="88"/>
      <c r="H18" s="89"/>
    </row>
    <row r="19" spans="1:8" ht="22" customHeight="1" x14ac:dyDescent="0.55000000000000004">
      <c r="A19" s="102" t="s">
        <v>28</v>
      </c>
      <c r="B19" s="77"/>
      <c r="C19" s="77"/>
      <c r="D19" s="77"/>
      <c r="E19" s="77"/>
      <c r="F19" s="77"/>
      <c r="G19" s="77"/>
      <c r="H19" s="78"/>
    </row>
    <row r="20" spans="1:8" ht="22" customHeight="1" x14ac:dyDescent="0.55000000000000004">
      <c r="A20" s="5"/>
      <c r="B20" s="5" t="s">
        <v>29</v>
      </c>
      <c r="C20" s="5" t="s">
        <v>30</v>
      </c>
      <c r="D20" s="5"/>
      <c r="E20" s="5" t="s">
        <v>31</v>
      </c>
      <c r="F20" s="5"/>
      <c r="G20" s="5" t="s">
        <v>32</v>
      </c>
      <c r="H20" s="5" t="s">
        <v>33</v>
      </c>
    </row>
    <row r="21" spans="1:8" ht="34" customHeight="1" x14ac:dyDescent="0.55000000000000004">
      <c r="A21" s="6" t="s">
        <v>34</v>
      </c>
      <c r="B21" s="7" t="s">
        <v>35</v>
      </c>
      <c r="C21" s="8" t="s">
        <v>36</v>
      </c>
      <c r="D21" s="9"/>
      <c r="E21" s="10" t="s">
        <v>37</v>
      </c>
      <c r="F21" s="9"/>
      <c r="G21" s="11" t="str">
        <f>IF(E21="EVET — Şart Karşılandı","✓ OK",IF(E21="HAYIR — Şart İhlal Edildi","✗ İHLAL","?"))</f>
        <v>✓ OK</v>
      </c>
      <c r="H21" s="12" t="s">
        <v>38</v>
      </c>
    </row>
    <row r="22" spans="1:8" ht="34" customHeight="1" x14ac:dyDescent="0.55000000000000004">
      <c r="A22" s="6" t="s">
        <v>39</v>
      </c>
      <c r="B22" s="7" t="s">
        <v>40</v>
      </c>
      <c r="C22" s="13" t="s">
        <v>41</v>
      </c>
      <c r="D22" s="14"/>
      <c r="E22" s="10" t="s">
        <v>37</v>
      </c>
      <c r="F22" s="14"/>
      <c r="G22" s="11" t="str">
        <f>IF(E22="EVET — Şart Karşılandı","✓ OK",IF(E22="HAYIR — Şart İhlal Edildi","✗ İHLAL","?"))</f>
        <v>✓ OK</v>
      </c>
      <c r="H22" s="15" t="s">
        <v>42</v>
      </c>
    </row>
    <row r="23" spans="1:8" ht="34" customHeight="1" x14ac:dyDescent="0.55000000000000004">
      <c r="A23" s="6" t="s">
        <v>43</v>
      </c>
      <c r="B23" s="7" t="s">
        <v>44</v>
      </c>
      <c r="C23" s="8" t="s">
        <v>36</v>
      </c>
      <c r="D23" s="9"/>
      <c r="E23" s="10" t="s">
        <v>37</v>
      </c>
      <c r="F23" s="9"/>
      <c r="G23" s="11" t="str">
        <f>IF(E23="EVET — Şart Karşılandı","✓ OK",IF(E23="HAYIR — Şart İhlal Edildi","✗ İHLAL","?"))</f>
        <v>✓ OK</v>
      </c>
      <c r="H23" s="12" t="s">
        <v>45</v>
      </c>
    </row>
    <row r="24" spans="1:8" ht="34" customHeight="1" x14ac:dyDescent="0.55000000000000004">
      <c r="A24" s="6" t="s">
        <v>46</v>
      </c>
      <c r="B24" s="7" t="s">
        <v>47</v>
      </c>
      <c r="C24" s="13" t="s">
        <v>48</v>
      </c>
      <c r="D24" s="14"/>
      <c r="E24" s="10" t="s">
        <v>37</v>
      </c>
      <c r="F24" s="14"/>
      <c r="G24" s="11" t="str">
        <f>IF(E24="EVET — Şart Karşılandı","✓ OK",IF(E24="HAYIR — Şart İhlal Edildi","✗ İHLAL","?"))</f>
        <v>✓ OK</v>
      </c>
      <c r="H24" s="15" t="s">
        <v>49</v>
      </c>
    </row>
    <row r="25" spans="1:8" ht="34" customHeight="1" x14ac:dyDescent="0.55000000000000004">
      <c r="A25" s="6" t="s">
        <v>50</v>
      </c>
      <c r="B25" s="2" t="s">
        <v>51</v>
      </c>
      <c r="C25" s="8" t="s">
        <v>52</v>
      </c>
      <c r="D25" s="9"/>
      <c r="E25" s="10" t="s">
        <v>37</v>
      </c>
      <c r="F25" s="9"/>
      <c r="G25" s="11" t="str">
        <f>IF(E25="EVET — Şart Karşılandı","✓ OK",IF(E25="HAYIR — Şart İhlal Edildi","✗ İHLAL","?"))</f>
        <v>✓ OK</v>
      </c>
      <c r="H25" s="12" t="s">
        <v>53</v>
      </c>
    </row>
    <row r="26" spans="1:8" ht="30" customHeight="1" x14ac:dyDescent="0.55000000000000004">
      <c r="A26" s="90" t="s">
        <v>54</v>
      </c>
      <c r="B26" s="77"/>
      <c r="C26" s="78"/>
      <c r="D26" s="104" t="str">
        <f>IF(AND(E21="EVET — Şart Karşılandı",E22="EVET — Şart Karşılandı",E23="EVET — Şart Karşılandı",E24="EVET — Şart Karşılandı",E25="EVET — Şart Karşılandı"),"✓ UYGUN — %5 İndirim Hesaplanabilir","✗ UYGUN DEĞİL — En Az 1 Şart İhlal Edildi")</f>
        <v>✓ UYGUN — %5 İndirim Hesaplanabilir</v>
      </c>
      <c r="E26" s="105"/>
      <c r="F26" s="105"/>
      <c r="G26" s="105"/>
      <c r="H26" s="106"/>
    </row>
    <row r="27" spans="1:8" ht="4" customHeight="1" x14ac:dyDescent="0.55000000000000004">
      <c r="A27" s="1"/>
      <c r="B27" s="1"/>
      <c r="C27" s="1"/>
      <c r="D27" s="1"/>
      <c r="E27" s="1"/>
      <c r="F27" s="1"/>
      <c r="G27" s="1"/>
      <c r="H27" s="1"/>
    </row>
    <row r="28" spans="1:8" ht="24" customHeight="1" x14ac:dyDescent="0.55000000000000004">
      <c r="A28" s="87" t="s">
        <v>55</v>
      </c>
      <c r="B28" s="88"/>
      <c r="C28" s="88"/>
      <c r="D28" s="88"/>
      <c r="E28" s="88"/>
      <c r="F28" s="88"/>
      <c r="G28" s="88"/>
      <c r="H28" s="89"/>
    </row>
    <row r="29" spans="1:8" ht="22" customHeight="1" x14ac:dyDescent="0.55000000000000004">
      <c r="A29" s="16"/>
      <c r="B29" s="16" t="s">
        <v>56</v>
      </c>
      <c r="C29" s="16"/>
      <c r="D29" s="16" t="s">
        <v>57</v>
      </c>
      <c r="E29" s="16"/>
      <c r="F29" s="16" t="s">
        <v>33</v>
      </c>
      <c r="G29" s="16"/>
      <c r="H29" s="16" t="s">
        <v>58</v>
      </c>
    </row>
    <row r="30" spans="1:8" ht="28" customHeight="1" x14ac:dyDescent="0.55000000000000004">
      <c r="A30" s="79" t="s">
        <v>59</v>
      </c>
      <c r="B30" s="78"/>
      <c r="C30" s="17"/>
      <c r="D30" s="80" t="s">
        <v>60</v>
      </c>
      <c r="E30" s="78"/>
      <c r="F30" s="94" t="s">
        <v>61</v>
      </c>
      <c r="G30" s="78"/>
      <c r="H30" s="14"/>
    </row>
    <row r="31" spans="1:8" ht="28" customHeight="1" x14ac:dyDescent="0.55000000000000004">
      <c r="A31" s="81" t="s">
        <v>62</v>
      </c>
      <c r="B31" s="78"/>
      <c r="C31" s="18" t="s">
        <v>63</v>
      </c>
      <c r="D31" s="84" t="s">
        <v>64</v>
      </c>
      <c r="E31" s="78"/>
      <c r="F31" s="95" t="s">
        <v>65</v>
      </c>
      <c r="G31" s="78"/>
      <c r="H31" s="9"/>
    </row>
    <row r="32" spans="1:8" ht="28" customHeight="1" x14ac:dyDescent="0.55000000000000004">
      <c r="A32" s="79" t="s">
        <v>66</v>
      </c>
      <c r="B32" s="78"/>
      <c r="C32" s="19">
        <f>C30*0.05</f>
        <v>0</v>
      </c>
      <c r="D32" s="80" t="s">
        <v>67</v>
      </c>
      <c r="E32" s="78"/>
      <c r="F32" s="94" t="s">
        <v>68</v>
      </c>
      <c r="G32" s="78"/>
      <c r="H32" s="14"/>
    </row>
    <row r="33" spans="1:8" ht="28" customHeight="1" x14ac:dyDescent="0.55000000000000004">
      <c r="A33" s="81" t="s">
        <v>69</v>
      </c>
      <c r="B33" s="78"/>
      <c r="C33" s="20" t="str">
        <f>C12</f>
        <v>12.400.000</v>
      </c>
      <c r="D33" s="84" t="s">
        <v>70</v>
      </c>
      <c r="E33" s="78"/>
      <c r="F33" s="95" t="s">
        <v>71</v>
      </c>
      <c r="G33" s="78"/>
      <c r="H33" s="9"/>
    </row>
    <row r="34" spans="1:8" ht="28" customHeight="1" x14ac:dyDescent="0.55000000000000004">
      <c r="A34" s="86" t="s">
        <v>72</v>
      </c>
      <c r="B34" s="78"/>
      <c r="C34" s="21">
        <f>IF(AND(D26&lt;&gt;"UYGUN DEĞİL — En Az 1 Şart İhlal Edildi"),MIN(C32,C33),0)</f>
        <v>0</v>
      </c>
      <c r="D34" s="83" t="s">
        <v>73</v>
      </c>
      <c r="E34" s="78"/>
      <c r="F34" s="85" t="s">
        <v>74</v>
      </c>
      <c r="G34" s="78"/>
      <c r="H34" s="22"/>
    </row>
    <row r="35" spans="1:8" ht="28" customHeight="1" x14ac:dyDescent="0.55000000000000004">
      <c r="A35" s="81" t="s">
        <v>75</v>
      </c>
      <c r="B35" s="78"/>
      <c r="C35" s="17"/>
      <c r="D35" s="84" t="s">
        <v>76</v>
      </c>
      <c r="E35" s="78"/>
      <c r="F35" s="95" t="s">
        <v>61</v>
      </c>
      <c r="G35" s="78"/>
      <c r="H35" s="9"/>
    </row>
    <row r="36" spans="1:8" ht="28" customHeight="1" x14ac:dyDescent="0.55000000000000004">
      <c r="A36" s="86" t="s">
        <v>77</v>
      </c>
      <c r="B36" s="78"/>
      <c r="C36" s="21">
        <f>MAX(0,C35-C34)</f>
        <v>0</v>
      </c>
      <c r="D36" s="83"/>
      <c r="E36" s="78"/>
      <c r="F36" s="85" t="s">
        <v>68</v>
      </c>
      <c r="G36" s="78"/>
      <c r="H36" s="22"/>
    </row>
    <row r="37" spans="1:8" ht="28" customHeight="1" x14ac:dyDescent="0.55000000000000004">
      <c r="A37" s="96" t="s">
        <v>78</v>
      </c>
      <c r="B37" s="78"/>
      <c r="C37" s="23">
        <f>MAX(0,C34-C35)</f>
        <v>0</v>
      </c>
      <c r="D37" s="100" t="s">
        <v>79</v>
      </c>
      <c r="E37" s="78"/>
      <c r="F37" s="91" t="s">
        <v>80</v>
      </c>
      <c r="G37" s="78"/>
      <c r="H37" s="24"/>
    </row>
    <row r="38" spans="1:8" ht="4" customHeight="1" x14ac:dyDescent="0.55000000000000004">
      <c r="A38" s="1"/>
      <c r="B38" s="1"/>
      <c r="C38" s="1"/>
      <c r="D38" s="1"/>
      <c r="E38" s="1"/>
      <c r="F38" s="1"/>
      <c r="G38" s="1"/>
      <c r="H38" s="1"/>
    </row>
    <row r="39" spans="1:8" ht="34" customHeight="1" x14ac:dyDescent="0.55000000000000004">
      <c r="A39" s="76" t="s">
        <v>81</v>
      </c>
      <c r="B39" s="77"/>
      <c r="C39" s="77"/>
      <c r="D39" s="77"/>
      <c r="E39" s="78"/>
      <c r="F39" s="25">
        <f>C34</f>
        <v>0</v>
      </c>
      <c r="G39" s="92" t="s">
        <v>82</v>
      </c>
      <c r="H39" s="78"/>
    </row>
    <row r="40" spans="1:8" ht="28" customHeight="1" x14ac:dyDescent="0.55000000000000004">
      <c r="A40" s="103" t="s">
        <v>83</v>
      </c>
      <c r="B40" s="77"/>
      <c r="C40" s="77"/>
      <c r="D40" s="77"/>
      <c r="E40" s="78"/>
      <c r="F40" s="26">
        <f>C37</f>
        <v>0</v>
      </c>
      <c r="G40" s="91" t="s">
        <v>84</v>
      </c>
      <c r="H40" s="78"/>
    </row>
    <row r="41" spans="1:8" ht="28" customHeight="1" x14ac:dyDescent="0.55000000000000004">
      <c r="A41" s="97" t="s">
        <v>85</v>
      </c>
      <c r="B41" s="77"/>
      <c r="C41" s="77"/>
      <c r="D41" s="77"/>
      <c r="E41" s="77"/>
      <c r="F41" s="77"/>
      <c r="G41" s="77"/>
      <c r="H41" s="78"/>
    </row>
  </sheetData>
  <mergeCells count="66">
    <mergeCell ref="A40:E40"/>
    <mergeCell ref="D26:H26"/>
    <mergeCell ref="A41:H41"/>
    <mergeCell ref="D32:E32"/>
    <mergeCell ref="C15:F15"/>
    <mergeCell ref="F36:G36"/>
    <mergeCell ref="F32:G32"/>
    <mergeCell ref="F35:G35"/>
    <mergeCell ref="A18:H18"/>
    <mergeCell ref="A34:B34"/>
    <mergeCell ref="G15:H15"/>
    <mergeCell ref="A33:B33"/>
    <mergeCell ref="D37:E37"/>
    <mergeCell ref="F31:G31"/>
    <mergeCell ref="A32:B32"/>
    <mergeCell ref="A35:B35"/>
    <mergeCell ref="F37:G37"/>
    <mergeCell ref="D30:E30"/>
    <mergeCell ref="G40:H40"/>
    <mergeCell ref="A6:H6"/>
    <mergeCell ref="G39:H39"/>
    <mergeCell ref="C13:F13"/>
    <mergeCell ref="F30:G30"/>
    <mergeCell ref="A7:B7"/>
    <mergeCell ref="G7:H7"/>
    <mergeCell ref="D35:E35"/>
    <mergeCell ref="G10:H10"/>
    <mergeCell ref="F33:G33"/>
    <mergeCell ref="A37:B37"/>
    <mergeCell ref="G13:H13"/>
    <mergeCell ref="C14:F14"/>
    <mergeCell ref="A12:B12"/>
    <mergeCell ref="A14:B14"/>
    <mergeCell ref="G14:H14"/>
    <mergeCell ref="C7:F7"/>
    <mergeCell ref="A36:B36"/>
    <mergeCell ref="A1:H1"/>
    <mergeCell ref="G8:H8"/>
    <mergeCell ref="D31:E31"/>
    <mergeCell ref="D36:E36"/>
    <mergeCell ref="A26:C26"/>
    <mergeCell ref="A3:H3"/>
    <mergeCell ref="A2:H2"/>
    <mergeCell ref="A8:B8"/>
    <mergeCell ref="D10:F10"/>
    <mergeCell ref="A4:H4"/>
    <mergeCell ref="C9:F9"/>
    <mergeCell ref="D33:E33"/>
    <mergeCell ref="C12:F12"/>
    <mergeCell ref="A10:B10"/>
    <mergeCell ref="A39:E39"/>
    <mergeCell ref="A30:B30"/>
    <mergeCell ref="G12:H12"/>
    <mergeCell ref="A15:B15"/>
    <mergeCell ref="C8:F8"/>
    <mergeCell ref="D34:E34"/>
    <mergeCell ref="A11:B11"/>
    <mergeCell ref="G11:H11"/>
    <mergeCell ref="F34:G34"/>
    <mergeCell ref="A28:H28"/>
    <mergeCell ref="A13:B13"/>
    <mergeCell ref="A19:H19"/>
    <mergeCell ref="C11:F11"/>
    <mergeCell ref="A9:B9"/>
    <mergeCell ref="G9:H9"/>
    <mergeCell ref="A31:B31"/>
  </mergeCells>
  <conditionalFormatting sqref="D26">
    <cfRule type="containsText" dxfId="15" priority="11" operator="containsText" text="UYGUN —">
      <formula>NOT(ISERROR(SEARCH("UYGUN —",D26)))</formula>
    </cfRule>
    <cfRule type="containsText" dxfId="14" priority="12" operator="containsText" text="UYGUN DEĞİL">
      <formula>NOT(ISERROR(SEARCH("UYGUN DEĞİL",D26)))</formula>
    </cfRule>
  </conditionalFormatting>
  <conditionalFormatting sqref="G21:G25">
    <cfRule type="containsText" dxfId="13" priority="1" operator="containsText" text="OK">
      <formula>NOT(ISERROR(SEARCH("OK",G21)))</formula>
    </cfRule>
    <cfRule type="containsText" dxfId="12" priority="2" operator="containsText" text="İHLAL">
      <formula>NOT(ISERROR(SEARCH("İHLAL",G21)))</formula>
    </cfRule>
  </conditionalFormatting>
  <dataValidations count="2">
    <dataValidation type="list" sqref="C10" xr:uid="{00000000-0002-0000-0000-000000000000}">
      <formula1>"Finans/Bankacılık/Sigorta/Emeklilik → Kapsam Dışı,Diğer Sektörler → Kapsam İçi"</formula1>
    </dataValidation>
    <dataValidation type="list" sqref="E21:E25" xr:uid="{00000000-0002-0000-0000-000001000000}">
      <formula1>"EVET — Şart Karşılandı,HAYIR — Şart İhlal Edildi,Değerlendirmede"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4.4" x14ac:dyDescent="0.55000000000000004"/>
  <cols>
    <col min="1" max="1" width="4" customWidth="1"/>
    <col min="2" max="2" width="32" customWidth="1"/>
    <col min="3" max="7" width="14" customWidth="1"/>
    <col min="8" max="8" width="18" customWidth="1"/>
  </cols>
  <sheetData>
    <row r="1" spans="1:8" ht="36" customHeight="1" x14ac:dyDescent="0.55000000000000004">
      <c r="A1" s="87" t="s">
        <v>86</v>
      </c>
      <c r="B1" s="88"/>
      <c r="C1" s="88"/>
      <c r="D1" s="88"/>
      <c r="E1" s="88"/>
      <c r="F1" s="88"/>
      <c r="G1" s="88"/>
      <c r="H1" s="89"/>
    </row>
    <row r="2" spans="1:8" ht="20.05" customHeight="1" x14ac:dyDescent="0.55000000000000004">
      <c r="A2" s="99" t="s">
        <v>87</v>
      </c>
      <c r="B2" s="88"/>
      <c r="C2" s="88"/>
      <c r="D2" s="88"/>
      <c r="E2" s="88"/>
      <c r="F2" s="88"/>
      <c r="G2" s="88"/>
      <c r="H2" s="89"/>
    </row>
    <row r="3" spans="1:8" ht="4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21" t="s">
        <v>88</v>
      </c>
      <c r="B4" s="88"/>
      <c r="C4" s="88"/>
      <c r="D4" s="88"/>
      <c r="E4" s="88"/>
      <c r="F4" s="88"/>
      <c r="G4" s="88"/>
      <c r="H4" s="89"/>
    </row>
    <row r="5" spans="1:8" ht="22" customHeight="1" x14ac:dyDescent="0.55000000000000004">
      <c r="A5" s="27"/>
      <c r="B5" s="27" t="s">
        <v>89</v>
      </c>
      <c r="C5" s="27"/>
      <c r="D5" s="27" t="s">
        <v>90</v>
      </c>
      <c r="E5" s="27"/>
      <c r="F5" s="27" t="s">
        <v>33</v>
      </c>
      <c r="G5" s="27"/>
      <c r="H5" s="27" t="s">
        <v>58</v>
      </c>
    </row>
    <row r="6" spans="1:8" ht="24" customHeight="1" x14ac:dyDescent="0.55000000000000004">
      <c r="A6" s="112" t="s">
        <v>91</v>
      </c>
      <c r="B6" s="78"/>
      <c r="C6" s="14"/>
      <c r="D6" s="108">
        <f>'VERİ GİRİŞİ'!C30</f>
        <v>0</v>
      </c>
      <c r="E6" s="78"/>
      <c r="F6" s="109" t="s">
        <v>92</v>
      </c>
      <c r="G6" s="78"/>
      <c r="H6" s="28" t="s">
        <v>61</v>
      </c>
    </row>
    <row r="7" spans="1:8" ht="24" customHeight="1" x14ac:dyDescent="0.55000000000000004">
      <c r="A7" s="110" t="s">
        <v>93</v>
      </c>
      <c r="B7" s="78"/>
      <c r="C7" s="9"/>
      <c r="D7" s="108">
        <f>D6*0.05</f>
        <v>0</v>
      </c>
      <c r="E7" s="78"/>
      <c r="F7" s="107" t="s">
        <v>94</v>
      </c>
      <c r="G7" s="78"/>
      <c r="H7" s="29" t="s">
        <v>74</v>
      </c>
    </row>
    <row r="8" spans="1:8" ht="24" customHeight="1" x14ac:dyDescent="0.55000000000000004">
      <c r="A8" s="112" t="s">
        <v>95</v>
      </c>
      <c r="B8" s="78"/>
      <c r="C8" s="14"/>
      <c r="D8" s="108" t="str">
        <f>'VERİ GİRİŞİ'!C12</f>
        <v>12.400.000</v>
      </c>
      <c r="E8" s="78"/>
      <c r="F8" s="109" t="s">
        <v>96</v>
      </c>
      <c r="G8" s="78"/>
      <c r="H8" s="28" t="s">
        <v>71</v>
      </c>
    </row>
    <row r="9" spans="1:8" ht="24" customHeight="1" x14ac:dyDescent="0.55000000000000004">
      <c r="A9" s="127" t="s">
        <v>97</v>
      </c>
      <c r="B9" s="78"/>
      <c r="C9" s="22"/>
      <c r="D9" s="119">
        <f>'VERİ GİRİŞİ'!C34</f>
        <v>0</v>
      </c>
      <c r="E9" s="106"/>
      <c r="F9" s="120" t="s">
        <v>98</v>
      </c>
      <c r="G9" s="78"/>
      <c r="H9" s="30" t="s">
        <v>74</v>
      </c>
    </row>
    <row r="10" spans="1:8" ht="24" customHeight="1" x14ac:dyDescent="0.55000000000000004">
      <c r="A10" s="112" t="s">
        <v>99</v>
      </c>
      <c r="B10" s="78"/>
      <c r="C10" s="14"/>
      <c r="D10" s="108">
        <f>'VERİ GİRİŞİ'!C35</f>
        <v>0</v>
      </c>
      <c r="E10" s="78"/>
      <c r="F10" s="109" t="s">
        <v>100</v>
      </c>
      <c r="G10" s="78"/>
      <c r="H10" s="28" t="s">
        <v>61</v>
      </c>
    </row>
    <row r="11" spans="1:8" ht="24" customHeight="1" x14ac:dyDescent="0.55000000000000004">
      <c r="A11" s="110" t="s">
        <v>101</v>
      </c>
      <c r="B11" s="78"/>
      <c r="C11" s="9"/>
      <c r="D11" s="108">
        <f>'VERİ GİRİŞİ'!C36</f>
        <v>0</v>
      </c>
      <c r="E11" s="78"/>
      <c r="F11" s="107" t="s">
        <v>102</v>
      </c>
      <c r="G11" s="78"/>
      <c r="H11" s="29" t="s">
        <v>74</v>
      </c>
    </row>
    <row r="12" spans="1:8" ht="24" customHeight="1" x14ac:dyDescent="0.55000000000000004">
      <c r="A12" s="112" t="s">
        <v>103</v>
      </c>
      <c r="B12" s="78"/>
      <c r="C12" s="14"/>
      <c r="D12" s="108">
        <f>'VERİ GİRİŞİ'!C37</f>
        <v>0</v>
      </c>
      <c r="E12" s="78"/>
      <c r="F12" s="109" t="s">
        <v>104</v>
      </c>
      <c r="G12" s="78"/>
      <c r="H12" s="28" t="s">
        <v>80</v>
      </c>
    </row>
    <row r="13" spans="1:8" ht="24" customHeight="1" x14ac:dyDescent="0.55000000000000004">
      <c r="A13" s="126" t="s">
        <v>105</v>
      </c>
      <c r="B13" s="78"/>
      <c r="C13" s="31"/>
      <c r="D13" s="113" t="str">
        <f>'VERİ GİRİŞİ'!D26</f>
        <v>✓ UYGUN — %5 İndirim Hesaplanabilir</v>
      </c>
      <c r="E13" s="78"/>
      <c r="F13" s="118" t="s">
        <v>106</v>
      </c>
      <c r="G13" s="78"/>
      <c r="H13" s="32" t="s">
        <v>107</v>
      </c>
    </row>
    <row r="14" spans="1:8" ht="4" customHeight="1" x14ac:dyDescent="0.55000000000000004">
      <c r="A14" s="1"/>
      <c r="B14" s="1"/>
      <c r="C14" s="1"/>
      <c r="D14" s="1"/>
      <c r="E14" s="1"/>
      <c r="F14" s="1"/>
      <c r="G14" s="1"/>
      <c r="H14" s="1"/>
    </row>
    <row r="15" spans="1:8" ht="24" customHeight="1" x14ac:dyDescent="0.55000000000000004">
      <c r="A15" s="87" t="s">
        <v>108</v>
      </c>
      <c r="B15" s="88"/>
      <c r="C15" s="88"/>
      <c r="D15" s="88"/>
      <c r="E15" s="88"/>
      <c r="F15" s="88"/>
      <c r="G15" s="88"/>
      <c r="H15" s="89"/>
    </row>
    <row r="16" spans="1:8" ht="22" customHeight="1" x14ac:dyDescent="0.55000000000000004">
      <c r="A16" s="102" t="s">
        <v>109</v>
      </c>
      <c r="B16" s="77"/>
      <c r="C16" s="77"/>
      <c r="D16" s="77"/>
      <c r="E16" s="77"/>
      <c r="F16" s="77"/>
      <c r="G16" s="77"/>
      <c r="H16" s="78"/>
    </row>
    <row r="17" spans="1:8" ht="24" customHeight="1" x14ac:dyDescent="0.55000000000000004">
      <c r="A17" s="16"/>
      <c r="B17" s="16" t="s">
        <v>110</v>
      </c>
      <c r="C17" s="16" t="s">
        <v>111</v>
      </c>
      <c r="D17" s="16"/>
      <c r="E17" s="16" t="s">
        <v>112</v>
      </c>
      <c r="F17" s="16"/>
      <c r="G17" s="16" t="s">
        <v>113</v>
      </c>
      <c r="H17" s="16" t="s">
        <v>114</v>
      </c>
    </row>
    <row r="18" spans="1:8" ht="22" customHeight="1" x14ac:dyDescent="0.55000000000000004">
      <c r="A18" s="6" t="s">
        <v>115</v>
      </c>
      <c r="B18" s="114" t="s">
        <v>116</v>
      </c>
      <c r="C18" s="33" t="s">
        <v>117</v>
      </c>
      <c r="D18" s="34"/>
      <c r="E18" s="33" t="s">
        <v>117</v>
      </c>
      <c r="F18" s="34"/>
      <c r="G18" s="33" t="s">
        <v>117</v>
      </c>
      <c r="H18" s="35" t="str">
        <f t="shared" ref="H18:H23" si="0">IF(AND(C18&lt;&gt;"Süresinde Değil ✗",E18&lt;&gt;"Süresinde Değil ✗",G18&lt;&gt;"Süresinde Değil ✗"),"✓ Tümü OK","✗ İhlal Var")</f>
        <v>✓ Tümü OK</v>
      </c>
    </row>
    <row r="19" spans="1:8" ht="22" customHeight="1" x14ac:dyDescent="0.55000000000000004">
      <c r="A19" s="6" t="s">
        <v>118</v>
      </c>
      <c r="B19" s="128" t="s">
        <v>119</v>
      </c>
      <c r="C19" s="33" t="s">
        <v>117</v>
      </c>
      <c r="D19" s="36"/>
      <c r="E19" s="33" t="s">
        <v>117</v>
      </c>
      <c r="F19" s="36"/>
      <c r="G19" s="33" t="s">
        <v>117</v>
      </c>
      <c r="H19" s="37" t="str">
        <f t="shared" si="0"/>
        <v>✓ Tümü OK</v>
      </c>
    </row>
    <row r="20" spans="1:8" ht="22" customHeight="1" x14ac:dyDescent="0.55000000000000004">
      <c r="A20" s="6" t="s">
        <v>120</v>
      </c>
      <c r="B20" s="111" t="s">
        <v>121</v>
      </c>
      <c r="C20" s="33" t="s">
        <v>117</v>
      </c>
      <c r="D20" s="38"/>
      <c r="E20" s="33" t="s">
        <v>117</v>
      </c>
      <c r="F20" s="38"/>
      <c r="G20" s="33" t="s">
        <v>117</v>
      </c>
      <c r="H20" s="39" t="str">
        <f t="shared" si="0"/>
        <v>✓ Tümü OK</v>
      </c>
    </row>
    <row r="21" spans="1:8" ht="22" customHeight="1" x14ac:dyDescent="0.55000000000000004">
      <c r="A21" s="6" t="s">
        <v>122</v>
      </c>
      <c r="B21" s="81" t="s">
        <v>123</v>
      </c>
      <c r="C21" s="33" t="s">
        <v>117</v>
      </c>
      <c r="D21" s="40"/>
      <c r="E21" s="33" t="s">
        <v>117</v>
      </c>
      <c r="F21" s="40"/>
      <c r="G21" s="33" t="s">
        <v>117</v>
      </c>
      <c r="H21" s="41" t="str">
        <f t="shared" si="0"/>
        <v>✓ Tümü OK</v>
      </c>
    </row>
    <row r="22" spans="1:8" ht="22" customHeight="1" x14ac:dyDescent="0.55000000000000004">
      <c r="A22" s="6" t="s">
        <v>124</v>
      </c>
      <c r="B22" s="79" t="s">
        <v>125</v>
      </c>
      <c r="C22" s="33" t="s">
        <v>117</v>
      </c>
      <c r="D22" s="4"/>
      <c r="E22" s="33" t="s">
        <v>117</v>
      </c>
      <c r="F22" s="4"/>
      <c r="G22" s="33" t="s">
        <v>117</v>
      </c>
      <c r="H22" s="42" t="str">
        <f t="shared" si="0"/>
        <v>✓ Tümü OK</v>
      </c>
    </row>
    <row r="23" spans="1:8" ht="22" customHeight="1" x14ac:dyDescent="0.55000000000000004">
      <c r="A23" s="6" t="s">
        <v>126</v>
      </c>
      <c r="B23" s="81" t="s">
        <v>127</v>
      </c>
      <c r="C23" s="33" t="s">
        <v>117</v>
      </c>
      <c r="D23" s="40"/>
      <c r="E23" s="33" t="s">
        <v>117</v>
      </c>
      <c r="F23" s="40"/>
      <c r="G23" s="33" t="s">
        <v>117</v>
      </c>
      <c r="H23" s="41" t="str">
        <f t="shared" si="0"/>
        <v>✓ Tümü OK</v>
      </c>
    </row>
    <row r="24" spans="1:8" ht="4" customHeight="1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ht="22" customHeight="1" x14ac:dyDescent="0.55000000000000004">
      <c r="A25" s="87" t="s">
        <v>128</v>
      </c>
      <c r="B25" s="88"/>
      <c r="C25" s="88"/>
      <c r="D25" s="88"/>
      <c r="E25" s="88"/>
      <c r="F25" s="88"/>
      <c r="G25" s="88"/>
      <c r="H25" s="89"/>
    </row>
    <row r="26" spans="1:8" ht="22" customHeight="1" x14ac:dyDescent="0.55000000000000004">
      <c r="A26" s="102" t="s">
        <v>129</v>
      </c>
      <c r="B26" s="77"/>
      <c r="C26" s="77"/>
      <c r="D26" s="77"/>
      <c r="E26" s="77"/>
      <c r="F26" s="77"/>
      <c r="G26" s="77"/>
      <c r="H26" s="78"/>
    </row>
    <row r="27" spans="1:8" ht="26.05" customHeight="1" x14ac:dyDescent="0.55000000000000004">
      <c r="A27" s="16"/>
      <c r="B27" s="16" t="s">
        <v>130</v>
      </c>
      <c r="C27" s="16" t="s">
        <v>131</v>
      </c>
      <c r="D27" s="16" t="s">
        <v>132</v>
      </c>
      <c r="E27" s="16" t="s">
        <v>133</v>
      </c>
      <c r="F27" s="16" t="s">
        <v>134</v>
      </c>
      <c r="G27" s="16" t="s">
        <v>135</v>
      </c>
      <c r="H27" s="16" t="s">
        <v>136</v>
      </c>
    </row>
    <row r="28" spans="1:8" ht="22" customHeight="1" x14ac:dyDescent="0.55000000000000004">
      <c r="A28" s="6" t="s">
        <v>115</v>
      </c>
      <c r="B28" s="43"/>
      <c r="C28" s="44"/>
      <c r="D28" s="44"/>
      <c r="E28" s="45"/>
      <c r="F28" s="3" t="s">
        <v>137</v>
      </c>
      <c r="G28" s="42" t="str">
        <f>IF(E28="","—",IF(E28&lt;='VERİ GİRİŞİ'!C13,"✓ Sınır İçinde","✗ Sınır Aşıldı"))</f>
        <v>—</v>
      </c>
      <c r="H28" s="42" t="str">
        <f>IF(E28="","Tarhiyat Yok ✓",IF(E28&lt;='VERİ GİRİŞİ'!C13,"✓ OK","✗ İHLAL"))</f>
        <v>Tarhiyat Yok ✓</v>
      </c>
    </row>
    <row r="29" spans="1:8" ht="22" customHeight="1" x14ac:dyDescent="0.55000000000000004">
      <c r="A29" s="6" t="s">
        <v>118</v>
      </c>
      <c r="B29" s="43"/>
      <c r="C29" s="44"/>
      <c r="D29" s="44"/>
      <c r="E29" s="45"/>
      <c r="F29" s="3" t="s">
        <v>137</v>
      </c>
      <c r="G29" s="41" t="str">
        <f>IF(E29="","—",IF(E29&lt;='VERİ GİRİŞİ'!C13,"✓ Sınır İçinde","✗ Sınır Aşıldı"))</f>
        <v>—</v>
      </c>
      <c r="H29" s="41" t="str">
        <f>IF(E29="","Tarhiyat Yok ✓",IF(E29&lt;='VERİ GİRİŞİ'!C13,"✓ OK","✗ İHLAL"))</f>
        <v>Tarhiyat Yok ✓</v>
      </c>
    </row>
    <row r="30" spans="1:8" ht="22" customHeight="1" x14ac:dyDescent="0.55000000000000004">
      <c r="A30" s="6" t="s">
        <v>120</v>
      </c>
      <c r="B30" s="43"/>
      <c r="C30" s="44"/>
      <c r="D30" s="44"/>
      <c r="E30" s="45"/>
      <c r="F30" s="3" t="s">
        <v>137</v>
      </c>
      <c r="G30" s="42" t="str">
        <f>IF(E30="","—",IF(E30&lt;='VERİ GİRİŞİ'!C13,"✓ Sınır İçinde","✗ Sınır Aşıldı"))</f>
        <v>—</v>
      </c>
      <c r="H30" s="42" t="str">
        <f>IF(E30="","Tarhiyat Yok ✓",IF(E30&lt;='VERİ GİRİŞİ'!C13,"✓ OK","✗ İHLAL"))</f>
        <v>Tarhiyat Yok ✓</v>
      </c>
    </row>
    <row r="31" spans="1:8" ht="22" customHeight="1" x14ac:dyDescent="0.55000000000000004">
      <c r="A31" s="6" t="s">
        <v>122</v>
      </c>
      <c r="B31" s="43"/>
      <c r="C31" s="44"/>
      <c r="D31" s="44"/>
      <c r="E31" s="45"/>
      <c r="F31" s="3" t="s">
        <v>137</v>
      </c>
      <c r="G31" s="41" t="str">
        <f>IF(E31="","—",IF(E31&lt;='VERİ GİRİŞİ'!C13,"✓ Sınır İçinde","✗ Sınır Aşıldı"))</f>
        <v>—</v>
      </c>
      <c r="H31" s="41" t="str">
        <f>IF(E31="","Tarhiyat Yok ✓",IF(E31&lt;='VERİ GİRİŞİ'!C13,"✓ OK","✗ İHLAL"))</f>
        <v>Tarhiyat Yok ✓</v>
      </c>
    </row>
    <row r="32" spans="1:8" ht="22" customHeight="1" x14ac:dyDescent="0.55000000000000004">
      <c r="A32" s="6" t="s">
        <v>124</v>
      </c>
      <c r="B32" s="43"/>
      <c r="C32" s="44"/>
      <c r="D32" s="44"/>
      <c r="E32" s="45"/>
      <c r="F32" s="3" t="s">
        <v>137</v>
      </c>
      <c r="G32" s="42" t="str">
        <f>IF(E32="","—",IF(E32&lt;='VERİ GİRİŞİ'!C13,"✓ Sınır İçinde","✗ Sınır Aşıldı"))</f>
        <v>—</v>
      </c>
      <c r="H32" s="42" t="str">
        <f>IF(E32="","Tarhiyat Yok ✓",IF(E32&lt;='VERİ GİRİŞİ'!C13,"✓ OK","✗ İHLAL"))</f>
        <v>Tarhiyat Yok ✓</v>
      </c>
    </row>
    <row r="33" spans="1:8" ht="26.05" customHeight="1" x14ac:dyDescent="0.55000000000000004">
      <c r="A33" s="90" t="s">
        <v>138</v>
      </c>
      <c r="B33" s="78"/>
      <c r="C33" s="46"/>
      <c r="D33" s="46"/>
      <c r="E33" s="47">
        <f>SUM(E28:E32)</f>
        <v>0</v>
      </c>
      <c r="F33" s="46"/>
      <c r="G33" s="116"/>
      <c r="H33" s="106"/>
    </row>
    <row r="34" spans="1:8" ht="4" customHeight="1" x14ac:dyDescent="0.55000000000000004">
      <c r="A34" s="1"/>
      <c r="B34" s="1"/>
      <c r="C34" s="1"/>
      <c r="D34" s="1"/>
      <c r="E34" s="1"/>
      <c r="F34" s="1"/>
      <c r="G34" s="1"/>
      <c r="H34" s="1"/>
    </row>
    <row r="35" spans="1:8" ht="22" customHeight="1" x14ac:dyDescent="0.55000000000000004">
      <c r="A35" s="87" t="s">
        <v>139</v>
      </c>
      <c r="B35" s="88"/>
      <c r="C35" s="88"/>
      <c r="D35" s="88"/>
      <c r="E35" s="88"/>
      <c r="F35" s="88"/>
      <c r="G35" s="88"/>
      <c r="H35" s="89"/>
    </row>
    <row r="36" spans="1:8" ht="22" customHeight="1" x14ac:dyDescent="0.55000000000000004">
      <c r="A36" s="16"/>
      <c r="B36" s="16" t="s">
        <v>140</v>
      </c>
      <c r="C36" s="16"/>
      <c r="D36" s="16" t="s">
        <v>57</v>
      </c>
      <c r="E36" s="16"/>
      <c r="F36" s="16" t="s">
        <v>141</v>
      </c>
      <c r="G36" s="16"/>
      <c r="H36" s="16" t="s">
        <v>58</v>
      </c>
    </row>
    <row r="37" spans="1:8" ht="26.05" customHeight="1" x14ac:dyDescent="0.55000000000000004">
      <c r="A37" s="86" t="s">
        <v>142</v>
      </c>
      <c r="B37" s="78"/>
      <c r="C37" s="22"/>
      <c r="D37" s="117">
        <f>'VERİ GİRİŞİ'!C34</f>
        <v>0</v>
      </c>
      <c r="E37" s="106"/>
      <c r="F37" s="120" t="s">
        <v>143</v>
      </c>
      <c r="G37" s="78"/>
      <c r="H37" s="30" t="s">
        <v>65</v>
      </c>
    </row>
    <row r="38" spans="1:8" ht="26.05" customHeight="1" x14ac:dyDescent="0.55000000000000004">
      <c r="A38" s="96" t="s">
        <v>144</v>
      </c>
      <c r="B38" s="78"/>
      <c r="C38" s="24"/>
      <c r="D38" s="125">
        <f>'VERİ GİRİŞİ'!C37</f>
        <v>0</v>
      </c>
      <c r="E38" s="78"/>
      <c r="F38" s="115" t="s">
        <v>145</v>
      </c>
      <c r="G38" s="78"/>
      <c r="H38" s="48" t="s">
        <v>80</v>
      </c>
    </row>
    <row r="39" spans="1:8" ht="26.05" customHeight="1" x14ac:dyDescent="0.55000000000000004">
      <c r="A39" s="129" t="s">
        <v>146</v>
      </c>
      <c r="B39" s="78"/>
      <c r="C39" s="49"/>
      <c r="D39" s="122" t="s">
        <v>147</v>
      </c>
      <c r="E39" s="123"/>
      <c r="F39" s="124" t="s">
        <v>148</v>
      </c>
      <c r="G39" s="78"/>
      <c r="H39" s="50" t="s">
        <v>80</v>
      </c>
    </row>
  </sheetData>
  <mergeCells count="49">
    <mergeCell ref="D39:E39"/>
    <mergeCell ref="F39:G39"/>
    <mergeCell ref="A35:H35"/>
    <mergeCell ref="A10:B10"/>
    <mergeCell ref="D38:E38"/>
    <mergeCell ref="A13:B13"/>
    <mergeCell ref="B19"/>
    <mergeCell ref="A39:B39"/>
    <mergeCell ref="F38:G38"/>
    <mergeCell ref="B21"/>
    <mergeCell ref="A33:B33"/>
    <mergeCell ref="A2:H2"/>
    <mergeCell ref="G33:H33"/>
    <mergeCell ref="D37:E37"/>
    <mergeCell ref="F13:G13"/>
    <mergeCell ref="D9:E9"/>
    <mergeCell ref="A8:B8"/>
    <mergeCell ref="F9:G9"/>
    <mergeCell ref="D12:E12"/>
    <mergeCell ref="B23"/>
    <mergeCell ref="D8:E8"/>
    <mergeCell ref="A4:H4"/>
    <mergeCell ref="F37:G37"/>
    <mergeCell ref="A38:B38"/>
    <mergeCell ref="A25:H25"/>
    <mergeCell ref="D11:E11"/>
    <mergeCell ref="D13:E13"/>
    <mergeCell ref="A16:H16"/>
    <mergeCell ref="A37:B37"/>
    <mergeCell ref="B22"/>
    <mergeCell ref="A12:B12"/>
    <mergeCell ref="A26:H26"/>
    <mergeCell ref="B18"/>
    <mergeCell ref="F6:G6"/>
    <mergeCell ref="B20"/>
    <mergeCell ref="A1:H1"/>
    <mergeCell ref="A6:B6"/>
    <mergeCell ref="F7:G7"/>
    <mergeCell ref="D6:E6"/>
    <mergeCell ref="F12:G12"/>
    <mergeCell ref="A7:B7"/>
    <mergeCell ref="F8:G8"/>
    <mergeCell ref="D7:E7"/>
    <mergeCell ref="A9:B9"/>
    <mergeCell ref="F11:G11"/>
    <mergeCell ref="D10:E10"/>
    <mergeCell ref="A15:H15"/>
    <mergeCell ref="F10:G10"/>
    <mergeCell ref="A11:B11"/>
  </mergeCells>
  <conditionalFormatting sqref="D13">
    <cfRule type="containsText" dxfId="11" priority="1" operator="containsText" text="UYGUN —">
      <formula>NOT(ISERROR(SEARCH("UYGUN —",D13)))</formula>
    </cfRule>
    <cfRule type="containsText" dxfId="10" priority="2" operator="containsText" text="UYGUN DEĞİL">
      <formula>NOT(ISERROR(SEARCH("UYGUN DEĞİL",D13)))</formula>
    </cfRule>
  </conditionalFormatting>
  <conditionalFormatting sqref="G28:G32">
    <cfRule type="containsText" dxfId="9" priority="15" operator="containsText" text="Sınır İçinde">
      <formula>NOT(ISERROR(SEARCH("Sınır İçinde",G28)))</formula>
    </cfRule>
    <cfRule type="containsText" dxfId="8" priority="16" operator="containsText" text="Sınır Aşıldı">
      <formula>NOT(ISERROR(SEARCH("Sınır Aşıldı",G28)))</formula>
    </cfRule>
  </conditionalFormatting>
  <conditionalFormatting sqref="H18:H23">
    <cfRule type="containsText" dxfId="7" priority="3" operator="containsText" text="OK">
      <formula>NOT(ISERROR(SEARCH("OK",H18)))</formula>
    </cfRule>
    <cfRule type="containsText" dxfId="6" priority="4" operator="containsText" text="İhlal">
      <formula>NOT(ISERROR(SEARCH("İhlal",H18)))</formula>
    </cfRule>
  </conditionalFormatting>
  <conditionalFormatting sqref="H28:H32">
    <cfRule type="containsText" dxfId="5" priority="17" operator="containsText" text="OK">
      <formula>NOT(ISERROR(SEARCH("OK",H28)))</formula>
    </cfRule>
    <cfRule type="containsText" dxfId="4" priority="18" operator="containsText" text="İHLAL">
      <formula>NOT(ISERROR(SEARCH("İHLAL",H28)))</formula>
    </cfRule>
  </conditionalFormatting>
  <dataValidations count="2">
    <dataValidation type="list" sqref="C18:C23 G18:G23 E18:E23" xr:uid="{00000000-0002-0000-0100-000000000000}">
      <formula1>"Süresinde ✓,Süresinde Değil ✗,İlgili Değil"</formula1>
    </dataValidation>
    <dataValidation type="list" sqref="F28:F32" xr:uid="{00000000-0002-0000-0100-000012000000}">
      <formula1>"Uzlaşma,Yargı Kararı,İdari Kesinleşme,Yok"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4.4" x14ac:dyDescent="0.55000000000000004"/>
  <cols>
    <col min="1" max="1" width="4" customWidth="1"/>
    <col min="2" max="2" width="8" customWidth="1"/>
    <col min="3" max="4" width="28" customWidth="1"/>
    <col min="5" max="6" width="13" customWidth="1"/>
    <col min="7" max="7" width="16" customWidth="1"/>
    <col min="8" max="8" width="12" customWidth="1"/>
  </cols>
  <sheetData>
    <row r="1" spans="1:8" ht="36" customHeight="1" x14ac:dyDescent="0.55000000000000004">
      <c r="A1" s="87" t="s">
        <v>149</v>
      </c>
      <c r="B1" s="88"/>
      <c r="C1" s="88"/>
      <c r="D1" s="88"/>
      <c r="E1" s="88"/>
      <c r="F1" s="88"/>
      <c r="G1" s="88"/>
      <c r="H1" s="89"/>
    </row>
    <row r="2" spans="1:8" ht="20.05" customHeight="1" x14ac:dyDescent="0.55000000000000004">
      <c r="A2" s="99" t="s">
        <v>150</v>
      </c>
      <c r="B2" s="88"/>
      <c r="C2" s="88"/>
      <c r="D2" s="88"/>
      <c r="E2" s="88"/>
      <c r="F2" s="88"/>
      <c r="G2" s="88"/>
      <c r="H2" s="89"/>
    </row>
    <row r="3" spans="1:8" ht="4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8" customHeight="1" x14ac:dyDescent="0.55000000000000004">
      <c r="A4" s="131" t="s">
        <v>151</v>
      </c>
      <c r="B4" s="77"/>
      <c r="C4" s="77"/>
      <c r="D4" s="77"/>
      <c r="E4" s="77"/>
      <c r="F4" s="77"/>
      <c r="G4" s="77"/>
      <c r="H4" s="78"/>
    </row>
    <row r="5" spans="1:8" ht="22" customHeight="1" x14ac:dyDescent="0.55000000000000004">
      <c r="A5" s="134" t="s">
        <v>152</v>
      </c>
      <c r="B5" s="88"/>
      <c r="C5" s="88"/>
      <c r="D5" s="88"/>
      <c r="E5" s="88"/>
      <c r="F5" s="88"/>
      <c r="G5" s="88"/>
      <c r="H5" s="89"/>
    </row>
    <row r="6" spans="1:8" ht="16" customHeight="1" x14ac:dyDescent="0.55000000000000004">
      <c r="A6" s="51"/>
      <c r="B6" s="51" t="s">
        <v>153</v>
      </c>
      <c r="C6" s="51" t="s">
        <v>154</v>
      </c>
      <c r="D6" s="51" t="s">
        <v>33</v>
      </c>
      <c r="E6" s="51" t="s">
        <v>155</v>
      </c>
      <c r="F6" s="51" t="s">
        <v>156</v>
      </c>
      <c r="G6" s="51" t="s">
        <v>157</v>
      </c>
      <c r="H6" s="51"/>
    </row>
    <row r="7" spans="1:8" ht="22" customHeight="1" x14ac:dyDescent="0.55000000000000004">
      <c r="A7" s="52" t="s">
        <v>158</v>
      </c>
      <c r="B7" s="53" t="s">
        <v>159</v>
      </c>
      <c r="C7" s="53" t="s">
        <v>160</v>
      </c>
      <c r="D7" s="53" t="s">
        <v>161</v>
      </c>
      <c r="E7" s="53" t="s">
        <v>162</v>
      </c>
      <c r="F7" s="53" t="s">
        <v>147</v>
      </c>
      <c r="G7" s="53" t="s">
        <v>74</v>
      </c>
      <c r="H7" s="4"/>
    </row>
    <row r="8" spans="1:8" ht="22" customHeight="1" x14ac:dyDescent="0.55000000000000004">
      <c r="A8" s="54" t="s">
        <v>163</v>
      </c>
      <c r="B8" s="55" t="s">
        <v>164</v>
      </c>
      <c r="C8" s="55" t="s">
        <v>165</v>
      </c>
      <c r="D8" s="55" t="s">
        <v>166</v>
      </c>
      <c r="E8" s="55" t="s">
        <v>147</v>
      </c>
      <c r="F8" s="55" t="s">
        <v>167</v>
      </c>
      <c r="G8" s="55" t="s">
        <v>168</v>
      </c>
      <c r="H8" s="40"/>
    </row>
    <row r="9" spans="1:8" ht="22" customHeight="1" x14ac:dyDescent="0.55000000000000004">
      <c r="A9" s="130" t="s">
        <v>169</v>
      </c>
      <c r="B9" s="88"/>
      <c r="C9" s="88"/>
      <c r="D9" s="88"/>
      <c r="E9" s="88"/>
      <c r="F9" s="88"/>
      <c r="G9" s="88"/>
      <c r="H9" s="89"/>
    </row>
    <row r="10" spans="1:8" ht="16" customHeight="1" x14ac:dyDescent="0.55000000000000004">
      <c r="A10" s="51"/>
      <c r="B10" s="51" t="s">
        <v>153</v>
      </c>
      <c r="C10" s="51" t="s">
        <v>154</v>
      </c>
      <c r="D10" s="51" t="s">
        <v>33</v>
      </c>
      <c r="E10" s="51" t="s">
        <v>155</v>
      </c>
      <c r="F10" s="51" t="s">
        <v>156</v>
      </c>
      <c r="G10" s="51" t="s">
        <v>157</v>
      </c>
      <c r="H10" s="51"/>
    </row>
    <row r="11" spans="1:8" ht="22" customHeight="1" x14ac:dyDescent="0.55000000000000004">
      <c r="A11" s="52" t="s">
        <v>158</v>
      </c>
      <c r="B11" s="53" t="s">
        <v>164</v>
      </c>
      <c r="C11" s="53" t="s">
        <v>165</v>
      </c>
      <c r="D11" s="53" t="s">
        <v>170</v>
      </c>
      <c r="E11" s="53" t="s">
        <v>167</v>
      </c>
      <c r="F11" s="53" t="s">
        <v>147</v>
      </c>
      <c r="G11" s="53" t="s">
        <v>171</v>
      </c>
      <c r="H11" s="4"/>
    </row>
    <row r="12" spans="1:8" ht="22" customHeight="1" x14ac:dyDescent="0.55000000000000004">
      <c r="A12" s="132" t="s">
        <v>172</v>
      </c>
      <c r="B12" s="88"/>
      <c r="C12" s="88"/>
      <c r="D12" s="88"/>
      <c r="E12" s="88"/>
      <c r="F12" s="88"/>
      <c r="G12" s="88"/>
      <c r="H12" s="89"/>
    </row>
    <row r="13" spans="1:8" ht="16" customHeight="1" x14ac:dyDescent="0.55000000000000004">
      <c r="A13" s="51"/>
      <c r="B13" s="51" t="s">
        <v>153</v>
      </c>
      <c r="C13" s="51" t="s">
        <v>154</v>
      </c>
      <c r="D13" s="51" t="s">
        <v>33</v>
      </c>
      <c r="E13" s="51" t="s">
        <v>155</v>
      </c>
      <c r="F13" s="51" t="s">
        <v>156</v>
      </c>
      <c r="G13" s="51" t="s">
        <v>157</v>
      </c>
      <c r="H13" s="51"/>
    </row>
    <row r="14" spans="1:8" ht="22" customHeight="1" x14ac:dyDescent="0.55000000000000004">
      <c r="A14" s="52" t="s">
        <v>158</v>
      </c>
      <c r="B14" s="53" t="s">
        <v>173</v>
      </c>
      <c r="C14" s="53" t="s">
        <v>174</v>
      </c>
      <c r="D14" s="53" t="s">
        <v>175</v>
      </c>
      <c r="E14" s="53" t="s">
        <v>176</v>
      </c>
      <c r="F14" s="53" t="s">
        <v>147</v>
      </c>
      <c r="G14" s="53" t="s">
        <v>177</v>
      </c>
      <c r="H14" s="4"/>
    </row>
    <row r="15" spans="1:8" ht="22" customHeight="1" x14ac:dyDescent="0.55000000000000004">
      <c r="A15" s="133" t="s">
        <v>178</v>
      </c>
      <c r="B15" s="88"/>
      <c r="C15" s="88"/>
      <c r="D15" s="88"/>
      <c r="E15" s="88"/>
      <c r="F15" s="88"/>
      <c r="G15" s="88"/>
      <c r="H15" s="89"/>
    </row>
    <row r="16" spans="1:8" ht="16" customHeight="1" x14ac:dyDescent="0.55000000000000004">
      <c r="A16" s="51"/>
      <c r="B16" s="51" t="s">
        <v>153</v>
      </c>
      <c r="C16" s="51" t="s">
        <v>154</v>
      </c>
      <c r="D16" s="51" t="s">
        <v>33</v>
      </c>
      <c r="E16" s="51" t="s">
        <v>155</v>
      </c>
      <c r="F16" s="51" t="s">
        <v>156</v>
      </c>
      <c r="G16" s="51" t="s">
        <v>157</v>
      </c>
      <c r="H16" s="51"/>
    </row>
    <row r="17" spans="1:8" ht="22" customHeight="1" x14ac:dyDescent="0.55000000000000004">
      <c r="A17" s="52" t="s">
        <v>158</v>
      </c>
      <c r="B17" s="53" t="s">
        <v>179</v>
      </c>
      <c r="C17" s="53" t="s">
        <v>180</v>
      </c>
      <c r="D17" s="53" t="s">
        <v>181</v>
      </c>
      <c r="E17" s="53" t="s">
        <v>182</v>
      </c>
      <c r="F17" s="53" t="s">
        <v>147</v>
      </c>
      <c r="G17" s="53" t="s">
        <v>183</v>
      </c>
      <c r="H17" s="4"/>
    </row>
    <row r="18" spans="1:8" ht="22" customHeight="1" x14ac:dyDescent="0.55000000000000004">
      <c r="A18" s="52" t="s">
        <v>158</v>
      </c>
      <c r="B18" s="55" t="s">
        <v>159</v>
      </c>
      <c r="C18" s="55" t="s">
        <v>184</v>
      </c>
      <c r="D18" s="55" t="s">
        <v>185</v>
      </c>
      <c r="E18" s="55" t="s">
        <v>186</v>
      </c>
      <c r="F18" s="55" t="s">
        <v>147</v>
      </c>
      <c r="G18" s="55" t="s">
        <v>74</v>
      </c>
      <c r="H18" s="40"/>
    </row>
    <row r="19" spans="1:8" ht="22" customHeight="1" x14ac:dyDescent="0.55000000000000004">
      <c r="A19" s="54" t="s">
        <v>163</v>
      </c>
      <c r="B19" s="53" t="s">
        <v>173</v>
      </c>
      <c r="C19" s="53" t="s">
        <v>187</v>
      </c>
      <c r="D19" s="53" t="s">
        <v>188</v>
      </c>
      <c r="E19" s="53" t="s">
        <v>147</v>
      </c>
      <c r="F19" s="53" t="s">
        <v>162</v>
      </c>
      <c r="G19" s="53" t="s">
        <v>189</v>
      </c>
      <c r="H19" s="4"/>
    </row>
  </sheetData>
  <mergeCells count="7">
    <mergeCell ref="A9:H9"/>
    <mergeCell ref="A4:H4"/>
    <mergeCell ref="A1:H1"/>
    <mergeCell ref="A12:H12"/>
    <mergeCell ref="A15:H15"/>
    <mergeCell ref="A2:H2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/>
  </sheetViews>
  <sheetFormatPr defaultRowHeight="14.4" x14ac:dyDescent="0.55000000000000004"/>
  <cols>
    <col min="1" max="1" width="4" customWidth="1"/>
    <col min="2" max="2" width="6" customWidth="1"/>
    <col min="3" max="3" width="32" customWidth="1"/>
    <col min="4" max="4" width="44" customWidth="1"/>
    <col min="5" max="5" width="18" customWidth="1"/>
    <col min="6" max="6" width="4" customWidth="1"/>
  </cols>
  <sheetData>
    <row r="1" spans="1:6" ht="36" customHeight="1" x14ac:dyDescent="0.55000000000000004">
      <c r="A1" s="87" t="s">
        <v>190</v>
      </c>
      <c r="B1" s="88"/>
      <c r="C1" s="88"/>
      <c r="D1" s="88"/>
      <c r="E1" s="88"/>
      <c r="F1" s="89"/>
    </row>
    <row r="2" spans="1:6" ht="20.05" customHeight="1" x14ac:dyDescent="0.55000000000000004">
      <c r="A2" s="99" t="s">
        <v>191</v>
      </c>
      <c r="B2" s="88"/>
      <c r="C2" s="88"/>
      <c r="D2" s="88"/>
      <c r="E2" s="88"/>
      <c r="F2" s="89"/>
    </row>
    <row r="3" spans="1:6" ht="4" customHeight="1" x14ac:dyDescent="0.55000000000000004">
      <c r="A3" s="1"/>
      <c r="B3" s="1"/>
      <c r="C3" s="1"/>
      <c r="D3" s="1"/>
      <c r="E3" s="1"/>
      <c r="F3" s="1"/>
    </row>
    <row r="4" spans="1:6" ht="22" customHeight="1" x14ac:dyDescent="0.55000000000000004">
      <c r="A4" s="136" t="s">
        <v>192</v>
      </c>
      <c r="B4" s="88"/>
      <c r="C4" s="88"/>
      <c r="D4" s="88"/>
      <c r="E4" s="88"/>
      <c r="F4" s="89"/>
    </row>
    <row r="5" spans="1:6" ht="22" customHeight="1" x14ac:dyDescent="0.55000000000000004">
      <c r="A5" s="56"/>
      <c r="B5" s="56" t="s">
        <v>193</v>
      </c>
      <c r="C5" s="56" t="s">
        <v>194</v>
      </c>
      <c r="D5" s="56" t="s">
        <v>195</v>
      </c>
      <c r="E5" s="56" t="s">
        <v>196</v>
      </c>
      <c r="F5" s="56"/>
    </row>
    <row r="6" spans="1:6" ht="30" customHeight="1" x14ac:dyDescent="0.55000000000000004">
      <c r="A6" s="6" t="s">
        <v>197</v>
      </c>
      <c r="B6" s="57" t="s">
        <v>198</v>
      </c>
      <c r="C6" s="58" t="s">
        <v>199</v>
      </c>
      <c r="D6" s="59" t="s">
        <v>200</v>
      </c>
      <c r="E6" s="54" t="s">
        <v>201</v>
      </c>
      <c r="F6" s="4"/>
    </row>
    <row r="7" spans="1:6" ht="30" customHeight="1" x14ac:dyDescent="0.55000000000000004">
      <c r="A7" s="6" t="s">
        <v>197</v>
      </c>
      <c r="B7" s="60" t="s">
        <v>202</v>
      </c>
      <c r="C7" s="58" t="s">
        <v>203</v>
      </c>
      <c r="D7" s="61" t="s">
        <v>204</v>
      </c>
      <c r="E7" s="54" t="s">
        <v>201</v>
      </c>
      <c r="F7" s="40"/>
    </row>
    <row r="8" spans="1:6" ht="30" customHeight="1" x14ac:dyDescent="0.55000000000000004">
      <c r="A8" s="6" t="s">
        <v>197</v>
      </c>
      <c r="B8" s="57" t="s">
        <v>205</v>
      </c>
      <c r="C8" s="62" t="s">
        <v>206</v>
      </c>
      <c r="D8" s="59" t="s">
        <v>207</v>
      </c>
      <c r="E8" s="63" t="s">
        <v>208</v>
      </c>
      <c r="F8" s="4"/>
    </row>
    <row r="9" spans="1:6" ht="30" customHeight="1" x14ac:dyDescent="0.55000000000000004">
      <c r="A9" s="6" t="s">
        <v>197</v>
      </c>
      <c r="B9" s="60" t="s">
        <v>209</v>
      </c>
      <c r="C9" s="64" t="s">
        <v>210</v>
      </c>
      <c r="D9" s="61" t="s">
        <v>211</v>
      </c>
      <c r="E9" s="63" t="s">
        <v>208</v>
      </c>
      <c r="F9" s="40"/>
    </row>
    <row r="10" spans="1:6" ht="30" customHeight="1" x14ac:dyDescent="0.55000000000000004">
      <c r="A10" s="6" t="s">
        <v>197</v>
      </c>
      <c r="B10" s="57" t="s">
        <v>212</v>
      </c>
      <c r="C10" s="58" t="s">
        <v>213</v>
      </c>
      <c r="D10" s="59" t="s">
        <v>214</v>
      </c>
      <c r="E10" s="54" t="s">
        <v>201</v>
      </c>
      <c r="F10" s="4"/>
    </row>
    <row r="11" spans="1:6" ht="30" customHeight="1" x14ac:dyDescent="0.55000000000000004">
      <c r="A11" s="6" t="s">
        <v>197</v>
      </c>
      <c r="B11" s="60" t="s">
        <v>215</v>
      </c>
      <c r="C11" s="64" t="s">
        <v>216</v>
      </c>
      <c r="D11" s="61" t="s">
        <v>217</v>
      </c>
      <c r="E11" s="63" t="s">
        <v>208</v>
      </c>
      <c r="F11" s="40"/>
    </row>
    <row r="12" spans="1:6" ht="30" customHeight="1" x14ac:dyDescent="0.55000000000000004">
      <c r="A12" s="6" t="s">
        <v>197</v>
      </c>
      <c r="B12" s="57" t="s">
        <v>218</v>
      </c>
      <c r="C12" s="62" t="s">
        <v>219</v>
      </c>
      <c r="D12" s="59" t="s">
        <v>220</v>
      </c>
      <c r="E12" s="65" t="s">
        <v>221</v>
      </c>
      <c r="F12" s="4"/>
    </row>
    <row r="13" spans="1:6" ht="30" customHeight="1" x14ac:dyDescent="0.55000000000000004">
      <c r="A13" s="6" t="s">
        <v>197</v>
      </c>
      <c r="B13" s="60" t="s">
        <v>222</v>
      </c>
      <c r="C13" s="64" t="s">
        <v>223</v>
      </c>
      <c r="D13" s="61" t="s">
        <v>224</v>
      </c>
      <c r="E13" s="63" t="s">
        <v>208</v>
      </c>
      <c r="F13" s="40"/>
    </row>
    <row r="14" spans="1:6" ht="4" customHeight="1" x14ac:dyDescent="0.55000000000000004">
      <c r="A14" s="1"/>
      <c r="B14" s="1"/>
      <c r="C14" s="1"/>
      <c r="D14" s="1"/>
      <c r="E14" s="1"/>
      <c r="F14" s="1"/>
    </row>
    <row r="15" spans="1:6" ht="22" customHeight="1" x14ac:dyDescent="0.55000000000000004">
      <c r="A15" s="121" t="s">
        <v>225</v>
      </c>
      <c r="B15" s="88"/>
      <c r="C15" s="88"/>
      <c r="D15" s="88"/>
      <c r="E15" s="88"/>
      <c r="F15" s="89"/>
    </row>
    <row r="16" spans="1:6" ht="22" customHeight="1" x14ac:dyDescent="0.55000000000000004">
      <c r="A16" s="27"/>
      <c r="B16" s="27" t="s">
        <v>226</v>
      </c>
      <c r="C16" s="27" t="s">
        <v>227</v>
      </c>
      <c r="D16" s="27" t="s">
        <v>228</v>
      </c>
      <c r="E16" s="27" t="s">
        <v>31</v>
      </c>
      <c r="F16" s="27"/>
    </row>
    <row r="17" spans="1:6" ht="22" customHeight="1" x14ac:dyDescent="0.55000000000000004">
      <c r="A17" s="66" t="s">
        <v>229</v>
      </c>
      <c r="B17" s="57" t="s">
        <v>230</v>
      </c>
      <c r="C17" s="14" t="s">
        <v>231</v>
      </c>
      <c r="D17" s="28" t="s">
        <v>65</v>
      </c>
      <c r="E17" s="3" t="s">
        <v>232</v>
      </c>
      <c r="F17" s="4"/>
    </row>
    <row r="18" spans="1:6" ht="22" customHeight="1" x14ac:dyDescent="0.55000000000000004">
      <c r="A18" s="66" t="s">
        <v>229</v>
      </c>
      <c r="B18" s="60" t="s">
        <v>233</v>
      </c>
      <c r="C18" s="9" t="s">
        <v>234</v>
      </c>
      <c r="D18" s="29" t="s">
        <v>235</v>
      </c>
      <c r="E18" s="3" t="s">
        <v>232</v>
      </c>
      <c r="F18" s="40"/>
    </row>
    <row r="19" spans="1:6" ht="22" customHeight="1" x14ac:dyDescent="0.55000000000000004">
      <c r="A19" s="66" t="s">
        <v>229</v>
      </c>
      <c r="B19" s="57" t="s">
        <v>236</v>
      </c>
      <c r="C19" s="14" t="s">
        <v>237</v>
      </c>
      <c r="D19" s="28" t="s">
        <v>238</v>
      </c>
      <c r="E19" s="3" t="s">
        <v>232</v>
      </c>
      <c r="F19" s="4"/>
    </row>
    <row r="20" spans="1:6" ht="22" customHeight="1" x14ac:dyDescent="0.55000000000000004">
      <c r="A20" s="66" t="s">
        <v>229</v>
      </c>
      <c r="B20" s="60" t="s">
        <v>239</v>
      </c>
      <c r="C20" s="9" t="s">
        <v>240</v>
      </c>
      <c r="D20" s="29" t="s">
        <v>238</v>
      </c>
      <c r="E20" s="3" t="s">
        <v>232</v>
      </c>
      <c r="F20" s="40"/>
    </row>
    <row r="21" spans="1:6" ht="22" customHeight="1" x14ac:dyDescent="0.55000000000000004">
      <c r="A21" s="66" t="s">
        <v>229</v>
      </c>
      <c r="B21" s="57" t="s">
        <v>241</v>
      </c>
      <c r="C21" s="14" t="s">
        <v>242</v>
      </c>
      <c r="D21" s="28" t="s">
        <v>238</v>
      </c>
      <c r="E21" s="3" t="s">
        <v>232</v>
      </c>
      <c r="F21" s="4"/>
    </row>
    <row r="22" spans="1:6" ht="22" customHeight="1" x14ac:dyDescent="0.55000000000000004">
      <c r="A22" s="66" t="s">
        <v>229</v>
      </c>
      <c r="B22" s="60" t="s">
        <v>243</v>
      </c>
      <c r="C22" s="9" t="s">
        <v>244</v>
      </c>
      <c r="D22" s="29" t="s">
        <v>245</v>
      </c>
      <c r="E22" s="3" t="s">
        <v>232</v>
      </c>
      <c r="F22" s="40"/>
    </row>
    <row r="23" spans="1:6" ht="22" customHeight="1" x14ac:dyDescent="0.55000000000000004">
      <c r="A23" s="66" t="s">
        <v>229</v>
      </c>
      <c r="B23" s="57" t="s">
        <v>246</v>
      </c>
      <c r="C23" s="7" t="s">
        <v>247</v>
      </c>
      <c r="D23" s="28" t="s">
        <v>71</v>
      </c>
      <c r="E23" s="3" t="s">
        <v>232</v>
      </c>
      <c r="F23" s="4"/>
    </row>
    <row r="24" spans="1:6" ht="22" customHeight="1" x14ac:dyDescent="0.55000000000000004">
      <c r="A24" s="66" t="s">
        <v>229</v>
      </c>
      <c r="B24" s="60" t="s">
        <v>248</v>
      </c>
      <c r="C24" s="9" t="s">
        <v>249</v>
      </c>
      <c r="D24" s="29" t="s">
        <v>65</v>
      </c>
      <c r="E24" s="3" t="s">
        <v>232</v>
      </c>
      <c r="F24" s="40"/>
    </row>
    <row r="25" spans="1:6" ht="22" customHeight="1" x14ac:dyDescent="0.55000000000000004">
      <c r="A25" s="66" t="s">
        <v>229</v>
      </c>
      <c r="B25" s="57" t="s">
        <v>250</v>
      </c>
      <c r="C25" s="14" t="s">
        <v>251</v>
      </c>
      <c r="D25" s="28" t="s">
        <v>65</v>
      </c>
      <c r="E25" s="3" t="s">
        <v>232</v>
      </c>
      <c r="F25" s="4"/>
    </row>
    <row r="26" spans="1:6" ht="22" customHeight="1" x14ac:dyDescent="0.55000000000000004">
      <c r="A26" s="66" t="s">
        <v>229</v>
      </c>
      <c r="B26" s="60" t="s">
        <v>252</v>
      </c>
      <c r="C26" s="9" t="s">
        <v>253</v>
      </c>
      <c r="D26" s="29" t="s">
        <v>80</v>
      </c>
      <c r="E26" s="3" t="s">
        <v>232</v>
      </c>
      <c r="F26" s="40"/>
    </row>
    <row r="27" spans="1:6" ht="22" customHeight="1" x14ac:dyDescent="0.55000000000000004">
      <c r="A27" s="66" t="s">
        <v>229</v>
      </c>
      <c r="B27" s="57" t="s">
        <v>254</v>
      </c>
      <c r="C27" s="14" t="s">
        <v>255</v>
      </c>
      <c r="D27" s="28" t="s">
        <v>80</v>
      </c>
      <c r="E27" s="3" t="s">
        <v>232</v>
      </c>
      <c r="F27" s="4"/>
    </row>
    <row r="28" spans="1:6" ht="22" customHeight="1" x14ac:dyDescent="0.55000000000000004">
      <c r="A28" s="66" t="s">
        <v>229</v>
      </c>
      <c r="B28" s="60" t="s">
        <v>256</v>
      </c>
      <c r="C28" s="7" t="s">
        <v>257</v>
      </c>
      <c r="D28" s="29" t="s">
        <v>74</v>
      </c>
      <c r="E28" s="3" t="s">
        <v>232</v>
      </c>
      <c r="F28" s="40"/>
    </row>
    <row r="29" spans="1:6" ht="22" customHeight="1" x14ac:dyDescent="0.55000000000000004">
      <c r="A29" s="66" t="s">
        <v>229</v>
      </c>
      <c r="B29" s="57" t="s">
        <v>258</v>
      </c>
      <c r="C29" s="14" t="s">
        <v>259</v>
      </c>
      <c r="D29" s="28" t="s">
        <v>260</v>
      </c>
      <c r="E29" s="3" t="s">
        <v>232</v>
      </c>
      <c r="F29" s="4"/>
    </row>
    <row r="30" spans="1:6" ht="4" customHeight="1" x14ac:dyDescent="0.55000000000000004">
      <c r="A30" s="1"/>
      <c r="B30" s="1"/>
      <c r="C30" s="1"/>
      <c r="D30" s="1"/>
      <c r="E30" s="1"/>
      <c r="F30" s="1"/>
    </row>
    <row r="31" spans="1:6" ht="36" customHeight="1" x14ac:dyDescent="0.55000000000000004">
      <c r="A31" s="135" t="s">
        <v>261</v>
      </c>
      <c r="B31" s="77"/>
      <c r="C31" s="77"/>
      <c r="D31" s="77"/>
      <c r="E31" s="77"/>
      <c r="F31" s="78"/>
    </row>
  </sheetData>
  <mergeCells count="5">
    <mergeCell ref="A2:F2"/>
    <mergeCell ref="A1:F1"/>
    <mergeCell ref="A31:F31"/>
    <mergeCell ref="A4:F4"/>
    <mergeCell ref="A15:F15"/>
  </mergeCells>
  <conditionalFormatting sqref="E17:E29">
    <cfRule type="containsText" dxfId="3" priority="1" operator="containsText" text="Yapıldı">
      <formula>NOT(ISERROR(SEARCH("Yapıldı",E17:E29)))</formula>
    </cfRule>
    <cfRule type="containsText" dxfId="2" priority="2" operator="containsText" text="Yapılmadı">
      <formula>NOT(ISERROR(SEARCH("Yapılmadı",E17:E29)))</formula>
    </cfRule>
  </conditionalFormatting>
  <dataValidations count="2">
    <dataValidation type="list" sqref="E6:E13" xr:uid="{00000000-0002-0000-0300-000000000000}">
      <formula1>"ÇOK YÜKSEK,YÜKSEK,ORTA,DÜŞÜK"</formula1>
    </dataValidation>
    <dataValidation type="list" sqref="E17:E29" xr:uid="{00000000-0002-0000-0300-000008000000}">
      <formula1>"Yapıldı ✓,Yapılmadı ✗,Geçerli Değil,Devam Ediyor"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4.4" x14ac:dyDescent="0.55000000000000004"/>
  <cols>
    <col min="1" max="1" width="3" customWidth="1"/>
    <col min="2" max="2" width="7" customWidth="1"/>
    <col min="3" max="4" width="36" customWidth="1"/>
    <col min="5" max="5" width="20" customWidth="1"/>
    <col min="6" max="6" width="3" customWidth="1"/>
  </cols>
  <sheetData>
    <row r="1" spans="1:6" ht="34" customHeight="1" x14ac:dyDescent="0.55000000000000004">
      <c r="A1" s="87" t="s">
        <v>262</v>
      </c>
      <c r="B1" s="88"/>
      <c r="C1" s="88"/>
      <c r="D1" s="88"/>
      <c r="E1" s="88"/>
      <c r="F1" s="89"/>
    </row>
    <row r="2" spans="1:6" ht="20.05" customHeight="1" x14ac:dyDescent="0.55000000000000004">
      <c r="A2" s="99" t="s">
        <v>263</v>
      </c>
      <c r="B2" s="88"/>
      <c r="C2" s="88"/>
      <c r="D2" s="88"/>
      <c r="E2" s="88"/>
      <c r="F2" s="89"/>
    </row>
    <row r="3" spans="1:6" ht="4" customHeight="1" x14ac:dyDescent="0.55000000000000004">
      <c r="A3" s="1"/>
      <c r="B3" s="1"/>
      <c r="C3" s="1"/>
      <c r="D3" s="1"/>
      <c r="E3" s="1"/>
      <c r="F3" s="1"/>
    </row>
    <row r="4" spans="1:6" ht="22" customHeight="1" x14ac:dyDescent="0.55000000000000004">
      <c r="A4" s="121" t="s">
        <v>264</v>
      </c>
      <c r="B4" s="88"/>
      <c r="C4" s="88"/>
      <c r="D4" s="88"/>
      <c r="E4" s="88"/>
      <c r="F4" s="89"/>
    </row>
    <row r="5" spans="1:6" ht="22" customHeight="1" x14ac:dyDescent="0.55000000000000004">
      <c r="A5" s="27"/>
      <c r="B5" s="27" t="s">
        <v>265</v>
      </c>
      <c r="C5" s="27" t="s">
        <v>157</v>
      </c>
      <c r="D5" s="27" t="s">
        <v>33</v>
      </c>
      <c r="E5" s="27" t="s">
        <v>266</v>
      </c>
      <c r="F5" s="27"/>
    </row>
    <row r="6" spans="1:6" ht="38.049999999999997" customHeight="1" x14ac:dyDescent="0.55000000000000004">
      <c r="A6" s="67"/>
      <c r="B6" s="68" t="s">
        <v>267</v>
      </c>
      <c r="C6" s="69" t="s">
        <v>268</v>
      </c>
      <c r="D6" s="70" t="s">
        <v>269</v>
      </c>
      <c r="E6" s="71" t="s">
        <v>270</v>
      </c>
      <c r="F6" s="72" t="s">
        <v>271</v>
      </c>
    </row>
    <row r="7" spans="1:6" ht="38.049999999999997" customHeight="1" x14ac:dyDescent="0.55000000000000004">
      <c r="A7" s="40"/>
      <c r="B7" s="60" t="s">
        <v>272</v>
      </c>
      <c r="C7" s="73" t="s">
        <v>273</v>
      </c>
      <c r="D7" s="74" t="s">
        <v>274</v>
      </c>
      <c r="E7" s="8" t="s">
        <v>275</v>
      </c>
      <c r="F7" s="72" t="s">
        <v>271</v>
      </c>
    </row>
    <row r="8" spans="1:6" ht="38.049999999999997" customHeight="1" x14ac:dyDescent="0.55000000000000004">
      <c r="A8" s="67"/>
      <c r="B8" s="68" t="s">
        <v>276</v>
      </c>
      <c r="C8" s="69" t="s">
        <v>277</v>
      </c>
      <c r="D8" s="70" t="s">
        <v>278</v>
      </c>
      <c r="E8" s="71" t="s">
        <v>279</v>
      </c>
      <c r="F8" s="72" t="s">
        <v>271</v>
      </c>
    </row>
    <row r="9" spans="1:6" ht="38.049999999999997" customHeight="1" x14ac:dyDescent="0.55000000000000004">
      <c r="A9" s="40"/>
      <c r="B9" s="60" t="s">
        <v>280</v>
      </c>
      <c r="C9" s="73" t="s">
        <v>281</v>
      </c>
      <c r="D9" s="74" t="s">
        <v>282</v>
      </c>
      <c r="E9" s="8" t="s">
        <v>283</v>
      </c>
      <c r="F9" s="72" t="s">
        <v>271</v>
      </c>
    </row>
    <row r="10" spans="1:6" ht="38.049999999999997" customHeight="1" x14ac:dyDescent="0.55000000000000004">
      <c r="A10" s="67"/>
      <c r="B10" s="68" t="s">
        <v>284</v>
      </c>
      <c r="C10" s="75" t="s">
        <v>285</v>
      </c>
      <c r="D10" s="70" t="s">
        <v>286</v>
      </c>
      <c r="E10" s="71" t="s">
        <v>287</v>
      </c>
      <c r="F10" s="72" t="s">
        <v>271</v>
      </c>
    </row>
    <row r="11" spans="1:6" ht="38.049999999999997" customHeight="1" x14ac:dyDescent="0.55000000000000004">
      <c r="A11" s="40"/>
      <c r="B11" s="60" t="s">
        <v>288</v>
      </c>
      <c r="C11" s="73" t="s">
        <v>289</v>
      </c>
      <c r="D11" s="74" t="s">
        <v>290</v>
      </c>
      <c r="E11" s="8" t="s">
        <v>291</v>
      </c>
      <c r="F11" s="72" t="s">
        <v>271</v>
      </c>
    </row>
    <row r="12" spans="1:6" ht="38.049999999999997" customHeight="1" x14ac:dyDescent="0.55000000000000004">
      <c r="A12" s="67"/>
      <c r="B12" s="68" t="s">
        <v>292</v>
      </c>
      <c r="C12" s="75" t="s">
        <v>293</v>
      </c>
      <c r="D12" s="70" t="s">
        <v>294</v>
      </c>
      <c r="E12" s="71" t="s">
        <v>295</v>
      </c>
      <c r="F12" s="72" t="s">
        <v>271</v>
      </c>
    </row>
    <row r="13" spans="1:6" ht="38.049999999999997" customHeight="1" x14ac:dyDescent="0.55000000000000004">
      <c r="A13" s="40"/>
      <c r="B13" s="60" t="s">
        <v>296</v>
      </c>
      <c r="C13" s="64" t="s">
        <v>297</v>
      </c>
      <c r="D13" s="74" t="s">
        <v>298</v>
      </c>
      <c r="E13" s="8" t="s">
        <v>299</v>
      </c>
      <c r="F13" s="72" t="s">
        <v>271</v>
      </c>
    </row>
    <row r="14" spans="1:6" ht="4" customHeight="1" x14ac:dyDescent="0.55000000000000004">
      <c r="A14" s="1"/>
      <c r="B14" s="1"/>
      <c r="C14" s="1"/>
      <c r="D14" s="1"/>
      <c r="E14" s="1"/>
      <c r="F14" s="1"/>
    </row>
    <row r="15" spans="1:6" ht="30" customHeight="1" x14ac:dyDescent="0.55000000000000004">
      <c r="A15" s="135" t="s">
        <v>300</v>
      </c>
      <c r="B15" s="77"/>
      <c r="C15" s="77"/>
      <c r="D15" s="77"/>
      <c r="E15" s="77"/>
      <c r="F15" s="78"/>
    </row>
  </sheetData>
  <mergeCells count="4">
    <mergeCell ref="A2:F2"/>
    <mergeCell ref="A1:F1"/>
    <mergeCell ref="A4:F4"/>
    <mergeCell ref="A15:F15"/>
  </mergeCells>
  <conditionalFormatting sqref="F6:F13">
    <cfRule type="containsText" dxfId="1" priority="1" operator="containsText" text="Temin">
      <formula>NOT(ISERROR(SEARCH("Temin",F6:F13)))</formula>
    </cfRule>
    <cfRule type="containsText" dxfId="0" priority="2" operator="containsText" text="Eksik">
      <formula>NOT(ISERROR(SEARCH("Eksik",F6:F13)))</formula>
    </cfRule>
  </conditionalFormatting>
  <dataValidations count="1">
    <dataValidation type="list" sqref="F6:F13" xr:uid="{00000000-0002-0000-0400-000000000000}">
      <formula1>"Temin Edildi ✓,Eksik ✗,Geçerli Değil,Devam"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</vt:lpstr>
      <vt:lpstr>MUHASEBE KAYITLARI</vt:lpstr>
      <vt:lpstr>DENETÇİ NOTLARI</vt:lpstr>
      <vt:lpstr>BELGE LİSTESİ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2026-04-08T09:05:17Z</dcterms:created>
  <dcterms:modified xsi:type="dcterms:W3CDTF">2026-04-08T09:28:44Z</dcterms:modified>
</cp:coreProperties>
</file>