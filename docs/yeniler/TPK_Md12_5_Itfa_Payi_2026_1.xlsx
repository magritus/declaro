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KV BEYANNAMESİ SATIRLARI/"/>
    </mc:Choice>
  </mc:AlternateContent>
  <xr:revisionPtr revIDLastSave="0" documentId="8_{F272919F-7DB0-4D12-9F7E-9B30718D0DDB}"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sheetId="2" r:id="rId2"/>
    <sheet name="MUHASEBE KAYITLARI" sheetId="3" r:id="rId3"/>
    <sheet name="DENETÇİ NOTLARI" sheetId="4" r:id="rId4"/>
    <sheet name="BELGE LİSTES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2" l="1"/>
  <c r="D10" i="2"/>
  <c r="D9" i="2"/>
  <c r="D8" i="2"/>
  <c r="D7" i="2"/>
  <c r="F41" i="1"/>
  <c r="C38" i="1"/>
  <c r="C37" i="1"/>
  <c r="C36" i="1"/>
  <c r="D33" i="2"/>
  <c r="G30" i="2"/>
  <c r="E30" i="2"/>
  <c r="G29" i="2"/>
  <c r="E29" i="2"/>
  <c r="E28" i="2"/>
  <c r="G28" i="2" s="1"/>
  <c r="F23" i="2"/>
  <c r="B23" i="2"/>
  <c r="H22" i="2"/>
  <c r="G22" i="2"/>
  <c r="E22" i="2"/>
  <c r="G21" i="2"/>
  <c r="H21" i="2" s="1"/>
  <c r="E21" i="2"/>
  <c r="G20" i="2"/>
  <c r="G23" i="2" s="1"/>
  <c r="E20" i="2"/>
  <c r="G19" i="2"/>
  <c r="H19" i="2" s="1"/>
  <c r="E19" i="2"/>
  <c r="E23" i="2" s="1"/>
  <c r="C33" i="1"/>
  <c r="F28" i="1"/>
  <c r="E28" i="1"/>
  <c r="D6" i="2" s="1"/>
  <c r="D28" i="1"/>
  <c r="C28" i="1"/>
  <c r="F27" i="1"/>
  <c r="G27" i="1" s="1"/>
  <c r="F26" i="1"/>
  <c r="G26" i="1" s="1"/>
  <c r="G25" i="1"/>
  <c r="F25" i="1"/>
  <c r="F24" i="1"/>
  <c r="G24" i="1" s="1"/>
  <c r="D35" i="2" l="1"/>
  <c r="D11" i="2"/>
  <c r="G28" i="1"/>
  <c r="H20" i="2"/>
</calcChain>
</file>

<file path=xl/sharedStrings.xml><?xml version="1.0" encoding="utf-8"?>
<sst xmlns="http://schemas.openxmlformats.org/spreadsheetml/2006/main" count="448" uniqueCount="304">
  <si>
    <t>6491 SAYILI TPK Md.12/5 — İTFA PAYI OLARAK ADDOLUNAN GELİRLER  |  KV Beyanname İndirim Satırı  |  YMM TASDİK</t>
  </si>
  <si>
    <t>Şirket: ___________________  |  VKN: _______________  |  Dönem: 01.01.2026 – 31.12.2026  |  Ruhsat No: _______________</t>
  </si>
  <si>
    <t xml:space="preserve">  6491 SAYILI TÜRK PETROL KANUNU MADDE 12/5 — İTFA PAYI SİSTEMİ:
  Devlet hissesi hariç olmak üzere, petrol hakkı sahibinin petrol işlemi için yaptığı
  yatırımlara tekabül eden sermayesi karşılığında üretimden elde edeceği gelirler:
  ★ TAM MÜKELLEFİYET (Yerli Kurumlar): Yatırım maliyeti itfa yoluyla gidere
    dönüştürülene kadar → VUK hükümleri kapsamında itfa payı olarak addolunur.
  ★ DAR MÜKELLEFİYET (Yabancı Kurumlar): Sermayenin cari kur üzerinden geri
    alınmasına kadar → VUK hükümleri kapsamında itfa payı olarak addolunur.
  ★ SAHA BAZLI: İtfa oranları her petrollü arazi için ayrı ayrı, rezerv durumu da
    dikkate alınarak Enerji Bakanlığı ve HMB tarafından müştereken tespit edilir.
  ★ GELİR SINIRI: İtfa payı, cari dönem petrol işlemi faaliyetlerinden elde edilen
    geliri aşamaz. Aşan kısım sonraki döneme devredilEMEZ — o dönem için düzeltme
    beyannamesi ile talep edilebilir.</t>
  </si>
  <si>
    <t xml:space="preserve">  ★ KRİTİK UYARILAR: (1) Geçmiş dönemde kullanılmayan itfa payı sonraki döneme
  DEVREDİLEMEZ (GİB Özelge — Düzeltme beyannamesi yolu açık, devir değil).
  (2) Petrol işlemleri ayrı muhasebe defterinde izlenmeli ve KV'de ayrı beyan edilmeli.
  (3) Bakanlıkça onaylanan VUK Md.316 kapsamı amortisman oranları zorunludur.
  (4) YİAKV: GİB Reh. No:607 kapsamında YMM tarafından ayrıca değerlendirilmeli.</t>
  </si>
  <si>
    <t>A. GENEL BİLGİLER</t>
  </si>
  <si>
    <t>Kurumun Unvanı</t>
  </si>
  <si>
    <t>Tam ticaret unvanı</t>
  </si>
  <si>
    <t>VKN</t>
  </si>
  <si>
    <t>10 haneli VKN</t>
  </si>
  <si>
    <t>Mükellefiyet Türü</t>
  </si>
  <si>
    <t>Tam Mükellefiyet (Yerli Kurum)</t>
  </si>
  <si>
    <t>Tam Mükellefiyet / Dar Mükellefiyet</t>
  </si>
  <si>
    <t>Hesap Dönemi</t>
  </si>
  <si>
    <t>01.01.2026 – 31.12.2026</t>
  </si>
  <si>
    <t>KV Oranı (%)</t>
  </si>
  <si>
    <t>2026: %25 (genel)</t>
  </si>
  <si>
    <t>MAPEG Ruhsat No(ları)</t>
  </si>
  <si>
    <t>İşletme ruhsatı numaraları — her saha için</t>
  </si>
  <si>
    <t>Dosya Referansı</t>
  </si>
  <si>
    <t>YMM-2026/TPK-01</t>
  </si>
  <si>
    <t>B. MÜKELLEFİYET TÜRÜNE GÖRE İTFA PAYI HESAP ESASI — MADDE 12/5</t>
  </si>
  <si>
    <t>Mükellefiyet</t>
  </si>
  <si>
    <t>Hesap Esası</t>
  </si>
  <si>
    <t>İtfa Payı Devam Koşulu</t>
  </si>
  <si>
    <t>VUK Dayanağı</t>
  </si>
  <si>
    <t>→</t>
  </si>
  <si>
    <t>TAM MÜKELLEFİYET
(Yerli Kurum)</t>
  </si>
  <si>
    <t>Yatırım maliyeti (TL) itfa yoluyla gidere
dönüştürülene kadar gelirler itfa payıdır.</t>
  </si>
  <si>
    <t>Kümülatif amortisman &lt; Toplam Yatırım
Maliyeti (TL)</t>
  </si>
  <si>
    <t>VUK Mük.Md.316</t>
  </si>
  <si>
    <t>DAR MÜKELLEFİYET
(Yabancı Kurum/Şube)</t>
  </si>
  <si>
    <t>Sermayenin cari kur üzerinden karşılığı
geri alınana kadar gelirler itfa payıdır.</t>
  </si>
  <si>
    <t>Kümülatif Transfer &lt; Toplam Yatırım Sermayesi
(Cari Kur Karşılığı TL)</t>
  </si>
  <si>
    <t>VUK Mük.Md.298B / Kur</t>
  </si>
  <si>
    <t>C. SAHA BAZINDA YATIRIM MALİYETİ VE KÜMÜLATİF İTFA TAKİP TABLOSU</t>
  </si>
  <si>
    <t xml:space="preserve">  Her petrollü arazi (saha) için ayrı satır. İtfa payı hesabı saha bazlıdır. VUK Md.316: Her saha için ayrı amortisman oranı → Enerji ve HMB müşterek tespiti zorunludur. ★ Tam mükellefiyet: TL maliyet takibi | Dar mükellefiyet: Döviz + cari kur TL karşılığı.</t>
  </si>
  <si>
    <t>Ruhsat
No/Saha</t>
  </si>
  <si>
    <t>Ruhsat
Türü</t>
  </si>
  <si>
    <t>Toplam Yatırım
Maliyeti (TL)</t>
  </si>
  <si>
    <t>Önceki Dönem
Kümül. İtfa (TL)</t>
  </si>
  <si>
    <t>Cari Dönem
Hesaplanan İtfa (TL)</t>
  </si>
  <si>
    <t>Dönem Sonu
Kümül. İtfa (TL)</t>
  </si>
  <si>
    <t>Kalan
İtfa Hakkı (TL)</t>
  </si>
  <si>
    <t>VUK Md.316
Oranı (%)</t>
  </si>
  <si>
    <t>Saha-1</t>
  </si>
  <si>
    <t>İşletme Ruhsatı</t>
  </si>
  <si>
    <t>Saha-2</t>
  </si>
  <si>
    <t>Saha-3</t>
  </si>
  <si>
    <t>Saha-4</t>
  </si>
  <si>
    <t>TOPLAM</t>
  </si>
  <si>
    <t>D. CARİ DÖNEM İTFA PAYI HESABI — BEYANNAME SATIRI</t>
  </si>
  <si>
    <t xml:space="preserve">  İtfa payı = MIN(Hesaplanan İtfa, Petrol İşlemi Geliri). Petrol işlemi gelirini aşan kısım devredileMEZ. ★ Petrol işlemi gelirleri: Ham petrol + doğal gaz satışı (Devlet hissesi hariç). Petrol işlemi dışı gelirler kapsam dışıdır.</t>
  </si>
  <si>
    <t>Hesap Kalemi</t>
  </si>
  <si>
    <t>Tutar (TL)</t>
  </si>
  <si>
    <t>Açıklama</t>
  </si>
  <si>
    <t>Kaynak</t>
  </si>
  <si>
    <t>D.1  Dönem Toplam Hesaplanan İtfa Payı (C Tablosu E28)</t>
  </si>
  <si>
    <t>Tüm sahalar için cari dönem hesaplanan itfa payı toplamı</t>
  </si>
  <si>
    <t>C Tablosu E28</t>
  </si>
  <si>
    <t>D.2  Dönem Petrol İşlemi Brüt Gelirleri (Devlet Hissesi Hariç)</t>
  </si>
  <si>
    <t>Ham petrol + doğal gaz satış gelirleri — Devlet hissesi düşüldükten sonra</t>
  </si>
  <si>
    <t>Gelir Tablosu</t>
  </si>
  <si>
    <t>D.3  Devlet Hissesi (Düşülecek)</t>
  </si>
  <si>
    <t>6491 s.K. Md.12/6 kapsamında hesaplanan ve ödenen Devlet hissesi</t>
  </si>
  <si>
    <t>MAPEG Beyanı</t>
  </si>
  <si>
    <t>D.4  Net Petrol İşlemi Geliri (D.2 - D.3)</t>
  </si>
  <si>
    <t>İtfa payı bu tutarı aşamaz — gelir tavanı</t>
  </si>
  <si>
    <t>TPK Md.12/5</t>
  </si>
  <si>
    <t>D.5  ★ BEYANNAME İTFA PAYI = MIN(D.1, D.4)</t>
  </si>
  <si>
    <t>→ KV Beyanname: 6491 s.K. Md.12/5 İtfa Payı Satırı</t>
  </si>
  <si>
    <t>D.6  Kullanılamayan İtfa (D.1 - D.5) — Devredilmez!</t>
  </si>
  <si>
    <t>GİB Özelge: Sonraki döneme devredilmez — İlgili dönem için düzeltme beyannamesi</t>
  </si>
  <si>
    <t>GİB Özelge</t>
  </si>
  <si>
    <t>D.7  YİAKV Durumu</t>
  </si>
  <si>
    <t>YMM Teyidi — GİB Reh. No:607</t>
  </si>
  <si>
    <t>İtfa payı indiriminin YİAKV matrahına etkisi ayrıca değerlendirilmeli</t>
  </si>
  <si>
    <t>KVK Md.32/C</t>
  </si>
  <si>
    <t>E.1  BEYANNAME SATIRI → 6491 s.K. Md.12/5 Kapsamında İtfa Payı Olarak Addolunan Gelirler</t>
  </si>
  <si>
    <t>MIN(Hesaplanan İtfa, Net Petrol Gelirleri) | Devredilmez | Saha Bazlı</t>
  </si>
  <si>
    <t xml:space="preserve">  ★ KRİTİK: (1) SAHA BAZLI — Her petrollü arazi için ayrı itfa oranı (VUK Md.316).
  (2) GELİR TAVANI — İtfa payı net petrol işlemi gelirini aşamaz.
  (3) DEVİR YASAĞI — Kullanılmayan kısım ileriki döneme DEVREDİLEMEZ.
  (4) DEVLET HİSSESİ HARİÇ — Brüt gelirden önce Devlet hissesi düşülür.
  (5) MUHASEBE AYRIMLIĞI — Petrol işlemleri ayrı muhasebe defterinde izlenmeli.</t>
  </si>
  <si>
    <t>HESAPLAMALAR  |  VUK Md.316 İtfa Oranı  |  Saha Bazlı Hesap  |  Gelir Tavanı  |  Mutabakat</t>
  </si>
  <si>
    <t>6491 s.K. Md.12/5 | VUK Md.316 Madenler Amortismanı | Enerji Bak. + HMB Oranı | Saha Bazlı</t>
  </si>
  <si>
    <t>A. HESAPLAMA ÖZETİ VE MUTABAKAT</t>
  </si>
  <si>
    <t>Parametre</t>
  </si>
  <si>
    <t>Değer (TL)</t>
  </si>
  <si>
    <t>Toplam Hesaplanan İtfa Payı</t>
  </si>
  <si>
    <t>Tüm sahalar E toplamı</t>
  </si>
  <si>
    <t>Formül</t>
  </si>
  <si>
    <t>Net Petrol İşlemi Geliri</t>
  </si>
  <si>
    <t>Brüt Petrol Geliri − Devlet Hissesi</t>
  </si>
  <si>
    <t>★ BEYANNAME İTFA PAYI</t>
  </si>
  <si>
    <t>MIN(Hesaplanan, Petrol Geliri)</t>
  </si>
  <si>
    <t>Kullanılamayan İtfa (Devredilmez!)</t>
  </si>
  <si>
    <t>GİB Özelge: Düzeltme beyannamesi ile ilgili döneme</t>
  </si>
  <si>
    <t>Devlet Hissesi</t>
  </si>
  <si>
    <t>6491 s.K. Md.12/6 kapsamı</t>
  </si>
  <si>
    <t>Mutabakat (Min formülü kontrolü)</t>
  </si>
  <si>
    <t>D8 = MIN(D6,D7) olmalı</t>
  </si>
  <si>
    <t>B. VUK MD.316 MADENLER AMORTİSMANI VE İTFA ORANI — SAHA BAZINDA</t>
  </si>
  <si>
    <t xml:space="preserve">  VUK MADDE 316 — MADENLER AMORTİSMANI:
  İşletme hakkı ya da imtiyazı belli bir süre için verilmiş olan madenlerin ve taş
  ocaklarının imtiyaz veya işletme süreleri; belli süre ile sınırlandırılmamış olanların
  rezerv durumu da dikkate alınarak Enerji ve Tabii Kaynaklar Bakanlığı ve
  Hazine ve Maliye Bakanlığınca müştereken tespit edilecek oranlar üzerinden amortisman
  hesaplanır.
  PETROL SAHALARI İÇİN ORAN TESPİTİ:
  ① Her petrollü arazi için ayrı ayrı oran → Saha özelinde rezerv değerlendirmesi
  ② Enerji ve Tabii Kaynaklar Bakanlığı (MAPEG) + HMB müşterek yazı/onayı
  ③ Oran onayı olmadan itfa hesabı yapılamaz
  ④ Genellikle birim üretim/rezerv yöntemi (Unit of Production) veya sabit oran</t>
  </si>
  <si>
    <t>C. TAM MÜKELLEFİYET — SAHA BAZINDA İTFA HESAP TABLOSU</t>
  </si>
  <si>
    <t xml:space="preserve">  Tam mükellefiyet (yerli kurum): Yatırım maliyeti TL olarak takip edilir. İtfa payı hesabı: Yatırım Maliyeti × VUK Md.316 Oranı (veya birim üretim yöntemi). Kümülatif itfa yatırım maliyetine ulaştığında itfa payı sona erer.</t>
  </si>
  <si>
    <t>Saha
Adı/No</t>
  </si>
  <si>
    <t>Enerji Bak.
Onaylı Oran</t>
  </si>
  <si>
    <t>Cari Dönem
Üretim Hacmi</t>
  </si>
  <si>
    <t>Cari Dönem
İtfa Payı (TL)</t>
  </si>
  <si>
    <t>Kümülatif
İtfa (TL)</t>
  </si>
  <si>
    <t>Kalan
Hak (TL)</t>
  </si>
  <si>
    <t>Durum</t>
  </si>
  <si>
    <t>D. DAR MÜKELLEFİYET — SERMAYENİN CARİ KUR KARŞILIĞI TAKİP TABLOSU</t>
  </si>
  <si>
    <t xml:space="preserve">  Dar mükellefiyet (yabancı kurum/şube): Sermaye döviz cinsinden takip edilir. Cari kur karşılığı (TL) hesaplanır. Transfer yapılana kadar üretim geliri itfa payıdır. Cari kur: TCMB dönem sonu döviz satış kuru kullanılır.</t>
  </si>
  <si>
    <t>Saha
No</t>
  </si>
  <si>
    <t>Yatırım Tutarı
(Döviz)</t>
  </si>
  <si>
    <t>Döviz
Cinsi</t>
  </si>
  <si>
    <t>Dönem Sonu
Kur (TL)</t>
  </si>
  <si>
    <t>TL Karşılığı
(Cari Kur)</t>
  </si>
  <si>
    <t>Kümülatif
Transfer (TL)</t>
  </si>
  <si>
    <t>Oran
Belgesi</t>
  </si>
  <si>
    <t>USD</t>
  </si>
  <si>
    <t>Var / Yok</t>
  </si>
  <si>
    <t>E. GELİR TAVANI KONTROL — İTFA PAYI ≤ NET PETROL İŞLEMİ GELİRİ</t>
  </si>
  <si>
    <t>Hesaplanan İtfa Payı (D.1)</t>
  </si>
  <si>
    <t>VERİ GİRİŞİ E28</t>
  </si>
  <si>
    <t>Net Petrol İşlemi Geliri (D.4)</t>
  </si>
  <si>
    <t>VERİ GİRİŞİ D36</t>
  </si>
  <si>
    <t>★ GELİR TAVANI KONTROLÜ</t>
  </si>
  <si>
    <t>MUHASEBE KAYITLARI  |  Petrol Yatırım Maliyetleri  |  İtfa  |  Devlet Hissesi  |  TPK Md.12</t>
  </si>
  <si>
    <t>6491 s.K. Md.12 | VUK Md.316 | Ayrı Muhasebe Defteri | Saha Bazlı İzleme | KV Beyanname</t>
  </si>
  <si>
    <t xml:space="preserve">  MUHASEBE AYRIMLIĞI ZORUNLULUĞU: 6491 s.K. Md.12/3 — Petrol işlemlerine ait faaliyetler diğer faaliyetlerden ayrı muhasebe kayıtlarında izlenmeli ve ayrı vergilendirilmelidir.</t>
  </si>
  <si>
    <t>KAYIT 1 — PETROL ARAMA GİDERLERİ (Aktifleştirme İhtiyari — 6491 s.K. Md.12/6)</t>
  </si>
  <si>
    <t>Hesap</t>
  </si>
  <si>
    <t>Hesap Adı</t>
  </si>
  <si>
    <t>Borç</t>
  </si>
  <si>
    <t>Alacak</t>
  </si>
  <si>
    <t>Belge</t>
  </si>
  <si>
    <t>Dr</t>
  </si>
  <si>
    <t>260</t>
  </si>
  <si>
    <t>Haklar (Petrol Arama Ruhsatı)</t>
  </si>
  <si>
    <t>Aktifleştirme tercihinde: Arama giderleri aktife alınır</t>
  </si>
  <si>
    <t>[Tutar]</t>
  </si>
  <si>
    <t>—</t>
  </si>
  <si>
    <t>Fatura/MAPEG</t>
  </si>
  <si>
    <t>Kr</t>
  </si>
  <si>
    <t>102</t>
  </si>
  <si>
    <t>Bankalar</t>
  </si>
  <si>
    <t>Ödeme</t>
  </si>
  <si>
    <t>Dekont</t>
  </si>
  <si>
    <t>KAYIT 2 — PETROL SAHALARI VE TESİSAT (Zorunlu Aktifleştirme)</t>
  </si>
  <si>
    <t>253</t>
  </si>
  <si>
    <t>Tesis, Makine ve Cihazlar (Petrol)</t>
  </si>
  <si>
    <t>Kuyu açma ve tesis maliyetleri — Zorunlu aktifleştirme</t>
  </si>
  <si>
    <t>[Maliyet]</t>
  </si>
  <si>
    <t>MAPEG Onayı</t>
  </si>
  <si>
    <t>KAYIT 3 — VUK MD.316 KAPSAMINDA AMORTİSMAN (İtfa)</t>
  </si>
  <si>
    <t>770</t>
  </si>
  <si>
    <t>Genel Yönetim Giderleri / 630 (Petrol Üretim)</t>
  </si>
  <si>
    <t>Saha bazlı VUK Md.316 kapsamı amortisman gideri</t>
  </si>
  <si>
    <t>[İtfa]</t>
  </si>
  <si>
    <t>İtfa Tablosu</t>
  </si>
  <si>
    <t>257/268</t>
  </si>
  <si>
    <t>Birikmiş Amortismanlar (Petrol Sahası)</t>
  </si>
  <si>
    <t>Karşı hesap</t>
  </si>
  <si>
    <t>VUK Md.316</t>
  </si>
  <si>
    <t>KAYIT 4 — DEVLET HİSSESİ (6491 s.K. Md.12/6-7)</t>
  </si>
  <si>
    <t>689</t>
  </si>
  <si>
    <t>Diğer Olağandışı Gider (Devlet Hissesi)</t>
  </si>
  <si>
    <t>Aylık hesaplanan Devlet hissesi gideri</t>
  </si>
  <si>
    <t>[D.His.]</t>
  </si>
  <si>
    <t>360</t>
  </si>
  <si>
    <t>Ödenecek Vergiler (Devlet Hissesi)</t>
  </si>
  <si>
    <t>Tahakkuk</t>
  </si>
  <si>
    <t>Ödenecek Vergiler</t>
  </si>
  <si>
    <t>KAYIT 5 — DÖNEM SONU KV İTFA PAYI — BEYANNAME ETKİSİ</t>
  </si>
  <si>
    <t>Not</t>
  </si>
  <si>
    <t>MUHASEBE KAYDI YOK</t>
  </si>
  <si>
    <t>KV beyannamesindeki itfa payı indirimi doğrudan beyanname üzerinde</t>
  </si>
  <si>
    <t>KAYIT GEREKSİZ</t>
  </si>
  <si>
    <t>Muhasebe kârından ayrıca düşme kaydı olmaz — yalnızca beyanname satırı</t>
  </si>
  <si>
    <t>KVK Md.6</t>
  </si>
  <si>
    <t>YİAKV</t>
  </si>
  <si>
    <t>İtfa payı indirimi YİAKV matrahına etkisi için GİB Reh. No:607 incelenmeli</t>
  </si>
  <si>
    <t>DENETÇİ NOTLARI  |  Risk Haritası &amp; Check-list  |  6491 s.K. Md.12/5  |  YMM TASDİK</t>
  </si>
  <si>
    <t>Saha Bazlı İtfa | VUK Md.316 Oranı | Gelir Tavanı | Devir Yasağı | Muhasebe Ayrımı | YİAKV</t>
  </si>
  <si>
    <t>A. RİSK HARİTASI</t>
  </si>
  <si>
    <t>Kod</t>
  </si>
  <si>
    <t>Risk Konusu</t>
  </si>
  <si>
    <t>Risk Açıklaması</t>
  </si>
  <si>
    <t>Risk Seviyesi</t>
  </si>
  <si>
    <t>►</t>
  </si>
  <si>
    <t>R1</t>
  </si>
  <si>
    <t>VUK Md.316 Oranı Olmadan İtfa Hesabı</t>
  </si>
  <si>
    <t>Enerji ve Tabii Kaynaklar Bakanlığı (MAPEG) ve HMB müşterek onayı alınmadan hesaplanan itfa oranları geçersizdir. Onaysız oran kullanımı → Tarhiyat. Her saha için ayrı oran onayı zorunludur.</t>
  </si>
  <si>
    <t>ÇOK YÜKSEK</t>
  </si>
  <si>
    <t>R2</t>
  </si>
  <si>
    <t>Gelir Tavanı Aşımı</t>
  </si>
  <si>
    <t>İtfa payı, cari dönem net petrol işlemi gelirini (Devlet hissesi hariç) aşamaz. Aşan kısım cari dönemde kullanılamaz ve sonraki döneme DEVREDİLEMEZ. GİB özelgesi uyarınca yalnızca ilgili dönem için düzeltme beyannamesi yolu açık.</t>
  </si>
  <si>
    <t>R3</t>
  </si>
  <si>
    <t>Saha Bazı Yerine Toplu Hesap</t>
  </si>
  <si>
    <t>İtfa payı her petrollü arazi için ayrı ayrı hesaplanmalıdır. Farklı sahaların maliyetlerini tek havuzda toplayarak hesaplama → Hatalı. VUK Md.316: Her petrollü arazi için ayrı oran tespit zorunluluğu.</t>
  </si>
  <si>
    <t>YÜKSEK</t>
  </si>
  <si>
    <t>R4</t>
  </si>
  <si>
    <t>Muhasebe Ayrımı Eksikliği</t>
  </si>
  <si>
    <t>6491 s.K. Md.12/3: Petrol işlemleri ayrı muhasebe kayıtlarında izlenmeli. Petrol işlemi gelirleri ve giderleri diğer faaliyetlerle karıştırılmamalı. Bu ayrım sağlanmadan itfa payı hesabı güvenilir değildir.</t>
  </si>
  <si>
    <t>R5</t>
  </si>
  <si>
    <t>Devlet Hissesi Brüt Hesapta Bırakma</t>
  </si>
  <si>
    <t>İtfa payı hesabında Devlet hissesi brüt gelirden düşülmeden (hariç tutulmadan) hesaplanıyorsa gelir tavanı aşılmış olabilir. 6491 s.K. Md.12/5 açık hüküm: 'Devlet hissesi hariç olmak üzere...'</t>
  </si>
  <si>
    <t>R6</t>
  </si>
  <si>
    <t>Önceki Dönem Kullanılmayan İtfanın Devredilmesi</t>
  </si>
  <si>
    <t>GİB özelgesi uyarınca, önceki dönemde beyan edilmeyen/kullanılmayan itfa payı sonraki döneme taşınamaz. Yalnızca ilgili dönem için düzeltme beyannamesi yolu açık. Bu durumun farkında olmadan önceki dönem itfasını cari beyannameye dahil etmek → Tarhiyat.</t>
  </si>
  <si>
    <t>R7</t>
  </si>
  <si>
    <t>Dar Mükellefiyet — Döviz Kuru Takibi</t>
  </si>
  <si>
    <t>Dar mükellefiyette sermayenin cari kur karşılığı doğru hesaplanmalı. Dönem sonu TCMB döviz satış kuru kullanılmadıysa → Hata. Transfer tamamlandıktan sonra itfa payı hakkı sona erer.</t>
  </si>
  <si>
    <t>ORTA</t>
  </si>
  <si>
    <t>R8</t>
  </si>
  <si>
    <t>YİAKV ile İlişki</t>
  </si>
  <si>
    <t>İtfa payı indiriminin YİAKV matrahına etkisi GİB Reh. No:607 kapsamında YMM tarafından değerlendirilmeli.</t>
  </si>
  <si>
    <t>B. YMM DENETİM CHECK-LIST</t>
  </si>
  <si>
    <t>Adım</t>
  </si>
  <si>
    <t>Kontrol / Prosedür</t>
  </si>
  <si>
    <t>Dayanak</t>
  </si>
  <si>
    <t>✦</t>
  </si>
  <si>
    <t>C1</t>
  </si>
  <si>
    <t>MAPEG işletme ruhsatı ve saha bilgileri doğrulandı mı?</t>
  </si>
  <si>
    <t>6491 s.K. Md.5-6</t>
  </si>
  <si>
    <t>Yapılmadı ✗</t>
  </si>
  <si>
    <t>C2</t>
  </si>
  <si>
    <t>Her saha için VUK Md.316 kapsamı MAPEG+HMB oran onayı temin edildi mi?</t>
  </si>
  <si>
    <t>C3</t>
  </si>
  <si>
    <t>Petrol işlemleri ayrı muhasebe defterinde izleniyor mu?</t>
  </si>
  <si>
    <t>6491 s.K. Md.12/3</t>
  </si>
  <si>
    <t>C4</t>
  </si>
  <si>
    <t>Cari dönem net petrol işlemi geliri (Devlet hissesi hariç) hesaplandı mı?</t>
  </si>
  <si>
    <t>C5</t>
  </si>
  <si>
    <t>Devlet hissesi tutarı MAPEG beyanı ile teyit edildi mi?</t>
  </si>
  <si>
    <t>6491 s.K. Md.12/6-7</t>
  </si>
  <si>
    <t>C6</t>
  </si>
  <si>
    <t>★ İtfa payı ≤ Net Petrol Geliri tavanı kontrolü yapıldı mı?</t>
  </si>
  <si>
    <t>C7</t>
  </si>
  <si>
    <t>Her saha için ayrı itfa hesabı yapıldı mı (toplu değil)?</t>
  </si>
  <si>
    <t>C8</t>
  </si>
  <si>
    <t>Tam mükellefiyet: Kümülatif itfa &lt; Toplam Maliyet kontrolü yapıldı mı?</t>
  </si>
  <si>
    <t>C9</t>
  </si>
  <si>
    <t>Dar mükellefiyet: Cari kur karşılığı (TCMB) ile sermaye takibi yapıldı mı?</t>
  </si>
  <si>
    <t>C10</t>
  </si>
  <si>
    <t>★ Önceki dönem kullanılmayan itfa devredilmedi mi? (GİB özelge)</t>
  </si>
  <si>
    <t>C11</t>
  </si>
  <si>
    <t>Arama giderleri aktifleştirme/gider yazma tercihi tutarlı uygulandı mı?</t>
  </si>
  <si>
    <t>6491 s.K. Md.12/6</t>
  </si>
  <si>
    <t>C12</t>
  </si>
  <si>
    <t>★ Beyanname satırı D.5 = MIN(Hesaplanan, Net Petrol Geliri) formülü doğru mu?</t>
  </si>
  <si>
    <t>C13</t>
  </si>
  <si>
    <t>YİAKV etkisi GİB Reh. No:607 kapsamında değerlendirildi mi?</t>
  </si>
  <si>
    <t>GİB Reh. No:607</t>
  </si>
  <si>
    <t>C14</t>
  </si>
  <si>
    <t>YMM Tasdik Raporu (≥500.000 TL) değerlendirildi mi?</t>
  </si>
  <si>
    <t>49 No.lu Tebliğ</t>
  </si>
  <si>
    <t xml:space="preserve">  YMM TASDİK DİL STANDARDI (49 No.lu Tebliğ):
  '...6491 sayılı Türk Petrol Kanununun 12 nci maddesinin beşinci fıkrası hükmü uyarınca, [ruhsat no] numaralı petrol işletme ruhsatı kapsamında [saha adı] petrollü arazisinde yürütülen petrol işlemlerine ilişkin toplam [yatırım tutarı] TL yatırım maliyeti üzerinden VUK Madde 316 kapsamında [oran]% oranında hesaplanan [itfa tutarı] TL itfa payının, cari dönem net petrol işlemi gelirleri olan [gelir tutarı] TL'yi aşmadığı tarafımca tespit edilmiş ve söz konusu [itfa payı] TL kurumlar vergisi matrahından indirim konusu yapılmıştır.'</t>
  </si>
  <si>
    <t>BELGE LİSTESİ  |  6491 s.K. Md.12/5 İtfa Payı  |  YMM TASDİK DOSYASI</t>
  </si>
  <si>
    <t>MAPEG Ruhsat | VUK Md.316 Oran Onayı | Üretim Verileri | Devlet Hissesi | Muhasebe Ayrımı</t>
  </si>
  <si>
    <t>KATEGORİ 1 — ZORUNLU BELGELER</t>
  </si>
  <si>
    <t>No</t>
  </si>
  <si>
    <t>Temin Kaynağı</t>
  </si>
  <si>
    <t>B1</t>
  </si>
  <si>
    <t>★ MAPEG İşletme Ruhsatı (Her Saha İçin)</t>
  </si>
  <si>
    <t>Her petrollü arazi için Maden ve Petrol İşleri Genel Müdürlüğü'nden (MAPEG) alınan işletme ruhsatı. Ruhsat numarası, saha koordinatları, süresi ve kapsamı. Zorunlu — ruhsatsız saha için itfa hesabı yapılamaz.</t>
  </si>
  <si>
    <t>MAPEG</t>
  </si>
  <si>
    <t>Eksik ✗</t>
  </si>
  <si>
    <t>B2</t>
  </si>
  <si>
    <t>★ VUK Md.316 Kapsamı İtfa Oranı Belgesi (Enerji Bak. + HMB Müşterek)</t>
  </si>
  <si>
    <t>Her saha için Enerji ve Tabii Kaynaklar Bakanlığı ile Hazine ve Maliye Bakanlığı tarafından müştereken tespit edilen amortisman oranını gösteren belge/yazı. Bu belge olmadan hesaplanan oran geçersizdir. Zorunlu.</t>
  </si>
  <si>
    <t>MAPEG + HMB</t>
  </si>
  <si>
    <t>B3</t>
  </si>
  <si>
    <t>★ Saha Bazında Yatırım Maliyeti Döküm Tablosu</t>
  </si>
  <si>
    <t>Arama, sondaj, geliştirme ve üretim tesis maliyetleri dahil her saha için kümülatif yatırım maliyetinin muhasebe kayıtlarıyla desteklenmiş dökümü. Zorunlu.</t>
  </si>
  <si>
    <t>Muhasebe / MAPEG</t>
  </si>
  <si>
    <t>B4</t>
  </si>
  <si>
    <t>★ Petrol Üretim Verileri (Saha Bazlı — MAPEG Tasdikli)</t>
  </si>
  <si>
    <t>Her saha için cari dönem üretim miktarı (varil/m³). Birim üretim yönteminde zorunlu, oran yönteminde destekleyici. MAPEG tasdikli üretim raporu.</t>
  </si>
  <si>
    <t>MAPEG / Şirket</t>
  </si>
  <si>
    <t>B5</t>
  </si>
  <si>
    <t>★ Cari Dönem Petrol Satış Geliri ve Fatura Dökümü</t>
  </si>
  <si>
    <t>Ham petrol ve doğal gaz satışlarına ait fatura ve sözleşmeler. Devlet hissesi düşülmeden önceki brüt gelir ve Devlet hissesi ayrımı. Zorunlu.</t>
  </si>
  <si>
    <t>Muhasebe / Fatura</t>
  </si>
  <si>
    <t>B6</t>
  </si>
  <si>
    <t>★ Devlet Hissesi Beyan ve Ödeme Belgesi</t>
  </si>
  <si>
    <t>6491 s.K. Md.12/6-7 kapsamında MAPEG'e beyan edilen ve vergi dairesine ödenen Devlet hissesinin beyanname ve dekontu. Zorunlu.</t>
  </si>
  <si>
    <t>MAPEG Beyanı / Banka</t>
  </si>
  <si>
    <t>B7</t>
  </si>
  <si>
    <t>Petrol İşlemleri Ayrı Muhasebe Dökümü</t>
  </si>
  <si>
    <t>6491 s.K. Md.12/3 gereği petrol işlemlerinin diğer faaliyetlerden ayrı izlendiğini gösteren mizan/hesap dökümü. Farklı aktivite muhasebesi (ayrı muhasebe kodu/defteri).</t>
  </si>
  <si>
    <t>Muhasebe</t>
  </si>
  <si>
    <t>B8</t>
  </si>
  <si>
    <t>Önceki Yıllar KV Beyannameleri — İtfa Payı Kümülatif Takip</t>
  </si>
  <si>
    <t>Önceki dönemlerden kullanılan itfa payı tutarlarını gösteren beyanname kayıtları. Kümülatif itfa toplamının Toplam Yatırım Maliyetini aşmadığının doğrulanması.</t>
  </si>
  <si>
    <t>GİB e-Beyanname Arşivi</t>
  </si>
  <si>
    <t>B9</t>
  </si>
  <si>
    <t>Dar Mükellefiyet: Sermaye Tescil Belgesi ve Kur Takip Tablosu</t>
  </si>
  <si>
    <t>Yabancı sermayenin MAPEG'e tescil belgesi ve dönem sonu TCMB kur tablosu. Cari kur karşılığı TL hesaplaması ve kümülatif transfer tablosu.</t>
  </si>
  <si>
    <t>MAPEG / TCMB / Banka</t>
  </si>
  <si>
    <t>B10</t>
  </si>
  <si>
    <t>KV Beyannamesi İlgili Satır + YMM Hesaplama Notu</t>
  </si>
  <si>
    <t>Beyanname '6491 s.K. Md.12/5 İtfa Payı Olarak Addolunan Gelirler' satırı. VERİ GİRİŞİ D.5 ile mutabakat ve YMM hesaplama notu.</t>
  </si>
  <si>
    <t>GİB e-Beyanname + YMM</t>
  </si>
  <si>
    <t xml:space="preserve">  6491 SAYILI TPK Md.12/5 KAPANIŞ: Petrol hakkı sahibinin yatırım maliyetine tekabül eden üretim gelirleri itfa payıdır. İtfa payı = MIN(VUK Md.316 Hesaplanan, Net Petrol Geliri). MAPEG + HMB müşterek oran onayı zorunludur. Saha bazlı hesap. Devir yasağı: Kullanılmayan kısım ileriki döneme taşınamaz (GİB Özelge). YİAKV → GİB Reh. No:607. YMM: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</si>
</sst>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3" x14ac:knownFonts="1">
    <font>
      <sz val="11"/>
      <color theme="1"/>
      <name val="Calibri"/>
      <family val="2"/>
      <scheme val="minor"/>
    </font>
    <font>
      <b/>
      <sz val="11"/>
      <color rgb="FFFFFFFF"/>
      <name val="Calibri"/>
    </font>
    <font>
      <b/>
      <sz val="9"/>
      <color rgb="FFFFFFFF"/>
      <name val="Calibri"/>
    </font>
    <font>
      <b/>
      <sz val="8"/>
      <color rgb="FF7B5E00"/>
      <name val="Calibri"/>
    </font>
    <font>
      <b/>
      <sz val="8"/>
      <color rgb="FFB71C1C"/>
      <name val="Calibri"/>
    </font>
    <font>
      <sz val="9"/>
      <color rgb="FF1F3864"/>
      <name val="Calibri"/>
    </font>
    <font>
      <b/>
      <sz val="9"/>
      <color rgb="FF1F3864"/>
      <name val="Calibri"/>
    </font>
    <font>
      <i/>
      <sz val="8"/>
      <color rgb="FF888888"/>
      <name val="Calibri"/>
    </font>
    <font>
      <sz val="9"/>
      <color rgb="FF0000FF"/>
      <name val="Calibri"/>
    </font>
    <font>
      <b/>
      <sz val="10"/>
      <color rgb="FF1F3864"/>
      <name val="Calibri"/>
    </font>
    <font>
      <b/>
      <sz val="9"/>
      <color rgb="FF1B5E20"/>
      <name val="Calibri"/>
    </font>
    <font>
      <sz val="8"/>
      <color rgb="FF1565C0"/>
      <name val="Calibri"/>
    </font>
    <font>
      <sz val="8"/>
      <color rgb="FF1F3864"/>
      <name val="Calibri"/>
    </font>
    <font>
      <b/>
      <sz val="10"/>
      <color rgb="FF1B5E20"/>
      <name val="Calibri"/>
    </font>
    <font>
      <b/>
      <sz val="10"/>
      <color rgb="FFFFFFFF"/>
      <name val="Calibri"/>
    </font>
    <font>
      <i/>
      <sz val="8"/>
      <color rgb="FF1565C0"/>
      <name val="Calibri"/>
    </font>
    <font>
      <b/>
      <sz val="13"/>
      <color rgb="FF1B5E20"/>
      <name val="Calibri"/>
    </font>
    <font>
      <b/>
      <sz val="9"/>
      <color rgb="FFB71C1C"/>
      <name val="Calibri"/>
    </font>
    <font>
      <b/>
      <sz val="10"/>
      <color rgb="FFB71C1C"/>
      <name val="Calibri"/>
    </font>
    <font>
      <b/>
      <sz val="9"/>
      <color rgb="FFE65100"/>
      <name val="Calibri"/>
    </font>
    <font>
      <b/>
      <sz val="14"/>
      <color rgb="FF1B5E20"/>
      <name val="Calibri"/>
    </font>
    <font>
      <i/>
      <sz val="8"/>
      <color rgb="FF1B5E20"/>
      <name val="Calibri"/>
    </font>
    <font>
      <i/>
      <sz val="8"/>
      <color rgb="FF555555"/>
      <name val="Calibri"/>
    </font>
    <font>
      <b/>
      <sz val="12"/>
      <color rgb="FF1B5E20"/>
      <name val="Calibri"/>
    </font>
    <font>
      <b/>
      <sz val="10"/>
      <color rgb="FFE65100"/>
      <name val="Calibri"/>
    </font>
    <font>
      <sz val="8"/>
      <color rgb="FF1B5E20"/>
      <name val="Calibri"/>
    </font>
    <font>
      <sz val="8"/>
      <color rgb="FFE65100"/>
      <name val="Calibri"/>
    </font>
    <font>
      <sz val="9"/>
      <color rgb="FF7B5E00"/>
      <name val="Calibri"/>
    </font>
    <font>
      <b/>
      <sz val="8"/>
      <color rgb="FFFFFFFF"/>
      <name val="Calibri"/>
    </font>
    <font>
      <sz val="8"/>
      <color rgb="FF333333"/>
      <name val="Calibri"/>
    </font>
    <font>
      <sz val="8"/>
      <color rgb="FF7B5E00"/>
      <name val="Calibri"/>
    </font>
    <font>
      <sz val="8"/>
      <color rgb="FF555555"/>
      <name val="Calibri"/>
    </font>
    <font>
      <b/>
      <sz val="9"/>
      <color rgb="FF0000FF"/>
      <name val="Calibri"/>
    </font>
  </fonts>
  <fills count="25">
    <fill>
      <patternFill patternType="none"/>
    </fill>
    <fill>
      <patternFill patternType="gray125"/>
    </fill>
    <fill>
      <patternFill patternType="solid">
        <fgColor rgb="FF1A237E"/>
      </patternFill>
    </fill>
    <fill>
      <patternFill patternType="solid">
        <fgColor rgb="FF0D1B6E"/>
      </patternFill>
    </fill>
    <fill>
      <patternFill patternType="solid">
        <fgColor rgb="FFFFF9C4"/>
      </patternFill>
    </fill>
    <fill>
      <patternFill patternType="solid">
        <fgColor rgb="FFFCE4D6"/>
      </patternFill>
    </fill>
    <fill>
      <patternFill patternType="solid">
        <fgColor rgb="FFD0D0D0"/>
      </patternFill>
    </fill>
    <fill>
      <patternFill patternType="solid">
        <fgColor rgb="FFFFFFFF"/>
      </patternFill>
    </fill>
    <fill>
      <patternFill patternType="solid">
        <fgColor rgb="FFFFFF00"/>
      </patternFill>
    </fill>
    <fill>
      <patternFill patternType="solid">
        <fgColor rgb="FFE8EAF6"/>
      </patternFill>
    </fill>
    <fill>
      <patternFill patternType="solid">
        <fgColor rgb="FFE8F5E9"/>
      </patternFill>
    </fill>
    <fill>
      <patternFill patternType="solid">
        <fgColor rgb="FFFFF8E1"/>
      </patternFill>
    </fill>
    <fill>
      <patternFill patternType="solid">
        <fgColor rgb="FFE3F2FD"/>
      </patternFill>
    </fill>
    <fill>
      <patternFill patternType="solid">
        <fgColor rgb="FFBBDEFB"/>
      </patternFill>
    </fill>
    <fill>
      <patternFill patternType="solid">
        <fgColor rgb="FFC6EFCE"/>
      </patternFill>
    </fill>
    <fill>
      <patternFill patternType="solid">
        <fgColor rgb="FFFFF3E0"/>
      </patternFill>
    </fill>
    <fill>
      <patternFill patternType="solid">
        <fgColor rgb="FF1B5E20"/>
      </patternFill>
    </fill>
    <fill>
      <patternFill patternType="solid">
        <fgColor rgb="FF263238"/>
      </patternFill>
    </fill>
    <fill>
      <patternFill patternType="solid">
        <fgColor rgb="FF1565C0"/>
      </patternFill>
    </fill>
    <fill>
      <patternFill patternType="solid">
        <fgColor rgb="FFB71C1C"/>
      </patternFill>
    </fill>
    <fill>
      <patternFill patternType="solid">
        <fgColor rgb="FF888888"/>
      </patternFill>
    </fill>
    <fill>
      <patternFill patternType="solid">
        <fgColor rgb="FFE65100"/>
      </patternFill>
    </fill>
    <fill>
      <patternFill patternType="solid">
        <fgColor rgb="FFE57373"/>
      </patternFill>
    </fill>
    <fill>
      <patternFill patternType="solid">
        <fgColor rgb="FFDCEEFB"/>
      </patternFill>
    </fill>
    <fill>
      <patternFill patternType="solid">
        <fgColor rgb="FFF0F8FF"/>
      </patternFill>
    </fill>
  </fills>
  <borders count="12">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B71C1C"/>
      </left>
      <right style="thin">
        <color rgb="FFB71C1C"/>
      </right>
      <top style="thin">
        <color rgb="FFB71C1C"/>
      </top>
      <bottom style="thin">
        <color rgb="FFB71C1C"/>
      </bottom>
      <diagonal/>
    </border>
    <border>
      <left style="thin">
        <color rgb="FFE65100"/>
      </left>
      <right style="thin">
        <color rgb="FFE65100"/>
      </right>
      <top style="thin">
        <color rgb="FFE65100"/>
      </top>
      <bottom style="thin">
        <color rgb="FFE65100"/>
      </bottom>
      <diagonal/>
    </border>
    <border>
      <left/>
      <right style="thin">
        <color rgb="FF009900"/>
      </right>
      <top style="thin">
        <color rgb="FF009900"/>
      </top>
      <bottom style="thin">
        <color rgb="FF009900"/>
      </bottom>
      <diagonal/>
    </border>
    <border>
      <left/>
      <right/>
      <top style="thin">
        <color rgb="FF009900"/>
      </top>
      <bottom style="thin">
        <color rgb="FF009900"/>
      </bottom>
      <diagonal/>
    </border>
  </borders>
  <cellStyleXfs count="1">
    <xf numFmtId="0" fontId="0" fillId="0" borderId="0"/>
  </cellStyleXfs>
  <cellXfs count="139">
    <xf numFmtId="0" fontId="0" fillId="0" borderId="0" xfId="0"/>
    <xf numFmtId="0" fontId="0" fillId="6" borderId="4" xfId="0" applyFill="1" applyBorder="1"/>
    <xf numFmtId="0" fontId="8" fillId="8" borderId="4" xfId="0" applyFont="1" applyFill="1" applyBorder="1" applyAlignment="1">
      <alignment horizontal="center" vertical="center"/>
    </xf>
    <xf numFmtId="0" fontId="0" fillId="9" borderId="4" xfId="0" applyFill="1" applyBorder="1"/>
    <xf numFmtId="0" fontId="2"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9" fillId="10" borderId="4" xfId="0" applyFont="1" applyFill="1" applyBorder="1" applyAlignment="1">
      <alignment horizontal="center" vertical="center" wrapText="1"/>
    </xf>
    <xf numFmtId="0" fontId="5" fillId="10" borderId="4" xfId="0" applyFont="1" applyFill="1" applyBorder="1" applyAlignment="1">
      <alignment horizontal="left" vertical="center" wrapText="1"/>
    </xf>
    <xf numFmtId="0" fontId="10" fillId="10" borderId="4" xfId="0" applyFont="1" applyFill="1" applyBorder="1" applyAlignment="1">
      <alignment horizontal="left" vertical="center" wrapText="1"/>
    </xf>
    <xf numFmtId="0" fontId="11" fillId="10" borderId="4" xfId="0" applyFont="1" applyFill="1" applyBorder="1" applyAlignment="1">
      <alignment horizontal="center" vertical="center" wrapText="1"/>
    </xf>
    <xf numFmtId="0" fontId="9" fillId="11" borderId="4" xfId="0" applyFont="1" applyFill="1" applyBorder="1" applyAlignment="1">
      <alignment horizontal="center" vertical="center" wrapText="1"/>
    </xf>
    <xf numFmtId="0" fontId="5" fillId="11" borderId="4" xfId="0" applyFont="1" applyFill="1" applyBorder="1" applyAlignment="1">
      <alignment horizontal="left" vertical="center" wrapText="1"/>
    </xf>
    <xf numFmtId="0" fontId="10" fillId="11" borderId="4" xfId="0" applyFont="1" applyFill="1" applyBorder="1" applyAlignment="1">
      <alignment horizontal="left" vertical="center" wrapText="1"/>
    </xf>
    <xf numFmtId="0" fontId="11" fillId="11" borderId="4" xfId="0" applyFont="1" applyFill="1" applyBorder="1" applyAlignment="1">
      <alignment horizontal="center" vertical="center" wrapText="1"/>
    </xf>
    <xf numFmtId="0" fontId="5" fillId="8" borderId="4" xfId="0" applyFont="1" applyFill="1" applyBorder="1" applyAlignment="1">
      <alignment horizontal="center" vertical="center" wrapText="1"/>
    </xf>
    <xf numFmtId="3" fontId="5" fillId="8" borderId="4" xfId="0" applyNumberFormat="1" applyFont="1" applyFill="1" applyBorder="1" applyAlignment="1">
      <alignment horizontal="right" vertical="center" wrapText="1"/>
    </xf>
    <xf numFmtId="3" fontId="6" fillId="12" borderId="4" xfId="0" applyNumberFormat="1" applyFont="1" applyFill="1" applyBorder="1" applyAlignment="1">
      <alignment horizontal="right" vertical="center" wrapText="1"/>
    </xf>
    <xf numFmtId="3" fontId="13" fillId="12" borderId="4" xfId="0" applyNumberFormat="1" applyFont="1" applyFill="1" applyBorder="1" applyAlignment="1">
      <alignment horizontal="right" vertical="center" wrapText="1"/>
    </xf>
    <xf numFmtId="10" fontId="5" fillId="8" borderId="4" xfId="0" applyNumberFormat="1" applyFont="1" applyFill="1" applyBorder="1" applyAlignment="1">
      <alignment horizontal="center" vertical="center" wrapText="1"/>
    </xf>
    <xf numFmtId="3" fontId="6" fillId="13" borderId="4" xfId="0" applyNumberFormat="1" applyFont="1" applyFill="1" applyBorder="1" applyAlignment="1">
      <alignment horizontal="right" vertical="center" wrapText="1"/>
    </xf>
    <xf numFmtId="3" fontId="13" fillId="13" borderId="4" xfId="0" applyNumberFormat="1" applyFont="1" applyFill="1" applyBorder="1" applyAlignment="1">
      <alignment horizontal="right" vertical="center" wrapText="1"/>
    </xf>
    <xf numFmtId="3" fontId="1" fillId="2" borderId="7" xfId="0" applyNumberFormat="1" applyFont="1" applyFill="1" applyBorder="1" applyAlignment="1">
      <alignment horizontal="right" vertical="center" wrapText="1"/>
    </xf>
    <xf numFmtId="0" fontId="5" fillId="2" borderId="4" xfId="0" applyFont="1" applyFill="1" applyBorder="1" applyAlignment="1">
      <alignment horizontal="left" vertical="center" wrapText="1"/>
    </xf>
    <xf numFmtId="3" fontId="9" fillId="7" borderId="4" xfId="0" applyNumberFormat="1" applyFont="1" applyFill="1" applyBorder="1" applyAlignment="1">
      <alignment horizontal="right" vertical="center"/>
    </xf>
    <xf numFmtId="0" fontId="5" fillId="7" borderId="4" xfId="0" applyFont="1" applyFill="1" applyBorder="1" applyAlignment="1">
      <alignment horizontal="left" vertical="center" wrapText="1"/>
    </xf>
    <xf numFmtId="0" fontId="6" fillId="8" borderId="4" xfId="0" applyFont="1" applyFill="1" applyBorder="1" applyAlignment="1">
      <alignment horizontal="center" vertical="center"/>
    </xf>
    <xf numFmtId="0" fontId="5" fillId="9" borderId="4" xfId="0" applyFont="1" applyFill="1" applyBorder="1" applyAlignment="1">
      <alignment horizontal="left" vertical="center" wrapText="1"/>
    </xf>
    <xf numFmtId="3" fontId="9" fillId="9" borderId="4" xfId="0" applyNumberFormat="1" applyFont="1" applyFill="1" applyBorder="1" applyAlignment="1">
      <alignment horizontal="right" vertical="center"/>
    </xf>
    <xf numFmtId="3" fontId="16" fillId="14" borderId="7" xfId="0" applyNumberFormat="1" applyFont="1" applyFill="1" applyBorder="1" applyAlignment="1">
      <alignment horizontal="right" vertical="center"/>
    </xf>
    <xf numFmtId="0" fontId="5" fillId="14" borderId="4" xfId="0" applyFont="1" applyFill="1" applyBorder="1" applyAlignment="1">
      <alignment horizontal="left" vertical="center" wrapText="1"/>
    </xf>
    <xf numFmtId="0" fontId="17" fillId="5" borderId="4" xfId="0" applyFont="1" applyFill="1" applyBorder="1" applyAlignment="1">
      <alignment horizontal="left" vertical="center" wrapText="1"/>
    </xf>
    <xf numFmtId="3" fontId="18" fillId="5" borderId="8" xfId="0" applyNumberFormat="1" applyFont="1" applyFill="1" applyBorder="1" applyAlignment="1">
      <alignment horizontal="right" vertical="center"/>
    </xf>
    <xf numFmtId="0" fontId="5" fillId="5" borderId="4" xfId="0" applyFont="1" applyFill="1" applyBorder="1" applyAlignment="1">
      <alignment horizontal="left" vertical="center" wrapText="1"/>
    </xf>
    <xf numFmtId="0" fontId="19" fillId="15" borderId="9" xfId="0" applyFont="1" applyFill="1" applyBorder="1" applyAlignment="1">
      <alignment horizontal="center" vertical="center"/>
    </xf>
    <xf numFmtId="0" fontId="5" fillId="15" borderId="4" xfId="0" applyFont="1" applyFill="1" applyBorder="1" applyAlignment="1">
      <alignment horizontal="left" vertical="center" wrapText="1"/>
    </xf>
    <xf numFmtId="3" fontId="20" fillId="14" borderId="7" xfId="0" applyNumberFormat="1" applyFont="1" applyFill="1" applyBorder="1" applyAlignment="1">
      <alignment horizontal="right" vertical="center" wrapText="1"/>
    </xf>
    <xf numFmtId="0" fontId="2" fillId="16" borderId="1" xfId="0" applyFont="1" applyFill="1" applyBorder="1" applyAlignment="1">
      <alignment horizontal="center" vertical="center" wrapText="1"/>
    </xf>
    <xf numFmtId="0" fontId="11" fillId="9" borderId="4"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1" fillId="14" borderId="4" xfId="0" applyFont="1" applyFill="1" applyBorder="1" applyAlignment="1">
      <alignment horizontal="center" vertical="center" wrapText="1"/>
    </xf>
    <xf numFmtId="0" fontId="11" fillId="5" borderId="4" xfId="0" applyFont="1" applyFill="1" applyBorder="1" applyAlignment="1">
      <alignment horizontal="center" vertical="center" wrapText="1"/>
    </xf>
    <xf numFmtId="3" fontId="13" fillId="10" borderId="7" xfId="0" applyNumberFormat="1" applyFont="1" applyFill="1" applyBorder="1" applyAlignment="1">
      <alignment horizontal="right" vertical="center" wrapText="1"/>
    </xf>
    <xf numFmtId="3" fontId="6" fillId="10" borderId="4" xfId="0" applyNumberFormat="1" applyFont="1" applyFill="1" applyBorder="1" applyAlignment="1">
      <alignment horizontal="right" vertical="center" wrapText="1"/>
    </xf>
    <xf numFmtId="0" fontId="12" fillId="10" borderId="4" xfId="0" applyFont="1" applyFill="1" applyBorder="1" applyAlignment="1">
      <alignment horizontal="center" vertical="center" wrapText="1"/>
    </xf>
    <xf numFmtId="3" fontId="13" fillId="7" borderId="7" xfId="0" applyNumberFormat="1" applyFont="1" applyFill="1" applyBorder="1" applyAlignment="1">
      <alignment horizontal="right" vertical="center" wrapText="1"/>
    </xf>
    <xf numFmtId="3" fontId="6" fillId="7" borderId="4" xfId="0" applyNumberFormat="1" applyFont="1" applyFill="1" applyBorder="1" applyAlignment="1">
      <alignment horizontal="right" vertical="center" wrapText="1"/>
    </xf>
    <xf numFmtId="0" fontId="12" fillId="7" borderId="4" xfId="0" applyFont="1" applyFill="1" applyBorder="1" applyAlignment="1">
      <alignment horizontal="center" vertical="center" wrapText="1"/>
    </xf>
    <xf numFmtId="0" fontId="0" fillId="2" borderId="4" xfId="0" applyFill="1" applyBorder="1"/>
    <xf numFmtId="164" fontId="5" fillId="8" borderId="4" xfId="0" applyNumberFormat="1" applyFont="1" applyFill="1" applyBorder="1" applyAlignment="1">
      <alignment horizontal="right" vertical="center" wrapText="1"/>
    </xf>
    <xf numFmtId="3" fontId="6" fillId="11" borderId="4" xfId="0" applyNumberFormat="1" applyFont="1" applyFill="1" applyBorder="1" applyAlignment="1">
      <alignment horizontal="right" vertical="center" wrapText="1"/>
    </xf>
    <xf numFmtId="3" fontId="10" fillId="11" borderId="4" xfId="0" applyNumberFormat="1" applyFont="1" applyFill="1" applyBorder="1" applyAlignment="1">
      <alignment horizontal="right" vertical="center" wrapText="1"/>
    </xf>
    <xf numFmtId="0" fontId="12" fillId="8" borderId="4" xfId="0" applyFont="1" applyFill="1" applyBorder="1" applyAlignment="1">
      <alignment horizontal="center" vertical="center" wrapText="1"/>
    </xf>
    <xf numFmtId="3" fontId="10" fillId="7" borderId="4" xfId="0" applyNumberFormat="1" applyFont="1" applyFill="1" applyBorder="1" applyAlignment="1">
      <alignment horizontal="right" vertical="center" wrapText="1"/>
    </xf>
    <xf numFmtId="0" fontId="28" fillId="17" borderId="1" xfId="0" applyFont="1" applyFill="1" applyBorder="1" applyAlignment="1">
      <alignment horizontal="center" vertical="center"/>
    </xf>
    <xf numFmtId="0" fontId="2" fillId="18" borderId="4" xfId="0" applyFont="1" applyFill="1" applyBorder="1" applyAlignment="1">
      <alignment horizontal="center" vertical="center"/>
    </xf>
    <xf numFmtId="0" fontId="5" fillId="9" borderId="4" xfId="0" applyFont="1" applyFill="1" applyBorder="1" applyAlignment="1">
      <alignment horizontal="center" vertical="center" wrapText="1"/>
    </xf>
    <xf numFmtId="0" fontId="2" fillId="19" borderId="4" xfId="0" applyFont="1" applyFill="1" applyBorder="1" applyAlignment="1">
      <alignment horizontal="center" vertical="center"/>
    </xf>
    <xf numFmtId="0" fontId="5" fillId="7" borderId="4" xfId="0" applyFont="1" applyFill="1" applyBorder="1" applyAlignment="1">
      <alignment horizontal="center" vertical="center" wrapText="1"/>
    </xf>
    <xf numFmtId="0" fontId="0" fillId="7" borderId="4" xfId="0" applyFill="1" applyBorder="1"/>
    <xf numFmtId="0" fontId="2" fillId="20" borderId="4" xfId="0" applyFont="1" applyFill="1" applyBorder="1" applyAlignment="1">
      <alignment horizontal="center" vertical="center"/>
    </xf>
    <xf numFmtId="0" fontId="2" fillId="18" borderId="1"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17" fillId="5" borderId="4" xfId="0" applyFont="1" applyFill="1" applyBorder="1" applyAlignment="1">
      <alignment horizontal="left" vertical="top" wrapText="1"/>
    </xf>
    <xf numFmtId="0" fontId="29" fillId="9" borderId="4" xfId="0" applyFont="1" applyFill="1" applyBorder="1" applyAlignment="1">
      <alignment horizontal="left" vertical="top" wrapText="1"/>
    </xf>
    <xf numFmtId="0" fontId="6" fillId="7" borderId="4" xfId="0" applyFont="1" applyFill="1" applyBorder="1" applyAlignment="1">
      <alignment horizontal="center" vertical="center" wrapText="1"/>
    </xf>
    <xf numFmtId="0" fontId="29" fillId="7" borderId="4" xfId="0" applyFont="1" applyFill="1" applyBorder="1" applyAlignment="1">
      <alignment horizontal="left" vertical="top" wrapText="1"/>
    </xf>
    <xf numFmtId="0" fontId="6" fillId="9" borderId="4" xfId="0" applyFont="1" applyFill="1" applyBorder="1" applyAlignment="1">
      <alignment horizontal="left" vertical="top" wrapText="1"/>
    </xf>
    <xf numFmtId="0" fontId="2" fillId="22" borderId="4" xfId="0" applyFont="1" applyFill="1" applyBorder="1" applyAlignment="1">
      <alignment horizontal="center" vertical="center"/>
    </xf>
    <xf numFmtId="0" fontId="6" fillId="7" borderId="4" xfId="0" applyFont="1" applyFill="1" applyBorder="1" applyAlignment="1">
      <alignment horizontal="left" vertical="top" wrapText="1"/>
    </xf>
    <xf numFmtId="0" fontId="2" fillId="21" borderId="4" xfId="0" applyFont="1" applyFill="1" applyBorder="1" applyAlignment="1">
      <alignment horizontal="center" vertical="center"/>
    </xf>
    <xf numFmtId="0" fontId="2" fillId="16" borderId="4" xfId="0" applyFont="1" applyFill="1" applyBorder="1" applyAlignment="1">
      <alignment horizontal="center" vertical="center" wrapText="1"/>
    </xf>
    <xf numFmtId="0" fontId="0" fillId="12" borderId="4" xfId="0" applyFill="1" applyBorder="1"/>
    <xf numFmtId="0" fontId="6" fillId="12" borderId="4" xfId="0" applyFont="1" applyFill="1" applyBorder="1" applyAlignment="1">
      <alignment horizontal="center" vertical="center" wrapText="1"/>
    </xf>
    <xf numFmtId="0" fontId="17" fillId="12" borderId="4" xfId="0" applyFont="1" applyFill="1" applyBorder="1" applyAlignment="1">
      <alignment horizontal="left" vertical="top" wrapText="1"/>
    </xf>
    <xf numFmtId="0" fontId="29" fillId="23" borderId="4" xfId="0" applyFont="1" applyFill="1" applyBorder="1" applyAlignment="1">
      <alignment horizontal="left" vertical="top" wrapText="1"/>
    </xf>
    <xf numFmtId="0" fontId="31" fillId="12" borderId="4" xfId="0" applyFont="1" applyFill="1" applyBorder="1" applyAlignment="1">
      <alignment horizontal="center" vertical="center" wrapText="1"/>
    </xf>
    <xf numFmtId="0" fontId="32" fillId="8" borderId="4" xfId="0" applyFont="1" applyFill="1" applyBorder="1" applyAlignment="1">
      <alignment horizontal="center" vertical="center"/>
    </xf>
    <xf numFmtId="0" fontId="17" fillId="7" borderId="4" xfId="0" applyFont="1" applyFill="1" applyBorder="1" applyAlignment="1">
      <alignment horizontal="left" vertical="top" wrapText="1"/>
    </xf>
    <xf numFmtId="0" fontId="29" fillId="24" borderId="4" xfId="0" applyFont="1" applyFill="1" applyBorder="1" applyAlignment="1">
      <alignment horizontal="left" vertical="top" wrapText="1"/>
    </xf>
    <xf numFmtId="0" fontId="31" fillId="7" borderId="4" xfId="0" applyFont="1" applyFill="1" applyBorder="1" applyAlignment="1">
      <alignment horizontal="center" vertical="center" wrapText="1"/>
    </xf>
    <xf numFmtId="0" fontId="6" fillId="12" borderId="4" xfId="0" applyFont="1" applyFill="1" applyBorder="1" applyAlignment="1">
      <alignment horizontal="left" vertical="top" wrapText="1"/>
    </xf>
    <xf numFmtId="0" fontId="7" fillId="7" borderId="4" xfId="0" applyFont="1" applyFill="1" applyBorder="1" applyAlignment="1">
      <alignment horizontal="left" vertical="center" wrapText="1"/>
    </xf>
    <xf numFmtId="0" fontId="1" fillId="2" borderId="1" xfId="0" applyFont="1" applyFill="1" applyBorder="1" applyAlignment="1">
      <alignment horizontal="left" vertical="center"/>
    </xf>
    <xf numFmtId="0" fontId="0" fillId="0" borderId="2" xfId="0" applyBorder="1"/>
    <xf numFmtId="0" fontId="0" fillId="0" borderId="3" xfId="0" applyBorder="1"/>
    <xf numFmtId="0" fontId="0" fillId="9" borderId="4" xfId="0" applyFill="1" applyBorder="1"/>
    <xf numFmtId="0" fontId="0" fillId="0" borderId="5" xfId="0" applyBorder="1"/>
    <xf numFmtId="0" fontId="0" fillId="0" borderId="6" xfId="0" applyBorder="1"/>
    <xf numFmtId="0" fontId="7" fillId="9" borderId="4" xfId="0" applyFont="1" applyFill="1" applyBorder="1" applyAlignment="1">
      <alignment horizontal="left" vertical="center" wrapText="1"/>
    </xf>
    <xf numFmtId="0" fontId="6" fillId="7" borderId="4" xfId="0" applyFont="1" applyFill="1" applyBorder="1" applyAlignment="1">
      <alignment horizontal="left" vertical="center" wrapText="1"/>
    </xf>
    <xf numFmtId="0" fontId="15" fillId="9" borderId="4" xfId="0" applyFont="1" applyFill="1" applyBorder="1" applyAlignment="1">
      <alignment horizontal="left" vertical="center" wrapText="1"/>
    </xf>
    <xf numFmtId="0" fontId="6" fillId="9" borderId="4" xfId="0" applyFont="1" applyFill="1" applyBorder="1" applyAlignment="1">
      <alignment horizontal="left" vertical="center" wrapText="1"/>
    </xf>
    <xf numFmtId="0" fontId="0" fillId="8" borderId="4" xfId="0" applyFill="1" applyBorder="1"/>
    <xf numFmtId="0" fontId="13" fillId="14" borderId="4" xfId="0" applyFont="1" applyFill="1" applyBorder="1" applyAlignment="1">
      <alignment horizontal="left" vertical="center"/>
    </xf>
    <xf numFmtId="0" fontId="15" fillId="7" borderId="4" xfId="0" applyFont="1" applyFill="1" applyBorder="1" applyAlignment="1">
      <alignment horizontal="left" vertical="center" wrapText="1"/>
    </xf>
    <xf numFmtId="0" fontId="10" fillId="14" borderId="4" xfId="0" applyFont="1" applyFill="1" applyBorder="1" applyAlignment="1">
      <alignment horizontal="left" vertical="center" wrapText="1"/>
    </xf>
    <xf numFmtId="0" fontId="3" fillId="4" borderId="4" xfId="0" applyFont="1" applyFill="1" applyBorder="1" applyAlignment="1">
      <alignment horizontal="left" vertical="center" wrapText="1"/>
    </xf>
    <xf numFmtId="0" fontId="15" fillId="5" borderId="4" xfId="0" applyFont="1" applyFill="1" applyBorder="1" applyAlignment="1">
      <alignment horizontal="left" vertical="center" wrapText="1"/>
    </xf>
    <xf numFmtId="0" fontId="2" fillId="3" borderId="1" xfId="0" applyFont="1" applyFill="1" applyBorder="1" applyAlignment="1">
      <alignment horizontal="left" vertical="center"/>
    </xf>
    <xf numFmtId="0" fontId="7" fillId="14" borderId="4" xfId="0" applyFont="1" applyFill="1" applyBorder="1" applyAlignment="1">
      <alignment horizontal="left" vertical="center" wrapText="1"/>
    </xf>
    <xf numFmtId="0" fontId="4" fillId="5" borderId="4" xfId="0" applyFont="1" applyFill="1" applyBorder="1" applyAlignment="1">
      <alignment horizontal="left" vertical="center" wrapText="1"/>
    </xf>
    <xf numFmtId="0" fontId="12" fillId="9" borderId="4" xfId="0" applyFont="1" applyFill="1" applyBorder="1" applyAlignment="1">
      <alignment horizontal="left" vertical="center" wrapText="1"/>
    </xf>
    <xf numFmtId="0" fontId="7" fillId="15" borderId="4" xfId="0" applyFont="1" applyFill="1" applyBorder="1" applyAlignment="1">
      <alignment horizontal="left" vertical="center" wrapText="1"/>
    </xf>
    <xf numFmtId="0" fontId="15" fillId="14" borderId="4" xfId="0" applyFont="1" applyFill="1" applyBorder="1" applyAlignment="1">
      <alignment horizontal="left" vertical="center" wrapText="1"/>
    </xf>
    <xf numFmtId="0" fontId="17" fillId="5" borderId="4" xfId="0" applyFont="1" applyFill="1" applyBorder="1" applyAlignment="1">
      <alignment horizontal="left" vertical="center" wrapText="1"/>
    </xf>
    <xf numFmtId="0" fontId="15" fillId="15" borderId="4" xfId="0" applyFont="1" applyFill="1" applyBorder="1" applyAlignment="1">
      <alignment horizontal="left" vertical="center" wrapText="1"/>
    </xf>
    <xf numFmtId="0" fontId="14" fillId="2" borderId="4" xfId="0" applyFont="1" applyFill="1" applyBorder="1" applyAlignment="1">
      <alignment horizontal="center" vertical="center"/>
    </xf>
    <xf numFmtId="0" fontId="7" fillId="5" borderId="4" xfId="0" applyFont="1" applyFill="1" applyBorder="1" applyAlignment="1">
      <alignment horizontal="left" vertical="center" wrapText="1"/>
    </xf>
    <xf numFmtId="0" fontId="21" fillId="14" borderId="4" xfId="0" applyFont="1" applyFill="1" applyBorder="1" applyAlignment="1">
      <alignment horizontal="left" vertical="center" wrapText="1"/>
    </xf>
    <xf numFmtId="0" fontId="19" fillId="15" borderId="4" xfId="0" applyFont="1" applyFill="1" applyBorder="1" applyAlignment="1">
      <alignment horizontal="left" vertical="center" wrapText="1"/>
    </xf>
    <xf numFmtId="0" fontId="13" fillId="14" borderId="7" xfId="0" applyFont="1" applyFill="1" applyBorder="1" applyAlignment="1">
      <alignment horizontal="center" vertical="center" wrapText="1"/>
    </xf>
    <xf numFmtId="0" fontId="0" fillId="0" borderId="11" xfId="0" applyBorder="1"/>
    <xf numFmtId="0" fontId="0" fillId="0" borderId="10" xfId="0" applyBorder="1"/>
    <xf numFmtId="0" fontId="22" fillId="7" borderId="4" xfId="0" applyFont="1" applyFill="1" applyBorder="1" applyAlignment="1">
      <alignment horizontal="left" vertical="center" wrapText="1"/>
    </xf>
    <xf numFmtId="3" fontId="9" fillId="9" borderId="4" xfId="0" applyNumberFormat="1" applyFont="1" applyFill="1" applyBorder="1" applyAlignment="1">
      <alignment horizontal="right" vertical="center"/>
    </xf>
    <xf numFmtId="0" fontId="22" fillId="9" borderId="4" xfId="0" applyFont="1" applyFill="1" applyBorder="1" applyAlignment="1">
      <alignment horizontal="left" vertical="center" wrapText="1"/>
    </xf>
    <xf numFmtId="0" fontId="22" fillId="9" borderId="4" xfId="0" applyFont="1" applyFill="1" applyBorder="1" applyAlignment="1">
      <alignment horizontal="left" vertical="center"/>
    </xf>
    <xf numFmtId="3" fontId="9" fillId="7" borderId="4" xfId="0" applyNumberFormat="1" applyFont="1" applyFill="1" applyBorder="1" applyAlignment="1">
      <alignment horizontal="right" vertical="center"/>
    </xf>
    <xf numFmtId="0" fontId="6" fillId="7" borderId="4" xfId="0" applyFont="1" applyFill="1" applyBorder="1" applyAlignment="1">
      <alignment horizontal="left" vertical="center"/>
    </xf>
    <xf numFmtId="0" fontId="6" fillId="9" borderId="4" xfId="0" applyFont="1" applyFill="1" applyBorder="1" applyAlignment="1">
      <alignment horizontal="left" vertical="center"/>
    </xf>
    <xf numFmtId="49" fontId="24" fillId="15" borderId="4" xfId="0" applyNumberFormat="1" applyFont="1" applyFill="1" applyBorder="1" applyAlignment="1">
      <alignment horizontal="center" vertical="center"/>
    </xf>
    <xf numFmtId="0" fontId="22" fillId="14" borderId="4" xfId="0" applyFont="1" applyFill="1" applyBorder="1" applyAlignment="1">
      <alignment horizontal="left" vertical="center" wrapText="1"/>
    </xf>
    <xf numFmtId="0" fontId="26" fillId="11" borderId="4" xfId="0" applyFont="1" applyFill="1" applyBorder="1" applyAlignment="1">
      <alignment horizontal="left" vertical="center" wrapText="1"/>
    </xf>
    <xf numFmtId="0" fontId="12" fillId="12" borderId="4" xfId="0" applyFont="1" applyFill="1" applyBorder="1" applyAlignment="1">
      <alignment horizontal="left" vertical="center" wrapText="1"/>
    </xf>
    <xf numFmtId="3" fontId="18" fillId="5" borderId="4" xfId="0" applyNumberFormat="1" applyFont="1" applyFill="1" applyBorder="1" applyAlignment="1">
      <alignment horizontal="right" vertical="center"/>
    </xf>
    <xf numFmtId="0" fontId="10" fillId="14" borderId="4" xfId="0" applyFont="1" applyFill="1" applyBorder="1" applyAlignment="1">
      <alignment horizontal="left" vertical="center"/>
    </xf>
    <xf numFmtId="0" fontId="22" fillId="5" borderId="4" xfId="0" applyFont="1" applyFill="1" applyBorder="1" applyAlignment="1">
      <alignment horizontal="left" vertical="center" wrapText="1"/>
    </xf>
    <xf numFmtId="0" fontId="25" fillId="10" borderId="4" xfId="0" applyFont="1" applyFill="1" applyBorder="1" applyAlignment="1">
      <alignment horizontal="left" vertical="center" wrapText="1"/>
    </xf>
    <xf numFmtId="3" fontId="23" fillId="14" borderId="7" xfId="0" applyNumberFormat="1" applyFont="1" applyFill="1" applyBorder="1" applyAlignment="1">
      <alignment horizontal="right" vertical="center"/>
    </xf>
    <xf numFmtId="0" fontId="1" fillId="16" borderId="1" xfId="0" applyFont="1" applyFill="1" applyBorder="1" applyAlignment="1">
      <alignment horizontal="left" vertical="center"/>
    </xf>
    <xf numFmtId="0" fontId="22" fillId="7" borderId="4" xfId="0" applyFont="1" applyFill="1" applyBorder="1" applyAlignment="1">
      <alignment horizontal="left" vertical="center"/>
    </xf>
    <xf numFmtId="0" fontId="17" fillId="5" borderId="4" xfId="0" applyFont="1" applyFill="1" applyBorder="1" applyAlignment="1">
      <alignment horizontal="left" vertical="center"/>
    </xf>
    <xf numFmtId="0" fontId="14" fillId="18" borderId="1" xfId="0" applyFont="1" applyFill="1" applyBorder="1" applyAlignment="1">
      <alignment horizontal="left" vertical="center"/>
    </xf>
    <xf numFmtId="0" fontId="27" fillId="4" borderId="4" xfId="0" applyFont="1" applyFill="1" applyBorder="1" applyAlignment="1">
      <alignment horizontal="left" vertical="center" wrapText="1"/>
    </xf>
    <xf numFmtId="0" fontId="14" fillId="16" borderId="1" xfId="0" applyFont="1" applyFill="1" applyBorder="1" applyAlignment="1">
      <alignment horizontal="left" vertical="center"/>
    </xf>
    <xf numFmtId="0" fontId="14" fillId="2" borderId="1" xfId="0" applyFont="1" applyFill="1" applyBorder="1" applyAlignment="1">
      <alignment horizontal="left" vertical="center"/>
    </xf>
    <xf numFmtId="0" fontId="14" fillId="21" borderId="1" xfId="0" applyFont="1" applyFill="1" applyBorder="1" applyAlignment="1">
      <alignment horizontal="left" vertical="center"/>
    </xf>
    <xf numFmtId="0" fontId="30" fillId="4" borderId="4" xfId="0" applyFont="1" applyFill="1" applyBorder="1" applyAlignment="1">
      <alignment horizontal="left" vertical="center" wrapText="1"/>
    </xf>
    <xf numFmtId="0" fontId="1" fillId="18" borderId="1" xfId="0" applyFont="1" applyFill="1" applyBorder="1" applyAlignment="1">
      <alignment horizontal="left" vertical="center"/>
    </xf>
  </cellXfs>
  <cellStyles count="1">
    <cellStyle name="Normal" xfId="0" builtinId="0"/>
  </cellStyles>
  <dxfs count="8">
    <dxf>
      <font>
        <b/>
        <sz val="10"/>
        <color rgb="FFB71C1C"/>
        <name val="Calibri"/>
      </font>
      <fill>
        <patternFill patternType="solid">
          <fgColor rgb="FFFCE4D6"/>
          <bgColor rgb="FFFCE4D6"/>
        </patternFill>
      </fill>
    </dxf>
    <dxf>
      <font>
        <b/>
        <sz val="10"/>
        <color rgb="FF1B5E20"/>
        <name val="Calibri"/>
      </font>
      <fill>
        <patternFill patternType="solid">
          <fgColor rgb="FFC6EFCE"/>
          <bgColor rgb="FFC6EFCE"/>
        </patternFill>
      </fill>
    </dxf>
    <dxf>
      <font>
        <b/>
        <sz val="10"/>
        <color rgb="FFB71C1C"/>
        <name val="Calibri"/>
      </font>
      <fill>
        <patternFill patternType="solid">
          <fgColor rgb="FFFCE4D6"/>
          <bgColor rgb="FFFCE4D6"/>
        </patternFill>
      </fill>
    </dxf>
    <dxf>
      <font>
        <b/>
        <sz val="10"/>
        <color rgb="FF1B5E20"/>
        <name val="Calibri"/>
      </font>
      <fill>
        <patternFill patternType="solid">
          <fgColor rgb="FFC6EFCE"/>
          <bgColor rgb="FFC6EFCE"/>
        </patternFill>
      </fill>
    </dxf>
    <dxf>
      <font>
        <b/>
        <sz val="10"/>
        <color rgb="FFB71C1C"/>
        <name val="Calibri"/>
      </font>
      <fill>
        <patternFill patternType="solid">
          <fgColor rgb="FFFCE4D6"/>
          <bgColor rgb="FFFCE4D6"/>
        </patternFill>
      </fill>
    </dxf>
    <dxf>
      <font>
        <b/>
        <sz val="10"/>
        <color rgb="FF1B5E20"/>
        <name val="Calibri"/>
      </font>
      <fill>
        <patternFill patternType="solid">
          <fgColor rgb="FFC6EFCE"/>
          <bgColor rgb="FFC6EFCE"/>
        </patternFill>
      </fill>
    </dxf>
    <dxf>
      <font>
        <b/>
        <sz val="10"/>
        <color rgb="FFB71C1C"/>
        <name val="Calibri"/>
      </font>
      <fill>
        <patternFill patternType="solid">
          <fgColor rgb="FFFCE4D6"/>
          <bgColor rgb="FFFCE4D6"/>
        </patternFill>
      </fill>
    </dxf>
    <dxf>
      <font>
        <b/>
        <sz val="10"/>
        <color rgb="FF1B5E20"/>
        <name val="Calibri"/>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1872327-66B2-470C-B7E5-9500CA28A88B}">
  <we:reference id="WA200009404" version="1.0.0.8" store="Omex" storeType="OMEX"/>
  <we:alternateReferences>
    <we:reference id="WA200009404" version="1.0.0.8" store="WA200009404" storeType="OMEX"/>
  </we:alternateReferences>
  <we:properties>
    <we:property name="claude.fileId" value="&quot;148e8f50-b256-4cdf-8e22-95619e0a6e7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tabSelected="1" topLeftCell="A18" workbookViewId="0">
      <selection sqref="A1:H1"/>
    </sheetView>
  </sheetViews>
  <sheetFormatPr defaultRowHeight="14.4" x14ac:dyDescent="0.55000000000000004"/>
  <cols>
    <col min="1" max="1" width="3" customWidth="1"/>
    <col min="2" max="2" width="28" customWidth="1"/>
    <col min="3" max="4" width="16" customWidth="1"/>
    <col min="5" max="6" width="14" customWidth="1"/>
    <col min="7" max="7" width="12" customWidth="1"/>
    <col min="8" max="8" width="18" customWidth="1"/>
  </cols>
  <sheetData>
    <row r="1" spans="1:8" ht="44.05" customHeight="1" x14ac:dyDescent="0.55000000000000004">
      <c r="A1" s="82" t="s">
        <v>0</v>
      </c>
      <c r="B1" s="83"/>
      <c r="C1" s="83"/>
      <c r="D1" s="83"/>
      <c r="E1" s="83"/>
      <c r="F1" s="83"/>
      <c r="G1" s="83"/>
      <c r="H1" s="84"/>
    </row>
    <row r="2" spans="1:8" ht="22" customHeight="1" x14ac:dyDescent="0.55000000000000004">
      <c r="A2" s="98" t="s">
        <v>1</v>
      </c>
      <c r="B2" s="83"/>
      <c r="C2" s="83"/>
      <c r="D2" s="83"/>
      <c r="E2" s="83"/>
      <c r="F2" s="83"/>
      <c r="G2" s="83"/>
      <c r="H2" s="84"/>
    </row>
    <row r="3" spans="1:8" ht="66" customHeight="1" x14ac:dyDescent="0.55000000000000004">
      <c r="A3" s="96" t="s">
        <v>2</v>
      </c>
      <c r="B3" s="86"/>
      <c r="C3" s="86"/>
      <c r="D3" s="86"/>
      <c r="E3" s="86"/>
      <c r="F3" s="86"/>
      <c r="G3" s="86"/>
      <c r="H3" s="87"/>
    </row>
    <row r="4" spans="1:8" ht="32.049999999999997" customHeight="1" x14ac:dyDescent="0.55000000000000004">
      <c r="A4" s="100" t="s">
        <v>3</v>
      </c>
      <c r="B4" s="86"/>
      <c r="C4" s="86"/>
      <c r="D4" s="86"/>
      <c r="E4" s="86"/>
      <c r="F4" s="86"/>
      <c r="G4" s="86"/>
      <c r="H4" s="87"/>
    </row>
    <row r="5" spans="1:8" ht="4" customHeight="1" x14ac:dyDescent="0.55000000000000004">
      <c r="A5" s="1"/>
      <c r="B5" s="1"/>
      <c r="C5" s="1"/>
      <c r="D5" s="1"/>
      <c r="E5" s="1"/>
      <c r="F5" s="1"/>
      <c r="G5" s="1"/>
      <c r="H5" s="1"/>
    </row>
    <row r="6" spans="1:8" ht="22" customHeight="1" x14ac:dyDescent="0.55000000000000004">
      <c r="A6" s="82" t="s">
        <v>4</v>
      </c>
      <c r="B6" s="83"/>
      <c r="C6" s="83"/>
      <c r="D6" s="83"/>
      <c r="E6" s="83"/>
      <c r="F6" s="83"/>
      <c r="G6" s="83"/>
      <c r="H6" s="84"/>
    </row>
    <row r="7" spans="1:8" ht="22" customHeight="1" x14ac:dyDescent="0.55000000000000004">
      <c r="A7" s="89" t="s">
        <v>5</v>
      </c>
      <c r="B7" s="87"/>
      <c r="C7" s="92"/>
      <c r="D7" s="86"/>
      <c r="E7" s="86"/>
      <c r="F7" s="86"/>
      <c r="G7" s="87"/>
      <c r="H7" s="81" t="s">
        <v>6</v>
      </c>
    </row>
    <row r="8" spans="1:8" ht="22" customHeight="1" x14ac:dyDescent="0.55000000000000004">
      <c r="A8" s="91" t="s">
        <v>7</v>
      </c>
      <c r="B8" s="87"/>
      <c r="C8" s="92"/>
      <c r="D8" s="86"/>
      <c r="E8" s="86"/>
      <c r="F8" s="86"/>
      <c r="G8" s="87"/>
      <c r="H8" s="88" t="s">
        <v>8</v>
      </c>
    </row>
    <row r="9" spans="1:8" ht="22" customHeight="1" x14ac:dyDescent="0.55000000000000004">
      <c r="A9" s="89" t="s">
        <v>9</v>
      </c>
      <c r="B9" s="87"/>
      <c r="C9" s="2" t="s">
        <v>10</v>
      </c>
      <c r="D9" s="85"/>
      <c r="E9" s="86"/>
      <c r="F9" s="86"/>
      <c r="G9" s="87"/>
      <c r="H9" s="81" t="s">
        <v>11</v>
      </c>
    </row>
    <row r="10" spans="1:8" ht="22" customHeight="1" x14ac:dyDescent="0.55000000000000004">
      <c r="A10" s="91" t="s">
        <v>12</v>
      </c>
      <c r="B10" s="87"/>
      <c r="C10" s="92"/>
      <c r="D10" s="86"/>
      <c r="E10" s="86"/>
      <c r="F10" s="86"/>
      <c r="G10" s="87"/>
      <c r="H10" s="88" t="s">
        <v>13</v>
      </c>
    </row>
    <row r="11" spans="1:8" ht="22" customHeight="1" x14ac:dyDescent="0.55000000000000004">
      <c r="A11" s="89" t="s">
        <v>14</v>
      </c>
      <c r="B11" s="87"/>
      <c r="C11" s="92"/>
      <c r="D11" s="86"/>
      <c r="E11" s="86"/>
      <c r="F11" s="86"/>
      <c r="G11" s="87"/>
      <c r="H11" s="81" t="s">
        <v>15</v>
      </c>
    </row>
    <row r="12" spans="1:8" ht="22" customHeight="1" x14ac:dyDescent="0.55000000000000004">
      <c r="A12" s="91" t="s">
        <v>16</v>
      </c>
      <c r="B12" s="87"/>
      <c r="C12" s="92"/>
      <c r="D12" s="86"/>
      <c r="E12" s="86"/>
      <c r="F12" s="86"/>
      <c r="G12" s="87"/>
      <c r="H12" s="88" t="s">
        <v>17</v>
      </c>
    </row>
    <row r="13" spans="1:8" ht="22" customHeight="1" x14ac:dyDescent="0.55000000000000004">
      <c r="A13" s="89" t="s">
        <v>18</v>
      </c>
      <c r="B13" s="87"/>
      <c r="C13" s="92"/>
      <c r="D13" s="86"/>
      <c r="E13" s="86"/>
      <c r="F13" s="86"/>
      <c r="G13" s="87"/>
      <c r="H13" s="81" t="s">
        <v>19</v>
      </c>
    </row>
    <row r="15" spans="1:8" ht="4" customHeight="1" x14ac:dyDescent="0.55000000000000004">
      <c r="A15" s="1"/>
      <c r="B15" s="1"/>
      <c r="C15" s="1"/>
      <c r="D15" s="1"/>
      <c r="E15" s="1"/>
      <c r="F15" s="1"/>
      <c r="G15" s="1"/>
      <c r="H15" s="1"/>
    </row>
    <row r="16" spans="1:8" ht="24" customHeight="1" x14ac:dyDescent="0.55000000000000004">
      <c r="A16" s="82" t="s">
        <v>20</v>
      </c>
      <c r="B16" s="83"/>
      <c r="C16" s="83"/>
      <c r="D16" s="83"/>
      <c r="E16" s="83"/>
      <c r="F16" s="83"/>
      <c r="G16" s="83"/>
      <c r="H16" s="84"/>
    </row>
    <row r="17" spans="1:8" ht="22" customHeight="1" x14ac:dyDescent="0.55000000000000004">
      <c r="A17" s="4"/>
      <c r="B17" s="4" t="s">
        <v>21</v>
      </c>
      <c r="C17" s="4" t="s">
        <v>22</v>
      </c>
      <c r="D17" s="4"/>
      <c r="E17" s="4" t="s">
        <v>23</v>
      </c>
      <c r="F17" s="4"/>
      <c r="G17" s="4" t="s">
        <v>24</v>
      </c>
      <c r="H17" s="4"/>
    </row>
    <row r="18" spans="1:8" ht="38.049999999999997" customHeight="1" x14ac:dyDescent="0.55000000000000004">
      <c r="A18" s="5" t="s">
        <v>25</v>
      </c>
      <c r="B18" s="6" t="s">
        <v>26</v>
      </c>
      <c r="C18" s="7" t="s">
        <v>27</v>
      </c>
      <c r="D18" s="7"/>
      <c r="E18" s="8" t="s">
        <v>28</v>
      </c>
      <c r="F18" s="7"/>
      <c r="G18" s="9" t="s">
        <v>29</v>
      </c>
      <c r="H18" s="7"/>
    </row>
    <row r="19" spans="1:8" ht="38.049999999999997" customHeight="1" x14ac:dyDescent="0.55000000000000004">
      <c r="A19" s="5" t="s">
        <v>25</v>
      </c>
      <c r="B19" s="10" t="s">
        <v>30</v>
      </c>
      <c r="C19" s="11" t="s">
        <v>31</v>
      </c>
      <c r="D19" s="11"/>
      <c r="E19" s="12" t="s">
        <v>32</v>
      </c>
      <c r="F19" s="11"/>
      <c r="G19" s="13" t="s">
        <v>33</v>
      </c>
      <c r="H19" s="11"/>
    </row>
    <row r="20" spans="1:8" ht="4" customHeight="1" x14ac:dyDescent="0.55000000000000004">
      <c r="A20" s="1"/>
      <c r="B20" s="1"/>
      <c r="C20" s="1"/>
      <c r="D20" s="1"/>
      <c r="E20" s="1"/>
      <c r="F20" s="1"/>
      <c r="G20" s="1"/>
      <c r="H20" s="1"/>
    </row>
    <row r="21" spans="1:8" ht="26.05" customHeight="1" x14ac:dyDescent="0.55000000000000004">
      <c r="A21" s="82" t="s">
        <v>34</v>
      </c>
      <c r="B21" s="83"/>
      <c r="C21" s="83"/>
      <c r="D21" s="83"/>
      <c r="E21" s="83"/>
      <c r="F21" s="83"/>
      <c r="G21" s="83"/>
      <c r="H21" s="84"/>
    </row>
    <row r="22" spans="1:8" ht="24" customHeight="1" x14ac:dyDescent="0.55000000000000004">
      <c r="A22" s="101" t="s">
        <v>35</v>
      </c>
      <c r="B22" s="86"/>
      <c r="C22" s="86"/>
      <c r="D22" s="86"/>
      <c r="E22" s="86"/>
      <c r="F22" s="86"/>
      <c r="G22" s="86"/>
      <c r="H22" s="87"/>
    </row>
    <row r="23" spans="1:8" ht="32.049999999999997" customHeight="1" x14ac:dyDescent="0.55000000000000004">
      <c r="A23" s="4" t="s">
        <v>36</v>
      </c>
      <c r="B23" s="4" t="s">
        <v>37</v>
      </c>
      <c r="C23" s="4" t="s">
        <v>38</v>
      </c>
      <c r="D23" s="4" t="s">
        <v>39</v>
      </c>
      <c r="E23" s="4" t="s">
        <v>40</v>
      </c>
      <c r="F23" s="4" t="s">
        <v>41</v>
      </c>
      <c r="G23" s="4" t="s">
        <v>42</v>
      </c>
      <c r="H23" s="4" t="s">
        <v>43</v>
      </c>
    </row>
    <row r="24" spans="1:8" ht="26.05" customHeight="1" x14ac:dyDescent="0.55000000000000004">
      <c r="A24" s="14" t="s">
        <v>44</v>
      </c>
      <c r="B24" s="2" t="s">
        <v>45</v>
      </c>
      <c r="C24" s="15"/>
      <c r="D24" s="15"/>
      <c r="E24" s="15"/>
      <c r="F24" s="16">
        <f>D24+E24</f>
        <v>0</v>
      </c>
      <c r="G24" s="17">
        <f>MAX(0,C24-F24)</f>
        <v>0</v>
      </c>
      <c r="H24" s="18"/>
    </row>
    <row r="25" spans="1:8" ht="26.05" customHeight="1" x14ac:dyDescent="0.55000000000000004">
      <c r="A25" s="14" t="s">
        <v>46</v>
      </c>
      <c r="B25" s="2" t="s">
        <v>45</v>
      </c>
      <c r="C25" s="15"/>
      <c r="D25" s="15"/>
      <c r="E25" s="15"/>
      <c r="F25" s="19">
        <f>D25+E25</f>
        <v>0</v>
      </c>
      <c r="G25" s="20">
        <f>MAX(0,C25-F25)</f>
        <v>0</v>
      </c>
      <c r="H25" s="18"/>
    </row>
    <row r="26" spans="1:8" ht="26.05" customHeight="1" x14ac:dyDescent="0.55000000000000004">
      <c r="A26" s="14" t="s">
        <v>47</v>
      </c>
      <c r="B26" s="2" t="s">
        <v>45</v>
      </c>
      <c r="C26" s="15"/>
      <c r="D26" s="15"/>
      <c r="E26" s="15"/>
      <c r="F26" s="16">
        <f>D26+E26</f>
        <v>0</v>
      </c>
      <c r="G26" s="17">
        <f>MAX(0,C26-F26)</f>
        <v>0</v>
      </c>
      <c r="H26" s="18"/>
    </row>
    <row r="27" spans="1:8" ht="26.05" customHeight="1" x14ac:dyDescent="0.55000000000000004">
      <c r="A27" s="14" t="s">
        <v>48</v>
      </c>
      <c r="B27" s="2" t="s">
        <v>45</v>
      </c>
      <c r="C27" s="15"/>
      <c r="D27" s="15"/>
      <c r="E27" s="15"/>
      <c r="F27" s="19">
        <f>D27+E27</f>
        <v>0</v>
      </c>
      <c r="G27" s="20">
        <f>MAX(0,C27-F27)</f>
        <v>0</v>
      </c>
      <c r="H27" s="18"/>
    </row>
    <row r="28" spans="1:8" ht="28" customHeight="1" x14ac:dyDescent="0.55000000000000004">
      <c r="A28" s="106" t="s">
        <v>49</v>
      </c>
      <c r="B28" s="87"/>
      <c r="C28" s="21">
        <f>SUM(C24:C27)</f>
        <v>0</v>
      </c>
      <c r="D28" s="21">
        <f>SUM(D24:D27)</f>
        <v>0</v>
      </c>
      <c r="E28" s="21">
        <f>SUM(E24:E27)</f>
        <v>0</v>
      </c>
      <c r="F28" s="21">
        <f>SUM(F24:F27)</f>
        <v>0</v>
      </c>
      <c r="G28" s="21">
        <f>SUM(G24:G27)</f>
        <v>0</v>
      </c>
      <c r="H28" s="22"/>
    </row>
    <row r="29" spans="1:8" ht="4" customHeight="1" x14ac:dyDescent="0.55000000000000004">
      <c r="A29" s="1"/>
      <c r="B29" s="1"/>
      <c r="C29" s="1"/>
      <c r="D29" s="1"/>
      <c r="E29" s="1"/>
      <c r="F29" s="1"/>
      <c r="G29" s="1"/>
      <c r="H29" s="1"/>
    </row>
    <row r="30" spans="1:8" ht="26.05" customHeight="1" x14ac:dyDescent="0.55000000000000004">
      <c r="A30" s="82" t="s">
        <v>50</v>
      </c>
      <c r="B30" s="83"/>
      <c r="C30" s="83"/>
      <c r="D30" s="83"/>
      <c r="E30" s="83"/>
      <c r="F30" s="83"/>
      <c r="G30" s="83"/>
      <c r="H30" s="84"/>
    </row>
    <row r="31" spans="1:8" ht="24" customHeight="1" x14ac:dyDescent="0.55000000000000004">
      <c r="A31" s="101" t="s">
        <v>51</v>
      </c>
      <c r="B31" s="86"/>
      <c r="C31" s="86"/>
      <c r="D31" s="86"/>
      <c r="E31" s="86"/>
      <c r="F31" s="86"/>
      <c r="G31" s="86"/>
      <c r="H31" s="87"/>
    </row>
    <row r="32" spans="1:8" ht="22" customHeight="1" x14ac:dyDescent="0.55000000000000004">
      <c r="A32" s="4"/>
      <c r="B32" s="4" t="s">
        <v>52</v>
      </c>
      <c r="C32" s="4"/>
      <c r="D32" s="4" t="s">
        <v>53</v>
      </c>
      <c r="E32" s="4"/>
      <c r="F32" s="4" t="s">
        <v>54</v>
      </c>
      <c r="G32" s="4"/>
      <c r="H32" s="4" t="s">
        <v>55</v>
      </c>
    </row>
    <row r="33" spans="1:8" ht="28" customHeight="1" x14ac:dyDescent="0.55000000000000004">
      <c r="A33" s="89" t="s">
        <v>56</v>
      </c>
      <c r="B33" s="87"/>
      <c r="C33" s="23">
        <f>E28</f>
        <v>0</v>
      </c>
      <c r="D33" s="81" t="s">
        <v>57</v>
      </c>
      <c r="E33" s="87"/>
      <c r="F33" s="94" t="s">
        <v>58</v>
      </c>
      <c r="G33" s="87"/>
      <c r="H33" s="24"/>
    </row>
    <row r="34" spans="1:8" ht="28" customHeight="1" x14ac:dyDescent="0.55000000000000004">
      <c r="A34" s="91" t="s">
        <v>59</v>
      </c>
      <c r="B34" s="87"/>
      <c r="C34" s="25"/>
      <c r="D34" s="88" t="s">
        <v>60</v>
      </c>
      <c r="E34" s="87"/>
      <c r="F34" s="90" t="s">
        <v>61</v>
      </c>
      <c r="G34" s="87"/>
      <c r="H34" s="26"/>
    </row>
    <row r="35" spans="1:8" ht="28" customHeight="1" x14ac:dyDescent="0.55000000000000004">
      <c r="A35" s="89" t="s">
        <v>62</v>
      </c>
      <c r="B35" s="87"/>
      <c r="C35" s="25"/>
      <c r="D35" s="81" t="s">
        <v>63</v>
      </c>
      <c r="E35" s="87"/>
      <c r="F35" s="94" t="s">
        <v>64</v>
      </c>
      <c r="G35" s="87"/>
      <c r="H35" s="24"/>
    </row>
    <row r="36" spans="1:8" ht="28" customHeight="1" x14ac:dyDescent="0.55000000000000004">
      <c r="A36" s="91" t="s">
        <v>65</v>
      </c>
      <c r="B36" s="87"/>
      <c r="C36" s="27">
        <f>C34-C35</f>
        <v>0</v>
      </c>
      <c r="D36" s="88" t="s">
        <v>66</v>
      </c>
      <c r="E36" s="87"/>
      <c r="F36" s="90" t="s">
        <v>67</v>
      </c>
      <c r="G36" s="87"/>
      <c r="H36" s="26"/>
    </row>
    <row r="37" spans="1:8" ht="28" customHeight="1" x14ac:dyDescent="0.55000000000000004">
      <c r="A37" s="95" t="s">
        <v>68</v>
      </c>
      <c r="B37" s="87"/>
      <c r="C37" s="28">
        <f>IF(C34=0,0,MIN(C33,C36))</f>
        <v>0</v>
      </c>
      <c r="D37" s="99" t="s">
        <v>69</v>
      </c>
      <c r="E37" s="87"/>
      <c r="F37" s="103" t="s">
        <v>67</v>
      </c>
      <c r="G37" s="87"/>
      <c r="H37" s="29"/>
    </row>
    <row r="38" spans="1:8" ht="28" customHeight="1" x14ac:dyDescent="0.55000000000000004">
      <c r="A38" s="104" t="s">
        <v>70</v>
      </c>
      <c r="B38" s="87"/>
      <c r="C38" s="31">
        <f>MAX(0,C33-C37)</f>
        <v>0</v>
      </c>
      <c r="D38" s="107" t="s">
        <v>71</v>
      </c>
      <c r="E38" s="87"/>
      <c r="F38" s="97" t="s">
        <v>72</v>
      </c>
      <c r="G38" s="87"/>
      <c r="H38" s="32"/>
    </row>
    <row r="39" spans="1:8" ht="28" customHeight="1" x14ac:dyDescent="0.55000000000000004">
      <c r="A39" s="109" t="s">
        <v>73</v>
      </c>
      <c r="B39" s="87"/>
      <c r="C39" s="33" t="s">
        <v>74</v>
      </c>
      <c r="D39" s="102" t="s">
        <v>75</v>
      </c>
      <c r="E39" s="87"/>
      <c r="F39" s="105" t="s">
        <v>76</v>
      </c>
      <c r="G39" s="87"/>
      <c r="H39" s="34"/>
    </row>
    <row r="40" spans="1:8" ht="4" customHeight="1" x14ac:dyDescent="0.55000000000000004">
      <c r="A40" s="1"/>
      <c r="B40" s="1"/>
      <c r="C40" s="1"/>
      <c r="D40" s="1"/>
      <c r="E40" s="1"/>
      <c r="F40" s="1"/>
      <c r="G40" s="1"/>
      <c r="H40" s="1"/>
    </row>
    <row r="41" spans="1:8" ht="32.049999999999997" customHeight="1" x14ac:dyDescent="0.55000000000000004">
      <c r="A41" s="93" t="s">
        <v>77</v>
      </c>
      <c r="B41" s="86"/>
      <c r="C41" s="86"/>
      <c r="D41" s="86"/>
      <c r="E41" s="87"/>
      <c r="F41" s="35">
        <f>C37</f>
        <v>0</v>
      </c>
      <c r="G41" s="108" t="s">
        <v>78</v>
      </c>
      <c r="H41" s="87"/>
    </row>
    <row r="42" spans="1:8" ht="30" customHeight="1" x14ac:dyDescent="0.55000000000000004">
      <c r="A42" s="100" t="s">
        <v>79</v>
      </c>
      <c r="B42" s="86"/>
      <c r="C42" s="86"/>
      <c r="D42" s="86"/>
      <c r="E42" s="86"/>
      <c r="F42" s="86"/>
      <c r="G42" s="86"/>
      <c r="H42" s="87"/>
    </row>
  </sheetData>
  <mergeCells count="56">
    <mergeCell ref="A42:H42"/>
    <mergeCell ref="C8:G8"/>
    <mergeCell ref="A8:B8"/>
    <mergeCell ref="A22:H22"/>
    <mergeCell ref="A35:B35"/>
    <mergeCell ref="D39:E39"/>
    <mergeCell ref="F37:G37"/>
    <mergeCell ref="A38:B38"/>
    <mergeCell ref="F39:G39"/>
    <mergeCell ref="D33:E33"/>
    <mergeCell ref="A10:B10"/>
    <mergeCell ref="A28:B28"/>
    <mergeCell ref="H11"/>
    <mergeCell ref="D38:E38"/>
    <mergeCell ref="A13:B13"/>
    <mergeCell ref="G41:H41"/>
    <mergeCell ref="A41:E41"/>
    <mergeCell ref="F33:G33"/>
    <mergeCell ref="A37:B37"/>
    <mergeCell ref="F36:G36"/>
    <mergeCell ref="H10"/>
    <mergeCell ref="F35:G35"/>
    <mergeCell ref="A12:B12"/>
    <mergeCell ref="A21:H21"/>
    <mergeCell ref="C12:G12"/>
    <mergeCell ref="F38:G38"/>
    <mergeCell ref="A33:B33"/>
    <mergeCell ref="C11:G11"/>
    <mergeCell ref="D37:E37"/>
    <mergeCell ref="C13:G13"/>
    <mergeCell ref="A31:H31"/>
    <mergeCell ref="A39:B39"/>
    <mergeCell ref="A36:B36"/>
    <mergeCell ref="A1:H1"/>
    <mergeCell ref="D36:E36"/>
    <mergeCell ref="A6:H6"/>
    <mergeCell ref="H8"/>
    <mergeCell ref="A7:B7"/>
    <mergeCell ref="C10:G10"/>
    <mergeCell ref="D35:E35"/>
    <mergeCell ref="A16:H16"/>
    <mergeCell ref="A3:H3"/>
    <mergeCell ref="H9"/>
    <mergeCell ref="A2:H2"/>
    <mergeCell ref="A4:H4"/>
    <mergeCell ref="C7:G7"/>
    <mergeCell ref="H7"/>
    <mergeCell ref="A9:B9"/>
    <mergeCell ref="H13"/>
    <mergeCell ref="A30:H30"/>
    <mergeCell ref="D9:G9"/>
    <mergeCell ref="H12"/>
    <mergeCell ref="D34:E34"/>
    <mergeCell ref="A11:B11"/>
    <mergeCell ref="F34:G34"/>
    <mergeCell ref="A34:B34"/>
  </mergeCells>
  <dataValidations count="2">
    <dataValidation type="list" sqref="C9" xr:uid="{00000000-0002-0000-0000-000000000000}">
      <formula1>"Tam Mükellefiyet (Yerli Kurum),Dar Mükellefiyet (Yabancı Kurum/Şube)"</formula1>
    </dataValidation>
    <dataValidation type="list" sqref="B24:B27" xr:uid="{00000000-0002-0000-0000-000001000000}">
      <formula1>"Arama Ruhsatı,İşletme Ruhsatı,Araştırma İzni"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workbookViewId="0"/>
  </sheetViews>
  <sheetFormatPr defaultRowHeight="14.4" x14ac:dyDescent="0.55000000000000004"/>
  <cols>
    <col min="1" max="1" width="4" customWidth="1"/>
    <col min="2" max="2" width="30" customWidth="1"/>
    <col min="3" max="3" width="16" customWidth="1"/>
    <col min="4" max="7" width="14" customWidth="1"/>
    <col min="8" max="8" width="18" customWidth="1"/>
  </cols>
  <sheetData>
    <row r="1" spans="1:8" ht="36" customHeight="1" x14ac:dyDescent="0.55000000000000004">
      <c r="A1" s="82" t="s">
        <v>80</v>
      </c>
      <c r="B1" s="83"/>
      <c r="C1" s="83"/>
      <c r="D1" s="83"/>
      <c r="E1" s="83"/>
      <c r="F1" s="83"/>
      <c r="G1" s="83"/>
      <c r="H1" s="84"/>
    </row>
    <row r="2" spans="1:8" ht="20.05" customHeight="1" x14ac:dyDescent="0.55000000000000004">
      <c r="A2" s="98" t="s">
        <v>81</v>
      </c>
      <c r="B2" s="83"/>
      <c r="C2" s="83"/>
      <c r="D2" s="83"/>
      <c r="E2" s="83"/>
      <c r="F2" s="83"/>
      <c r="G2" s="83"/>
      <c r="H2" s="84"/>
    </row>
    <row r="3" spans="1:8" ht="4" customHeight="1" x14ac:dyDescent="0.55000000000000004">
      <c r="A3" s="1"/>
      <c r="B3" s="1"/>
      <c r="C3" s="1"/>
      <c r="D3" s="1"/>
      <c r="E3" s="1"/>
      <c r="F3" s="1"/>
      <c r="G3" s="1"/>
      <c r="H3" s="1"/>
    </row>
    <row r="4" spans="1:8" ht="22" customHeight="1" x14ac:dyDescent="0.55000000000000004">
      <c r="A4" s="129" t="s">
        <v>82</v>
      </c>
      <c r="B4" s="83"/>
      <c r="C4" s="83"/>
      <c r="D4" s="83"/>
      <c r="E4" s="83"/>
      <c r="F4" s="83"/>
      <c r="G4" s="83"/>
      <c r="H4" s="84"/>
    </row>
    <row r="5" spans="1:8" ht="22" customHeight="1" x14ac:dyDescent="0.55000000000000004">
      <c r="A5" s="36"/>
      <c r="B5" s="36" t="s">
        <v>83</v>
      </c>
      <c r="C5" s="36"/>
      <c r="D5" s="36" t="s">
        <v>84</v>
      </c>
      <c r="E5" s="36"/>
      <c r="F5" s="36" t="s">
        <v>54</v>
      </c>
      <c r="G5" s="36"/>
      <c r="H5" s="36" t="s">
        <v>55</v>
      </c>
    </row>
    <row r="6" spans="1:8" ht="24" customHeight="1" x14ac:dyDescent="0.55000000000000004">
      <c r="A6" s="119" t="s">
        <v>85</v>
      </c>
      <c r="B6" s="87"/>
      <c r="C6" s="26"/>
      <c r="D6" s="114">
        <f>'VERİ GİRİŞİ'!E28</f>
        <v>0</v>
      </c>
      <c r="E6" s="87"/>
      <c r="F6" s="115" t="s">
        <v>86</v>
      </c>
      <c r="G6" s="87"/>
      <c r="H6" s="37" t="s">
        <v>87</v>
      </c>
    </row>
    <row r="7" spans="1:8" ht="24" customHeight="1" x14ac:dyDescent="0.55000000000000004">
      <c r="A7" s="118" t="s">
        <v>88</v>
      </c>
      <c r="B7" s="87"/>
      <c r="C7" s="24"/>
      <c r="D7" s="114">
        <f>'VERİ GİRİŞİ'!C36</f>
        <v>0</v>
      </c>
      <c r="E7" s="87"/>
      <c r="F7" s="113" t="s">
        <v>89</v>
      </c>
      <c r="G7" s="87"/>
      <c r="H7" s="38" t="s">
        <v>87</v>
      </c>
    </row>
    <row r="8" spans="1:8" ht="24" customHeight="1" x14ac:dyDescent="0.55000000000000004">
      <c r="A8" s="125" t="s">
        <v>90</v>
      </c>
      <c r="B8" s="87"/>
      <c r="C8" s="29"/>
      <c r="D8" s="128">
        <f>'VERİ GİRİŞİ'!C37</f>
        <v>0</v>
      </c>
      <c r="E8" s="112"/>
      <c r="F8" s="121" t="s">
        <v>91</v>
      </c>
      <c r="G8" s="87"/>
      <c r="H8" s="39" t="s">
        <v>87</v>
      </c>
    </row>
    <row r="9" spans="1:8" ht="24" customHeight="1" x14ac:dyDescent="0.55000000000000004">
      <c r="A9" s="131" t="s">
        <v>92</v>
      </c>
      <c r="B9" s="87"/>
      <c r="C9" s="32"/>
      <c r="D9" s="124">
        <f>'VERİ GİRİŞİ'!C38</f>
        <v>0</v>
      </c>
      <c r="E9" s="87"/>
      <c r="F9" s="126" t="s">
        <v>93</v>
      </c>
      <c r="G9" s="87"/>
      <c r="H9" s="40" t="s">
        <v>87</v>
      </c>
    </row>
    <row r="10" spans="1:8" ht="24" customHeight="1" x14ac:dyDescent="0.55000000000000004">
      <c r="A10" s="119" t="s">
        <v>94</v>
      </c>
      <c r="B10" s="87"/>
      <c r="C10" s="26"/>
      <c r="D10" s="114">
        <f>'VERİ GİRİŞİ'!C35</f>
        <v>0</v>
      </c>
      <c r="E10" s="87"/>
      <c r="F10" s="115" t="s">
        <v>95</v>
      </c>
      <c r="G10" s="87"/>
      <c r="H10" s="37" t="s">
        <v>87</v>
      </c>
    </row>
    <row r="11" spans="1:8" ht="24" customHeight="1" x14ac:dyDescent="0.55000000000000004">
      <c r="A11" s="118" t="s">
        <v>96</v>
      </c>
      <c r="B11" s="87"/>
      <c r="C11" s="24"/>
      <c r="D11" s="120" t="str">
        <f>IF(D8=MIN(D6,D7),"MUTABIK ✓","FARK VAR ✗")</f>
        <v>MUTABIK ✓</v>
      </c>
      <c r="E11" s="87"/>
      <c r="F11" s="113" t="s">
        <v>97</v>
      </c>
      <c r="G11" s="87"/>
      <c r="H11" s="38" t="s">
        <v>87</v>
      </c>
    </row>
    <row r="12" spans="1:8" ht="4" customHeight="1" x14ac:dyDescent="0.55000000000000004">
      <c r="A12" s="1"/>
      <c r="B12" s="1"/>
      <c r="C12" s="1"/>
      <c r="D12" s="1"/>
      <c r="E12" s="1"/>
      <c r="F12" s="1"/>
      <c r="G12" s="1"/>
      <c r="H12" s="1"/>
    </row>
    <row r="13" spans="1:8" ht="24" customHeight="1" x14ac:dyDescent="0.55000000000000004">
      <c r="A13" s="82" t="s">
        <v>98</v>
      </c>
      <c r="B13" s="83"/>
      <c r="C13" s="83"/>
      <c r="D13" s="83"/>
      <c r="E13" s="83"/>
      <c r="F13" s="83"/>
      <c r="G13" s="83"/>
      <c r="H13" s="84"/>
    </row>
    <row r="14" spans="1:8" ht="56.05" customHeight="1" x14ac:dyDescent="0.55000000000000004">
      <c r="A14" s="123" t="s">
        <v>99</v>
      </c>
      <c r="B14" s="86"/>
      <c r="C14" s="86"/>
      <c r="D14" s="86"/>
      <c r="E14" s="86"/>
      <c r="F14" s="86"/>
      <c r="G14" s="86"/>
      <c r="H14" s="87"/>
    </row>
    <row r="15" spans="1:8" ht="4" customHeight="1" x14ac:dyDescent="0.55000000000000004">
      <c r="A15" s="1"/>
      <c r="B15" s="1"/>
      <c r="C15" s="1"/>
      <c r="D15" s="1"/>
      <c r="E15" s="1"/>
      <c r="F15" s="1"/>
      <c r="G15" s="1"/>
      <c r="H15" s="1"/>
    </row>
    <row r="16" spans="1:8" ht="22" customHeight="1" x14ac:dyDescent="0.55000000000000004">
      <c r="A16" s="82" t="s">
        <v>100</v>
      </c>
      <c r="B16" s="83"/>
      <c r="C16" s="83"/>
      <c r="D16" s="83"/>
      <c r="E16" s="83"/>
      <c r="F16" s="83"/>
      <c r="G16" s="83"/>
      <c r="H16" s="84"/>
    </row>
    <row r="17" spans="1:8" ht="22" customHeight="1" x14ac:dyDescent="0.55000000000000004">
      <c r="A17" s="127" t="s">
        <v>101</v>
      </c>
      <c r="B17" s="86"/>
      <c r="C17" s="86"/>
      <c r="D17" s="86"/>
      <c r="E17" s="86"/>
      <c r="F17" s="86"/>
      <c r="G17" s="86"/>
      <c r="H17" s="87"/>
    </row>
    <row r="18" spans="1:8" ht="30" customHeight="1" x14ac:dyDescent="0.55000000000000004">
      <c r="A18" s="4" t="s">
        <v>102</v>
      </c>
      <c r="B18" s="4" t="s">
        <v>38</v>
      </c>
      <c r="C18" s="4" t="s">
        <v>103</v>
      </c>
      <c r="D18" s="4" t="s">
        <v>104</v>
      </c>
      <c r="E18" s="4" t="s">
        <v>105</v>
      </c>
      <c r="F18" s="4" t="s">
        <v>106</v>
      </c>
      <c r="G18" s="4" t="s">
        <v>107</v>
      </c>
      <c r="H18" s="4" t="s">
        <v>108</v>
      </c>
    </row>
    <row r="19" spans="1:8" ht="26.05" customHeight="1" x14ac:dyDescent="0.55000000000000004">
      <c r="A19" s="14" t="s">
        <v>44</v>
      </c>
      <c r="B19" s="15"/>
      <c r="C19" s="18"/>
      <c r="D19" s="15"/>
      <c r="E19" s="41">
        <f>MIN(B19*C19,MAX(0,B19-F19))</f>
        <v>0</v>
      </c>
      <c r="F19" s="15"/>
      <c r="G19" s="42">
        <f>MAX(0,B19-F19)</f>
        <v>0</v>
      </c>
      <c r="H19" s="43" t="str">
        <f>IF(G19&lt;=0,"İtfa Tamamlandı",IF(E19&gt;=B19,"Tek Dönem Tam","Devam Ediyor"))</f>
        <v>İtfa Tamamlandı</v>
      </c>
    </row>
    <row r="20" spans="1:8" ht="26.05" customHeight="1" x14ac:dyDescent="0.55000000000000004">
      <c r="A20" s="14" t="s">
        <v>46</v>
      </c>
      <c r="B20" s="15"/>
      <c r="C20" s="18"/>
      <c r="D20" s="15"/>
      <c r="E20" s="44">
        <f>MIN(B20*C20,MAX(0,B20-F20))</f>
        <v>0</v>
      </c>
      <c r="F20" s="15"/>
      <c r="G20" s="45">
        <f>MAX(0,B20-F20)</f>
        <v>0</v>
      </c>
      <c r="H20" s="46" t="str">
        <f>IF(G20&lt;=0,"İtfa Tamamlandı",IF(E20&gt;=B20,"Tek Dönem Tam","Devam Ediyor"))</f>
        <v>İtfa Tamamlandı</v>
      </c>
    </row>
    <row r="21" spans="1:8" ht="26.05" customHeight="1" x14ac:dyDescent="0.55000000000000004">
      <c r="A21" s="14" t="s">
        <v>47</v>
      </c>
      <c r="B21" s="15"/>
      <c r="C21" s="18"/>
      <c r="D21" s="15"/>
      <c r="E21" s="41">
        <f>MIN(B21*C21,MAX(0,B21-F21))</f>
        <v>0</v>
      </c>
      <c r="F21" s="15"/>
      <c r="G21" s="42">
        <f>MAX(0,B21-F21)</f>
        <v>0</v>
      </c>
      <c r="H21" s="43" t="str">
        <f>IF(G21&lt;=0,"İtfa Tamamlandı",IF(E21&gt;=B21,"Tek Dönem Tam","Devam Ediyor"))</f>
        <v>İtfa Tamamlandı</v>
      </c>
    </row>
    <row r="22" spans="1:8" ht="26.05" customHeight="1" x14ac:dyDescent="0.55000000000000004">
      <c r="A22" s="14" t="s">
        <v>48</v>
      </c>
      <c r="B22" s="15"/>
      <c r="C22" s="18"/>
      <c r="D22" s="15"/>
      <c r="E22" s="44">
        <f>MIN(B22*C22,MAX(0,B22-F22))</f>
        <v>0</v>
      </c>
      <c r="F22" s="15"/>
      <c r="G22" s="45">
        <f>MAX(0,B22-F22)</f>
        <v>0</v>
      </c>
      <c r="H22" s="46" t="str">
        <f>IF(G22&lt;=0,"İtfa Tamamlandı",IF(E22&gt;=B22,"Tek Dönem Tam","Devam Ediyor"))</f>
        <v>İtfa Tamamlandı</v>
      </c>
    </row>
    <row r="23" spans="1:8" ht="28" customHeight="1" x14ac:dyDescent="0.55000000000000004">
      <c r="A23" s="106" t="s">
        <v>49</v>
      </c>
      <c r="B23" s="21">
        <f>SUM(B19:B22)</f>
        <v>0</v>
      </c>
      <c r="C23" s="47"/>
      <c r="D23" s="47"/>
      <c r="E23" s="21">
        <f>SUM(E19:E22)</f>
        <v>0</v>
      </c>
      <c r="F23" s="21">
        <f>SUM(F19:F22)</f>
        <v>0</v>
      </c>
      <c r="G23" s="21">
        <f>SUM(G19:G22)</f>
        <v>0</v>
      </c>
      <c r="H23" s="47"/>
    </row>
    <row r="24" spans="1:8" ht="4" customHeight="1" x14ac:dyDescent="0.55000000000000004">
      <c r="A24" s="1"/>
      <c r="B24" s="1"/>
      <c r="C24" s="1"/>
      <c r="D24" s="1"/>
      <c r="E24" s="1"/>
      <c r="F24" s="1"/>
      <c r="G24" s="1"/>
      <c r="H24" s="1"/>
    </row>
    <row r="25" spans="1:8" ht="24" customHeight="1" x14ac:dyDescent="0.55000000000000004">
      <c r="A25" s="82" t="s">
        <v>109</v>
      </c>
      <c r="B25" s="83"/>
      <c r="C25" s="83"/>
      <c r="D25" s="83"/>
      <c r="E25" s="83"/>
      <c r="F25" s="83"/>
      <c r="G25" s="83"/>
      <c r="H25" s="84"/>
    </row>
    <row r="26" spans="1:8" ht="24" customHeight="1" x14ac:dyDescent="0.55000000000000004">
      <c r="A26" s="122" t="s">
        <v>110</v>
      </c>
      <c r="B26" s="86"/>
      <c r="C26" s="86"/>
      <c r="D26" s="86"/>
      <c r="E26" s="86"/>
      <c r="F26" s="86"/>
      <c r="G26" s="86"/>
      <c r="H26" s="87"/>
    </row>
    <row r="27" spans="1:8" ht="30" customHeight="1" x14ac:dyDescent="0.55000000000000004">
      <c r="A27" s="4" t="s">
        <v>111</v>
      </c>
      <c r="B27" s="4" t="s">
        <v>112</v>
      </c>
      <c r="C27" s="4" t="s">
        <v>113</v>
      </c>
      <c r="D27" s="4" t="s">
        <v>114</v>
      </c>
      <c r="E27" s="4" t="s">
        <v>115</v>
      </c>
      <c r="F27" s="4" t="s">
        <v>116</v>
      </c>
      <c r="G27" s="4" t="s">
        <v>42</v>
      </c>
      <c r="H27" s="4" t="s">
        <v>117</v>
      </c>
    </row>
    <row r="28" spans="1:8" ht="26.05" customHeight="1" x14ac:dyDescent="0.55000000000000004">
      <c r="A28" s="14" t="s">
        <v>44</v>
      </c>
      <c r="B28" s="15"/>
      <c r="C28" s="2" t="s">
        <v>118</v>
      </c>
      <c r="D28" s="48"/>
      <c r="E28" s="49">
        <f>B28*D28</f>
        <v>0</v>
      </c>
      <c r="F28" s="15"/>
      <c r="G28" s="50">
        <f>MAX(0,E28-F28)</f>
        <v>0</v>
      </c>
      <c r="H28" s="51" t="s">
        <v>119</v>
      </c>
    </row>
    <row r="29" spans="1:8" ht="26.05" customHeight="1" x14ac:dyDescent="0.55000000000000004">
      <c r="A29" s="14" t="s">
        <v>46</v>
      </c>
      <c r="B29" s="15"/>
      <c r="C29" s="2" t="s">
        <v>118</v>
      </c>
      <c r="D29" s="48"/>
      <c r="E29" s="45">
        <f>B29*D29</f>
        <v>0</v>
      </c>
      <c r="F29" s="15"/>
      <c r="G29" s="52">
        <f>MAX(0,E29-F29)</f>
        <v>0</v>
      </c>
      <c r="H29" s="51" t="s">
        <v>119</v>
      </c>
    </row>
    <row r="30" spans="1:8" ht="26.05" customHeight="1" x14ac:dyDescent="0.55000000000000004">
      <c r="A30" s="14" t="s">
        <v>47</v>
      </c>
      <c r="B30" s="15"/>
      <c r="C30" s="2" t="s">
        <v>118</v>
      </c>
      <c r="D30" s="48"/>
      <c r="E30" s="49">
        <f>B30*D30</f>
        <v>0</v>
      </c>
      <c r="F30" s="15"/>
      <c r="G30" s="50">
        <f>MAX(0,E30-F30)</f>
        <v>0</v>
      </c>
      <c r="H30" s="51" t="s">
        <v>119</v>
      </c>
    </row>
    <row r="31" spans="1:8" ht="4" customHeight="1" x14ac:dyDescent="0.55000000000000004">
      <c r="A31" s="1"/>
      <c r="B31" s="1"/>
      <c r="C31" s="1"/>
      <c r="D31" s="1"/>
      <c r="E31" s="1"/>
      <c r="F31" s="1"/>
      <c r="G31" s="1"/>
      <c r="H31" s="1"/>
    </row>
    <row r="32" spans="1:8" ht="22" customHeight="1" x14ac:dyDescent="0.55000000000000004">
      <c r="A32" s="82" t="s">
        <v>120</v>
      </c>
      <c r="B32" s="83"/>
      <c r="C32" s="83"/>
      <c r="D32" s="83"/>
      <c r="E32" s="83"/>
      <c r="F32" s="83"/>
      <c r="G32" s="83"/>
      <c r="H32" s="84"/>
    </row>
    <row r="33" spans="1:8" ht="24" customHeight="1" x14ac:dyDescent="0.55000000000000004">
      <c r="A33" s="119" t="s">
        <v>121</v>
      </c>
      <c r="B33" s="86"/>
      <c r="C33" s="87"/>
      <c r="D33" s="114">
        <f>'VERİ GİRİŞİ'!E28</f>
        <v>0</v>
      </c>
      <c r="E33" s="87"/>
      <c r="F33" s="116" t="s">
        <v>122</v>
      </c>
      <c r="G33" s="86"/>
      <c r="H33" s="87"/>
    </row>
    <row r="34" spans="1:8" ht="24" customHeight="1" x14ac:dyDescent="0.55000000000000004">
      <c r="A34" s="118" t="s">
        <v>123</v>
      </c>
      <c r="B34" s="86"/>
      <c r="C34" s="87"/>
      <c r="D34" s="117">
        <f>'VERİ GİRİŞİ'!C36</f>
        <v>0</v>
      </c>
      <c r="E34" s="87"/>
      <c r="F34" s="130" t="s">
        <v>124</v>
      </c>
      <c r="G34" s="86"/>
      <c r="H34" s="87"/>
    </row>
    <row r="35" spans="1:8" ht="30" customHeight="1" x14ac:dyDescent="0.55000000000000004">
      <c r="A35" s="93" t="s">
        <v>125</v>
      </c>
      <c r="B35" s="86"/>
      <c r="C35" s="87"/>
      <c r="D35" s="110" t="str">
        <f>IF(D33&lt;=D34,"OK — İtfa Payı Gelir Tavanı İçinde ✓","UYARI — İtfa Payı &gt; Petrol Geliri! Min Uygulandı ✗")</f>
        <v>OK — İtfa Payı Gelir Tavanı İçinde ✓</v>
      </c>
      <c r="E35" s="111"/>
      <c r="F35" s="111"/>
      <c r="G35" s="111"/>
      <c r="H35" s="112"/>
    </row>
  </sheetData>
  <mergeCells count="37">
    <mergeCell ref="A35:C35"/>
    <mergeCell ref="F8:G8"/>
    <mergeCell ref="A26:H26"/>
    <mergeCell ref="D7:E7"/>
    <mergeCell ref="A2:H2"/>
    <mergeCell ref="A14:H14"/>
    <mergeCell ref="A34:C34"/>
    <mergeCell ref="A32:H32"/>
    <mergeCell ref="D9:E9"/>
    <mergeCell ref="A8:B8"/>
    <mergeCell ref="F9:G9"/>
    <mergeCell ref="A17:H17"/>
    <mergeCell ref="D8:E8"/>
    <mergeCell ref="A4:H4"/>
    <mergeCell ref="F34:H34"/>
    <mergeCell ref="D33:E33"/>
    <mergeCell ref="A33:C33"/>
    <mergeCell ref="A7:B7"/>
    <mergeCell ref="A25:H25"/>
    <mergeCell ref="D11:E11"/>
    <mergeCell ref="A16:H16"/>
    <mergeCell ref="A10:B10"/>
    <mergeCell ref="A13:H13"/>
    <mergeCell ref="A9:B9"/>
    <mergeCell ref="A23"/>
    <mergeCell ref="A11:B11"/>
    <mergeCell ref="F6:G6"/>
    <mergeCell ref="A1:H1"/>
    <mergeCell ref="A6:B6"/>
    <mergeCell ref="F7:G7"/>
    <mergeCell ref="D6:E6"/>
    <mergeCell ref="D35:H35"/>
    <mergeCell ref="F11:G11"/>
    <mergeCell ref="D10:E10"/>
    <mergeCell ref="F10:G10"/>
    <mergeCell ref="F33:H33"/>
    <mergeCell ref="D34:E34"/>
  </mergeCells>
  <conditionalFormatting sqref="D11">
    <cfRule type="containsText" dxfId="7" priority="1" operator="containsText" text="MUTABIK">
      <formula>NOT(ISERROR(SEARCH("MUTABIK",D11)))</formula>
    </cfRule>
    <cfRule type="containsText" dxfId="6" priority="2" operator="containsText" text="FARK">
      <formula>NOT(ISERROR(SEARCH("FARK",D11)))</formula>
    </cfRule>
  </conditionalFormatting>
  <conditionalFormatting sqref="D35">
    <cfRule type="containsText" dxfId="5" priority="3" operator="containsText" text="OK">
      <formula>NOT(ISERROR(SEARCH("OK",D35)))</formula>
    </cfRule>
    <cfRule type="containsText" dxfId="4" priority="4" operator="containsText" text="UYARI">
      <formula>NOT(ISERROR(SEARCH("UYARI",D35)))</formula>
    </cfRule>
  </conditionalFormatting>
  <dataValidations count="1">
    <dataValidation type="list" sqref="C28:C30" xr:uid="{00000000-0002-0000-0100-000000000000}">
      <formula1>"USD,EUR,GBP,JPY,Diğer"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workbookViewId="0"/>
  </sheetViews>
  <sheetFormatPr defaultRowHeight="14.4" x14ac:dyDescent="0.55000000000000004"/>
  <cols>
    <col min="1" max="1" width="4" customWidth="1"/>
    <col min="2" max="2" width="8" customWidth="1"/>
    <col min="3" max="4" width="28" customWidth="1"/>
    <col min="5" max="6" width="13" customWidth="1"/>
    <col min="7" max="7" width="16" customWidth="1"/>
    <col min="8" max="8" width="12" customWidth="1"/>
  </cols>
  <sheetData>
    <row r="1" spans="1:8" ht="36" customHeight="1" x14ac:dyDescent="0.55000000000000004">
      <c r="A1" s="82" t="s">
        <v>126</v>
      </c>
      <c r="B1" s="83"/>
      <c r="C1" s="83"/>
      <c r="D1" s="83"/>
      <c r="E1" s="83"/>
      <c r="F1" s="83"/>
      <c r="G1" s="83"/>
      <c r="H1" s="84"/>
    </row>
    <row r="2" spans="1:8" ht="20.05" customHeight="1" x14ac:dyDescent="0.55000000000000004">
      <c r="A2" s="98" t="s">
        <v>127</v>
      </c>
      <c r="B2" s="83"/>
      <c r="C2" s="83"/>
      <c r="D2" s="83"/>
      <c r="E2" s="83"/>
      <c r="F2" s="83"/>
      <c r="G2" s="83"/>
      <c r="H2" s="84"/>
    </row>
    <row r="3" spans="1:8" ht="4" customHeight="1" x14ac:dyDescent="0.55000000000000004">
      <c r="A3" s="1"/>
      <c r="B3" s="1"/>
      <c r="C3" s="1"/>
      <c r="D3" s="1"/>
      <c r="E3" s="1"/>
      <c r="F3" s="1"/>
      <c r="G3" s="1"/>
      <c r="H3" s="1"/>
    </row>
    <row r="4" spans="1:8" ht="28" customHeight="1" x14ac:dyDescent="0.55000000000000004">
      <c r="A4" s="133" t="s">
        <v>128</v>
      </c>
      <c r="B4" s="86"/>
      <c r="C4" s="86"/>
      <c r="D4" s="86"/>
      <c r="E4" s="86"/>
      <c r="F4" s="86"/>
      <c r="G4" s="86"/>
      <c r="H4" s="87"/>
    </row>
    <row r="5" spans="1:8" ht="22" customHeight="1" x14ac:dyDescent="0.55000000000000004">
      <c r="A5" s="135" t="s">
        <v>129</v>
      </c>
      <c r="B5" s="83"/>
      <c r="C5" s="83"/>
      <c r="D5" s="83"/>
      <c r="E5" s="83"/>
      <c r="F5" s="83"/>
      <c r="G5" s="83"/>
      <c r="H5" s="84"/>
    </row>
    <row r="6" spans="1:8" ht="16" customHeight="1" x14ac:dyDescent="0.55000000000000004">
      <c r="A6" s="53"/>
      <c r="B6" s="53" t="s">
        <v>130</v>
      </c>
      <c r="C6" s="53" t="s">
        <v>131</v>
      </c>
      <c r="D6" s="53" t="s">
        <v>54</v>
      </c>
      <c r="E6" s="53" t="s">
        <v>132</v>
      </c>
      <c r="F6" s="53" t="s">
        <v>133</v>
      </c>
      <c r="G6" s="53" t="s">
        <v>134</v>
      </c>
      <c r="H6" s="53"/>
    </row>
    <row r="7" spans="1:8" ht="22" customHeight="1" x14ac:dyDescent="0.55000000000000004">
      <c r="A7" s="54" t="s">
        <v>135</v>
      </c>
      <c r="B7" s="55" t="s">
        <v>136</v>
      </c>
      <c r="C7" s="55" t="s">
        <v>137</v>
      </c>
      <c r="D7" s="55" t="s">
        <v>138</v>
      </c>
      <c r="E7" s="55" t="s">
        <v>139</v>
      </c>
      <c r="F7" s="55" t="s">
        <v>140</v>
      </c>
      <c r="G7" s="55" t="s">
        <v>141</v>
      </c>
      <c r="H7" s="3"/>
    </row>
    <row r="8" spans="1:8" ht="22" customHeight="1" x14ac:dyDescent="0.55000000000000004">
      <c r="A8" s="56" t="s">
        <v>142</v>
      </c>
      <c r="B8" s="57" t="s">
        <v>143</v>
      </c>
      <c r="C8" s="57" t="s">
        <v>144</v>
      </c>
      <c r="D8" s="57" t="s">
        <v>145</v>
      </c>
      <c r="E8" s="57" t="s">
        <v>140</v>
      </c>
      <c r="F8" s="57" t="s">
        <v>139</v>
      </c>
      <c r="G8" s="57" t="s">
        <v>146</v>
      </c>
      <c r="H8" s="58"/>
    </row>
    <row r="9" spans="1:8" ht="22" customHeight="1" x14ac:dyDescent="0.55000000000000004">
      <c r="A9" s="132" t="s">
        <v>147</v>
      </c>
      <c r="B9" s="83"/>
      <c r="C9" s="83"/>
      <c r="D9" s="83"/>
      <c r="E9" s="83"/>
      <c r="F9" s="83"/>
      <c r="G9" s="83"/>
      <c r="H9" s="84"/>
    </row>
    <row r="10" spans="1:8" ht="16" customHeight="1" x14ac:dyDescent="0.55000000000000004">
      <c r="A10" s="53"/>
      <c r="B10" s="53" t="s">
        <v>130</v>
      </c>
      <c r="C10" s="53" t="s">
        <v>131</v>
      </c>
      <c r="D10" s="53" t="s">
        <v>54</v>
      </c>
      <c r="E10" s="53" t="s">
        <v>132</v>
      </c>
      <c r="F10" s="53" t="s">
        <v>133</v>
      </c>
      <c r="G10" s="53" t="s">
        <v>134</v>
      </c>
      <c r="H10" s="53"/>
    </row>
    <row r="11" spans="1:8" ht="22" customHeight="1" x14ac:dyDescent="0.55000000000000004">
      <c r="A11" s="54" t="s">
        <v>135</v>
      </c>
      <c r="B11" s="55" t="s">
        <v>148</v>
      </c>
      <c r="C11" s="55" t="s">
        <v>149</v>
      </c>
      <c r="D11" s="55" t="s">
        <v>150</v>
      </c>
      <c r="E11" s="55" t="s">
        <v>151</v>
      </c>
      <c r="F11" s="55" t="s">
        <v>140</v>
      </c>
      <c r="G11" s="55" t="s">
        <v>152</v>
      </c>
      <c r="H11" s="3"/>
    </row>
    <row r="12" spans="1:8" ht="22" customHeight="1" x14ac:dyDescent="0.55000000000000004">
      <c r="A12" s="134" t="s">
        <v>153</v>
      </c>
      <c r="B12" s="83"/>
      <c r="C12" s="83"/>
      <c r="D12" s="83"/>
      <c r="E12" s="83"/>
      <c r="F12" s="83"/>
      <c r="G12" s="83"/>
      <c r="H12" s="84"/>
    </row>
    <row r="13" spans="1:8" ht="16" customHeight="1" x14ac:dyDescent="0.55000000000000004">
      <c r="A13" s="53"/>
      <c r="B13" s="53" t="s">
        <v>130</v>
      </c>
      <c r="C13" s="53" t="s">
        <v>131</v>
      </c>
      <c r="D13" s="53" t="s">
        <v>54</v>
      </c>
      <c r="E13" s="53" t="s">
        <v>132</v>
      </c>
      <c r="F13" s="53" t="s">
        <v>133</v>
      </c>
      <c r="G13" s="53" t="s">
        <v>134</v>
      </c>
      <c r="H13" s="53"/>
    </row>
    <row r="14" spans="1:8" ht="22" customHeight="1" x14ac:dyDescent="0.55000000000000004">
      <c r="A14" s="54" t="s">
        <v>135</v>
      </c>
      <c r="B14" s="55" t="s">
        <v>154</v>
      </c>
      <c r="C14" s="55" t="s">
        <v>155</v>
      </c>
      <c r="D14" s="55" t="s">
        <v>156</v>
      </c>
      <c r="E14" s="55" t="s">
        <v>157</v>
      </c>
      <c r="F14" s="55" t="s">
        <v>140</v>
      </c>
      <c r="G14" s="55" t="s">
        <v>158</v>
      </c>
      <c r="H14" s="3"/>
    </row>
    <row r="15" spans="1:8" ht="22" customHeight="1" x14ac:dyDescent="0.55000000000000004">
      <c r="A15" s="56" t="s">
        <v>142</v>
      </c>
      <c r="B15" s="57" t="s">
        <v>159</v>
      </c>
      <c r="C15" s="57" t="s">
        <v>160</v>
      </c>
      <c r="D15" s="57" t="s">
        <v>161</v>
      </c>
      <c r="E15" s="57" t="s">
        <v>140</v>
      </c>
      <c r="F15" s="57" t="s">
        <v>157</v>
      </c>
      <c r="G15" s="57" t="s">
        <v>162</v>
      </c>
      <c r="H15" s="58"/>
    </row>
    <row r="16" spans="1:8" ht="22" customHeight="1" x14ac:dyDescent="0.55000000000000004">
      <c r="A16" s="136" t="s">
        <v>163</v>
      </c>
      <c r="B16" s="83"/>
      <c r="C16" s="83"/>
      <c r="D16" s="83"/>
      <c r="E16" s="83"/>
      <c r="F16" s="83"/>
      <c r="G16" s="83"/>
      <c r="H16" s="84"/>
    </row>
    <row r="17" spans="1:8" ht="16" customHeight="1" x14ac:dyDescent="0.55000000000000004">
      <c r="A17" s="53"/>
      <c r="B17" s="53" t="s">
        <v>130</v>
      </c>
      <c r="C17" s="53" t="s">
        <v>131</v>
      </c>
      <c r="D17" s="53" t="s">
        <v>54</v>
      </c>
      <c r="E17" s="53" t="s">
        <v>132</v>
      </c>
      <c r="F17" s="53" t="s">
        <v>133</v>
      </c>
      <c r="G17" s="53" t="s">
        <v>134</v>
      </c>
      <c r="H17" s="53"/>
    </row>
    <row r="18" spans="1:8" ht="22" customHeight="1" x14ac:dyDescent="0.55000000000000004">
      <c r="A18" s="54" t="s">
        <v>135</v>
      </c>
      <c r="B18" s="55" t="s">
        <v>164</v>
      </c>
      <c r="C18" s="55" t="s">
        <v>165</v>
      </c>
      <c r="D18" s="55" t="s">
        <v>166</v>
      </c>
      <c r="E18" s="55" t="s">
        <v>167</v>
      </c>
      <c r="F18" s="55" t="s">
        <v>140</v>
      </c>
      <c r="G18" s="55" t="s">
        <v>64</v>
      </c>
      <c r="H18" s="3"/>
    </row>
    <row r="19" spans="1:8" ht="22" customHeight="1" x14ac:dyDescent="0.55000000000000004">
      <c r="A19" s="56" t="s">
        <v>142</v>
      </c>
      <c r="B19" s="57" t="s">
        <v>168</v>
      </c>
      <c r="C19" s="57" t="s">
        <v>169</v>
      </c>
      <c r="D19" s="57" t="s">
        <v>170</v>
      </c>
      <c r="E19" s="57" t="s">
        <v>140</v>
      </c>
      <c r="F19" s="57" t="s">
        <v>167</v>
      </c>
      <c r="G19" s="57" t="s">
        <v>170</v>
      </c>
      <c r="H19" s="58"/>
    </row>
    <row r="20" spans="1:8" ht="22" customHeight="1" x14ac:dyDescent="0.55000000000000004">
      <c r="A20" s="54" t="s">
        <v>135</v>
      </c>
      <c r="B20" s="55" t="s">
        <v>168</v>
      </c>
      <c r="C20" s="55" t="s">
        <v>171</v>
      </c>
      <c r="D20" s="55" t="s">
        <v>145</v>
      </c>
      <c r="E20" s="55" t="s">
        <v>167</v>
      </c>
      <c r="F20" s="55" t="s">
        <v>140</v>
      </c>
      <c r="G20" s="55" t="s">
        <v>146</v>
      </c>
      <c r="H20" s="3"/>
    </row>
    <row r="21" spans="1:8" ht="22" customHeight="1" x14ac:dyDescent="0.55000000000000004">
      <c r="A21" s="135" t="s">
        <v>172</v>
      </c>
      <c r="B21" s="83"/>
      <c r="C21" s="83"/>
      <c r="D21" s="83"/>
      <c r="E21" s="83"/>
      <c r="F21" s="83"/>
      <c r="G21" s="83"/>
      <c r="H21" s="84"/>
    </row>
    <row r="22" spans="1:8" ht="16" customHeight="1" x14ac:dyDescent="0.55000000000000004">
      <c r="A22" s="53"/>
      <c r="B22" s="53" t="s">
        <v>130</v>
      </c>
      <c r="C22" s="53" t="s">
        <v>131</v>
      </c>
      <c r="D22" s="53" t="s">
        <v>54</v>
      </c>
      <c r="E22" s="53" t="s">
        <v>132</v>
      </c>
      <c r="F22" s="53" t="s">
        <v>133</v>
      </c>
      <c r="G22" s="53" t="s">
        <v>134</v>
      </c>
      <c r="H22" s="53"/>
    </row>
    <row r="23" spans="1:8" ht="22" customHeight="1" x14ac:dyDescent="0.55000000000000004">
      <c r="A23" s="59" t="s">
        <v>173</v>
      </c>
      <c r="B23" s="55" t="s">
        <v>140</v>
      </c>
      <c r="C23" s="55" t="s">
        <v>174</v>
      </c>
      <c r="D23" s="55" t="s">
        <v>175</v>
      </c>
      <c r="E23" s="55" t="s">
        <v>140</v>
      </c>
      <c r="F23" s="55" t="s">
        <v>140</v>
      </c>
      <c r="G23" s="55" t="s">
        <v>67</v>
      </c>
      <c r="H23" s="3"/>
    </row>
    <row r="24" spans="1:8" ht="22" customHeight="1" x14ac:dyDescent="0.55000000000000004">
      <c r="A24" s="59" t="s">
        <v>173</v>
      </c>
      <c r="B24" s="57" t="s">
        <v>140</v>
      </c>
      <c r="C24" s="57" t="s">
        <v>176</v>
      </c>
      <c r="D24" s="57" t="s">
        <v>177</v>
      </c>
      <c r="E24" s="57" t="s">
        <v>140</v>
      </c>
      <c r="F24" s="57" t="s">
        <v>140</v>
      </c>
      <c r="G24" s="57" t="s">
        <v>178</v>
      </c>
      <c r="H24" s="58"/>
    </row>
    <row r="25" spans="1:8" ht="22" customHeight="1" x14ac:dyDescent="0.55000000000000004">
      <c r="A25" s="59" t="s">
        <v>173</v>
      </c>
      <c r="B25" s="55" t="s">
        <v>140</v>
      </c>
      <c r="C25" s="55" t="s">
        <v>179</v>
      </c>
      <c r="D25" s="55" t="s">
        <v>180</v>
      </c>
      <c r="E25" s="55" t="s">
        <v>140</v>
      </c>
      <c r="F25" s="55" t="s">
        <v>140</v>
      </c>
      <c r="G25" s="55" t="s">
        <v>76</v>
      </c>
      <c r="H25" s="3"/>
    </row>
  </sheetData>
  <mergeCells count="8">
    <mergeCell ref="A9:H9"/>
    <mergeCell ref="A4:H4"/>
    <mergeCell ref="A1:H1"/>
    <mergeCell ref="A12:H12"/>
    <mergeCell ref="A21:H21"/>
    <mergeCell ref="A2:H2"/>
    <mergeCell ref="A16:H16"/>
    <mergeCell ref="A5:H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workbookViewId="0"/>
  </sheetViews>
  <sheetFormatPr defaultRowHeight="14.4" x14ac:dyDescent="0.55000000000000004"/>
  <cols>
    <col min="1" max="1" width="4" customWidth="1"/>
    <col min="2" max="2" width="6" customWidth="1"/>
    <col min="3" max="3" width="32" customWidth="1"/>
    <col min="4" max="4" width="44" customWidth="1"/>
    <col min="5" max="5" width="18" customWidth="1"/>
    <col min="6" max="6" width="4" customWidth="1"/>
  </cols>
  <sheetData>
    <row r="1" spans="1:6" ht="36" customHeight="1" x14ac:dyDescent="0.55000000000000004">
      <c r="A1" s="82" t="s">
        <v>181</v>
      </c>
      <c r="B1" s="83"/>
      <c r="C1" s="83"/>
      <c r="D1" s="83"/>
      <c r="E1" s="83"/>
      <c r="F1" s="84"/>
    </row>
    <row r="2" spans="1:6" ht="20.05" customHeight="1" x14ac:dyDescent="0.55000000000000004">
      <c r="A2" s="98" t="s">
        <v>182</v>
      </c>
      <c r="B2" s="83"/>
      <c r="C2" s="83"/>
      <c r="D2" s="83"/>
      <c r="E2" s="83"/>
      <c r="F2" s="84"/>
    </row>
    <row r="3" spans="1:6" ht="4" customHeight="1" x14ac:dyDescent="0.55000000000000004">
      <c r="A3" s="1"/>
      <c r="B3" s="1"/>
      <c r="C3" s="1"/>
      <c r="D3" s="1"/>
      <c r="E3" s="1"/>
      <c r="F3" s="1"/>
    </row>
    <row r="4" spans="1:6" ht="22" customHeight="1" x14ac:dyDescent="0.55000000000000004">
      <c r="A4" s="138" t="s">
        <v>183</v>
      </c>
      <c r="B4" s="83"/>
      <c r="C4" s="83"/>
      <c r="D4" s="83"/>
      <c r="E4" s="83"/>
      <c r="F4" s="84"/>
    </row>
    <row r="5" spans="1:6" ht="22" customHeight="1" x14ac:dyDescent="0.55000000000000004">
      <c r="A5" s="60"/>
      <c r="B5" s="60" t="s">
        <v>184</v>
      </c>
      <c r="C5" s="60" t="s">
        <v>185</v>
      </c>
      <c r="D5" s="60" t="s">
        <v>186</v>
      </c>
      <c r="E5" s="60" t="s">
        <v>187</v>
      </c>
      <c r="F5" s="60"/>
    </row>
    <row r="6" spans="1:6" ht="30" customHeight="1" x14ac:dyDescent="0.55000000000000004">
      <c r="A6" s="5" t="s">
        <v>188</v>
      </c>
      <c r="B6" s="61" t="s">
        <v>189</v>
      </c>
      <c r="C6" s="62" t="s">
        <v>190</v>
      </c>
      <c r="D6" s="63" t="s">
        <v>191</v>
      </c>
      <c r="E6" s="56" t="s">
        <v>192</v>
      </c>
      <c r="F6" s="3"/>
    </row>
    <row r="7" spans="1:6" ht="30" customHeight="1" x14ac:dyDescent="0.55000000000000004">
      <c r="A7" s="5" t="s">
        <v>188</v>
      </c>
      <c r="B7" s="64" t="s">
        <v>193</v>
      </c>
      <c r="C7" s="62" t="s">
        <v>194</v>
      </c>
      <c r="D7" s="65" t="s">
        <v>195</v>
      </c>
      <c r="E7" s="56" t="s">
        <v>192</v>
      </c>
      <c r="F7" s="58"/>
    </row>
    <row r="8" spans="1:6" ht="30" customHeight="1" x14ac:dyDescent="0.55000000000000004">
      <c r="A8" s="5" t="s">
        <v>188</v>
      </c>
      <c r="B8" s="61" t="s">
        <v>196</v>
      </c>
      <c r="C8" s="66" t="s">
        <v>197</v>
      </c>
      <c r="D8" s="63" t="s">
        <v>198</v>
      </c>
      <c r="E8" s="67" t="s">
        <v>199</v>
      </c>
      <c r="F8" s="3"/>
    </row>
    <row r="9" spans="1:6" ht="30" customHeight="1" x14ac:dyDescent="0.55000000000000004">
      <c r="A9" s="5" t="s">
        <v>188</v>
      </c>
      <c r="B9" s="64" t="s">
        <v>200</v>
      </c>
      <c r="C9" s="68" t="s">
        <v>201</v>
      </c>
      <c r="D9" s="65" t="s">
        <v>202</v>
      </c>
      <c r="E9" s="67" t="s">
        <v>199</v>
      </c>
      <c r="F9" s="58"/>
    </row>
    <row r="10" spans="1:6" ht="30" customHeight="1" x14ac:dyDescent="0.55000000000000004">
      <c r="A10" s="5" t="s">
        <v>188</v>
      </c>
      <c r="B10" s="61" t="s">
        <v>203</v>
      </c>
      <c r="C10" s="66" t="s">
        <v>204</v>
      </c>
      <c r="D10" s="63" t="s">
        <v>205</v>
      </c>
      <c r="E10" s="67" t="s">
        <v>199</v>
      </c>
      <c r="F10" s="3"/>
    </row>
    <row r="11" spans="1:6" ht="30" customHeight="1" x14ac:dyDescent="0.55000000000000004">
      <c r="A11" s="5" t="s">
        <v>188</v>
      </c>
      <c r="B11" s="64" t="s">
        <v>206</v>
      </c>
      <c r="C11" s="62" t="s">
        <v>207</v>
      </c>
      <c r="D11" s="65" t="s">
        <v>208</v>
      </c>
      <c r="E11" s="56" t="s">
        <v>192</v>
      </c>
      <c r="F11" s="58"/>
    </row>
    <row r="12" spans="1:6" ht="30" customHeight="1" x14ac:dyDescent="0.55000000000000004">
      <c r="A12" s="5" t="s">
        <v>188</v>
      </c>
      <c r="B12" s="61" t="s">
        <v>209</v>
      </c>
      <c r="C12" s="66" t="s">
        <v>210</v>
      </c>
      <c r="D12" s="63" t="s">
        <v>211</v>
      </c>
      <c r="E12" s="69" t="s">
        <v>212</v>
      </c>
      <c r="F12" s="3"/>
    </row>
    <row r="13" spans="1:6" ht="30" customHeight="1" x14ac:dyDescent="0.55000000000000004">
      <c r="A13" s="5" t="s">
        <v>188</v>
      </c>
      <c r="B13" s="64" t="s">
        <v>213</v>
      </c>
      <c r="C13" s="68" t="s">
        <v>214</v>
      </c>
      <c r="D13" s="65" t="s">
        <v>215</v>
      </c>
      <c r="E13" s="69" t="s">
        <v>212</v>
      </c>
      <c r="F13" s="58"/>
    </row>
    <row r="14" spans="1:6" ht="4" customHeight="1" x14ac:dyDescent="0.55000000000000004">
      <c r="A14" s="1"/>
      <c r="B14" s="1"/>
      <c r="C14" s="1"/>
      <c r="D14" s="1"/>
      <c r="E14" s="1"/>
      <c r="F14" s="1"/>
    </row>
    <row r="15" spans="1:6" ht="22" customHeight="1" x14ac:dyDescent="0.55000000000000004">
      <c r="A15" s="129" t="s">
        <v>216</v>
      </c>
      <c r="B15" s="83"/>
      <c r="C15" s="83"/>
      <c r="D15" s="83"/>
      <c r="E15" s="83"/>
      <c r="F15" s="84"/>
    </row>
    <row r="16" spans="1:6" ht="22" customHeight="1" x14ac:dyDescent="0.55000000000000004">
      <c r="A16" s="36"/>
      <c r="B16" s="36" t="s">
        <v>217</v>
      </c>
      <c r="C16" s="36" t="s">
        <v>218</v>
      </c>
      <c r="D16" s="36" t="s">
        <v>219</v>
      </c>
      <c r="E16" s="36" t="s">
        <v>108</v>
      </c>
      <c r="F16" s="36"/>
    </row>
    <row r="17" spans="1:6" ht="22" customHeight="1" x14ac:dyDescent="0.55000000000000004">
      <c r="A17" s="70" t="s">
        <v>220</v>
      </c>
      <c r="B17" s="61" t="s">
        <v>221</v>
      </c>
      <c r="C17" s="26" t="s">
        <v>222</v>
      </c>
      <c r="D17" s="37" t="s">
        <v>223</v>
      </c>
      <c r="E17" s="2" t="s">
        <v>224</v>
      </c>
      <c r="F17" s="3"/>
    </row>
    <row r="18" spans="1:6" ht="22" customHeight="1" x14ac:dyDescent="0.55000000000000004">
      <c r="A18" s="70" t="s">
        <v>220</v>
      </c>
      <c r="B18" s="64" t="s">
        <v>225</v>
      </c>
      <c r="C18" s="24" t="s">
        <v>226</v>
      </c>
      <c r="D18" s="38" t="s">
        <v>162</v>
      </c>
      <c r="E18" s="2" t="s">
        <v>224</v>
      </c>
      <c r="F18" s="58"/>
    </row>
    <row r="19" spans="1:6" ht="22" customHeight="1" x14ac:dyDescent="0.55000000000000004">
      <c r="A19" s="70" t="s">
        <v>220</v>
      </c>
      <c r="B19" s="61" t="s">
        <v>227</v>
      </c>
      <c r="C19" s="26" t="s">
        <v>228</v>
      </c>
      <c r="D19" s="37" t="s">
        <v>229</v>
      </c>
      <c r="E19" s="2" t="s">
        <v>224</v>
      </c>
      <c r="F19" s="3"/>
    </row>
    <row r="20" spans="1:6" ht="22" customHeight="1" x14ac:dyDescent="0.55000000000000004">
      <c r="A20" s="70" t="s">
        <v>220</v>
      </c>
      <c r="B20" s="64" t="s">
        <v>230</v>
      </c>
      <c r="C20" s="24" t="s">
        <v>231</v>
      </c>
      <c r="D20" s="38" t="s">
        <v>67</v>
      </c>
      <c r="E20" s="2" t="s">
        <v>224</v>
      </c>
      <c r="F20" s="58"/>
    </row>
    <row r="21" spans="1:6" ht="22" customHeight="1" x14ac:dyDescent="0.55000000000000004">
      <c r="A21" s="70" t="s">
        <v>220</v>
      </c>
      <c r="B21" s="61" t="s">
        <v>232</v>
      </c>
      <c r="C21" s="26" t="s">
        <v>233</v>
      </c>
      <c r="D21" s="37" t="s">
        <v>234</v>
      </c>
      <c r="E21" s="2" t="s">
        <v>224</v>
      </c>
      <c r="F21" s="3"/>
    </row>
    <row r="22" spans="1:6" ht="22" customHeight="1" x14ac:dyDescent="0.55000000000000004">
      <c r="A22" s="70" t="s">
        <v>220</v>
      </c>
      <c r="B22" s="64" t="s">
        <v>235</v>
      </c>
      <c r="C22" s="30" t="s">
        <v>236</v>
      </c>
      <c r="D22" s="38" t="s">
        <v>67</v>
      </c>
      <c r="E22" s="2" t="s">
        <v>224</v>
      </c>
      <c r="F22" s="58"/>
    </row>
    <row r="23" spans="1:6" ht="22" customHeight="1" x14ac:dyDescent="0.55000000000000004">
      <c r="A23" s="70" t="s">
        <v>220</v>
      </c>
      <c r="B23" s="61" t="s">
        <v>237</v>
      </c>
      <c r="C23" s="26" t="s">
        <v>238</v>
      </c>
      <c r="D23" s="37" t="s">
        <v>162</v>
      </c>
      <c r="E23" s="2" t="s">
        <v>224</v>
      </c>
      <c r="F23" s="3"/>
    </row>
    <row r="24" spans="1:6" ht="22" customHeight="1" x14ac:dyDescent="0.55000000000000004">
      <c r="A24" s="70" t="s">
        <v>220</v>
      </c>
      <c r="B24" s="64" t="s">
        <v>239</v>
      </c>
      <c r="C24" s="24" t="s">
        <v>240</v>
      </c>
      <c r="D24" s="38" t="s">
        <v>67</v>
      </c>
      <c r="E24" s="2" t="s">
        <v>224</v>
      </c>
      <c r="F24" s="58"/>
    </row>
    <row r="25" spans="1:6" ht="22" customHeight="1" x14ac:dyDescent="0.55000000000000004">
      <c r="A25" s="70" t="s">
        <v>220</v>
      </c>
      <c r="B25" s="61" t="s">
        <v>241</v>
      </c>
      <c r="C25" s="26" t="s">
        <v>242</v>
      </c>
      <c r="D25" s="37" t="s">
        <v>67</v>
      </c>
      <c r="E25" s="2" t="s">
        <v>224</v>
      </c>
      <c r="F25" s="3"/>
    </row>
    <row r="26" spans="1:6" ht="22" customHeight="1" x14ac:dyDescent="0.55000000000000004">
      <c r="A26" s="70" t="s">
        <v>220</v>
      </c>
      <c r="B26" s="64" t="s">
        <v>243</v>
      </c>
      <c r="C26" s="30" t="s">
        <v>244</v>
      </c>
      <c r="D26" s="38" t="s">
        <v>72</v>
      </c>
      <c r="E26" s="2" t="s">
        <v>224</v>
      </c>
      <c r="F26" s="58"/>
    </row>
    <row r="27" spans="1:6" ht="22" customHeight="1" x14ac:dyDescent="0.55000000000000004">
      <c r="A27" s="70" t="s">
        <v>220</v>
      </c>
      <c r="B27" s="61" t="s">
        <v>245</v>
      </c>
      <c r="C27" s="26" t="s">
        <v>246</v>
      </c>
      <c r="D27" s="37" t="s">
        <v>247</v>
      </c>
      <c r="E27" s="2" t="s">
        <v>224</v>
      </c>
      <c r="F27" s="3"/>
    </row>
    <row r="28" spans="1:6" ht="22" customHeight="1" x14ac:dyDescent="0.55000000000000004">
      <c r="A28" s="70" t="s">
        <v>220</v>
      </c>
      <c r="B28" s="64" t="s">
        <v>248</v>
      </c>
      <c r="C28" s="30" t="s">
        <v>249</v>
      </c>
      <c r="D28" s="38" t="s">
        <v>67</v>
      </c>
      <c r="E28" s="2" t="s">
        <v>224</v>
      </c>
      <c r="F28" s="58"/>
    </row>
    <row r="29" spans="1:6" ht="22" customHeight="1" x14ac:dyDescent="0.55000000000000004">
      <c r="A29" s="70" t="s">
        <v>220</v>
      </c>
      <c r="B29" s="61" t="s">
        <v>250</v>
      </c>
      <c r="C29" s="26" t="s">
        <v>251</v>
      </c>
      <c r="D29" s="37" t="s">
        <v>252</v>
      </c>
      <c r="E29" s="2" t="s">
        <v>224</v>
      </c>
      <c r="F29" s="3"/>
    </row>
    <row r="30" spans="1:6" ht="22" customHeight="1" x14ac:dyDescent="0.55000000000000004">
      <c r="A30" s="70" t="s">
        <v>220</v>
      </c>
      <c r="B30" s="64" t="s">
        <v>253</v>
      </c>
      <c r="C30" s="24" t="s">
        <v>254</v>
      </c>
      <c r="D30" s="38" t="s">
        <v>255</v>
      </c>
      <c r="E30" s="2" t="s">
        <v>224</v>
      </c>
      <c r="F30" s="58"/>
    </row>
    <row r="31" spans="1:6" ht="4" customHeight="1" x14ac:dyDescent="0.55000000000000004">
      <c r="A31" s="1"/>
      <c r="B31" s="1"/>
      <c r="C31" s="1"/>
      <c r="D31" s="1"/>
      <c r="E31" s="1"/>
      <c r="F31" s="1"/>
    </row>
    <row r="32" spans="1:6" ht="36" customHeight="1" x14ac:dyDescent="0.55000000000000004">
      <c r="A32" s="137" t="s">
        <v>256</v>
      </c>
      <c r="B32" s="86"/>
      <c r="C32" s="86"/>
      <c r="D32" s="86"/>
      <c r="E32" s="86"/>
      <c r="F32" s="87"/>
    </row>
  </sheetData>
  <mergeCells count="5">
    <mergeCell ref="A2:F2"/>
    <mergeCell ref="A1:F1"/>
    <mergeCell ref="A32:F32"/>
    <mergeCell ref="A4:F4"/>
    <mergeCell ref="A15:F15"/>
  </mergeCells>
  <conditionalFormatting sqref="E17:E30">
    <cfRule type="containsText" dxfId="3" priority="1" operator="containsText" text="Yapıldı">
      <formula>NOT(ISERROR(SEARCH("Yapıldı",E17:E30)))</formula>
    </cfRule>
    <cfRule type="containsText" dxfId="2" priority="2" operator="containsText" text="Yapılmadı">
      <formula>NOT(ISERROR(SEARCH("Yapılmadı",E17:E30)))</formula>
    </cfRule>
  </conditionalFormatting>
  <dataValidations count="2">
    <dataValidation type="list" sqref="E6:E13" xr:uid="{00000000-0002-0000-0300-000000000000}">
      <formula1>"ÇOK YÜKSEK,YÜKSEK,ORTA,DÜŞÜK"</formula1>
    </dataValidation>
    <dataValidation type="list" sqref="E17:E30" xr:uid="{00000000-0002-0000-0300-000008000000}">
      <formula1>"Yapıldı ✓,Yapılmadı ✗,Geçerli Değil,Devam Ediyor"</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workbookViewId="0"/>
  </sheetViews>
  <sheetFormatPr defaultRowHeight="14.4" x14ac:dyDescent="0.55000000000000004"/>
  <cols>
    <col min="1" max="1" width="3" customWidth="1"/>
    <col min="2" max="2" width="7" customWidth="1"/>
    <col min="3" max="4" width="36" customWidth="1"/>
    <col min="5" max="5" width="20" customWidth="1"/>
    <col min="6" max="6" width="3" customWidth="1"/>
  </cols>
  <sheetData>
    <row r="1" spans="1:6" ht="34" customHeight="1" x14ac:dyDescent="0.55000000000000004">
      <c r="A1" s="82" t="s">
        <v>257</v>
      </c>
      <c r="B1" s="83"/>
      <c r="C1" s="83"/>
      <c r="D1" s="83"/>
      <c r="E1" s="83"/>
      <c r="F1" s="84"/>
    </row>
    <row r="2" spans="1:6" ht="20.05" customHeight="1" x14ac:dyDescent="0.55000000000000004">
      <c r="A2" s="98" t="s">
        <v>258</v>
      </c>
      <c r="B2" s="83"/>
      <c r="C2" s="83"/>
      <c r="D2" s="83"/>
      <c r="E2" s="83"/>
      <c r="F2" s="84"/>
    </row>
    <row r="3" spans="1:6" ht="4" customHeight="1" x14ac:dyDescent="0.55000000000000004">
      <c r="A3" s="1"/>
      <c r="B3" s="1"/>
      <c r="C3" s="1"/>
      <c r="D3" s="1"/>
      <c r="E3" s="1"/>
      <c r="F3" s="1"/>
    </row>
    <row r="4" spans="1:6" ht="22" customHeight="1" x14ac:dyDescent="0.55000000000000004">
      <c r="A4" s="129" t="s">
        <v>259</v>
      </c>
      <c r="B4" s="83"/>
      <c r="C4" s="83"/>
      <c r="D4" s="83"/>
      <c r="E4" s="83"/>
      <c r="F4" s="84"/>
    </row>
    <row r="5" spans="1:6" ht="22" customHeight="1" x14ac:dyDescent="0.55000000000000004">
      <c r="A5" s="36"/>
      <c r="B5" s="36" t="s">
        <v>260</v>
      </c>
      <c r="C5" s="36" t="s">
        <v>134</v>
      </c>
      <c r="D5" s="36" t="s">
        <v>54</v>
      </c>
      <c r="E5" s="36" t="s">
        <v>261</v>
      </c>
      <c r="F5" s="36"/>
    </row>
    <row r="6" spans="1:6" ht="38.049999999999997" customHeight="1" x14ac:dyDescent="0.55000000000000004">
      <c r="A6" s="71"/>
      <c r="B6" s="72" t="s">
        <v>262</v>
      </c>
      <c r="C6" s="73" t="s">
        <v>263</v>
      </c>
      <c r="D6" s="74" t="s">
        <v>264</v>
      </c>
      <c r="E6" s="75" t="s">
        <v>265</v>
      </c>
      <c r="F6" s="76" t="s">
        <v>266</v>
      </c>
    </row>
    <row r="7" spans="1:6" ht="38.049999999999997" customHeight="1" x14ac:dyDescent="0.55000000000000004">
      <c r="A7" s="58"/>
      <c r="B7" s="64" t="s">
        <v>267</v>
      </c>
      <c r="C7" s="77" t="s">
        <v>268</v>
      </c>
      <c r="D7" s="78" t="s">
        <v>269</v>
      </c>
      <c r="E7" s="79" t="s">
        <v>270</v>
      </c>
      <c r="F7" s="76" t="s">
        <v>266</v>
      </c>
    </row>
    <row r="8" spans="1:6" ht="38.049999999999997" customHeight="1" x14ac:dyDescent="0.55000000000000004">
      <c r="A8" s="71"/>
      <c r="B8" s="72" t="s">
        <v>271</v>
      </c>
      <c r="C8" s="73" t="s">
        <v>272</v>
      </c>
      <c r="D8" s="74" t="s">
        <v>273</v>
      </c>
      <c r="E8" s="75" t="s">
        <v>274</v>
      </c>
      <c r="F8" s="76" t="s">
        <v>266</v>
      </c>
    </row>
    <row r="9" spans="1:6" ht="38.049999999999997" customHeight="1" x14ac:dyDescent="0.55000000000000004">
      <c r="A9" s="58"/>
      <c r="B9" s="64" t="s">
        <v>275</v>
      </c>
      <c r="C9" s="77" t="s">
        <v>276</v>
      </c>
      <c r="D9" s="78" t="s">
        <v>277</v>
      </c>
      <c r="E9" s="79" t="s">
        <v>278</v>
      </c>
      <c r="F9" s="76" t="s">
        <v>266</v>
      </c>
    </row>
    <row r="10" spans="1:6" ht="38.049999999999997" customHeight="1" x14ac:dyDescent="0.55000000000000004">
      <c r="A10" s="71"/>
      <c r="B10" s="72" t="s">
        <v>279</v>
      </c>
      <c r="C10" s="73" t="s">
        <v>280</v>
      </c>
      <c r="D10" s="74" t="s">
        <v>281</v>
      </c>
      <c r="E10" s="75" t="s">
        <v>282</v>
      </c>
      <c r="F10" s="76" t="s">
        <v>266</v>
      </c>
    </row>
    <row r="11" spans="1:6" ht="38.049999999999997" customHeight="1" x14ac:dyDescent="0.55000000000000004">
      <c r="A11" s="58"/>
      <c r="B11" s="64" t="s">
        <v>283</v>
      </c>
      <c r="C11" s="77" t="s">
        <v>284</v>
      </c>
      <c r="D11" s="78" t="s">
        <v>285</v>
      </c>
      <c r="E11" s="79" t="s">
        <v>286</v>
      </c>
      <c r="F11" s="76" t="s">
        <v>266</v>
      </c>
    </row>
    <row r="12" spans="1:6" ht="38.049999999999997" customHeight="1" x14ac:dyDescent="0.55000000000000004">
      <c r="A12" s="71"/>
      <c r="B12" s="72" t="s">
        <v>287</v>
      </c>
      <c r="C12" s="80" t="s">
        <v>288</v>
      </c>
      <c r="D12" s="74" t="s">
        <v>289</v>
      </c>
      <c r="E12" s="75" t="s">
        <v>290</v>
      </c>
      <c r="F12" s="76" t="s">
        <v>266</v>
      </c>
    </row>
    <row r="13" spans="1:6" ht="38.049999999999997" customHeight="1" x14ac:dyDescent="0.55000000000000004">
      <c r="A13" s="58"/>
      <c r="B13" s="64" t="s">
        <v>291</v>
      </c>
      <c r="C13" s="68" t="s">
        <v>292</v>
      </c>
      <c r="D13" s="78" t="s">
        <v>293</v>
      </c>
      <c r="E13" s="79" t="s">
        <v>294</v>
      </c>
      <c r="F13" s="76" t="s">
        <v>266</v>
      </c>
    </row>
    <row r="14" spans="1:6" ht="38.049999999999997" customHeight="1" x14ac:dyDescent="0.55000000000000004">
      <c r="A14" s="71"/>
      <c r="B14" s="72" t="s">
        <v>295</v>
      </c>
      <c r="C14" s="80" t="s">
        <v>296</v>
      </c>
      <c r="D14" s="74" t="s">
        <v>297</v>
      </c>
      <c r="E14" s="75" t="s">
        <v>298</v>
      </c>
      <c r="F14" s="76" t="s">
        <v>266</v>
      </c>
    </row>
    <row r="15" spans="1:6" ht="38.049999999999997" customHeight="1" x14ac:dyDescent="0.55000000000000004">
      <c r="A15" s="58"/>
      <c r="B15" s="64" t="s">
        <v>299</v>
      </c>
      <c r="C15" s="68" t="s">
        <v>300</v>
      </c>
      <c r="D15" s="78" t="s">
        <v>301</v>
      </c>
      <c r="E15" s="79" t="s">
        <v>302</v>
      </c>
      <c r="F15" s="76" t="s">
        <v>266</v>
      </c>
    </row>
    <row r="16" spans="1:6" ht="4" customHeight="1" x14ac:dyDescent="0.55000000000000004">
      <c r="A16" s="1"/>
      <c r="B16" s="1"/>
      <c r="C16" s="1"/>
      <c r="D16" s="1"/>
      <c r="E16" s="1"/>
      <c r="F16" s="1"/>
    </row>
    <row r="17" spans="1:6" ht="32.049999999999997" customHeight="1" x14ac:dyDescent="0.55000000000000004">
      <c r="A17" s="137" t="s">
        <v>303</v>
      </c>
      <c r="B17" s="86"/>
      <c r="C17" s="86"/>
      <c r="D17" s="86"/>
      <c r="E17" s="86"/>
      <c r="F17" s="87"/>
    </row>
  </sheetData>
  <mergeCells count="4">
    <mergeCell ref="A2:F2"/>
    <mergeCell ref="A17:F17"/>
    <mergeCell ref="A1:F1"/>
    <mergeCell ref="A4:F4"/>
  </mergeCells>
  <conditionalFormatting sqref="F6:F15">
    <cfRule type="containsText" dxfId="1" priority="1" operator="containsText" text="Temin">
      <formula>NOT(ISERROR(SEARCH("Temin",F6:F15)))</formula>
    </cfRule>
    <cfRule type="containsText" dxfId="0" priority="2" operator="containsText" text="Eksik">
      <formula>NOT(ISERROR(SEARCH("Eksik",F6:F15)))</formula>
    </cfRule>
  </conditionalFormatting>
  <dataValidations count="1">
    <dataValidation type="list" sqref="F6:F15" xr:uid="{00000000-0002-0000-0400-000000000000}">
      <formula1>"Temin Edildi ✓,Eksik ✗,Geçerli Değil,Devam"</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vt:lpstr>
      <vt:lpstr>MUHASEBE KAYITLARI</vt:lpstr>
      <vt:lpstr>DENETÇİ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2026-04-08T08:14:49Z</dcterms:created>
  <dcterms:modified xsi:type="dcterms:W3CDTF">2026-04-08T08:48:58Z</dcterms:modified>
</cp:coreProperties>
</file>