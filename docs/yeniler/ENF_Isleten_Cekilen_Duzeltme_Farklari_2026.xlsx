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V BEYANNAMESİ SATIRLARI/"/>
    </mc:Choice>
  </mc:AlternateContent>
  <xr:revisionPtr revIDLastSave="0" documentId="8_{F40CDA82-A29A-42E6-809E-319B2780651B}" xr6:coauthVersionLast="47" xr6:coauthVersionMax="47" xr10:uidLastSave="{00000000-0000-0000-0000-000000000000}"/>
  <bookViews>
    <workbookView xWindow="-96" yWindow="-96" windowWidth="23232" windowHeight="12552" activeTab="4" xr2:uid="{00000000-000D-0000-FFFF-FFFF00000000}"/>
  </bookViews>
  <sheets>
    <sheet name="VERİ GİRİŞİ" sheetId="1" r:id="rId1"/>
    <sheet name="HESAPLAMALAR" sheetId="2" r:id="rId2"/>
    <sheet name="MUHASEBE KAYITLARI" sheetId="3" r:id="rId3"/>
    <sheet name="DENETÇİ NOTLARI" sheetId="4" r:id="rId4"/>
    <sheet name="BELGE LİSTES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D10" i="2" s="1"/>
  <c r="F44" i="1"/>
  <c r="D9" i="2"/>
  <c r="D8" i="2"/>
  <c r="C39" i="1"/>
  <c r="C33" i="1"/>
  <c r="C32" i="1"/>
  <c r="C31" i="1"/>
  <c r="G31" i="1" s="1"/>
  <c r="C30" i="1"/>
  <c r="D18" i="2" s="1"/>
  <c r="C29" i="1"/>
  <c r="C38" i="1" s="1"/>
  <c r="E24" i="1"/>
  <c r="D6" i="2" s="1"/>
  <c r="D24" i="1"/>
  <c r="C24" i="1"/>
  <c r="F23" i="1"/>
  <c r="F22" i="1"/>
  <c r="F21" i="1"/>
  <c r="F20" i="1"/>
  <c r="F19" i="1"/>
  <c r="F18" i="1"/>
  <c r="F24" i="1" s="1"/>
  <c r="D20" i="2" l="1"/>
  <c r="D21" i="2" s="1"/>
  <c r="D7" i="2"/>
  <c r="D11" i="2" s="1"/>
  <c r="C37" i="1"/>
  <c r="G30" i="1"/>
  <c r="C40" i="1"/>
</calcChain>
</file>

<file path=xl/sharedStrings.xml><?xml version="1.0" encoding="utf-8"?>
<sst xmlns="http://schemas.openxmlformats.org/spreadsheetml/2006/main" count="445" uniqueCount="303">
  <si>
    <t>İŞLETMEDEN ÇEKİLEN ENFLASYON DÜZELTMESİ FARKLARI  |  VUK Mük. Md.298/A &amp; Geç. Md.33  |  KV Beyanname Matrah Artırım Satırı  |  YMM TASDİK</t>
  </si>
  <si>
    <t>Şirket: ___________________  |  VKN: _______________  |  Dönem: 01.01.2026 – 31.12.2026  |  Hazırlayan: _______________</t>
  </si>
  <si>
    <t xml:space="preserve">  VUK MÜK. MD.298/A &amp; GEÇİCİ MD.33 — ENFLASYON DÜZELTMESİ FARKLARI:
  Enflasyon düzeltmesi uygulaması kapsamında oluşan olumlu farklar özsermaye
  hesaplarına (502, 549 vb.) alınır. Bu farkların işletmeden çekilmesi durumunda:
  ★ SERMAYEYE EKLEME: Nakit kâr dağıtımı sayılmaz → Beyannamede ek yük yoktur.
  ★ KÂR PAYI OLARAK DAĞITIM (Nakit): Kurumlar vergisine tabi → Beyanname matrahına eklenir.
    Gerçek kişilere dağıtımda ayrıca %10 stopaj uygulanır (GVK Md.94/6-b-i).
  ★ DİĞER ÇEKIMLER (sermaye azaltımı vb.): VUK düzenlemeleri çerçevesinde değerlendirilir.
  ★ YİAKV: İşletmeden çekilen enflasyon düzeltmesi farklarının YİAKV matrahına etkisi
    KVK Md.32/C ve GİB Rehberi No:607 kapsamında YMM tarafından ayrıca değerlendirilmeli.</t>
  </si>
  <si>
    <t xml:space="preserve">  ★ UYARILAR: (1) Geçici Md.33 kapsamında 2023 hesap dönemi kapatma farklarının
  gelir/gider hesaplarına yansıtılmadan doğrudan özsermayeye alındığını unutmayın.
  (2) Sermayeye eklemek SERBEST — vergi yok. Nakde çevirmek MATRAH ARTTIRIR.
  (3) İştirak ilişkisindeki kurumdan alınan → İştirak kazancı istisnası uygulanabilir.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</si>
  <si>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</si>
  <si>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</si>
  <si>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</si>
  <si>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</si>
  <si>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</si>
  <si>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</si>
  <si>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01.01.2026 – 31.12.2026</t>
  </si>
  <si>
    <t>Bilanço Dönemi</t>
  </si>
  <si>
    <t>31.12.2026</t>
  </si>
  <si>
    <t>KV Oranı (%)</t>
  </si>
  <si>
    <t>2025 ve 2026: %25 / Bankalar-Sigorta: %30</t>
  </si>
  <si>
    <t>Dosya Referansı</t>
  </si>
  <si>
    <t>YMM-2026/ENF-01</t>
  </si>
  <si>
    <t>B. ENF. DÜZ. FARKLARI — ÖZSERMAYE HESAP BAKİYELERİ</t>
  </si>
  <si>
    <t xml:space="preserve">  Dönem başı ve sonundaki enflasyon düzeltmesi olumlu fark hesaplarının bakiyeleri. Her hesap satırı bağımsız değerlendirilir. ★ 502: VUK Geç.Md.33 kapsamı kapatma farkları | ★ 549: Cari dönem düzeltme farkları | ★ 570/590: Geçmiş yıl kâr/zararı ile netleştirilen tutarlar.</t>
  </si>
  <si>
    <t>Hesap
Kodu</t>
  </si>
  <si>
    <t>Hesap Adı</t>
  </si>
  <si>
    <t>Dönem Başı
Bakiye (TL)</t>
  </si>
  <si>
    <t>Dönem İçi
Ekleme (TL)</t>
  </si>
  <si>
    <t>Dönem İçi
Çekilen (TL)</t>
  </si>
  <si>
    <t>Dönem Sonu
Bakiye (TL)</t>
  </si>
  <si>
    <t>Çekilen
Kısım Niteliği</t>
  </si>
  <si>
    <t>Açıklama</t>
  </si>
  <si>
    <t>502</t>
  </si>
  <si>
    <t>Sermaye Düzeltmesi Olumlu Farkları</t>
  </si>
  <si>
    <t>Henüz Çekilmedi</t>
  </si>
  <si>
    <t>542</t>
  </si>
  <si>
    <t>Geçmiş Yıl Enf.Düz.Farkları (Olumlu)</t>
  </si>
  <si>
    <t>549</t>
  </si>
  <si>
    <t>Özel Fonlar — Enflasyon Düz. Farkı</t>
  </si>
  <si>
    <t>570</t>
  </si>
  <si>
    <t>Geçmiş Yıllar Kârları (Enf.Düz. Kaynaklı)</t>
  </si>
  <si>
    <t>580</t>
  </si>
  <si>
    <t>Geçmiş Yıllar Zararları (Enf.Düz. Negatif)</t>
  </si>
  <si>
    <t>Diğer</t>
  </si>
  <si>
    <t>Diğer Enflasyon Düzeltmesi Fark Hesabı</t>
  </si>
  <si>
    <t>TOPLAM</t>
  </si>
  <si>
    <t>← E24: Dönem İçi Toplam Çekilen</t>
  </si>
  <si>
    <t>C. ÇEKİLEN TUTARLARIN NİTELİK AYIRIMI — VERGİ ETKİSİ</t>
  </si>
  <si>
    <t xml:space="preserve">  Her nitelik grubunun vergi etkisi ayrı ayrı değerlendirilir. Sermayeye ekleme → vergi yok. Nakit dağıtım → KV matrahına eklenir (VUK Mük.Md.298/A f.6). Stopaj: Gerçek kişiye → %10 (GVK Md.94/6-b). İştirak kazancı istisnası: Tam mükelllef kurum alıcı.</t>
  </si>
  <si>
    <t>Çekim Niteliği</t>
  </si>
  <si>
    <t>Çekilen Tutar
(TL)</t>
  </si>
  <si>
    <t>Beyanname
Etkisi</t>
  </si>
  <si>
    <t>Stopaj
Tutarı (TL)</t>
  </si>
  <si>
    <t>İştirak İst.
(TL)</t>
  </si>
  <si>
    <t>Net Beyan
Tutarı (TL)</t>
  </si>
  <si>
    <t>Not</t>
  </si>
  <si>
    <t>→</t>
  </si>
  <si>
    <t>Sermayeye Ekleme (Nakit Kâr Dağıtımı Sayılmaz)</t>
  </si>
  <si>
    <t>Beyanname Yok — Matrah Artmaz</t>
  </si>
  <si>
    <t>VUK Mük.298/A f.6 — Nakit kâr dağıtımı sayılmaz.</t>
  </si>
  <si>
    <t>Nakit Dağıtım — Gerçek Kişi Ortak (%10 Stopaj)</t>
  </si>
  <si>
    <t>Beyanname Artırımı</t>
  </si>
  <si>
    <t>GVK Md.94/6-b-i: %10 GV stopajı.</t>
  </si>
  <si>
    <t>Nakit Dağıtım — Tam Mükelllef Kurum (İştirak İst.)</t>
  </si>
  <si>
    <t>İştirak Kaz.İst. Değerlendirmesi</t>
  </si>
  <si>
    <t>KVK Md.5/1-a: İştirak kazancı istisnası uygulanabilir. YMM teyidi.</t>
  </si>
  <si>
    <t>Nakit Dağıtım — Dar Mükelllef Kurum</t>
  </si>
  <si>
    <t>Beyanname Artırımı + ÇVÖA Kontrolü</t>
  </si>
  <si>
    <t>Dar mükelllef → KVK Md.30 stopaj + ÇVÖA değerlendirmesi.</t>
  </si>
  <si>
    <t>Diğer Çekim (YMM Değerlendirmesi Gerekli)</t>
  </si>
  <si>
    <t>YMM Değerlendirmesi</t>
  </si>
  <si>
    <t>Her çekim ayrı değerlendirilmeli. Sermaye azaltımı vb.</t>
  </si>
  <si>
    <t>D. BEYANNAME SATIRI ÖZET — İŞLETMEDEN ÇEKİLEN ENF. DÜZ. FARKLARI</t>
  </si>
  <si>
    <t>Hesap Kalemi</t>
  </si>
  <si>
    <t>Tutar (TL)</t>
  </si>
  <si>
    <t>D.1  Toplam Dönem İçi Çekilen</t>
  </si>
  <si>
    <t>Tüm nitelikteki toplam çekim</t>
  </si>
  <si>
    <t>B Tablosu E24</t>
  </si>
  <si>
    <t>D.2  Sermayeye Ekleme (Vergi Yok)</t>
  </si>
  <si>
    <t>Matrahı artırmayan çekim</t>
  </si>
  <si>
    <t>VUK Mük.298/A f.6</t>
  </si>
  <si>
    <t>D.3  İştirak Kazancı İstisnası</t>
  </si>
  <si>
    <t>Tam mükelllef kurum istisnası (YMM teyidi)</t>
  </si>
  <si>
    <t>KVK Md.5/1-a</t>
  </si>
  <si>
    <t>D.4  ★ BEYANNAME MATRAH ARTIRIMI</t>
  </si>
  <si>
    <t>→ KV Beyanname: İşletmeden Çekilen Enf.Düz.Farkları</t>
  </si>
  <si>
    <t>VUK Mük.298/A</t>
  </si>
  <si>
    <t>D.5  %10 Stopaj (Gerçek Kişi Dağıtım)</t>
  </si>
  <si>
    <t>GVK Md.94/6-b-i: Gerçek kişilere dağıtım stopajı</t>
  </si>
  <si>
    <t>GVK Md.94</t>
  </si>
  <si>
    <t>D.6  YİAKV Durumu</t>
  </si>
  <si>
    <t>YMM Teyidi — GİB Reh. No:607</t>
  </si>
  <si>
    <t>Matrah artırım kaleminin YİAKV etkisi ayrıca değerlendirilmeli</t>
  </si>
  <si>
    <t>KVK Md.32/C</t>
  </si>
  <si>
    <t>E.1  BEYANNAME SATIRI → İşletmeden Çekilen Enflasyon Düzeltmesi Farkları</t>
  </si>
  <si>
    <t>Sermayeye ekleme hariç | İştirak istisnası hariç | Matrah artırıcı</t>
  </si>
  <si>
    <t xml:space="preserve">  ★ KRİTİK: (1) SERMAYE EKLEME — vergi yok, beyanname etkisi yok. (2) NAKİT DAĞITIM — tüm nitelikler değerlendirilmeli. (3) %10 STOPAJ — gerçek kişi ortaklara dağıtımda GVK Md.94/6-b-i. (4) İŞTİRAK İSTİSNASI — tam mükelllef kuruma dağıtımda KVK Md.5/1-a teyidi. (5) YİAKV — GİB Reh. No:607 kapsamında YMM değerlendirmesi.</t>
  </si>
  <si>
    <t>HESAPLAMALAR  |  Nitelik Ayrımı  |  Stopaj  |  İştirak İstisnası  |  YİAKV  |  Mutabakat</t>
  </si>
  <si>
    <t>VUK Mük.Md.298/A | GVK Md.94/6-b | KVK Md.5/1-a | GİB Reh. No:607 (YİAKV)</t>
  </si>
  <si>
    <t>A. HESAPLAMA ÖZETİ VE MUTABAKAT</t>
  </si>
  <si>
    <t>Parametre</t>
  </si>
  <si>
    <t>Değer (TL)</t>
  </si>
  <si>
    <t>Kaynak</t>
  </si>
  <si>
    <t>Toplam Dönem İçi Çekilen</t>
  </si>
  <si>
    <t>Tüm nitelikteki çekim</t>
  </si>
  <si>
    <t>VERİ GİRİŞİ E24</t>
  </si>
  <si>
    <t>− Sermayeye Ekleme (Vergi Yok)</t>
  </si>
  <si>
    <t>Nakit kâr dağıtımı sayılmaz</t>
  </si>
  <si>
    <t>− İştirak Kazancı İstisnası</t>
  </si>
  <si>
    <t>Tam mükelllef kurum (KVK Md.5/1-a teyidi)</t>
  </si>
  <si>
    <t>★ BEYANNAME MATRAH ARTIRIMI</t>
  </si>
  <si>
    <t>D.4 = Toplam − Sermaye − İştirak İst.</t>
  </si>
  <si>
    <t>Gerçek Kişi Stopaj Tutarı</t>
  </si>
  <si>
    <t>GVK Md.94/6-b-i: %10 × Gerçek Kişi Dağıtım</t>
  </si>
  <si>
    <t>Mutabakat (Çekilen = Sermaye + İştirak + Beyan)</t>
  </si>
  <si>
    <t>D6 = D7 + D8 + D9 ± 1 TL tolerans</t>
  </si>
  <si>
    <t>Kontrol</t>
  </si>
  <si>
    <t>B. SERMAYEYE EKLEME — VERGİSEL DURUM (VUK Mük. Md.298/A f.6)</t>
  </si>
  <si>
    <t xml:space="preserve">  VUK MÜK. MD.298/A FIKRA 6:
  Enflasyon düzeltmesi sonucu oluşan farkların sermayeye eklenmesi halinde bu işlem
  nakit kâr dağıtımı sayılmaz ve kurumlar vergisine tabi tutulmaz.
  → Beyannamede herhangi bir matrah artırımı söz konusu olmaz.
  → GV stopajı da uygulanmaz.
  → TTK kapsamında sermaye artırım prosedürü uygulanması gerekir (Genel Kurul Kararı vb.).
  ★ DİKKAT: Sermayeye ekleme kararı OLMADAN yapılan nakde çevirme işlemi
  bu istisnadan yararlanamaz — her çekim ayrı belgelenmelidir.</t>
  </si>
  <si>
    <t>C. NAKİT DAĞITIM — STOPAJ HESABI (GVK Md.94/6-b-i)</t>
  </si>
  <si>
    <t>Değer</t>
  </si>
  <si>
    <t>Hesaplama</t>
  </si>
  <si>
    <t>Gerçek Kişi Ortaklara Dağıtım Tutarı</t>
  </si>
  <si>
    <t>B tablosundan SUMIF</t>
  </si>
  <si>
    <t>VERİ GİRİŞİ C30</t>
  </si>
  <si>
    <t>Stopaj Oranı (GVK Md.94/6-b-i)</t>
  </si>
  <si>
    <t>%10</t>
  </si>
  <si>
    <t>Enflasyon düzeltmesi farkı dağıtım stopajı</t>
  </si>
  <si>
    <t>GVK Md.94/6-b</t>
  </si>
  <si>
    <t>★ Hesaplanan Stopaj Tutarı</t>
  </si>
  <si>
    <t>D18 × %10 = Muhtasar beyanname</t>
  </si>
  <si>
    <t>Net Alınan Tutar (Gerçek Kişi)</t>
  </si>
  <si>
    <t>Brüt Dağıtım − Stopaj</t>
  </si>
  <si>
    <t>Hesap</t>
  </si>
  <si>
    <t>D. İŞTİRAK KAZANCI İSTİSNASI DEĞERLENDİRMESİ (KVK Md.5/1-a)</t>
  </si>
  <si>
    <t xml:space="preserve">  KVK MADDE 5/1-a — İŞTİRAK KAZANCI İSTİSNASI:
  Tam mükelllef kurumlardan elde edilen kâr payları (iştirak kazançları) kurumlar
  vergisinden istisnadır.
  ENFLASYON DÜZELTMESİ FARKI KAPSAMINDA:
  Kurum (A) → Enflasyon düzeltmesi farkını nakit olarak Kurum (B)'ye dağıtırsa,
  (B) bu tutarı kâr payı / iştirak kazancı olarak alır.
  KVK Md.5/1-a kapsamında istisna uygulanıp uygulanamayacağı özelge ile teyit edilmeli.
  ★ YMM TASDİK: İştirak kazancı istisnası için:
  ① Dağıtım yapan kurumun tam mükelllef olması
  ② Alınan tutarın kâr payı niteliğinde olması
  ③ Dağıtım belgesi (genel kurul kararı, banka dekontu)
  ④ Özelge veya YMM değerlendirme notu</t>
  </si>
  <si>
    <t>E. YİAKV ETKİSİ DEĞERLENDİRMESİ — KVK Md.32/C</t>
  </si>
  <si>
    <t xml:space="preserve">  YİAKV (Yurt İçi Asgari Kurumlar Vergisi) ve Enflasyon Düzeltmesi Farkları:
  BEYANNAME MATRAH ARTIRIMI → İİDÖKK'YA ETKİSİ:
  İşletmeden çekilen enflasyon düzeltmesi farkları beyanname matrahını artırır.
  Matrah artışı TBK'ya veya KKEG'ye dahil olup olmadığına göre YİAKV hesabını etkiler.
  MEVZUAT KONUMU:
  Bu kalem için KVK Md.32/C f.2 kapsamında 'kapsam dışı istisna' düzenlemesi
  açıkça yer almamaktadır.
  GİB Rehberi No:607 ve güncel özelgeler YMM tarafından incelenmeli.
  GENEL YAKLAŞIM (YMM Değerlendirmesine Kadar):
  Matrah artırım kalemi → İİDÖKK içinde → YİAKV matrahını artırır.</t>
  </si>
  <si>
    <t>MUHASEBE KAYITLARI  |  502/549 Hesaplar  |  Sermaye Ekleme  |  Nakit Dağıtım  |  Stopaj</t>
  </si>
  <si>
    <t>VUK Mük.Md.298/A | TDHP 502/549/570 | Kâr Dağıtım Kayıtları | GV Stopaj</t>
  </si>
  <si>
    <t xml:space="preserve">  GENEL NOT: Enflasyon düzeltmesi farkları özsermaye altında birikir. Çekim şekline göre farklı muhasebe kaydı yapılır. Sermayeye ekleme = Vergi yok. Nakit dağıtım = KV + Stopaj yükümlülüğü.</t>
  </si>
  <si>
    <t>KAYIT 1 — ENF. DÜZ. FARKININ ÖZSERMAYEYE ALINMASI (İlk Kayıt — Düzeltme Dönemi)</t>
  </si>
  <si>
    <t>Borç</t>
  </si>
  <si>
    <t>Alacak</t>
  </si>
  <si>
    <t>Belge</t>
  </si>
  <si>
    <t>Dr</t>
  </si>
  <si>
    <t>698</t>
  </si>
  <si>
    <t>Enflasyon Düzeltmesi Hesabı</t>
  </si>
  <si>
    <t>VUK Geç.Md.33: Kapatma farkı — Gelir/gider yerine doğrudan özsermayeye</t>
  </si>
  <si>
    <t>[Fark]</t>
  </si>
  <si>
    <t>—</t>
  </si>
  <si>
    <t>VUK Geç.33</t>
  </si>
  <si>
    <t>KAYIT 2 — SERMAYEYE EKLEME (Vergi Yok — VUK Mük.298/A f.6)</t>
  </si>
  <si>
    <t>Enflasyon düzeltme farkı hesabının kapatılması</t>
  </si>
  <si>
    <t>[Tutar]</t>
  </si>
  <si>
    <t>Genel Kurul Kararı</t>
  </si>
  <si>
    <t>Kr</t>
  </si>
  <si>
    <t>501</t>
  </si>
  <si>
    <t>Ödenmemiş Sermaye / 500 Sermaye</t>
  </si>
  <si>
    <t>Sermaye artırımı kaydı — nakit kâr dağıtımı sayılmaz</t>
  </si>
  <si>
    <t>TTK Md.462</t>
  </si>
  <si>
    <t>KAYIT 3 — NAKİT KÂR DAĞITIMI (Gerçek Kişi Ortak — %10 Stopaj)</t>
  </si>
  <si>
    <t>veya 549 — Dağıtılacak enflasyon düzeltme farkı</t>
  </si>
  <si>
    <t>[Brüt]</t>
  </si>
  <si>
    <t>Genel Kurul</t>
  </si>
  <si>
    <t>331</t>
  </si>
  <si>
    <t>Ortaklara Borçlar</t>
  </si>
  <si>
    <t>Dağıtılacak net tutar (brüt − stopaj)</t>
  </si>
  <si>
    <t>[Net]</t>
  </si>
  <si>
    <t>Borç Kaydı</t>
  </si>
  <si>
    <t>360</t>
  </si>
  <si>
    <t>Ödenecek Vergi ve Fonlar</t>
  </si>
  <si>
    <t>%10 GV stopajı tahakkuku (GVK Md.94/6-b-i)</t>
  </si>
  <si>
    <t>[Stopaj]</t>
  </si>
  <si>
    <t>Ödeme</t>
  </si>
  <si>
    <t>Banka Dekontu</t>
  </si>
  <si>
    <t>102</t>
  </si>
  <si>
    <t>Bankalar</t>
  </si>
  <si>
    <t>Net tutar ödemesi</t>
  </si>
  <si>
    <t>Dekont</t>
  </si>
  <si>
    <t>Ödenecek Vergi</t>
  </si>
  <si>
    <t>Stopaj ödemesi</t>
  </si>
  <si>
    <t>KAYIT 4 — TAM MÜKELLEF KURUMA DAĞITIM (İştirak Kazancı İst. — KVK Md.5/1-a)</t>
  </si>
  <si>
    <t>Dağıtılacak fark</t>
  </si>
  <si>
    <t>Tam mükelllef kurum alacağı</t>
  </si>
  <si>
    <t>Kayıt</t>
  </si>
  <si>
    <t>STOPAJ YOK</t>
  </si>
  <si>
    <t>Tam mükelllef kuruma stopaj uygulanmaz (GVK Md.94 kapsamı dışı)</t>
  </si>
  <si>
    <t>5/1-a</t>
  </si>
  <si>
    <t>İŞTİRAK KAZANCI</t>
  </si>
  <si>
    <t>Alan kurumda KVK Md.5/1-a istisnası — YMM teyidi</t>
  </si>
  <si>
    <t>DENETÇİ NOTLARI  |  Risk Haritası &amp; Check-list  |  VUK Mük.Md.298/A  |  Enflasyon Düz. Farkları  |  YMM TASDİK</t>
  </si>
  <si>
    <t>Sermaye Ekleme ↔ Nakit Dağıtım Ayrımı | Stopaj | İştirak Kaz.İst. | Belgelendirme | YİAKV</t>
  </si>
  <si>
    <t>A. RİSK HARİTASI</t>
  </si>
  <si>
    <t>Kod</t>
  </si>
  <si>
    <t>Risk Konusu</t>
  </si>
  <si>
    <t>Risk Açıklaması</t>
  </si>
  <si>
    <t>Risk Seviyesi</t>
  </si>
  <si>
    <t>►</t>
  </si>
  <si>
    <t>R1</t>
  </si>
  <si>
    <t>Sermaye Ekleme ↔ Nakit Dağıtım Ayrımı</t>
  </si>
  <si>
    <t>Ayrım belgelenmeden yapılan çekim işlemlerinde KV istisnasının kaybedilmesi. Sermayeye ekleme kararı ÖNCE alınmalı, kayıt SONRA yapılmalı. Genel Kurul Kararı + Tescil + Ticaret Sicili belgesi zorunlu.</t>
  </si>
  <si>
    <t>ÇOK YÜKSEK</t>
  </si>
  <si>
    <t>R2</t>
  </si>
  <si>
    <t>%10 Stopaj Beyanı Eksikliği</t>
  </si>
  <si>
    <t>Gerçek kişi ortaklara yapılan nakit dağıtımda %10 GV stopajının muhtasar beyannamede gösterilmemesi → Vergi ziyaı + gecikme faizi. GVK Md.94/6-b-i kapsamında zorunludur.</t>
  </si>
  <si>
    <t>R3</t>
  </si>
  <si>
    <t>Beyanname Satırı Atlama</t>
  </si>
  <si>
    <t>Nakit dağıtımın 'işletmeden çekilen enflasyon düzeltmesi farkları' satırında gösterilmemesi. Ticari kâr içinde göründüğü iddia edilse bile ayrıca beyan zorunlu.</t>
  </si>
  <si>
    <t>YÜKSEK</t>
  </si>
  <si>
    <t>R4</t>
  </si>
  <si>
    <t>İştirak Kazancı İstisnası Yanlış Uygulaması</t>
  </si>
  <si>
    <t>Tam mükelllef olmayan kuruma yapılan dağıtımda iştirak istisnası uygulanması. İstisna yalnızca tam mükelllef kurumlar için geçerli. Özelge veya YMM değerlendirme notu zorunlu.</t>
  </si>
  <si>
    <t>R5</t>
  </si>
  <si>
    <t>Dönem Kapatma Farkları ve Cari Yıl Farkı Karışıklığı</t>
  </si>
  <si>
    <t>VUK Geç.Md.33 kapsamındaki 2023 dönem kapatma farkları (502) ile sonraki dönemde yapılan düzeltme farkları (549) karıştırılmamalı. Her hesabın bakiyesi ayrı izlenmeli.</t>
  </si>
  <si>
    <t>R6</t>
  </si>
  <si>
    <t>Sermaye Azaltımı Yoluyla Çekim</t>
  </si>
  <si>
    <t>Sermaye azaltımı yoluyla enflasyon düzeltmesi farkının ortaklara iadesi durumunda vergisel sonuçlar ayrıca değerlendirilmeli. TTK prosedürü + alacaklı hakları + VUK kapsamı.</t>
  </si>
  <si>
    <t>ORTA</t>
  </si>
  <si>
    <t>R7</t>
  </si>
  <si>
    <t>502 Hesabının Menfi (Negatif) Olması</t>
  </si>
  <si>
    <t>Enflasyon düzeltmesi farkı olumsuz (negatif) ise özsermayeyi azaltır. Negatif fark işletmeden çekilemez — yalnızca olumlu farklar çekilebilir.</t>
  </si>
  <si>
    <t>R8</t>
  </si>
  <si>
    <t>YİAKV ile İlişki</t>
  </si>
  <si>
    <t>Matrah artırım kaleminin YİAKV matrahına etkisi. GİB Rehberi No:607 + güncel özelgeler YMM tarafından incelenmeli.</t>
  </si>
  <si>
    <t>B. YMM DENETİM CHECK-LIST</t>
  </si>
  <si>
    <t>Adım</t>
  </si>
  <si>
    <t>Kontrol / Prosedür</t>
  </si>
  <si>
    <t>Dayanak / Standart</t>
  </si>
  <si>
    <t>Durum</t>
  </si>
  <si>
    <t>✦</t>
  </si>
  <si>
    <t>C1</t>
  </si>
  <si>
    <t>502/549/570 hesap bakiyeleri yıl başı-sonu doğrulandı mı?</t>
  </si>
  <si>
    <t>Yapılmadı ✗</t>
  </si>
  <si>
    <t>C2</t>
  </si>
  <si>
    <t>Dönem içi çekimler nitelik bazında ayrıştırıldı mı?</t>
  </si>
  <si>
    <t>C3</t>
  </si>
  <si>
    <t>Sermayeye ekleme için Genel Kurul Kararı ve Tescil belgesi alındı mı?</t>
  </si>
  <si>
    <t>C4</t>
  </si>
  <si>
    <t>Sermayeye ekleme kaydı 502→501/500 doğru mu?</t>
  </si>
  <si>
    <t>TDHP</t>
  </si>
  <si>
    <t>C5</t>
  </si>
  <si>
    <t>Nakit dağıtımda gerçek kişi/kurum ayrımı yapıldı mı?</t>
  </si>
  <si>
    <t>GVK Md.94/6</t>
  </si>
  <si>
    <t>C6</t>
  </si>
  <si>
    <t>Gerçek kişi dağıtımda %10 stopaj hesaplandı mı?</t>
  </si>
  <si>
    <t>GVK Md.94/6-b-i</t>
  </si>
  <si>
    <t>C7</t>
  </si>
  <si>
    <t>Stopaj muhtasar beyannamede beyan edildi ve ödendi mi?</t>
  </si>
  <si>
    <t>C8</t>
  </si>
  <si>
    <t>Tam mükelllef kuruma dağıtımda iştirak istisnası teyit edildi mi?</t>
  </si>
  <si>
    <t>C9</t>
  </si>
  <si>
    <t>İştirak istisnası için dağıtım belgesi + banka dekontu temin edildi mi?</t>
  </si>
  <si>
    <t>C10</t>
  </si>
  <si>
    <t>Dar mükelllef kuruma dağıtım varsa ÇVÖA ve stopaj değerlendirildi mi?</t>
  </si>
  <si>
    <t>KVK Md.30</t>
  </si>
  <si>
    <t>C11</t>
  </si>
  <si>
    <t>★ Beyanname matrah artırımı D.4 formülüyle doğrulandı mı?</t>
  </si>
  <si>
    <t>C12</t>
  </si>
  <si>
    <t>★ 502/549 bakiye = Başlangıç + Ekleme − Çekilen mutabakatı yapıldı mı?</t>
  </si>
  <si>
    <t>Muhasebe</t>
  </si>
  <si>
    <t>C13</t>
  </si>
  <si>
    <t>YİAKV etkisi GİB Reh. No:607 kapsamında değerlendirildi mi?</t>
  </si>
  <si>
    <t>GİB Reh. No:607</t>
  </si>
  <si>
    <t>C14</t>
  </si>
  <si>
    <t>YMM Tasdik Raporu (≥500.000 TL) değerlendirildi mi?</t>
  </si>
  <si>
    <t>49 No.lu Tebliğ</t>
  </si>
  <si>
    <t xml:space="preserve">  YMM TASDİK DİL STANDARDI (49 No.lu Tebliğ):
  '...VUK Mükerrer Madde 298/A kapsamındaki enflasyon düzeltmesi uygulaması sonucu 502/549 hesaplarında biriken [tutar] TL tutarındaki olumlu farkın [dönem] hesap döneminde işletmeden [sermayeye ekleme / nakit dağıtım] suretiyle çekildiği tespit edilmiştir. Sermayeye eklenen [sermaye tutarı] TL tutarı nakit kâr dağıtımı sayılmadığından kurumlar vergisine tabi tutulmamış; nakit dağıtılan [nakit tutar] TL üzerinden [stopaj tutarı] TL gelir vergisi stopajı hesaplanmış ve muhtasar beyanname ile beyan edilmiştir.'</t>
  </si>
  <si>
    <t>BELGE LİSTESİ  |  İşletmeden Çekilen Enf. Düz. Farkları  |  YMM TASDİK DOSYASI</t>
  </si>
  <si>
    <t>502/549 Hesap | Genel Kurul Kararı | Stopaj Beyanı | İştirak İst. Belgesi | YİAKV</t>
  </si>
  <si>
    <t>KATEGORİ 1 — ZORUNLU BELGELER</t>
  </si>
  <si>
    <t>No</t>
  </si>
  <si>
    <t>Temin Kaynağı</t>
  </si>
  <si>
    <t>B1</t>
  </si>
  <si>
    <t>★ 502/549/570 Hesap Dönem Başı-Sonu Bakiye ve Hareket Dökümü</t>
  </si>
  <si>
    <t>Enflasyon düzeltmesi fark hesaplarının tüm dönem hareketleri. Yılbaşı bakiyesi, dönem içi eklemeler, çekimler ve yıl sonu bakiyesi. Zorunlu.</t>
  </si>
  <si>
    <t>Muhasebe / Yevmiye Defteri</t>
  </si>
  <si>
    <t>Eksik ✗</t>
  </si>
  <si>
    <t>B2</t>
  </si>
  <si>
    <t>★ Dönem İçi Enflasyon Düzeltmesi Hesap Tablosu</t>
  </si>
  <si>
    <t>Cari dönem enflasyon düzeltmesi hesaplamalarını gösteren detaylı tablo. Parasal/parasal olmayan ayrımı, düzeltme katsayıları ve fark tutarları.</t>
  </si>
  <si>
    <t>Muhasebe / Bağımsız Denetçi</t>
  </si>
  <si>
    <t>B3</t>
  </si>
  <si>
    <t>★ Sermayeye Ekleme Kararı ve Belgesi (Varsa)</t>
  </si>
  <si>
    <t>Genel Kurul Kararı + TTK Md.462 prosedürü belgesi. Ticaret Sicili Gazetesi ilanı + Tescil belgesi. Bu olmadan sermayeye ekleme istisnası uygulanamaz. Zorunlu (ekleme varsa).</t>
  </si>
  <si>
    <t>Ticaret Sicili / Şirket Arşivi</t>
  </si>
  <si>
    <t>B4</t>
  </si>
  <si>
    <t>★ Nakit Dağıtım Genel Kurul Kararı ve Banka Dekontu</t>
  </si>
  <si>
    <t>Nakit dağıtım kararını gösteren genel kurul tutanağı. Her ortağa yapılan ödeme için banka dekontu. Dağıtım tutarı ve tarih açıkça belgelenmiş olmalı.</t>
  </si>
  <si>
    <t>Genel Kurul Tutanağı / Banka</t>
  </si>
  <si>
    <t>B5</t>
  </si>
  <si>
    <t>★ Muhtasar Beyanname — %10 GV Stopaj Beyanı (Gerçek Kişi Dağıtım)</t>
  </si>
  <si>
    <t>Gerçek kişi ortaklara dağıtımda %10 GV stopajının beyan edildiği muhtasar beyanname ve ödeme dekontu. GVK Md.94/6-b-i. Zorunlu.</t>
  </si>
  <si>
    <t>GİB e-Beyanname / Banka Dekontu</t>
  </si>
  <si>
    <t>B6</t>
  </si>
  <si>
    <t>İştirak Kazancı İstisnası Belgesi (Kurum Dağıtım — Varsa)</t>
  </si>
  <si>
    <t>Tam mükelllef kuruma yapılan dağıtım için: Dağıtım belgesi, kurumun tam mükelllef statüsünü gösteren belge ve YMM değerlendirme notu. Özelge varsa eklenmeli.</t>
  </si>
  <si>
    <t>YMM Değerlendirme Notu / GİB Özelge</t>
  </si>
  <si>
    <t>B7</t>
  </si>
  <si>
    <t>KV Beyannamesi İlgili Satır + Mutabakat Notu</t>
  </si>
  <si>
    <t>Beyanname 'İşletmeden Çekilen Enflasyon Düzeltmesi Farkları' satırı. VERİ GİRİŞİ D.4 ile mutabakat. YMM hesaplama notu.</t>
  </si>
  <si>
    <t>GİB e-Beyanname + YMM Notu</t>
  </si>
  <si>
    <t>B8</t>
  </si>
  <si>
    <t>YİAKV Değerlendirme Notu (Varsa)</t>
  </si>
  <si>
    <t>Matrah artırım kaleminin YİAKV matrahına etkisine ilişkin GİB Rehberi No:607 kapsamında YMM değerlendirme notu.</t>
  </si>
  <si>
    <t>YMM Değerlendirme Notu</t>
  </si>
  <si>
    <t xml:space="preserve">  VUK MÜK. MD.298/A KAPANIŞ: Enflasyon düzeltmesi farkları özsermayede birikir. Sermayeye ekleme → Nakit kâr dağıtımı sayılmaz (VUK Mük.298/A f.6) → Vergi yok. Nakit dağıtım → KV matrahına eklenir → Gerçek kişiye %10 stopaj zorunlu. İştirak istisnası (KVK Md.5/1-a) → Özelge veya YMM teyidi. YİAKV → GİB Reh. No:607. YMM: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</si>
</sst>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FFFFFF"/>
      <name val="Calibri"/>
    </font>
    <font>
      <b/>
      <sz val="8"/>
      <color rgb="FF7B5E00"/>
      <name val="Calibri"/>
    </font>
    <font>
      <b/>
      <sz val="8"/>
      <color rgb="FFB71C1C"/>
      <name val="Calibri"/>
    </font>
    <font>
      <sz val="9"/>
      <color rgb="FF1F3864"/>
      <name val="Calibri"/>
    </font>
    <font>
      <b/>
      <sz val="9"/>
      <color rgb="FF1F3864"/>
      <name val="Calibri"/>
    </font>
    <font>
      <i/>
      <sz val="8"/>
      <color rgb="FF888888"/>
      <name val="Calibri"/>
    </font>
    <font>
      <sz val="8"/>
      <color rgb="FF1F3864"/>
      <name val="Calibri"/>
    </font>
    <font>
      <b/>
      <sz val="10"/>
      <color rgb="FFFFFFFF"/>
      <name val="Calibri"/>
    </font>
    <font>
      <sz val="9"/>
      <color rgb="FF1B5E20"/>
      <name val="Calibri"/>
    </font>
    <font>
      <sz val="9"/>
      <color rgb="FFB71C1C"/>
      <name val="Calibri"/>
    </font>
    <font>
      <b/>
      <sz val="10"/>
      <color rgb="FF1F3864"/>
      <name val="Calibri"/>
    </font>
    <font>
      <sz val="9"/>
      <color rgb="FF0000FF"/>
      <name val="Calibri"/>
    </font>
    <font>
      <sz val="8"/>
      <color rgb="FF1B5E20"/>
      <name val="Calibri"/>
    </font>
    <font>
      <b/>
      <sz val="10"/>
      <color rgb="FF1B5E20"/>
      <name val="Calibri"/>
    </font>
    <font>
      <i/>
      <sz val="8"/>
      <color rgb="FF555555"/>
      <name val="Calibri"/>
    </font>
    <font>
      <sz val="8"/>
      <color rgb="FFB71C1C"/>
      <name val="Calibri"/>
    </font>
    <font>
      <i/>
      <sz val="8"/>
      <color rgb="FF1565C0"/>
      <name val="Calibri"/>
    </font>
    <font>
      <b/>
      <sz val="9"/>
      <color rgb="FF1B5E20"/>
      <name val="Calibri"/>
    </font>
    <font>
      <b/>
      <sz val="13"/>
      <color rgb="FF1B5E20"/>
      <name val="Calibri"/>
    </font>
    <font>
      <b/>
      <sz val="9"/>
      <color rgb="FFE65100"/>
      <name val="Calibri"/>
    </font>
    <font>
      <b/>
      <sz val="14"/>
      <color rgb="FF1B5E20"/>
      <name val="Calibri"/>
    </font>
    <font>
      <i/>
      <sz val="8"/>
      <color rgb="FF1B5E20"/>
      <name val="Calibri"/>
    </font>
    <font>
      <sz val="8"/>
      <color rgb="FF1565C0"/>
      <name val="Calibri"/>
    </font>
    <font>
      <b/>
      <sz val="12"/>
      <color rgb="FF1B5E20"/>
      <name val="Calibri"/>
    </font>
    <font>
      <b/>
      <sz val="10"/>
      <color rgb="FFE65100"/>
      <name val="Calibri"/>
    </font>
    <font>
      <b/>
      <sz val="10"/>
      <color rgb="FF7B5E00"/>
      <name val="Calibri"/>
    </font>
    <font>
      <b/>
      <sz val="11"/>
      <color rgb="FFE65100"/>
      <name val="Calibri"/>
    </font>
    <font>
      <sz val="8"/>
      <color rgb="FF4A148C"/>
      <name val="Calibri"/>
    </font>
    <font>
      <sz val="9"/>
      <color rgb="FF7B5E00"/>
      <name val="Calibri"/>
    </font>
    <font>
      <b/>
      <sz val="8"/>
      <color rgb="FFFFFFFF"/>
      <name val="Calibri"/>
    </font>
    <font>
      <b/>
      <sz val="9"/>
      <color rgb="FFB71C1C"/>
      <name val="Calibri"/>
    </font>
    <font>
      <sz val="8"/>
      <color rgb="FF333333"/>
      <name val="Calibri"/>
    </font>
    <font>
      <sz val="8"/>
      <color rgb="FF7B5E00"/>
      <name val="Calibri"/>
    </font>
    <font>
      <sz val="8"/>
      <color rgb="FF555555"/>
      <name val="Calibri"/>
    </font>
    <font>
      <b/>
      <sz val="9"/>
      <color rgb="FF0000FF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4A148C"/>
      </patternFill>
    </fill>
    <fill>
      <patternFill patternType="solid">
        <fgColor rgb="FF311B92"/>
      </patternFill>
    </fill>
    <fill>
      <patternFill patternType="solid">
        <fgColor rgb="FFFFF9C4"/>
      </patternFill>
    </fill>
    <fill>
      <patternFill patternType="solid">
        <fgColor rgb="FFFCE4D6"/>
      </patternFill>
    </fill>
    <fill>
      <patternFill patternType="solid">
        <fgColor rgb="FFD0D0D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3E5F5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C6EFC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263238"/>
      </patternFill>
    </fill>
    <fill>
      <patternFill patternType="solid">
        <fgColor rgb="FF1565C0"/>
      </patternFill>
    </fill>
    <fill>
      <patternFill patternType="solid">
        <fgColor rgb="FFB71C1C"/>
      </patternFill>
    </fill>
    <fill>
      <patternFill patternType="solid">
        <fgColor rgb="FF888888"/>
      </patternFill>
    </fill>
    <fill>
      <patternFill patternType="solid">
        <fgColor rgb="FFE65100"/>
      </patternFill>
    </fill>
    <fill>
      <patternFill patternType="solid">
        <fgColor rgb="FFE57373"/>
      </patternFill>
    </fill>
    <fill>
      <patternFill patternType="solid">
        <fgColor rgb="FFEBF5EB"/>
      </patternFill>
    </fill>
    <fill>
      <patternFill patternType="solid">
        <fgColor rgb="FFF9FFF9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/>
      <right style="thin">
        <color rgb="FF009900"/>
      </right>
      <top style="thin">
        <color rgb="FF009900"/>
      </top>
      <bottom style="thin">
        <color rgb="FF009900"/>
      </bottom>
      <diagonal/>
    </border>
    <border>
      <left/>
      <right style="thin">
        <color rgb="FFE65100"/>
      </right>
      <top style="thin">
        <color rgb="FFE65100"/>
      </top>
      <bottom style="thin">
        <color rgb="FFE651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6" borderId="4" xfId="0" applyFill="1" applyBorder="1"/>
    <xf numFmtId="0" fontId="6" fillId="9" borderId="4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left" vertical="center" wrapText="1"/>
    </xf>
    <xf numFmtId="3" fontId="5" fillId="8" borderId="4" xfId="0" applyNumberFormat="1" applyFont="1" applyFill="1" applyBorder="1" applyAlignment="1">
      <alignment horizontal="right" vertical="center" wrapText="1"/>
    </xf>
    <xf numFmtId="3" fontId="10" fillId="8" borderId="4" xfId="0" applyNumberFormat="1" applyFont="1" applyFill="1" applyBorder="1" applyAlignment="1">
      <alignment horizontal="right" vertical="center" wrapText="1"/>
    </xf>
    <xf numFmtId="3" fontId="11" fillId="8" borderId="4" xfId="0" applyNumberFormat="1" applyFont="1" applyFill="1" applyBorder="1" applyAlignment="1">
      <alignment horizontal="right" vertical="center" wrapText="1"/>
    </xf>
    <xf numFmtId="3" fontId="12" fillId="10" borderId="4" xfId="0" applyNumberFormat="1" applyFont="1" applyFill="1" applyBorder="1" applyAlignment="1">
      <alignment horizontal="right" vertical="center" wrapText="1"/>
    </xf>
    <xf numFmtId="0" fontId="13" fillId="8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3" fontId="12" fillId="11" borderId="4" xfId="0" applyNumberFormat="1" applyFont="1" applyFill="1" applyBorder="1" applyAlignment="1">
      <alignment horizontal="righ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6" fillId="12" borderId="4" xfId="0" applyFont="1" applyFill="1" applyBorder="1" applyAlignment="1">
      <alignment horizontal="left" vertical="center" wrapText="1"/>
    </xf>
    <xf numFmtId="3" fontId="12" fillId="12" borderId="4" xfId="0" applyNumberFormat="1" applyFont="1" applyFill="1" applyBorder="1" applyAlignment="1">
      <alignment horizontal="right" vertical="center" wrapText="1"/>
    </xf>
    <xf numFmtId="0" fontId="8" fillId="12" borderId="4" xfId="0" applyFont="1" applyFill="1" applyBorder="1" applyAlignment="1">
      <alignment horizontal="left" vertical="center" wrapText="1"/>
    </xf>
    <xf numFmtId="3" fontId="12" fillId="9" borderId="4" xfId="0" applyNumberFormat="1" applyFont="1" applyFill="1" applyBorder="1" applyAlignment="1">
      <alignment horizontal="right" vertical="center" wrapText="1"/>
    </xf>
    <xf numFmtId="3" fontId="1" fillId="2" borderId="7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6" fillId="10" borderId="4" xfId="0" applyNumberFormat="1" applyFont="1" applyFill="1" applyBorder="1" applyAlignment="1">
      <alignment horizontal="right" vertical="center"/>
    </xf>
    <xf numFmtId="0" fontId="14" fillId="10" borderId="4" xfId="0" applyFont="1" applyFill="1" applyBorder="1" applyAlignment="1">
      <alignment horizontal="center" vertical="center" wrapText="1"/>
    </xf>
    <xf numFmtId="3" fontId="5" fillId="10" borderId="4" xfId="0" applyNumberFormat="1" applyFont="1" applyFill="1" applyBorder="1" applyAlignment="1">
      <alignment horizontal="right" vertical="center" wrapText="1"/>
    </xf>
    <xf numFmtId="3" fontId="15" fillId="13" borderId="7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 wrapText="1"/>
    </xf>
    <xf numFmtId="3" fontId="6" fillId="14" borderId="4" xfId="0" applyNumberFormat="1" applyFont="1" applyFill="1" applyBorder="1" applyAlignment="1">
      <alignment horizontal="right" vertical="center"/>
    </xf>
    <xf numFmtId="0" fontId="17" fillId="14" borderId="4" xfId="0" applyFont="1" applyFill="1" applyBorder="1" applyAlignment="1">
      <alignment horizontal="center" vertical="center" wrapText="1"/>
    </xf>
    <xf numFmtId="3" fontId="5" fillId="14" borderId="4" xfId="0" applyNumberFormat="1" applyFont="1" applyFill="1" applyBorder="1" applyAlignment="1">
      <alignment horizontal="right" vertical="center" wrapText="1"/>
    </xf>
    <xf numFmtId="3" fontId="15" fillId="15" borderId="7" xfId="0" applyNumberFormat="1" applyFont="1" applyFill="1" applyBorder="1" applyAlignment="1">
      <alignment horizontal="right" vertical="center"/>
    </xf>
    <xf numFmtId="0" fontId="16" fillId="14" borderId="4" xfId="0" applyFont="1" applyFill="1" applyBorder="1" applyAlignment="1">
      <alignment horizontal="left" vertical="center" wrapText="1"/>
    </xf>
    <xf numFmtId="3" fontId="6" fillId="11" borderId="4" xfId="0" applyNumberFormat="1" applyFont="1" applyFill="1" applyBorder="1" applyAlignment="1">
      <alignment horizontal="right" vertical="center"/>
    </xf>
    <xf numFmtId="0" fontId="14" fillId="11" borderId="4" xfId="0" applyFont="1" applyFill="1" applyBorder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right" vertical="center" wrapText="1"/>
    </xf>
    <xf numFmtId="0" fontId="16" fillId="11" borderId="4" xfId="0" applyFont="1" applyFill="1" applyBorder="1" applyAlignment="1">
      <alignment horizontal="left" vertical="center" wrapText="1"/>
    </xf>
    <xf numFmtId="3" fontId="6" fillId="9" borderId="4" xfId="0" applyNumberFormat="1" applyFont="1" applyFill="1" applyBorder="1" applyAlignment="1">
      <alignment horizontal="right" vertical="center"/>
    </xf>
    <xf numFmtId="0" fontId="14" fillId="9" borderId="4" xfId="0" applyFont="1" applyFill="1" applyBorder="1" applyAlignment="1">
      <alignment horizontal="center" vertical="center" wrapText="1"/>
    </xf>
    <xf numFmtId="3" fontId="5" fillId="9" borderId="4" xfId="0" applyNumberFormat="1" applyFont="1" applyFill="1" applyBorder="1" applyAlignment="1">
      <alignment horizontal="right" vertical="center" wrapText="1"/>
    </xf>
    <xf numFmtId="0" fontId="16" fillId="9" borderId="4" xfId="0" applyFont="1" applyFill="1" applyBorder="1" applyAlignment="1">
      <alignment horizontal="left" vertical="center" wrapText="1"/>
    </xf>
    <xf numFmtId="3" fontId="12" fillId="7" borderId="4" xfId="0" applyNumberFormat="1" applyFont="1" applyFill="1" applyBorder="1" applyAlignment="1">
      <alignment horizontal="right" vertical="center"/>
    </xf>
    <xf numFmtId="0" fontId="5" fillId="7" borderId="4" xfId="0" applyFont="1" applyFill="1" applyBorder="1" applyAlignment="1">
      <alignment horizontal="left" vertical="center" wrapText="1"/>
    </xf>
    <xf numFmtId="3" fontId="12" fillId="9" borderId="4" xfId="0" applyNumberFormat="1" applyFont="1" applyFill="1" applyBorder="1" applyAlignment="1">
      <alignment horizontal="right" vertical="center"/>
    </xf>
    <xf numFmtId="0" fontId="5" fillId="9" borderId="4" xfId="0" applyFont="1" applyFill="1" applyBorder="1" applyAlignment="1">
      <alignment horizontal="left" vertical="center" wrapText="1"/>
    </xf>
    <xf numFmtId="3" fontId="20" fillId="13" borderId="7" xfId="0" applyNumberFormat="1" applyFont="1" applyFill="1" applyBorder="1" applyAlignment="1">
      <alignment horizontal="right" vertical="center"/>
    </xf>
    <xf numFmtId="0" fontId="5" fillId="13" borderId="4" xfId="0" applyFont="1" applyFill="1" applyBorder="1" applyAlignment="1">
      <alignment horizontal="left" vertical="center" wrapText="1"/>
    </xf>
    <xf numFmtId="0" fontId="21" fillId="14" borderId="8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left" vertical="center" wrapText="1"/>
    </xf>
    <xf numFmtId="3" fontId="22" fillId="13" borderId="7" xfId="0" applyNumberFormat="1" applyFont="1" applyFill="1" applyBorder="1" applyAlignment="1">
      <alignment horizontal="righ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13" borderId="4" xfId="0" applyFont="1" applyFill="1" applyBorder="1" applyAlignment="1">
      <alignment horizontal="center" vertical="center" wrapText="1"/>
    </xf>
    <xf numFmtId="0" fontId="24" fillId="14" borderId="4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0" fillId="9" borderId="4" xfId="0" applyFill="1" applyBorder="1"/>
    <xf numFmtId="0" fontId="2" fillId="19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0" fillId="7" borderId="4" xfId="0" applyFill="1" applyBorder="1"/>
    <xf numFmtId="0" fontId="2" fillId="20" borderId="4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left" vertical="top" wrapText="1"/>
    </xf>
    <xf numFmtId="0" fontId="33" fillId="9" borderId="4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top" wrapText="1"/>
    </xf>
    <xf numFmtId="0" fontId="2" fillId="22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top" wrapText="1"/>
    </xf>
    <xf numFmtId="0" fontId="2" fillId="21" borderId="4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left" vertical="center" wrapText="1"/>
    </xf>
    <xf numFmtId="0" fontId="0" fillId="13" borderId="4" xfId="0" applyFill="1" applyBorder="1"/>
    <xf numFmtId="0" fontId="6" fillId="13" borderId="4" xfId="0" applyFont="1" applyFill="1" applyBorder="1" applyAlignment="1">
      <alignment horizontal="center" vertical="center" wrapText="1"/>
    </xf>
    <xf numFmtId="0" fontId="32" fillId="13" borderId="4" xfId="0" applyFont="1" applyFill="1" applyBorder="1" applyAlignment="1">
      <alignment horizontal="left" vertical="top" wrapText="1"/>
    </xf>
    <xf numFmtId="0" fontId="33" fillId="23" borderId="4" xfId="0" applyFont="1" applyFill="1" applyBorder="1" applyAlignment="1">
      <alignment horizontal="left" vertical="top" wrapText="1"/>
    </xf>
    <xf numFmtId="0" fontId="35" fillId="13" borderId="4" xfId="0" applyFont="1" applyFill="1" applyBorder="1" applyAlignment="1">
      <alignment horizontal="center" vertical="center" wrapText="1"/>
    </xf>
    <xf numFmtId="0" fontId="36" fillId="8" borderId="4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left" vertical="top" wrapText="1"/>
    </xf>
    <xf numFmtId="0" fontId="33" fillId="24" borderId="4" xfId="0" applyFont="1" applyFill="1" applyBorder="1" applyAlignment="1">
      <alignment horizontal="left" vertical="top" wrapText="1"/>
    </xf>
    <xf numFmtId="0" fontId="35" fillId="7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center" vertical="center"/>
    </xf>
    <xf numFmtId="0" fontId="0" fillId="0" borderId="6" xfId="0" applyBorder="1"/>
    <xf numFmtId="0" fontId="7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8" borderId="4" xfId="0" applyFill="1" applyBorder="1"/>
    <xf numFmtId="0" fontId="0" fillId="0" borderId="5" xfId="0" applyBorder="1"/>
    <xf numFmtId="0" fontId="6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18" fillId="13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18" fillId="14" borderId="4" xfId="0" applyFont="1" applyFill="1" applyBorder="1" applyAlignment="1">
      <alignment horizontal="left" vertical="center" wrapText="1"/>
    </xf>
    <xf numFmtId="0" fontId="18" fillId="7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1" fillId="14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/>
    </xf>
    <xf numFmtId="0" fontId="7" fillId="14" borderId="4" xfId="0" applyFont="1" applyFill="1" applyBorder="1" applyAlignment="1">
      <alignment horizontal="left" vertical="center" wrapText="1"/>
    </xf>
    <xf numFmtId="0" fontId="23" fillId="13" borderId="4" xfId="0" applyFont="1" applyFill="1" applyBorder="1" applyAlignment="1">
      <alignment horizontal="left" vertical="center" wrapText="1"/>
    </xf>
    <xf numFmtId="0" fontId="19" fillId="13" borderId="4" xfId="0" applyFont="1" applyFill="1" applyBorder="1" applyAlignment="1">
      <alignment horizontal="left" vertical="center" wrapText="1"/>
    </xf>
    <xf numFmtId="3" fontId="28" fillId="14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6" fillId="14" borderId="4" xfId="0" applyFont="1" applyFill="1" applyBorder="1" applyAlignment="1">
      <alignment horizontal="left" vertical="center" wrapText="1"/>
    </xf>
    <xf numFmtId="3" fontId="12" fillId="9" borderId="4" xfId="0" applyNumberFormat="1" applyFont="1" applyFill="1" applyBorder="1" applyAlignment="1">
      <alignment horizontal="right" vertical="center"/>
    </xf>
    <xf numFmtId="0" fontId="16" fillId="9" borderId="4" xfId="0" applyFont="1" applyFill="1" applyBorder="1" applyAlignment="1">
      <alignment horizontal="left" vertical="center" wrapText="1"/>
    </xf>
    <xf numFmtId="0" fontId="27" fillId="4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/>
    </xf>
    <xf numFmtId="0" fontId="16" fillId="7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/>
    </xf>
    <xf numFmtId="3" fontId="6" fillId="7" borderId="4" xfId="0" applyNumberFormat="1" applyFont="1" applyFill="1" applyBorder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49" fontId="26" fillId="14" borderId="4" xfId="0" applyNumberFormat="1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 wrapText="1"/>
    </xf>
    <xf numFmtId="3" fontId="6" fillId="9" borderId="4" xfId="0" applyNumberFormat="1" applyFont="1" applyFill="1" applyBorder="1" applyAlignment="1">
      <alignment horizontal="right" vertical="center"/>
    </xf>
    <xf numFmtId="3" fontId="25" fillId="13" borderId="7" xfId="0" applyNumberFormat="1" applyFont="1" applyFill="1" applyBorder="1" applyAlignment="1">
      <alignment horizontal="right" vertical="center"/>
    </xf>
    <xf numFmtId="0" fontId="0" fillId="0" borderId="9" xfId="0" applyBorder="1"/>
    <xf numFmtId="0" fontId="16" fillId="13" borderId="4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/>
    </xf>
    <xf numFmtId="0" fontId="21" fillId="14" borderId="4" xfId="0" applyFont="1" applyFill="1" applyBorder="1" applyAlignment="1">
      <alignment horizontal="left" vertical="center"/>
    </xf>
    <xf numFmtId="0" fontId="19" fillId="13" borderId="4" xfId="0" applyFont="1" applyFill="1" applyBorder="1" applyAlignment="1">
      <alignment horizontal="left" vertical="center"/>
    </xf>
    <xf numFmtId="0" fontId="30" fillId="4" borderId="4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34" fillId="4" borderId="4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Calibr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7AA450-C283-4525-B464-1CA6A435166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bbb117-7756-4bdc-be85-4c1c2055c1d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sqref="A1:H1"/>
    </sheetView>
  </sheetViews>
  <sheetFormatPr defaultRowHeight="14.4" x14ac:dyDescent="0.55000000000000004"/>
  <cols>
    <col min="1" max="1" width="3" customWidth="1"/>
    <col min="2" max="2" width="28" customWidth="1"/>
    <col min="3" max="4" width="16" customWidth="1"/>
    <col min="5" max="5" width="14" customWidth="1"/>
    <col min="6" max="7" width="12" customWidth="1"/>
    <col min="8" max="8" width="22.20703125" customWidth="1"/>
  </cols>
  <sheetData>
    <row r="1" spans="1:8" ht="44.05" customHeight="1" x14ac:dyDescent="0.55000000000000004">
      <c r="A1" s="88" t="s">
        <v>0</v>
      </c>
      <c r="B1" s="89"/>
      <c r="C1" s="89"/>
      <c r="D1" s="89"/>
      <c r="E1" s="89"/>
      <c r="F1" s="89"/>
      <c r="G1" s="89"/>
      <c r="H1" s="90"/>
    </row>
    <row r="2" spans="1:8" ht="22" customHeight="1" x14ac:dyDescent="0.55000000000000004">
      <c r="A2" s="105" t="s">
        <v>1</v>
      </c>
      <c r="B2" s="89"/>
      <c r="C2" s="89"/>
      <c r="D2" s="89"/>
      <c r="E2" s="89"/>
      <c r="F2" s="89"/>
      <c r="G2" s="89"/>
      <c r="H2" s="90"/>
    </row>
    <row r="3" spans="1:8" ht="62.05" customHeight="1" x14ac:dyDescent="0.55000000000000004">
      <c r="A3" s="102" t="s">
        <v>2</v>
      </c>
      <c r="B3" s="92"/>
      <c r="C3" s="92"/>
      <c r="D3" s="92"/>
      <c r="E3" s="92"/>
      <c r="F3" s="92"/>
      <c r="G3" s="92"/>
      <c r="H3" s="86"/>
    </row>
    <row r="4" spans="1:8" ht="30" customHeight="1" x14ac:dyDescent="0.55000000000000004">
      <c r="A4" s="97" t="s">
        <v>3</v>
      </c>
      <c r="B4" s="92"/>
      <c r="C4" s="92"/>
      <c r="D4" s="92"/>
      <c r="E4" s="92"/>
      <c r="F4" s="92"/>
      <c r="G4" s="92"/>
      <c r="H4" s="86"/>
    </row>
    <row r="5" spans="1:8" ht="4" customHeight="1" x14ac:dyDescent="0.55000000000000004">
      <c r="A5" s="1"/>
      <c r="B5" s="1"/>
      <c r="C5" s="1"/>
      <c r="D5" s="1"/>
      <c r="E5" s="1"/>
      <c r="F5" s="1"/>
      <c r="G5" s="1"/>
      <c r="H5" s="1"/>
    </row>
    <row r="6" spans="1:8" ht="22" customHeight="1" x14ac:dyDescent="0.55000000000000004">
      <c r="A6" s="88" t="s">
        <v>4</v>
      </c>
      <c r="B6" s="89"/>
      <c r="C6" s="89"/>
      <c r="D6" s="89"/>
      <c r="E6" s="89"/>
      <c r="F6" s="89"/>
      <c r="G6" s="89"/>
      <c r="H6" s="90"/>
    </row>
    <row r="7" spans="1:8" ht="22" customHeight="1" x14ac:dyDescent="0.55000000000000004">
      <c r="A7" s="93" t="s">
        <v>5</v>
      </c>
      <c r="B7" s="86"/>
      <c r="C7" s="91"/>
      <c r="D7" s="92"/>
      <c r="E7" s="92"/>
      <c r="F7" s="86"/>
      <c r="G7" s="94" t="s">
        <v>6</v>
      </c>
      <c r="H7" s="86"/>
    </row>
    <row r="8" spans="1:8" ht="22" customHeight="1" x14ac:dyDescent="0.55000000000000004">
      <c r="A8" s="101" t="s">
        <v>7</v>
      </c>
      <c r="B8" s="86"/>
      <c r="C8" s="91"/>
      <c r="D8" s="92"/>
      <c r="E8" s="92"/>
      <c r="F8" s="86"/>
      <c r="G8" s="87" t="s">
        <v>8</v>
      </c>
      <c r="H8" s="86"/>
    </row>
    <row r="9" spans="1:8" ht="22" customHeight="1" x14ac:dyDescent="0.55000000000000004">
      <c r="A9" s="93" t="s">
        <v>9</v>
      </c>
      <c r="B9" s="86"/>
      <c r="C9" s="91"/>
      <c r="D9" s="92"/>
      <c r="E9" s="92"/>
      <c r="F9" s="86"/>
      <c r="G9" s="94" t="s">
        <v>10</v>
      </c>
      <c r="H9" s="86"/>
    </row>
    <row r="10" spans="1:8" ht="22" customHeight="1" x14ac:dyDescent="0.55000000000000004">
      <c r="A10" s="101" t="s">
        <v>11</v>
      </c>
      <c r="B10" s="86"/>
      <c r="C10" s="91"/>
      <c r="D10" s="92"/>
      <c r="E10" s="92"/>
      <c r="F10" s="86"/>
      <c r="G10" s="87" t="s">
        <v>12</v>
      </c>
      <c r="H10" s="86"/>
    </row>
    <row r="11" spans="1:8" ht="22" customHeight="1" x14ac:dyDescent="0.55000000000000004">
      <c r="A11" s="93" t="s">
        <v>13</v>
      </c>
      <c r="B11" s="86"/>
      <c r="C11" s="91"/>
      <c r="D11" s="92"/>
      <c r="E11" s="92"/>
      <c r="F11" s="86"/>
      <c r="G11" s="94" t="s">
        <v>14</v>
      </c>
      <c r="H11" s="86"/>
    </row>
    <row r="12" spans="1:8" ht="22" customHeight="1" x14ac:dyDescent="0.55000000000000004">
      <c r="A12" s="101" t="s">
        <v>15</v>
      </c>
      <c r="B12" s="86"/>
      <c r="C12" s="91"/>
      <c r="D12" s="92"/>
      <c r="E12" s="92"/>
      <c r="F12" s="86"/>
      <c r="G12" s="87" t="s">
        <v>16</v>
      </c>
      <c r="H12" s="86"/>
    </row>
    <row r="14" spans="1:8" ht="4" customHeight="1" x14ac:dyDescent="0.55000000000000004">
      <c r="A14" s="1"/>
      <c r="B14" s="1"/>
      <c r="C14" s="1"/>
      <c r="D14" s="1"/>
      <c r="E14" s="1"/>
      <c r="F14" s="1"/>
      <c r="G14" s="1"/>
      <c r="H14" s="1"/>
    </row>
    <row r="15" spans="1:8" ht="24" customHeight="1" x14ac:dyDescent="0.55000000000000004">
      <c r="A15" s="88" t="s">
        <v>17</v>
      </c>
      <c r="B15" s="89"/>
      <c r="C15" s="89"/>
      <c r="D15" s="89"/>
      <c r="E15" s="89"/>
      <c r="F15" s="89"/>
      <c r="G15" s="89"/>
      <c r="H15" s="90"/>
    </row>
    <row r="16" spans="1:8" ht="26.05" customHeight="1" x14ac:dyDescent="0.55000000000000004">
      <c r="A16" s="98" t="s">
        <v>18</v>
      </c>
      <c r="B16" s="92"/>
      <c r="C16" s="92"/>
      <c r="D16" s="92"/>
      <c r="E16" s="92"/>
      <c r="F16" s="92"/>
      <c r="G16" s="92"/>
      <c r="H16" s="86"/>
    </row>
    <row r="17" spans="1:8" ht="30" customHeight="1" x14ac:dyDescent="0.55000000000000004">
      <c r="A17" s="4" t="s">
        <v>19</v>
      </c>
      <c r="B17" s="4" t="s">
        <v>20</v>
      </c>
      <c r="C17" s="4" t="s">
        <v>21</v>
      </c>
      <c r="D17" s="4" t="s">
        <v>22</v>
      </c>
      <c r="E17" s="4" t="s">
        <v>23</v>
      </c>
      <c r="F17" s="4" t="s">
        <v>24</v>
      </c>
      <c r="G17" s="4" t="s">
        <v>25</v>
      </c>
      <c r="H17" s="4" t="s">
        <v>26</v>
      </c>
    </row>
    <row r="18" spans="1:8" ht="28" customHeight="1" x14ac:dyDescent="0.55000000000000004">
      <c r="A18" s="5" t="s">
        <v>27</v>
      </c>
      <c r="B18" s="6" t="s">
        <v>28</v>
      </c>
      <c r="C18" s="7"/>
      <c r="D18" s="8"/>
      <c r="E18" s="9"/>
      <c r="F18" s="10">
        <f t="shared" ref="F18:F23" si="0">C18+D18-E18</f>
        <v>0</v>
      </c>
      <c r="G18" s="11" t="s">
        <v>29</v>
      </c>
      <c r="H18" s="12"/>
    </row>
    <row r="19" spans="1:8" ht="28" customHeight="1" x14ac:dyDescent="0.55000000000000004">
      <c r="A19" s="5" t="s">
        <v>30</v>
      </c>
      <c r="B19" s="13" t="s">
        <v>31</v>
      </c>
      <c r="C19" s="7"/>
      <c r="D19" s="8"/>
      <c r="E19" s="9"/>
      <c r="F19" s="14">
        <f t="shared" si="0"/>
        <v>0</v>
      </c>
      <c r="G19" s="11" t="s">
        <v>29</v>
      </c>
      <c r="H19" s="15"/>
    </row>
    <row r="20" spans="1:8" ht="28" customHeight="1" x14ac:dyDescent="0.55000000000000004">
      <c r="A20" s="5" t="s">
        <v>32</v>
      </c>
      <c r="B20" s="13" t="s">
        <v>33</v>
      </c>
      <c r="C20" s="7"/>
      <c r="D20" s="8"/>
      <c r="E20" s="9"/>
      <c r="F20" s="14">
        <f t="shared" si="0"/>
        <v>0</v>
      </c>
      <c r="G20" s="11" t="s">
        <v>29</v>
      </c>
      <c r="H20" s="15"/>
    </row>
    <row r="21" spans="1:8" ht="28" customHeight="1" x14ac:dyDescent="0.55000000000000004">
      <c r="A21" s="5" t="s">
        <v>34</v>
      </c>
      <c r="B21" s="16" t="s">
        <v>35</v>
      </c>
      <c r="C21" s="7"/>
      <c r="D21" s="8"/>
      <c r="E21" s="9"/>
      <c r="F21" s="17">
        <f t="shared" si="0"/>
        <v>0</v>
      </c>
      <c r="G21" s="11" t="s">
        <v>29</v>
      </c>
      <c r="H21" s="18"/>
    </row>
    <row r="22" spans="1:8" ht="28" customHeight="1" x14ac:dyDescent="0.55000000000000004">
      <c r="A22" s="5" t="s">
        <v>36</v>
      </c>
      <c r="B22" s="16" t="s">
        <v>37</v>
      </c>
      <c r="C22" s="7"/>
      <c r="D22" s="8"/>
      <c r="E22" s="9"/>
      <c r="F22" s="17">
        <f t="shared" si="0"/>
        <v>0</v>
      </c>
      <c r="G22" s="11" t="s">
        <v>29</v>
      </c>
      <c r="H22" s="18"/>
    </row>
    <row r="23" spans="1:8" ht="28" customHeight="1" x14ac:dyDescent="0.55000000000000004">
      <c r="A23" s="5" t="s">
        <v>38</v>
      </c>
      <c r="B23" s="2" t="s">
        <v>39</v>
      </c>
      <c r="C23" s="7"/>
      <c r="D23" s="8"/>
      <c r="E23" s="9"/>
      <c r="F23" s="19">
        <f t="shared" si="0"/>
        <v>0</v>
      </c>
      <c r="G23" s="11" t="s">
        <v>29</v>
      </c>
      <c r="H23" s="3"/>
    </row>
    <row r="24" spans="1:8" ht="30" customHeight="1" x14ac:dyDescent="0.55000000000000004">
      <c r="A24" s="85" t="s">
        <v>40</v>
      </c>
      <c r="B24" s="86"/>
      <c r="C24" s="20">
        <f>SUM(C18:C23)</f>
        <v>0</v>
      </c>
      <c r="D24" s="20">
        <f>SUM(D18:D23)</f>
        <v>0</v>
      </c>
      <c r="E24" s="20">
        <f>SUM(E18:E23)</f>
        <v>0</v>
      </c>
      <c r="F24" s="20">
        <f>SUM(F18:F23)</f>
        <v>0</v>
      </c>
      <c r="G24" s="103" t="s">
        <v>41</v>
      </c>
      <c r="H24" s="86"/>
    </row>
    <row r="25" spans="1:8" ht="4" customHeight="1" x14ac:dyDescent="0.55000000000000004">
      <c r="A25" s="1"/>
      <c r="B25" s="1"/>
      <c r="C25" s="1"/>
      <c r="D25" s="1"/>
      <c r="E25" s="1"/>
      <c r="F25" s="1"/>
      <c r="G25" s="1"/>
      <c r="H25" s="1"/>
    </row>
    <row r="26" spans="1:8" ht="24" customHeight="1" x14ac:dyDescent="0.55000000000000004">
      <c r="A26" s="88" t="s">
        <v>42</v>
      </c>
      <c r="B26" s="89"/>
      <c r="C26" s="89"/>
      <c r="D26" s="89"/>
      <c r="E26" s="89"/>
      <c r="F26" s="89"/>
      <c r="G26" s="89"/>
      <c r="H26" s="90"/>
    </row>
    <row r="27" spans="1:8" ht="22" customHeight="1" x14ac:dyDescent="0.55000000000000004">
      <c r="A27" s="98" t="s">
        <v>43</v>
      </c>
      <c r="B27" s="92"/>
      <c r="C27" s="92"/>
      <c r="D27" s="92"/>
      <c r="E27" s="92"/>
      <c r="F27" s="92"/>
      <c r="G27" s="92"/>
      <c r="H27" s="86"/>
    </row>
    <row r="28" spans="1:8" ht="26.05" customHeight="1" x14ac:dyDescent="0.55000000000000004">
      <c r="A28" s="4"/>
      <c r="B28" s="4" t="s">
        <v>44</v>
      </c>
      <c r="C28" s="4" t="s">
        <v>45</v>
      </c>
      <c r="D28" s="4" t="s">
        <v>46</v>
      </c>
      <c r="E28" s="4" t="s">
        <v>47</v>
      </c>
      <c r="F28" s="4" t="s">
        <v>48</v>
      </c>
      <c r="G28" s="4" t="s">
        <v>49</v>
      </c>
      <c r="H28" s="4" t="s">
        <v>50</v>
      </c>
    </row>
    <row r="29" spans="1:8" ht="28" customHeight="1" x14ac:dyDescent="0.55000000000000004">
      <c r="A29" s="21" t="s">
        <v>51</v>
      </c>
      <c r="B29" s="6" t="s">
        <v>52</v>
      </c>
      <c r="C29" s="22">
        <f>SUMIF(G18:G23,"Sermayeye Ekleme (Vergi Yok)",E18:E23)</f>
        <v>0</v>
      </c>
      <c r="D29" s="23" t="s">
        <v>53</v>
      </c>
      <c r="E29" s="24"/>
      <c r="F29" s="24"/>
      <c r="G29" s="25">
        <v>0</v>
      </c>
      <c r="H29" s="26" t="s">
        <v>54</v>
      </c>
    </row>
    <row r="30" spans="1:8" ht="28" customHeight="1" x14ac:dyDescent="0.55000000000000004">
      <c r="A30" s="21" t="s">
        <v>51</v>
      </c>
      <c r="B30" s="27" t="s">
        <v>55</v>
      </c>
      <c r="C30" s="28">
        <f>SUMIF(G18:G23,"Nakit Dağıtım — Gerçek Kişi (%10 Stopaj)",E18:E23)</f>
        <v>0</v>
      </c>
      <c r="D30" s="29" t="s">
        <v>56</v>
      </c>
      <c r="E30" s="7"/>
      <c r="F30" s="30"/>
      <c r="G30" s="31">
        <f>C30</f>
        <v>0</v>
      </c>
      <c r="H30" s="32" t="s">
        <v>57</v>
      </c>
    </row>
    <row r="31" spans="1:8" ht="28" customHeight="1" x14ac:dyDescent="0.55000000000000004">
      <c r="A31" s="21" t="s">
        <v>51</v>
      </c>
      <c r="B31" s="13" t="s">
        <v>58</v>
      </c>
      <c r="C31" s="33">
        <f>SUMIF(G18:G23,"Nakit Dağıtım — Tam Mükelllef Kurum (İştirak İst.)",E18:E23)</f>
        <v>0</v>
      </c>
      <c r="D31" s="34" t="s">
        <v>59</v>
      </c>
      <c r="E31" s="35"/>
      <c r="F31" s="7"/>
      <c r="G31" s="31">
        <f>MAX(0,C31-F31)</f>
        <v>0</v>
      </c>
      <c r="H31" s="36" t="s">
        <v>60</v>
      </c>
    </row>
    <row r="32" spans="1:8" ht="28" customHeight="1" x14ac:dyDescent="0.55000000000000004">
      <c r="A32" s="21" t="s">
        <v>51</v>
      </c>
      <c r="B32" s="27" t="s">
        <v>61</v>
      </c>
      <c r="C32" s="28">
        <f>SUMIF(G18:G23,"Nakit Dağıtım — Dar Mükellef Kurum",E18:E23)</f>
        <v>0</v>
      </c>
      <c r="D32" s="29" t="s">
        <v>62</v>
      </c>
      <c r="E32" s="30"/>
      <c r="F32" s="30"/>
      <c r="G32" s="7"/>
      <c r="H32" s="32" t="s">
        <v>63</v>
      </c>
    </row>
    <row r="33" spans="1:8" ht="28" customHeight="1" x14ac:dyDescent="0.55000000000000004">
      <c r="A33" s="21" t="s">
        <v>51</v>
      </c>
      <c r="B33" s="2" t="s">
        <v>64</v>
      </c>
      <c r="C33" s="37">
        <f>SUMIF(G18:G23,"Diğer Çekim (YMM Değerlendirmesi Gerekli)",E18:E23)</f>
        <v>0</v>
      </c>
      <c r="D33" s="38" t="s">
        <v>65</v>
      </c>
      <c r="E33" s="39"/>
      <c r="F33" s="39"/>
      <c r="G33" s="7"/>
      <c r="H33" s="40" t="s">
        <v>66</v>
      </c>
    </row>
    <row r="34" spans="1:8" ht="4" customHeight="1" x14ac:dyDescent="0.55000000000000004">
      <c r="A34" s="1"/>
      <c r="B34" s="1"/>
      <c r="C34" s="1"/>
      <c r="D34" s="1"/>
      <c r="E34" s="1"/>
      <c r="F34" s="1"/>
      <c r="G34" s="1"/>
      <c r="H34" s="1"/>
    </row>
    <row r="35" spans="1:8" ht="24" customHeight="1" x14ac:dyDescent="0.55000000000000004">
      <c r="A35" s="88" t="s">
        <v>67</v>
      </c>
      <c r="B35" s="89"/>
      <c r="C35" s="89"/>
      <c r="D35" s="89"/>
      <c r="E35" s="89"/>
      <c r="F35" s="89"/>
      <c r="G35" s="89"/>
      <c r="H35" s="90"/>
    </row>
    <row r="36" spans="1:8" ht="22" customHeight="1" x14ac:dyDescent="0.55000000000000004">
      <c r="A36" s="4"/>
      <c r="B36" s="4" t="s">
        <v>68</v>
      </c>
      <c r="C36" s="4"/>
      <c r="D36" s="4" t="s">
        <v>69</v>
      </c>
      <c r="E36" s="4"/>
      <c r="F36" s="4" t="s">
        <v>26</v>
      </c>
      <c r="G36" s="4"/>
      <c r="H36" s="4" t="s">
        <v>50</v>
      </c>
    </row>
    <row r="37" spans="1:8" ht="28" customHeight="1" x14ac:dyDescent="0.55000000000000004">
      <c r="A37" s="93" t="s">
        <v>70</v>
      </c>
      <c r="B37" s="86"/>
      <c r="C37" s="41">
        <f>E24</f>
        <v>0</v>
      </c>
      <c r="D37" s="94" t="s">
        <v>71</v>
      </c>
      <c r="E37" s="86"/>
      <c r="F37" s="100" t="s">
        <v>72</v>
      </c>
      <c r="G37" s="86"/>
      <c r="H37" s="42"/>
    </row>
    <row r="38" spans="1:8" ht="28" customHeight="1" x14ac:dyDescent="0.55000000000000004">
      <c r="A38" s="101" t="s">
        <v>73</v>
      </c>
      <c r="B38" s="86"/>
      <c r="C38" s="43">
        <f>C29</f>
        <v>0</v>
      </c>
      <c r="D38" s="87" t="s">
        <v>74</v>
      </c>
      <c r="E38" s="86"/>
      <c r="F38" s="104" t="s">
        <v>75</v>
      </c>
      <c r="G38" s="86"/>
      <c r="H38" s="44"/>
    </row>
    <row r="39" spans="1:8" ht="28" customHeight="1" x14ac:dyDescent="0.55000000000000004">
      <c r="A39" s="93" t="s">
        <v>76</v>
      </c>
      <c r="B39" s="86"/>
      <c r="C39" s="41">
        <f>F31</f>
        <v>0</v>
      </c>
      <c r="D39" s="94" t="s">
        <v>77</v>
      </c>
      <c r="E39" s="86"/>
      <c r="F39" s="100" t="s">
        <v>78</v>
      </c>
      <c r="G39" s="86"/>
      <c r="H39" s="42"/>
    </row>
    <row r="40" spans="1:8" ht="28" customHeight="1" x14ac:dyDescent="0.55000000000000004">
      <c r="A40" s="110" t="s">
        <v>79</v>
      </c>
      <c r="B40" s="86"/>
      <c r="C40" s="45">
        <f>MAX(0,E24-C29-F31)</f>
        <v>0</v>
      </c>
      <c r="D40" s="95" t="s">
        <v>80</v>
      </c>
      <c r="E40" s="86"/>
      <c r="F40" s="96" t="s">
        <v>81</v>
      </c>
      <c r="G40" s="86"/>
      <c r="H40" s="46"/>
    </row>
    <row r="41" spans="1:8" ht="28" customHeight="1" x14ac:dyDescent="0.55000000000000004">
      <c r="A41" s="93" t="s">
        <v>82</v>
      </c>
      <c r="B41" s="86"/>
      <c r="C41" s="41">
        <f>HESAPLAMALAR!D20</f>
        <v>0</v>
      </c>
      <c r="D41" s="94" t="s">
        <v>83</v>
      </c>
      <c r="E41" s="86"/>
      <c r="F41" s="100" t="s">
        <v>84</v>
      </c>
      <c r="G41" s="86"/>
      <c r="H41" s="42"/>
    </row>
    <row r="42" spans="1:8" ht="28" customHeight="1" x14ac:dyDescent="0.55000000000000004">
      <c r="A42" s="106" t="s">
        <v>85</v>
      </c>
      <c r="B42" s="86"/>
      <c r="C42" s="47" t="s">
        <v>86</v>
      </c>
      <c r="D42" s="108" t="s">
        <v>87</v>
      </c>
      <c r="E42" s="86"/>
      <c r="F42" s="99" t="s">
        <v>88</v>
      </c>
      <c r="G42" s="86"/>
      <c r="H42" s="48"/>
    </row>
    <row r="43" spans="1:8" ht="4" customHeight="1" x14ac:dyDescent="0.55000000000000004">
      <c r="A43" s="1"/>
      <c r="B43" s="1"/>
      <c r="C43" s="1"/>
      <c r="D43" s="1"/>
      <c r="E43" s="1"/>
      <c r="F43" s="1"/>
      <c r="G43" s="1"/>
      <c r="H43" s="1"/>
    </row>
    <row r="44" spans="1:8" ht="32.049999999999997" customHeight="1" x14ac:dyDescent="0.55000000000000004">
      <c r="A44" s="107" t="s">
        <v>89</v>
      </c>
      <c r="B44" s="92"/>
      <c r="C44" s="92"/>
      <c r="D44" s="92"/>
      <c r="E44" s="86"/>
      <c r="F44" s="49">
        <f>C40</f>
        <v>0</v>
      </c>
      <c r="G44" s="109" t="s">
        <v>90</v>
      </c>
      <c r="H44" s="86"/>
    </row>
    <row r="45" spans="1:8" ht="26.05" customHeight="1" x14ac:dyDescent="0.55000000000000004">
      <c r="A45" s="97" t="s">
        <v>91</v>
      </c>
      <c r="B45" s="92"/>
      <c r="C45" s="92"/>
      <c r="D45" s="92"/>
      <c r="E45" s="92"/>
      <c r="F45" s="92"/>
      <c r="G45" s="92"/>
      <c r="H45" s="86"/>
    </row>
  </sheetData>
  <mergeCells count="51">
    <mergeCell ref="A42:B42"/>
    <mergeCell ref="A44:E44"/>
    <mergeCell ref="C10:F10"/>
    <mergeCell ref="A8:B8"/>
    <mergeCell ref="D39:E39"/>
    <mergeCell ref="C9:F9"/>
    <mergeCell ref="F37:G37"/>
    <mergeCell ref="A38:B38"/>
    <mergeCell ref="F39:G39"/>
    <mergeCell ref="A35:H35"/>
    <mergeCell ref="D42:E42"/>
    <mergeCell ref="C12:F12"/>
    <mergeCell ref="A10:B10"/>
    <mergeCell ref="D38:E38"/>
    <mergeCell ref="G44:H44"/>
    <mergeCell ref="C11:F11"/>
    <mergeCell ref="A45:H45"/>
    <mergeCell ref="A6:H6"/>
    <mergeCell ref="A7:B7"/>
    <mergeCell ref="G7:H7"/>
    <mergeCell ref="A41:B41"/>
    <mergeCell ref="G10:H10"/>
    <mergeCell ref="A16:H16"/>
    <mergeCell ref="A37:B37"/>
    <mergeCell ref="F42:G42"/>
    <mergeCell ref="D41:E41"/>
    <mergeCell ref="A27:H27"/>
    <mergeCell ref="F41:G41"/>
    <mergeCell ref="A12:B12"/>
    <mergeCell ref="A26:H26"/>
    <mergeCell ref="G24:H24"/>
    <mergeCell ref="F38:G38"/>
    <mergeCell ref="C7:F7"/>
    <mergeCell ref="D40:E40"/>
    <mergeCell ref="A1:H1"/>
    <mergeCell ref="G8:H8"/>
    <mergeCell ref="F40:G40"/>
    <mergeCell ref="A3:H3"/>
    <mergeCell ref="A2:H2"/>
    <mergeCell ref="D37:E37"/>
    <mergeCell ref="A4:H4"/>
    <mergeCell ref="A40:B40"/>
    <mergeCell ref="A9:B9"/>
    <mergeCell ref="G9:H9"/>
    <mergeCell ref="A39:B39"/>
    <mergeCell ref="A24:B24"/>
    <mergeCell ref="G12:H12"/>
    <mergeCell ref="A15:H15"/>
    <mergeCell ref="C8:F8"/>
    <mergeCell ref="A11:B11"/>
    <mergeCell ref="G11:H11"/>
  </mergeCells>
  <dataValidations count="1">
    <dataValidation type="list" sqref="G18:G23" xr:uid="{00000000-0002-0000-0000-000000000000}">
      <formula1>"Sermayeye Ekleme (Vergi Yok),Nakit Dağıtım — Gerçek Kişi (%10 Stopaj),Nakit Dağıtım — Tam Mükelllef Kurum (İştirak İst.),Nakit Dağıtım — Dar Mükellef Kurum,Diğer Çekim (YMM Değerlendirmesi Gerekli),Henüz Çekilmedi"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A11" sqref="A11:B11"/>
    </sheetView>
  </sheetViews>
  <sheetFormatPr defaultRowHeight="14.4" x14ac:dyDescent="0.55000000000000004"/>
  <cols>
    <col min="1" max="1" width="4" customWidth="1"/>
    <col min="2" max="2" width="30" customWidth="1"/>
    <col min="3" max="3" width="16" customWidth="1"/>
    <col min="4" max="7" width="14" customWidth="1"/>
    <col min="8" max="8" width="18" customWidth="1"/>
  </cols>
  <sheetData>
    <row r="1" spans="1:8" ht="36" customHeight="1" x14ac:dyDescent="0.55000000000000004">
      <c r="A1" s="88" t="s">
        <v>92</v>
      </c>
      <c r="B1" s="89"/>
      <c r="C1" s="89"/>
      <c r="D1" s="89"/>
      <c r="E1" s="89"/>
      <c r="F1" s="89"/>
      <c r="G1" s="89"/>
      <c r="H1" s="90"/>
    </row>
    <row r="2" spans="1:8" ht="20.05" customHeight="1" x14ac:dyDescent="0.55000000000000004">
      <c r="A2" s="105" t="s">
        <v>93</v>
      </c>
      <c r="B2" s="89"/>
      <c r="C2" s="89"/>
      <c r="D2" s="89"/>
      <c r="E2" s="89"/>
      <c r="F2" s="89"/>
      <c r="G2" s="89"/>
      <c r="H2" s="90"/>
    </row>
    <row r="3" spans="1:8" ht="4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2" customHeight="1" x14ac:dyDescent="0.55000000000000004">
      <c r="A4" s="130" t="s">
        <v>94</v>
      </c>
      <c r="B4" s="89"/>
      <c r="C4" s="89"/>
      <c r="D4" s="89"/>
      <c r="E4" s="89"/>
      <c r="F4" s="89"/>
      <c r="G4" s="89"/>
      <c r="H4" s="90"/>
    </row>
    <row r="5" spans="1:8" ht="22" customHeight="1" x14ac:dyDescent="0.55000000000000004">
      <c r="A5" s="50"/>
      <c r="B5" s="50" t="s">
        <v>95</v>
      </c>
      <c r="C5" s="50"/>
      <c r="D5" s="50" t="s">
        <v>96</v>
      </c>
      <c r="E5" s="50"/>
      <c r="F5" s="50" t="s">
        <v>26</v>
      </c>
      <c r="G5" s="50"/>
      <c r="H5" s="50" t="s">
        <v>97</v>
      </c>
    </row>
    <row r="6" spans="1:8" ht="24" customHeight="1" x14ac:dyDescent="0.55000000000000004">
      <c r="A6" s="120" t="s">
        <v>98</v>
      </c>
      <c r="B6" s="86"/>
      <c r="C6" s="44"/>
      <c r="D6" s="114">
        <f>'VERİ GİRİŞİ'!E24</f>
        <v>0</v>
      </c>
      <c r="E6" s="86"/>
      <c r="F6" s="115" t="s">
        <v>99</v>
      </c>
      <c r="G6" s="86"/>
      <c r="H6" s="51" t="s">
        <v>100</v>
      </c>
    </row>
    <row r="7" spans="1:8" ht="24" customHeight="1" x14ac:dyDescent="0.55000000000000004">
      <c r="A7" s="122" t="s">
        <v>101</v>
      </c>
      <c r="B7" s="86"/>
      <c r="C7" s="42"/>
      <c r="D7" s="114">
        <f>'VERİ GİRİŞİ'!C29</f>
        <v>0</v>
      </c>
      <c r="E7" s="86"/>
      <c r="F7" s="119" t="s">
        <v>102</v>
      </c>
      <c r="G7" s="86"/>
      <c r="H7" s="52" t="s">
        <v>75</v>
      </c>
    </row>
    <row r="8" spans="1:8" ht="24" customHeight="1" x14ac:dyDescent="0.55000000000000004">
      <c r="A8" s="120" t="s">
        <v>103</v>
      </c>
      <c r="B8" s="86"/>
      <c r="C8" s="44"/>
      <c r="D8" s="114">
        <f>'VERİ GİRİŞİ'!F31</f>
        <v>0</v>
      </c>
      <c r="E8" s="86"/>
      <c r="F8" s="115" t="s">
        <v>104</v>
      </c>
      <c r="G8" s="86"/>
      <c r="H8" s="51" t="s">
        <v>78</v>
      </c>
    </row>
    <row r="9" spans="1:8" ht="24" customHeight="1" x14ac:dyDescent="0.55000000000000004">
      <c r="A9" s="132" t="s">
        <v>105</v>
      </c>
      <c r="B9" s="86"/>
      <c r="C9" s="46"/>
      <c r="D9" s="127">
        <f>'VERİ GİRİŞİ'!C40</f>
        <v>0</v>
      </c>
      <c r="E9" s="128"/>
      <c r="F9" s="129" t="s">
        <v>106</v>
      </c>
      <c r="G9" s="86"/>
      <c r="H9" s="53" t="s">
        <v>81</v>
      </c>
    </row>
    <row r="10" spans="1:8" ht="24" customHeight="1" x14ac:dyDescent="0.55000000000000004">
      <c r="A10" s="120" t="s">
        <v>107</v>
      </c>
      <c r="B10" s="86"/>
      <c r="C10" s="44"/>
      <c r="D10" s="114">
        <f>'VERİ GİRİŞİ'!C41</f>
        <v>0</v>
      </c>
      <c r="E10" s="86"/>
      <c r="F10" s="115" t="s">
        <v>108</v>
      </c>
      <c r="G10" s="86"/>
      <c r="H10" s="51" t="s">
        <v>84</v>
      </c>
    </row>
    <row r="11" spans="1:8" ht="24" customHeight="1" x14ac:dyDescent="0.55000000000000004">
      <c r="A11" s="118" t="s">
        <v>109</v>
      </c>
      <c r="B11" s="86"/>
      <c r="C11" s="48"/>
      <c r="D11" s="123" t="str">
        <f>IF(ABS(D6-D7-D8-D9)&lt;1,"MUTABIK ✓","FARK: "&amp;TEXT(D6-D7-D8-D9,"#,##0")&amp;" TL ✗")</f>
        <v>MUTABIK ✓</v>
      </c>
      <c r="E11" s="86"/>
      <c r="F11" s="113" t="s">
        <v>110</v>
      </c>
      <c r="G11" s="86"/>
      <c r="H11" s="54" t="s">
        <v>111</v>
      </c>
    </row>
    <row r="12" spans="1:8" ht="4" customHeight="1" x14ac:dyDescent="0.55000000000000004">
      <c r="A12" s="1"/>
      <c r="B12" s="1"/>
      <c r="C12" s="1"/>
      <c r="D12" s="1"/>
      <c r="E12" s="1"/>
      <c r="F12" s="1"/>
      <c r="G12" s="1"/>
      <c r="H12" s="1"/>
    </row>
    <row r="13" spans="1:8" ht="22" customHeight="1" x14ac:dyDescent="0.55000000000000004">
      <c r="A13" s="88" t="s">
        <v>112</v>
      </c>
      <c r="B13" s="89"/>
      <c r="C13" s="89"/>
      <c r="D13" s="89"/>
      <c r="E13" s="89"/>
      <c r="F13" s="89"/>
      <c r="G13" s="89"/>
      <c r="H13" s="90"/>
    </row>
    <row r="14" spans="1:8" ht="52" customHeight="1" x14ac:dyDescent="0.55000000000000004">
      <c r="A14" s="125" t="s">
        <v>113</v>
      </c>
      <c r="B14" s="92"/>
      <c r="C14" s="92"/>
      <c r="D14" s="92"/>
      <c r="E14" s="92"/>
      <c r="F14" s="92"/>
      <c r="G14" s="92"/>
      <c r="H14" s="86"/>
    </row>
    <row r="15" spans="1:8" ht="4" customHeight="1" x14ac:dyDescent="0.55000000000000004">
      <c r="A15" s="1"/>
      <c r="B15" s="1"/>
      <c r="C15" s="1"/>
      <c r="D15" s="1"/>
      <c r="E15" s="1"/>
      <c r="F15" s="1"/>
      <c r="G15" s="1"/>
      <c r="H15" s="1"/>
    </row>
    <row r="16" spans="1:8" ht="22" customHeight="1" x14ac:dyDescent="0.55000000000000004">
      <c r="A16" s="88" t="s">
        <v>114</v>
      </c>
      <c r="B16" s="89"/>
      <c r="C16" s="89"/>
      <c r="D16" s="89"/>
      <c r="E16" s="89"/>
      <c r="F16" s="89"/>
      <c r="G16" s="89"/>
      <c r="H16" s="90"/>
    </row>
    <row r="17" spans="1:8" ht="22" customHeight="1" x14ac:dyDescent="0.55000000000000004">
      <c r="A17" s="4"/>
      <c r="B17" s="4" t="s">
        <v>95</v>
      </c>
      <c r="C17" s="4"/>
      <c r="D17" s="4" t="s">
        <v>115</v>
      </c>
      <c r="E17" s="4"/>
      <c r="F17" s="4" t="s">
        <v>116</v>
      </c>
      <c r="G17" s="4"/>
      <c r="H17" s="4" t="s">
        <v>97</v>
      </c>
    </row>
    <row r="18" spans="1:8" ht="24" customHeight="1" x14ac:dyDescent="0.55000000000000004">
      <c r="A18" s="120" t="s">
        <v>117</v>
      </c>
      <c r="B18" s="86"/>
      <c r="C18" s="44"/>
      <c r="D18" s="126">
        <f>'VERİ GİRİŞİ'!C30</f>
        <v>0</v>
      </c>
      <c r="E18" s="86"/>
      <c r="F18" s="115" t="s">
        <v>118</v>
      </c>
      <c r="G18" s="86"/>
      <c r="H18" s="51" t="s">
        <v>119</v>
      </c>
    </row>
    <row r="19" spans="1:8" ht="24" customHeight="1" x14ac:dyDescent="0.55000000000000004">
      <c r="A19" s="122" t="s">
        <v>120</v>
      </c>
      <c r="B19" s="86"/>
      <c r="C19" s="42"/>
      <c r="D19" s="116" t="s">
        <v>121</v>
      </c>
      <c r="E19" s="86"/>
      <c r="F19" s="119" t="s">
        <v>122</v>
      </c>
      <c r="G19" s="86"/>
      <c r="H19" s="52" t="s">
        <v>123</v>
      </c>
    </row>
    <row r="20" spans="1:8" ht="24" customHeight="1" x14ac:dyDescent="0.55000000000000004">
      <c r="A20" s="131" t="s">
        <v>124</v>
      </c>
      <c r="B20" s="86"/>
      <c r="C20" s="48"/>
      <c r="D20" s="111">
        <f>D18*0.1</f>
        <v>0</v>
      </c>
      <c r="E20" s="112"/>
      <c r="F20" s="113" t="s">
        <v>125</v>
      </c>
      <c r="G20" s="86"/>
      <c r="H20" s="54" t="s">
        <v>84</v>
      </c>
    </row>
    <row r="21" spans="1:8" ht="24" customHeight="1" x14ac:dyDescent="0.55000000000000004">
      <c r="A21" s="122" t="s">
        <v>126</v>
      </c>
      <c r="B21" s="86"/>
      <c r="C21" s="42"/>
      <c r="D21" s="121">
        <f>D18-D20</f>
        <v>0</v>
      </c>
      <c r="E21" s="86"/>
      <c r="F21" s="119" t="s">
        <v>127</v>
      </c>
      <c r="G21" s="86"/>
      <c r="H21" s="52" t="s">
        <v>128</v>
      </c>
    </row>
    <row r="22" spans="1:8" ht="4" customHeight="1" x14ac:dyDescent="0.55000000000000004">
      <c r="A22" s="1"/>
      <c r="B22" s="1"/>
      <c r="C22" s="1"/>
      <c r="D22" s="1"/>
      <c r="E22" s="1"/>
      <c r="F22" s="1"/>
      <c r="G22" s="1"/>
      <c r="H22" s="1"/>
    </row>
    <row r="23" spans="1:8" ht="22" customHeight="1" x14ac:dyDescent="0.55000000000000004">
      <c r="A23" s="88" t="s">
        <v>129</v>
      </c>
      <c r="B23" s="89"/>
      <c r="C23" s="89"/>
      <c r="D23" s="89"/>
      <c r="E23" s="89"/>
      <c r="F23" s="89"/>
      <c r="G23" s="89"/>
      <c r="H23" s="90"/>
    </row>
    <row r="24" spans="1:8" ht="56.05" customHeight="1" x14ac:dyDescent="0.55000000000000004">
      <c r="A24" s="117" t="s">
        <v>130</v>
      </c>
      <c r="B24" s="92"/>
      <c r="C24" s="92"/>
      <c r="D24" s="92"/>
      <c r="E24" s="92"/>
      <c r="F24" s="92"/>
      <c r="G24" s="92"/>
      <c r="H24" s="86"/>
    </row>
    <row r="25" spans="1:8" ht="4" customHeight="1" x14ac:dyDescent="0.55000000000000004">
      <c r="A25" s="1"/>
      <c r="B25" s="1"/>
      <c r="C25" s="1"/>
      <c r="D25" s="1"/>
      <c r="E25" s="1"/>
      <c r="F25" s="1"/>
      <c r="G25" s="1"/>
      <c r="H25" s="1"/>
    </row>
    <row r="26" spans="1:8" ht="22" customHeight="1" x14ac:dyDescent="0.55000000000000004">
      <c r="A26" s="88" t="s">
        <v>131</v>
      </c>
      <c r="B26" s="89"/>
      <c r="C26" s="89"/>
      <c r="D26" s="89"/>
      <c r="E26" s="89"/>
      <c r="F26" s="89"/>
      <c r="G26" s="89"/>
      <c r="H26" s="90"/>
    </row>
    <row r="27" spans="1:8" ht="56.05" customHeight="1" x14ac:dyDescent="0.55000000000000004">
      <c r="A27" s="124" t="s">
        <v>132</v>
      </c>
      <c r="B27" s="92"/>
      <c r="C27" s="92"/>
      <c r="D27" s="92"/>
      <c r="E27" s="92"/>
      <c r="F27" s="92"/>
      <c r="G27" s="92"/>
      <c r="H27" s="86"/>
    </row>
  </sheetData>
  <mergeCells count="40">
    <mergeCell ref="A2:H2"/>
    <mergeCell ref="A14:H14"/>
    <mergeCell ref="D18:E18"/>
    <mergeCell ref="A23:H23"/>
    <mergeCell ref="D9:E9"/>
    <mergeCell ref="A8:B8"/>
    <mergeCell ref="F9:G9"/>
    <mergeCell ref="D8:E8"/>
    <mergeCell ref="A4:H4"/>
    <mergeCell ref="A20:B20"/>
    <mergeCell ref="A19:B19"/>
    <mergeCell ref="A10:B10"/>
    <mergeCell ref="A13:H13"/>
    <mergeCell ref="A9:B9"/>
    <mergeCell ref="A27:H27"/>
    <mergeCell ref="F8:G8"/>
    <mergeCell ref="A21:B21"/>
    <mergeCell ref="A26:H26"/>
    <mergeCell ref="D7:E7"/>
    <mergeCell ref="A24:H24"/>
    <mergeCell ref="A11:B11"/>
    <mergeCell ref="F19:G19"/>
    <mergeCell ref="F6:G6"/>
    <mergeCell ref="A1:H1"/>
    <mergeCell ref="A6:B6"/>
    <mergeCell ref="F7:G7"/>
    <mergeCell ref="D21:E21"/>
    <mergeCell ref="D6:E6"/>
    <mergeCell ref="F21:G21"/>
    <mergeCell ref="A7:B7"/>
    <mergeCell ref="D11:E11"/>
    <mergeCell ref="A16:H16"/>
    <mergeCell ref="F20:G20"/>
    <mergeCell ref="F18:G18"/>
    <mergeCell ref="A18:B18"/>
    <mergeCell ref="D20:E20"/>
    <mergeCell ref="F11:G11"/>
    <mergeCell ref="D10:E10"/>
    <mergeCell ref="F10:G10"/>
    <mergeCell ref="D19:E19"/>
  </mergeCells>
  <conditionalFormatting sqref="D11">
    <cfRule type="containsText" dxfId="5" priority="1" operator="containsText" text="MUTABIK">
      <formula>NOT(ISERROR(SEARCH("MUTABIK",D11)))</formula>
    </cfRule>
    <cfRule type="containsText" dxfId="4" priority="2" operator="containsText" text="FARK">
      <formula>NOT(ISERROR(SEARCH("FARK",D11)))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sqref="A1:H1"/>
    </sheetView>
  </sheetViews>
  <sheetFormatPr defaultRowHeight="14.4" x14ac:dyDescent="0.55000000000000004"/>
  <cols>
    <col min="1" max="1" width="4" customWidth="1"/>
    <col min="2" max="2" width="8" customWidth="1"/>
    <col min="3" max="4" width="28" customWidth="1"/>
    <col min="5" max="6" width="13" customWidth="1"/>
    <col min="7" max="7" width="16" customWidth="1"/>
    <col min="8" max="8" width="12" customWidth="1"/>
  </cols>
  <sheetData>
    <row r="1" spans="1:8" ht="36" customHeight="1" x14ac:dyDescent="0.55000000000000004">
      <c r="A1" s="88" t="s">
        <v>133</v>
      </c>
      <c r="B1" s="89"/>
      <c r="C1" s="89"/>
      <c r="D1" s="89"/>
      <c r="E1" s="89"/>
      <c r="F1" s="89"/>
      <c r="G1" s="89"/>
      <c r="H1" s="90"/>
    </row>
    <row r="2" spans="1:8" ht="20.05" customHeight="1" x14ac:dyDescent="0.55000000000000004">
      <c r="A2" s="105" t="s">
        <v>134</v>
      </c>
      <c r="B2" s="89"/>
      <c r="C2" s="89"/>
      <c r="D2" s="89"/>
      <c r="E2" s="89"/>
      <c r="F2" s="89"/>
      <c r="G2" s="89"/>
      <c r="H2" s="90"/>
    </row>
    <row r="3" spans="1:8" ht="4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8" customHeight="1" x14ac:dyDescent="0.55000000000000004">
      <c r="A4" s="133" t="s">
        <v>135</v>
      </c>
      <c r="B4" s="92"/>
      <c r="C4" s="92"/>
      <c r="D4" s="92"/>
      <c r="E4" s="92"/>
      <c r="F4" s="92"/>
      <c r="G4" s="92"/>
      <c r="H4" s="86"/>
    </row>
    <row r="5" spans="1:8" ht="22" customHeight="1" x14ac:dyDescent="0.55000000000000004">
      <c r="A5" s="136" t="s">
        <v>136</v>
      </c>
      <c r="B5" s="89"/>
      <c r="C5" s="89"/>
      <c r="D5" s="89"/>
      <c r="E5" s="89"/>
      <c r="F5" s="89"/>
      <c r="G5" s="89"/>
      <c r="H5" s="90"/>
    </row>
    <row r="6" spans="1:8" ht="16" customHeight="1" x14ac:dyDescent="0.55000000000000004">
      <c r="A6" s="55"/>
      <c r="B6" s="55" t="s">
        <v>128</v>
      </c>
      <c r="C6" s="55" t="s">
        <v>20</v>
      </c>
      <c r="D6" s="55" t="s">
        <v>26</v>
      </c>
      <c r="E6" s="55" t="s">
        <v>137</v>
      </c>
      <c r="F6" s="55" t="s">
        <v>138</v>
      </c>
      <c r="G6" s="55" t="s">
        <v>139</v>
      </c>
      <c r="H6" s="55"/>
    </row>
    <row r="7" spans="1:8" ht="22" customHeight="1" x14ac:dyDescent="0.55000000000000004">
      <c r="A7" s="56" t="s">
        <v>140</v>
      </c>
      <c r="B7" s="57" t="s">
        <v>141</v>
      </c>
      <c r="C7" s="57" t="s">
        <v>142</v>
      </c>
      <c r="D7" s="57" t="s">
        <v>143</v>
      </c>
      <c r="E7" s="57" t="s">
        <v>144</v>
      </c>
      <c r="F7" s="57" t="s">
        <v>145</v>
      </c>
      <c r="G7" s="57" t="s">
        <v>146</v>
      </c>
      <c r="H7" s="58"/>
    </row>
    <row r="8" spans="1:8" ht="22" customHeight="1" x14ac:dyDescent="0.55000000000000004">
      <c r="A8" s="137" t="s">
        <v>147</v>
      </c>
      <c r="B8" s="89"/>
      <c r="C8" s="89"/>
      <c r="D8" s="89"/>
      <c r="E8" s="89"/>
      <c r="F8" s="89"/>
      <c r="G8" s="89"/>
      <c r="H8" s="90"/>
    </row>
    <row r="9" spans="1:8" ht="16" customHeight="1" x14ac:dyDescent="0.55000000000000004">
      <c r="A9" s="55"/>
      <c r="B9" s="55" t="s">
        <v>128</v>
      </c>
      <c r="C9" s="55" t="s">
        <v>20</v>
      </c>
      <c r="D9" s="55" t="s">
        <v>26</v>
      </c>
      <c r="E9" s="55" t="s">
        <v>137</v>
      </c>
      <c r="F9" s="55" t="s">
        <v>138</v>
      </c>
      <c r="G9" s="55" t="s">
        <v>139</v>
      </c>
      <c r="H9" s="55"/>
    </row>
    <row r="10" spans="1:8" ht="22" customHeight="1" x14ac:dyDescent="0.55000000000000004">
      <c r="A10" s="56" t="s">
        <v>140</v>
      </c>
      <c r="B10" s="57" t="s">
        <v>27</v>
      </c>
      <c r="C10" s="57" t="s">
        <v>28</v>
      </c>
      <c r="D10" s="57" t="s">
        <v>148</v>
      </c>
      <c r="E10" s="57" t="s">
        <v>149</v>
      </c>
      <c r="F10" s="57" t="s">
        <v>145</v>
      </c>
      <c r="G10" s="57" t="s">
        <v>150</v>
      </c>
      <c r="H10" s="58"/>
    </row>
    <row r="11" spans="1:8" ht="22" customHeight="1" x14ac:dyDescent="0.55000000000000004">
      <c r="A11" s="59" t="s">
        <v>151</v>
      </c>
      <c r="B11" s="60" t="s">
        <v>152</v>
      </c>
      <c r="C11" s="60" t="s">
        <v>153</v>
      </c>
      <c r="D11" s="60" t="s">
        <v>154</v>
      </c>
      <c r="E11" s="60" t="s">
        <v>145</v>
      </c>
      <c r="F11" s="60" t="s">
        <v>149</v>
      </c>
      <c r="G11" s="60" t="s">
        <v>155</v>
      </c>
      <c r="H11" s="61"/>
    </row>
    <row r="12" spans="1:8" ht="22" customHeight="1" x14ac:dyDescent="0.55000000000000004">
      <c r="A12" s="134" t="s">
        <v>156</v>
      </c>
      <c r="B12" s="89"/>
      <c r="C12" s="89"/>
      <c r="D12" s="89"/>
      <c r="E12" s="89"/>
      <c r="F12" s="89"/>
      <c r="G12" s="89"/>
      <c r="H12" s="90"/>
    </row>
    <row r="13" spans="1:8" ht="16" customHeight="1" x14ac:dyDescent="0.55000000000000004">
      <c r="A13" s="55"/>
      <c r="B13" s="55" t="s">
        <v>128</v>
      </c>
      <c r="C13" s="55" t="s">
        <v>20</v>
      </c>
      <c r="D13" s="55" t="s">
        <v>26</v>
      </c>
      <c r="E13" s="55" t="s">
        <v>137</v>
      </c>
      <c r="F13" s="55" t="s">
        <v>138</v>
      </c>
      <c r="G13" s="55" t="s">
        <v>139</v>
      </c>
      <c r="H13" s="55"/>
    </row>
    <row r="14" spans="1:8" ht="22" customHeight="1" x14ac:dyDescent="0.55000000000000004">
      <c r="A14" s="56" t="s">
        <v>140</v>
      </c>
      <c r="B14" s="57" t="s">
        <v>27</v>
      </c>
      <c r="C14" s="57" t="s">
        <v>28</v>
      </c>
      <c r="D14" s="57" t="s">
        <v>157</v>
      </c>
      <c r="E14" s="57" t="s">
        <v>158</v>
      </c>
      <c r="F14" s="57" t="s">
        <v>145</v>
      </c>
      <c r="G14" s="57" t="s">
        <v>159</v>
      </c>
      <c r="H14" s="58"/>
    </row>
    <row r="15" spans="1:8" ht="22" customHeight="1" x14ac:dyDescent="0.55000000000000004">
      <c r="A15" s="59" t="s">
        <v>151</v>
      </c>
      <c r="B15" s="60" t="s">
        <v>160</v>
      </c>
      <c r="C15" s="60" t="s">
        <v>161</v>
      </c>
      <c r="D15" s="60" t="s">
        <v>162</v>
      </c>
      <c r="E15" s="60" t="s">
        <v>145</v>
      </c>
      <c r="F15" s="60" t="s">
        <v>163</v>
      </c>
      <c r="G15" s="60" t="s">
        <v>164</v>
      </c>
      <c r="H15" s="61"/>
    </row>
    <row r="16" spans="1:8" ht="22" customHeight="1" x14ac:dyDescent="0.55000000000000004">
      <c r="A16" s="59" t="s">
        <v>151</v>
      </c>
      <c r="B16" s="57" t="s">
        <v>165</v>
      </c>
      <c r="C16" s="57" t="s">
        <v>166</v>
      </c>
      <c r="D16" s="57" t="s">
        <v>167</v>
      </c>
      <c r="E16" s="57" t="s">
        <v>145</v>
      </c>
      <c r="F16" s="57" t="s">
        <v>168</v>
      </c>
      <c r="G16" s="57" t="s">
        <v>84</v>
      </c>
      <c r="H16" s="58"/>
    </row>
    <row r="17" spans="1:8" ht="22" customHeight="1" x14ac:dyDescent="0.55000000000000004">
      <c r="A17" s="56" t="s">
        <v>140</v>
      </c>
      <c r="B17" s="60" t="s">
        <v>160</v>
      </c>
      <c r="C17" s="60" t="s">
        <v>161</v>
      </c>
      <c r="D17" s="60" t="s">
        <v>169</v>
      </c>
      <c r="E17" s="60" t="s">
        <v>163</v>
      </c>
      <c r="F17" s="60" t="s">
        <v>145</v>
      </c>
      <c r="G17" s="60" t="s">
        <v>170</v>
      </c>
      <c r="H17" s="61"/>
    </row>
    <row r="18" spans="1:8" ht="22" customHeight="1" x14ac:dyDescent="0.55000000000000004">
      <c r="A18" s="59" t="s">
        <v>151</v>
      </c>
      <c r="B18" s="57" t="s">
        <v>171</v>
      </c>
      <c r="C18" s="57" t="s">
        <v>172</v>
      </c>
      <c r="D18" s="57" t="s">
        <v>173</v>
      </c>
      <c r="E18" s="57" t="s">
        <v>145</v>
      </c>
      <c r="F18" s="57" t="s">
        <v>163</v>
      </c>
      <c r="G18" s="57" t="s">
        <v>174</v>
      </c>
      <c r="H18" s="58"/>
    </row>
    <row r="19" spans="1:8" ht="22" customHeight="1" x14ac:dyDescent="0.55000000000000004">
      <c r="A19" s="56" t="s">
        <v>140</v>
      </c>
      <c r="B19" s="60" t="s">
        <v>165</v>
      </c>
      <c r="C19" s="60" t="s">
        <v>175</v>
      </c>
      <c r="D19" s="60" t="s">
        <v>176</v>
      </c>
      <c r="E19" s="60" t="s">
        <v>168</v>
      </c>
      <c r="F19" s="60" t="s">
        <v>145</v>
      </c>
      <c r="G19" s="60" t="s">
        <v>174</v>
      </c>
      <c r="H19" s="61"/>
    </row>
    <row r="20" spans="1:8" ht="22" customHeight="1" x14ac:dyDescent="0.55000000000000004">
      <c r="A20" s="135" t="s">
        <v>177</v>
      </c>
      <c r="B20" s="89"/>
      <c r="C20" s="89"/>
      <c r="D20" s="89"/>
      <c r="E20" s="89"/>
      <c r="F20" s="89"/>
      <c r="G20" s="89"/>
      <c r="H20" s="90"/>
    </row>
    <row r="21" spans="1:8" ht="16" customHeight="1" x14ac:dyDescent="0.55000000000000004">
      <c r="A21" s="55"/>
      <c r="B21" s="55" t="s">
        <v>128</v>
      </c>
      <c r="C21" s="55" t="s">
        <v>20</v>
      </c>
      <c r="D21" s="55" t="s">
        <v>26</v>
      </c>
      <c r="E21" s="55" t="s">
        <v>137</v>
      </c>
      <c r="F21" s="55" t="s">
        <v>138</v>
      </c>
      <c r="G21" s="55" t="s">
        <v>139</v>
      </c>
      <c r="H21" s="55"/>
    </row>
    <row r="22" spans="1:8" ht="22" customHeight="1" x14ac:dyDescent="0.55000000000000004">
      <c r="A22" s="56" t="s">
        <v>140</v>
      </c>
      <c r="B22" s="57" t="s">
        <v>27</v>
      </c>
      <c r="C22" s="57" t="s">
        <v>28</v>
      </c>
      <c r="D22" s="57" t="s">
        <v>178</v>
      </c>
      <c r="E22" s="57" t="s">
        <v>149</v>
      </c>
      <c r="F22" s="57" t="s">
        <v>145</v>
      </c>
      <c r="G22" s="57" t="s">
        <v>159</v>
      </c>
      <c r="H22" s="58"/>
    </row>
    <row r="23" spans="1:8" ht="22" customHeight="1" x14ac:dyDescent="0.55000000000000004">
      <c r="A23" s="59" t="s">
        <v>151</v>
      </c>
      <c r="B23" s="60" t="s">
        <v>160</v>
      </c>
      <c r="C23" s="60" t="s">
        <v>161</v>
      </c>
      <c r="D23" s="60" t="s">
        <v>179</v>
      </c>
      <c r="E23" s="60" t="s">
        <v>145</v>
      </c>
      <c r="F23" s="60" t="s">
        <v>149</v>
      </c>
      <c r="G23" s="60" t="s">
        <v>180</v>
      </c>
      <c r="H23" s="61"/>
    </row>
    <row r="24" spans="1:8" ht="22" customHeight="1" x14ac:dyDescent="0.55000000000000004">
      <c r="A24" s="62" t="s">
        <v>50</v>
      </c>
      <c r="B24" s="57" t="s">
        <v>145</v>
      </c>
      <c r="C24" s="57" t="s">
        <v>181</v>
      </c>
      <c r="D24" s="57" t="s">
        <v>182</v>
      </c>
      <c r="E24" s="57" t="s">
        <v>145</v>
      </c>
      <c r="F24" s="57" t="s">
        <v>145</v>
      </c>
      <c r="G24" s="57" t="s">
        <v>84</v>
      </c>
      <c r="H24" s="58"/>
    </row>
    <row r="25" spans="1:8" ht="22" customHeight="1" x14ac:dyDescent="0.55000000000000004">
      <c r="A25" s="62" t="s">
        <v>50</v>
      </c>
      <c r="B25" s="60" t="s">
        <v>183</v>
      </c>
      <c r="C25" s="60" t="s">
        <v>184</v>
      </c>
      <c r="D25" s="60" t="s">
        <v>185</v>
      </c>
      <c r="E25" s="60" t="s">
        <v>145</v>
      </c>
      <c r="F25" s="60" t="s">
        <v>145</v>
      </c>
      <c r="G25" s="60" t="s">
        <v>78</v>
      </c>
      <c r="H25" s="61"/>
    </row>
  </sheetData>
  <mergeCells count="7">
    <mergeCell ref="A1:H1"/>
    <mergeCell ref="A4:H4"/>
    <mergeCell ref="A12:H12"/>
    <mergeCell ref="A20:H20"/>
    <mergeCell ref="A2:H2"/>
    <mergeCell ref="A5:H5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workbookViewId="0">
      <selection sqref="A1:F1"/>
    </sheetView>
  </sheetViews>
  <sheetFormatPr defaultRowHeight="14.4" x14ac:dyDescent="0.55000000000000004"/>
  <cols>
    <col min="1" max="1" width="4" customWidth="1"/>
    <col min="2" max="2" width="6" customWidth="1"/>
    <col min="3" max="3" width="32" customWidth="1"/>
    <col min="4" max="4" width="44" customWidth="1"/>
    <col min="5" max="5" width="18" customWidth="1"/>
    <col min="6" max="6" width="4" customWidth="1"/>
  </cols>
  <sheetData>
    <row r="1" spans="1:6" ht="36" customHeight="1" x14ac:dyDescent="0.55000000000000004">
      <c r="A1" s="88" t="s">
        <v>186</v>
      </c>
      <c r="B1" s="89"/>
      <c r="C1" s="89"/>
      <c r="D1" s="89"/>
      <c r="E1" s="89"/>
      <c r="F1" s="90"/>
    </row>
    <row r="2" spans="1:6" ht="20.05" customHeight="1" x14ac:dyDescent="0.55000000000000004">
      <c r="A2" s="105" t="s">
        <v>187</v>
      </c>
      <c r="B2" s="89"/>
      <c r="C2" s="89"/>
      <c r="D2" s="89"/>
      <c r="E2" s="89"/>
      <c r="F2" s="90"/>
    </row>
    <row r="3" spans="1:6" ht="4" customHeight="1" x14ac:dyDescent="0.55000000000000004">
      <c r="A3" s="1"/>
      <c r="B3" s="1"/>
      <c r="C3" s="1"/>
      <c r="D3" s="1"/>
      <c r="E3" s="1"/>
      <c r="F3" s="1"/>
    </row>
    <row r="4" spans="1:6" ht="22" customHeight="1" x14ac:dyDescent="0.55000000000000004">
      <c r="A4" s="139" t="s">
        <v>188</v>
      </c>
      <c r="B4" s="89"/>
      <c r="C4" s="89"/>
      <c r="D4" s="89"/>
      <c r="E4" s="89"/>
      <c r="F4" s="90"/>
    </row>
    <row r="5" spans="1:6" ht="22" customHeight="1" x14ac:dyDescent="0.55000000000000004">
      <c r="A5" s="63"/>
      <c r="B5" s="63" t="s">
        <v>189</v>
      </c>
      <c r="C5" s="63" t="s">
        <v>190</v>
      </c>
      <c r="D5" s="63" t="s">
        <v>191</v>
      </c>
      <c r="E5" s="63" t="s">
        <v>192</v>
      </c>
      <c r="F5" s="63"/>
    </row>
    <row r="6" spans="1:6" ht="30" customHeight="1" x14ac:dyDescent="0.55000000000000004">
      <c r="A6" s="21" t="s">
        <v>193</v>
      </c>
      <c r="B6" s="64" t="s">
        <v>194</v>
      </c>
      <c r="C6" s="65" t="s">
        <v>195</v>
      </c>
      <c r="D6" s="66" t="s">
        <v>196</v>
      </c>
      <c r="E6" s="59" t="s">
        <v>197</v>
      </c>
      <c r="F6" s="58"/>
    </row>
    <row r="7" spans="1:6" ht="30" customHeight="1" x14ac:dyDescent="0.55000000000000004">
      <c r="A7" s="21" t="s">
        <v>193</v>
      </c>
      <c r="B7" s="67" t="s">
        <v>198</v>
      </c>
      <c r="C7" s="65" t="s">
        <v>199</v>
      </c>
      <c r="D7" s="68" t="s">
        <v>200</v>
      </c>
      <c r="E7" s="59" t="s">
        <v>197</v>
      </c>
      <c r="F7" s="61"/>
    </row>
    <row r="8" spans="1:6" ht="30" customHeight="1" x14ac:dyDescent="0.55000000000000004">
      <c r="A8" s="21" t="s">
        <v>193</v>
      </c>
      <c r="B8" s="64" t="s">
        <v>201</v>
      </c>
      <c r="C8" s="69" t="s">
        <v>202</v>
      </c>
      <c r="D8" s="66" t="s">
        <v>203</v>
      </c>
      <c r="E8" s="70" t="s">
        <v>204</v>
      </c>
      <c r="F8" s="58"/>
    </row>
    <row r="9" spans="1:6" ht="30" customHeight="1" x14ac:dyDescent="0.55000000000000004">
      <c r="A9" s="21" t="s">
        <v>193</v>
      </c>
      <c r="B9" s="67" t="s">
        <v>205</v>
      </c>
      <c r="C9" s="71" t="s">
        <v>206</v>
      </c>
      <c r="D9" s="68" t="s">
        <v>207</v>
      </c>
      <c r="E9" s="70" t="s">
        <v>204</v>
      </c>
      <c r="F9" s="61"/>
    </row>
    <row r="10" spans="1:6" ht="30" customHeight="1" x14ac:dyDescent="0.55000000000000004">
      <c r="A10" s="21" t="s">
        <v>193</v>
      </c>
      <c r="B10" s="64" t="s">
        <v>208</v>
      </c>
      <c r="C10" s="69" t="s">
        <v>209</v>
      </c>
      <c r="D10" s="66" t="s">
        <v>210</v>
      </c>
      <c r="E10" s="70" t="s">
        <v>204</v>
      </c>
      <c r="F10" s="58"/>
    </row>
    <row r="11" spans="1:6" ht="30" customHeight="1" x14ac:dyDescent="0.55000000000000004">
      <c r="A11" s="21" t="s">
        <v>193</v>
      </c>
      <c r="B11" s="67" t="s">
        <v>211</v>
      </c>
      <c r="C11" s="71" t="s">
        <v>212</v>
      </c>
      <c r="D11" s="68" t="s">
        <v>213</v>
      </c>
      <c r="E11" s="72" t="s">
        <v>214</v>
      </c>
      <c r="F11" s="61"/>
    </row>
    <row r="12" spans="1:6" ht="30" customHeight="1" x14ac:dyDescent="0.55000000000000004">
      <c r="A12" s="21" t="s">
        <v>193</v>
      </c>
      <c r="B12" s="64" t="s">
        <v>215</v>
      </c>
      <c r="C12" s="69" t="s">
        <v>216</v>
      </c>
      <c r="D12" s="66" t="s">
        <v>217</v>
      </c>
      <c r="E12" s="72" t="s">
        <v>214</v>
      </c>
      <c r="F12" s="58"/>
    </row>
    <row r="13" spans="1:6" ht="30" customHeight="1" x14ac:dyDescent="0.55000000000000004">
      <c r="A13" s="21" t="s">
        <v>193</v>
      </c>
      <c r="B13" s="67" t="s">
        <v>218</v>
      </c>
      <c r="C13" s="71" t="s">
        <v>219</v>
      </c>
      <c r="D13" s="68" t="s">
        <v>220</v>
      </c>
      <c r="E13" s="72" t="s">
        <v>214</v>
      </c>
      <c r="F13" s="61"/>
    </row>
    <row r="14" spans="1:6" ht="4" customHeight="1" x14ac:dyDescent="0.55000000000000004">
      <c r="A14" s="1"/>
      <c r="B14" s="1"/>
      <c r="C14" s="1"/>
      <c r="D14" s="1"/>
      <c r="E14" s="1"/>
      <c r="F14" s="1"/>
    </row>
    <row r="15" spans="1:6" ht="22" customHeight="1" x14ac:dyDescent="0.55000000000000004">
      <c r="A15" s="130" t="s">
        <v>221</v>
      </c>
      <c r="B15" s="89"/>
      <c r="C15" s="89"/>
      <c r="D15" s="89"/>
      <c r="E15" s="89"/>
      <c r="F15" s="90"/>
    </row>
    <row r="16" spans="1:6" ht="22" customHeight="1" x14ac:dyDescent="0.55000000000000004">
      <c r="A16" s="50"/>
      <c r="B16" s="50" t="s">
        <v>222</v>
      </c>
      <c r="C16" s="50" t="s">
        <v>223</v>
      </c>
      <c r="D16" s="50" t="s">
        <v>224</v>
      </c>
      <c r="E16" s="50" t="s">
        <v>225</v>
      </c>
      <c r="F16" s="50"/>
    </row>
    <row r="17" spans="1:6" ht="22" customHeight="1" x14ac:dyDescent="0.55000000000000004">
      <c r="A17" s="73" t="s">
        <v>226</v>
      </c>
      <c r="B17" s="64" t="s">
        <v>227</v>
      </c>
      <c r="C17" s="44" t="s">
        <v>228</v>
      </c>
      <c r="D17" s="51" t="s">
        <v>81</v>
      </c>
      <c r="E17" s="11" t="s">
        <v>229</v>
      </c>
      <c r="F17" s="58"/>
    </row>
    <row r="18" spans="1:6" ht="22" customHeight="1" x14ac:dyDescent="0.55000000000000004">
      <c r="A18" s="73" t="s">
        <v>226</v>
      </c>
      <c r="B18" s="67" t="s">
        <v>230</v>
      </c>
      <c r="C18" s="42" t="s">
        <v>231</v>
      </c>
      <c r="D18" s="52" t="s">
        <v>81</v>
      </c>
      <c r="E18" s="11" t="s">
        <v>229</v>
      </c>
      <c r="F18" s="61"/>
    </row>
    <row r="19" spans="1:6" ht="22" customHeight="1" x14ac:dyDescent="0.55000000000000004">
      <c r="A19" s="73" t="s">
        <v>226</v>
      </c>
      <c r="B19" s="64" t="s">
        <v>232</v>
      </c>
      <c r="C19" s="44" t="s">
        <v>233</v>
      </c>
      <c r="D19" s="51" t="s">
        <v>155</v>
      </c>
      <c r="E19" s="11" t="s">
        <v>229</v>
      </c>
      <c r="F19" s="58"/>
    </row>
    <row r="20" spans="1:6" ht="22" customHeight="1" x14ac:dyDescent="0.55000000000000004">
      <c r="A20" s="73" t="s">
        <v>226</v>
      </c>
      <c r="B20" s="67" t="s">
        <v>234</v>
      </c>
      <c r="C20" s="42" t="s">
        <v>235</v>
      </c>
      <c r="D20" s="52" t="s">
        <v>236</v>
      </c>
      <c r="E20" s="11" t="s">
        <v>229</v>
      </c>
      <c r="F20" s="61"/>
    </row>
    <row r="21" spans="1:6" ht="22" customHeight="1" x14ac:dyDescent="0.55000000000000004">
      <c r="A21" s="73" t="s">
        <v>226</v>
      </c>
      <c r="B21" s="64" t="s">
        <v>237</v>
      </c>
      <c r="C21" s="44" t="s">
        <v>238</v>
      </c>
      <c r="D21" s="51" t="s">
        <v>239</v>
      </c>
      <c r="E21" s="11" t="s">
        <v>229</v>
      </c>
      <c r="F21" s="58"/>
    </row>
    <row r="22" spans="1:6" ht="22" customHeight="1" x14ac:dyDescent="0.55000000000000004">
      <c r="A22" s="73" t="s">
        <v>226</v>
      </c>
      <c r="B22" s="67" t="s">
        <v>240</v>
      </c>
      <c r="C22" s="42" t="s">
        <v>241</v>
      </c>
      <c r="D22" s="52" t="s">
        <v>242</v>
      </c>
      <c r="E22" s="11" t="s">
        <v>229</v>
      </c>
      <c r="F22" s="61"/>
    </row>
    <row r="23" spans="1:6" ht="22" customHeight="1" x14ac:dyDescent="0.55000000000000004">
      <c r="A23" s="73" t="s">
        <v>226</v>
      </c>
      <c r="B23" s="64" t="s">
        <v>243</v>
      </c>
      <c r="C23" s="44" t="s">
        <v>244</v>
      </c>
      <c r="D23" s="51" t="s">
        <v>84</v>
      </c>
      <c r="E23" s="11" t="s">
        <v>229</v>
      </c>
      <c r="F23" s="58"/>
    </row>
    <row r="24" spans="1:6" ht="22" customHeight="1" x14ac:dyDescent="0.55000000000000004">
      <c r="A24" s="73" t="s">
        <v>226</v>
      </c>
      <c r="B24" s="67" t="s">
        <v>245</v>
      </c>
      <c r="C24" s="42" t="s">
        <v>246</v>
      </c>
      <c r="D24" s="52" t="s">
        <v>78</v>
      </c>
      <c r="E24" s="11" t="s">
        <v>229</v>
      </c>
      <c r="F24" s="61"/>
    </row>
    <row r="25" spans="1:6" ht="22" customHeight="1" x14ac:dyDescent="0.55000000000000004">
      <c r="A25" s="73" t="s">
        <v>226</v>
      </c>
      <c r="B25" s="64" t="s">
        <v>247</v>
      </c>
      <c r="C25" s="44" t="s">
        <v>248</v>
      </c>
      <c r="D25" s="51" t="s">
        <v>78</v>
      </c>
      <c r="E25" s="11" t="s">
        <v>229</v>
      </c>
      <c r="F25" s="58"/>
    </row>
    <row r="26" spans="1:6" ht="22" customHeight="1" x14ac:dyDescent="0.55000000000000004">
      <c r="A26" s="73" t="s">
        <v>226</v>
      </c>
      <c r="B26" s="67" t="s">
        <v>249</v>
      </c>
      <c r="C26" s="42" t="s">
        <v>250</v>
      </c>
      <c r="D26" s="52" t="s">
        <v>251</v>
      </c>
      <c r="E26" s="11" t="s">
        <v>229</v>
      </c>
      <c r="F26" s="61"/>
    </row>
    <row r="27" spans="1:6" ht="22" customHeight="1" x14ac:dyDescent="0.55000000000000004">
      <c r="A27" s="73" t="s">
        <v>226</v>
      </c>
      <c r="B27" s="64" t="s">
        <v>252</v>
      </c>
      <c r="C27" s="74" t="s">
        <v>253</v>
      </c>
      <c r="D27" s="51" t="s">
        <v>81</v>
      </c>
      <c r="E27" s="11" t="s">
        <v>229</v>
      </c>
      <c r="F27" s="58"/>
    </row>
    <row r="28" spans="1:6" ht="22" customHeight="1" x14ac:dyDescent="0.55000000000000004">
      <c r="A28" s="73" t="s">
        <v>226</v>
      </c>
      <c r="B28" s="67" t="s">
        <v>254</v>
      </c>
      <c r="C28" s="74" t="s">
        <v>255</v>
      </c>
      <c r="D28" s="52" t="s">
        <v>256</v>
      </c>
      <c r="E28" s="11" t="s">
        <v>229</v>
      </c>
      <c r="F28" s="61"/>
    </row>
    <row r="29" spans="1:6" ht="22" customHeight="1" x14ac:dyDescent="0.55000000000000004">
      <c r="A29" s="73" t="s">
        <v>226</v>
      </c>
      <c r="B29" s="64" t="s">
        <v>257</v>
      </c>
      <c r="C29" s="44" t="s">
        <v>258</v>
      </c>
      <c r="D29" s="51" t="s">
        <v>259</v>
      </c>
      <c r="E29" s="11" t="s">
        <v>229</v>
      </c>
      <c r="F29" s="58"/>
    </row>
    <row r="30" spans="1:6" ht="22" customHeight="1" x14ac:dyDescent="0.55000000000000004">
      <c r="A30" s="73" t="s">
        <v>226</v>
      </c>
      <c r="B30" s="67" t="s">
        <v>260</v>
      </c>
      <c r="C30" s="42" t="s">
        <v>261</v>
      </c>
      <c r="D30" s="52" t="s">
        <v>262</v>
      </c>
      <c r="E30" s="11" t="s">
        <v>229</v>
      </c>
      <c r="F30" s="61"/>
    </row>
    <row r="31" spans="1:6" ht="4" customHeight="1" x14ac:dyDescent="0.55000000000000004">
      <c r="A31" s="1"/>
      <c r="B31" s="1"/>
      <c r="C31" s="1"/>
      <c r="D31" s="1"/>
      <c r="E31" s="1"/>
      <c r="F31" s="1"/>
    </row>
    <row r="32" spans="1:6" ht="36" customHeight="1" x14ac:dyDescent="0.55000000000000004">
      <c r="A32" s="138" t="s">
        <v>263</v>
      </c>
      <c r="B32" s="92"/>
      <c r="C32" s="92"/>
      <c r="D32" s="92"/>
      <c r="E32" s="92"/>
      <c r="F32" s="86"/>
    </row>
  </sheetData>
  <mergeCells count="5">
    <mergeCell ref="A2:F2"/>
    <mergeCell ref="A1:F1"/>
    <mergeCell ref="A32:F32"/>
    <mergeCell ref="A4:F4"/>
    <mergeCell ref="A15:F15"/>
  </mergeCells>
  <conditionalFormatting sqref="E17:E30">
    <cfRule type="containsText" dxfId="3" priority="1" operator="containsText" text="Yapıldı">
      <formula>NOT(ISERROR(SEARCH("Yapıldı",E17:E30)))</formula>
    </cfRule>
    <cfRule type="containsText" dxfId="2" priority="2" operator="containsText" text="Yapılmadı">
      <formula>NOT(ISERROR(SEARCH("Yapılmadı",E17:E30)))</formula>
    </cfRule>
  </conditionalFormatting>
  <dataValidations count="2">
    <dataValidation type="list" sqref="E6:E13" xr:uid="{00000000-0002-0000-0300-000000000000}">
      <formula1>"ÇOK YÜKSEK,YÜKSEK,ORTA,DÜŞÜK"</formula1>
    </dataValidation>
    <dataValidation type="list" sqref="E17:E30" xr:uid="{00000000-0002-0000-0300-000008000000}">
      <formula1>"Yapıldı ✓,Yapılmadı ✗,Geçerli Değil,Devam Ediyor"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abSelected="1" workbookViewId="0">
      <selection sqref="A1:F1"/>
    </sheetView>
  </sheetViews>
  <sheetFormatPr defaultRowHeight="14.4" x14ac:dyDescent="0.55000000000000004"/>
  <cols>
    <col min="1" max="1" width="3" customWidth="1"/>
    <col min="2" max="2" width="7" customWidth="1"/>
    <col min="3" max="4" width="36" customWidth="1"/>
    <col min="5" max="5" width="20" customWidth="1"/>
    <col min="6" max="6" width="3" customWidth="1"/>
  </cols>
  <sheetData>
    <row r="1" spans="1:6" ht="34" customHeight="1" x14ac:dyDescent="0.55000000000000004">
      <c r="A1" s="88" t="s">
        <v>264</v>
      </c>
      <c r="B1" s="89"/>
      <c r="C1" s="89"/>
      <c r="D1" s="89"/>
      <c r="E1" s="89"/>
      <c r="F1" s="90"/>
    </row>
    <row r="2" spans="1:6" ht="20.05" customHeight="1" x14ac:dyDescent="0.55000000000000004">
      <c r="A2" s="105" t="s">
        <v>265</v>
      </c>
      <c r="B2" s="89"/>
      <c r="C2" s="89"/>
      <c r="D2" s="89"/>
      <c r="E2" s="89"/>
      <c r="F2" s="90"/>
    </row>
    <row r="3" spans="1:6" ht="4" customHeight="1" x14ac:dyDescent="0.55000000000000004">
      <c r="A3" s="1"/>
      <c r="B3" s="1"/>
      <c r="C3" s="1"/>
      <c r="D3" s="1"/>
      <c r="E3" s="1"/>
      <c r="F3" s="1"/>
    </row>
    <row r="4" spans="1:6" ht="22" customHeight="1" x14ac:dyDescent="0.55000000000000004">
      <c r="A4" s="130" t="s">
        <v>266</v>
      </c>
      <c r="B4" s="89"/>
      <c r="C4" s="89"/>
      <c r="D4" s="89"/>
      <c r="E4" s="89"/>
      <c r="F4" s="90"/>
    </row>
    <row r="5" spans="1:6" ht="22" customHeight="1" x14ac:dyDescent="0.55000000000000004">
      <c r="A5" s="50"/>
      <c r="B5" s="50" t="s">
        <v>267</v>
      </c>
      <c r="C5" s="50" t="s">
        <v>139</v>
      </c>
      <c r="D5" s="50" t="s">
        <v>26</v>
      </c>
      <c r="E5" s="50" t="s">
        <v>268</v>
      </c>
      <c r="F5" s="50"/>
    </row>
    <row r="6" spans="1:6" ht="38.049999999999997" customHeight="1" x14ac:dyDescent="0.55000000000000004">
      <c r="A6" s="75"/>
      <c r="B6" s="76" t="s">
        <v>269</v>
      </c>
      <c r="C6" s="77" t="s">
        <v>270</v>
      </c>
      <c r="D6" s="78" t="s">
        <v>271</v>
      </c>
      <c r="E6" s="79" t="s">
        <v>272</v>
      </c>
      <c r="F6" s="80" t="s">
        <v>273</v>
      </c>
    </row>
    <row r="7" spans="1:6" ht="38.049999999999997" customHeight="1" x14ac:dyDescent="0.55000000000000004">
      <c r="A7" s="61"/>
      <c r="B7" s="67" t="s">
        <v>274</v>
      </c>
      <c r="C7" s="81" t="s">
        <v>275</v>
      </c>
      <c r="D7" s="82" t="s">
        <v>276</v>
      </c>
      <c r="E7" s="83" t="s">
        <v>277</v>
      </c>
      <c r="F7" s="80" t="s">
        <v>273</v>
      </c>
    </row>
    <row r="8" spans="1:6" ht="38.049999999999997" customHeight="1" x14ac:dyDescent="0.55000000000000004">
      <c r="A8" s="75"/>
      <c r="B8" s="76" t="s">
        <v>278</v>
      </c>
      <c r="C8" s="77" t="s">
        <v>279</v>
      </c>
      <c r="D8" s="78" t="s">
        <v>280</v>
      </c>
      <c r="E8" s="79" t="s">
        <v>281</v>
      </c>
      <c r="F8" s="80" t="s">
        <v>273</v>
      </c>
    </row>
    <row r="9" spans="1:6" ht="38.049999999999997" customHeight="1" x14ac:dyDescent="0.55000000000000004">
      <c r="A9" s="61"/>
      <c r="B9" s="67" t="s">
        <v>282</v>
      </c>
      <c r="C9" s="81" t="s">
        <v>283</v>
      </c>
      <c r="D9" s="82" t="s">
        <v>284</v>
      </c>
      <c r="E9" s="83" t="s">
        <v>285</v>
      </c>
      <c r="F9" s="80" t="s">
        <v>273</v>
      </c>
    </row>
    <row r="10" spans="1:6" ht="38.049999999999997" customHeight="1" x14ac:dyDescent="0.55000000000000004">
      <c r="A10" s="75"/>
      <c r="B10" s="76" t="s">
        <v>286</v>
      </c>
      <c r="C10" s="77" t="s">
        <v>287</v>
      </c>
      <c r="D10" s="78" t="s">
        <v>288</v>
      </c>
      <c r="E10" s="79" t="s">
        <v>289</v>
      </c>
      <c r="F10" s="80" t="s">
        <v>273</v>
      </c>
    </row>
    <row r="11" spans="1:6" ht="38.049999999999997" customHeight="1" x14ac:dyDescent="0.55000000000000004">
      <c r="A11" s="61"/>
      <c r="B11" s="67" t="s">
        <v>290</v>
      </c>
      <c r="C11" s="71" t="s">
        <v>291</v>
      </c>
      <c r="D11" s="82" t="s">
        <v>292</v>
      </c>
      <c r="E11" s="83" t="s">
        <v>293</v>
      </c>
      <c r="F11" s="80" t="s">
        <v>273</v>
      </c>
    </row>
    <row r="12" spans="1:6" ht="38.049999999999997" customHeight="1" x14ac:dyDescent="0.55000000000000004">
      <c r="A12" s="75"/>
      <c r="B12" s="76" t="s">
        <v>294</v>
      </c>
      <c r="C12" s="84" t="s">
        <v>295</v>
      </c>
      <c r="D12" s="78" t="s">
        <v>296</v>
      </c>
      <c r="E12" s="79" t="s">
        <v>297</v>
      </c>
      <c r="F12" s="80" t="s">
        <v>273</v>
      </c>
    </row>
    <row r="13" spans="1:6" ht="38.049999999999997" customHeight="1" x14ac:dyDescent="0.55000000000000004">
      <c r="A13" s="61"/>
      <c r="B13" s="67" t="s">
        <v>298</v>
      </c>
      <c r="C13" s="71" t="s">
        <v>299</v>
      </c>
      <c r="D13" s="82" t="s">
        <v>300</v>
      </c>
      <c r="E13" s="83" t="s">
        <v>301</v>
      </c>
      <c r="F13" s="80" t="s">
        <v>273</v>
      </c>
    </row>
    <row r="14" spans="1:6" ht="4" customHeight="1" x14ac:dyDescent="0.55000000000000004">
      <c r="A14" s="1"/>
      <c r="B14" s="1"/>
      <c r="C14" s="1"/>
      <c r="D14" s="1"/>
      <c r="E14" s="1"/>
      <c r="F14" s="1"/>
    </row>
    <row r="15" spans="1:6" ht="30" customHeight="1" x14ac:dyDescent="0.55000000000000004">
      <c r="A15" s="138" t="s">
        <v>302</v>
      </c>
      <c r="B15" s="92"/>
      <c r="C15" s="92"/>
      <c r="D15" s="92"/>
      <c r="E15" s="92"/>
      <c r="F15" s="86"/>
    </row>
  </sheetData>
  <mergeCells count="4">
    <mergeCell ref="A2:F2"/>
    <mergeCell ref="A1:F1"/>
    <mergeCell ref="A4:F4"/>
    <mergeCell ref="A15:F15"/>
  </mergeCells>
  <conditionalFormatting sqref="F6:F13">
    <cfRule type="containsText" dxfId="1" priority="1" operator="containsText" text="Temin">
      <formula>NOT(ISERROR(SEARCH("Temin",F6:F13)))</formula>
    </cfRule>
    <cfRule type="containsText" dxfId="0" priority="2" operator="containsText" text="Eksik">
      <formula>NOT(ISERROR(SEARCH("Eksik",F6:F13)))</formula>
    </cfRule>
  </conditionalFormatting>
  <dataValidations count="1">
    <dataValidation type="list" sqref="F6:F13" xr:uid="{00000000-0002-0000-0400-000000000000}">
      <formula1>"Temin Edildi ✓,Eksik ✗,Geçerli Değil,Devam"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</vt:lpstr>
      <vt:lpstr>MUHASEBE KAYITLARI</vt:lpstr>
      <vt:lpstr>DENETÇİ NOTLARI</vt:lpstr>
      <vt:lpstr>BELGE LİSTESİ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2026-04-08T07:51:04Z</dcterms:created>
  <dcterms:modified xsi:type="dcterms:W3CDTF">2026-04-08T07:59:38Z</dcterms:modified>
</cp:coreProperties>
</file>