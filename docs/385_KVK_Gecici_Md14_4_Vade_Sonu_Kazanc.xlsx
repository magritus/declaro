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D54991F-C4D0-4852-85DB-C5C3A446822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50" i="1"/>
  <c r="C46" i="1"/>
  <c r="D6" i="2"/>
  <c r="E40" i="1"/>
  <c r="C45" i="1" s="1"/>
  <c r="G39" i="1"/>
  <c r="G38" i="1"/>
  <c r="G37" i="1"/>
  <c r="G36" i="1"/>
  <c r="G35" i="1"/>
  <c r="G34" i="1"/>
  <c r="G33" i="1"/>
  <c r="G32" i="1"/>
  <c r="G40" i="1" s="1"/>
  <c r="E15" i="1"/>
  <c r="D5" i="2" s="1"/>
  <c r="C47" i="1" l="1"/>
</calcChain>
</file>

<file path=xl/sharedStrings.xml><?xml version="1.0" encoding="utf-8"?>
<sst xmlns="http://schemas.openxmlformats.org/spreadsheetml/2006/main" count="389" uniqueCount="295">
  <si>
    <t>385 – KVK GEÇİCİ MADDE 14/4 | VADE SONUNDA OLUŞAN KAZANÇ İSTİSNASI | PARAGRAF 4 — GENEL VADE SONU KAZANCI | 383/384 DIŞINDA KALAN | YMM TASDİK</t>
  </si>
  <si>
    <t>KVK Geçici Md.14/4 (Paragraf 4) | Vade Sonunda Oluşan Kazanç — Kâr Payı/Faiz Dışındaki Tüm Vade Kazançları | Beyanname 385 | ★ YİAKV MATRAHINDA DÜŞÜLEMEZ | Paragraf 4 Paketi Tamamlandı (383-384-385)</t>
  </si>
  <si>
    <t xml:space="preserve">  PARAGRAF 4 (Md.14/4) ÜÇ KOD PAKETİ:
  383 (Md.14/4): Dönem sonu değerlemesinden doğan kâr payı ve faiz → 31 Aralık tahakkuk | 181/642
  384 (Md.14/4): Kâr payı ve faiz istisnası → Genel tahsilat/vade/dönemsel | 102/(181+642)
  385 (Md.14/4): Vade sonunda oluşan KAZANÇ → 383/384 dışında kalan tüm vade sonu kazançlar → BU DOSYA
  ★ 385 = 374 (P1), 378 (P2), 382 (P3) 'diğer kazançlar' kodlarının Paragraf 4 karşılığı.</t>
  </si>
  <si>
    <t xml:space="preserve">  ★★ YİAKV (KVK Md.32/C) KRİTİK: 385 kapsamındaki vade sonu kazanç istisnası YİAKV matrahından DÜŞÜLEMEZ. KVK Geçici Md.14 tüm kodları E.7 DÜŞÜLEMEZ listesindedir.</t>
  </si>
  <si>
    <t>A0. KAPSAM VE NİTELİK UYGUNLUK ÖN KONTROLÜ</t>
  </si>
  <si>
    <t>Kontrol Sorusu</t>
  </si>
  <si>
    <t>Yanıt</t>
  </si>
  <si>
    <t>YMM Tasdik Notu</t>
  </si>
  <si>
    <t>A0.1  KVK Geçici Md.14/4 kapsamında işlem gerçekleştirildi mi?</t>
  </si>
  <si>
    <t>EVET</t>
  </si>
  <si>
    <t>385, KVK Geçici Md.14/4 kapsamı araçların vade sonunda oluşan kazançlarına uygulanır.</t>
  </si>
  <si>
    <t>A0.2  ★ Bu kazanç 383 (dönem sonu tahakkuk) ve 384 (kâr payı/faiz) kapsamına girmiyor mu?</t>
  </si>
  <si>
    <t>385 = 383 (accrual) + 384 (kâr payı/faiz) DIŞINDA kalan vade sonu kazançlar. Örnek: Vade sonu değer artışı, sermaye kazancı, prim, enflasyon farkı vb.</t>
  </si>
  <si>
    <t>A0.3  Vade tarihi dönem içinde (01.01–31.12) mi?</t>
  </si>
  <si>
    <t>385, vade sonu kazancı olduğundan vade tarihinin dönem içinde olması zorunludur.</t>
  </si>
  <si>
    <t>A0.4  Kazanç türü belirlendi mi? (Değer artışı / Sermaye kazancı / Prim / Enflasyon farkı / Diğer)</t>
  </si>
  <si>
    <t>Değer Artışı Kazancı</t>
  </si>
  <si>
    <t>385 kapsamı: Kâr payı/faiz dışındaki tüm P4 vade sonu kazançlar. Her tür için ayrı belge zorunludur.</t>
  </si>
  <si>
    <t>A0.5  383/384/374/378/382 ile mükerrerlik analizi yapıldı mı?</t>
  </si>
  <si>
    <t>Aynı vade kazancının hem 384 hem 385'e yazılması mükerrerlik oluşturur. 374/378/382 ile de ayrıştırma: Paragraf 4 araçları → 385.</t>
  </si>
  <si>
    <t>A0.6  ★ 385 tutarının YİAKV matrahından DÜŞÜLMEDIĞI teyit edildi mi?</t>
  </si>
  <si>
    <t>KVK Geçici Md.14 tüm kodları YİAKV matrahından DÜŞÜLEMEZ. E.7'de 385 de kontrol edilmeli.</t>
  </si>
  <si>
    <t>A0.7  GİB Özelgesi alındı mı veya değerlendirildi mi?</t>
  </si>
  <si>
    <t>Paragraf 4 vade kazancı yeni ve tartışmalı olabilir. GİB özelgesi risk yönetimi için tavsiye edilir.</t>
  </si>
  <si>
    <t>A0.8  Tasdik Uygunluk Sonucu</t>
  </si>
  <si>
    <t>★ A0.2 (383/384 dışı), A0.5 (mükerrerlik),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</si>
  <si>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</si>
  <si>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</si>
  <si>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</si>
  <si>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</si>
  <si>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</si>
  <si>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</si>
  <si>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</si>
  <si>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</si>
  <si>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</si>
  <si>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</si>
  <si>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YMM-2025/385-01</t>
  </si>
  <si>
    <t>383/384 Referansı</t>
  </si>
  <si>
    <t>Paragraf 4 kâr payı/faiz kodları — 385 bunların dışındaki vade kazançları</t>
  </si>
  <si>
    <t>B. KAZANÇ TÜRÜ ANALİZİ — 385 KAPSAMININ KATEGORİLERİ (Paragraf 4)</t>
  </si>
  <si>
    <t xml:space="preserve">  385 = 383 (dönem sonu tahakkuk) + 384 (kâr payı/faiz) DIŞINDA kalan her Paragraf 4 vade sonu kazancı. Her kalem için GİB'e açıklanabilir yasal dayanak ve belge zorunludur. 374/378/382 'diğer kazançlar' ile yapısal simetri.</t>
  </si>
  <si>
    <t xml:space="preserve">  BAŞLICA 385 KALEMLERİ:
  ① DEĞER ARTIŞI KAZANCI: Paragraf 4 aracının vade sonunda nominal değerinin üzerinde oluşan kazanç (anaparaya ek artış, enflasyon etkisi vb.).
  ② SERMAYE KAZANCI: Paragraf 4 aracından vade sonunda elde edilen kâr payı/faiz niteliğinde olmayan sermaye kazancı.
  ③ PRİM / TEŞVİK ÖDEMESİ: Paragraf 4 kapsamı araç için banka tarafından ödenen prim (384'teki kâr payı/faiz niteliği taşımayan kısım).
  ④ ENFLASYON FARKI KAZANCI: Paragraf 4 aracından vade sonunda enflasyon düzeltmesi kaynaklı kazanç.
  ⑤ DİĞER: 383/384 kapsamına girmeyen her türlü Paragraf 4 vade sonu kazancı.
  NOT: 374 (P1), 378 (P2), 382 (P3) ile simetrik — Paragraf 4'ün 'diğer vade sonu kazançlar' kategorisi.</t>
  </si>
  <si>
    <t>C. VADE SONU KAZANÇ TABLOSU (385) — KALEMİ VE TUTARI GİRİN</t>
  </si>
  <si>
    <t xml:space="preserve">  Her 385 kalemi için ayrı satır. SÜTUN 3 (kazanç türü) ve SÜTUN 5 (tutar) ANA GİRİŞ. 383/384 ile mükerrerlik var mı? kontrolü SÜTUN 6'da yapılır.</t>
  </si>
  <si>
    <t>Kazanç Türü</t>
  </si>
  <si>
    <t>Açıklama / Hesap</t>
  </si>
  <si>
    <t>P4 Araç</t>
  </si>
  <si>
    <t>Vade Tarihi</t>
  </si>
  <si>
    <t>385 Brüt Tutar (TL)</t>
  </si>
  <si>
    <t>383/384 Mükerrerlik?</t>
  </si>
  <si>
    <t>Net 385 İstisna (TL)</t>
  </si>
  <si>
    <t>Yok</t>
  </si>
  <si>
    <t>TOPLAM</t>
  </si>
  <si>
    <t>385 Kapsamı Vade Sonu Kazançlar → Beyanname 385</t>
  </si>
  <si>
    <t>—</t>
  </si>
  <si>
    <t xml:space="preserve">  SÜTUN 5 (yeşil çerçeve): 385 kapsamı vade sonu kazanç — ANA GİRİŞ (banka belgesi veya hesaplama). SÜTUN 6: Mükerrerlik analizi — 383/384'te zaten gösterildiyse 'Var' seçin, net 385 = 0. 374 (P1)/378 (P2)/382 (P3) ile de ayrıştırma: Paragraf 4 araçları → 385.</t>
  </si>
  <si>
    <t>D. VADE SONU KAZANÇ İSTİSNASI ÖZET — BEYANNAME 385</t>
  </si>
  <si>
    <t>Hesap Kalemi</t>
  </si>
  <si>
    <t>Tutar (TL)</t>
  </si>
  <si>
    <t>Açıklama</t>
  </si>
  <si>
    <t>YMM Notu</t>
  </si>
  <si>
    <t>D.1  Toplam 385 Brüt Kazanç</t>
  </si>
  <si>
    <t>C Sütun 5 toplamı</t>
  </si>
  <si>
    <t>D.2  Mükerrer Kalemler (383/384 ile çakışan)</t>
  </si>
  <si>
    <t>Mükerrer tutarlar — 385'e yazılmaz</t>
  </si>
  <si>
    <t>D.3  ★ NET 385 İSTİSNA TUTARI → BEYANNAME 385</t>
  </si>
  <si>
    <t>→ Beyanname 385 | Kazancın Bulunması Halinde</t>
  </si>
  <si>
    <t>KVK Geçici Md.14/4</t>
  </si>
  <si>
    <t>D.4  Kapsam Dışı (Paragraf 4 dışı araçlar)</t>
  </si>
  <si>
    <t>Vergilendirilir</t>
  </si>
  <si>
    <t>E.1  TOPLAM İSTİSNA → Beyanname Satır 385 (Kazancın Bulunması Halinde)</t>
  </si>
  <si>
    <t>D.3 — KVK Geçici Md.14/4 | Paragraf 4 Vade Sonu Kazançları</t>
  </si>
  <si>
    <t xml:space="preserve">  PARAGRAF 4 PAKETİ TAMAMLANDI (383-384-385):
  383: Dönem sonu tahakkuk (31 Aralık) | 384: Kâr payı ve faiz (genel) | 385: Vade sonu kazanç (BU)
  Paralel zincirler: P1(372-373-374) | P2(376-377-378) | P3(380-381-382) | P4(383-384-385)
  ★★ 383/384/385 tamamı YİAKV matrahından DÜŞÜLEMEZ. E.7'de üç satır da kontrol edilmeli.
  385 = 374, 378, 382'nin Paragraf 4 karşılığı. GİB özelgesi tavsiye edilir.</t>
  </si>
  <si>
    <t>385 – KVK GEÇİCİ MD.14/4 VADE SONU KAZANÇ | HESAPLAMALAR VE DENETİM</t>
  </si>
  <si>
    <t>Paragraf 4 Vade Sonu Kazancı | 383/384 Dışı | Beyanname 385 | YİAKV MATRAHINDA DÜŞÜLEMEZ | P4 Paketi Tamamlandı</t>
  </si>
  <si>
    <t>A. TASDİK ÖZETİ</t>
  </si>
  <si>
    <t>A0 Uygunluğu</t>
  </si>
  <si>
    <t>OK ise devam</t>
  </si>
  <si>
    <t>Kazanç Türü (A0.4)</t>
  </si>
  <si>
    <t>Değer artışı/Sermaye/Prim/Enflasyon/Diğer</t>
  </si>
  <si>
    <t>Toplam Brüt (D.1)</t>
  </si>
  <si>
    <t>Mükerrer Kalemler (D.2)</t>
  </si>
  <si>
    <t>383/384 çakışan — hariç tutuldu</t>
  </si>
  <si>
    <t>385 NET İSTİSNA (D.3)</t>
  </si>
  <si>
    <t>★★ YİAKV'de DÜŞÜLEMEZ</t>
  </si>
  <si>
    <t>Tüm KVK Geçici Md.14 kodları E.7</t>
  </si>
  <si>
    <t>Her zaman DÜŞÜLEMEZ</t>
  </si>
  <si>
    <t>B. 374 / 378 / 382 / 385 — VADE SONU DİĞER/GENEL KAZANÇ DÖRT PARAGRAF KARŞILAŞTIRMASI</t>
  </si>
  <si>
    <t>Özellik</t>
  </si>
  <si>
    <t>374 (Md.14/1-b) P1</t>
  </si>
  <si>
    <t>378 (Md.14/2) P2</t>
  </si>
  <si>
    <t>382 (Md.14/3) P3</t>
  </si>
  <si>
    <t>385 (Md.14/4) P4</t>
  </si>
  <si>
    <t>Ortak</t>
  </si>
  <si>
    <t>YİAKV</t>
  </si>
  <si>
    <t>Adı</t>
  </si>
  <si>
    <t>Vade diğer kazançlar</t>
  </si>
  <si>
    <t>Vade sonu kazanç</t>
  </si>
  <si>
    <t>Dördü 'diğer/genel'</t>
  </si>
  <si>
    <t>Dördü DÜŞÜLEMEZ</t>
  </si>
  <si>
    <t>Kapsam</t>
  </si>
  <si>
    <t>371-373 dışı P1</t>
  </si>
  <si>
    <t>375-377 dışı P2</t>
  </si>
  <si>
    <t>379-381 dışı P3</t>
  </si>
  <si>
    <t>383-384 dışı P4</t>
  </si>
  <si>
    <t>Her paragraf 'diğer'</t>
  </si>
  <si>
    <t>E.7</t>
  </si>
  <si>
    <t>Muhasebe</t>
  </si>
  <si>
    <t>646/648/679</t>
  </si>
  <si>
    <t>Türüne göre</t>
  </si>
  <si>
    <t>Ticari kârda</t>
  </si>
  <si>
    <t>Özelge</t>
  </si>
  <si>
    <t>Tartışmalı kalemler</t>
  </si>
  <si>
    <t>GİB özelgesi</t>
  </si>
  <si>
    <t>Tüm P için</t>
  </si>
  <si>
    <t xml:space="preserve">  PARAGRAF 4 (Md.14/4) TAM PAKETİ — 383+384+385:
  383: Dönem sonu tahakkuk (31 Aralık, 181/642) | 384: Kâr payı/faiz genel (102/(181+642)) | 385: Vade sonu kazanç-diğer (646/648/679) ← BU
  Paralel: P1(372+373+374) | P2(376+377+378) | P3(380+381+382) | P4(383+384+385)</t>
  </si>
  <si>
    <t>C. DENETİM KONTROL LİSTESİ (K1–K12)</t>
  </si>
  <si>
    <t>Kontrol</t>
  </si>
  <si>
    <t>Sonuç</t>
  </si>
  <si>
    <t>K1</t>
  </si>
  <si>
    <t>★ Paragraf 4 kapsamı analizi yapıldı ve belgelendi mi?</t>
  </si>
  <si>
    <t>GİB Beyan Reh. No:606 + CB Kararları referans alındı.</t>
  </si>
  <si>
    <t>Uygun/Eksik/Risk</t>
  </si>
  <si>
    <t>K2</t>
  </si>
  <si>
    <t>★ Bu kazanç 383 (dönem sonu tahakkuk) ve 384 (kâr payı/faiz) kapsamına girmiyor mu?</t>
  </si>
  <si>
    <t>385 = 383+384 dışı. Her iki kodun kapsamı karşılaştırılarak teyit.</t>
  </si>
  <si>
    <t>K3</t>
  </si>
  <si>
    <t>Kazanç türü belgelendi mi? (Banka belgesi / Hesaplama)</t>
  </si>
  <si>
    <t>Her 385 kalemi için ayrı belge ve yasal dayanak.</t>
  </si>
  <si>
    <t>K4</t>
  </si>
  <si>
    <t>★ 383/384 ile mükerrerlik analizi (C Sütun 6) yapıldı mı?</t>
  </si>
  <si>
    <t>'Yok' olanlar 385'e yazıldı. 'Var' olanlar dışlandı (D.2).</t>
  </si>
  <si>
    <t>K5</t>
  </si>
  <si>
    <t>374/378/382 ile doğru ayrıştırıldı mı?</t>
  </si>
  <si>
    <t>Paragraf 4 araçları → 385. Diğer paragraflara karıştırma yok.</t>
  </si>
  <si>
    <t>K6</t>
  </si>
  <si>
    <t>Vade tarihi dönem içinde (01.01–31.12) mi?</t>
  </si>
  <si>
    <t>Sonraki dönemde vadeye girenler → Gelecek yıl 385.</t>
  </si>
  <si>
    <t>K7</t>
  </si>
  <si>
    <t>★ Tartışmalı kapsam için GİB özelgesi alındı mı?</t>
  </si>
  <si>
    <t>385 'diğer/genel' niteliği tartışmalı olabilir — özelge tavsiye.</t>
  </si>
  <si>
    <t>K8</t>
  </si>
  <si>
    <t>★★ 385 istisnası YİAKV matrahından DÜŞÜLMEDI mi?</t>
  </si>
  <si>
    <t>Tüm KVK Geçici Md.14 kodları YİAKV E.7'de DÜŞÜLEMEZ.</t>
  </si>
  <si>
    <t>K9</t>
  </si>
  <si>
    <t>Paragraf 4 paketi (383+384+385) eksiksiz mi? YİAKV E.7 güncellendi mi?</t>
  </si>
  <si>
    <t>Üç kod tamamı E.7'de — güncelleme zorunlu.</t>
  </si>
  <si>
    <t>K10</t>
  </si>
  <si>
    <t>Beyanname 385 'Kazancın Bulunması Halinde' bölümünde mi?</t>
  </si>
  <si>
    <t>Zarar döneminde uygulanamaz.</t>
  </si>
  <si>
    <t>K11</t>
  </si>
  <si>
    <t>Birden fazla 385 kalemi varsa her biri ayrı satırda mı?</t>
  </si>
  <si>
    <t>Her kalem C tablosunda ayrı satır ve belge.</t>
  </si>
  <si>
    <t>K12</t>
  </si>
  <si>
    <t>YMM Tasdik Raporu (49 No.lu Tebliğ) değerlendirildi mi?</t>
  </si>
  <si>
    <t>&gt;=500.000 TL → YMM raporu.</t>
  </si>
  <si>
    <t>385 – KVK GEÇİCİ MD.14/4 VADE SONU KAZANÇ | MUHASEBE KAYITLARI | P4 PAKETİ KAPANIŞI</t>
  </si>
  <si>
    <t>Vade Sonu Kazanç | 374/378/382/385 Karşılaştırma | 383-384-385 Paragraf 4 Tam Tablo</t>
  </si>
  <si>
    <t>KAYIT 1 — VADE SONU: PARAGRAF 4 KAZANCI (383/384 DIŞINDA)</t>
  </si>
  <si>
    <t>Tarih</t>
  </si>
  <si>
    <t>Hesap</t>
  </si>
  <si>
    <t>Not</t>
  </si>
  <si>
    <t>Dr</t>
  </si>
  <si>
    <t>Kr</t>
  </si>
  <si>
    <t>Ref</t>
  </si>
  <si>
    <t>[Vade Tarihi]</t>
  </si>
  <si>
    <t>102 Bankalar / Çeşitli</t>
  </si>
  <si>
    <t>Paragraf 4 vade sonu kazanç tahsilatı</t>
  </si>
  <si>
    <t>[Tutar]</t>
  </si>
  <si>
    <t>Banka/Belge</t>
  </si>
  <si>
    <t>646 Kambiyo Kârları / 679 Diğer Kâr / 648 Diğer Gelir</t>
  </si>
  <si>
    <t>P4 vade sonu kazancı (kâr payı/faiz dışı) → KVK Geçici Md.14/4 → Beyanname 385</t>
  </si>
  <si>
    <t>KV 385</t>
  </si>
  <si>
    <t>KAYIT 2 — 383/384/385 PARAGRAF 4 TAM MUHASEBE TABLOSU</t>
  </si>
  <si>
    <t>383</t>
  </si>
  <si>
    <t>31.12</t>
  </si>
  <si>
    <t>181/642</t>
  </si>
  <si>
    <t>P4: Dönem sonu tahakkuk (accrual) → 383</t>
  </si>
  <si>
    <t>[383]</t>
  </si>
  <si>
    <t>KV 383</t>
  </si>
  <si>
    <t>384</t>
  </si>
  <si>
    <t>Tahsilat</t>
  </si>
  <si>
    <t>102/(181+642)</t>
  </si>
  <si>
    <t>P4: Kâr payı/faiz genel (vade/dönemsel) → 384</t>
  </si>
  <si>
    <t>[384]</t>
  </si>
  <si>
    <t>KV 384</t>
  </si>
  <si>
    <t>385</t>
  </si>
  <si>
    <t>Vade</t>
  </si>
  <si>
    <t>P4: Vade sonu kazanç (kâr payı/faiz dışı) → 385 (BU)</t>
  </si>
  <si>
    <t>[385]</t>
  </si>
  <si>
    <t>KAYIT 3 — 374 / 378 / 382 / 385 DÖRT PARAGRAF YAN YANA</t>
  </si>
  <si>
    <t>374</t>
  </si>
  <si>
    <t>[Vade]</t>
  </si>
  <si>
    <t>P1 AKT: TL KKM vade diğer kazançlar → 374</t>
  </si>
  <si>
    <t>[374]</t>
  </si>
  <si>
    <t>KV 374</t>
  </si>
  <si>
    <t>378</t>
  </si>
  <si>
    <t>P2 PAS: Borç araç vade diğer kazançlar → 378</t>
  </si>
  <si>
    <t>[378]</t>
  </si>
  <si>
    <t>KV 378</t>
  </si>
  <si>
    <t>382</t>
  </si>
  <si>
    <t>P3 ALT: Altın araç vade diğer kazançlar → 382</t>
  </si>
  <si>
    <t>[382]</t>
  </si>
  <si>
    <t>KV 382</t>
  </si>
  <si>
    <t>P4: Vade sonu kazanç-genel → 385 (BU)</t>
  </si>
  <si>
    <t xml:space="preserve">  PARAGRAF 4 PAKETİ TAMAMLANDI (383+384+385):
  YİAKV: 374+378+382+385 dördünün de geliri ve 383+384+385 tamamı YİAKV MATRAHINDA DÜŞÜLEMEZ (E.7).
  KVK Geçici Md.14 Paragraflar 1-4 arası tüm kodlar YİAKV E.7'de eksiksiz listeli olmalıdır.
  Paralel yapı: P1(370-374) | P2(375-378) | P3(379-382) | P4(383-385)</t>
  </si>
  <si>
    <t>385 – KVK GEÇİCİ MD.14/4 VADE SONU KAZANÇ | DENETÇİ NOTLARI | P4 PAKETİ KAPANIŞI</t>
  </si>
  <si>
    <t>GİB KV Beyan Rehberi Mart 2026 (No:606) | 374/378/382 Karşılaştırması | 383-384-385 Paketi | YİAKV</t>
  </si>
  <si>
    <t>Kod</t>
  </si>
  <si>
    <t>Konu</t>
  </si>
  <si>
    <t>Mesleki Değerlendirme / Tasdik Standardı</t>
  </si>
  <si>
    <t>Mevzuat / Kaynak</t>
  </si>
  <si>
    <t>N1</t>
  </si>
  <si>
    <t>KVK Geçici Md.14/4 — 385 Kapsamı ve 374/378/382 ile Karşılaştırması</t>
  </si>
  <si>
    <t>385 (PARAGRAF 4 — VADE SONU KAZANÇ) TANIMI:
KVK Geçici Madde 14/4 kapsamındaki araçlardan vade sonunda elde edilen, 383 (dönem sonu tahakkuk) ve 384 (kâr payı/faiz) dışında kalan tüm kazançlar.
374/378/382/385 KARŞILAŞTIRMASI:
Her dördü de 'diğer/genel vade sonu kazanç' kategorisindedir:
• 374 (P1): TL KKM araçları — 371/372/373 dışı
• 378 (P2): Borç TL araçları — 375/376/377 dışı
• 382 (P3): Altın TL araçları — 379/380/381 dışı
• 385 (P4): Paragraf 4 araçları — 383/384 dışı
385 KAPSAMINA GİREN KAZANÇ TÜRLERİ:
① Değer artışı kazancı ② Sermaye kazancı
③ Prim/teşvik ödemesi ④ Enflasyon farkı kazancı
⑤ Diğer (383/384 dışında kalan her P4 vade sonu kazancı)
BEYANNAME: 385 | Kazancın Bulunması Halinde İndirilecek</t>
  </si>
  <si>
    <t>KVK Geçici Md.14/4 | GİB KV Beyan Reh. 2026 (No:606)</t>
  </si>
  <si>
    <t>N2</t>
  </si>
  <si>
    <t>★ 383/384 ile Mükerrerlik Önleme ve Paragraf 4 Paketi Bütünlüğü</t>
  </si>
  <si>
    <t>383/384/385 MÜKERRERLIK ANALİZİ:
Aynı Paragraf 4 aracından üç tür kazanç oluşabilir:
① 383: Dönem sonu (31 Aralık) accrual faiz/kâr payı → AYRI satır
② 384: Vade/dönemsel kâr payı/faiz tahsilatı → AYRI satır (383 mahsubu yapılmış)
③ 385: Vade sonu kâr payı/faiz dışı kazanç (değer artışı vb.) → AYRI satır
BU MÜKERRERLİK DEĞİL — üçü ayrı kalem, ayrı beyanname satırı.
MÜKERRERLİK HATASI:
Aynı kazancın hem 384 (kâr payı/faiz) hem 385 (diğer kazanç) olarak raporlanması.
C tablosu Sütun 6: '383/384 ile mükerrerlik var mı?' kontrolü yapılmalı.
ÖZELGE: Kazancın 384 mi yoksa 385 mi kapsamında olduğu belirsizse özelge alınmalı.</t>
  </si>
  <si>
    <t>KVK Geçici Md.14/4 | 383/384 Çalışma Kâğıtları</t>
  </si>
  <si>
    <t>N3</t>
  </si>
  <si>
    <t>★★ YİAKV ile İlişki — KVK Geçici Md.14 Tüm Kodlar DÜŞÜLEMEZ</t>
  </si>
  <si>
    <t>KVK GEÇİCİ MD.14 KAPSAMININ TAMAMININ YİAKV MATRAHINDA DÜŞÜLEMEZLİĞİ:
Paragraf 1: 370|371|372|373|374 → DÜŞÜLEMEZ
Paragraf 2: 375|376|377|378 → DÜŞÜLEMEZ
Paragraf 3: 379|380|381|382 → DÜŞÜLEMEZ
Paragraf 4: 383|384|385|... → DÜŞÜLEMEZ
YİAKV E.7 (Güncellenmeli — 385 eklenmeli):
'KVK Geçici Md.14 (Tüm Paragraflar 1-4, Kodlar 370-385+)
→ DÜŞÜLEMEZ ✗ | Beyanname 370/.../383/384/385'
YMM, 385'in eklenmesiyle E.7'yi güncellemelidir.</t>
  </si>
  <si>
    <t>KVK Md.32/C | YİAKV Reh. (No:607) | GİB KV Beyan Reh. (No:606)</t>
  </si>
  <si>
    <t>N4</t>
  </si>
  <si>
    <t>Paragraf 4 Paketi Tamamlandı: 383 → 384 → 385</t>
  </si>
  <si>
    <t>PARAGRAF 4 ZİNCİRİ TAMAMLANDI:
383 (Md.14/4): Dönem sonu tahakkuk (31 Aralık, accrual)
384 (Md.14/4): Kâr payı ve faiz (genel — vade/dönemsel/doğrudan)
385 (Md.14/4): Vade sonu kazanç (kâr payı/faiz dışı — değer artışı/sermaye/prim vb.)
PARAGRAF KARŞILAŞTIRMASI:
  P1: 372 (dönem sonu) → 373 (vade kâr/faiz) → 374 (vade diğer)
  P2: 376 (dönem sonu) → 377 (vade kâr/faiz) → 378 (vade diğer)
  P3: 380 (dönem sonu) → 381 (vade kâr/faiz) → 382 (vade diğer)
  P4: 383 (dönem sonu) → 384 (kâr/faiz genel) → 385 (vade kazanç) ← BU
Paragraf 4'ün simetrik yapısı tamamlandı. Devam eden kodlar varsa aynı zincir mantığı geçerli.</t>
  </si>
  <si>
    <t>KVK Geçici Md.14/4 | VUK Md.280/281</t>
  </si>
  <si>
    <t>N5</t>
  </si>
  <si>
    <t>49 No.lu Tebliğ + YMM Tasdik Dil Standardı</t>
  </si>
  <si>
    <t>KULLANIN:
'...KVK Geçici Madde 14/4 kapsamındaki [Araç Türü] hesabından vade sonunda elde edilen,
faiz ve kâr payı istisnası dışında kalan [Tutar] TL [Kazanç Türü] kazancı, KVK Geçici
Madde 14/4 kapsamında kurumlar vergisinden istisna edilmiş ve yurt içi asgari kurumlar
vergisi matrahından indirilmemiştir.'
KULLANMAYIN:
'...385 tutarı YİAKV matrahından düşülmüştür.' (YANLIŞ)
'...Aynı kazanç hem 384 hem 385 kapsamındadır.' (Mükerrerlik)
'...Paragraf 4 kapsam analizi yapılmamıştır.' (Eksik analiz)
KRİTİK RİSKLER:
(1) 385'i YİAKV matrahından düşmek.
(2) 384 (kâr payı/faiz) ile 385 (diğer kazanç) ayrımını yapmamak.
(3) Paragraf 4 kapsam analizi yapmadan 385 uygulamak.
(4) YİAKV E.7'yi 385'i kapsayacak şekilde güncellememek.</t>
  </si>
  <si>
    <t>49 No.lu Tebliğ | KVK Geçici Md.14/4 | SM-SMMM-YMM K. Md.12</t>
  </si>
  <si>
    <t xml:space="preserve">  GİB KV BEYAN REHBERİ MART 2026 (No:606) KAPANIŞ (385): KVK Geçici Md.14 Paragraf 4 paketi tamamlandı (383+384+385). 385 = 374, 378, 382'nin P4 karşılığı. 383 (dönem sonu) + 384 (kâr/faiz) + 385 (vade kazanç) = P4 tam paketi. KVK Geçici Md.14 Paragraf 1-4 arası tüm kodlar YİAKV E.7'de eksiksiz listeli olmalı. GİB özelgesi tavsiye edilir. YMM müteselsil: SM-SMMM-YMM Kanunu Md.12.</t>
  </si>
  <si>
    <t>385 – KVK GEÇİCİ MD.14/4 VADE SONU KAZANÇ | BELGE LİSTESİ | P4 PAKETİ KAPANIŞI</t>
  </si>
  <si>
    <t>GİB KV Beyan Rehberi Mart 2026 (No:606) | 383/384 Çapraz | Paragraf 4 Kapsam | 374/378/382 Karşılaştırma</t>
  </si>
  <si>
    <t>KATEGORİ 1 — ZORUNLU BELGELER</t>
  </si>
  <si>
    <t>No</t>
  </si>
  <si>
    <t>Belge</t>
  </si>
  <si>
    <t>Temin</t>
  </si>
  <si>
    <t>1</t>
  </si>
  <si>
    <t>★ 383/384 Çalışma Kâğıtları — Mükerrerlik ve Kapsam Teyidi</t>
  </si>
  <si>
    <t>385'in 383 (dönem sonu tahakkuk) ve 384 (kâr payı/faiz) kapsamına girmediği teyit edilmeli.
Bu dosyalar üzerinden 'diğer/genel kazanç' niteliği kanıtlanmalıdır.</t>
  </si>
  <si>
    <t>383/384 çalışma kâğıtları</t>
  </si>
  <si>
    <t>2</t>
  </si>
  <si>
    <t>★ Kazanç Türüne Özgü Belge (Hesap belgesi / Banka yazısı / Hesaplama)</t>
  </si>
  <si>
    <t>Her 385 kalemi için ayrı belge: Değer artışı → Fiyat tablosu. Prim → Banka yazısı.
Her kalem için ayrı yasal dayanak ve belge zorunludur.</t>
  </si>
  <si>
    <t>Kazanç türüne göre</t>
  </si>
  <si>
    <t>3</t>
  </si>
  <si>
    <t>★ Paragraf 4 Kapsam Analizi Belgesi (YMM Tarafından)</t>
  </si>
  <si>
    <t>385'in KVK Geçici Md.14/4 kapsamında olduğunu ve 383/384 dışında kaldığını gösteren YMM analizi.</t>
  </si>
  <si>
    <t>YMM tarafından hazırlanır</t>
  </si>
  <si>
    <t>4</t>
  </si>
  <si>
    <t>GİB Özelgesi (Tartışmalı Kalemler İçin — Tavsiye)</t>
  </si>
  <si>
    <t>385 'diğer/genel' niteliği tartışmalı olabilir — GİB özelgesi risk yönetiminin temelidir.</t>
  </si>
  <si>
    <t>GİB özelge sistemi</t>
  </si>
  <si>
    <t>5</t>
  </si>
  <si>
    <t>KV Beyannamesi — 385. Satır + YİAKV E.7 Güncelleme</t>
  </si>
  <si>
    <t>'Kazancın Bulunması Halinde' bölümü. YİAKV E.7 güncellenmiş (383+384+385 dahil).</t>
  </si>
  <si>
    <t>GİB e-Beyanname + YİAKV çalışma kâğıdı</t>
  </si>
  <si>
    <t>KATEGORİ 2 — EK BELGELER</t>
  </si>
  <si>
    <t>6</t>
  </si>
  <si>
    <t>374/378/382 ile Paragraf Ayrıştırma Belgesi</t>
  </si>
  <si>
    <t>P4 araçlarının 374/378/382 kapsamına girmediğinin teyidi.</t>
  </si>
  <si>
    <t>Paragraf analizi notu</t>
  </si>
  <si>
    <t>7</t>
  </si>
  <si>
    <t>Muhasebe Yevmiyesi — 646/648/679 Vade Kazanç Kaydı</t>
  </si>
  <si>
    <t>385 kapsamı kazancın muhasebe kaydı. 642 (faiz) ile karışmamalı.</t>
  </si>
  <si>
    <t>Yevmiye defteri</t>
  </si>
  <si>
    <t>KATEGORİ 3 — YMM TASDİK KONTROL SORULARI (P4 PAKETİ KAPANIŞI)</t>
  </si>
  <si>
    <t>Beklenen Sonuç</t>
  </si>
  <si>
    <t>YMM Aksiyonu</t>
  </si>
  <si>
    <t>S1</t>
  </si>
  <si>
    <t>★ Paragraf 4 kapsam analizi yapıldı ve belgelendi mi?</t>
  </si>
  <si>
    <t>GİB Beyan Reh. + CB Kararları referans.</t>
  </si>
  <si>
    <t>YMM kontrolü</t>
  </si>
  <si>
    <t>S2</t>
  </si>
  <si>
    <t>★ Bu kazanç 383 ve 384 kapsamına girmiyor mu?</t>
  </si>
  <si>
    <t>383 vs 384 vs 385 ayrımı açık.</t>
  </si>
  <si>
    <t>S3</t>
  </si>
  <si>
    <t>'Yok' olanlar 385'e yazıldı.</t>
  </si>
  <si>
    <t>S4</t>
  </si>
  <si>
    <t>Kazanç türü belgelendi mi?</t>
  </si>
  <si>
    <t>Her kalem için belge ve yasal dayanak.</t>
  </si>
  <si>
    <t>S5</t>
  </si>
  <si>
    <t>P4 araçları → 385.</t>
  </si>
  <si>
    <t>S6</t>
  </si>
  <si>
    <t>Tartışmalı kalemler için GİB özelgesi alındı mı?</t>
  </si>
  <si>
    <t>GİB özelgesi — özellikle yeni P4 kalemler için.</t>
  </si>
  <si>
    <t>S7</t>
  </si>
  <si>
    <t>S8</t>
  </si>
  <si>
    <t>★ YİAKV E.7 satırı 383+384+385 dahil tüm kodları kapsıyor mu?</t>
  </si>
  <si>
    <t>P4 paketi E.7'de eksiksiz.</t>
  </si>
  <si>
    <t>S9</t>
  </si>
  <si>
    <t>S10</t>
  </si>
  <si>
    <t xml:space="preserve">  KVK GEÇİCİ MD.14 PARAGRAF 4 PAKETİ TAMAMLANDI (383+384+385):
  383: Dönem sonu tahakkuk (31 Aralık, 181/642) | 384: Kâr payı/faiz genel (102/(181+642)) | 385: Vade sonu kazanç (646/648/679)
  Paralel yapı: P1(372-373-374) | P2(376-377-378) | P3(380-381-382) | P4(383-384-385)
  ★★ TÜMÜ YİAKV MATRAHINDA DÜŞÜLEMEZ (E.7 — P4 dahil tüm kodlar eksiksiz listede).
  GİB KV Beyan Rehberi Mart 2026 (No:606) esas alınmıştır.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</si>
</sst>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9"/>
      <color rgb="FF7CB342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i/>
      <sz val="8"/>
      <color rgb="FF7CB342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880E4F"/>
      <name val="Arial"/>
      <family val="2"/>
      <charset val="162"/>
    </font>
    <font>
      <sz val="8"/>
      <color rgb="FF3949AB"/>
      <name val="Arial"/>
      <family val="2"/>
      <charset val="162"/>
    </font>
    <font>
      <sz val="8"/>
      <color rgb="FF00BCD4"/>
      <name val="Arial"/>
      <family val="2"/>
      <charset val="162"/>
    </font>
    <font>
      <sz val="8"/>
      <color rgb="FF7CB342"/>
      <name val="Arial"/>
      <family val="2"/>
      <charset val="162"/>
    </font>
    <font>
      <sz val="8"/>
      <color rgb="FF1F3864"/>
      <name val="Arial"/>
      <family val="2"/>
      <charset val="162"/>
    </font>
    <font>
      <b/>
      <sz val="8"/>
      <color rgb="FFC0392B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8"/>
      <color rgb="FF7CB342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8">
    <fill>
      <patternFill patternType="none"/>
    </fill>
    <fill>
      <patternFill patternType="gray125"/>
    </fill>
    <fill>
      <patternFill patternType="solid">
        <fgColor rgb="FF7CB342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1F8E9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9FBE7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CB342"/>
      </left>
      <right style="thin">
        <color rgb="FF7CB342"/>
      </right>
      <top style="thin">
        <color rgb="FF7CB342"/>
      </top>
      <bottom style="thin">
        <color rgb="FF7CB342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3" fontId="14" fillId="14" borderId="3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3" fontId="15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19" fillId="13" borderId="4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3" fillId="13" borderId="1" xfId="0" applyNumberFormat="1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30" fillId="19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13" fillId="20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0" fillId="19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left" vertical="top" wrapText="1"/>
    </xf>
    <xf numFmtId="0" fontId="35" fillId="9" borderId="1" xfId="0" applyFont="1" applyFill="1" applyBorder="1" applyAlignment="1">
      <alignment horizontal="left" vertical="top" wrapText="1"/>
    </xf>
    <xf numFmtId="0" fontId="35" fillId="11" borderId="1" xfId="0" applyFont="1" applyFill="1" applyBorder="1" applyAlignment="1">
      <alignment horizontal="left" vertical="top" wrapText="1"/>
    </xf>
    <xf numFmtId="0" fontId="8" fillId="19" borderId="1" xfId="0" applyFont="1" applyFill="1" applyBorder="1" applyAlignment="1">
      <alignment horizontal="left" vertical="top" wrapText="1"/>
    </xf>
    <xf numFmtId="0" fontId="35" fillId="19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13" fillId="23" borderId="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0" fillId="24" borderId="1" xfId="0" applyFill="1" applyBorder="1"/>
    <xf numFmtId="0" fontId="5" fillId="24" borderId="1" xfId="0" applyFont="1" applyFill="1" applyBorder="1" applyAlignment="1">
      <alignment horizontal="center" vertical="top"/>
    </xf>
    <xf numFmtId="0" fontId="5" fillId="24" borderId="1" xfId="0" applyFont="1" applyFill="1" applyBorder="1" applyAlignment="1">
      <alignment horizontal="left" vertical="top" wrapText="1"/>
    </xf>
    <xf numFmtId="0" fontId="13" fillId="25" borderId="1" xfId="0" applyFont="1" applyFill="1" applyBorder="1" applyAlignment="1">
      <alignment horizontal="left" vertical="top" wrapText="1"/>
    </xf>
    <xf numFmtId="0" fontId="35" fillId="24" borderId="1" xfId="0" applyFont="1" applyFill="1" applyBorder="1" applyAlignment="1">
      <alignment horizontal="left" vertical="top" wrapText="1"/>
    </xf>
    <xf numFmtId="0" fontId="1" fillId="26" borderId="2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top"/>
    </xf>
    <xf numFmtId="0" fontId="13" fillId="21" borderId="1" xfId="0" applyFont="1" applyFill="1" applyBorder="1" applyAlignment="1">
      <alignment horizontal="left" vertical="top" wrapText="1"/>
    </xf>
    <xf numFmtId="0" fontId="38" fillId="19" borderId="1" xfId="0" applyFont="1" applyFill="1" applyBorder="1" applyAlignment="1">
      <alignment horizontal="center" vertical="top"/>
    </xf>
    <xf numFmtId="0" fontId="37" fillId="24" borderId="1" xfId="0" applyFont="1" applyFill="1" applyBorder="1" applyAlignment="1">
      <alignment horizontal="center" vertical="top"/>
    </xf>
    <xf numFmtId="0" fontId="37" fillId="24" borderId="1" xfId="0" applyFont="1" applyFill="1" applyBorder="1" applyAlignment="1">
      <alignment horizontal="left" vertical="top" wrapText="1"/>
    </xf>
    <xf numFmtId="0" fontId="38" fillId="24" borderId="1" xfId="0" applyFont="1" applyFill="1" applyBorder="1" applyAlignment="1">
      <alignment horizontal="center" vertical="top"/>
    </xf>
    <xf numFmtId="0" fontId="37" fillId="21" borderId="1" xfId="0" applyFont="1" applyFill="1" applyBorder="1" applyAlignment="1">
      <alignment horizontal="center" vertical="top"/>
    </xf>
    <xf numFmtId="0" fontId="13" fillId="27" borderId="1" xfId="0" applyFont="1" applyFill="1" applyBorder="1" applyAlignment="1">
      <alignment horizontal="left" vertical="top" wrapText="1"/>
    </xf>
    <xf numFmtId="0" fontId="38" fillId="21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7" fillId="9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13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5" fillId="13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0" fillId="1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7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4" fillId="15" borderId="2" xfId="0" applyFont="1" applyFill="1" applyBorder="1" applyAlignment="1">
      <alignment horizontal="left" vertical="center"/>
    </xf>
    <xf numFmtId="0" fontId="0" fillId="15" borderId="2" xfId="0" applyFill="1" applyBorder="1"/>
    <xf numFmtId="0" fontId="13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5" fillId="12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5" fillId="9" borderId="1" xfId="0" applyFont="1" applyFill="1" applyBorder="1" applyAlignment="1">
      <alignment horizontal="left" vertical="top" wrapText="1"/>
    </xf>
    <xf numFmtId="0" fontId="32" fillId="14" borderId="2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3" fillId="2" borderId="2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 wrapText="1"/>
    </xf>
    <xf numFmtId="0" fontId="36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6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6" borderId="5" xfId="0" applyFont="1" applyFill="1" applyBorder="1" applyAlignment="1">
      <alignment horizontal="left" vertical="center"/>
    </xf>
    <xf numFmtId="0" fontId="0" fillId="26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15" borderId="5" xfId="0" applyFont="1" applyFill="1" applyBorder="1" applyAlignment="1">
      <alignment horizontal="left" vertical="center"/>
    </xf>
    <xf numFmtId="0" fontId="0" fillId="15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2B0BA1-D566-412A-A991-96CCFB0DF25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ccc44aa-20a0-43e8-9f0e-6c64d741fc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6" customWidth="1"/>
    <col min="4" max="4" width="18" customWidth="1"/>
    <col min="5" max="5" width="16" customWidth="1"/>
    <col min="6" max="6" width="14" customWidth="1"/>
    <col min="7" max="7" width="24" customWidth="1"/>
  </cols>
  <sheetData>
    <row r="1" spans="1:7" ht="52" customHeight="1" x14ac:dyDescent="0.55000000000000004">
      <c r="A1" s="89" t="s">
        <v>0</v>
      </c>
      <c r="B1" s="90"/>
      <c r="C1" s="90"/>
      <c r="D1" s="90"/>
      <c r="E1" s="90"/>
      <c r="F1" s="90"/>
      <c r="G1" s="90"/>
    </row>
    <row r="2" spans="1:7" ht="22" customHeight="1" x14ac:dyDescent="0.55000000000000004">
      <c r="A2" s="109" t="s">
        <v>1</v>
      </c>
      <c r="B2" s="110"/>
      <c r="C2" s="110"/>
      <c r="D2" s="110"/>
      <c r="E2" s="110"/>
      <c r="F2" s="110"/>
      <c r="G2" s="110"/>
    </row>
    <row r="3" spans="1:7" ht="40" customHeight="1" x14ac:dyDescent="0.55000000000000004">
      <c r="A3" s="106" t="s">
        <v>2</v>
      </c>
      <c r="B3" s="107"/>
      <c r="C3" s="107"/>
      <c r="D3" s="107"/>
      <c r="E3" s="107"/>
      <c r="F3" s="107"/>
      <c r="G3" s="107"/>
    </row>
    <row r="4" spans="1:7" ht="22" customHeight="1" x14ac:dyDescent="0.55000000000000004">
      <c r="A4" s="80" t="s">
        <v>3</v>
      </c>
      <c r="B4" s="81"/>
      <c r="C4" s="81"/>
      <c r="D4" s="81"/>
      <c r="E4" s="81"/>
      <c r="F4" s="81"/>
      <c r="G4" s="81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8" t="s">
        <v>4</v>
      </c>
      <c r="B6" s="99"/>
      <c r="C6" s="99"/>
      <c r="D6" s="99"/>
      <c r="E6" s="99"/>
      <c r="F6" s="99"/>
      <c r="G6" s="99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72" t="s">
        <v>8</v>
      </c>
      <c r="B8" s="73"/>
      <c r="C8" s="73"/>
      <c r="D8" s="73"/>
      <c r="E8" s="4" t="s">
        <v>9</v>
      </c>
      <c r="F8" s="78" t="s">
        <v>10</v>
      </c>
      <c r="G8" s="73"/>
    </row>
    <row r="9" spans="1:7" ht="28" customHeight="1" x14ac:dyDescent="0.55000000000000004">
      <c r="A9" s="85" t="s">
        <v>11</v>
      </c>
      <c r="B9" s="86"/>
      <c r="C9" s="86"/>
      <c r="D9" s="86"/>
      <c r="E9" s="4" t="s">
        <v>9</v>
      </c>
      <c r="F9" s="101" t="s">
        <v>12</v>
      </c>
      <c r="G9" s="86"/>
    </row>
    <row r="10" spans="1:7" ht="28" customHeight="1" x14ac:dyDescent="0.55000000000000004">
      <c r="A10" s="72" t="s">
        <v>13</v>
      </c>
      <c r="B10" s="73"/>
      <c r="C10" s="73"/>
      <c r="D10" s="73"/>
      <c r="E10" s="4" t="s">
        <v>9</v>
      </c>
      <c r="F10" s="78" t="s">
        <v>14</v>
      </c>
      <c r="G10" s="73"/>
    </row>
    <row r="11" spans="1:7" ht="28" customHeight="1" x14ac:dyDescent="0.55000000000000004">
      <c r="A11" s="82" t="s">
        <v>15</v>
      </c>
      <c r="B11" s="75"/>
      <c r="C11" s="75"/>
      <c r="D11" s="75"/>
      <c r="E11" s="4" t="s">
        <v>16</v>
      </c>
      <c r="F11" s="74" t="s">
        <v>17</v>
      </c>
      <c r="G11" s="75"/>
    </row>
    <row r="12" spans="1:7" ht="28" customHeight="1" x14ac:dyDescent="0.55000000000000004">
      <c r="A12" s="72" t="s">
        <v>18</v>
      </c>
      <c r="B12" s="73"/>
      <c r="C12" s="73"/>
      <c r="D12" s="73"/>
      <c r="E12" s="4" t="s">
        <v>9</v>
      </c>
      <c r="F12" s="78" t="s">
        <v>19</v>
      </c>
      <c r="G12" s="73"/>
    </row>
    <row r="13" spans="1:7" ht="28" customHeight="1" x14ac:dyDescent="0.55000000000000004">
      <c r="A13" s="85" t="s">
        <v>20</v>
      </c>
      <c r="B13" s="86"/>
      <c r="C13" s="86"/>
      <c r="D13" s="86"/>
      <c r="E13" s="4" t="s">
        <v>9</v>
      </c>
      <c r="F13" s="101" t="s">
        <v>21</v>
      </c>
      <c r="G13" s="86"/>
    </row>
    <row r="14" spans="1:7" ht="28" customHeight="1" x14ac:dyDescent="0.55000000000000004">
      <c r="A14" s="72" t="s">
        <v>22</v>
      </c>
      <c r="B14" s="73"/>
      <c r="C14" s="73"/>
      <c r="D14" s="73"/>
      <c r="E14" s="4" t="s">
        <v>9</v>
      </c>
      <c r="F14" s="78" t="s">
        <v>23</v>
      </c>
      <c r="G14" s="73"/>
    </row>
    <row r="15" spans="1:7" ht="24" customHeight="1" x14ac:dyDescent="0.55000000000000004">
      <c r="A15" s="91" t="s">
        <v>24</v>
      </c>
      <c r="B15" s="88"/>
      <c r="C15" s="88"/>
      <c r="D15" s="88"/>
      <c r="E15" s="7" t="str">
        <f>IF(AND(E8="EVET",E9="EVET",E10="EVET",E13="EVET"),"OK - Hesaplanabilir","HATA - Ön koşul eksik")</f>
        <v>OK - Hesaplanabilir</v>
      </c>
      <c r="F15" s="87" t="s">
        <v>25</v>
      </c>
      <c r="G15" s="8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76" t="s">
        <v>26</v>
      </c>
      <c r="B17" s="77"/>
      <c r="C17" s="77"/>
      <c r="D17" s="77"/>
      <c r="E17" s="77"/>
      <c r="F17" s="77"/>
      <c r="G17" s="77"/>
    </row>
    <row r="18" spans="1:7" ht="22" customHeight="1" x14ac:dyDescent="0.55000000000000004">
      <c r="A18" s="72" t="s">
        <v>27</v>
      </c>
      <c r="B18" s="73"/>
      <c r="C18" s="79"/>
      <c r="D18" s="79"/>
      <c r="E18" s="79"/>
      <c r="F18" s="8" t="s">
        <v>28</v>
      </c>
      <c r="G18" s="3"/>
    </row>
    <row r="19" spans="1:7" ht="22" customHeight="1" x14ac:dyDescent="0.55000000000000004">
      <c r="A19" s="82" t="s">
        <v>29</v>
      </c>
      <c r="B19" s="75"/>
      <c r="C19" s="79"/>
      <c r="D19" s="79"/>
      <c r="E19" s="79"/>
      <c r="F19" s="9" t="s">
        <v>30</v>
      </c>
      <c r="G19" s="5"/>
    </row>
    <row r="20" spans="1:7" ht="22" customHeight="1" x14ac:dyDescent="0.55000000000000004">
      <c r="A20" s="72" t="s">
        <v>31</v>
      </c>
      <c r="B20" s="73"/>
      <c r="C20" s="79"/>
      <c r="D20" s="79"/>
      <c r="E20" s="79"/>
      <c r="F20" s="8" t="s">
        <v>32</v>
      </c>
      <c r="G20" s="3"/>
    </row>
    <row r="21" spans="1:7" ht="22" customHeight="1" x14ac:dyDescent="0.55000000000000004">
      <c r="A21" s="82" t="s">
        <v>33</v>
      </c>
      <c r="B21" s="75"/>
      <c r="C21" s="79"/>
      <c r="D21" s="79"/>
      <c r="E21" s="79"/>
      <c r="F21" s="9" t="s">
        <v>34</v>
      </c>
      <c r="G21" s="5"/>
    </row>
    <row r="22" spans="1:7" ht="22" customHeight="1" x14ac:dyDescent="0.55000000000000004">
      <c r="A22" s="72" t="s">
        <v>35</v>
      </c>
      <c r="B22" s="73"/>
      <c r="C22" s="79"/>
      <c r="D22" s="79"/>
      <c r="E22" s="79"/>
      <c r="F22" s="8" t="s">
        <v>36</v>
      </c>
      <c r="G22" s="3"/>
    </row>
    <row r="23" spans="1:7" ht="22" customHeight="1" x14ac:dyDescent="0.55000000000000004">
      <c r="A23" s="82" t="s">
        <v>37</v>
      </c>
      <c r="B23" s="75"/>
      <c r="C23" s="79"/>
      <c r="D23" s="79"/>
      <c r="E23" s="79"/>
      <c r="F23" s="9" t="s">
        <v>38</v>
      </c>
      <c r="G23" s="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76" t="s">
        <v>39</v>
      </c>
      <c r="B25" s="77"/>
      <c r="C25" s="77"/>
      <c r="D25" s="77"/>
      <c r="E25" s="77"/>
      <c r="F25" s="77"/>
      <c r="G25" s="77"/>
    </row>
    <row r="26" spans="1:7" ht="24" customHeight="1" x14ac:dyDescent="0.55000000000000004">
      <c r="A26" s="92" t="s">
        <v>40</v>
      </c>
      <c r="B26" s="73"/>
      <c r="C26" s="73"/>
      <c r="D26" s="73"/>
      <c r="E26" s="73"/>
      <c r="F26" s="73"/>
      <c r="G26" s="73"/>
    </row>
    <row r="27" spans="1:7" ht="52" customHeight="1" x14ac:dyDescent="0.55000000000000004">
      <c r="A27" s="104" t="s">
        <v>41</v>
      </c>
      <c r="B27" s="105"/>
      <c r="C27" s="105"/>
      <c r="D27" s="105"/>
      <c r="E27" s="105"/>
      <c r="F27" s="105"/>
      <c r="G27" s="105"/>
    </row>
    <row r="28" spans="1:7" ht="5.05" customHeight="1" x14ac:dyDescent="0.55000000000000004">
      <c r="A28" s="1"/>
      <c r="B28" s="1"/>
      <c r="C28" s="1"/>
      <c r="D28" s="1"/>
      <c r="E28" s="1"/>
      <c r="F28" s="1"/>
      <c r="G28" s="1"/>
    </row>
    <row r="29" spans="1:7" ht="24" customHeight="1" x14ac:dyDescent="0.55000000000000004">
      <c r="A29" s="76" t="s">
        <v>42</v>
      </c>
      <c r="B29" s="77"/>
      <c r="C29" s="77"/>
      <c r="D29" s="77"/>
      <c r="E29" s="77"/>
      <c r="F29" s="77"/>
      <c r="G29" s="77"/>
    </row>
    <row r="30" spans="1:7" ht="22" customHeight="1" x14ac:dyDescent="0.55000000000000004">
      <c r="A30" s="92" t="s">
        <v>43</v>
      </c>
      <c r="B30" s="73"/>
      <c r="C30" s="73"/>
      <c r="D30" s="73"/>
      <c r="E30" s="73"/>
      <c r="F30" s="73"/>
      <c r="G30" s="73"/>
    </row>
    <row r="31" spans="1:7" ht="18" customHeight="1" x14ac:dyDescent="0.55000000000000004">
      <c r="A31" s="10" t="s">
        <v>44</v>
      </c>
      <c r="B31" s="10" t="s">
        <v>45</v>
      </c>
      <c r="C31" s="10" t="s">
        <v>46</v>
      </c>
      <c r="D31" s="10" t="s">
        <v>47</v>
      </c>
      <c r="E31" s="10" t="s">
        <v>48</v>
      </c>
      <c r="F31" s="10" t="s">
        <v>49</v>
      </c>
      <c r="G31" s="10" t="s">
        <v>50</v>
      </c>
    </row>
    <row r="32" spans="1:7" ht="26.05" customHeight="1" x14ac:dyDescent="0.55000000000000004">
      <c r="A32" s="11"/>
      <c r="B32" s="11"/>
      <c r="C32" s="11"/>
      <c r="D32" s="12"/>
      <c r="E32" s="13"/>
      <c r="F32" s="14" t="s">
        <v>51</v>
      </c>
      <c r="G32" s="15">
        <f t="shared" ref="G32:G39" si="0">IF(E32&gt;0,IF(F32="Yok",E32,0),0)</f>
        <v>0</v>
      </c>
    </row>
    <row r="33" spans="1:7" ht="26.05" customHeight="1" x14ac:dyDescent="0.55000000000000004">
      <c r="A33" s="11"/>
      <c r="B33" s="11"/>
      <c r="C33" s="11"/>
      <c r="D33" s="12"/>
      <c r="E33" s="13"/>
      <c r="F33" s="14" t="s">
        <v>51</v>
      </c>
      <c r="G33" s="15">
        <f t="shared" si="0"/>
        <v>0</v>
      </c>
    </row>
    <row r="34" spans="1:7" ht="26.05" customHeight="1" x14ac:dyDescent="0.55000000000000004">
      <c r="A34" s="11"/>
      <c r="B34" s="11"/>
      <c r="C34" s="11"/>
      <c r="D34" s="12"/>
      <c r="E34" s="13"/>
      <c r="F34" s="14" t="s">
        <v>51</v>
      </c>
      <c r="G34" s="15">
        <f t="shared" si="0"/>
        <v>0</v>
      </c>
    </row>
    <row r="35" spans="1:7" ht="26.05" customHeight="1" x14ac:dyDescent="0.55000000000000004">
      <c r="A35" s="11"/>
      <c r="B35" s="11"/>
      <c r="C35" s="11"/>
      <c r="D35" s="12"/>
      <c r="E35" s="13"/>
      <c r="F35" s="14" t="s">
        <v>51</v>
      </c>
      <c r="G35" s="15">
        <f t="shared" si="0"/>
        <v>0</v>
      </c>
    </row>
    <row r="36" spans="1:7" ht="26.05" customHeight="1" x14ac:dyDescent="0.55000000000000004">
      <c r="A36" s="11"/>
      <c r="B36" s="11"/>
      <c r="C36" s="11"/>
      <c r="D36" s="12"/>
      <c r="E36" s="13"/>
      <c r="F36" s="14" t="s">
        <v>51</v>
      </c>
      <c r="G36" s="15">
        <f t="shared" si="0"/>
        <v>0</v>
      </c>
    </row>
    <row r="37" spans="1:7" ht="26.05" customHeight="1" x14ac:dyDescent="0.55000000000000004">
      <c r="A37" s="11"/>
      <c r="B37" s="11"/>
      <c r="C37" s="11"/>
      <c r="D37" s="12"/>
      <c r="E37" s="13"/>
      <c r="F37" s="14" t="s">
        <v>51</v>
      </c>
      <c r="G37" s="15">
        <f t="shared" si="0"/>
        <v>0</v>
      </c>
    </row>
    <row r="38" spans="1:7" ht="26.05" customHeight="1" x14ac:dyDescent="0.55000000000000004">
      <c r="A38" s="11"/>
      <c r="B38" s="11"/>
      <c r="C38" s="11"/>
      <c r="D38" s="12"/>
      <c r="E38" s="13"/>
      <c r="F38" s="14" t="s">
        <v>51</v>
      </c>
      <c r="G38" s="15">
        <f t="shared" si="0"/>
        <v>0</v>
      </c>
    </row>
    <row r="39" spans="1:7" ht="26.05" customHeight="1" x14ac:dyDescent="0.55000000000000004">
      <c r="A39" s="11"/>
      <c r="B39" s="11"/>
      <c r="C39" s="11"/>
      <c r="D39" s="12"/>
      <c r="E39" s="13"/>
      <c r="F39" s="14" t="s">
        <v>51</v>
      </c>
      <c r="G39" s="15">
        <f t="shared" si="0"/>
        <v>0</v>
      </c>
    </row>
    <row r="40" spans="1:7" ht="30" customHeight="1" x14ac:dyDescent="0.55000000000000004">
      <c r="A40" s="16" t="s">
        <v>52</v>
      </c>
      <c r="B40" s="89" t="s">
        <v>53</v>
      </c>
      <c r="C40" s="90"/>
      <c r="D40" s="90"/>
      <c r="E40" s="17">
        <f>SUM(E32:E39)</f>
        <v>0</v>
      </c>
      <c r="F40" s="16" t="s">
        <v>54</v>
      </c>
      <c r="G40" s="18">
        <f>SUM(G32:G39)</f>
        <v>0</v>
      </c>
    </row>
    <row r="41" spans="1:7" ht="28" customHeight="1" x14ac:dyDescent="0.55000000000000004">
      <c r="A41" s="102" t="s">
        <v>55</v>
      </c>
      <c r="B41" s="103"/>
      <c r="C41" s="103"/>
      <c r="D41" s="103"/>
      <c r="E41" s="103"/>
      <c r="F41" s="103"/>
      <c r="G41" s="103"/>
    </row>
    <row r="42" spans="1:7" ht="5.05" customHeight="1" x14ac:dyDescent="0.55000000000000004">
      <c r="A42" s="1"/>
      <c r="B42" s="1"/>
      <c r="C42" s="1"/>
      <c r="D42" s="1"/>
      <c r="E42" s="1"/>
      <c r="F42" s="1"/>
      <c r="G42" s="1"/>
    </row>
    <row r="43" spans="1:7" ht="24" customHeight="1" x14ac:dyDescent="0.55000000000000004">
      <c r="A43" s="76" t="s">
        <v>56</v>
      </c>
      <c r="B43" s="77"/>
      <c r="C43" s="77"/>
      <c r="D43" s="77"/>
      <c r="E43" s="77"/>
      <c r="F43" s="77"/>
      <c r="G43" s="77"/>
    </row>
    <row r="44" spans="1:7" ht="18" customHeight="1" x14ac:dyDescent="0.55000000000000004">
      <c r="A44" s="2"/>
      <c r="B44" s="2" t="s">
        <v>57</v>
      </c>
      <c r="C44" s="2"/>
      <c r="D44" s="2" t="s">
        <v>58</v>
      </c>
      <c r="E44" s="2"/>
      <c r="F44" s="2" t="s">
        <v>59</v>
      </c>
      <c r="G44" s="2" t="s">
        <v>60</v>
      </c>
    </row>
    <row r="45" spans="1:7" ht="28" customHeight="1" x14ac:dyDescent="0.55000000000000004">
      <c r="A45" s="82" t="s">
        <v>61</v>
      </c>
      <c r="B45" s="75"/>
      <c r="C45" s="19">
        <f>E40</f>
        <v>0</v>
      </c>
      <c r="D45" s="84" t="s">
        <v>62</v>
      </c>
      <c r="E45" s="75"/>
      <c r="F45" s="74"/>
      <c r="G45" s="75"/>
    </row>
    <row r="46" spans="1:7" ht="28" customHeight="1" x14ac:dyDescent="0.55000000000000004">
      <c r="A46" s="72" t="s">
        <v>63</v>
      </c>
      <c r="B46" s="73"/>
      <c r="C46" s="19">
        <f>E40-G40</f>
        <v>0</v>
      </c>
      <c r="D46" s="83" t="s">
        <v>64</v>
      </c>
      <c r="E46" s="73"/>
      <c r="F46" s="78"/>
      <c r="G46" s="73"/>
    </row>
    <row r="47" spans="1:7" ht="28" customHeight="1" x14ac:dyDescent="0.55000000000000004">
      <c r="A47" s="100" t="s">
        <v>65</v>
      </c>
      <c r="B47" s="88"/>
      <c r="C47" s="20">
        <f>G40</f>
        <v>0</v>
      </c>
      <c r="D47" s="96" t="s">
        <v>66</v>
      </c>
      <c r="E47" s="88"/>
      <c r="F47" s="97" t="s">
        <v>67</v>
      </c>
      <c r="G47" s="88"/>
    </row>
    <row r="48" spans="1:7" ht="28" customHeight="1" x14ac:dyDescent="0.55000000000000004">
      <c r="A48" s="72" t="s">
        <v>68</v>
      </c>
      <c r="B48" s="73"/>
      <c r="C48" s="21"/>
      <c r="D48" s="83" t="s">
        <v>69</v>
      </c>
      <c r="E48" s="73"/>
      <c r="F48" s="78"/>
      <c r="G48" s="73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32.049999999999997" customHeight="1" x14ac:dyDescent="0.55000000000000004">
      <c r="A50" s="108" t="s">
        <v>70</v>
      </c>
      <c r="B50" s="88"/>
      <c r="C50" s="88"/>
      <c r="D50" s="88"/>
      <c r="E50" s="22">
        <f>C47</f>
        <v>0</v>
      </c>
      <c r="F50" s="93" t="s">
        <v>71</v>
      </c>
      <c r="G50" s="88"/>
    </row>
    <row r="51" spans="1:7" ht="44.05" customHeight="1" x14ac:dyDescent="0.55000000000000004">
      <c r="A51" s="94" t="s">
        <v>72</v>
      </c>
      <c r="B51" s="95"/>
      <c r="C51" s="95"/>
      <c r="D51" s="95"/>
      <c r="E51" s="95"/>
      <c r="F51" s="95"/>
      <c r="G51" s="95"/>
    </row>
  </sheetData>
  <mergeCells count="57">
    <mergeCell ref="A2:G2"/>
    <mergeCell ref="F14:G14"/>
    <mergeCell ref="C20:E20"/>
    <mergeCell ref="A14:D14"/>
    <mergeCell ref="A1:G1"/>
    <mergeCell ref="F47:G47"/>
    <mergeCell ref="C19:E19"/>
    <mergeCell ref="A6:G6"/>
    <mergeCell ref="A47:B47"/>
    <mergeCell ref="C18:E18"/>
    <mergeCell ref="F46:G46"/>
    <mergeCell ref="F13:G13"/>
    <mergeCell ref="A23:B23"/>
    <mergeCell ref="A25:G25"/>
    <mergeCell ref="A41:G41"/>
    <mergeCell ref="F9:G9"/>
    <mergeCell ref="A22:B22"/>
    <mergeCell ref="A20:B20"/>
    <mergeCell ref="A27:G27"/>
    <mergeCell ref="A3:G3"/>
    <mergeCell ref="F50:G50"/>
    <mergeCell ref="A51:G51"/>
    <mergeCell ref="F8:G8"/>
    <mergeCell ref="D47:E47"/>
    <mergeCell ref="A21:B21"/>
    <mergeCell ref="F48:G48"/>
    <mergeCell ref="A12:D12"/>
    <mergeCell ref="A19:B19"/>
    <mergeCell ref="A50:D50"/>
    <mergeCell ref="A26:G26"/>
    <mergeCell ref="A4:G4"/>
    <mergeCell ref="A45:B45"/>
    <mergeCell ref="D46:E46"/>
    <mergeCell ref="A29:G29"/>
    <mergeCell ref="C21:E21"/>
    <mergeCell ref="A10:D10"/>
    <mergeCell ref="A43:G43"/>
    <mergeCell ref="D45:E45"/>
    <mergeCell ref="A13:D13"/>
    <mergeCell ref="A9:D9"/>
    <mergeCell ref="F12:G12"/>
    <mergeCell ref="F15:G15"/>
    <mergeCell ref="C23:E23"/>
    <mergeCell ref="B40:D40"/>
    <mergeCell ref="A15:D15"/>
    <mergeCell ref="A30:G30"/>
    <mergeCell ref="A48:B48"/>
    <mergeCell ref="F11:G11"/>
    <mergeCell ref="A8:D8"/>
    <mergeCell ref="A17:G17"/>
    <mergeCell ref="F10:G10"/>
    <mergeCell ref="C22:E22"/>
    <mergeCell ref="F45:G45"/>
    <mergeCell ref="A46:B46"/>
    <mergeCell ref="A11:D11"/>
    <mergeCell ref="A18:B18"/>
    <mergeCell ref="D48:E48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7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"EVET,HAYIR-Yanlış Kod"</formula1>
    </dataValidation>
    <dataValidation type="list" sqref="E10" xr:uid="{00000000-0002-0000-0000-000002000000}">
      <formula1>"EVET,HAYIR-Sonraki Yıl"</formula1>
    </dataValidation>
    <dataValidation type="list" sqref="E11 A32:A39" xr:uid="{00000000-0002-0000-0000-000003000000}">
      <formula1>"Değer Artışı Kazancı,Sermaye Kazancı,Prim/Teşvik Ödemesi,Enflasyon Farkı Kazancı,Diğer P4 Vade Kazancı"</formula1>
    </dataValidation>
    <dataValidation type="list" sqref="E12 E14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F32:F39" xr:uid="{00000000-0002-0000-0000-000008000000}">
      <formula1>"Yok,Var-383,Var-384,Var-Birden Fazla"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16" customWidth="1"/>
  </cols>
  <sheetData>
    <row r="1" spans="1:8" ht="36" customHeight="1" x14ac:dyDescent="0.55000000000000004">
      <c r="A1" s="124" t="s">
        <v>73</v>
      </c>
      <c r="B1" s="77"/>
      <c r="C1" s="77"/>
      <c r="D1" s="77"/>
      <c r="E1" s="77"/>
      <c r="F1" s="77"/>
      <c r="G1" s="77"/>
    </row>
    <row r="2" spans="1:8" ht="20.05" customHeight="1" x14ac:dyDescent="0.55000000000000004">
      <c r="A2" s="109" t="s">
        <v>74</v>
      </c>
      <c r="B2" s="110"/>
      <c r="C2" s="110"/>
      <c r="D2" s="110"/>
      <c r="E2" s="110"/>
      <c r="F2" s="110"/>
      <c r="G2" s="110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</row>
    <row r="4" spans="1:8" ht="22" customHeight="1" x14ac:dyDescent="0.55000000000000004">
      <c r="A4" s="114" t="s">
        <v>75</v>
      </c>
      <c r="B4" s="115"/>
      <c r="C4" s="115"/>
      <c r="D4" s="115"/>
      <c r="E4" s="115"/>
      <c r="F4" s="115"/>
      <c r="G4" s="115"/>
    </row>
    <row r="5" spans="1:8" ht="22" customHeight="1" x14ac:dyDescent="0.55000000000000004">
      <c r="A5" s="120" t="s">
        <v>76</v>
      </c>
      <c r="B5" s="75"/>
      <c r="C5" s="75"/>
      <c r="D5" s="23" t="str">
        <f>'VERİ GİRİŞİ'!E15</f>
        <v>OK - Hesaplanabilir</v>
      </c>
      <c r="E5" s="74" t="s">
        <v>77</v>
      </c>
      <c r="F5" s="75"/>
      <c r="G5" s="75"/>
    </row>
    <row r="6" spans="1:8" ht="22" customHeight="1" x14ac:dyDescent="0.55000000000000004">
      <c r="A6" s="121" t="s">
        <v>78</v>
      </c>
      <c r="B6" s="73"/>
      <c r="C6" s="73"/>
      <c r="D6" s="23" t="str">
        <f>'VERİ GİRİŞİ'!E11</f>
        <v>Değer Artışı Kazancı</v>
      </c>
      <c r="E6" s="78" t="s">
        <v>79</v>
      </c>
      <c r="F6" s="73"/>
      <c r="G6" s="73"/>
    </row>
    <row r="7" spans="1:8" ht="22" customHeight="1" x14ac:dyDescent="0.55000000000000004">
      <c r="A7" s="120" t="s">
        <v>80</v>
      </c>
      <c r="B7" s="75"/>
      <c r="C7" s="75"/>
      <c r="D7" s="23">
        <f>'VERİ GİRİŞİ'!C45</f>
        <v>0</v>
      </c>
      <c r="E7" s="74" t="s">
        <v>62</v>
      </c>
      <c r="F7" s="75"/>
      <c r="G7" s="75"/>
    </row>
    <row r="8" spans="1:8" ht="22" customHeight="1" x14ac:dyDescent="0.55000000000000004">
      <c r="A8" s="121" t="s">
        <v>81</v>
      </c>
      <c r="B8" s="73"/>
      <c r="C8" s="73"/>
      <c r="D8" s="23">
        <f>'VERİ GİRİŞİ'!C46</f>
        <v>0</v>
      </c>
      <c r="E8" s="78" t="s">
        <v>82</v>
      </c>
      <c r="F8" s="73"/>
      <c r="G8" s="73"/>
    </row>
    <row r="9" spans="1:8" ht="22" customHeight="1" x14ac:dyDescent="0.55000000000000004">
      <c r="A9" s="91" t="s">
        <v>83</v>
      </c>
      <c r="B9" s="88"/>
      <c r="C9" s="88"/>
      <c r="D9" s="24">
        <f>'VERİ GİRİŞİ'!C47</f>
        <v>0</v>
      </c>
      <c r="E9" s="97"/>
      <c r="F9" s="88"/>
      <c r="G9" s="88"/>
    </row>
    <row r="10" spans="1:8" ht="22" customHeight="1" x14ac:dyDescent="0.55000000000000004">
      <c r="A10" s="123" t="s">
        <v>84</v>
      </c>
      <c r="B10" s="112"/>
      <c r="C10" s="112"/>
      <c r="D10" s="25" t="s">
        <v>85</v>
      </c>
      <c r="E10" s="111" t="s">
        <v>86</v>
      </c>
      <c r="F10" s="112"/>
      <c r="G10" s="112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</row>
    <row r="12" spans="1:8" ht="22" customHeight="1" x14ac:dyDescent="0.55000000000000004">
      <c r="A12" s="76" t="s">
        <v>87</v>
      </c>
      <c r="B12" s="77"/>
      <c r="C12" s="77"/>
      <c r="D12" s="77"/>
      <c r="E12" s="77"/>
      <c r="F12" s="77"/>
      <c r="G12" s="77"/>
    </row>
    <row r="13" spans="1:8" ht="18" customHeight="1" x14ac:dyDescent="0.55000000000000004">
      <c r="A13" s="10"/>
      <c r="B13" s="10" t="s">
        <v>88</v>
      </c>
      <c r="C13" s="10" t="s">
        <v>89</v>
      </c>
      <c r="D13" s="10" t="s">
        <v>90</v>
      </c>
      <c r="E13" s="10" t="s">
        <v>91</v>
      </c>
      <c r="F13" s="10" t="s">
        <v>92</v>
      </c>
      <c r="G13" s="10" t="s">
        <v>93</v>
      </c>
      <c r="H13" s="10" t="s">
        <v>94</v>
      </c>
    </row>
    <row r="14" spans="1:8" ht="22" customHeight="1" x14ac:dyDescent="0.55000000000000004">
      <c r="A14" s="26" t="s">
        <v>95</v>
      </c>
      <c r="B14" s="3"/>
      <c r="C14" s="27" t="s">
        <v>96</v>
      </c>
      <c r="D14" s="28" t="s">
        <v>96</v>
      </c>
      <c r="E14" s="29" t="s">
        <v>96</v>
      </c>
      <c r="F14" s="30" t="s">
        <v>97</v>
      </c>
      <c r="G14" s="31" t="s">
        <v>98</v>
      </c>
      <c r="H14" s="32" t="s">
        <v>99</v>
      </c>
    </row>
    <row r="15" spans="1:8" ht="22" customHeight="1" x14ac:dyDescent="0.55000000000000004">
      <c r="A15" s="26" t="s">
        <v>100</v>
      </c>
      <c r="B15" s="5"/>
      <c r="C15" s="27" t="s">
        <v>101</v>
      </c>
      <c r="D15" s="28" t="s">
        <v>102</v>
      </c>
      <c r="E15" s="29" t="s">
        <v>103</v>
      </c>
      <c r="F15" s="30" t="s">
        <v>104</v>
      </c>
      <c r="G15" s="31" t="s">
        <v>105</v>
      </c>
      <c r="H15" s="33" t="s">
        <v>106</v>
      </c>
    </row>
    <row r="16" spans="1:8" ht="22" customHeight="1" x14ac:dyDescent="0.55000000000000004">
      <c r="A16" s="26" t="s">
        <v>107</v>
      </c>
      <c r="B16" s="3"/>
      <c r="C16" s="27" t="s">
        <v>108</v>
      </c>
      <c r="D16" s="28" t="s">
        <v>108</v>
      </c>
      <c r="E16" s="29" t="s">
        <v>108</v>
      </c>
      <c r="F16" s="30" t="s">
        <v>108</v>
      </c>
      <c r="G16" s="31" t="s">
        <v>109</v>
      </c>
      <c r="H16" s="33" t="s">
        <v>110</v>
      </c>
    </row>
    <row r="17" spans="1:8" ht="22" customHeight="1" x14ac:dyDescent="0.55000000000000004">
      <c r="A17" s="26" t="s">
        <v>111</v>
      </c>
      <c r="B17" s="5"/>
      <c r="C17" s="27" t="s">
        <v>112</v>
      </c>
      <c r="D17" s="28" t="s">
        <v>112</v>
      </c>
      <c r="E17" s="29" t="s">
        <v>112</v>
      </c>
      <c r="F17" s="30" t="s">
        <v>112</v>
      </c>
      <c r="G17" s="31" t="s">
        <v>113</v>
      </c>
      <c r="H17" s="33" t="s">
        <v>114</v>
      </c>
    </row>
    <row r="18" spans="1:8" ht="30" customHeight="1" x14ac:dyDescent="0.55000000000000004">
      <c r="A18" s="128" t="s">
        <v>115</v>
      </c>
      <c r="B18" s="103"/>
      <c r="C18" s="103"/>
      <c r="D18" s="103"/>
      <c r="E18" s="103"/>
      <c r="F18" s="103"/>
      <c r="G18" s="103"/>
    </row>
    <row r="19" spans="1:8" ht="5.05" customHeight="1" x14ac:dyDescent="0.55000000000000004">
      <c r="A19" s="1"/>
      <c r="B19" s="1"/>
      <c r="C19" s="1"/>
      <c r="D19" s="1"/>
      <c r="E19" s="1"/>
      <c r="F19" s="1"/>
      <c r="G19" s="1"/>
    </row>
    <row r="20" spans="1:8" ht="22" customHeight="1" x14ac:dyDescent="0.55000000000000004">
      <c r="A20" s="76" t="s">
        <v>116</v>
      </c>
      <c r="B20" s="77"/>
      <c r="C20" s="77"/>
      <c r="D20" s="77"/>
      <c r="E20" s="77"/>
      <c r="F20" s="77"/>
      <c r="G20" s="77"/>
    </row>
    <row r="21" spans="1:8" ht="18" customHeight="1" x14ac:dyDescent="0.55000000000000004">
      <c r="A21" s="2"/>
      <c r="B21" s="2" t="s">
        <v>117</v>
      </c>
      <c r="C21" s="2"/>
      <c r="D21" s="2" t="s">
        <v>59</v>
      </c>
      <c r="E21" s="2"/>
      <c r="F21" s="2" t="s">
        <v>118</v>
      </c>
      <c r="G21" s="2"/>
    </row>
    <row r="22" spans="1:8" ht="22" customHeight="1" x14ac:dyDescent="0.55000000000000004">
      <c r="A22" s="34" t="s">
        <v>119</v>
      </c>
      <c r="B22" s="113" t="s">
        <v>120</v>
      </c>
      <c r="C22" s="86"/>
      <c r="D22" s="116" t="s">
        <v>121</v>
      </c>
      <c r="E22" s="117"/>
      <c r="F22" s="37" t="s">
        <v>122</v>
      </c>
      <c r="G22" s="3"/>
    </row>
    <row r="23" spans="1:8" ht="22" customHeight="1" x14ac:dyDescent="0.55000000000000004">
      <c r="A23" s="34" t="s">
        <v>123</v>
      </c>
      <c r="B23" s="113" t="s">
        <v>124</v>
      </c>
      <c r="C23" s="86"/>
      <c r="D23" s="116" t="s">
        <v>125</v>
      </c>
      <c r="E23" s="117"/>
      <c r="F23" s="37" t="s">
        <v>122</v>
      </c>
      <c r="G23" s="5"/>
    </row>
    <row r="24" spans="1:8" ht="22" customHeight="1" x14ac:dyDescent="0.55000000000000004">
      <c r="A24" s="34" t="s">
        <v>126</v>
      </c>
      <c r="B24" s="127" t="s">
        <v>127</v>
      </c>
      <c r="C24" s="73"/>
      <c r="D24" s="122" t="s">
        <v>128</v>
      </c>
      <c r="E24" s="73"/>
      <c r="F24" s="37" t="s">
        <v>122</v>
      </c>
      <c r="G24" s="3"/>
    </row>
    <row r="25" spans="1:8" ht="22" customHeight="1" x14ac:dyDescent="0.55000000000000004">
      <c r="A25" s="34" t="s">
        <v>129</v>
      </c>
      <c r="B25" s="113" t="s">
        <v>130</v>
      </c>
      <c r="C25" s="86"/>
      <c r="D25" s="116" t="s">
        <v>131</v>
      </c>
      <c r="E25" s="117"/>
      <c r="F25" s="37" t="s">
        <v>122</v>
      </c>
      <c r="G25" s="5"/>
    </row>
    <row r="26" spans="1:8" ht="22" customHeight="1" x14ac:dyDescent="0.55000000000000004">
      <c r="A26" s="34" t="s">
        <v>132</v>
      </c>
      <c r="B26" s="127" t="s">
        <v>133</v>
      </c>
      <c r="C26" s="73"/>
      <c r="D26" s="122" t="s">
        <v>134</v>
      </c>
      <c r="E26" s="73"/>
      <c r="F26" s="37" t="s">
        <v>122</v>
      </c>
      <c r="G26" s="3"/>
    </row>
    <row r="27" spans="1:8" ht="22" customHeight="1" x14ac:dyDescent="0.55000000000000004">
      <c r="A27" s="34" t="s">
        <v>135</v>
      </c>
      <c r="B27" s="118" t="s">
        <v>136</v>
      </c>
      <c r="C27" s="75"/>
      <c r="D27" s="119" t="s">
        <v>137</v>
      </c>
      <c r="E27" s="75"/>
      <c r="F27" s="37" t="s">
        <v>122</v>
      </c>
      <c r="G27" s="5"/>
    </row>
    <row r="28" spans="1:8" ht="22" customHeight="1" x14ac:dyDescent="0.55000000000000004">
      <c r="A28" s="34" t="s">
        <v>138</v>
      </c>
      <c r="B28" s="113" t="s">
        <v>139</v>
      </c>
      <c r="C28" s="86"/>
      <c r="D28" s="116" t="s">
        <v>140</v>
      </c>
      <c r="E28" s="117"/>
      <c r="F28" s="37" t="s">
        <v>122</v>
      </c>
      <c r="G28" s="3"/>
    </row>
    <row r="29" spans="1:8" ht="22" customHeight="1" x14ac:dyDescent="0.55000000000000004">
      <c r="A29" s="40" t="s">
        <v>141</v>
      </c>
      <c r="B29" s="125" t="s">
        <v>142</v>
      </c>
      <c r="C29" s="126"/>
      <c r="D29" s="129" t="s">
        <v>143</v>
      </c>
      <c r="E29" s="130"/>
      <c r="F29" s="37" t="s">
        <v>122</v>
      </c>
      <c r="G29" s="5"/>
    </row>
    <row r="30" spans="1:8" ht="22" customHeight="1" x14ac:dyDescent="0.55000000000000004">
      <c r="A30" s="34" t="s">
        <v>144</v>
      </c>
      <c r="B30" s="127" t="s">
        <v>145</v>
      </c>
      <c r="C30" s="73"/>
      <c r="D30" s="122" t="s">
        <v>146</v>
      </c>
      <c r="E30" s="73"/>
      <c r="F30" s="37" t="s">
        <v>122</v>
      </c>
      <c r="G30" s="3"/>
    </row>
    <row r="31" spans="1:8" ht="22" customHeight="1" x14ac:dyDescent="0.55000000000000004">
      <c r="A31" s="34" t="s">
        <v>147</v>
      </c>
      <c r="B31" s="118" t="s">
        <v>148</v>
      </c>
      <c r="C31" s="75"/>
      <c r="D31" s="119" t="s">
        <v>149</v>
      </c>
      <c r="E31" s="75"/>
      <c r="F31" s="37" t="s">
        <v>122</v>
      </c>
      <c r="G31" s="5"/>
    </row>
    <row r="32" spans="1:8" ht="22" customHeight="1" x14ac:dyDescent="0.55000000000000004">
      <c r="A32" s="34" t="s">
        <v>150</v>
      </c>
      <c r="B32" s="127" t="s">
        <v>151</v>
      </c>
      <c r="C32" s="73"/>
      <c r="D32" s="122" t="s">
        <v>152</v>
      </c>
      <c r="E32" s="73"/>
      <c r="F32" s="37" t="s">
        <v>122</v>
      </c>
      <c r="G32" s="3"/>
    </row>
    <row r="33" spans="1:7" ht="22" customHeight="1" x14ac:dyDescent="0.55000000000000004">
      <c r="A33" s="34" t="s">
        <v>153</v>
      </c>
      <c r="B33" s="118" t="s">
        <v>154</v>
      </c>
      <c r="C33" s="75"/>
      <c r="D33" s="119" t="s">
        <v>155</v>
      </c>
      <c r="E33" s="75"/>
      <c r="F33" s="37" t="s">
        <v>122</v>
      </c>
      <c r="G33" s="5"/>
    </row>
  </sheetData>
  <mergeCells count="42">
    <mergeCell ref="B33:C33"/>
    <mergeCell ref="E5:G5"/>
    <mergeCell ref="D33:E33"/>
    <mergeCell ref="D29:E29"/>
    <mergeCell ref="A6:C6"/>
    <mergeCell ref="E8:G8"/>
    <mergeCell ref="A12:G12"/>
    <mergeCell ref="D23:E23"/>
    <mergeCell ref="B32:C32"/>
    <mergeCell ref="B26:C26"/>
    <mergeCell ref="A7:C7"/>
    <mergeCell ref="D26:E26"/>
    <mergeCell ref="D32:E32"/>
    <mergeCell ref="E7:G7"/>
    <mergeCell ref="A10:C10"/>
    <mergeCell ref="A1:G1"/>
    <mergeCell ref="B29:C29"/>
    <mergeCell ref="B28:C28"/>
    <mergeCell ref="A9:C9"/>
    <mergeCell ref="D28:E28"/>
    <mergeCell ref="D25:E25"/>
    <mergeCell ref="B24:C24"/>
    <mergeCell ref="B30:C30"/>
    <mergeCell ref="D24:E24"/>
    <mergeCell ref="A18:G18"/>
    <mergeCell ref="D30:E30"/>
    <mergeCell ref="A2:G2"/>
    <mergeCell ref="B31:C31"/>
    <mergeCell ref="B27:C27"/>
    <mergeCell ref="D31:E31"/>
    <mergeCell ref="E6:G6"/>
    <mergeCell ref="A5:C5"/>
    <mergeCell ref="A8:C8"/>
    <mergeCell ref="D27:E27"/>
    <mergeCell ref="B23:C23"/>
    <mergeCell ref="E10:G10"/>
    <mergeCell ref="B25:C25"/>
    <mergeCell ref="A4:G4"/>
    <mergeCell ref="A20:G20"/>
    <mergeCell ref="B22:C22"/>
    <mergeCell ref="E9:G9"/>
    <mergeCell ref="D22:E22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3" t="s">
        <v>156</v>
      </c>
      <c r="B1" s="77"/>
      <c r="C1" s="77"/>
      <c r="D1" s="77"/>
      <c r="E1" s="77"/>
      <c r="F1" s="77"/>
      <c r="G1" s="77"/>
    </row>
    <row r="2" spans="1:7" ht="20.05" customHeight="1" x14ac:dyDescent="0.55000000000000004">
      <c r="A2" s="134" t="s">
        <v>157</v>
      </c>
      <c r="B2" s="110"/>
      <c r="C2" s="110"/>
      <c r="D2" s="110"/>
      <c r="E2" s="110"/>
      <c r="F2" s="110"/>
      <c r="G2" s="110"/>
    </row>
    <row r="4" spans="1:7" ht="26.05" customHeight="1" x14ac:dyDescent="0.55000000000000004">
      <c r="A4" s="76" t="s">
        <v>158</v>
      </c>
      <c r="B4" s="77"/>
      <c r="C4" s="77"/>
      <c r="D4" s="77"/>
      <c r="E4" s="77"/>
      <c r="F4" s="77"/>
      <c r="G4" s="77"/>
    </row>
    <row r="5" spans="1:7" ht="18" customHeight="1" x14ac:dyDescent="0.55000000000000004">
      <c r="A5" s="44"/>
      <c r="B5" s="44" t="s">
        <v>159</v>
      </c>
      <c r="C5" s="44" t="s">
        <v>160</v>
      </c>
      <c r="D5" s="44" t="s">
        <v>161</v>
      </c>
      <c r="E5" s="44" t="s">
        <v>162</v>
      </c>
      <c r="F5" s="44" t="s">
        <v>163</v>
      </c>
      <c r="G5" s="44" t="s">
        <v>164</v>
      </c>
    </row>
    <row r="6" spans="1:7" ht="24" customHeight="1" x14ac:dyDescent="0.55000000000000004">
      <c r="A6" s="45" t="s">
        <v>162</v>
      </c>
      <c r="B6" s="45" t="s">
        <v>165</v>
      </c>
      <c r="C6" s="45" t="s">
        <v>166</v>
      </c>
      <c r="D6" s="45" t="s">
        <v>167</v>
      </c>
      <c r="E6" s="45" t="s">
        <v>168</v>
      </c>
      <c r="F6" s="45" t="s">
        <v>54</v>
      </c>
      <c r="G6" s="45" t="s">
        <v>169</v>
      </c>
    </row>
    <row r="7" spans="1:7" ht="24" customHeight="1" x14ac:dyDescent="0.55000000000000004">
      <c r="A7" s="46" t="s">
        <v>163</v>
      </c>
      <c r="B7" s="46" t="s">
        <v>165</v>
      </c>
      <c r="C7" s="46" t="s">
        <v>170</v>
      </c>
      <c r="D7" s="46" t="s">
        <v>171</v>
      </c>
      <c r="E7" s="46" t="s">
        <v>54</v>
      </c>
      <c r="F7" s="46" t="s">
        <v>168</v>
      </c>
      <c r="G7" s="46" t="s">
        <v>172</v>
      </c>
    </row>
    <row r="8" spans="1:7" ht="26.05" customHeight="1" x14ac:dyDescent="0.55000000000000004">
      <c r="A8" s="131" t="s">
        <v>173</v>
      </c>
      <c r="B8" s="132"/>
      <c r="C8" s="132"/>
      <c r="D8" s="132"/>
      <c r="E8" s="132"/>
      <c r="F8" s="132"/>
      <c r="G8" s="132"/>
    </row>
    <row r="9" spans="1:7" ht="18" customHeight="1" x14ac:dyDescent="0.55000000000000004">
      <c r="A9" s="44"/>
      <c r="B9" s="44" t="s">
        <v>159</v>
      </c>
      <c r="C9" s="44" t="s">
        <v>160</v>
      </c>
      <c r="D9" s="44" t="s">
        <v>161</v>
      </c>
      <c r="E9" s="44" t="s">
        <v>162</v>
      </c>
      <c r="F9" s="44" t="s">
        <v>163</v>
      </c>
      <c r="G9" s="44" t="s">
        <v>164</v>
      </c>
    </row>
    <row r="10" spans="1:7" ht="20.05" customHeight="1" x14ac:dyDescent="0.55000000000000004">
      <c r="A10" s="45" t="s">
        <v>174</v>
      </c>
      <c r="B10" s="45" t="s">
        <v>175</v>
      </c>
      <c r="C10" s="45" t="s">
        <v>176</v>
      </c>
      <c r="D10" s="45" t="s">
        <v>177</v>
      </c>
      <c r="E10" s="45" t="s">
        <v>54</v>
      </c>
      <c r="F10" s="45" t="s">
        <v>178</v>
      </c>
      <c r="G10" s="45" t="s">
        <v>179</v>
      </c>
    </row>
    <row r="11" spans="1:7" ht="20.05" customHeight="1" x14ac:dyDescent="0.55000000000000004">
      <c r="A11" s="46" t="s">
        <v>180</v>
      </c>
      <c r="B11" s="46" t="s">
        <v>181</v>
      </c>
      <c r="C11" s="46" t="s">
        <v>182</v>
      </c>
      <c r="D11" s="46" t="s">
        <v>183</v>
      </c>
      <c r="E11" s="46" t="s">
        <v>54</v>
      </c>
      <c r="F11" s="46" t="s">
        <v>184</v>
      </c>
      <c r="G11" s="46" t="s">
        <v>185</v>
      </c>
    </row>
    <row r="12" spans="1:7" ht="20.05" customHeight="1" x14ac:dyDescent="0.55000000000000004">
      <c r="A12" s="45" t="s">
        <v>186</v>
      </c>
      <c r="B12" s="45" t="s">
        <v>187</v>
      </c>
      <c r="C12" s="45" t="s">
        <v>108</v>
      </c>
      <c r="D12" s="45" t="s">
        <v>188</v>
      </c>
      <c r="E12" s="45" t="s">
        <v>54</v>
      </c>
      <c r="F12" s="45" t="s">
        <v>189</v>
      </c>
      <c r="G12" s="45" t="s">
        <v>172</v>
      </c>
    </row>
    <row r="13" spans="1:7" ht="26.05" customHeight="1" x14ac:dyDescent="0.55000000000000004">
      <c r="A13" s="131" t="s">
        <v>190</v>
      </c>
      <c r="B13" s="132"/>
      <c r="C13" s="132"/>
      <c r="D13" s="132"/>
      <c r="E13" s="132"/>
      <c r="F13" s="132"/>
      <c r="G13" s="132"/>
    </row>
    <row r="14" spans="1:7" ht="18" customHeight="1" x14ac:dyDescent="0.55000000000000004">
      <c r="A14" s="44"/>
      <c r="B14" s="44" t="s">
        <v>159</v>
      </c>
      <c r="C14" s="44" t="s">
        <v>160</v>
      </c>
      <c r="D14" s="44" t="s">
        <v>161</v>
      </c>
      <c r="E14" s="44" t="s">
        <v>162</v>
      </c>
      <c r="F14" s="44" t="s">
        <v>163</v>
      </c>
      <c r="G14" s="44" t="s">
        <v>164</v>
      </c>
    </row>
    <row r="15" spans="1:7" ht="20.05" customHeight="1" x14ac:dyDescent="0.55000000000000004">
      <c r="A15" s="45" t="s">
        <v>191</v>
      </c>
      <c r="B15" s="45" t="s">
        <v>192</v>
      </c>
      <c r="C15" s="45" t="s">
        <v>108</v>
      </c>
      <c r="D15" s="45" t="s">
        <v>193</v>
      </c>
      <c r="E15" s="45" t="s">
        <v>54</v>
      </c>
      <c r="F15" s="45" t="s">
        <v>194</v>
      </c>
      <c r="G15" s="45" t="s">
        <v>195</v>
      </c>
    </row>
    <row r="16" spans="1:7" ht="20.05" customHeight="1" x14ac:dyDescent="0.55000000000000004">
      <c r="A16" s="46" t="s">
        <v>196</v>
      </c>
      <c r="B16" s="46" t="s">
        <v>192</v>
      </c>
      <c r="C16" s="46" t="s">
        <v>108</v>
      </c>
      <c r="D16" s="46" t="s">
        <v>197</v>
      </c>
      <c r="E16" s="46" t="s">
        <v>54</v>
      </c>
      <c r="F16" s="46" t="s">
        <v>198</v>
      </c>
      <c r="G16" s="46" t="s">
        <v>199</v>
      </c>
    </row>
    <row r="17" spans="1:7" ht="20.05" customHeight="1" x14ac:dyDescent="0.55000000000000004">
      <c r="A17" s="45" t="s">
        <v>200</v>
      </c>
      <c r="B17" s="45" t="s">
        <v>192</v>
      </c>
      <c r="C17" s="45" t="s">
        <v>108</v>
      </c>
      <c r="D17" s="45" t="s">
        <v>201</v>
      </c>
      <c r="E17" s="45" t="s">
        <v>54</v>
      </c>
      <c r="F17" s="45" t="s">
        <v>202</v>
      </c>
      <c r="G17" s="45" t="s">
        <v>203</v>
      </c>
    </row>
    <row r="18" spans="1:7" ht="20.05" customHeight="1" x14ac:dyDescent="0.55000000000000004">
      <c r="A18" s="46" t="s">
        <v>186</v>
      </c>
      <c r="B18" s="46" t="s">
        <v>192</v>
      </c>
      <c r="C18" s="46" t="s">
        <v>108</v>
      </c>
      <c r="D18" s="46" t="s">
        <v>204</v>
      </c>
      <c r="E18" s="46" t="s">
        <v>54</v>
      </c>
      <c r="F18" s="46" t="s">
        <v>189</v>
      </c>
      <c r="G18" s="46" t="s">
        <v>172</v>
      </c>
    </row>
    <row r="19" spans="1:7" ht="44.05" customHeight="1" x14ac:dyDescent="0.55000000000000004">
      <c r="A19" s="94" t="s">
        <v>205</v>
      </c>
      <c r="B19" s="95"/>
      <c r="C19" s="95"/>
      <c r="D19" s="95"/>
      <c r="E19" s="95"/>
      <c r="F19" s="95"/>
      <c r="G19" s="95"/>
    </row>
  </sheetData>
  <mergeCells count="6">
    <mergeCell ref="A19:G19"/>
    <mergeCell ref="A13:G13"/>
    <mergeCell ref="A1:G1"/>
    <mergeCell ref="A8:G8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38" t="s">
        <v>206</v>
      </c>
      <c r="B1" s="77"/>
      <c r="C1" s="77"/>
      <c r="D1" s="77"/>
      <c r="E1" s="77"/>
      <c r="F1" s="77"/>
      <c r="G1" s="77"/>
    </row>
    <row r="2" spans="1:7" ht="22" customHeight="1" x14ac:dyDescent="0.55000000000000004">
      <c r="A2" s="136" t="s">
        <v>207</v>
      </c>
      <c r="B2" s="137"/>
      <c r="C2" s="137"/>
      <c r="D2" s="137"/>
      <c r="E2" s="137"/>
      <c r="F2" s="137"/>
      <c r="G2" s="137"/>
    </row>
    <row r="3" spans="1:7" ht="18" customHeight="1" x14ac:dyDescent="0.55000000000000004">
      <c r="A3" s="44" t="s">
        <v>208</v>
      </c>
      <c r="B3" s="44" t="s">
        <v>209</v>
      </c>
      <c r="C3" s="44" t="s">
        <v>210</v>
      </c>
      <c r="D3" s="44" t="s">
        <v>211</v>
      </c>
    </row>
    <row r="4" spans="1:7" ht="72" customHeight="1" x14ac:dyDescent="0.55000000000000004">
      <c r="A4" s="34" t="s">
        <v>212</v>
      </c>
      <c r="B4" s="38" t="s">
        <v>213</v>
      </c>
      <c r="C4" s="47" t="s">
        <v>214</v>
      </c>
      <c r="D4" s="48" t="s">
        <v>215</v>
      </c>
    </row>
    <row r="5" spans="1:7" ht="64" customHeight="1" x14ac:dyDescent="0.55000000000000004">
      <c r="A5" s="40" t="s">
        <v>216</v>
      </c>
      <c r="B5" s="35" t="s">
        <v>217</v>
      </c>
      <c r="C5" s="36" t="s">
        <v>218</v>
      </c>
      <c r="D5" s="49" t="s">
        <v>219</v>
      </c>
    </row>
    <row r="6" spans="1:7" ht="56.05" customHeight="1" x14ac:dyDescent="0.55000000000000004">
      <c r="A6" s="40" t="s">
        <v>220</v>
      </c>
      <c r="B6" s="50" t="s">
        <v>221</v>
      </c>
      <c r="C6" s="36" t="s">
        <v>222</v>
      </c>
      <c r="D6" s="51" t="s">
        <v>223</v>
      </c>
    </row>
    <row r="7" spans="1:7" ht="56.05" customHeight="1" x14ac:dyDescent="0.55000000000000004">
      <c r="A7" s="34" t="s">
        <v>224</v>
      </c>
      <c r="B7" s="38" t="s">
        <v>225</v>
      </c>
      <c r="C7" s="47" t="s">
        <v>226</v>
      </c>
      <c r="D7" s="48" t="s">
        <v>227</v>
      </c>
    </row>
    <row r="8" spans="1:7" ht="72" customHeight="1" x14ac:dyDescent="0.55000000000000004">
      <c r="A8" s="34" t="s">
        <v>228</v>
      </c>
      <c r="B8" s="39" t="s">
        <v>229</v>
      </c>
      <c r="C8" s="47" t="s">
        <v>230</v>
      </c>
      <c r="D8" s="52" t="s">
        <v>231</v>
      </c>
    </row>
    <row r="9" spans="1:7" ht="48" customHeight="1" x14ac:dyDescent="0.55000000000000004">
      <c r="A9" s="135" t="s">
        <v>232</v>
      </c>
      <c r="B9" s="107"/>
      <c r="C9" s="107"/>
      <c r="D9" s="107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1" t="s">
        <v>233</v>
      </c>
      <c r="B1" s="142"/>
      <c r="C1" s="142"/>
      <c r="D1" s="142"/>
      <c r="E1" s="142"/>
      <c r="F1" s="142"/>
    </row>
    <row r="2" spans="1:6" ht="22" customHeight="1" x14ac:dyDescent="0.55000000000000004">
      <c r="A2" s="139" t="s">
        <v>234</v>
      </c>
      <c r="B2" s="140"/>
      <c r="C2" s="140"/>
      <c r="D2" s="140"/>
      <c r="E2" s="140"/>
      <c r="F2" s="140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47" t="s">
        <v>235</v>
      </c>
      <c r="B4" s="148"/>
      <c r="C4" s="148"/>
      <c r="D4" s="148"/>
      <c r="E4" s="148"/>
      <c r="F4" s="148"/>
    </row>
    <row r="5" spans="1:6" ht="18" customHeight="1" x14ac:dyDescent="0.55000000000000004">
      <c r="A5" s="44"/>
      <c r="B5" s="44" t="s">
        <v>236</v>
      </c>
      <c r="C5" s="44" t="s">
        <v>237</v>
      </c>
      <c r="D5" s="44" t="s">
        <v>59</v>
      </c>
      <c r="E5" s="44" t="s">
        <v>238</v>
      </c>
      <c r="F5" s="44"/>
    </row>
    <row r="6" spans="1:6" ht="40" customHeight="1" x14ac:dyDescent="0.55000000000000004">
      <c r="A6" s="6"/>
      <c r="B6" s="53" t="s">
        <v>239</v>
      </c>
      <c r="C6" s="54" t="s">
        <v>240</v>
      </c>
      <c r="D6" s="55" t="s">
        <v>241</v>
      </c>
      <c r="E6" s="56" t="s">
        <v>242</v>
      </c>
      <c r="F6" s="6"/>
    </row>
    <row r="7" spans="1:6" ht="40" customHeight="1" x14ac:dyDescent="0.55000000000000004">
      <c r="A7" s="6"/>
      <c r="B7" s="53" t="s">
        <v>243</v>
      </c>
      <c r="C7" s="54" t="s">
        <v>244</v>
      </c>
      <c r="D7" s="55" t="s">
        <v>245</v>
      </c>
      <c r="E7" s="56" t="s">
        <v>246</v>
      </c>
      <c r="F7" s="6"/>
    </row>
    <row r="8" spans="1:6" ht="36" customHeight="1" x14ac:dyDescent="0.55000000000000004">
      <c r="A8" s="6"/>
      <c r="B8" s="53" t="s">
        <v>247</v>
      </c>
      <c r="C8" s="54" t="s">
        <v>248</v>
      </c>
      <c r="D8" s="55" t="s">
        <v>249</v>
      </c>
      <c r="E8" s="56" t="s">
        <v>250</v>
      </c>
      <c r="F8" s="6"/>
    </row>
    <row r="9" spans="1:6" ht="32.049999999999997" customHeight="1" x14ac:dyDescent="0.55000000000000004">
      <c r="A9" s="6"/>
      <c r="B9" s="53" t="s">
        <v>251</v>
      </c>
      <c r="C9" s="54" t="s">
        <v>252</v>
      </c>
      <c r="D9" s="55" t="s">
        <v>253</v>
      </c>
      <c r="E9" s="56" t="s">
        <v>254</v>
      </c>
      <c r="F9" s="6"/>
    </row>
    <row r="10" spans="1:6" ht="32.049999999999997" customHeight="1" x14ac:dyDescent="0.55000000000000004">
      <c r="A10" s="6"/>
      <c r="B10" s="53" t="s">
        <v>255</v>
      </c>
      <c r="C10" s="54" t="s">
        <v>256</v>
      </c>
      <c r="D10" s="55" t="s">
        <v>257</v>
      </c>
      <c r="E10" s="56" t="s">
        <v>258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45" t="s">
        <v>259</v>
      </c>
      <c r="B12" s="146"/>
      <c r="C12" s="146"/>
      <c r="D12" s="146"/>
      <c r="E12" s="146"/>
      <c r="F12" s="146"/>
    </row>
    <row r="13" spans="1:6" ht="18" customHeight="1" x14ac:dyDescent="0.55000000000000004">
      <c r="A13" s="44"/>
      <c r="B13" s="44" t="s">
        <v>236</v>
      </c>
      <c r="C13" s="44" t="s">
        <v>237</v>
      </c>
      <c r="D13" s="44" t="s">
        <v>59</v>
      </c>
      <c r="E13" s="44" t="s">
        <v>238</v>
      </c>
      <c r="F13" s="44"/>
    </row>
    <row r="14" spans="1:6" ht="28" customHeight="1" x14ac:dyDescent="0.55000000000000004">
      <c r="A14" s="57"/>
      <c r="B14" s="58" t="s">
        <v>260</v>
      </c>
      <c r="C14" s="59" t="s">
        <v>261</v>
      </c>
      <c r="D14" s="60" t="s">
        <v>262</v>
      </c>
      <c r="E14" s="61" t="s">
        <v>263</v>
      </c>
      <c r="F14" s="57"/>
    </row>
    <row r="15" spans="1:6" ht="28" customHeight="1" x14ac:dyDescent="0.55000000000000004">
      <c r="A15" s="57"/>
      <c r="B15" s="58" t="s">
        <v>264</v>
      </c>
      <c r="C15" s="59" t="s">
        <v>265</v>
      </c>
      <c r="D15" s="60" t="s">
        <v>266</v>
      </c>
      <c r="E15" s="61" t="s">
        <v>267</v>
      </c>
      <c r="F15" s="57"/>
    </row>
    <row r="16" spans="1:6" ht="5.05" customHeight="1" x14ac:dyDescent="0.55000000000000004">
      <c r="A16" s="1"/>
      <c r="B16" s="1"/>
      <c r="C16" s="1"/>
      <c r="D16" s="1"/>
      <c r="E16" s="1"/>
      <c r="F16" s="1"/>
    </row>
    <row r="17" spans="1:6" ht="36" customHeight="1" x14ac:dyDescent="0.55000000000000004">
      <c r="A17" s="143" t="s">
        <v>268</v>
      </c>
      <c r="B17" s="144"/>
      <c r="C17" s="144"/>
      <c r="D17" s="144"/>
      <c r="E17" s="144"/>
      <c r="F17" s="144"/>
    </row>
    <row r="18" spans="1:6" ht="18" customHeight="1" x14ac:dyDescent="0.55000000000000004">
      <c r="A18" s="62"/>
      <c r="B18" s="62" t="s">
        <v>236</v>
      </c>
      <c r="C18" s="62" t="s">
        <v>5</v>
      </c>
      <c r="D18" s="62" t="s">
        <v>269</v>
      </c>
      <c r="E18" s="62" t="s">
        <v>270</v>
      </c>
      <c r="F18" s="62"/>
    </row>
    <row r="19" spans="1:6" ht="32.049999999999997" customHeight="1" x14ac:dyDescent="0.55000000000000004">
      <c r="A19" s="43"/>
      <c r="B19" s="63" t="s">
        <v>271</v>
      </c>
      <c r="C19" s="50" t="s">
        <v>272</v>
      </c>
      <c r="D19" s="64" t="s">
        <v>273</v>
      </c>
      <c r="E19" s="65" t="s">
        <v>274</v>
      </c>
      <c r="F19" s="43"/>
    </row>
    <row r="20" spans="1:6" ht="32.049999999999997" customHeight="1" x14ac:dyDescent="0.55000000000000004">
      <c r="A20" s="43"/>
      <c r="B20" s="63" t="s">
        <v>275</v>
      </c>
      <c r="C20" s="50" t="s">
        <v>276</v>
      </c>
      <c r="D20" s="64" t="s">
        <v>277</v>
      </c>
      <c r="E20" s="65" t="s">
        <v>274</v>
      </c>
      <c r="F20" s="43"/>
    </row>
    <row r="21" spans="1:6" ht="32.049999999999997" customHeight="1" x14ac:dyDescent="0.55000000000000004">
      <c r="A21" s="43"/>
      <c r="B21" s="63" t="s">
        <v>278</v>
      </c>
      <c r="C21" s="50" t="s">
        <v>130</v>
      </c>
      <c r="D21" s="64" t="s">
        <v>279</v>
      </c>
      <c r="E21" s="65" t="s">
        <v>274</v>
      </c>
      <c r="F21" s="43"/>
    </row>
    <row r="22" spans="1:6" ht="32.049999999999997" customHeight="1" x14ac:dyDescent="0.55000000000000004">
      <c r="A22" s="57"/>
      <c r="B22" s="66" t="s">
        <v>280</v>
      </c>
      <c r="C22" s="67" t="s">
        <v>281</v>
      </c>
      <c r="D22" s="60" t="s">
        <v>282</v>
      </c>
      <c r="E22" s="68" t="s">
        <v>274</v>
      </c>
      <c r="F22" s="57"/>
    </row>
    <row r="23" spans="1:6" ht="32.049999999999997" customHeight="1" x14ac:dyDescent="0.55000000000000004">
      <c r="A23" s="57"/>
      <c r="B23" s="66" t="s">
        <v>283</v>
      </c>
      <c r="C23" s="67" t="s">
        <v>133</v>
      </c>
      <c r="D23" s="60" t="s">
        <v>284</v>
      </c>
      <c r="E23" s="68" t="s">
        <v>274</v>
      </c>
      <c r="F23" s="57"/>
    </row>
    <row r="24" spans="1:6" ht="32.049999999999997" customHeight="1" x14ac:dyDescent="0.55000000000000004">
      <c r="A24" s="57"/>
      <c r="B24" s="66" t="s">
        <v>285</v>
      </c>
      <c r="C24" s="67" t="s">
        <v>286</v>
      </c>
      <c r="D24" s="60" t="s">
        <v>287</v>
      </c>
      <c r="E24" s="68" t="s">
        <v>274</v>
      </c>
      <c r="F24" s="57"/>
    </row>
    <row r="25" spans="1:6" ht="32.049999999999997" customHeight="1" x14ac:dyDescent="0.55000000000000004">
      <c r="A25" s="42"/>
      <c r="B25" s="69" t="s">
        <v>288</v>
      </c>
      <c r="C25" s="41" t="s">
        <v>142</v>
      </c>
      <c r="D25" s="70" t="s">
        <v>143</v>
      </c>
      <c r="E25" s="71" t="s">
        <v>274</v>
      </c>
      <c r="F25" s="42"/>
    </row>
    <row r="26" spans="1:6" ht="32.049999999999997" customHeight="1" x14ac:dyDescent="0.55000000000000004">
      <c r="A26" s="43"/>
      <c r="B26" s="63" t="s">
        <v>289</v>
      </c>
      <c r="C26" s="50" t="s">
        <v>290</v>
      </c>
      <c r="D26" s="64" t="s">
        <v>291</v>
      </c>
      <c r="E26" s="65" t="s">
        <v>274</v>
      </c>
      <c r="F26" s="43"/>
    </row>
    <row r="27" spans="1:6" ht="32.049999999999997" customHeight="1" x14ac:dyDescent="0.55000000000000004">
      <c r="A27" s="57"/>
      <c r="B27" s="66" t="s">
        <v>292</v>
      </c>
      <c r="C27" s="67" t="s">
        <v>148</v>
      </c>
      <c r="D27" s="60" t="s">
        <v>149</v>
      </c>
      <c r="E27" s="68" t="s">
        <v>274</v>
      </c>
      <c r="F27" s="57"/>
    </row>
    <row r="28" spans="1:6" ht="32.049999999999997" customHeight="1" x14ac:dyDescent="0.55000000000000004">
      <c r="A28" s="57"/>
      <c r="B28" s="66" t="s">
        <v>293</v>
      </c>
      <c r="C28" s="67" t="s">
        <v>154</v>
      </c>
      <c r="D28" s="60" t="s">
        <v>155</v>
      </c>
      <c r="E28" s="68" t="s">
        <v>274</v>
      </c>
      <c r="F28" s="57"/>
    </row>
    <row r="29" spans="1:6" ht="5.05" customHeight="1" x14ac:dyDescent="0.55000000000000004">
      <c r="A29" s="1"/>
      <c r="B29" s="1"/>
      <c r="C29" s="1"/>
      <c r="D29" s="1"/>
      <c r="E29" s="1"/>
      <c r="F29" s="1"/>
    </row>
    <row r="30" spans="1:6" ht="60" customHeight="1" x14ac:dyDescent="0.55000000000000004">
      <c r="A30" s="135" t="s">
        <v>294</v>
      </c>
      <c r="B30" s="107"/>
      <c r="C30" s="107"/>
      <c r="D30" s="107"/>
      <c r="E30" s="107"/>
      <c r="F30" s="107"/>
    </row>
  </sheetData>
  <mergeCells count="6">
    <mergeCell ref="A30:F30"/>
    <mergeCell ref="A2:F2"/>
    <mergeCell ref="A1:F1"/>
    <mergeCell ref="A17:F17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2026-04-05T16:56:42Z</dcterms:created>
  <dcterms:modified xsi:type="dcterms:W3CDTF">2026-04-05T17:01:20Z</dcterms:modified>
</cp:coreProperties>
</file>