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https://itimatglobal365-my.sharepoint.com/personal/aydindede_itimatglobal_com/Documents/Desktop/GEM/son standart/"/>
    </mc:Choice>
  </mc:AlternateContent>
  <xr:revisionPtr revIDLastSave="0" documentId="8_{260D8209-1D81-4219-AE21-882808A2370D}" xr6:coauthVersionLast="47" xr6:coauthVersionMax="47" xr10:uidLastSave="{00000000-0000-0000-0000-000000000000}"/>
  <bookViews>
    <workbookView xWindow="-96" yWindow="-96" windowWidth="23232" windowHeight="12552" xr2:uid="{00000000-000D-0000-FFFF-FFFF00000000}"/>
  </bookViews>
  <sheets>
    <sheet name="VERİ GİRİŞİ" sheetId="1" r:id="rId1"/>
    <sheet name="HESAPLAMALAR &amp; KONTROL" sheetId="2" r:id="rId2"/>
    <sheet name="MUHASEBE KAYITLARI" sheetId="3" r:id="rId3"/>
    <sheet name="DENETCİ NOTLARI" sheetId="4" r:id="rId4"/>
    <sheet name="BELGE LISTESI" sheetId="5" r:id="rId5"/>
  </sheets>
  <calcPr calcId="191029"/>
  <fileRecoveryPr repair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10" i="2" l="1"/>
  <c r="D9" i="2"/>
  <c r="D8" i="2"/>
  <c r="E62" i="1"/>
  <c r="C54" i="1"/>
  <c r="C52" i="1"/>
  <c r="D7" i="2"/>
  <c r="D6" i="2"/>
  <c r="E46" i="1"/>
  <c r="C51" i="1" s="1"/>
  <c r="G45" i="1"/>
  <c r="G44" i="1"/>
  <c r="G43" i="1"/>
  <c r="G42" i="1"/>
  <c r="G41" i="1"/>
  <c r="G40" i="1"/>
  <c r="G39" i="1"/>
  <c r="G38" i="1"/>
  <c r="G46" i="1" s="1"/>
  <c r="E15" i="1"/>
  <c r="D5" i="2" s="1"/>
  <c r="C53" i="1" l="1"/>
</calcChain>
</file>

<file path=xl/sharedStrings.xml><?xml version="1.0" encoding="utf-8"?>
<sst xmlns="http://schemas.openxmlformats.org/spreadsheetml/2006/main" count="434" uniqueCount="352">
  <si>
    <t>372 – KVK GEÇİCİ MADDE 14/1-b | DÖNEM SONU DEĞERLEMESİNDEN DOĞAN KÂR PAYI VE FAİZ İSTİSNASI | KUR KORUMALI MEVDUAT (KKM) | YMM TASDİK</t>
  </si>
  <si>
    <t>KVK Geçici Md.14/1-b | VUK Değerleme Gereği Dönem Sonunda Tahakkuk Ettirilen Kâr Payı ve Faiz | Beyanname 372 | ★ YİAKV MATRAHINDA DÜŞÜLEMEZ | GİB KV Beyan Rehberi Mart 2026 (No:606)</t>
  </si>
  <si>
    <t xml:space="preserve">  KVK GEÇİCİ MD.14 — ÜÇ İSTİSNA KODU ÖZET:
  370 (1-a): Dönüşüm anındaki kur farkı değerleme kazancı (tek seferlik, dönüşüm yılı).
  371 (1-b): Bankadan alınan kur farkı tazminat ödemeleri (dönemsel, nakit esaslı).
  372 (1-b): Dönem sonu VUK değerlemesiyle tahakkuk ettirilen kâr payı ve faiz (yıl sonu, tahakkuk esaslı — BU DOSYA).
  Üçü de ayrı beyanname satırı. Üçü de YİAKV matrahından DÜŞÜLEMEZ.</t>
  </si>
  <si>
    <t xml:space="preserve">  ★★ YİAKV (KVK Md.32/C) KRİTİK: 372 kapsamındaki dönem sonu değerleme kâr payı/faiz istisnası YİAKV matrahından DÜŞÜLEMEZ — asgari vergide matrahta kalır. (YİAKV Reh. No:607 | E.7)</t>
  </si>
  <si>
    <t>A0. KAPSAM VE NİTELİK UYGUNLUK ÖN KONTROLÜ</t>
  </si>
  <si>
    <t>Kontrol Sorusu</t>
  </si>
  <si>
    <t>Yanıt</t>
  </si>
  <si>
    <t>YMM Tasdik Notu</t>
  </si>
  <si>
    <t>A0.1  KKM hesabı KVK Geçici Md.14/1-a kapsamında dönüşümden açılmış mı?</t>
  </si>
  <si>
    <t>EVET</t>
  </si>
  <si>
    <t>372, aynı KKM hesabından dönem sonunda tahakkuk eden kâr payı/faizdir. 370 kapsamı dışındaki hesaplar 372'den de yararlanamaz. 370 çalışma kâğıdıyla çapraz kontrol zorunlu.</t>
  </si>
  <si>
    <t>A0.2  ★ Dönem sonunda KKM hesabına VUK değerlemesi gereği kâr payı/faiz tahakkuku yapıldı mı?</t>
  </si>
  <si>
    <t>VUK Md.280/281: Mevduat ve katılım hesaplarında dönem sonu itibariyle tahakkuk eden faiz/kâr payı geliri kayıtlara alınır. Bu tahakkuk tutarı 372 kapsamında istisnadır.</t>
  </si>
  <si>
    <t>A0.3  Tahakkuk muhasebe kaydı yapıldı mı? (181 Gelir Tahakkukları / 642 Faiz Gelirleri)</t>
  </si>
  <si>
    <t>Dönem sonu: Dr 181 Gelir Tahakkukları / Kr 642 Faiz Gelirleri (veya 644). Bu kayıt olmadan 372 istisnasının muhasebe dayanağı bulunmaz.</t>
  </si>
  <si>
    <t>A0.4  372 (dönem sonu tahakkuk) ile 371 (nakit alınan kur farkı) doğru ayrıştırıldı mı?</t>
  </si>
  <si>
    <t>371: Bankadan fiilen alınan kur farkı tazminat ödemeleri (nakit esaslı). 372: Dönem sonunda tahakkuk ettirilen kâr payı/faiz (tahakkuk esaslı). Karıştırılmamalı.</t>
  </si>
  <si>
    <t>A0.5  ★ 372 tutarının YİAKV matrahından DÜŞÜLMEDIĞI teyit edildi mi?</t>
  </si>
  <si>
    <t>370+371+372 tamamı YİAKV matrahından DÜŞÜLEMEZ. YİAKV E.7'de üç satır da DÜŞÜLEMEZ listesinde.</t>
  </si>
  <si>
    <t>A0.6  Banka dönem sonu tahakkuk belgesi (hesap cüzdanı/ekstresi) mevcut mu?</t>
  </si>
  <si>
    <t>Dönem sonu tahakkuk eden kâr payı/faizi gösteren banka belgesi zorunludur. Banka hesap özeti veya dönem sonu ekstresinde tahakkuk satırı görünmeli.</t>
  </si>
  <si>
    <t>A0.7  YMM Tasdik Raporu gereksinimi değerlendirildi mi? (49 No.lu Tebliğ)</t>
  </si>
  <si>
    <t>&gt;=500.000 TL → YMM raporu.</t>
  </si>
  <si>
    <t>A0.8  Tasdik Uygunluk Sonucu</t>
  </si>
  <si>
    <t>★ A0.2 (tahakkuk yapıldı), A0.5 (YİAKV düşülemez) kritik.</t>
  </si>
  <si>
    <t>A. GENEL BİLGİLER</t>
  </si>
  <si>
    <t>Kurumun Unvanı</t>
  </si>
  <si>
    <t>Tam ticaret unvanı</t>
  </si>
  <si>
    <t>VKN</t>
  </si>
  <si>
    <t>10 haneli VKN</t>
  </si>
  <si>
    <t>Hesap Dönemi / Değerleme Tarihi</t>
  </si>
  <si>
    <t>31.12.2025 — VUK dönem sonu değerleme tarihi</t>
  </si>
  <si>
    <t>KV Oranı (%)</t>
  </si>
  <si>
    <t>2025: %25 | Banka/Finans: %30</t>
  </si>
  <si>
    <t>Dosya Referansı</t>
  </si>
  <si>
    <t>YMM-2025/372-01</t>
  </si>
  <si>
    <t>370 / 371 Çalışma Kâğıdı Referansı</t>
  </si>
  <si>
    <t>Aynı KKM hesabı — üç dosya çapraz kontrol</t>
  </si>
  <si>
    <t>B. VUK DEĞERLEME MEKANİZMASI VE KKM HESABI BİLGİLERİ (KVK Geçici Md.14/1-b)</t>
  </si>
  <si>
    <t xml:space="preserve">  VUK Md.280/281 gereği mevduat ve katılım hesaplarında dönem sonu itibariyle tahakkuk eden faiz/kâr payı geliri muhasebeleştirilir (181 / 642). Bu tahakkuk tutarı KVK Geçici Md.14/1-b kapsamında kurumlar vergisinden istisnadır.</t>
  </si>
  <si>
    <t>Parametre</t>
  </si>
  <si>
    <t>Değer / Tarih</t>
  </si>
  <si>
    <t>Açıklama</t>
  </si>
  <si>
    <t>Kaynak</t>
  </si>
  <si>
    <t>B.1  KKM Hesap Açılış Tarihi (370 ile aynı)</t>
  </si>
  <si>
    <t>370 dönüşüm tarihi ile örtüşmeli. Çapraz kontrol zorunlu.</t>
  </si>
  <si>
    <t>370 çalışma kâğıdı</t>
  </si>
  <si>
    <t>B.2  KKM Hesap Referans Kuru (370/371 ile aynı)</t>
  </si>
  <si>
    <t>Hesap açılış günü TCMB döviz alış kuru.</t>
  </si>
  <si>
    <t>Banka sözleşmesi</t>
  </si>
  <si>
    <t>B.3  Dönem Sonu Değerleme Tarihi</t>
  </si>
  <si>
    <t>31.12.2025</t>
  </si>
  <si>
    <t>VUK dönem sonu tarihi — Faiz/kâr payı tahakkuku bu tarih itibarıyla yapılır.</t>
  </si>
  <si>
    <t>VUK Md.280</t>
  </si>
  <si>
    <t>B.4  Kâr Payı / Faiz Türü</t>
  </si>
  <si>
    <t>TL Mevduat Faizi</t>
  </si>
  <si>
    <t>KKM hesabının türüne göre: TL mevduat → Faiz (642). TL katılım → Kâr payı (642/644).</t>
  </si>
  <si>
    <t>B.5  Faiz/Kâr Payı Hesaplama Yöntemi</t>
  </si>
  <si>
    <t>Banka Bildirimi / Hesap Ekstresi</t>
  </si>
  <si>
    <t>Banka bildirimi veya sözleşme oranı esaslı tahakkuk. Her ikisi de kabul edilebilir.</t>
  </si>
  <si>
    <t>Banka belgesi</t>
  </si>
  <si>
    <t>B.6  ★ KKM Hesabının 31/12/2021 Bilanço Kaynaklı Olduğu Teyit Edildi mi?</t>
  </si>
  <si>
    <t>372 yalnızca 370 kapsamındaki dönüşümden açılan KKM hesaplarına uygulanır.</t>
  </si>
  <si>
    <t>KVK Geç.Md.14</t>
  </si>
  <si>
    <t>C. KKM HESAP BAZINDA DÖNEM SONU FAİZ/KÂR PAYI TAHAKKUK TABLOSU (BEYANNAME 372)</t>
  </si>
  <si>
    <t xml:space="preserve">  Her KKM hesabı için ayrı satır. Tahakkuk tutarı: Dönem sonu banka bildirimi veya sözleşme oranı × Bakiye × Gün/365.
  Col 5 (koyu mavi çerçeve): ANA VERİ — Dönem sonu tahakkuk eden toplam kâr payı/faiz tutarı (muhasebede 181/642).</t>
  </si>
  <si>
    <t>KKM Hesap Adı/No</t>
  </si>
  <si>
    <t>Açılış Tarihi</t>
  </si>
  <si>
    <t>Dönem Sonu Bakiye (TL)</t>
  </si>
  <si>
    <t>Tahakkuk Günü Sayısı</t>
  </si>
  <si>
    <t>Dönem Sonu Tahakkuk (TL)</t>
  </si>
  <si>
    <t>İstisna Oranı (%)</t>
  </si>
  <si>
    <t>372 İstisna Tutarı (TL)</t>
  </si>
  <si>
    <t>TOPLAM</t>
  </si>
  <si>
    <t>Toplam Dönem Sonu Faiz/Kâr Payı Tahakkuku → Beyanname 372</t>
  </si>
  <si>
    <t>—</t>
  </si>
  <si>
    <t xml:space="preserve">  ★ SÜTUN 5 (koyu mavi çerçeve): Dönem sonu tahakkuk eden toplam kâr payı/faiz — Banka dönem sonu bildirimi VEYA (Bakiye × Yıllık Oran × Gün/365) formülünden. 181 Gelir Tahakkukları hesabına borç / 642 Faiz Gelirleri hesabına alacak kaydı ile örtüşmeli. Sütun 6 (İstisna Oranı): Normalde 100 (%). Kapsam dışı hesap varsa 0 girin.</t>
  </si>
  <si>
    <t>D. DÖNEM SONU DEĞERLEMESİNDEN DOĞAN FAİZ/KÂR PAYI — İSTİSNA HESABI (KVK Geçici Md.14/1-b)</t>
  </si>
  <si>
    <t>Hesap Kalemi</t>
  </si>
  <si>
    <t>Tutar (TL)</t>
  </si>
  <si>
    <t>YMM Notu</t>
  </si>
  <si>
    <t>D.1  Toplam Dönem Sonu Faiz/Kâr Payı Tahakkuku (C Tablosu)</t>
  </si>
  <si>
    <t>C tablosu toplam tahakkuk — 181/642 muhasebe kaydıyla mutabık</t>
  </si>
  <si>
    <t>Muhasebe yevmiyesi</t>
  </si>
  <si>
    <t>D.2  Kapsam Dışı Faiz/Kâr Payı Tahakkuku (İstisna oranı 0 girilen hesaplar)</t>
  </si>
  <si>
    <t>31/12/2021 kaynaklı olmayan KKM hesapları — vergiye tabi</t>
  </si>
  <si>
    <t>Kapsam dışı tutarlar</t>
  </si>
  <si>
    <t>D.3  ★ NET 372 İSTİSNA TUTARI → BEYANNAME 372</t>
  </si>
  <si>
    <t>→ Beyanname 372 | Kazancın Bulunması Halinde İndirilecek</t>
  </si>
  <si>
    <t>KVK Geçici Md.14/1-b</t>
  </si>
  <si>
    <t>D.4  Vergiye Tabi Faiz/Kâr Payı (Kapsam Dışı — D.2)</t>
  </si>
  <si>
    <t>Bu kısım KV matrahında kalır</t>
  </si>
  <si>
    <t>Vergilendirilir</t>
  </si>
  <si>
    <t>E. 370 – 371 – 372 TAM PAKET MUTABAKAT</t>
  </si>
  <si>
    <t xml:space="preserve">  Aynı KKM hesabından üç farklı türde istisna geliri oluşabilir. Tüm dosyalar çapraz mutabık olmalı.</t>
  </si>
  <si>
    <t>Kalem</t>
  </si>
  <si>
    <t>370 (Değerleme)</t>
  </si>
  <si>
    <t>371 (Kur Farkı Tazm.)</t>
  </si>
  <si>
    <t>372 (Dönem Sonu Tahakkuk)</t>
  </si>
  <si>
    <t>Beyanname Satırı</t>
  </si>
  <si>
    <t>YİAKV</t>
  </si>
  <si>
    <t>Kapsam</t>
  </si>
  <si>
    <t>Dönüşüm anı kur farkı</t>
  </si>
  <si>
    <t>Bankadan alınan koruma ödemesi</t>
  </si>
  <si>
    <t>Dönem sonu faiz/kâr payı tahakkuku</t>
  </si>
  <si>
    <t>370/371/372</t>
  </si>
  <si>
    <t>Üçü de DÜŞÜLEMEZ</t>
  </si>
  <si>
    <t>Zaman</t>
  </si>
  <si>
    <t>Dönüşüm yılında — tek seferlik</t>
  </si>
  <si>
    <t>Ödeme dönemlerinde</t>
  </si>
  <si>
    <t>31 Aralık — yıl sonu</t>
  </si>
  <si>
    <t>Ayrı satırlar</t>
  </si>
  <si>
    <t>E.7</t>
  </si>
  <si>
    <t>Muhasebe</t>
  </si>
  <si>
    <t>646/679</t>
  </si>
  <si>
    <t>102/648</t>
  </si>
  <si>
    <t>181/642</t>
  </si>
  <si>
    <t>Ticari kâra dahil</t>
  </si>
  <si>
    <t>Matrahta kalır</t>
  </si>
  <si>
    <t>F.1  TOPLAM İSTİSNA → Beyanname Satır 372 (Kazancın Bulunması Halinde)</t>
  </si>
  <si>
    <t>D.3 — KVK Geçici Md.14/1-b | Dönem Sonu Değerleme</t>
  </si>
  <si>
    <t xml:space="preserve">  ★★ KRİTİK UYARILAR:
(1) YİAKV MATRAHINDA DÜŞÜLEMEZ: 372 asgari KV matrahından çıkarılmaz — 370+371+372 tamamı YİAKV E.7 DÜŞÜLEMEZ listesindedir.
(2) MUHASEBE DAYANAĞI: Tahakkuk kaydı (181 Dr / 642 Kr) olmadan 372 istisnasının muhasebe temeli yoktur — kayıt zorunlu.
(3) BEYANNAME: 'Kazancın Bulunması Halinde İndirilecek' — Zarar döneminde uygulanamaz.
(4) 371 İLE KARIŞTIRMA: 371 = Bankadan ALINAN nakit kur farkı ödemesi. 372 = Dönem sonunda TAHAKKUK ettirilen faiz/kâr payı. Ayrı satırlar.
(5) KAPSAM: Yalnızca 370 kapsamındaki dönüşümden açılan KKM hesapları — 31/12/2021 bilanço kaynaklı.</t>
  </si>
  <si>
    <t>372 – KVK GEÇİCİ MD.14/1-b DÖNEM SONU FAİZ/KÂR PAYI | HESAPLAMALAR VE DENETİM</t>
  </si>
  <si>
    <t>VUK Dönem Sonu Değerlemesi | Faiz/Kâr Payı Tahakkuku | 181/642 | Beyanname 372 | YİAKV MATRAHINDA DÜŞÜLEMEZ</t>
  </si>
  <si>
    <t>A. TASDİK ÖZETİ</t>
  </si>
  <si>
    <t>A0 Uygunluğu</t>
  </si>
  <si>
    <t>OK ise devam</t>
  </si>
  <si>
    <t>Değerleme Tarihi (B.3)</t>
  </si>
  <si>
    <t>31.12.YYYY — dönem sonu</t>
  </si>
  <si>
    <t>KKM Kaynaklı (B.6)</t>
  </si>
  <si>
    <t>EVET zorunlu</t>
  </si>
  <si>
    <t>Toplam Tahakkuk (D.1)</t>
  </si>
  <si>
    <t>181/642 muhasebe kaydıyla mutabık</t>
  </si>
  <si>
    <t>Kapsam Dışı (D.2)</t>
  </si>
  <si>
    <t>Varsa vergiye tabi</t>
  </si>
  <si>
    <t>372 NET İSTİSNA (D.3)</t>
  </si>
  <si>
    <t>★★ YİAKV'de DÜŞÜLEMEZ</t>
  </si>
  <si>
    <t>370+371+372 — Üçü de E.7</t>
  </si>
  <si>
    <t>Her zaman DÜŞÜLEMEZ</t>
  </si>
  <si>
    <t>B. 370 – 371 – 372 TAM KARŞILAŞTIRMA MATRİSİ</t>
  </si>
  <si>
    <t>Özellik</t>
  </si>
  <si>
    <t>370 (1-a) Değerleme</t>
  </si>
  <si>
    <t>371 (1-b) Kur Farkı Tazm.</t>
  </si>
  <si>
    <t>372 (1-b) Dönem Sonu</t>
  </si>
  <si>
    <t>Ortak Kural</t>
  </si>
  <si>
    <t>Konu</t>
  </si>
  <si>
    <t>Kur farkı değerleme kazancı</t>
  </si>
  <si>
    <t>Bankadan kur farkı koruma ödemesi</t>
  </si>
  <si>
    <t>Faiz/kâr payı tahakkuku</t>
  </si>
  <si>
    <t>Her ikisi 1-b kapsamı</t>
  </si>
  <si>
    <t>Dönüşüm anında — tek seferlik</t>
  </si>
  <si>
    <t>Ödeme dönemlerinde — nakit</t>
  </si>
  <si>
    <t>31 Aralık dönem sonu — tahakkuk</t>
  </si>
  <si>
    <t>Ayrı beyanname satırı</t>
  </si>
  <si>
    <t>Hesaplama</t>
  </si>
  <si>
    <t>(Dönüşüm − Bilanço Kuru) × Miktar</t>
  </si>
  <si>
    <t>Banka ekstresi — kur farkı satırı</t>
  </si>
  <si>
    <t>Banka bildirimi / Oran × Bakiye × Gün</t>
  </si>
  <si>
    <t>Her biri kendi belgesiyle</t>
  </si>
  <si>
    <t>646/679 Kambiyo/Diğer Kâr</t>
  </si>
  <si>
    <t>102/648 Bankalar/Diğer Gelir</t>
  </si>
  <si>
    <t>181/642 Tahakkuk/Faiz Gelirleri</t>
  </si>
  <si>
    <t>Beyanname</t>
  </si>
  <si>
    <t>370 satırı</t>
  </si>
  <si>
    <t>371 satırı</t>
  </si>
  <si>
    <t>372 satırı</t>
  </si>
  <si>
    <t>Kazancın Bulunması Halinde</t>
  </si>
  <si>
    <t>DÜŞÜLEMEZ (E.7)</t>
  </si>
  <si>
    <t>Üçü birlikte E.7'de</t>
  </si>
  <si>
    <t>Sonraki Dönem</t>
  </si>
  <si>
    <t>Genellikle sıfır</t>
  </si>
  <si>
    <t>Her dönem aktif hesaptan</t>
  </si>
  <si>
    <t>Her dönem sonu tekrar</t>
  </si>
  <si>
    <t>371+372 devam eder</t>
  </si>
  <si>
    <t>C. DENETİM KONTROL LİSTESİ (K1–K12)</t>
  </si>
  <si>
    <t>Kontrol</t>
  </si>
  <si>
    <t>Sonuç</t>
  </si>
  <si>
    <t>K1</t>
  </si>
  <si>
    <t>★ KKM hesabı 31/12/2021 bilanço kaynaklı dönüşümden mi açıldı?</t>
  </si>
  <si>
    <t>370 çalışma kâğıdıyla çapraz teyit. B.6 EVET olmalı.</t>
  </si>
  <si>
    <t>Uygun/Eksik/Risk</t>
  </si>
  <si>
    <t>K2</t>
  </si>
  <si>
    <t>★ Dönem sonu faiz/kâr payı tahakkuk muhasebe kaydı yapıldı mı? (181 / 642)</t>
  </si>
  <si>
    <t>Kayıt olmadan 372 istisnasının muhasebe dayanağı yoktur. Yevmiye kontrol zorunlu.</t>
  </si>
  <si>
    <t>K3</t>
  </si>
  <si>
    <t>★ C tablosundaki tahakkuk tutarları 181/642 muhasebe kayıtlarıyla mutabık mı?</t>
  </si>
  <si>
    <t>Her KKM hesabı satırı muhasebe ekstresiyle doğrulanmış olmalı.</t>
  </si>
  <si>
    <t>K4</t>
  </si>
  <si>
    <t>Banka dönem sonu bildirimi mevcut mu?</t>
  </si>
  <si>
    <t>Faiz/kâr payı tahakkuk bildirimini gösteren resmi banka belgesi.</t>
  </si>
  <si>
    <t>K5</t>
  </si>
  <si>
    <t>★ 371 (nakit kur farkı) ile 372 (dönem sonu tahakkuk) doğru ayrıştırıldı mı?</t>
  </si>
  <si>
    <t>371: Bankadan alınan nakit kur farkı ödemesi. 372: Faiz/kâr payı dönem sonu tahakkuku. Farklı hesaplar.</t>
  </si>
  <si>
    <t>K6</t>
  </si>
  <si>
    <t>370 ve 371 çalışma kâğıtlarıyla çapraz mutabakat yapıldı mı?</t>
  </si>
  <si>
    <t>Üç dosyanın KKM hesap bilgileri tutarlı olmalı. E bölümü mutabakat tablosu doldurulmuş olmalı.</t>
  </si>
  <si>
    <t>K7</t>
  </si>
  <si>
    <t>Kapsam dışı faiz/kâr payı (D.2) ayrıştırıldı mı?</t>
  </si>
  <si>
    <t>31/12/2021 kaynaklı olmayan KKM hesapları kapsam dışı — D.4 vergilendirilir.</t>
  </si>
  <si>
    <t>K8</t>
  </si>
  <si>
    <t>★★ 372 istisnası YİAKV matrahından DÜŞÜLMEDI mi?</t>
  </si>
  <si>
    <t>370+371+372 tamamı YİAKV matrahından DÜŞÜLEMEZ. E.7'de üç satır da kontrol edilmeli. EN KRİTİK.</t>
  </si>
  <si>
    <t>K9</t>
  </si>
  <si>
    <t>Beyanname 372 'Kazancın Bulunması Halinde' bölümünde mi?</t>
  </si>
  <si>
    <t>Zarar döneminde uygulanamaz. 370/371 ile aynı bölüm — ayrı satır.</t>
  </si>
  <si>
    <t>K10</t>
  </si>
  <si>
    <t>Sonraki dönemde 181 tahakkuk kaydı tahsil edildiğinde düzeltme yapıldı mı?</t>
  </si>
  <si>
    <t>Tahakkuk → Tahsil: 102 Dr / 181 Kr. İstisna 372'de dönem sonu tahakkuk anında uygulanır.</t>
  </si>
  <si>
    <t>K11</t>
  </si>
  <si>
    <t>Birden fazla KKM hesabı varsa her biri ayrı ayrı değerlendirildi mi?</t>
  </si>
  <si>
    <t>Her hesap için ayrı kapsam analizi ve tahakkuk hesabı.</t>
  </si>
  <si>
    <t>K12</t>
  </si>
  <si>
    <t>YMM Tasdik Raporu (49 No.lu Tebliğ) değerlendirildi mi?</t>
  </si>
  <si>
    <t>372 – KVK GEÇİCİ MD.14/1-b DÖNEM SONU DEĞERLEMESİ | MUHASEBE KAYITLARI</t>
  </si>
  <si>
    <t>VUK Dönem Sonu Tahakkuk Kaydı | Tahsil Kaydı | 370/371/372 Tam Muhasebe Özeti</t>
  </si>
  <si>
    <t>KAYIT 1 — DÖNEM SONU (31 ARALIK): FAİZ/KÂR PAYI TAHAKKUK KAYDININ YAPILMASI</t>
  </si>
  <si>
    <t>Tarih</t>
  </si>
  <si>
    <t>Hesap</t>
  </si>
  <si>
    <t>Not</t>
  </si>
  <si>
    <t>Dr</t>
  </si>
  <si>
    <t>Kr</t>
  </si>
  <si>
    <t>Ref</t>
  </si>
  <si>
    <t>[31.12.YYYY]</t>
  </si>
  <si>
    <t>181 Gelir Tahakkukları</t>
  </si>
  <si>
    <t>KKM hesabından dönem sonu tahakkuk eden faiz/kâr payı (C tablosu toplamı — Banka bildirimi ile uyumlu)</t>
  </si>
  <si>
    <t>[Tutar]</t>
  </si>
  <si>
    <t>Banka bildirimi</t>
  </si>
  <si>
    <t>642 Faiz Gelirleri / 644 Temettü ve Kâr Payları</t>
  </si>
  <si>
    <t>KKM faiz/kâr payı tahakkuku — KVK Geçici Md.14/1-b kapsamı → Beyanname 372</t>
  </si>
  <si>
    <t>KV 372</t>
  </si>
  <si>
    <t xml:space="preserve">  HESAP SEÇİMİ: TL KKM mevduat → 642 Faiz Gelirleri. TL KKM katılım → 644 Temettü ve Kâr Payları. Bu tahakkuk kaydı KV Beyannamesinde 372 istisnasının muhasebe dayanağıdır.</t>
  </si>
  <si>
    <t>KAYIT 2 — TAHSİL: FAİZ/KÂR PAYININ BANKADAN ALINIYOR OLMASI (Sonraki Dönemde veya Vadede)</t>
  </si>
  <si>
    <t>[Tahsil Tarihi]</t>
  </si>
  <si>
    <t>102 Bankalar</t>
  </si>
  <si>
    <t>KKM hesabından tahsil edilen faiz/kâr payı (vadede veya dönem içinde)</t>
  </si>
  <si>
    <t>Banka ekstresi</t>
  </si>
  <si>
    <t>Önceki dönem tahakkuk kaydının kapatılması</t>
  </si>
  <si>
    <t>181 hesap kapatma</t>
  </si>
  <si>
    <t xml:space="preserve">  NOT: 372 istisnası DÖNEM SONU TAHAKKUK anında uygulanır (Kayıt 1). Sonraki dönemde tahsilat gerçekleştiğinde (Kayıt 2) ikinci bir istisna söz konusu değildir. Tahsil döneminde 181 kapatılır — yeni gelir yazılmaz.</t>
  </si>
  <si>
    <t>KAYIT 3 — 370 / 371 / 372 TAM MUHASEBE TABLOSU</t>
  </si>
  <si>
    <t xml:space="preserve">  Aynı KKM hesabından üç farklı türde gelir — her biri farklı hesap ve farklı beyanname satırı.</t>
  </si>
  <si>
    <t>370</t>
  </si>
  <si>
    <t>[Dönüşüm]</t>
  </si>
  <si>
    <t>Kur farkı değerleme kazancı → 370 (tek seferlik)</t>
  </si>
  <si>
    <t>[370]</t>
  </si>
  <si>
    <t>KV 370</t>
  </si>
  <si>
    <t>371</t>
  </si>
  <si>
    <t>[Ödeme]</t>
  </si>
  <si>
    <t>Bankadan alınan kur farkı koruma ödemesi → 371 (dönemsel nakit)</t>
  </si>
  <si>
    <t>[371]</t>
  </si>
  <si>
    <t>KV 371</t>
  </si>
  <si>
    <t>372</t>
  </si>
  <si>
    <t>[31.12]</t>
  </si>
  <si>
    <t>Dönem sonu faiz/kâr payı tahakkuku → 372 (yıl sonu accrual)</t>
  </si>
  <si>
    <t>[372]</t>
  </si>
  <si>
    <t xml:space="preserve">  BEYANNAME AKIŞI — 370 + 371 + 372 BİRLİKTE:
• Genel KV matrahı: Ticari Bilanço Kârı + KKEG − İzin Verilen İstisnalar (370+371+372 dahil)
• ★★ YİAKV MATRAHI: Ticari Bilanço Kârı + KKEG → 370+371+372 HIÇBIRI çıkarılmaz (E.7 — DÜŞÜLEMEZ)
• Muhasebe bağlantısı: 370=646/679 | 371=648/102 | 372=642/181 — Ticari kârda her üçü de yer alır.
• Kazancın Bulunması Halinde: Üç satır da bu bölümde — dönem zararı varsa üçü de uygulanamaz.</t>
  </si>
  <si>
    <t>372 – KVK GEÇİCİ MD.14/1-b DÖNEM SONU DEĞERLEMESİ | DENETÇİ NOTLARI</t>
  </si>
  <si>
    <t>GİB KV Beyan Rehberi Mart 2026 (No:606) | VUK Md.280/281 | KVK Geçici Md.14 | ★★ YİAKV DÜŞÜLEMEZ</t>
  </si>
  <si>
    <t>Kod</t>
  </si>
  <si>
    <t>Mesleki Değerlendirme / Tasdik Standardı</t>
  </si>
  <si>
    <t>Mevzuat / Kaynak</t>
  </si>
  <si>
    <t>N1</t>
  </si>
  <si>
    <t>KVK Geçici Md.14/1-b — 372 Dönem Sonu Değerleme Mekanizması</t>
  </si>
  <si>
    <t>372 (DÖNEM SONU DEĞERLEMESİNDEN DOĞAN KÂR PAYI VE FAİZ) TANIMI:
KKM hesapları üzerinde dönem sonu (31 Aralık) itibariyle tahakkuk eden faiz ve kâr payı geliri,
VUK Md.280/281 gereği muhasebe kayıtlarına alınır.
Bu tahakkuk tutarı KVK Geçici Madde 14/1-b kapsamında kurumlar vergisinden istisnadır.
VUK DEĞERLEME MEKANİZMASI:
VUK Md.281: Mevduat ve katılım hesaplarının değerlemesinde dönem sonu itibariyle
tahakkuk eden faiz ve kâr payı kayıtlara alınmalıdır.
Muhasebe kaydı: Dr 181 Gelir Tahakkukları / Kr 642 Faiz Gelirleri
371 ve 372 FARKI:
• 371: Bankadan fiilen ALINAN kur farkı tazminat ödemeleri (nakit esaslı, 102/648).
• 372: Dönem sonunda TAHAKKUK ettirilen faiz/kâr payı (tahakkuk esaslı, 181/642).
BEYANNAME: 372 | Kazancın Bulunması Halinde İndirilecek</t>
  </si>
  <si>
    <t>KVK Geçici Md.14/1-b | VUK Md.280/281 | GİB KV Beyan Reh. 2026 (No:606)</t>
  </si>
  <si>
    <t>N2</t>
  </si>
  <si>
    <t>Tahakkuk Hesaplama Yöntemleri ve Banka Belgesi</t>
  </si>
  <si>
    <t>TAHSİL YÖNTEMLERİ:
① Banka Bildirimi (Tercih Edilen):
Banka, dönem sonu itibariyle tahakkuk eden faiz/kâr payı tutarını resmi olarak bildirir.
Bu tutar doğrudan 181/642 kaydına ve C tablosuna alınır.
② Sözleşme Oranı Hesabı (Banka Bildirimi Yoksa):
Tahakkuk = Hesap Bakiyesi × Yıllık Oran × Geçen Gün / 365
Oran: KKM hesap sözleşmesinde belirtilen faiz/kâr payı oranı.
Banka ekstresiyle çapraz kontrol yapılmalıdır.
SONRAKI DÖNEM TAHSİLİ:
Dönem sonu tahakkuk kaydı (181 Dr / 642 Kr) izleyen dönemde tahsil edildiğinde kapatılır:
Dr 102 Bankalar / Kr 181 Gelir Tahakkukları.
372 istisnası YALNIZCA dönem sonu tahakkuk anında uygulanır — tahsil döneminde tekrar uygulanmaz.</t>
  </si>
  <si>
    <t>VUK Md.280/281 | 1 Seri No.lu KVK GT | Muhasebe Sistemi Uygulama GT</t>
  </si>
  <si>
    <t>N3</t>
  </si>
  <si>
    <t>★★ YİAKV ile İlişki — 370+371+372 Tamamı DÜŞÜLEMEZ</t>
  </si>
  <si>
    <t>KVK GEÇİCİ MD.14 — ÜÇ SATIRIN TAMAMININ YİAKV MATRAHINDA DÜŞÜLEMEZLİĞİ:
YİAKV (KVK Md.32/C) matrahında:
• 370 (kur farkı değerleme kazancı) → DÜŞÜLEMEZ
• 371 (kur farkı tazminat ödemesi) → DÜŞÜLEMEZ
• 372 (dönem sonu faiz/kâr payı tahakkuku) → DÜŞÜLEMEZ
YİAKV çalışma kâğıdı E.7 satırı:
'KKM Değerleme + Kur Farkı Tazminatı + Faiz/Kâr Payı İstisnası
(KVK Geçici Md.14) → YİAKV'de DÜŞÜLEMEZ ✗ | Beyanname 370/371/372'
EN SIK YAPILAN HATA: 372 tahakkuk tutarını YİAKV matrahından düşmek.
YMM, üç satırın tamamının asgari vergi matrahında kaldığını teyit etmelidir.</t>
  </si>
  <si>
    <t>KVK Md.32/C | YİAKV Reh. (No:607) | GİB KV Beyan Reh. (No:606)</t>
  </si>
  <si>
    <t>N4</t>
  </si>
  <si>
    <t>Dönem İçinde Tahsil Edilen Önceki Yıl Tahakkuklarının Muamele Biçimi</t>
  </si>
  <si>
    <t>İZLEYEN DÖNEMDE TAHSİL DURUMU:
Örnek: 31/12/2024 tahakkuku → 372 istisnasına konu → 181/642
2025'te tahsil edildiğinde: Dr 102 / Kr 181 → Gelir kaydı yapılmaz.
2025 KV beyannamesi: Bu tahsilat 372 veya başka bir satıra yazılmaz.
ANCAK — 2025 DÖNEM SONU (31/12/2025) İÇİN:
Yeni tahakkuk hesabı yapılır (o dönem için akrüel faiz/kâr payı) → Yeni 372 tutarı.
BİRDEN FAZLA KKM HESABI:
Her hesap için ayrı ayrı tahakkuk hesabı ve ayrı banka bildirimi.
C tablosunun her satırı bağımsız belgelenmiş olmalı.</t>
  </si>
  <si>
    <t>VUK Md.280/281 | KVK Geçici Md.14/1-b</t>
  </si>
  <si>
    <t>N5</t>
  </si>
  <si>
    <t>49 No.lu Tebliğ + YMM Tasdik Dil Standardı</t>
  </si>
  <si>
    <t>KULLANIN:
'...31/12/2021 tarihli bilançoda kayıtlı yabancı paranın TL kur korumalı mevduat hesabına dönüştürülmesi sonucunda açılan KKM hesaplarından [dönem] hesap döneminin bitiş tarihi itibarıyla VUK Md.280/281 gereği tahakkuk ettirilen [Tutar] TL faiz/kâr payı geliri, KVK Geçici Madde 14/1-b kapsamında kurumlar vergisinden istisna edilmiş ve yurt içi asgari kurumlar vergisi matrahından indirilmemiştir.'
KULLANMAYIN:
'...372 tutarı YİAKV matrahından düşülmüştür.' (YANLIŞ)
'...Faiz geliri hem 371 hem 372'ye yazılmıştır.' (Mükerrerlik hatası)
'...Tahsil edilen faiz 372 kapsamındadır.' (Tahakkuk değil tahsil — hatalı)
KRİTİK RİSKLER:
(1) 372 tutarını YİAKV matrahından düşmek.
(2) 371 ile 372'yi aynı kaleme yazmak (mükerrerlik).
(3) Tahakkuk muhasebe kaydı olmadan 372 istisnası uygulamak.
(4) Tahsil döneminde de 372 uygulamak (yalnızca tahakkuk anında uygulanır).</t>
  </si>
  <si>
    <t>49 No.lu Tebliğ | KVK Geçici Md.14 | VUK Md.280/281 | SM-SMMM-YMM K. Md.12</t>
  </si>
  <si>
    <t xml:space="preserve">  GİB KV BEYAN REHBERİ MART 2026 (No:606) KAPANIŞ (372): 370+371+372 üç kod birlikte KVK Geçici Md.14 paketini oluşturur. 372 tahakkuk esaslı dönem sonu değerleme istisnasıdır — 371 nakit esaslıdır. Muhasebe kaydı (181/642) zorunlu dayanaktır. Üçü de YİAKV matrahından DÜŞÜLEMEZ. YMM müteselsil sorumluluk: SM-SMMM-YMM Kanunu Md.12.</t>
  </si>
  <si>
    <t>372 – KVK GEÇİCİ MD.14/1-b DÖNEM SONU DEĞERLEMESİ | BELGE LİSTESİ | YMM TASDİK</t>
  </si>
  <si>
    <t>GİB KV Beyan Rehberi Mart 2026 (No:606) | VUK Md.280/281 | 181/642 Muhasebe | 370/371 Çapraz Mutabakat</t>
  </si>
  <si>
    <t>KATEGORİ 1 — ZORUNLU BELGELER</t>
  </si>
  <si>
    <t>No</t>
  </si>
  <si>
    <t>Belge</t>
  </si>
  <si>
    <t>Açıklama / YMM Kontrol</t>
  </si>
  <si>
    <t>Temin</t>
  </si>
  <si>
    <t>1</t>
  </si>
  <si>
    <t>★ Muhasebe Yevmiyesi — 181 Dr / 642 Kr Tahakkuk Kaydı</t>
  </si>
  <si>
    <t>Dönem sonu (31 Aralık) itibariyle yapılan faiz/kâr payı tahakkuk yevmiye kaydı.
C tablosu toplamıyla birebir uyumlu olmalı. Kayıt olmadan 372 istisnasının muhasebe dayanağı yoktur.</t>
  </si>
  <si>
    <t>Yevmiye defteri / Muhasebe ekstresi</t>
  </si>
  <si>
    <t>2</t>
  </si>
  <si>
    <t>★ Banka Dönem Sonu Bildirimi / Tahakkuk Ekstresi</t>
  </si>
  <si>
    <t>Dönem sonu itibariyle tahakkuk eden faiz/kâr payı tutarını gösteren resmi banka belgesi.
Banka bildirimi yoksa sözleşme oranı × bakiye × gün hesabını belgeleyin.</t>
  </si>
  <si>
    <t>Banka şubesi / internet bankacılığı</t>
  </si>
  <si>
    <t>3</t>
  </si>
  <si>
    <t>★ KKM Hesap Sözleşmesi — Faiz/Kâr Payı Oranı ve Vade</t>
  </si>
  <si>
    <t>KKM hesap sözleşmesi: Faiz/kâr payı oranı, vade tarihi, ödeme koşulları.
Tahakkuk hesabında kullanılan oranın kaynağı bu sözleşmedir.</t>
  </si>
  <si>
    <t>Banka KKM sözleşmesi</t>
  </si>
  <si>
    <t>4</t>
  </si>
  <si>
    <t>★ 370/371 Çalışma Kâğıtları — Çapraz Mutabakat</t>
  </si>
  <si>
    <t>Üç dosyanın KKM hesap bilgileri (açılış tarihi, referans kur) tutarlı olmalı.
B.6 (31/12/2021 kaynaklı) her üç dosyada teyit edilmiş olmalı.</t>
  </si>
  <si>
    <t>370 ve 371 çalışma kâğıtları</t>
  </si>
  <si>
    <t>5</t>
  </si>
  <si>
    <t>Kur Farkı Hesaplama Tablosu (Bu Dosya — C ve D Bölümleri)</t>
  </si>
  <si>
    <t>Her KKM hesabı için dönem sonu tahakkuk. D.3 net istisna tutarı beyanname 372 ile uyumlu.</t>
  </si>
  <si>
    <t>Bu çalışma kâğıdı</t>
  </si>
  <si>
    <t>6</t>
  </si>
  <si>
    <t>KV Beyannamesi Taslağı — 372. Satır</t>
  </si>
  <si>
    <t>'Kazancın Bulunması Halinde İndirilecek' bölümü. ★★ YİAKV matrahından çıkarılmamış olmalı.</t>
  </si>
  <si>
    <t>GİB e-Beyanname sistemi</t>
  </si>
  <si>
    <t>KATEGORİ 2 — EK BELGELER</t>
  </si>
  <si>
    <t>7</t>
  </si>
  <si>
    <t>181 Hesap Kapatma Kaydı (Sonraki Dönem Tahsilat)</t>
  </si>
  <si>
    <t>Önceki dönem tahakkuklarının tahsil edildiğinde 181 hesabının kapatıldığını gösteren yevmiye.
Mükerrerlik riski: Tahsil döneminde yeni 372 uygulanmamış olmalı.</t>
  </si>
  <si>
    <t>Yevmiye defteri</t>
  </si>
  <si>
    <t>8</t>
  </si>
  <si>
    <t>Faiz/Kâr Payı Muhasebe Hesap Ekstresi (642/644)</t>
  </si>
  <si>
    <t>Dönem içinde 642/644 hesabına alınan tüm KKM faiz/kâr payı tutarları.
371 (648) ile 372 (642) tutarlarının aynı hesaba yazılmadığı teyit edilmeli.</t>
  </si>
  <si>
    <t>642/644 hesap ekstresi</t>
  </si>
  <si>
    <t>KATEGORİ 3 — YMM TASDİK KONTROL SORULARI</t>
  </si>
  <si>
    <t>Beklenen Sonuç</t>
  </si>
  <si>
    <t>YMM Aksiyonu</t>
  </si>
  <si>
    <t>S1</t>
  </si>
  <si>
    <t>370 çapraz teyit. B.6 EVET.</t>
  </si>
  <si>
    <t>YMM kontrolü</t>
  </si>
  <si>
    <t>S2</t>
  </si>
  <si>
    <t>★ Dönem sonu tahakkuk muhasebe kaydı (181/642) yapıldı mı?</t>
  </si>
  <si>
    <t>Kayıt olmadan istisna uygulanamaz.</t>
  </si>
  <si>
    <t>S3</t>
  </si>
  <si>
    <t>★ Tahakkuk tutarları banka bildirimi ile mutabık mı?</t>
  </si>
  <si>
    <t>Her hesap satırı belgeden doğrulanmalı.</t>
  </si>
  <si>
    <t>S4</t>
  </si>
  <si>
    <t>★ 371 (nakit kur farkı) ile 372 (tahakkuk faiz) doğru ayrıştırıldı mı?</t>
  </si>
  <si>
    <t>Mükerrerlik kontrolü — aynı tutar iki satıra yazılmamalı.</t>
  </si>
  <si>
    <t>S5</t>
  </si>
  <si>
    <t>370/371/372 çapraz mutabakat yapıldı mı?</t>
  </si>
  <si>
    <t>Üç dosyanın KKM hesap bilgileri tutarlı.</t>
  </si>
  <si>
    <t>S6</t>
  </si>
  <si>
    <t>Kapsam dışı tahakkuklar (D.2) ayrıştırıldı mı?</t>
  </si>
  <si>
    <t>31/12/2021 dışı kaynaklı — vergiye tabi.</t>
  </si>
  <si>
    <t>S7</t>
  </si>
  <si>
    <t>370+371+372 tamamı YİAKV E.7'de DÜŞÜLEMEZ.</t>
  </si>
  <si>
    <t>S8</t>
  </si>
  <si>
    <t>Zarar döneminde uygulanamaz.</t>
  </si>
  <si>
    <t>S9</t>
  </si>
  <si>
    <t>Tahsil döneminde 181 kapatma kaydı yapılıp 372 tekrar uygulanmadı mı?</t>
  </si>
  <si>
    <t>Yalnızca tahakkuk anında — tahsilat döneminde tekrar yok.</t>
  </si>
  <si>
    <t>S10</t>
  </si>
  <si>
    <t>SON NOT: GİB KV Beyan Rehberi Mart 2026 (No:606) esas alınmıştır. 372 = VUK değerleme gereği dönem sonu tahakkuk (181/642) — 371 nakit esaslı, 372 tahakkuk esaslıdır. Muhasebe kaydı zorunlu dayanak. 370+371+372 tamamı YİAKV matrahından DÜŞÜLEMEZ (E.7). Tahsil döneminde yeniden 372 uygulanmaz. YMM müteselsil: SM-SMMM-YMM Kanunu Md.12.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</si>
</sst>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7" x14ac:knownFonts="1">
    <font>
      <sz val="11"/>
      <color theme="1"/>
      <name val="Calibri"/>
      <family val="2"/>
      <scheme val="minor"/>
    </font>
    <font>
      <b/>
      <sz val="9"/>
      <color rgb="FFFFFFFF"/>
      <name val="Arial"/>
    </font>
    <font>
      <b/>
      <sz val="8"/>
      <color rgb="FF7B5E00"/>
      <name val="Arial"/>
    </font>
    <font>
      <b/>
      <sz val="8"/>
      <color rgb="FFFFFFFF"/>
      <name val="Arial"/>
    </font>
    <font>
      <b/>
      <sz val="10"/>
      <color rgb="FFFFFFFF"/>
      <name val="Arial"/>
    </font>
    <font>
      <b/>
      <sz val="9"/>
      <color rgb="FF1F3864"/>
      <name val="Arial"/>
    </font>
    <font>
      <b/>
      <sz val="10"/>
      <color rgb="FF0000FF"/>
      <name val="Arial"/>
    </font>
    <font>
      <i/>
      <sz val="8"/>
      <color rgb="FF555555"/>
      <name val="Arial"/>
    </font>
    <font>
      <b/>
      <sz val="9"/>
      <color rgb="FFC0392B"/>
      <name val="Arial"/>
    </font>
    <font>
      <i/>
      <sz val="8"/>
      <color rgb="FFC0392B"/>
      <name val="Arial"/>
    </font>
    <font>
      <b/>
      <sz val="10"/>
      <color rgb="FF1B5E20"/>
      <name val="Arial"/>
    </font>
    <font>
      <i/>
      <sz val="8"/>
      <color rgb="FF888888"/>
      <name val="Arial"/>
    </font>
    <font>
      <sz val="9"/>
      <color rgb="FF1F3864"/>
      <name val="Arial"/>
    </font>
    <font>
      <i/>
      <sz val="8"/>
      <color rgb="FF01579B"/>
      <name val="Arial"/>
    </font>
    <font>
      <b/>
      <sz val="9"/>
      <color rgb="FF01579B"/>
      <name val="Arial"/>
    </font>
    <font>
      <b/>
      <sz val="9"/>
      <color rgb="FF1B5E20"/>
      <name val="Arial"/>
    </font>
    <font>
      <b/>
      <sz val="11"/>
      <color rgb="FFFFFFFF"/>
      <name val="Arial"/>
    </font>
    <font>
      <b/>
      <sz val="13"/>
      <color rgb="FFFFFFFF"/>
      <name val="Arial"/>
    </font>
    <font>
      <b/>
      <sz val="13"/>
      <color rgb="FF1B5E20"/>
      <name val="Arial"/>
    </font>
    <font>
      <sz val="8"/>
      <color rgb="FF00574B"/>
      <name val="Arial"/>
    </font>
    <font>
      <sz val="8"/>
      <color rgb="FF004D40"/>
      <name val="Arial"/>
    </font>
    <font>
      <sz val="8"/>
      <color rgb="FF01579B"/>
      <name val="Arial"/>
    </font>
    <font>
      <b/>
      <sz val="8"/>
      <color rgb="FF1F3864"/>
      <name val="Arial"/>
    </font>
    <font>
      <b/>
      <sz val="8"/>
      <color rgb="FFC0392B"/>
      <name val="Arial"/>
    </font>
    <font>
      <b/>
      <sz val="14"/>
      <color rgb="FF1B5E20"/>
      <name val="Arial"/>
    </font>
    <font>
      <i/>
      <sz val="8"/>
      <color rgb="FF1B5E20"/>
      <name val="Arial"/>
    </font>
    <font>
      <b/>
      <sz val="12"/>
      <color rgb="FFFFFFFF"/>
      <name val="Arial"/>
    </font>
    <font>
      <b/>
      <sz val="12"/>
      <color rgb="FF1B5E20"/>
      <name val="Arial"/>
    </font>
    <font>
      <b/>
      <sz val="10"/>
      <color rgb="FFE65100"/>
      <name val="Arial"/>
    </font>
    <font>
      <sz val="8"/>
      <color rgb="FF1F3864"/>
      <name val="Arial"/>
    </font>
    <font>
      <sz val="8"/>
      <color rgb="FF333333"/>
      <name val="Arial"/>
    </font>
    <font>
      <b/>
      <sz val="36"/>
      <color rgb="FFFFFFFF"/>
      <name val="Arial"/>
    </font>
    <font>
      <sz val="8"/>
      <color rgb="FFFFFFFF"/>
      <name val="Arial"/>
    </font>
    <font>
      <i/>
      <sz val="8"/>
      <color rgb="FF444444"/>
      <name val="Arial"/>
    </font>
    <font>
      <b/>
      <sz val="9"/>
      <color rgb="FF7B5E00"/>
      <name val="Arial"/>
    </font>
    <font>
      <b/>
      <sz val="9"/>
      <color rgb="FF1565C0"/>
      <name val="Arial"/>
    </font>
    <font>
      <i/>
      <sz val="8"/>
      <color rgb="FF1565C0"/>
      <name val="Arial"/>
    </font>
  </fonts>
  <fills count="26">
    <fill>
      <patternFill patternType="none"/>
    </fill>
    <fill>
      <patternFill patternType="gray125"/>
    </fill>
    <fill>
      <patternFill patternType="solid">
        <fgColor rgb="FF01579B"/>
      </patternFill>
    </fill>
    <fill>
      <patternFill patternType="solid">
        <fgColor rgb="FF2C3E50"/>
      </patternFill>
    </fill>
    <fill>
      <patternFill patternType="solid">
        <fgColor rgb="FFFFF9C4"/>
      </patternFill>
    </fill>
    <fill>
      <patternFill patternType="solid">
        <fgColor rgb="FFE65100"/>
      </patternFill>
    </fill>
    <fill>
      <patternFill patternType="solid">
        <fgColor rgb="FFDEDEDE"/>
      </patternFill>
    </fill>
    <fill>
      <patternFill patternType="solid">
        <fgColor rgb="FFC0392B"/>
      </patternFill>
    </fill>
    <fill>
      <patternFill patternType="solid">
        <fgColor rgb="FF1565C0"/>
      </patternFill>
    </fill>
    <fill>
      <patternFill patternType="solid">
        <fgColor rgb="FFE3F2FD"/>
      </patternFill>
    </fill>
    <fill>
      <patternFill patternType="solid">
        <fgColor rgb="FFFFFF00"/>
      </patternFill>
    </fill>
    <fill>
      <patternFill patternType="solid">
        <fgColor rgb="FFFCE4D6"/>
      </patternFill>
    </fill>
    <fill>
      <patternFill patternType="solid">
        <fgColor rgb="FFFFFFFF"/>
      </patternFill>
    </fill>
    <fill>
      <patternFill patternType="solid">
        <fgColor rgb="FFC6EFCE"/>
      </patternFill>
    </fill>
    <fill>
      <patternFill patternType="solid">
        <fgColor rgb="FFE8EAF6"/>
      </patternFill>
    </fill>
    <fill>
      <patternFill patternType="solid">
        <fgColor rgb="FFEEF4FF"/>
      </patternFill>
    </fill>
    <fill>
      <patternFill patternType="solid">
        <fgColor rgb="FFFFEBEE"/>
      </patternFill>
    </fill>
    <fill>
      <patternFill patternType="solid">
        <fgColor rgb="FF1B5E20"/>
      </patternFill>
    </fill>
    <fill>
      <patternFill patternType="solid">
        <fgColor rgb="FFFFF3E0"/>
      </patternFill>
    </fill>
    <fill>
      <patternFill patternType="solid">
        <fgColor rgb="FFE0F7FA"/>
      </patternFill>
    </fill>
    <fill>
      <patternFill patternType="solid">
        <fgColor rgb="FFFFF5F5"/>
      </patternFill>
    </fill>
    <fill>
      <patternFill patternType="solid">
        <fgColor rgb="FFFFD0D0"/>
      </patternFill>
    </fill>
    <fill>
      <patternFill patternType="solid">
        <fgColor rgb="FFF7F7F7"/>
      </patternFill>
    </fill>
    <fill>
      <patternFill patternType="solid">
        <fgColor rgb="FFEBF5EB"/>
      </patternFill>
    </fill>
    <fill>
      <patternFill patternType="solid">
        <fgColor rgb="FFB71C1C"/>
      </patternFill>
    </fill>
    <fill>
      <patternFill patternType="solid">
        <fgColor rgb="FFFFB0B0"/>
      </patternFill>
    </fill>
  </fills>
  <borders count="6">
    <border>
      <left/>
      <right/>
      <top/>
      <bottom/>
      <diagonal/>
    </border>
    <border>
      <left style="thin">
        <color rgb="FFBBBBBB"/>
      </left>
      <right style="thin">
        <color rgb="FFBBBBBB"/>
      </right>
      <top style="thin">
        <color rgb="FFBBBBBB"/>
      </top>
      <bottom style="thin">
        <color rgb="FFBBBBBB"/>
      </bottom>
      <diagonal/>
    </border>
    <border>
      <left style="thin">
        <color rgb="FF999999"/>
      </left>
      <right style="thin">
        <color rgb="FF999999"/>
      </right>
      <top style="thin">
        <color rgb="FF999999"/>
      </top>
      <bottom style="thin">
        <color rgb="FF999999"/>
      </bottom>
      <diagonal/>
    </border>
    <border>
      <left style="thin">
        <color rgb="FF01579B"/>
      </left>
      <right style="thin">
        <color rgb="FF01579B"/>
      </right>
      <top style="thin">
        <color rgb="FF01579B"/>
      </top>
      <bottom style="thin">
        <color rgb="FF01579B"/>
      </bottom>
      <diagonal/>
    </border>
    <border>
      <left style="thin">
        <color rgb="FF009900"/>
      </left>
      <right style="thin">
        <color rgb="FF009900"/>
      </right>
      <top style="thin">
        <color rgb="FF009900"/>
      </top>
      <bottom style="thin">
        <color rgb="FF009900"/>
      </bottom>
      <diagonal/>
    </border>
    <border>
      <left style="thin">
        <color rgb="FF888888"/>
      </left>
      <right style="thin">
        <color rgb="FF888888"/>
      </right>
      <top style="thin">
        <color rgb="FF888888"/>
      </top>
      <bottom style="thin">
        <color rgb="FF888888"/>
      </bottom>
      <diagonal/>
    </border>
  </borders>
  <cellStyleXfs count="1">
    <xf numFmtId="0" fontId="0" fillId="0" borderId="0"/>
  </cellStyleXfs>
  <cellXfs count="153">
    <xf numFmtId="0" fontId="0" fillId="0" borderId="0" xfId="0"/>
    <xf numFmtId="0" fontId="0" fillId="6" borderId="1" xfId="0" applyFill="1" applyBorder="1"/>
    <xf numFmtId="0" fontId="1" fillId="8" borderId="2" xfId="0" applyFont="1" applyFill="1" applyBorder="1" applyAlignment="1">
      <alignment horizontal="center" vertical="center"/>
    </xf>
    <xf numFmtId="0" fontId="0" fillId="9" borderId="1" xfId="0" applyFill="1" applyBorder="1"/>
    <xf numFmtId="0" fontId="6" fillId="10" borderId="1" xfId="0" applyFont="1" applyFill="1" applyBorder="1" applyAlignment="1">
      <alignment horizontal="center" vertical="center"/>
    </xf>
    <xf numFmtId="0" fontId="0" fillId="12" borderId="1" xfId="0" applyFill="1" applyBorder="1"/>
    <xf numFmtId="0" fontId="0" fillId="13" borderId="1" xfId="0" applyFill="1" applyBorder="1"/>
    <xf numFmtId="0" fontId="10" fillId="13" borderId="1" xfId="0" applyFont="1" applyFill="1" applyBorder="1" applyAlignment="1">
      <alignment horizontal="center" vertical="center"/>
    </xf>
    <xf numFmtId="0" fontId="11" fillId="9" borderId="1" xfId="0" applyFont="1" applyFill="1" applyBorder="1" applyAlignment="1">
      <alignment horizontal="left" vertical="center" wrapText="1"/>
    </xf>
    <xf numFmtId="0" fontId="11" fillId="12" borderId="1" xfId="0" applyFont="1" applyFill="1" applyBorder="1" applyAlignment="1">
      <alignment horizontal="left" vertical="center" wrapText="1"/>
    </xf>
    <xf numFmtId="0" fontId="0" fillId="10" borderId="1" xfId="0" applyFill="1" applyBorder="1" applyAlignment="1">
      <alignment horizontal="center" vertical="center"/>
    </xf>
    <xf numFmtId="0" fontId="12" fillId="10" borderId="1" xfId="0" applyFont="1" applyFill="1" applyBorder="1" applyAlignment="1">
      <alignment horizontal="center" vertical="center"/>
    </xf>
    <xf numFmtId="0" fontId="1" fillId="2" borderId="2" xfId="0" applyFont="1" applyFill="1" applyBorder="1" applyAlignment="1">
      <alignment horizontal="center" vertical="center"/>
    </xf>
    <xf numFmtId="0" fontId="12" fillId="10" borderId="1" xfId="0" applyFont="1" applyFill="1" applyBorder="1" applyAlignment="1">
      <alignment horizontal="left" vertical="center"/>
    </xf>
    <xf numFmtId="3" fontId="0" fillId="10" borderId="1" xfId="0" applyNumberFormat="1" applyFill="1" applyBorder="1" applyAlignment="1">
      <alignment horizontal="right" vertical="center"/>
    </xf>
    <xf numFmtId="1" fontId="0" fillId="10" borderId="1" xfId="0" applyNumberFormat="1" applyFill="1" applyBorder="1" applyAlignment="1">
      <alignment horizontal="center" vertical="center"/>
    </xf>
    <xf numFmtId="3" fontId="14" fillId="14" borderId="3" xfId="0" applyNumberFormat="1" applyFont="1" applyFill="1" applyBorder="1" applyAlignment="1">
      <alignment horizontal="right" vertical="center"/>
    </xf>
    <xf numFmtId="3" fontId="15" fillId="13" borderId="4" xfId="0" applyNumberFormat="1" applyFont="1" applyFill="1" applyBorder="1" applyAlignment="1">
      <alignment horizontal="right" vertical="center"/>
    </xf>
    <xf numFmtId="0" fontId="4" fillId="2" borderId="1" xfId="0" applyFont="1" applyFill="1" applyBorder="1" applyAlignment="1">
      <alignment horizontal="center" vertical="center"/>
    </xf>
    <xf numFmtId="3" fontId="16" fillId="2" borderId="1" xfId="0" applyNumberFormat="1" applyFont="1" applyFill="1" applyBorder="1" applyAlignment="1">
      <alignment horizontal="right" vertical="center"/>
    </xf>
    <xf numFmtId="3" fontId="17" fillId="2" borderId="1" xfId="0" applyNumberFormat="1" applyFont="1" applyFill="1" applyBorder="1" applyAlignment="1">
      <alignment horizontal="right" vertical="center"/>
    </xf>
    <xf numFmtId="3" fontId="10" fillId="9" borderId="1" xfId="0" applyNumberFormat="1" applyFont="1" applyFill="1" applyBorder="1" applyAlignment="1">
      <alignment horizontal="right" vertical="center"/>
    </xf>
    <xf numFmtId="3" fontId="18" fillId="13" borderId="4" xfId="0" applyNumberFormat="1" applyFont="1" applyFill="1" applyBorder="1" applyAlignment="1">
      <alignment horizontal="right" vertical="center"/>
    </xf>
    <xf numFmtId="0" fontId="1" fillId="2" borderId="1" xfId="0" applyFont="1" applyFill="1" applyBorder="1" applyAlignment="1">
      <alignment horizontal="center" vertical="center" wrapText="1"/>
    </xf>
    <xf numFmtId="0" fontId="19" fillId="12" borderId="1" xfId="0" applyFont="1" applyFill="1" applyBorder="1" applyAlignment="1">
      <alignment horizontal="center" vertical="center" wrapText="1"/>
    </xf>
    <xf numFmtId="0" fontId="20" fillId="12" borderId="1" xfId="0" applyFont="1" applyFill="1" applyBorder="1" applyAlignment="1">
      <alignment horizontal="center" vertical="center" wrapText="1"/>
    </xf>
    <xf numFmtId="0" fontId="21" fillId="12" borderId="1" xfId="0" applyFont="1" applyFill="1" applyBorder="1" applyAlignment="1">
      <alignment horizontal="center" vertical="center" wrapText="1"/>
    </xf>
    <xf numFmtId="0" fontId="22" fillId="12" borderId="1" xfId="0" applyFont="1" applyFill="1" applyBorder="1" applyAlignment="1">
      <alignment horizontal="center" vertical="center"/>
    </xf>
    <xf numFmtId="0" fontId="23" fillId="16" borderId="1" xfId="0" applyFont="1" applyFill="1" applyBorder="1" applyAlignment="1">
      <alignment horizontal="center" vertical="center" wrapText="1"/>
    </xf>
    <xf numFmtId="0" fontId="19" fillId="9" borderId="1" xfId="0" applyFont="1" applyFill="1" applyBorder="1" applyAlignment="1">
      <alignment horizontal="center" vertical="center" wrapText="1"/>
    </xf>
    <xf numFmtId="0" fontId="20" fillId="9" borderId="1" xfId="0" applyFont="1" applyFill="1" applyBorder="1" applyAlignment="1">
      <alignment horizontal="center" vertical="center" wrapText="1"/>
    </xf>
    <xf numFmtId="0" fontId="21" fillId="9" borderId="1" xfId="0" applyFont="1" applyFill="1" applyBorder="1" applyAlignment="1">
      <alignment horizontal="center" vertical="center" wrapText="1"/>
    </xf>
    <xf numFmtId="0" fontId="22" fillId="9" borderId="1" xfId="0" applyFont="1" applyFill="1" applyBorder="1" applyAlignment="1">
      <alignment horizontal="center" vertical="center"/>
    </xf>
    <xf numFmtId="3" fontId="24" fillId="13" borderId="4" xfId="0" applyNumberFormat="1" applyFont="1" applyFill="1" applyBorder="1" applyAlignment="1">
      <alignment horizontal="right" vertical="center"/>
    </xf>
    <xf numFmtId="3" fontId="10" fillId="9" borderId="1" xfId="0" applyNumberFormat="1" applyFont="1" applyFill="1" applyBorder="1" applyAlignment="1">
      <alignment horizontal="center" vertical="center"/>
    </xf>
    <xf numFmtId="3" fontId="27" fillId="13" borderId="1" xfId="0" applyNumberFormat="1" applyFont="1" applyFill="1" applyBorder="1" applyAlignment="1">
      <alignment horizontal="right" vertical="center"/>
    </xf>
    <xf numFmtId="0" fontId="28" fillId="18" borderId="1" xfId="0" applyFont="1" applyFill="1" applyBorder="1" applyAlignment="1">
      <alignment horizontal="center" vertical="center"/>
    </xf>
    <xf numFmtId="0" fontId="19" fillId="18" borderId="1" xfId="0" applyFont="1" applyFill="1" applyBorder="1" applyAlignment="1">
      <alignment horizontal="center" vertical="center" wrapText="1"/>
    </xf>
    <xf numFmtId="0" fontId="20" fillId="19" borderId="1" xfId="0" applyFont="1" applyFill="1" applyBorder="1" applyAlignment="1">
      <alignment horizontal="center" vertical="center" wrapText="1"/>
    </xf>
    <xf numFmtId="0" fontId="29" fillId="13" borderId="1" xfId="0" applyFont="1" applyFill="1" applyBorder="1" applyAlignment="1">
      <alignment horizontal="center" vertical="center" wrapText="1"/>
    </xf>
    <xf numFmtId="0" fontId="1" fillId="2" borderId="1" xfId="0" applyFont="1" applyFill="1" applyBorder="1" applyAlignment="1">
      <alignment horizontal="center" vertical="top"/>
    </xf>
    <xf numFmtId="0" fontId="8" fillId="11" borderId="1" xfId="0" applyFont="1" applyFill="1" applyBorder="1" applyAlignment="1">
      <alignment horizontal="left" vertical="top" wrapText="1"/>
    </xf>
    <xf numFmtId="0" fontId="30" fillId="20" borderId="1" xfId="0" applyFont="1" applyFill="1" applyBorder="1" applyAlignment="1">
      <alignment horizontal="left" vertical="top" wrapText="1"/>
    </xf>
    <xf numFmtId="0" fontId="0" fillId="10" borderId="1" xfId="0" applyFill="1" applyBorder="1" applyAlignment="1">
      <alignment horizontal="center" vertical="top"/>
    </xf>
    <xf numFmtId="0" fontId="5" fillId="9" borderId="1" xfId="0" applyFont="1" applyFill="1" applyBorder="1" applyAlignment="1">
      <alignment horizontal="left" vertical="top" wrapText="1"/>
    </xf>
    <xf numFmtId="0" fontId="5" fillId="12" borderId="1" xfId="0" applyFont="1" applyFill="1" applyBorder="1" applyAlignment="1">
      <alignment horizontal="left" vertical="top" wrapText="1"/>
    </xf>
    <xf numFmtId="0" fontId="1" fillId="7" borderId="1" xfId="0" applyFont="1" applyFill="1" applyBorder="1" applyAlignment="1">
      <alignment horizontal="center" vertical="top"/>
    </xf>
    <xf numFmtId="0" fontId="8" fillId="21" borderId="1" xfId="0" applyFont="1" applyFill="1" applyBorder="1" applyAlignment="1">
      <alignment horizontal="left" vertical="top" wrapText="1"/>
    </xf>
    <xf numFmtId="0" fontId="0" fillId="21" borderId="1" xfId="0" applyFill="1" applyBorder="1"/>
    <xf numFmtId="0" fontId="0" fillId="16" borderId="1" xfId="0" applyFill="1" applyBorder="1"/>
    <xf numFmtId="0" fontId="12" fillId="9" borderId="1" xfId="0" applyFont="1" applyFill="1" applyBorder="1" applyAlignment="1">
      <alignment horizontal="center" vertical="center" wrapText="1"/>
    </xf>
    <xf numFmtId="0" fontId="12" fillId="12" borderId="1" xfId="0" applyFont="1" applyFill="1" applyBorder="1" applyAlignment="1">
      <alignment horizontal="center" vertical="center" wrapText="1"/>
    </xf>
    <xf numFmtId="0" fontId="30" fillId="22" borderId="1" xfId="0" applyFont="1" applyFill="1" applyBorder="1" applyAlignment="1">
      <alignment horizontal="left" vertical="top" wrapText="1"/>
    </xf>
    <xf numFmtId="0" fontId="33" fillId="9" borderId="1" xfId="0" applyFont="1" applyFill="1" applyBorder="1" applyAlignment="1">
      <alignment horizontal="left" vertical="top" wrapText="1"/>
    </xf>
    <xf numFmtId="0" fontId="33" fillId="12" borderId="1" xfId="0" applyFont="1" applyFill="1" applyBorder="1" applyAlignment="1">
      <alignment horizontal="left" vertical="top" wrapText="1"/>
    </xf>
    <xf numFmtId="0" fontId="33" fillId="11" borderId="1" xfId="0" applyFont="1" applyFill="1" applyBorder="1" applyAlignment="1">
      <alignment horizontal="left" vertical="top" wrapText="1"/>
    </xf>
    <xf numFmtId="0" fontId="5" fillId="13" borderId="1" xfId="0" applyFont="1" applyFill="1" applyBorder="1" applyAlignment="1">
      <alignment horizontal="center" vertical="top"/>
    </xf>
    <xf numFmtId="0" fontId="5" fillId="13" borderId="1" xfId="0" applyFont="1" applyFill="1" applyBorder="1" applyAlignment="1">
      <alignment horizontal="left" vertical="top" wrapText="1"/>
    </xf>
    <xf numFmtId="0" fontId="30" fillId="23" borderId="1" xfId="0" applyFont="1" applyFill="1" applyBorder="1" applyAlignment="1">
      <alignment horizontal="left" vertical="top" wrapText="1"/>
    </xf>
    <xf numFmtId="0" fontId="33" fillId="13" borderId="1" xfId="0" applyFont="1" applyFill="1" applyBorder="1" applyAlignment="1">
      <alignment horizontal="left" vertical="top" wrapText="1"/>
    </xf>
    <xf numFmtId="0" fontId="5" fillId="9" borderId="1" xfId="0" applyFont="1" applyFill="1" applyBorder="1" applyAlignment="1">
      <alignment horizontal="center" vertical="top"/>
    </xf>
    <xf numFmtId="0" fontId="30" fillId="15" borderId="1" xfId="0" applyFont="1" applyFill="1" applyBorder="1" applyAlignment="1">
      <alignment horizontal="left" vertical="top" wrapText="1"/>
    </xf>
    <xf numFmtId="0" fontId="1" fillId="24" borderId="2" xfId="0" applyFont="1" applyFill="1" applyBorder="1" applyAlignment="1">
      <alignment horizontal="center" vertical="center"/>
    </xf>
    <xf numFmtId="0" fontId="35" fillId="16" borderId="1" xfId="0" applyFont="1" applyFill="1" applyBorder="1" applyAlignment="1">
      <alignment horizontal="center" vertical="top"/>
    </xf>
    <xf numFmtId="0" fontId="8" fillId="16" borderId="1" xfId="0" applyFont="1" applyFill="1" applyBorder="1" applyAlignment="1">
      <alignment horizontal="left" vertical="top" wrapText="1"/>
    </xf>
    <xf numFmtId="0" fontId="30" fillId="21" borderId="1" xfId="0" applyFont="1" applyFill="1" applyBorder="1" applyAlignment="1">
      <alignment horizontal="left" vertical="top" wrapText="1"/>
    </xf>
    <xf numFmtId="0" fontId="36" fillId="16" borderId="1" xfId="0" applyFont="1" applyFill="1" applyBorder="1" applyAlignment="1">
      <alignment horizontal="center" vertical="top"/>
    </xf>
    <xf numFmtId="0" fontId="35" fillId="9" borderId="1" xfId="0" applyFont="1" applyFill="1" applyBorder="1" applyAlignment="1">
      <alignment horizontal="center" vertical="top"/>
    </xf>
    <xf numFmtId="0" fontId="35" fillId="9" borderId="1" xfId="0" applyFont="1" applyFill="1" applyBorder="1" applyAlignment="1">
      <alignment horizontal="left" vertical="top" wrapText="1"/>
    </xf>
    <xf numFmtId="0" fontId="36" fillId="9" borderId="1" xfId="0" applyFont="1" applyFill="1" applyBorder="1" applyAlignment="1">
      <alignment horizontal="center" vertical="top"/>
    </xf>
    <xf numFmtId="0" fontId="35" fillId="21" borderId="1" xfId="0" applyFont="1" applyFill="1" applyBorder="1" applyAlignment="1">
      <alignment horizontal="center" vertical="top"/>
    </xf>
    <xf numFmtId="0" fontId="30" fillId="25" borderId="1" xfId="0" applyFont="1" applyFill="1" applyBorder="1" applyAlignment="1">
      <alignment horizontal="left" vertical="top" wrapText="1"/>
    </xf>
    <xf numFmtId="0" fontId="36" fillId="21" borderId="1" xfId="0" applyFont="1" applyFill="1" applyBorder="1" applyAlignment="1">
      <alignment horizontal="center" vertical="top"/>
    </xf>
    <xf numFmtId="0" fontId="5" fillId="12" borderId="1" xfId="0" applyFont="1" applyFill="1" applyBorder="1" applyAlignment="1">
      <alignment horizontal="left" vertical="center" wrapText="1"/>
    </xf>
    <xf numFmtId="0" fontId="0" fillId="12" borderId="1" xfId="0" applyFill="1" applyBorder="1"/>
    <xf numFmtId="0" fontId="7" fillId="12" borderId="1" xfId="0" applyFont="1" applyFill="1" applyBorder="1" applyAlignment="1">
      <alignment horizontal="left" vertical="center" wrapText="1"/>
    </xf>
    <xf numFmtId="0" fontId="5" fillId="9" borderId="1" xfId="0" applyFont="1" applyFill="1" applyBorder="1" applyAlignment="1">
      <alignment horizontal="left" vertical="center" wrapText="1"/>
    </xf>
    <xf numFmtId="0" fontId="0" fillId="9" borderId="1" xfId="0" applyFill="1" applyBorder="1"/>
    <xf numFmtId="0" fontId="4" fillId="2" borderId="2" xfId="0" applyFont="1" applyFill="1" applyBorder="1" applyAlignment="1">
      <alignment horizontal="left" vertical="center"/>
    </xf>
    <xf numFmtId="0" fontId="0" fillId="2" borderId="2" xfId="0" applyFill="1" applyBorder="1"/>
    <xf numFmtId="0" fontId="13" fillId="12" borderId="1" xfId="0" applyFont="1" applyFill="1" applyBorder="1" applyAlignment="1">
      <alignment horizontal="left" vertical="center" wrapText="1"/>
    </xf>
    <xf numFmtId="0" fontId="7" fillId="9" borderId="1" xfId="0" applyFont="1" applyFill="1" applyBorder="1" applyAlignment="1">
      <alignment horizontal="left" vertical="center" wrapText="1"/>
    </xf>
    <xf numFmtId="0" fontId="10" fillId="13" borderId="1" xfId="0" applyFont="1" applyFill="1" applyBorder="1" applyAlignment="1">
      <alignment horizontal="left" vertical="center"/>
    </xf>
    <xf numFmtId="0" fontId="0" fillId="13" borderId="1" xfId="0" applyFill="1" applyBorder="1"/>
    <xf numFmtId="0" fontId="0" fillId="10" borderId="1" xfId="0" applyFill="1" applyBorder="1"/>
    <xf numFmtId="0" fontId="3" fillId="5" borderId="2" xfId="0" applyFont="1" applyFill="1" applyBorder="1" applyAlignment="1">
      <alignment horizontal="left" vertical="center"/>
    </xf>
    <xf numFmtId="0" fontId="0" fillId="5" borderId="2" xfId="0" applyFill="1" applyBorder="1"/>
    <xf numFmtId="0" fontId="11" fillId="12" borderId="1" xfId="0" applyFont="1" applyFill="1" applyBorder="1" applyAlignment="1">
      <alignment horizontal="left" vertical="center" wrapText="1"/>
    </xf>
    <xf numFmtId="0" fontId="8" fillId="11" borderId="2" xfId="0" applyFont="1" applyFill="1" applyBorder="1" applyAlignment="1">
      <alignment horizontal="left" vertical="center" wrapText="1"/>
    </xf>
    <xf numFmtId="0" fontId="0" fillId="11" borderId="2" xfId="0" applyFill="1" applyBorder="1"/>
    <xf numFmtId="0" fontId="8" fillId="11" borderId="1" xfId="0" applyFont="1" applyFill="1" applyBorder="1" applyAlignment="1">
      <alignment horizontal="left" vertical="center" wrapText="1"/>
    </xf>
    <xf numFmtId="0" fontId="0" fillId="11" borderId="1" xfId="0" applyFill="1" applyBorder="1"/>
    <xf numFmtId="0" fontId="9" fillId="11" borderId="1" xfId="0" applyFont="1" applyFill="1" applyBorder="1" applyAlignment="1">
      <alignment horizontal="left" vertical="center" wrapText="1"/>
    </xf>
    <xf numFmtId="0" fontId="13" fillId="9" borderId="1" xfId="0" applyFont="1" applyFill="1" applyBorder="1" applyAlignment="1">
      <alignment horizontal="left" vertical="center" wrapText="1"/>
    </xf>
    <xf numFmtId="0" fontId="11" fillId="9" borderId="1" xfId="0" applyFont="1" applyFill="1" applyBorder="1" applyAlignment="1">
      <alignment horizontal="left" vertical="center" wrapText="1"/>
    </xf>
    <xf numFmtId="0" fontId="7" fillId="13" borderId="1" xfId="0" applyFont="1" applyFill="1" applyBorder="1" applyAlignment="1">
      <alignment horizontal="left" vertical="center" wrapText="1"/>
    </xf>
    <xf numFmtId="0" fontId="9" fillId="13" borderId="1" xfId="0" applyFont="1" applyFill="1" applyBorder="1" applyAlignment="1">
      <alignment horizontal="left" vertical="center" wrapText="1"/>
    </xf>
    <xf numFmtId="0" fontId="5" fillId="13" borderId="1" xfId="0" applyFont="1" applyFill="1" applyBorder="1" applyAlignment="1">
      <alignment horizontal="left" vertical="center"/>
    </xf>
    <xf numFmtId="0" fontId="11" fillId="13" borderId="1" xfId="0" applyFont="1" applyFill="1" applyBorder="1" applyAlignment="1">
      <alignment horizontal="left" vertical="center" wrapText="1"/>
    </xf>
    <xf numFmtId="0" fontId="12" fillId="9" borderId="1" xfId="0" applyFont="1" applyFill="1" applyBorder="1" applyAlignment="1">
      <alignment horizontal="left" vertical="center" wrapText="1"/>
    </xf>
    <xf numFmtId="0" fontId="1" fillId="2" borderId="1" xfId="0" applyFont="1" applyFill="1" applyBorder="1" applyAlignment="1">
      <alignment horizontal="left" vertical="center"/>
    </xf>
    <xf numFmtId="0" fontId="0" fillId="2" borderId="1" xfId="0" applyFill="1" applyBorder="1"/>
    <xf numFmtId="0" fontId="25" fillId="13" borderId="1" xfId="0" applyFont="1" applyFill="1" applyBorder="1" applyAlignment="1">
      <alignment horizontal="left" vertical="center" wrapText="1"/>
    </xf>
    <xf numFmtId="0" fontId="4" fillId="7" borderId="2" xfId="0" applyFont="1" applyFill="1" applyBorder="1" applyAlignment="1">
      <alignment horizontal="left" vertical="center"/>
    </xf>
    <xf numFmtId="0" fontId="0" fillId="7" borderId="2" xfId="0" applyFill="1" applyBorder="1"/>
    <xf numFmtId="0" fontId="8" fillId="12" borderId="1" xfId="0" applyFont="1" applyFill="1" applyBorder="1" applyAlignment="1">
      <alignment horizontal="left" vertical="center" wrapText="1"/>
    </xf>
    <xf numFmtId="0" fontId="15" fillId="13" borderId="1" xfId="0" applyFont="1" applyFill="1" applyBorder="1" applyAlignment="1">
      <alignment horizontal="left" vertical="center" wrapText="1"/>
    </xf>
    <xf numFmtId="0" fontId="2" fillId="4" borderId="2" xfId="0" applyFont="1" applyFill="1" applyBorder="1" applyAlignment="1">
      <alignment horizontal="left" vertical="center" wrapText="1"/>
    </xf>
    <xf numFmtId="0" fontId="0" fillId="4" borderId="2" xfId="0" applyFill="1" applyBorder="1"/>
    <xf numFmtId="0" fontId="1" fillId="3" borderId="1" xfId="0" applyFont="1" applyFill="1" applyBorder="1" applyAlignment="1">
      <alignment horizontal="left" vertical="center" wrapText="1"/>
    </xf>
    <xf numFmtId="0" fontId="0" fillId="3" borderId="1" xfId="0" applyFill="1" applyBorder="1"/>
    <xf numFmtId="0" fontId="13" fillId="15" borderId="2" xfId="0" applyFont="1" applyFill="1" applyBorder="1" applyAlignment="1">
      <alignment horizontal="left" vertical="center" wrapText="1"/>
    </xf>
    <xf numFmtId="0" fontId="0" fillId="15" borderId="2" xfId="0" applyFill="1" applyBorder="1"/>
    <xf numFmtId="0" fontId="8" fillId="11" borderId="1" xfId="0" applyFont="1" applyFill="1" applyBorder="1" applyAlignment="1">
      <alignment horizontal="left" vertical="top" wrapText="1"/>
    </xf>
    <xf numFmtId="0" fontId="30" fillId="9" borderId="1" xfId="0" applyFont="1" applyFill="1" applyBorder="1" applyAlignment="1">
      <alignment horizontal="left" vertical="top" wrapText="1"/>
    </xf>
    <xf numFmtId="0" fontId="4" fillId="17" borderId="2" xfId="0" applyFont="1" applyFill="1" applyBorder="1" applyAlignment="1">
      <alignment horizontal="left" vertical="center"/>
    </xf>
    <xf numFmtId="0" fontId="0" fillId="17" borderId="2" xfId="0" applyFill="1" applyBorder="1"/>
    <xf numFmtId="0" fontId="5" fillId="12" borderId="1" xfId="0" applyFont="1" applyFill="1" applyBorder="1" applyAlignment="1">
      <alignment horizontal="left" vertical="top" wrapText="1"/>
    </xf>
    <xf numFmtId="0" fontId="30" fillId="12" borderId="1" xfId="0" applyFont="1" applyFill="1" applyBorder="1" applyAlignment="1">
      <alignment horizontal="left" vertical="top" wrapText="1"/>
    </xf>
    <xf numFmtId="0" fontId="7" fillId="18" borderId="1" xfId="0" applyFont="1" applyFill="1" applyBorder="1" applyAlignment="1">
      <alignment horizontal="left" vertical="center" wrapText="1"/>
    </xf>
    <xf numFmtId="0" fontId="0" fillId="18" borderId="1" xfId="0" applyFill="1" applyBorder="1"/>
    <xf numFmtId="0" fontId="5" fillId="12" borderId="1" xfId="0" applyFont="1" applyFill="1" applyBorder="1" applyAlignment="1">
      <alignment horizontal="left" vertical="center"/>
    </xf>
    <xf numFmtId="0" fontId="5" fillId="9" borderId="1" xfId="0" applyFont="1" applyFill="1" applyBorder="1" applyAlignment="1">
      <alignment horizontal="left" vertical="center"/>
    </xf>
    <xf numFmtId="0" fontId="30" fillId="20" borderId="1" xfId="0" applyFont="1" applyFill="1" applyBorder="1" applyAlignment="1">
      <alignment horizontal="left" vertical="top" wrapText="1"/>
    </xf>
    <xf numFmtId="0" fontId="0" fillId="20" borderId="1" xfId="0" applyFill="1" applyBorder="1"/>
    <xf numFmtId="0" fontId="30" fillId="16" borderId="1" xfId="0" applyFont="1" applyFill="1" applyBorder="1" applyAlignment="1">
      <alignment horizontal="left" vertical="top" wrapText="1"/>
    </xf>
    <xf numFmtId="0" fontId="0" fillId="16" borderId="1" xfId="0" applyFill="1" applyBorder="1"/>
    <xf numFmtId="0" fontId="26" fillId="2" borderId="2" xfId="0" applyFont="1" applyFill="1" applyBorder="1" applyAlignment="1">
      <alignment horizontal="left" vertical="center"/>
    </xf>
    <xf numFmtId="0" fontId="5" fillId="9" borderId="1" xfId="0" applyFont="1" applyFill="1" applyBorder="1" applyAlignment="1">
      <alignment horizontal="left" vertical="top" wrapText="1"/>
    </xf>
    <xf numFmtId="0" fontId="5" fillId="18" borderId="1" xfId="0" applyFont="1" applyFill="1" applyBorder="1" applyAlignment="1">
      <alignment horizontal="left" vertical="center"/>
    </xf>
    <xf numFmtId="0" fontId="8" fillId="21" borderId="1" xfId="0" applyFont="1" applyFill="1" applyBorder="1" applyAlignment="1">
      <alignment horizontal="left" vertical="top" wrapText="1"/>
    </xf>
    <xf numFmtId="0" fontId="0" fillId="21" borderId="1" xfId="0" applyFill="1" applyBorder="1"/>
    <xf numFmtId="0" fontId="29" fillId="9" borderId="1" xfId="0" applyFont="1" applyFill="1" applyBorder="1" applyAlignment="1">
      <alignment horizontal="left" vertical="center" wrapText="1"/>
    </xf>
    <xf numFmtId="0" fontId="4" fillId="8" borderId="2" xfId="0" applyFont="1" applyFill="1" applyBorder="1" applyAlignment="1">
      <alignment horizontal="left" vertical="center"/>
    </xf>
    <xf numFmtId="0" fontId="0" fillId="8" borderId="2" xfId="0" applyFill="1" applyBorder="1"/>
    <xf numFmtId="0" fontId="31" fillId="2" borderId="2" xfId="0" applyFont="1" applyFill="1" applyBorder="1" applyAlignment="1">
      <alignment horizontal="left" vertical="center"/>
    </xf>
    <xf numFmtId="0" fontId="30" fillId="18" borderId="2" xfId="0" applyFont="1" applyFill="1" applyBorder="1" applyAlignment="1">
      <alignment horizontal="left" vertical="center" wrapText="1"/>
    </xf>
    <xf numFmtId="0" fontId="0" fillId="18" borderId="2" xfId="0" applyFill="1" applyBorder="1"/>
    <xf numFmtId="0" fontId="32" fillId="3" borderId="1" xfId="0" applyFont="1" applyFill="1" applyBorder="1" applyAlignment="1">
      <alignment horizontal="left" vertical="center" wrapText="1"/>
    </xf>
    <xf numFmtId="0" fontId="34" fillId="4" borderId="2" xfId="0" applyFont="1" applyFill="1" applyBorder="1" applyAlignment="1">
      <alignment horizontal="left" vertical="center" wrapText="1"/>
    </xf>
    <xf numFmtId="0" fontId="4" fillId="3" borderId="2" xfId="0" applyFont="1" applyFill="1" applyBorder="1" applyAlignment="1">
      <alignment horizontal="left" vertical="center"/>
    </xf>
    <xf numFmtId="0" fontId="0" fillId="3" borderId="2" xfId="0" applyFill="1" applyBorder="1"/>
    <xf numFmtId="0" fontId="16" fillId="2" borderId="2" xfId="0" applyFont="1" applyFill="1" applyBorder="1" applyAlignment="1">
      <alignment horizontal="left" vertical="center"/>
    </xf>
    <xf numFmtId="0" fontId="4" fillId="3" borderId="5" xfId="0" applyFont="1" applyFill="1" applyBorder="1" applyAlignment="1">
      <alignment horizontal="left" vertical="center"/>
    </xf>
    <xf numFmtId="0" fontId="0" fillId="3" borderId="5" xfId="0" applyFill="1" applyBorder="1"/>
    <xf numFmtId="0" fontId="4" fillId="8" borderId="5" xfId="0" applyFont="1" applyFill="1" applyBorder="1" applyAlignment="1">
      <alignment horizontal="left" vertical="center"/>
    </xf>
    <xf numFmtId="0" fontId="0" fillId="8" borderId="5" xfId="0" applyFill="1" applyBorder="1"/>
    <xf numFmtId="0" fontId="4" fillId="2" borderId="5" xfId="0" applyFont="1" applyFill="1" applyBorder="1" applyAlignment="1">
      <alignment horizontal="left" vertical="center"/>
    </xf>
    <xf numFmtId="0" fontId="0" fillId="2" borderId="5" xfId="0" applyFill="1" applyBorder="1"/>
    <xf numFmtId="0" fontId="4" fillId="24" borderId="5" xfId="0" applyFont="1" applyFill="1" applyBorder="1" applyAlignment="1">
      <alignment horizontal="left" vertical="center"/>
    </xf>
    <xf numFmtId="0" fontId="0" fillId="24" borderId="5" xfId="0" applyFill="1" applyBorder="1"/>
    <xf numFmtId="0" fontId="4" fillId="17" borderId="5" xfId="0" applyFont="1" applyFill="1" applyBorder="1" applyAlignment="1">
      <alignment horizontal="left" vertical="center"/>
    </xf>
    <xf numFmtId="0" fontId="0" fillId="17" borderId="5" xfId="0" applyFill="1" applyBorder="1"/>
  </cellXfs>
  <cellStyles count="1">
    <cellStyle name="Normal" xfId="0" builtinId="0"/>
  </cellStyles>
  <dxfs count="4">
    <dxf>
      <font>
        <b/>
        <sz val="10"/>
        <color rgb="FFC0392B"/>
        <name val="Arial"/>
      </font>
      <fill>
        <patternFill patternType="solid">
          <fgColor rgb="FFFCE4D6"/>
          <bgColor rgb="FFFCE4D6"/>
        </patternFill>
      </fill>
    </dxf>
    <dxf>
      <font>
        <b/>
        <sz val="10"/>
        <color rgb="FF1B5E20"/>
        <name val="Arial"/>
      </font>
      <fill>
        <patternFill patternType="solid">
          <fgColor rgb="FFC6EFCE"/>
          <bgColor rgb="FFC6EFCE"/>
        </patternFill>
      </fill>
    </dxf>
    <dxf>
      <font>
        <b/>
        <sz val="10"/>
        <color rgb="FFC0392B"/>
        <name val="Arial"/>
      </font>
      <fill>
        <patternFill patternType="solid">
          <fgColor rgb="FFFCE4D6"/>
          <bgColor rgb="FFFCE4D6"/>
        </patternFill>
      </fill>
    </dxf>
    <dxf>
      <font>
        <b/>
        <sz val="10"/>
        <color rgb="FF1B5E20"/>
        <name val="Arial"/>
      </font>
      <fill>
        <patternFill patternType="solid">
          <fgColor rgb="FFC6EFCE"/>
          <bgColor rgb="FFC6EFCE"/>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875" row="2">
    <wetp:webextensionref xmlns:r="http://schemas.openxmlformats.org/officeDocument/2006/relationships" r:id="rId1"/>
  </wetp:taskpane>
</wetp:taskpanes>
</file>

<file path=xl/webextensions/webextension1.xml><?xml version="1.0" encoding="utf-8"?>
<we:webextension xmlns:we="http://schemas.microsoft.com/office/webextensions/webextension/2010/11" id="{6EF1CA64-344F-4401-A6D9-E8B4BBD3C545}">
  <we:reference id="WA200009404" version="1.0.0.8" store="Omex" storeType="OMEX"/>
  <we:alternateReferences>
    <we:reference id="WA200009404" version="1.0.0.8" store="WA200009404" storeType="OMEX"/>
  </we:alternateReferences>
  <we:properties>
    <we:property name="claude.fileId" value="&quot;0b6513b2-af8e-4b28-a54c-32ca40b555d1&quot;"/>
  </we:properties>
  <we:bindings/>
  <we:snapshot xmlns:r="http://schemas.openxmlformats.org/officeDocument/2006/relationships"/>
</we:webextension>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63"/>
  <sheetViews>
    <sheetView tabSelected="1" topLeftCell="A56" workbookViewId="0">
      <selection sqref="A1:G1"/>
    </sheetView>
  </sheetViews>
  <sheetFormatPr defaultRowHeight="14.4" x14ac:dyDescent="0.55000000000000004"/>
  <cols>
    <col min="1" max="1" width="3" customWidth="1"/>
    <col min="2" max="2" width="32" customWidth="1"/>
    <col min="3" max="4" width="18" customWidth="1"/>
    <col min="5" max="5" width="16" customWidth="1"/>
    <col min="6" max="6" width="14" customWidth="1"/>
    <col min="7" max="7" width="22" customWidth="1"/>
  </cols>
  <sheetData>
    <row r="1" spans="1:7" ht="52" customHeight="1" x14ac:dyDescent="0.55000000000000004">
      <c r="A1" s="100" t="s">
        <v>0</v>
      </c>
      <c r="B1" s="101"/>
      <c r="C1" s="101"/>
      <c r="D1" s="101"/>
      <c r="E1" s="101"/>
      <c r="F1" s="101"/>
      <c r="G1" s="101"/>
    </row>
    <row r="2" spans="1:7" ht="22" customHeight="1" x14ac:dyDescent="0.55000000000000004">
      <c r="A2" s="109" t="s">
        <v>1</v>
      </c>
      <c r="B2" s="110"/>
      <c r="C2" s="110"/>
      <c r="D2" s="110"/>
      <c r="E2" s="110"/>
      <c r="F2" s="110"/>
      <c r="G2" s="110"/>
    </row>
    <row r="3" spans="1:7" ht="36" customHeight="1" x14ac:dyDescent="0.55000000000000004">
      <c r="A3" s="107" t="s">
        <v>2</v>
      </c>
      <c r="B3" s="108"/>
      <c r="C3" s="108"/>
      <c r="D3" s="108"/>
      <c r="E3" s="108"/>
      <c r="F3" s="108"/>
      <c r="G3" s="108"/>
    </row>
    <row r="4" spans="1:7" ht="22" customHeight="1" x14ac:dyDescent="0.55000000000000004">
      <c r="A4" s="85" t="s">
        <v>3</v>
      </c>
      <c r="B4" s="86"/>
      <c r="C4" s="86"/>
      <c r="D4" s="86"/>
      <c r="E4" s="86"/>
      <c r="F4" s="86"/>
      <c r="G4" s="86"/>
    </row>
    <row r="5" spans="1:7" ht="5.05" customHeight="1" x14ac:dyDescent="0.55000000000000004">
      <c r="A5" s="1"/>
      <c r="B5" s="1"/>
      <c r="C5" s="1"/>
      <c r="D5" s="1"/>
      <c r="E5" s="1"/>
      <c r="F5" s="1"/>
      <c r="G5" s="1"/>
    </row>
    <row r="6" spans="1:7" ht="24" customHeight="1" x14ac:dyDescent="0.55000000000000004">
      <c r="A6" s="103" t="s">
        <v>4</v>
      </c>
      <c r="B6" s="104"/>
      <c r="C6" s="104"/>
      <c r="D6" s="104"/>
      <c r="E6" s="104"/>
      <c r="F6" s="104"/>
      <c r="G6" s="104"/>
    </row>
    <row r="7" spans="1:7" ht="18" customHeight="1" x14ac:dyDescent="0.55000000000000004">
      <c r="A7" s="2"/>
      <c r="B7" s="2" t="s">
        <v>5</v>
      </c>
      <c r="C7" s="2"/>
      <c r="D7" s="2"/>
      <c r="E7" s="2" t="s">
        <v>6</v>
      </c>
      <c r="F7" s="2"/>
      <c r="G7" s="2" t="s">
        <v>7</v>
      </c>
    </row>
    <row r="8" spans="1:7" ht="28" customHeight="1" x14ac:dyDescent="0.55000000000000004">
      <c r="A8" s="76" t="s">
        <v>8</v>
      </c>
      <c r="B8" s="77"/>
      <c r="C8" s="77"/>
      <c r="D8" s="77"/>
      <c r="E8" s="4" t="s">
        <v>9</v>
      </c>
      <c r="F8" s="81" t="s">
        <v>10</v>
      </c>
      <c r="G8" s="77"/>
    </row>
    <row r="9" spans="1:7" ht="28" customHeight="1" x14ac:dyDescent="0.55000000000000004">
      <c r="A9" s="90" t="s">
        <v>11</v>
      </c>
      <c r="B9" s="91"/>
      <c r="C9" s="91"/>
      <c r="D9" s="91"/>
      <c r="E9" s="4" t="s">
        <v>9</v>
      </c>
      <c r="F9" s="92" t="s">
        <v>12</v>
      </c>
      <c r="G9" s="91"/>
    </row>
    <row r="10" spans="1:7" ht="28" customHeight="1" x14ac:dyDescent="0.55000000000000004">
      <c r="A10" s="76" t="s">
        <v>13</v>
      </c>
      <c r="B10" s="77"/>
      <c r="C10" s="77"/>
      <c r="D10" s="77"/>
      <c r="E10" s="4" t="s">
        <v>9</v>
      </c>
      <c r="F10" s="81" t="s">
        <v>14</v>
      </c>
      <c r="G10" s="77"/>
    </row>
    <row r="11" spans="1:7" ht="28" customHeight="1" x14ac:dyDescent="0.55000000000000004">
      <c r="A11" s="73" t="s">
        <v>15</v>
      </c>
      <c r="B11" s="74"/>
      <c r="C11" s="74"/>
      <c r="D11" s="74"/>
      <c r="E11" s="4" t="s">
        <v>9</v>
      </c>
      <c r="F11" s="75" t="s">
        <v>16</v>
      </c>
      <c r="G11" s="74"/>
    </row>
    <row r="12" spans="1:7" ht="28" customHeight="1" x14ac:dyDescent="0.55000000000000004">
      <c r="A12" s="90" t="s">
        <v>17</v>
      </c>
      <c r="B12" s="91"/>
      <c r="C12" s="91"/>
      <c r="D12" s="91"/>
      <c r="E12" s="4" t="s">
        <v>9</v>
      </c>
      <c r="F12" s="92" t="s">
        <v>18</v>
      </c>
      <c r="G12" s="91"/>
    </row>
    <row r="13" spans="1:7" ht="28" customHeight="1" x14ac:dyDescent="0.55000000000000004">
      <c r="A13" s="73" t="s">
        <v>19</v>
      </c>
      <c r="B13" s="74"/>
      <c r="C13" s="74"/>
      <c r="D13" s="74"/>
      <c r="E13" s="4" t="s">
        <v>9</v>
      </c>
      <c r="F13" s="75" t="s">
        <v>20</v>
      </c>
      <c r="G13" s="74"/>
    </row>
    <row r="14" spans="1:7" ht="28" customHeight="1" x14ac:dyDescent="0.55000000000000004">
      <c r="A14" s="76" t="s">
        <v>21</v>
      </c>
      <c r="B14" s="77"/>
      <c r="C14" s="77"/>
      <c r="D14" s="77"/>
      <c r="E14" s="4" t="s">
        <v>9</v>
      </c>
      <c r="F14" s="81" t="s">
        <v>22</v>
      </c>
      <c r="G14" s="77"/>
    </row>
    <row r="15" spans="1:7" ht="24" customHeight="1" x14ac:dyDescent="0.55000000000000004">
      <c r="A15" s="97" t="s">
        <v>23</v>
      </c>
      <c r="B15" s="83"/>
      <c r="C15" s="83"/>
      <c r="D15" s="83"/>
      <c r="E15" s="7" t="str">
        <f>IF(AND(E8="EVET",E9="EVET",E10="EVET",E12="EVET"),"OK - Hesaplanabilir","HATA - Ön koşul eksik")</f>
        <v>OK - Hesaplanabilir</v>
      </c>
      <c r="F15" s="96" t="s">
        <v>24</v>
      </c>
      <c r="G15" s="83"/>
    </row>
    <row r="16" spans="1:7" ht="5.05" customHeight="1" x14ac:dyDescent="0.55000000000000004">
      <c r="A16" s="1"/>
      <c r="B16" s="1"/>
      <c r="C16" s="1"/>
      <c r="D16" s="1"/>
      <c r="E16" s="1"/>
      <c r="F16" s="1"/>
      <c r="G16" s="1"/>
    </row>
    <row r="17" spans="1:7" ht="22" customHeight="1" x14ac:dyDescent="0.55000000000000004">
      <c r="A17" s="78" t="s">
        <v>25</v>
      </c>
      <c r="B17" s="79"/>
      <c r="C17" s="79"/>
      <c r="D17" s="79"/>
      <c r="E17" s="79"/>
      <c r="F17" s="79"/>
      <c r="G17" s="79"/>
    </row>
    <row r="18" spans="1:7" ht="22" customHeight="1" x14ac:dyDescent="0.55000000000000004">
      <c r="A18" s="76" t="s">
        <v>26</v>
      </c>
      <c r="B18" s="77"/>
      <c r="C18" s="84"/>
      <c r="D18" s="84"/>
      <c r="E18" s="84"/>
      <c r="F18" s="8" t="s">
        <v>27</v>
      </c>
      <c r="G18" s="3"/>
    </row>
    <row r="19" spans="1:7" ht="22" customHeight="1" x14ac:dyDescent="0.55000000000000004">
      <c r="A19" s="73" t="s">
        <v>28</v>
      </c>
      <c r="B19" s="74"/>
      <c r="C19" s="84"/>
      <c r="D19" s="84"/>
      <c r="E19" s="84"/>
      <c r="F19" s="9" t="s">
        <v>29</v>
      </c>
      <c r="G19" s="5"/>
    </row>
    <row r="20" spans="1:7" ht="22" customHeight="1" x14ac:dyDescent="0.55000000000000004">
      <c r="A20" s="76" t="s">
        <v>30</v>
      </c>
      <c r="B20" s="77"/>
      <c r="C20" s="84"/>
      <c r="D20" s="84"/>
      <c r="E20" s="84"/>
      <c r="F20" s="8" t="s">
        <v>31</v>
      </c>
      <c r="G20" s="3"/>
    </row>
    <row r="21" spans="1:7" ht="22" customHeight="1" x14ac:dyDescent="0.55000000000000004">
      <c r="A21" s="73" t="s">
        <v>32</v>
      </c>
      <c r="B21" s="74"/>
      <c r="C21" s="84"/>
      <c r="D21" s="84"/>
      <c r="E21" s="84"/>
      <c r="F21" s="9" t="s">
        <v>33</v>
      </c>
      <c r="G21" s="5"/>
    </row>
    <row r="22" spans="1:7" ht="22" customHeight="1" x14ac:dyDescent="0.55000000000000004">
      <c r="A22" s="76" t="s">
        <v>34</v>
      </c>
      <c r="B22" s="77"/>
      <c r="C22" s="84"/>
      <c r="D22" s="84"/>
      <c r="E22" s="84"/>
      <c r="F22" s="8" t="s">
        <v>35</v>
      </c>
      <c r="G22" s="3"/>
    </row>
    <row r="23" spans="1:7" ht="22" customHeight="1" x14ac:dyDescent="0.55000000000000004">
      <c r="A23" s="73" t="s">
        <v>36</v>
      </c>
      <c r="B23" s="74"/>
      <c r="C23" s="84"/>
      <c r="D23" s="84"/>
      <c r="E23" s="84"/>
      <c r="F23" s="9" t="s">
        <v>37</v>
      </c>
      <c r="G23" s="5"/>
    </row>
    <row r="24" spans="1:7" ht="5.05" customHeight="1" x14ac:dyDescent="0.55000000000000004">
      <c r="A24" s="1"/>
      <c r="B24" s="1"/>
      <c r="C24" s="1"/>
      <c r="D24" s="1"/>
      <c r="E24" s="1"/>
      <c r="F24" s="1"/>
      <c r="G24" s="1"/>
    </row>
    <row r="25" spans="1:7" ht="24" customHeight="1" x14ac:dyDescent="0.55000000000000004">
      <c r="A25" s="78" t="s">
        <v>38</v>
      </c>
      <c r="B25" s="79"/>
      <c r="C25" s="79"/>
      <c r="D25" s="79"/>
      <c r="E25" s="79"/>
      <c r="F25" s="79"/>
      <c r="G25" s="79"/>
    </row>
    <row r="26" spans="1:7" ht="26.05" customHeight="1" x14ac:dyDescent="0.55000000000000004">
      <c r="A26" s="99" t="s">
        <v>39</v>
      </c>
      <c r="B26" s="77"/>
      <c r="C26" s="77"/>
      <c r="D26" s="77"/>
      <c r="E26" s="77"/>
      <c r="F26" s="77"/>
      <c r="G26" s="77"/>
    </row>
    <row r="27" spans="1:7" ht="18" customHeight="1" x14ac:dyDescent="0.55000000000000004">
      <c r="A27" s="2"/>
      <c r="B27" s="2" t="s">
        <v>40</v>
      </c>
      <c r="C27" s="2"/>
      <c r="D27" s="2" t="s">
        <v>41</v>
      </c>
      <c r="E27" s="2"/>
      <c r="F27" s="2" t="s">
        <v>42</v>
      </c>
      <c r="G27" s="2" t="s">
        <v>43</v>
      </c>
    </row>
    <row r="28" spans="1:7" ht="26.05" customHeight="1" x14ac:dyDescent="0.55000000000000004">
      <c r="A28" s="76" t="s">
        <v>44</v>
      </c>
      <c r="B28" s="77"/>
      <c r="C28" s="10"/>
      <c r="D28" s="94" t="s">
        <v>45</v>
      </c>
      <c r="E28" s="77"/>
      <c r="F28" s="93" t="s">
        <v>46</v>
      </c>
      <c r="G28" s="77"/>
    </row>
    <row r="29" spans="1:7" ht="26.05" customHeight="1" x14ac:dyDescent="0.55000000000000004">
      <c r="A29" s="73" t="s">
        <v>47</v>
      </c>
      <c r="B29" s="74"/>
      <c r="C29" s="10"/>
      <c r="D29" s="87" t="s">
        <v>48</v>
      </c>
      <c r="E29" s="74"/>
      <c r="F29" s="80" t="s">
        <v>49</v>
      </c>
      <c r="G29" s="74"/>
    </row>
    <row r="30" spans="1:7" ht="26.05" customHeight="1" x14ac:dyDescent="0.55000000000000004">
      <c r="A30" s="76" t="s">
        <v>50</v>
      </c>
      <c r="B30" s="77"/>
      <c r="C30" s="11" t="s">
        <v>51</v>
      </c>
      <c r="D30" s="94" t="s">
        <v>52</v>
      </c>
      <c r="E30" s="77"/>
      <c r="F30" s="93" t="s">
        <v>53</v>
      </c>
      <c r="G30" s="77"/>
    </row>
    <row r="31" spans="1:7" ht="26.05" customHeight="1" x14ac:dyDescent="0.55000000000000004">
      <c r="A31" s="73" t="s">
        <v>54</v>
      </c>
      <c r="B31" s="74"/>
      <c r="C31" s="4" t="s">
        <v>55</v>
      </c>
      <c r="D31" s="87" t="s">
        <v>56</v>
      </c>
      <c r="E31" s="74"/>
      <c r="F31" s="80" t="s">
        <v>49</v>
      </c>
      <c r="G31" s="74"/>
    </row>
    <row r="32" spans="1:7" ht="26.05" customHeight="1" x14ac:dyDescent="0.55000000000000004">
      <c r="A32" s="76" t="s">
        <v>57</v>
      </c>
      <c r="B32" s="77"/>
      <c r="C32" s="4" t="s">
        <v>58</v>
      </c>
      <c r="D32" s="94" t="s">
        <v>59</v>
      </c>
      <c r="E32" s="77"/>
      <c r="F32" s="93" t="s">
        <v>60</v>
      </c>
      <c r="G32" s="77"/>
    </row>
    <row r="33" spans="1:7" ht="26.05" customHeight="1" x14ac:dyDescent="0.55000000000000004">
      <c r="A33" s="105" t="s">
        <v>61</v>
      </c>
      <c r="B33" s="74"/>
      <c r="C33" s="4" t="s">
        <v>9</v>
      </c>
      <c r="D33" s="87" t="s">
        <v>62</v>
      </c>
      <c r="E33" s="74"/>
      <c r="F33" s="80" t="s">
        <v>63</v>
      </c>
      <c r="G33" s="74"/>
    </row>
    <row r="34" spans="1:7" ht="5.05" customHeight="1" x14ac:dyDescent="0.55000000000000004">
      <c r="A34" s="1"/>
      <c r="B34" s="1"/>
      <c r="C34" s="1"/>
      <c r="D34" s="1"/>
      <c r="E34" s="1"/>
      <c r="F34" s="1"/>
      <c r="G34" s="1"/>
    </row>
    <row r="35" spans="1:7" ht="24" customHeight="1" x14ac:dyDescent="0.55000000000000004">
      <c r="A35" s="78" t="s">
        <v>64</v>
      </c>
      <c r="B35" s="79"/>
      <c r="C35" s="79"/>
      <c r="D35" s="79"/>
      <c r="E35" s="79"/>
      <c r="F35" s="79"/>
      <c r="G35" s="79"/>
    </row>
    <row r="36" spans="1:7" ht="28" customHeight="1" x14ac:dyDescent="0.55000000000000004">
      <c r="A36" s="99" t="s">
        <v>65</v>
      </c>
      <c r="B36" s="77"/>
      <c r="C36" s="77"/>
      <c r="D36" s="77"/>
      <c r="E36" s="77"/>
      <c r="F36" s="77"/>
      <c r="G36" s="77"/>
    </row>
    <row r="37" spans="1:7" ht="18" customHeight="1" x14ac:dyDescent="0.55000000000000004">
      <c r="A37" s="12" t="s">
        <v>66</v>
      </c>
      <c r="B37" s="12" t="s">
        <v>67</v>
      </c>
      <c r="C37" s="12" t="s">
        <v>68</v>
      </c>
      <c r="D37" s="12" t="s">
        <v>69</v>
      </c>
      <c r="E37" s="12" t="s">
        <v>70</v>
      </c>
      <c r="F37" s="12" t="s">
        <v>71</v>
      </c>
      <c r="G37" s="12" t="s">
        <v>72</v>
      </c>
    </row>
    <row r="38" spans="1:7" ht="26.05" customHeight="1" x14ac:dyDescent="0.55000000000000004">
      <c r="A38" s="13"/>
      <c r="B38" s="10"/>
      <c r="C38" s="14"/>
      <c r="D38" s="15"/>
      <c r="E38" s="16"/>
      <c r="F38" s="15">
        <v>100</v>
      </c>
      <c r="G38" s="17">
        <f t="shared" ref="G38:G45" si="0">IF(E38&gt;0,E38*F38/100,0)</f>
        <v>0</v>
      </c>
    </row>
    <row r="39" spans="1:7" ht="26.05" customHeight="1" x14ac:dyDescent="0.55000000000000004">
      <c r="A39" s="13"/>
      <c r="B39" s="10"/>
      <c r="C39" s="14"/>
      <c r="D39" s="15"/>
      <c r="E39" s="16"/>
      <c r="F39" s="15">
        <v>100</v>
      </c>
      <c r="G39" s="17">
        <f t="shared" si="0"/>
        <v>0</v>
      </c>
    </row>
    <row r="40" spans="1:7" ht="26.05" customHeight="1" x14ac:dyDescent="0.55000000000000004">
      <c r="A40" s="13"/>
      <c r="B40" s="10"/>
      <c r="C40" s="14"/>
      <c r="D40" s="15"/>
      <c r="E40" s="16"/>
      <c r="F40" s="15">
        <v>100</v>
      </c>
      <c r="G40" s="17">
        <f t="shared" si="0"/>
        <v>0</v>
      </c>
    </row>
    <row r="41" spans="1:7" ht="26.05" customHeight="1" x14ac:dyDescent="0.55000000000000004">
      <c r="A41" s="13"/>
      <c r="B41" s="10"/>
      <c r="C41" s="14"/>
      <c r="D41" s="15"/>
      <c r="E41" s="16"/>
      <c r="F41" s="15">
        <v>100</v>
      </c>
      <c r="G41" s="17">
        <f t="shared" si="0"/>
        <v>0</v>
      </c>
    </row>
    <row r="42" spans="1:7" ht="26.05" customHeight="1" x14ac:dyDescent="0.55000000000000004">
      <c r="A42" s="13"/>
      <c r="B42" s="10"/>
      <c r="C42" s="14"/>
      <c r="D42" s="15"/>
      <c r="E42" s="16"/>
      <c r="F42" s="15">
        <v>100</v>
      </c>
      <c r="G42" s="17">
        <f t="shared" si="0"/>
        <v>0</v>
      </c>
    </row>
    <row r="43" spans="1:7" ht="26.05" customHeight="1" x14ac:dyDescent="0.55000000000000004">
      <c r="A43" s="13"/>
      <c r="B43" s="10"/>
      <c r="C43" s="14"/>
      <c r="D43" s="15"/>
      <c r="E43" s="16"/>
      <c r="F43" s="15">
        <v>100</v>
      </c>
      <c r="G43" s="17">
        <f t="shared" si="0"/>
        <v>0</v>
      </c>
    </row>
    <row r="44" spans="1:7" ht="26.05" customHeight="1" x14ac:dyDescent="0.55000000000000004">
      <c r="A44" s="13"/>
      <c r="B44" s="10"/>
      <c r="C44" s="14"/>
      <c r="D44" s="15"/>
      <c r="E44" s="16"/>
      <c r="F44" s="15">
        <v>100</v>
      </c>
      <c r="G44" s="17">
        <f t="shared" si="0"/>
        <v>0</v>
      </c>
    </row>
    <row r="45" spans="1:7" ht="26.05" customHeight="1" x14ac:dyDescent="0.55000000000000004">
      <c r="A45" s="13"/>
      <c r="B45" s="10"/>
      <c r="C45" s="14"/>
      <c r="D45" s="15"/>
      <c r="E45" s="16"/>
      <c r="F45" s="15">
        <v>100</v>
      </c>
      <c r="G45" s="17">
        <f t="shared" si="0"/>
        <v>0</v>
      </c>
    </row>
    <row r="46" spans="1:7" ht="30" customHeight="1" x14ac:dyDescent="0.55000000000000004">
      <c r="A46" s="18" t="s">
        <v>73</v>
      </c>
      <c r="B46" s="100" t="s">
        <v>74</v>
      </c>
      <c r="C46" s="101"/>
      <c r="D46" s="101"/>
      <c r="E46" s="19">
        <f>SUM(E38:E45)</f>
        <v>0</v>
      </c>
      <c r="F46" s="18" t="s">
        <v>75</v>
      </c>
      <c r="G46" s="20">
        <f>SUM(G38:G45)</f>
        <v>0</v>
      </c>
    </row>
    <row r="47" spans="1:7" ht="36" customHeight="1" x14ac:dyDescent="0.55000000000000004">
      <c r="A47" s="111" t="s">
        <v>76</v>
      </c>
      <c r="B47" s="112"/>
      <c r="C47" s="112"/>
      <c r="D47" s="112"/>
      <c r="E47" s="112"/>
      <c r="F47" s="112"/>
      <c r="G47" s="112"/>
    </row>
    <row r="48" spans="1:7" ht="5.05" customHeight="1" x14ac:dyDescent="0.55000000000000004">
      <c r="A48" s="1"/>
      <c r="B48" s="1"/>
      <c r="C48" s="1"/>
      <c r="D48" s="1"/>
      <c r="E48" s="1"/>
      <c r="F48" s="1"/>
      <c r="G48" s="1"/>
    </row>
    <row r="49" spans="1:7" ht="24" customHeight="1" x14ac:dyDescent="0.55000000000000004">
      <c r="A49" s="78" t="s">
        <v>77</v>
      </c>
      <c r="B49" s="79"/>
      <c r="C49" s="79"/>
      <c r="D49" s="79"/>
      <c r="E49" s="79"/>
      <c r="F49" s="79"/>
      <c r="G49" s="79"/>
    </row>
    <row r="50" spans="1:7" ht="18" customHeight="1" x14ac:dyDescent="0.55000000000000004">
      <c r="A50" s="2"/>
      <c r="B50" s="2" t="s">
        <v>78</v>
      </c>
      <c r="C50" s="2"/>
      <c r="D50" s="2" t="s">
        <v>79</v>
      </c>
      <c r="E50" s="2"/>
      <c r="F50" s="2" t="s">
        <v>42</v>
      </c>
      <c r="G50" s="2" t="s">
        <v>80</v>
      </c>
    </row>
    <row r="51" spans="1:7" ht="28" customHeight="1" x14ac:dyDescent="0.55000000000000004">
      <c r="A51" s="73" t="s">
        <v>81</v>
      </c>
      <c r="B51" s="74"/>
      <c r="C51" s="21">
        <f>E46</f>
        <v>0</v>
      </c>
      <c r="D51" s="87" t="s">
        <v>82</v>
      </c>
      <c r="E51" s="74"/>
      <c r="F51" s="75" t="s">
        <v>83</v>
      </c>
      <c r="G51" s="74"/>
    </row>
    <row r="52" spans="1:7" ht="28" customHeight="1" x14ac:dyDescent="0.55000000000000004">
      <c r="A52" s="76" t="s">
        <v>84</v>
      </c>
      <c r="B52" s="77"/>
      <c r="C52" s="21">
        <f>E46-G46</f>
        <v>0</v>
      </c>
      <c r="D52" s="94" t="s">
        <v>85</v>
      </c>
      <c r="E52" s="77"/>
      <c r="F52" s="81" t="s">
        <v>86</v>
      </c>
      <c r="G52" s="77"/>
    </row>
    <row r="53" spans="1:7" ht="28" customHeight="1" x14ac:dyDescent="0.55000000000000004">
      <c r="A53" s="106" t="s">
        <v>87</v>
      </c>
      <c r="B53" s="83"/>
      <c r="C53" s="22">
        <f>G46</f>
        <v>0</v>
      </c>
      <c r="D53" s="98" t="s">
        <v>88</v>
      </c>
      <c r="E53" s="83"/>
      <c r="F53" s="95" t="s">
        <v>89</v>
      </c>
      <c r="G53" s="83"/>
    </row>
    <row r="54" spans="1:7" ht="28" customHeight="1" x14ac:dyDescent="0.55000000000000004">
      <c r="A54" s="76" t="s">
        <v>90</v>
      </c>
      <c r="B54" s="77"/>
      <c r="C54" s="21">
        <f>C52</f>
        <v>0</v>
      </c>
      <c r="D54" s="94" t="s">
        <v>91</v>
      </c>
      <c r="E54" s="77"/>
      <c r="F54" s="81" t="s">
        <v>92</v>
      </c>
      <c r="G54" s="77"/>
    </row>
    <row r="55" spans="1:7" ht="5.05" customHeight="1" x14ac:dyDescent="0.55000000000000004">
      <c r="A55" s="1"/>
      <c r="B55" s="1"/>
      <c r="C55" s="1"/>
      <c r="D55" s="1"/>
      <c r="E55" s="1"/>
      <c r="F55" s="1"/>
      <c r="G55" s="1"/>
    </row>
    <row r="56" spans="1:7" ht="22" customHeight="1" x14ac:dyDescent="0.55000000000000004">
      <c r="A56" s="78" t="s">
        <v>93</v>
      </c>
      <c r="B56" s="79"/>
      <c r="C56" s="79"/>
      <c r="D56" s="79"/>
      <c r="E56" s="79"/>
      <c r="F56" s="79"/>
      <c r="G56" s="79"/>
    </row>
    <row r="57" spans="1:7" ht="20.05" customHeight="1" x14ac:dyDescent="0.55000000000000004">
      <c r="A57" s="99" t="s">
        <v>94</v>
      </c>
      <c r="B57" s="77"/>
      <c r="C57" s="77"/>
      <c r="D57" s="77"/>
      <c r="E57" s="77"/>
      <c r="F57" s="77"/>
      <c r="G57" s="77"/>
    </row>
    <row r="58" spans="1:7" ht="18" customHeight="1" x14ac:dyDescent="0.55000000000000004">
      <c r="A58" s="2"/>
      <c r="B58" s="2" t="s">
        <v>95</v>
      </c>
      <c r="C58" s="2" t="s">
        <v>96</v>
      </c>
      <c r="D58" s="2" t="s">
        <v>97</v>
      </c>
      <c r="E58" s="2" t="s">
        <v>98</v>
      </c>
      <c r="F58" s="2" t="s">
        <v>99</v>
      </c>
      <c r="G58" s="2" t="s">
        <v>100</v>
      </c>
    </row>
    <row r="59" spans="1:7" ht="26.05" customHeight="1" x14ac:dyDescent="0.55000000000000004">
      <c r="A59" s="23" t="s">
        <v>101</v>
      </c>
      <c r="B59" s="5"/>
      <c r="C59" s="24" t="s">
        <v>102</v>
      </c>
      <c r="D59" s="25" t="s">
        <v>103</v>
      </c>
      <c r="E59" s="26" t="s">
        <v>104</v>
      </c>
      <c r="F59" s="27" t="s">
        <v>105</v>
      </c>
      <c r="G59" s="28" t="s">
        <v>106</v>
      </c>
    </row>
    <row r="60" spans="1:7" ht="26.05" customHeight="1" x14ac:dyDescent="0.55000000000000004">
      <c r="A60" s="23" t="s">
        <v>107</v>
      </c>
      <c r="B60" s="3"/>
      <c r="C60" s="29" t="s">
        <v>108</v>
      </c>
      <c r="D60" s="30" t="s">
        <v>109</v>
      </c>
      <c r="E60" s="31" t="s">
        <v>110</v>
      </c>
      <c r="F60" s="32" t="s">
        <v>111</v>
      </c>
      <c r="G60" s="28" t="s">
        <v>112</v>
      </c>
    </row>
    <row r="61" spans="1:7" ht="26.05" customHeight="1" x14ac:dyDescent="0.55000000000000004">
      <c r="A61" s="23" t="s">
        <v>113</v>
      </c>
      <c r="B61" s="5"/>
      <c r="C61" s="24" t="s">
        <v>114</v>
      </c>
      <c r="D61" s="25" t="s">
        <v>115</v>
      </c>
      <c r="E61" s="26" t="s">
        <v>116</v>
      </c>
      <c r="F61" s="27" t="s">
        <v>117</v>
      </c>
      <c r="G61" s="28" t="s">
        <v>118</v>
      </c>
    </row>
    <row r="62" spans="1:7" ht="32.049999999999997" customHeight="1" x14ac:dyDescent="0.55000000000000004">
      <c r="A62" s="82" t="s">
        <v>119</v>
      </c>
      <c r="B62" s="83"/>
      <c r="C62" s="83"/>
      <c r="D62" s="83"/>
      <c r="E62" s="33">
        <f>C53</f>
        <v>0</v>
      </c>
      <c r="F62" s="102" t="s">
        <v>120</v>
      </c>
      <c r="G62" s="83"/>
    </row>
    <row r="63" spans="1:7" ht="56.05" customHeight="1" x14ac:dyDescent="0.55000000000000004">
      <c r="A63" s="88" t="s">
        <v>121</v>
      </c>
      <c r="B63" s="89"/>
      <c r="C63" s="89"/>
      <c r="D63" s="89"/>
      <c r="E63" s="89"/>
      <c r="F63" s="89"/>
      <c r="G63" s="89"/>
    </row>
  </sheetData>
  <mergeCells count="76">
    <mergeCell ref="A2:G2"/>
    <mergeCell ref="A56:G56"/>
    <mergeCell ref="F14:G14"/>
    <mergeCell ref="D54:E54"/>
    <mergeCell ref="A57:G57"/>
    <mergeCell ref="C20:E20"/>
    <mergeCell ref="A47:G47"/>
    <mergeCell ref="A14:D14"/>
    <mergeCell ref="A52:B52"/>
    <mergeCell ref="B46:D46"/>
    <mergeCell ref="A3:G3"/>
    <mergeCell ref="A12:D12"/>
    <mergeCell ref="A19:B19"/>
    <mergeCell ref="D29:E29"/>
    <mergeCell ref="D33:E33"/>
    <mergeCell ref="A28:B28"/>
    <mergeCell ref="D51:E51"/>
    <mergeCell ref="A26:G26"/>
    <mergeCell ref="A1:G1"/>
    <mergeCell ref="F62:G62"/>
    <mergeCell ref="C19:E19"/>
    <mergeCell ref="A6:G6"/>
    <mergeCell ref="A33:B33"/>
    <mergeCell ref="C18:E18"/>
    <mergeCell ref="F31:G31"/>
    <mergeCell ref="D28:E28"/>
    <mergeCell ref="A32:B32"/>
    <mergeCell ref="F28:G28"/>
    <mergeCell ref="F13:G13"/>
    <mergeCell ref="A23:B23"/>
    <mergeCell ref="A25:G25"/>
    <mergeCell ref="F9:G9"/>
    <mergeCell ref="A22:B22"/>
    <mergeCell ref="F52:G52"/>
    <mergeCell ref="A63:G63"/>
    <mergeCell ref="A13:D13"/>
    <mergeCell ref="A9:D9"/>
    <mergeCell ref="F12:G12"/>
    <mergeCell ref="F30:G30"/>
    <mergeCell ref="D52:E52"/>
    <mergeCell ref="F53:G53"/>
    <mergeCell ref="F15:G15"/>
    <mergeCell ref="A54:B54"/>
    <mergeCell ref="C23:E23"/>
    <mergeCell ref="F51:G51"/>
    <mergeCell ref="F33:G33"/>
    <mergeCell ref="A15:D15"/>
    <mergeCell ref="D32:E32"/>
    <mergeCell ref="F32:G32"/>
    <mergeCell ref="A11:D11"/>
    <mergeCell ref="F54:G54"/>
    <mergeCell ref="A51:B51"/>
    <mergeCell ref="A62:D62"/>
    <mergeCell ref="C22:E22"/>
    <mergeCell ref="A4:G4"/>
    <mergeCell ref="A35:G35"/>
    <mergeCell ref="C21:E21"/>
    <mergeCell ref="A10:D10"/>
    <mergeCell ref="D31:E31"/>
    <mergeCell ref="A18:B18"/>
    <mergeCell ref="A49:G49"/>
    <mergeCell ref="F8:G8"/>
    <mergeCell ref="D53:E53"/>
    <mergeCell ref="A36:G36"/>
    <mergeCell ref="A21:B21"/>
    <mergeCell ref="A53:B53"/>
    <mergeCell ref="A31:B31"/>
    <mergeCell ref="F11:G11"/>
    <mergeCell ref="A30:B30"/>
    <mergeCell ref="A8:D8"/>
    <mergeCell ref="A17:G17"/>
    <mergeCell ref="F29:G29"/>
    <mergeCell ref="F10:G10"/>
    <mergeCell ref="A20:B20"/>
    <mergeCell ref="A29:B29"/>
    <mergeCell ref="D30:E30"/>
  </mergeCells>
  <conditionalFormatting sqref="E15">
    <cfRule type="containsText" dxfId="3" priority="1" operator="containsText" text="OK">
      <formula>NOT(ISERROR(SEARCH("OK",E15)))</formula>
    </cfRule>
    <cfRule type="containsText" dxfId="2" priority="2" operator="containsText" text="HATA">
      <formula>NOT(ISERROR(SEARCH("HATA",E15)))</formula>
    </cfRule>
  </conditionalFormatting>
  <dataValidations count="9">
    <dataValidation type="list" sqref="E8:E9" xr:uid="{00000000-0002-0000-0000-000000000000}">
      <formula1>"EVET,HAYIR-İstisna Yok"</formula1>
    </dataValidation>
    <dataValidation type="list" sqref="E10" xr:uid="{00000000-0002-0000-0000-000002000000}">
      <formula1>"EVET,HAYIR-Eksik Kayıt"</formula1>
    </dataValidation>
    <dataValidation type="list" sqref="E11" xr:uid="{00000000-0002-0000-0000-000003000000}">
      <formula1>"EVET,HAYIR-Risk"</formula1>
    </dataValidation>
    <dataValidation type="list" sqref="E12" xr:uid="{00000000-0002-0000-0000-000004000000}">
      <formula1>"EVET,HAYIR-KRİTİK HATA"</formula1>
    </dataValidation>
    <dataValidation type="list" sqref="E13" xr:uid="{00000000-0002-0000-0000-000005000000}">
      <formula1>"EVET,HAYIR-Eksik Belge"</formula1>
    </dataValidation>
    <dataValidation type="list" sqref="E14" xr:uid="{00000000-0002-0000-0000-000006000000}">
      <formula1>"EVET,Tam Tasdik"</formula1>
    </dataValidation>
    <dataValidation type="list" sqref="C31" xr:uid="{00000000-0002-0000-0000-000007000000}">
      <formula1>"TL Mevduat Faizi,TL Katılım Hesabı Kâr Payı"</formula1>
    </dataValidation>
    <dataValidation type="list" sqref="C32" xr:uid="{00000000-0002-0000-0000-000008000000}">
      <formula1>"Banka Bildirimi / Hesap Ekstresi,Sözleşme Oranı × Bakiye × Gün"</formula1>
    </dataValidation>
    <dataValidation type="list" sqref="C33" xr:uid="{00000000-0002-0000-0000-000009000000}">
      <formula1>"EVET,HAYIR-Kapsam Dışı"</formula1>
    </dataValidation>
  </dataValidation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36"/>
  <sheetViews>
    <sheetView workbookViewId="0"/>
  </sheetViews>
  <sheetFormatPr defaultRowHeight="14.4" x14ac:dyDescent="0.55000000000000004"/>
  <cols>
    <col min="1" max="1" width="4" customWidth="1"/>
    <col min="2" max="2" width="40" customWidth="1"/>
    <col min="3" max="3" width="18" customWidth="1"/>
    <col min="4" max="4" width="16" customWidth="1"/>
    <col min="5" max="5" width="14" customWidth="1"/>
    <col min="6" max="6" width="12" customWidth="1"/>
    <col min="7" max="7" width="20" customWidth="1"/>
  </cols>
  <sheetData>
    <row r="1" spans="1:7" ht="36" customHeight="1" x14ac:dyDescent="0.55000000000000004">
      <c r="A1" s="127" t="s">
        <v>122</v>
      </c>
      <c r="B1" s="79"/>
      <c r="C1" s="79"/>
      <c r="D1" s="79"/>
      <c r="E1" s="79"/>
      <c r="F1" s="79"/>
      <c r="G1" s="79"/>
    </row>
    <row r="2" spans="1:7" ht="20.05" customHeight="1" x14ac:dyDescent="0.55000000000000004">
      <c r="A2" s="109" t="s">
        <v>123</v>
      </c>
      <c r="B2" s="110"/>
      <c r="C2" s="110"/>
      <c r="D2" s="110"/>
      <c r="E2" s="110"/>
      <c r="F2" s="110"/>
      <c r="G2" s="110"/>
    </row>
    <row r="3" spans="1:7" ht="5.05" customHeight="1" x14ac:dyDescent="0.55000000000000004">
      <c r="A3" s="1"/>
      <c r="B3" s="1"/>
      <c r="C3" s="1"/>
      <c r="D3" s="1"/>
      <c r="E3" s="1"/>
      <c r="F3" s="1"/>
      <c r="G3" s="1"/>
    </row>
    <row r="4" spans="1:7" ht="22" customHeight="1" x14ac:dyDescent="0.55000000000000004">
      <c r="A4" s="115" t="s">
        <v>124</v>
      </c>
      <c r="B4" s="116"/>
      <c r="C4" s="116"/>
      <c r="D4" s="116"/>
      <c r="E4" s="116"/>
      <c r="F4" s="116"/>
      <c r="G4" s="116"/>
    </row>
    <row r="5" spans="1:7" ht="22" customHeight="1" x14ac:dyDescent="0.55000000000000004">
      <c r="A5" s="121" t="s">
        <v>125</v>
      </c>
      <c r="B5" s="74"/>
      <c r="C5" s="74"/>
      <c r="D5" s="34" t="str">
        <f>'VERİ GİRİŞİ'!E15</f>
        <v>OK - Hesaplanabilir</v>
      </c>
      <c r="E5" s="75" t="s">
        <v>126</v>
      </c>
      <c r="F5" s="74"/>
      <c r="G5" s="74"/>
    </row>
    <row r="6" spans="1:7" ht="22" customHeight="1" x14ac:dyDescent="0.55000000000000004">
      <c r="A6" s="122" t="s">
        <v>127</v>
      </c>
      <c r="B6" s="77"/>
      <c r="C6" s="77"/>
      <c r="D6" s="34" t="str">
        <f>'VERİ GİRİŞİ'!C30</f>
        <v>31.12.2025</v>
      </c>
      <c r="E6" s="81" t="s">
        <v>128</v>
      </c>
      <c r="F6" s="77"/>
      <c r="G6" s="77"/>
    </row>
    <row r="7" spans="1:7" ht="22" customHeight="1" x14ac:dyDescent="0.55000000000000004">
      <c r="A7" s="121" t="s">
        <v>129</v>
      </c>
      <c r="B7" s="74"/>
      <c r="C7" s="74"/>
      <c r="D7" s="34" t="str">
        <f>'VERİ GİRİŞİ'!C33</f>
        <v>EVET</v>
      </c>
      <c r="E7" s="75" t="s">
        <v>130</v>
      </c>
      <c r="F7" s="74"/>
      <c r="G7" s="74"/>
    </row>
    <row r="8" spans="1:7" ht="22" customHeight="1" x14ac:dyDescent="0.55000000000000004">
      <c r="A8" s="122" t="s">
        <v>131</v>
      </c>
      <c r="B8" s="77"/>
      <c r="C8" s="77"/>
      <c r="D8" s="34">
        <f>'VERİ GİRİŞİ'!C51</f>
        <v>0</v>
      </c>
      <c r="E8" s="81" t="s">
        <v>132</v>
      </c>
      <c r="F8" s="77"/>
      <c r="G8" s="77"/>
    </row>
    <row r="9" spans="1:7" ht="22" customHeight="1" x14ac:dyDescent="0.55000000000000004">
      <c r="A9" s="121" t="s">
        <v>133</v>
      </c>
      <c r="B9" s="74"/>
      <c r="C9" s="74"/>
      <c r="D9" s="34">
        <f>'VERİ GİRİŞİ'!C52</f>
        <v>0</v>
      </c>
      <c r="E9" s="75" t="s">
        <v>134</v>
      </c>
      <c r="F9" s="74"/>
      <c r="G9" s="74"/>
    </row>
    <row r="10" spans="1:7" ht="22" customHeight="1" x14ac:dyDescent="0.55000000000000004">
      <c r="A10" s="97" t="s">
        <v>135</v>
      </c>
      <c r="B10" s="83"/>
      <c r="C10" s="83"/>
      <c r="D10" s="35">
        <f>'VERİ GİRİŞİ'!C53</f>
        <v>0</v>
      </c>
      <c r="E10" s="95"/>
      <c r="F10" s="83"/>
      <c r="G10" s="83"/>
    </row>
    <row r="11" spans="1:7" ht="22" customHeight="1" x14ac:dyDescent="0.55000000000000004">
      <c r="A11" s="129" t="s">
        <v>136</v>
      </c>
      <c r="B11" s="120"/>
      <c r="C11" s="120"/>
      <c r="D11" s="36" t="s">
        <v>137</v>
      </c>
      <c r="E11" s="119" t="s">
        <v>138</v>
      </c>
      <c r="F11" s="120"/>
      <c r="G11" s="120"/>
    </row>
    <row r="12" spans="1:7" ht="5.05" customHeight="1" x14ac:dyDescent="0.55000000000000004">
      <c r="A12" s="1"/>
      <c r="B12" s="1"/>
      <c r="C12" s="1"/>
      <c r="D12" s="1"/>
      <c r="E12" s="1"/>
      <c r="F12" s="1"/>
      <c r="G12" s="1"/>
    </row>
    <row r="13" spans="1:7" ht="22" customHeight="1" x14ac:dyDescent="0.55000000000000004">
      <c r="A13" s="78" t="s">
        <v>139</v>
      </c>
      <c r="B13" s="79"/>
      <c r="C13" s="79"/>
      <c r="D13" s="79"/>
      <c r="E13" s="79"/>
      <c r="F13" s="79"/>
      <c r="G13" s="79"/>
    </row>
    <row r="14" spans="1:7" ht="18" customHeight="1" x14ac:dyDescent="0.55000000000000004">
      <c r="A14" s="12"/>
      <c r="B14" s="12" t="s">
        <v>140</v>
      </c>
      <c r="C14" s="12" t="s">
        <v>141</v>
      </c>
      <c r="D14" s="12" t="s">
        <v>142</v>
      </c>
      <c r="E14" s="12" t="s">
        <v>143</v>
      </c>
      <c r="F14" s="12" t="s">
        <v>144</v>
      </c>
    </row>
    <row r="15" spans="1:7" ht="24" customHeight="1" x14ac:dyDescent="0.55000000000000004">
      <c r="A15" s="23" t="s">
        <v>145</v>
      </c>
      <c r="B15" s="5"/>
      <c r="C15" s="37" t="s">
        <v>146</v>
      </c>
      <c r="D15" s="38" t="s">
        <v>147</v>
      </c>
      <c r="E15" s="31" t="s">
        <v>148</v>
      </c>
      <c r="F15" s="39" t="s">
        <v>149</v>
      </c>
      <c r="G15" s="5"/>
    </row>
    <row r="16" spans="1:7" ht="24" customHeight="1" x14ac:dyDescent="0.55000000000000004">
      <c r="A16" s="23" t="s">
        <v>107</v>
      </c>
      <c r="B16" s="3"/>
      <c r="C16" s="37" t="s">
        <v>150</v>
      </c>
      <c r="D16" s="38" t="s">
        <v>151</v>
      </c>
      <c r="E16" s="31" t="s">
        <v>152</v>
      </c>
      <c r="F16" s="39" t="s">
        <v>153</v>
      </c>
      <c r="G16" s="3"/>
    </row>
    <row r="17" spans="1:7" ht="24" customHeight="1" x14ac:dyDescent="0.55000000000000004">
      <c r="A17" s="23" t="s">
        <v>154</v>
      </c>
      <c r="B17" s="5"/>
      <c r="C17" s="37" t="s">
        <v>155</v>
      </c>
      <c r="D17" s="38" t="s">
        <v>156</v>
      </c>
      <c r="E17" s="31" t="s">
        <v>157</v>
      </c>
      <c r="F17" s="39" t="s">
        <v>158</v>
      </c>
      <c r="G17" s="5"/>
    </row>
    <row r="18" spans="1:7" ht="24" customHeight="1" x14ac:dyDescent="0.55000000000000004">
      <c r="A18" s="23" t="s">
        <v>113</v>
      </c>
      <c r="B18" s="3"/>
      <c r="C18" s="37" t="s">
        <v>159</v>
      </c>
      <c r="D18" s="38" t="s">
        <v>160</v>
      </c>
      <c r="E18" s="31" t="s">
        <v>161</v>
      </c>
      <c r="F18" s="39" t="s">
        <v>117</v>
      </c>
      <c r="G18" s="3"/>
    </row>
    <row r="19" spans="1:7" ht="24" customHeight="1" x14ac:dyDescent="0.55000000000000004">
      <c r="A19" s="23" t="s">
        <v>162</v>
      </c>
      <c r="B19" s="5"/>
      <c r="C19" s="37" t="s">
        <v>163</v>
      </c>
      <c r="D19" s="38" t="s">
        <v>164</v>
      </c>
      <c r="E19" s="31" t="s">
        <v>165</v>
      </c>
      <c r="F19" s="39" t="s">
        <v>166</v>
      </c>
      <c r="G19" s="5"/>
    </row>
    <row r="20" spans="1:7" ht="24" customHeight="1" x14ac:dyDescent="0.55000000000000004">
      <c r="A20" s="23" t="s">
        <v>100</v>
      </c>
      <c r="B20" s="3"/>
      <c r="C20" s="37" t="s">
        <v>167</v>
      </c>
      <c r="D20" s="38" t="s">
        <v>167</v>
      </c>
      <c r="E20" s="31" t="s">
        <v>167</v>
      </c>
      <c r="F20" s="28" t="s">
        <v>168</v>
      </c>
      <c r="G20" s="3"/>
    </row>
    <row r="21" spans="1:7" ht="24" customHeight="1" x14ac:dyDescent="0.55000000000000004">
      <c r="A21" s="23" t="s">
        <v>169</v>
      </c>
      <c r="B21" s="5"/>
      <c r="C21" s="37" t="s">
        <v>170</v>
      </c>
      <c r="D21" s="38" t="s">
        <v>171</v>
      </c>
      <c r="E21" s="31" t="s">
        <v>172</v>
      </c>
      <c r="F21" s="39" t="s">
        <v>173</v>
      </c>
      <c r="G21" s="5"/>
    </row>
    <row r="22" spans="1:7" ht="5.05" customHeight="1" x14ac:dyDescent="0.55000000000000004">
      <c r="A22" s="1"/>
      <c r="B22" s="1"/>
      <c r="C22" s="1"/>
      <c r="D22" s="1"/>
      <c r="E22" s="1"/>
      <c r="F22" s="1"/>
      <c r="G22" s="1"/>
    </row>
    <row r="23" spans="1:7" ht="22" customHeight="1" x14ac:dyDescent="0.55000000000000004">
      <c r="A23" s="78" t="s">
        <v>174</v>
      </c>
      <c r="B23" s="79"/>
      <c r="C23" s="79"/>
      <c r="D23" s="79"/>
      <c r="E23" s="79"/>
      <c r="F23" s="79"/>
      <c r="G23" s="79"/>
    </row>
    <row r="24" spans="1:7" ht="18" customHeight="1" x14ac:dyDescent="0.55000000000000004">
      <c r="A24" s="2"/>
      <c r="B24" s="2" t="s">
        <v>175</v>
      </c>
      <c r="C24" s="2"/>
      <c r="D24" s="2" t="s">
        <v>42</v>
      </c>
      <c r="E24" s="2"/>
      <c r="F24" s="2" t="s">
        <v>176</v>
      </c>
      <c r="G24" s="2"/>
    </row>
    <row r="25" spans="1:7" ht="22" customHeight="1" x14ac:dyDescent="0.55000000000000004">
      <c r="A25" s="40" t="s">
        <v>177</v>
      </c>
      <c r="B25" s="113" t="s">
        <v>178</v>
      </c>
      <c r="C25" s="91"/>
      <c r="D25" s="123" t="s">
        <v>179</v>
      </c>
      <c r="E25" s="124"/>
      <c r="F25" s="43" t="s">
        <v>180</v>
      </c>
      <c r="G25" s="5"/>
    </row>
    <row r="26" spans="1:7" ht="22" customHeight="1" x14ac:dyDescent="0.55000000000000004">
      <c r="A26" s="40" t="s">
        <v>181</v>
      </c>
      <c r="B26" s="113" t="s">
        <v>182</v>
      </c>
      <c r="C26" s="91"/>
      <c r="D26" s="123" t="s">
        <v>183</v>
      </c>
      <c r="E26" s="124"/>
      <c r="F26" s="43" t="s">
        <v>180</v>
      </c>
      <c r="G26" s="3"/>
    </row>
    <row r="27" spans="1:7" ht="22" customHeight="1" x14ac:dyDescent="0.55000000000000004">
      <c r="A27" s="40" t="s">
        <v>184</v>
      </c>
      <c r="B27" s="113" t="s">
        <v>185</v>
      </c>
      <c r="C27" s="91"/>
      <c r="D27" s="123" t="s">
        <v>186</v>
      </c>
      <c r="E27" s="124"/>
      <c r="F27" s="43" t="s">
        <v>180</v>
      </c>
      <c r="G27" s="5"/>
    </row>
    <row r="28" spans="1:7" ht="22" customHeight="1" x14ac:dyDescent="0.55000000000000004">
      <c r="A28" s="40" t="s">
        <v>187</v>
      </c>
      <c r="B28" s="128" t="s">
        <v>188</v>
      </c>
      <c r="C28" s="77"/>
      <c r="D28" s="114" t="s">
        <v>189</v>
      </c>
      <c r="E28" s="77"/>
      <c r="F28" s="43" t="s">
        <v>180</v>
      </c>
      <c r="G28" s="3"/>
    </row>
    <row r="29" spans="1:7" ht="22" customHeight="1" x14ac:dyDescent="0.55000000000000004">
      <c r="A29" s="40" t="s">
        <v>190</v>
      </c>
      <c r="B29" s="113" t="s">
        <v>191</v>
      </c>
      <c r="C29" s="91"/>
      <c r="D29" s="123" t="s">
        <v>192</v>
      </c>
      <c r="E29" s="124"/>
      <c r="F29" s="43" t="s">
        <v>180</v>
      </c>
      <c r="G29" s="5"/>
    </row>
    <row r="30" spans="1:7" ht="22" customHeight="1" x14ac:dyDescent="0.55000000000000004">
      <c r="A30" s="40" t="s">
        <v>193</v>
      </c>
      <c r="B30" s="128" t="s">
        <v>194</v>
      </c>
      <c r="C30" s="77"/>
      <c r="D30" s="114" t="s">
        <v>195</v>
      </c>
      <c r="E30" s="77"/>
      <c r="F30" s="43" t="s">
        <v>180</v>
      </c>
      <c r="G30" s="3"/>
    </row>
    <row r="31" spans="1:7" ht="22" customHeight="1" x14ac:dyDescent="0.55000000000000004">
      <c r="A31" s="40" t="s">
        <v>196</v>
      </c>
      <c r="B31" s="117" t="s">
        <v>197</v>
      </c>
      <c r="C31" s="74"/>
      <c r="D31" s="118" t="s">
        <v>198</v>
      </c>
      <c r="E31" s="74"/>
      <c r="F31" s="43" t="s">
        <v>180</v>
      </c>
      <c r="G31" s="5"/>
    </row>
    <row r="32" spans="1:7" ht="22" customHeight="1" x14ac:dyDescent="0.55000000000000004">
      <c r="A32" s="46" t="s">
        <v>199</v>
      </c>
      <c r="B32" s="130" t="s">
        <v>200</v>
      </c>
      <c r="C32" s="131"/>
      <c r="D32" s="125" t="s">
        <v>201</v>
      </c>
      <c r="E32" s="126"/>
      <c r="F32" s="43" t="s">
        <v>180</v>
      </c>
      <c r="G32" s="3"/>
    </row>
    <row r="33" spans="1:7" ht="22" customHeight="1" x14ac:dyDescent="0.55000000000000004">
      <c r="A33" s="40" t="s">
        <v>202</v>
      </c>
      <c r="B33" s="117" t="s">
        <v>203</v>
      </c>
      <c r="C33" s="74"/>
      <c r="D33" s="118" t="s">
        <v>204</v>
      </c>
      <c r="E33" s="74"/>
      <c r="F33" s="43" t="s">
        <v>180</v>
      </c>
      <c r="G33" s="5"/>
    </row>
    <row r="34" spans="1:7" ht="22" customHeight="1" x14ac:dyDescent="0.55000000000000004">
      <c r="A34" s="40" t="s">
        <v>205</v>
      </c>
      <c r="B34" s="128" t="s">
        <v>206</v>
      </c>
      <c r="C34" s="77"/>
      <c r="D34" s="114" t="s">
        <v>207</v>
      </c>
      <c r="E34" s="77"/>
      <c r="F34" s="43" t="s">
        <v>180</v>
      </c>
      <c r="G34" s="3"/>
    </row>
    <row r="35" spans="1:7" ht="22" customHeight="1" x14ac:dyDescent="0.55000000000000004">
      <c r="A35" s="40" t="s">
        <v>208</v>
      </c>
      <c r="B35" s="117" t="s">
        <v>209</v>
      </c>
      <c r="C35" s="74"/>
      <c r="D35" s="118" t="s">
        <v>210</v>
      </c>
      <c r="E35" s="74"/>
      <c r="F35" s="43" t="s">
        <v>180</v>
      </c>
      <c r="G35" s="5"/>
    </row>
    <row r="36" spans="1:7" ht="22" customHeight="1" x14ac:dyDescent="0.55000000000000004">
      <c r="A36" s="40" t="s">
        <v>211</v>
      </c>
      <c r="B36" s="128" t="s">
        <v>212</v>
      </c>
      <c r="C36" s="77"/>
      <c r="D36" s="114" t="s">
        <v>22</v>
      </c>
      <c r="E36" s="77"/>
      <c r="F36" s="43" t="s">
        <v>180</v>
      </c>
      <c r="G36" s="3"/>
    </row>
  </sheetData>
  <mergeCells count="43">
    <mergeCell ref="A2:G2"/>
    <mergeCell ref="B32:C32"/>
    <mergeCell ref="B26:C26"/>
    <mergeCell ref="A7:C7"/>
    <mergeCell ref="D26:E26"/>
    <mergeCell ref="A23:G23"/>
    <mergeCell ref="A1:G1"/>
    <mergeCell ref="B29:C29"/>
    <mergeCell ref="B34:C34"/>
    <mergeCell ref="B28:C28"/>
    <mergeCell ref="A9:C9"/>
    <mergeCell ref="D28:E28"/>
    <mergeCell ref="D25:E25"/>
    <mergeCell ref="B30:C30"/>
    <mergeCell ref="A11:C11"/>
    <mergeCell ref="D30:E30"/>
    <mergeCell ref="B33:C33"/>
    <mergeCell ref="E5:G5"/>
    <mergeCell ref="D33:E33"/>
    <mergeCell ref="D29:E29"/>
    <mergeCell ref="A6:C6"/>
    <mergeCell ref="E8:G8"/>
    <mergeCell ref="D36:E36"/>
    <mergeCell ref="E6:G6"/>
    <mergeCell ref="A13:G13"/>
    <mergeCell ref="E11:G11"/>
    <mergeCell ref="A5:C5"/>
    <mergeCell ref="A8:C8"/>
    <mergeCell ref="D27:E27"/>
    <mergeCell ref="D32:E32"/>
    <mergeCell ref="E7:G7"/>
    <mergeCell ref="A10:C10"/>
    <mergeCell ref="B36:C36"/>
    <mergeCell ref="B35:C35"/>
    <mergeCell ref="D35:E35"/>
    <mergeCell ref="E10:G10"/>
    <mergeCell ref="B25:C25"/>
    <mergeCell ref="D34:E34"/>
    <mergeCell ref="A4:G4"/>
    <mergeCell ref="E9:G9"/>
    <mergeCell ref="B31:C31"/>
    <mergeCell ref="B27:C27"/>
    <mergeCell ref="D31:E31"/>
  </mergeCells>
  <conditionalFormatting sqref="D5">
    <cfRule type="containsText" dxfId="1" priority="1" operator="containsText" text="OK">
      <formula>NOT(ISERROR(SEARCH("OK",D5)))</formula>
    </cfRule>
    <cfRule type="containsText" dxfId="0" priority="2" operator="containsText" text="HATA">
      <formula>NOT(ISERROR(SEARCH("HATA",D5)))</formula>
    </cfRule>
  </conditionalFormatting>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20"/>
  <sheetViews>
    <sheetView workbookViewId="0"/>
  </sheetViews>
  <sheetFormatPr defaultRowHeight="14.4" x14ac:dyDescent="0.55000000000000004"/>
  <cols>
    <col min="1" max="1" width="4" customWidth="1"/>
    <col min="2" max="2" width="10" customWidth="1"/>
    <col min="3" max="3" width="28" customWidth="1"/>
    <col min="4" max="4" width="22" customWidth="1"/>
    <col min="5" max="6" width="14" customWidth="1"/>
    <col min="7" max="7" width="20" customWidth="1"/>
  </cols>
  <sheetData>
    <row r="1" spans="1:7" ht="28" customHeight="1" x14ac:dyDescent="0.55000000000000004">
      <c r="A1" s="135" t="s">
        <v>213</v>
      </c>
      <c r="B1" s="79"/>
      <c r="C1" s="79"/>
      <c r="D1" s="79"/>
      <c r="E1" s="79"/>
      <c r="F1" s="79"/>
      <c r="G1" s="79"/>
    </row>
    <row r="2" spans="1:7" ht="20.05" customHeight="1" x14ac:dyDescent="0.55000000000000004">
      <c r="A2" s="138" t="s">
        <v>214</v>
      </c>
      <c r="B2" s="110"/>
      <c r="C2" s="110"/>
      <c r="D2" s="110"/>
      <c r="E2" s="110"/>
      <c r="F2" s="110"/>
      <c r="G2" s="110"/>
    </row>
    <row r="4" spans="1:7" ht="26.05" customHeight="1" x14ac:dyDescent="0.55000000000000004">
      <c r="A4" s="78" t="s">
        <v>215</v>
      </c>
      <c r="B4" s="79"/>
      <c r="C4" s="79"/>
      <c r="D4" s="79"/>
      <c r="E4" s="79"/>
      <c r="F4" s="79"/>
      <c r="G4" s="79"/>
    </row>
    <row r="5" spans="1:7" ht="18" customHeight="1" x14ac:dyDescent="0.55000000000000004">
      <c r="A5" s="2"/>
      <c r="B5" s="2" t="s">
        <v>216</v>
      </c>
      <c r="C5" s="2" t="s">
        <v>217</v>
      </c>
      <c r="D5" s="2" t="s">
        <v>218</v>
      </c>
      <c r="E5" s="2" t="s">
        <v>219</v>
      </c>
      <c r="F5" s="2" t="s">
        <v>220</v>
      </c>
      <c r="G5" s="2" t="s">
        <v>221</v>
      </c>
    </row>
    <row r="6" spans="1:7" ht="26.05" customHeight="1" x14ac:dyDescent="0.55000000000000004">
      <c r="A6" s="50" t="s">
        <v>219</v>
      </c>
      <c r="B6" s="50" t="s">
        <v>222</v>
      </c>
      <c r="C6" s="50" t="s">
        <v>223</v>
      </c>
      <c r="D6" s="50" t="s">
        <v>224</v>
      </c>
      <c r="E6" s="50" t="s">
        <v>225</v>
      </c>
      <c r="F6" s="50" t="s">
        <v>75</v>
      </c>
      <c r="G6" s="50" t="s">
        <v>226</v>
      </c>
    </row>
    <row r="7" spans="1:7" ht="26.05" customHeight="1" x14ac:dyDescent="0.55000000000000004">
      <c r="A7" s="51" t="s">
        <v>220</v>
      </c>
      <c r="B7" s="51" t="s">
        <v>222</v>
      </c>
      <c r="C7" s="51" t="s">
        <v>227</v>
      </c>
      <c r="D7" s="51" t="s">
        <v>228</v>
      </c>
      <c r="E7" s="51" t="s">
        <v>75</v>
      </c>
      <c r="F7" s="51" t="s">
        <v>225</v>
      </c>
      <c r="G7" s="51" t="s">
        <v>229</v>
      </c>
    </row>
    <row r="8" spans="1:7" ht="24" customHeight="1" x14ac:dyDescent="0.55000000000000004">
      <c r="A8" s="132" t="s">
        <v>230</v>
      </c>
      <c r="B8" s="77"/>
      <c r="C8" s="77"/>
      <c r="D8" s="77"/>
      <c r="E8" s="77"/>
      <c r="F8" s="77"/>
      <c r="G8" s="77"/>
    </row>
    <row r="9" spans="1:7" ht="26.05" customHeight="1" x14ac:dyDescent="0.55000000000000004">
      <c r="A9" s="78" t="s">
        <v>231</v>
      </c>
      <c r="B9" s="79"/>
      <c r="C9" s="79"/>
      <c r="D9" s="79"/>
      <c r="E9" s="79"/>
      <c r="F9" s="79"/>
      <c r="G9" s="79"/>
    </row>
    <row r="10" spans="1:7" ht="18" customHeight="1" x14ac:dyDescent="0.55000000000000004">
      <c r="A10" s="2"/>
      <c r="B10" s="2" t="s">
        <v>216</v>
      </c>
      <c r="C10" s="2" t="s">
        <v>217</v>
      </c>
      <c r="D10" s="2" t="s">
        <v>218</v>
      </c>
      <c r="E10" s="2" t="s">
        <v>219</v>
      </c>
      <c r="F10" s="2" t="s">
        <v>220</v>
      </c>
      <c r="G10" s="2" t="s">
        <v>221</v>
      </c>
    </row>
    <row r="11" spans="1:7" ht="26.05" customHeight="1" x14ac:dyDescent="0.55000000000000004">
      <c r="A11" s="50" t="s">
        <v>219</v>
      </c>
      <c r="B11" s="50" t="s">
        <v>232</v>
      </c>
      <c r="C11" s="50" t="s">
        <v>233</v>
      </c>
      <c r="D11" s="50" t="s">
        <v>234</v>
      </c>
      <c r="E11" s="50" t="s">
        <v>225</v>
      </c>
      <c r="F11" s="50" t="s">
        <v>75</v>
      </c>
      <c r="G11" s="50" t="s">
        <v>235</v>
      </c>
    </row>
    <row r="12" spans="1:7" ht="26.05" customHeight="1" x14ac:dyDescent="0.55000000000000004">
      <c r="A12" s="51" t="s">
        <v>220</v>
      </c>
      <c r="B12" s="51" t="s">
        <v>232</v>
      </c>
      <c r="C12" s="51" t="s">
        <v>223</v>
      </c>
      <c r="D12" s="51" t="s">
        <v>236</v>
      </c>
      <c r="E12" s="51" t="s">
        <v>75</v>
      </c>
      <c r="F12" s="51" t="s">
        <v>225</v>
      </c>
      <c r="G12" s="51" t="s">
        <v>237</v>
      </c>
    </row>
    <row r="13" spans="1:7" ht="22" customHeight="1" x14ac:dyDescent="0.55000000000000004">
      <c r="A13" s="132" t="s">
        <v>238</v>
      </c>
      <c r="B13" s="77"/>
      <c r="C13" s="77"/>
      <c r="D13" s="77"/>
      <c r="E13" s="77"/>
      <c r="F13" s="77"/>
      <c r="G13" s="77"/>
    </row>
    <row r="14" spans="1:7" ht="26.05" customHeight="1" x14ac:dyDescent="0.55000000000000004">
      <c r="A14" s="133" t="s">
        <v>239</v>
      </c>
      <c r="B14" s="134"/>
      <c r="C14" s="134"/>
      <c r="D14" s="134"/>
      <c r="E14" s="134"/>
      <c r="F14" s="134"/>
      <c r="G14" s="134"/>
    </row>
    <row r="15" spans="1:7" ht="20.05" customHeight="1" x14ac:dyDescent="0.55000000000000004">
      <c r="A15" s="132" t="s">
        <v>240</v>
      </c>
      <c r="B15" s="77"/>
      <c r="C15" s="77"/>
      <c r="D15" s="77"/>
      <c r="E15" s="77"/>
      <c r="F15" s="77"/>
      <c r="G15" s="77"/>
    </row>
    <row r="16" spans="1:7" ht="18" customHeight="1" x14ac:dyDescent="0.55000000000000004">
      <c r="A16" s="2"/>
      <c r="B16" s="2" t="s">
        <v>216</v>
      </c>
      <c r="C16" s="2" t="s">
        <v>217</v>
      </c>
      <c r="D16" s="2" t="s">
        <v>218</v>
      </c>
      <c r="E16" s="2" t="s">
        <v>219</v>
      </c>
      <c r="F16" s="2" t="s">
        <v>220</v>
      </c>
      <c r="G16" s="2" t="s">
        <v>221</v>
      </c>
    </row>
    <row r="17" spans="1:7" ht="26.05" customHeight="1" x14ac:dyDescent="0.55000000000000004">
      <c r="A17" s="50" t="s">
        <v>241</v>
      </c>
      <c r="B17" s="50" t="s">
        <v>242</v>
      </c>
      <c r="C17" s="50" t="s">
        <v>114</v>
      </c>
      <c r="D17" s="50" t="s">
        <v>243</v>
      </c>
      <c r="E17" s="50" t="s">
        <v>75</v>
      </c>
      <c r="F17" s="50" t="s">
        <v>244</v>
      </c>
      <c r="G17" s="50" t="s">
        <v>245</v>
      </c>
    </row>
    <row r="18" spans="1:7" ht="26.05" customHeight="1" x14ac:dyDescent="0.55000000000000004">
      <c r="A18" s="51" t="s">
        <v>246</v>
      </c>
      <c r="B18" s="51" t="s">
        <v>247</v>
      </c>
      <c r="C18" s="51" t="s">
        <v>115</v>
      </c>
      <c r="D18" s="51" t="s">
        <v>248</v>
      </c>
      <c r="E18" s="51" t="s">
        <v>75</v>
      </c>
      <c r="F18" s="51" t="s">
        <v>249</v>
      </c>
      <c r="G18" s="51" t="s">
        <v>250</v>
      </c>
    </row>
    <row r="19" spans="1:7" ht="26.05" customHeight="1" x14ac:dyDescent="0.55000000000000004">
      <c r="A19" s="50" t="s">
        <v>251</v>
      </c>
      <c r="B19" s="50" t="s">
        <v>252</v>
      </c>
      <c r="C19" s="50" t="s">
        <v>116</v>
      </c>
      <c r="D19" s="50" t="s">
        <v>253</v>
      </c>
      <c r="E19" s="50" t="s">
        <v>75</v>
      </c>
      <c r="F19" s="50" t="s">
        <v>254</v>
      </c>
      <c r="G19" s="50" t="s">
        <v>229</v>
      </c>
    </row>
    <row r="20" spans="1:7" ht="52" customHeight="1" x14ac:dyDescent="0.55000000000000004">
      <c r="A20" s="136" t="s">
        <v>255</v>
      </c>
      <c r="B20" s="137"/>
      <c r="C20" s="137"/>
      <c r="D20" s="137"/>
      <c r="E20" s="137"/>
      <c r="F20" s="137"/>
      <c r="G20" s="137"/>
    </row>
  </sheetData>
  <mergeCells count="9">
    <mergeCell ref="A20:G20"/>
    <mergeCell ref="A2:G2"/>
    <mergeCell ref="A15:G15"/>
    <mergeCell ref="A13:G13"/>
    <mergeCell ref="A14:G14"/>
    <mergeCell ref="A1:G1"/>
    <mergeCell ref="A9:G9"/>
    <mergeCell ref="A8:G8"/>
    <mergeCell ref="A4:G4"/>
  </mergeCell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G9"/>
  <sheetViews>
    <sheetView workbookViewId="0"/>
  </sheetViews>
  <sheetFormatPr defaultRowHeight="14.4" x14ac:dyDescent="0.55000000000000004"/>
  <cols>
    <col min="1" max="1" width="4" customWidth="1"/>
    <col min="2" max="2" width="24" customWidth="1"/>
    <col min="3" max="3" width="50" customWidth="1"/>
    <col min="4" max="4" width="22" customWidth="1"/>
  </cols>
  <sheetData>
    <row r="1" spans="1:7" ht="36" customHeight="1" x14ac:dyDescent="0.55000000000000004">
      <c r="A1" s="142" t="s">
        <v>256</v>
      </c>
      <c r="B1" s="79"/>
      <c r="C1" s="79"/>
      <c r="D1" s="79"/>
      <c r="E1" s="79"/>
      <c r="F1" s="79"/>
      <c r="G1" s="79"/>
    </row>
    <row r="2" spans="1:7" ht="22" customHeight="1" x14ac:dyDescent="0.55000000000000004">
      <c r="A2" s="140" t="s">
        <v>257</v>
      </c>
      <c r="B2" s="141"/>
      <c r="C2" s="141"/>
      <c r="D2" s="141"/>
      <c r="E2" s="141"/>
      <c r="F2" s="141"/>
      <c r="G2" s="141"/>
    </row>
    <row r="3" spans="1:7" ht="18" customHeight="1" x14ac:dyDescent="0.55000000000000004">
      <c r="A3" s="2" t="s">
        <v>258</v>
      </c>
      <c r="B3" s="2" t="s">
        <v>145</v>
      </c>
      <c r="C3" s="2" t="s">
        <v>259</v>
      </c>
      <c r="D3" s="2" t="s">
        <v>260</v>
      </c>
    </row>
    <row r="4" spans="1:7" ht="72" customHeight="1" x14ac:dyDescent="0.55000000000000004">
      <c r="A4" s="40" t="s">
        <v>261</v>
      </c>
      <c r="B4" s="44" t="s">
        <v>262</v>
      </c>
      <c r="C4" s="52" t="s">
        <v>263</v>
      </c>
      <c r="D4" s="53" t="s">
        <v>264</v>
      </c>
    </row>
    <row r="5" spans="1:7" ht="64" customHeight="1" x14ac:dyDescent="0.55000000000000004">
      <c r="A5" s="40" t="s">
        <v>265</v>
      </c>
      <c r="B5" s="45" t="s">
        <v>266</v>
      </c>
      <c r="C5" s="52" t="s">
        <v>267</v>
      </c>
      <c r="D5" s="54" t="s">
        <v>268</v>
      </c>
    </row>
    <row r="6" spans="1:7" ht="64" customHeight="1" x14ac:dyDescent="0.55000000000000004">
      <c r="A6" s="46" t="s">
        <v>269</v>
      </c>
      <c r="B6" s="41" t="s">
        <v>270</v>
      </c>
      <c r="C6" s="42" t="s">
        <v>271</v>
      </c>
      <c r="D6" s="55" t="s">
        <v>272</v>
      </c>
    </row>
    <row r="7" spans="1:7" ht="56.05" customHeight="1" x14ac:dyDescent="0.55000000000000004">
      <c r="A7" s="40" t="s">
        <v>273</v>
      </c>
      <c r="B7" s="44" t="s">
        <v>274</v>
      </c>
      <c r="C7" s="52" t="s">
        <v>275</v>
      </c>
      <c r="D7" s="53" t="s">
        <v>276</v>
      </c>
    </row>
    <row r="8" spans="1:7" ht="72" customHeight="1" x14ac:dyDescent="0.55000000000000004">
      <c r="A8" s="40" t="s">
        <v>277</v>
      </c>
      <c r="B8" s="45" t="s">
        <v>278</v>
      </c>
      <c r="C8" s="52" t="s">
        <v>279</v>
      </c>
      <c r="D8" s="54" t="s">
        <v>280</v>
      </c>
    </row>
    <row r="9" spans="1:7" ht="40" customHeight="1" x14ac:dyDescent="0.55000000000000004">
      <c r="A9" s="139" t="s">
        <v>281</v>
      </c>
      <c r="B9" s="108"/>
      <c r="C9" s="108"/>
      <c r="D9" s="108"/>
    </row>
  </sheetData>
  <mergeCells count="3">
    <mergeCell ref="A9:D9"/>
    <mergeCell ref="A2:G2"/>
    <mergeCell ref="A1:G1"/>
  </mergeCell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31"/>
  <sheetViews>
    <sheetView workbookViewId="0"/>
  </sheetViews>
  <sheetFormatPr defaultRowHeight="14.4" x14ac:dyDescent="0.55000000000000004"/>
  <cols>
    <col min="1" max="1" width="3" customWidth="1"/>
    <col min="2" max="2" width="8" customWidth="1"/>
    <col min="3" max="3" width="40" customWidth="1"/>
    <col min="4" max="4" width="34" customWidth="1"/>
    <col min="5" max="5" width="22" customWidth="1"/>
    <col min="6" max="6" width="3" customWidth="1"/>
  </cols>
  <sheetData>
    <row r="1" spans="1:6" ht="38.049999999999997" customHeight="1" x14ac:dyDescent="0.55000000000000004">
      <c r="A1" s="147" t="s">
        <v>282</v>
      </c>
      <c r="B1" s="148"/>
      <c r="C1" s="148"/>
      <c r="D1" s="148"/>
      <c r="E1" s="148"/>
      <c r="F1" s="148"/>
    </row>
    <row r="2" spans="1:6" ht="22" customHeight="1" x14ac:dyDescent="0.55000000000000004">
      <c r="A2" s="143" t="s">
        <v>283</v>
      </c>
      <c r="B2" s="144"/>
      <c r="C2" s="144"/>
      <c r="D2" s="144"/>
      <c r="E2" s="144"/>
      <c r="F2" s="144"/>
    </row>
    <row r="3" spans="1:6" ht="5.05" customHeight="1" x14ac:dyDescent="0.55000000000000004">
      <c r="A3" s="1"/>
      <c r="B3" s="1"/>
      <c r="C3" s="1"/>
      <c r="D3" s="1"/>
      <c r="E3" s="1"/>
      <c r="F3" s="1"/>
    </row>
    <row r="4" spans="1:6" ht="36" customHeight="1" x14ac:dyDescent="0.55000000000000004">
      <c r="A4" s="151" t="s">
        <v>284</v>
      </c>
      <c r="B4" s="152"/>
      <c r="C4" s="152"/>
      <c r="D4" s="152"/>
      <c r="E4" s="152"/>
      <c r="F4" s="152"/>
    </row>
    <row r="5" spans="1:6" ht="18" customHeight="1" x14ac:dyDescent="0.55000000000000004">
      <c r="A5" s="2"/>
      <c r="B5" s="2" t="s">
        <v>285</v>
      </c>
      <c r="C5" s="2" t="s">
        <v>286</v>
      </c>
      <c r="D5" s="2" t="s">
        <v>287</v>
      </c>
      <c r="E5" s="2" t="s">
        <v>288</v>
      </c>
      <c r="F5" s="2"/>
    </row>
    <row r="6" spans="1:6" ht="40" customHeight="1" x14ac:dyDescent="0.55000000000000004">
      <c r="A6" s="6"/>
      <c r="B6" s="56" t="s">
        <v>289</v>
      </c>
      <c r="C6" s="57" t="s">
        <v>290</v>
      </c>
      <c r="D6" s="58" t="s">
        <v>291</v>
      </c>
      <c r="E6" s="59" t="s">
        <v>292</v>
      </c>
      <c r="F6" s="6"/>
    </row>
    <row r="7" spans="1:6" ht="40" customHeight="1" x14ac:dyDescent="0.55000000000000004">
      <c r="A7" s="6"/>
      <c r="B7" s="56" t="s">
        <v>293</v>
      </c>
      <c r="C7" s="57" t="s">
        <v>294</v>
      </c>
      <c r="D7" s="58" t="s">
        <v>295</v>
      </c>
      <c r="E7" s="59" t="s">
        <v>296</v>
      </c>
      <c r="F7" s="6"/>
    </row>
    <row r="8" spans="1:6" ht="36" customHeight="1" x14ac:dyDescent="0.55000000000000004">
      <c r="A8" s="6"/>
      <c r="B8" s="56" t="s">
        <v>297</v>
      </c>
      <c r="C8" s="57" t="s">
        <v>298</v>
      </c>
      <c r="D8" s="58" t="s">
        <v>299</v>
      </c>
      <c r="E8" s="59" t="s">
        <v>300</v>
      </c>
      <c r="F8" s="6"/>
    </row>
    <row r="9" spans="1:6" ht="32.049999999999997" customHeight="1" x14ac:dyDescent="0.55000000000000004">
      <c r="A9" s="6"/>
      <c r="B9" s="56" t="s">
        <v>301</v>
      </c>
      <c r="C9" s="57" t="s">
        <v>302</v>
      </c>
      <c r="D9" s="58" t="s">
        <v>303</v>
      </c>
      <c r="E9" s="59" t="s">
        <v>304</v>
      </c>
      <c r="F9" s="6"/>
    </row>
    <row r="10" spans="1:6" ht="28" customHeight="1" x14ac:dyDescent="0.55000000000000004">
      <c r="A10" s="6"/>
      <c r="B10" s="56" t="s">
        <v>305</v>
      </c>
      <c r="C10" s="57" t="s">
        <v>306</v>
      </c>
      <c r="D10" s="58" t="s">
        <v>307</v>
      </c>
      <c r="E10" s="59" t="s">
        <v>308</v>
      </c>
      <c r="F10" s="6"/>
    </row>
    <row r="11" spans="1:6" ht="28" customHeight="1" x14ac:dyDescent="0.55000000000000004">
      <c r="A11" s="6"/>
      <c r="B11" s="56" t="s">
        <v>309</v>
      </c>
      <c r="C11" s="57" t="s">
        <v>310</v>
      </c>
      <c r="D11" s="58" t="s">
        <v>311</v>
      </c>
      <c r="E11" s="59" t="s">
        <v>312</v>
      </c>
      <c r="F11" s="6"/>
    </row>
    <row r="12" spans="1:6" ht="5.05" customHeight="1" x14ac:dyDescent="0.55000000000000004">
      <c r="A12" s="1"/>
      <c r="B12" s="1"/>
      <c r="C12" s="1"/>
      <c r="D12" s="1"/>
      <c r="E12" s="1"/>
      <c r="F12" s="1"/>
    </row>
    <row r="13" spans="1:6" ht="36" customHeight="1" x14ac:dyDescent="0.55000000000000004">
      <c r="A13" s="145" t="s">
        <v>313</v>
      </c>
      <c r="B13" s="146"/>
      <c r="C13" s="146"/>
      <c r="D13" s="146"/>
      <c r="E13" s="146"/>
      <c r="F13" s="146"/>
    </row>
    <row r="14" spans="1:6" ht="18" customHeight="1" x14ac:dyDescent="0.55000000000000004">
      <c r="A14" s="2"/>
      <c r="B14" s="2" t="s">
        <v>285</v>
      </c>
      <c r="C14" s="2" t="s">
        <v>286</v>
      </c>
      <c r="D14" s="2" t="s">
        <v>287</v>
      </c>
      <c r="E14" s="2" t="s">
        <v>288</v>
      </c>
      <c r="F14" s="2"/>
    </row>
    <row r="15" spans="1:6" ht="32.049999999999997" customHeight="1" x14ac:dyDescent="0.55000000000000004">
      <c r="A15" s="3"/>
      <c r="B15" s="60" t="s">
        <v>314</v>
      </c>
      <c r="C15" s="44" t="s">
        <v>315</v>
      </c>
      <c r="D15" s="61" t="s">
        <v>316</v>
      </c>
      <c r="E15" s="53" t="s">
        <v>317</v>
      </c>
      <c r="F15" s="3"/>
    </row>
    <row r="16" spans="1:6" ht="32.049999999999997" customHeight="1" x14ac:dyDescent="0.55000000000000004">
      <c r="A16" s="3"/>
      <c r="B16" s="60" t="s">
        <v>318</v>
      </c>
      <c r="C16" s="44" t="s">
        <v>319</v>
      </c>
      <c r="D16" s="61" t="s">
        <v>320</v>
      </c>
      <c r="E16" s="53" t="s">
        <v>321</v>
      </c>
      <c r="F16" s="3"/>
    </row>
    <row r="17" spans="1:6" ht="5.05" customHeight="1" x14ac:dyDescent="0.55000000000000004">
      <c r="A17" s="1"/>
      <c r="B17" s="1"/>
      <c r="C17" s="1"/>
      <c r="D17" s="1"/>
      <c r="E17" s="1"/>
      <c r="F17" s="1"/>
    </row>
    <row r="18" spans="1:6" ht="36" customHeight="1" x14ac:dyDescent="0.55000000000000004">
      <c r="A18" s="149" t="s">
        <v>322</v>
      </c>
      <c r="B18" s="150"/>
      <c r="C18" s="150"/>
      <c r="D18" s="150"/>
      <c r="E18" s="150"/>
      <c r="F18" s="150"/>
    </row>
    <row r="19" spans="1:6" ht="18" customHeight="1" x14ac:dyDescent="0.55000000000000004">
      <c r="A19" s="62"/>
      <c r="B19" s="62" t="s">
        <v>285</v>
      </c>
      <c r="C19" s="62" t="s">
        <v>5</v>
      </c>
      <c r="D19" s="62" t="s">
        <v>323</v>
      </c>
      <c r="E19" s="62" t="s">
        <v>324</v>
      </c>
      <c r="F19" s="62"/>
    </row>
    <row r="20" spans="1:6" ht="32.049999999999997" customHeight="1" x14ac:dyDescent="0.55000000000000004">
      <c r="A20" s="49"/>
      <c r="B20" s="63" t="s">
        <v>325</v>
      </c>
      <c r="C20" s="64" t="s">
        <v>178</v>
      </c>
      <c r="D20" s="65" t="s">
        <v>326</v>
      </c>
      <c r="E20" s="66" t="s">
        <v>327</v>
      </c>
      <c r="F20" s="49"/>
    </row>
    <row r="21" spans="1:6" ht="32.049999999999997" customHeight="1" x14ac:dyDescent="0.55000000000000004">
      <c r="A21" s="49"/>
      <c r="B21" s="63" t="s">
        <v>328</v>
      </c>
      <c r="C21" s="64" t="s">
        <v>329</v>
      </c>
      <c r="D21" s="65" t="s">
        <v>330</v>
      </c>
      <c r="E21" s="66" t="s">
        <v>327</v>
      </c>
      <c r="F21" s="49"/>
    </row>
    <row r="22" spans="1:6" ht="32.049999999999997" customHeight="1" x14ac:dyDescent="0.55000000000000004">
      <c r="A22" s="49"/>
      <c r="B22" s="63" t="s">
        <v>331</v>
      </c>
      <c r="C22" s="64" t="s">
        <v>332</v>
      </c>
      <c r="D22" s="65" t="s">
        <v>333</v>
      </c>
      <c r="E22" s="66" t="s">
        <v>327</v>
      </c>
      <c r="F22" s="49"/>
    </row>
    <row r="23" spans="1:6" ht="32.049999999999997" customHeight="1" x14ac:dyDescent="0.55000000000000004">
      <c r="A23" s="49"/>
      <c r="B23" s="63" t="s">
        <v>334</v>
      </c>
      <c r="C23" s="64" t="s">
        <v>335</v>
      </c>
      <c r="D23" s="65" t="s">
        <v>336</v>
      </c>
      <c r="E23" s="66" t="s">
        <v>327</v>
      </c>
      <c r="F23" s="49"/>
    </row>
    <row r="24" spans="1:6" ht="32.049999999999997" customHeight="1" x14ac:dyDescent="0.55000000000000004">
      <c r="A24" s="3"/>
      <c r="B24" s="67" t="s">
        <v>337</v>
      </c>
      <c r="C24" s="68" t="s">
        <v>338</v>
      </c>
      <c r="D24" s="61" t="s">
        <v>339</v>
      </c>
      <c r="E24" s="69" t="s">
        <v>327</v>
      </c>
      <c r="F24" s="3"/>
    </row>
    <row r="25" spans="1:6" ht="32.049999999999997" customHeight="1" x14ac:dyDescent="0.55000000000000004">
      <c r="A25" s="3"/>
      <c r="B25" s="67" t="s">
        <v>340</v>
      </c>
      <c r="C25" s="68" t="s">
        <v>341</v>
      </c>
      <c r="D25" s="61" t="s">
        <v>342</v>
      </c>
      <c r="E25" s="69" t="s">
        <v>327</v>
      </c>
      <c r="F25" s="3"/>
    </row>
    <row r="26" spans="1:6" ht="32.049999999999997" customHeight="1" x14ac:dyDescent="0.55000000000000004">
      <c r="A26" s="48"/>
      <c r="B26" s="70" t="s">
        <v>343</v>
      </c>
      <c r="C26" s="47" t="s">
        <v>200</v>
      </c>
      <c r="D26" s="71" t="s">
        <v>344</v>
      </c>
      <c r="E26" s="72" t="s">
        <v>327</v>
      </c>
      <c r="F26" s="48"/>
    </row>
    <row r="27" spans="1:6" ht="32.049999999999997" customHeight="1" x14ac:dyDescent="0.55000000000000004">
      <c r="A27" s="3"/>
      <c r="B27" s="67" t="s">
        <v>345</v>
      </c>
      <c r="C27" s="68" t="s">
        <v>203</v>
      </c>
      <c r="D27" s="61" t="s">
        <v>346</v>
      </c>
      <c r="E27" s="69" t="s">
        <v>327</v>
      </c>
      <c r="F27" s="3"/>
    </row>
    <row r="28" spans="1:6" ht="32.049999999999997" customHeight="1" x14ac:dyDescent="0.55000000000000004">
      <c r="A28" s="3"/>
      <c r="B28" s="67" t="s">
        <v>347</v>
      </c>
      <c r="C28" s="68" t="s">
        <v>348</v>
      </c>
      <c r="D28" s="61" t="s">
        <v>349</v>
      </c>
      <c r="E28" s="69" t="s">
        <v>327</v>
      </c>
      <c r="F28" s="3"/>
    </row>
    <row r="29" spans="1:6" ht="32.049999999999997" customHeight="1" x14ac:dyDescent="0.55000000000000004">
      <c r="A29" s="3"/>
      <c r="B29" s="67" t="s">
        <v>350</v>
      </c>
      <c r="C29" s="68" t="s">
        <v>212</v>
      </c>
      <c r="D29" s="61" t="s">
        <v>22</v>
      </c>
      <c r="E29" s="69" t="s">
        <v>327</v>
      </c>
      <c r="F29" s="3"/>
    </row>
    <row r="30" spans="1:6" ht="5.05" customHeight="1" x14ac:dyDescent="0.55000000000000004">
      <c r="A30" s="1"/>
      <c r="B30" s="1"/>
      <c r="C30" s="1"/>
      <c r="D30" s="1"/>
      <c r="E30" s="1"/>
      <c r="F30" s="1"/>
    </row>
    <row r="31" spans="1:6" ht="48" customHeight="1" x14ac:dyDescent="0.55000000000000004">
      <c r="A31" s="139" t="s">
        <v>351</v>
      </c>
      <c r="B31" s="108"/>
      <c r="C31" s="108"/>
      <c r="D31" s="108"/>
      <c r="E31" s="108"/>
      <c r="F31" s="108"/>
    </row>
  </sheetData>
  <mergeCells count="6">
    <mergeCell ref="A2:F2"/>
    <mergeCell ref="A13:F13"/>
    <mergeCell ref="A1:F1"/>
    <mergeCell ref="A31:F31"/>
    <mergeCell ref="A18:F18"/>
    <mergeCell ref="A4:F4"/>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Çalışma Sayfaları</vt:lpstr>
      </vt:variant>
      <vt:variant>
        <vt:i4>5</vt:i4>
      </vt:variant>
    </vt:vector>
  </HeadingPairs>
  <TitlesOfParts>
    <vt:vector size="5" baseType="lpstr">
      <vt:lpstr>VERİ GİRİŞİ</vt:lpstr>
      <vt:lpstr>HESAPLAMALAR &amp; KONTROL</vt:lpstr>
      <vt:lpstr>MUHASEBE KAYITLARI</vt:lpstr>
      <vt:lpstr>DENETCİ NOTLARI</vt:lpstr>
      <vt:lpstr>BELGE LISTESI</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Aydın DEDE</cp:lastModifiedBy>
  <dcterms:created xsi:type="dcterms:W3CDTF">2026-04-05T12:06:12Z</dcterms:created>
  <dcterms:modified xsi:type="dcterms:W3CDTF">2026-04-05T12:14:14Z</dcterms:modified>
</cp:coreProperties>
</file>