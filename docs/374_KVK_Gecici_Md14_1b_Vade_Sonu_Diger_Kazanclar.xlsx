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CC9EE704-FCF0-41E6-A740-D328825D3ADC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E67" i="1"/>
  <c r="C58" i="1"/>
  <c r="D6" i="2"/>
  <c r="E52" i="1"/>
  <c r="C57" i="1" s="1"/>
  <c r="G51" i="1"/>
  <c r="G50" i="1"/>
  <c r="G49" i="1"/>
  <c r="G48" i="1"/>
  <c r="G47" i="1"/>
  <c r="G46" i="1"/>
  <c r="G45" i="1"/>
  <c r="G44" i="1"/>
  <c r="G52" i="1" s="1"/>
  <c r="E16" i="1"/>
  <c r="D5" i="2" s="1"/>
  <c r="C59" i="1" l="1"/>
</calcChain>
</file>

<file path=xl/sharedStrings.xml><?xml version="1.0" encoding="utf-8"?>
<sst xmlns="http://schemas.openxmlformats.org/spreadsheetml/2006/main" count="480" uniqueCount="347">
  <si>
    <t>374 – KVK GEÇİCİ MADDE 14/1-b | VADE SONUNDA DOĞAN DİĞER KAZANÇLARDAN İSTİSNA | KUR KORUMALI MEVDUAT (KKM) — ALTINLI KKM VE ÖZEL ÜRÜNLER | YMM TASDİK</t>
  </si>
  <si>
    <t>KVK Geçici Md.14/1-b | 371–372–373 Dışında Kalan Vade Sonu Kazançları | Altın KKM | Özel KKM Ürünleri | Beyanname 374 | ★ YİAKV DÜŞÜLEMEZ</t>
  </si>
  <si>
    <t xml:space="preserve">  KVK GEÇİCİ MD.14 — BEŞ İSTİSNA KODU ÖZET:
  370 (1-a) Dönüşüm kur farkı — tek seferlik | 371 (1-b) Bankadan kur farkı tazminatı — nakit/dönemsel
  372 (1-b) Dönem sonu (31/12) faiz/kâr payı tahakkuku | 373 (1-b) Vade sonu faiz/kâr payı tahsilatı
  374 (1-b) Vade sonunda doğan DİĞER kazançlar — 371/372/373 kapsamına girmeyen → BU DOSYA
  KAPSAM: Altın KKM vade kazançları | Özel KKM ürün getirileri | Prim/bonus ödemeleri | Diğer KKM kaynaklı vade sonu kazançları. ★★ Tüm beş kod YİAKV matrahından DÜŞÜLEMEZ.</t>
  </si>
  <si>
    <t xml:space="preserve">  ★★ YİAKV (KVK Md.32/C) KRİTİK: 374 kapsamındaki vade sonu diğer kazançlar YİAKV matrahından DÜŞÜLEMEZ. 370+371+372+373+374 tamamı E.7 DÜŞÜLEMEZ listesindedir.</t>
  </si>
  <si>
    <t>A0. KAPSAM VE NİTELİK UYGUNLUK ÖN KONTROLÜ</t>
  </si>
  <si>
    <t>Kontrol Sorusu</t>
  </si>
  <si>
    <t>Yanıt</t>
  </si>
  <si>
    <t>YMM Tasdik Notu</t>
  </si>
  <si>
    <t>A0.1  KKM hesabı KVK Geçici Md.14/1-a kapsamı dönüşümden mi açıldı?</t>
  </si>
  <si>
    <t>EVET</t>
  </si>
  <si>
    <t>374, yalnızca 370 kapsamındaki dönüşümden açılan KKM hesaplarına uygulanır. 370 çalışma kâğıdıyla çapraz kontrol.</t>
  </si>
  <si>
    <t>A0.2  ★ Bu kazanç türü 371/372/373 kapsamına girmiyor mu? ('Diğer' niteliği teyit edildi mi?)</t>
  </si>
  <si>
    <t>374 = 371 (kur farkı tazminat) + 372 (dönem sonu tahakkuk) + 373 (vade faiz/kâr payı) DIŞINDA KALAN kazançlar. Bu üç kodun kapsamını önce kontrol edin. 374 gerçekten 'diğer' niteliğinde olmalı.</t>
  </si>
  <si>
    <t>A0.3  Kazanç türü belirlendi mi? (Altın KKM / Özel KKM Ürünü / Diğer)</t>
  </si>
  <si>
    <t>Altın KKM</t>
  </si>
  <si>
    <t>B bölümünde kazanç türünü detaylandırın. Her tür için ayrı yasal dayanak ve belge zorunludur.</t>
  </si>
  <si>
    <t>A0.4  Vade tarihi dönem içinde (01.01–31.12) mi?</t>
  </si>
  <si>
    <t>374, vade sonu kazancı olduğundan vade tarihinin dönem içinde olması zorunludur.</t>
  </si>
  <si>
    <t>A0.5  371/372/373 ile mükerrerlik analizi yapıldı mı?</t>
  </si>
  <si>
    <t>374 kapsamındaki kazancın 371/372/373'ten farklı bir kalem olduğu teyit edilmeli. Aynı tutarın hem 373 (faiz/kâr payı) hem 374 (diğer) olarak gösterilmesi mükerrerlik oluşturur.</t>
  </si>
  <si>
    <t>A0.6  ★ 374 tutarının YİAKV matrahından DÜŞÜLMEDIĞI teyit edildi mi?</t>
  </si>
  <si>
    <t>370+371+372+373+374 tamamı YİAKV matrahından DÜŞÜLEMEZ. YİAKV E.7'de beş satır da kontrol edilmeli.</t>
  </si>
  <si>
    <t>A0.7  Kazanç türüne özgü belge mevcut mu?</t>
  </si>
  <si>
    <t>Altın KKM → Altın fiyat belgesi + Banka bildirimi. Özel ürün → Ürün sözleşmesi + Getiri bildirimi. Prim/bonus → Banka yazısı/bildirimi.</t>
  </si>
  <si>
    <t>A0.8  YMM Tasdik Raporu (49 No.lu Tebliğ) değerlendirildi mi?</t>
  </si>
  <si>
    <t>&gt;=500.000 TL → YMM raporu.</t>
  </si>
  <si>
    <t>A0.9  Tasdik Uygunluk Sonucu</t>
  </si>
  <si>
    <t>★ A0.2 (diğer niteliği teyidi), A0.5 (mükerrerlik), A0.6 (YİAKV)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</si>
  <si>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</si>
  <si>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</si>
  <si>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</si>
  <si>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</si>
  <si>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</si>
  <si>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</si>
  <si>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</si>
  <si>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</si>
  <si>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 | Banka/Finans: %30</t>
  </si>
  <si>
    <t>Dosya Referansı</t>
  </si>
  <si>
    <t>YMM-2025/374-01</t>
  </si>
  <si>
    <t>370/371/372/373 Referansı</t>
  </si>
  <si>
    <t>Aynı KKM hesabı — beş dosya çapraz mutabakat</t>
  </si>
  <si>
    <t>B. KAZANÇ TÜRÜ ANALİZİ — 374 KAPSAMININ TEMEL KATEGORİLERİ</t>
  </si>
  <si>
    <t xml:space="preserve">  374 = 'Diğer' kapsamı. 371/372/373 dışında kalan her KKM kaynaklı vade sonu kazancı buraya girer. Her kazanç türü için ayrı yasal dayanak, ayrı belge ve ayrı muhasebe hesabı zorunludur.</t>
  </si>
  <si>
    <t xml:space="preserve">  B.1  ALTIN KKM VADE KAZANCI — En Yaygın 374 Kalemi</t>
  </si>
  <si>
    <t xml:space="preserve">  Tanım: Altın hesabı → TL KKM dönüşümü (370 kapsamında). Vade sonunda TL KKM hesabındaki getirinin faiz/kâr payı dışındaki kısmı (altın fiyat artışına bağlı getiri, altın kur farkı vb.) → 374.
  Hesaplama: Vade Sonu Altın Değeri (adet × vade sonu TCMB altın kuru) − Dönüşüm TL Bedeli − Faiz/Kâr Payı (373)
  NOT: Altın hesabı KKM'de dönüşüm kazancı 370'te (tek seferlik kur farkı değerleme) zaten istisna edilmiştir. 374'te yalnızca vade sonu ek getiri (altın endeksli kısım) yer alır.</t>
  </si>
  <si>
    <t>Altın KKM Parametresi</t>
  </si>
  <si>
    <t>Değer / Tarih</t>
  </si>
  <si>
    <t>Açıklama</t>
  </si>
  <si>
    <t>Belge</t>
  </si>
  <si>
    <t>B.1.1  Altın KKM Hesabı Açılış Tarihi (= 370 Dönüşüm Tarihi)</t>
  </si>
  <si>
    <t>370 dönüşüm tarihi ile örtüşmeli.</t>
  </si>
  <si>
    <t>370 çalışma kâğıdı</t>
  </si>
  <si>
    <t>B.1.2  Dönüşüm Anındaki Altın Miktarı (Gram/Ons)</t>
  </si>
  <si>
    <t>370 kapsamında dönüştürülen altın miktarı.</t>
  </si>
  <si>
    <t>Banka dekontu</t>
  </si>
  <si>
    <t>B.1.3  Dönüşüm TL Bedeli (Toplam — 370'teki tutar)</t>
  </si>
  <si>
    <t>370 dosyasındaki dönüşüm TL değeri.</t>
  </si>
  <si>
    <t>B.1.4  Vade Sonu Altın Değeri (Altın Endeksli Getiri varsa)</t>
  </si>
  <si>
    <t>Altın fiyat artışına bağlı vade sonu ek getiri. TCMB altın fiyatı × Altın miktarı.</t>
  </si>
  <si>
    <t>TCMB + Banka bildirimi</t>
  </si>
  <si>
    <t>B.1.5  Vade Sonu Faiz/Kâr Payı (373'teki tutar)</t>
  </si>
  <si>
    <t>373 çalışma kâğıdından. Mükerrerlik önleme için çıkarılacak.</t>
  </si>
  <si>
    <t>373 çalışma kâğıdı</t>
  </si>
  <si>
    <t>B.1.6  Net 374 Altın KKM Kazancı (B.1.4 − B.1.5)</t>
  </si>
  <si>
    <t>Bu tutar C tablosuna girilecek. Altın fiyat farkı getirisi.</t>
  </si>
  <si>
    <t>Hesaplama</t>
  </si>
  <si>
    <t xml:space="preserve">  B.2  ÖZEL KKM ÜRÜN GETİRİSİ / PRİM-BONUS / ENDEKSLİ ÜRÜN KAZANCI</t>
  </si>
  <si>
    <t xml:space="preserve">  KATEGORİLER:
  ① Prim/Bonus Ödemeleri: Banka tarafından KKM hesabı için ödenen teşvik prim veya bonusu. Faiz/kâr payı niteliğinde değil → 374.
  ② Endeksli KKM Kazancı: Belirli bir endekse (TÜFE, altın vb.) bağlı getiri. Sözleşme kapsamında faiz dışı ek getiri → 374.
  ③ Özel Vade Avantajı: Uzun vadeli KKM hesaplarına banka tarafından uygulanan ek getiri.
  ④ Diğer KKM Kaynaklı Kazanç: Yukarıdaki kategorilere girmeyen, KKM hesabından doğan ve 371/372/373 kapsamına girmeyen her türlü kazanç.
  NOT: Her kalem için GİB'e açıklanabilir yasal dayanak (KVK Geçici Md.14/1-b) ile banka belgesi zorunludur.</t>
  </si>
  <si>
    <t>C. VADE SONU DİĞER KAZANÇ TABLOSU (374) — KALEMİ VE TUTARI GİRİN</t>
  </si>
  <si>
    <t xml:space="preserve">  Her 374 kalemi için ayrı satır. SÜTUN 3 (kazanç türü) ve SÜTUN 5 (tutar) ANA GİRİŞ. 371/372/373 ile mükerrerlik var mı? kontrolü SÜTUN 6'da yapılır.</t>
  </si>
  <si>
    <t>Kazanç Türü</t>
  </si>
  <si>
    <t>Açıklama / Hesap</t>
  </si>
  <si>
    <t>KKM Hesap</t>
  </si>
  <si>
    <t>Vade Tarihi</t>
  </si>
  <si>
    <t>374 Brüt Tutar (TL)</t>
  </si>
  <si>
    <t>371–373 Mükerrerlik Var mı?</t>
  </si>
  <si>
    <t>Net 374 İstisna (TL)</t>
  </si>
  <si>
    <t>Yok</t>
  </si>
  <si>
    <t>TOPLAM</t>
  </si>
  <si>
    <t>374 Kapsamı Vade Sonu Diğer Kazançlar → Beyanname 374</t>
  </si>
  <si>
    <t>—</t>
  </si>
  <si>
    <t xml:space="preserve">  SÜTUN 5 (kırmızı çerçeve): 374 kapsamındaki vade sonu diğer kazanç tutarı — ANA GİRİŞ (banka bildirimi veya hesaplama tablosundan).
  SÜTUN 6: Mükerrerlik analizi — aynı tutar 371/372/373'te zaten gösterildiyse 'Var' seçin, net 374 = 0 olur. Yok ise tüm tutar 374.
  ★ Altın KKM kazancı: B.1.6 tutarını buraya yazın. Faiz/kâr payı (373) zaten ayrı beyanname satırında — mükerrer göstermein.</t>
  </si>
  <si>
    <t>D. VADE SONU DİĞER KAZANÇ İSTİSNASI ÖZET — BEYANNAME 374</t>
  </si>
  <si>
    <t>Hesap Kalemi</t>
  </si>
  <si>
    <t>Tutar (TL)</t>
  </si>
  <si>
    <t>YMM Notu</t>
  </si>
  <si>
    <t>D.1  Toplam 374 Brüt Kazanç (C Tablosu Sütun 5)</t>
  </si>
  <si>
    <t>C Sütun 5 toplamı — tüm diğer kazançlar</t>
  </si>
  <si>
    <t>D.2  Mükerrer Kalemler (371/372/373 ile çakışan — C Sütun 6 'Var' olanlar)</t>
  </si>
  <si>
    <t>Mükerrer olduğu tespit edilen kalemler — 374'e yazılmaz</t>
  </si>
  <si>
    <t>D.3  ★ NET 374 İSTİSNA TUTARI → BEYANNAME 374</t>
  </si>
  <si>
    <t>→ Beyanname 374 | Kazancın Bulunması Halinde</t>
  </si>
  <si>
    <t>KVK Geçici Md.14/1-b</t>
  </si>
  <si>
    <t>D.4  Kapsam Dışı Diğer Kazanç (31/12/2021 dışı KKM)</t>
  </si>
  <si>
    <t>Kapsam dışı tutarlar vergilendirilir</t>
  </si>
  <si>
    <t>E. 370 – 371 – 372 – 373 – 374 TAM PAKET MUTABAKAT</t>
  </si>
  <si>
    <t>Kalem</t>
  </si>
  <si>
    <t>370</t>
  </si>
  <si>
    <t>371</t>
  </si>
  <si>
    <t>372</t>
  </si>
  <si>
    <t>373</t>
  </si>
  <si>
    <t>374 (BU)</t>
  </si>
  <si>
    <t>YİAKV</t>
  </si>
  <si>
    <t>Konu</t>
  </si>
  <si>
    <t>Kur farkı değerleme</t>
  </si>
  <si>
    <t>Kur farkı tazminat</t>
  </si>
  <si>
    <t>Dönem sonu tahakkuk</t>
  </si>
  <si>
    <t>Vade faiz/kâr payı</t>
  </si>
  <si>
    <t>Vade diğer kazançlar</t>
  </si>
  <si>
    <t>Beşi de DÜŞÜLEMEZ</t>
  </si>
  <si>
    <t>Muhasebe</t>
  </si>
  <si>
    <t>646/679</t>
  </si>
  <si>
    <t>102/648</t>
  </si>
  <si>
    <t>181/642</t>
  </si>
  <si>
    <t>102/(181+642)</t>
  </si>
  <si>
    <t>646/648/679 vb.</t>
  </si>
  <si>
    <t>E.7</t>
  </si>
  <si>
    <t>374 Kapsamı</t>
  </si>
  <si>
    <t>Faiz/kâr payı</t>
  </si>
  <si>
    <t>Altın+prim+endeks+diğer</t>
  </si>
  <si>
    <t>Ayrıştırma zorunlu</t>
  </si>
  <si>
    <t>F.1  TOPLAM İSTİSNA → Beyanname Satır 374 (Kazancın Bulunması Halinde)</t>
  </si>
  <si>
    <t>D.3 — Net 374 | KVK Geçici Md.14/1-b | Vade Sonu Diğer Kazançlar</t>
  </si>
  <si>
    <t xml:space="preserve">  ★★ KRİTİK UYARILAR:
(1) YİAKV MATRAHINDA DÜŞÜLEMEZ: 370+371+372+373+374 tamamı asgari KV matrahından çıkarılmaz — YİAKV E.7.
(2) KAPSAM SINIRI: 374 = 371+372+373 DIŞINDA kalan KKM kaynaklı vade sonu kazançlar. Zaten 371/372/373'te gösterilen tutar 374'e yazılamaz (mükerrerlik).
(3) 'DİĞER' GEREKÇESİ: Her kalem için GİB'e açıklanabilir 'diğer' niteliği teyit edilmeli. Tartışmalı kalemler için özelge alınması tavsiye edilir.
(4) BELGE: Altın KKM → Altın fiyat tablosu + banka bildirimi. Prim/bonus → Banka yazısı. Her kalem ayrı belge ile desteklenmeli.</t>
  </si>
  <si>
    <t>374 – KVK GEÇİCİ MD.14/1-b VADE SONU DİĞER KAZANÇLAR | HESAPLAMALAR VE DENETİM</t>
  </si>
  <si>
    <t>Altın KKM | Özel KKM Ürünü | Prim/Bonus | Endeksli Getiri | Beyanname 374 | YİAKV MATRAHINDA DÜŞÜLEMEZ</t>
  </si>
  <si>
    <t>A. TASDİK ÖZETİ</t>
  </si>
  <si>
    <t>A0 Uygunluğu</t>
  </si>
  <si>
    <t>OK ise devam</t>
  </si>
  <si>
    <t>Kazanç Türü (A0.3)</t>
  </si>
  <si>
    <t>Altın/Prim/Endeks/Diğer</t>
  </si>
  <si>
    <t>Toplam Brüt (D.1)</t>
  </si>
  <si>
    <t>C Sütun 5 toplamı</t>
  </si>
  <si>
    <t>Mükerrer Kalemler (D.2)</t>
  </si>
  <si>
    <t>371-373 çakışan — hariç tutuldu</t>
  </si>
  <si>
    <t>374 NET İSTİSNA (D.3)</t>
  </si>
  <si>
    <t>★★ YİAKV'de DÜŞÜLEMEZ</t>
  </si>
  <si>
    <t>370+371+372+373+374 — Beşi de E.7</t>
  </si>
  <si>
    <t>Her zaman DÜŞÜLEMEZ</t>
  </si>
  <si>
    <t>B. 370–371–372–373–374 TAM KARŞILAŞTIRMA MATRİSİ — KVK GEÇİCİ MD.14</t>
  </si>
  <si>
    <t>Özellik</t>
  </si>
  <si>
    <t>Ortak</t>
  </si>
  <si>
    <t>5 ayrı mekanizma</t>
  </si>
  <si>
    <t>Zaman</t>
  </si>
  <si>
    <t>Dönüşüm — tek</t>
  </si>
  <si>
    <t>Ödeme dönemleri</t>
  </si>
  <si>
    <t>31 Aralık</t>
  </si>
  <si>
    <t>Vade tarihi</t>
  </si>
  <si>
    <t>Her biri farklı dönem</t>
  </si>
  <si>
    <t>İçerik</t>
  </si>
  <si>
    <t>Kur farkı</t>
  </si>
  <si>
    <t>Koruma ödemesi</t>
  </si>
  <si>
    <t>Faiz/kâr payı accrual</t>
  </si>
  <si>
    <t>Faiz/kâr payı nakit</t>
  </si>
  <si>
    <t>371+372+373 dışı</t>
  </si>
  <si>
    <t>Türüne göre değişir</t>
  </si>
  <si>
    <t>Beyanname</t>
  </si>
  <si>
    <t>374</t>
  </si>
  <si>
    <t>Kazancın Bulunması Halinde</t>
  </si>
  <si>
    <t>DÜŞÜLEMEZ</t>
  </si>
  <si>
    <t>Beşi birlikte E.7</t>
  </si>
  <si>
    <t>374 Özgün Kural</t>
  </si>
  <si>
    <t>Faiz/kâr payı + 374</t>
  </si>
  <si>
    <t>371-373 dışı</t>
  </si>
  <si>
    <t>Mükerrer gösterilmez</t>
  </si>
  <si>
    <t>C. DENETİM KONTROL LİSTESİ (K1–K12)</t>
  </si>
  <si>
    <t>Kontrol</t>
  </si>
  <si>
    <t>Sonuç</t>
  </si>
  <si>
    <t>K1</t>
  </si>
  <si>
    <t>★ KKM hesabı 31/12/2021 bilanço kaynaklı dönüşümden mi açıldı?</t>
  </si>
  <si>
    <t>370 çalışma kâğıdıyla çapraz teyit.</t>
  </si>
  <si>
    <t>Uygun/Eksik/Risk</t>
  </si>
  <si>
    <t>K2</t>
  </si>
  <si>
    <t>★ Bu kazanç türü gerçekten 371/372/373 kapsamına girmiyor mu?</t>
  </si>
  <si>
    <t>374 = 'Diğer' = 371+372+373 dışı. Her üçünün kapsamı kontrol edilmeli.</t>
  </si>
  <si>
    <t>K3</t>
  </si>
  <si>
    <t>Kazanç türü belgelendi mi? (Altın / Prim / Endeks / Diğer)</t>
  </si>
  <si>
    <t>Her kalem için ayrı belge. Altın KKM → TCMB fiyat tablosu. Prim/bonus → Banka yazısı.</t>
  </si>
  <si>
    <t>K4</t>
  </si>
  <si>
    <t>★ 371/372/373 ile mükerrerlik analizi (C Sütun 6) yapıldı mı?</t>
  </si>
  <si>
    <t>'Yok' olanlar 374'e yazıldı. 'Var' olanlar dışlandı (D.2).</t>
  </si>
  <si>
    <t>K5</t>
  </si>
  <si>
    <t>Altın KKM varsa B.1.6 hesabı (Net Altın Kazancı) doğru mu?</t>
  </si>
  <si>
    <t>Vade Altın Değeri − Dönüşüm TL − Faiz/Kâr Payı (373) = Net Altın KKM Kazancı.</t>
  </si>
  <si>
    <t>K6</t>
  </si>
  <si>
    <t>370/371/372/373 çalışma kâğıtlarıyla çapraz mutabakat yapıldı mı?</t>
  </si>
  <si>
    <t>Beş dosyanın KKM hesap bilgileri tutarlı.</t>
  </si>
  <si>
    <t>K7</t>
  </si>
  <si>
    <t>Tartışmalı 374 kalemleri için özelge alındı mı?</t>
  </si>
  <si>
    <t>374 'diğer' niteliği tartışmalı olabilir → GİB özelgesi risk yönetiminin temelidir.</t>
  </si>
  <si>
    <t>K8</t>
  </si>
  <si>
    <t>★★ 374 istisnası YİAKV matrahından DÜŞÜLMEDI mi?</t>
  </si>
  <si>
    <t>370+371+372+373+374 tamamı YİAKV matrahından DÜŞÜLEMEZ. E.7'de beş satır.</t>
  </si>
  <si>
    <t>K9</t>
  </si>
  <si>
    <t>Beyanname 374 'Kazancın Bulunması Halinde' bölümünde mi?</t>
  </si>
  <si>
    <t>Zarar döneminde uygulanamaz.</t>
  </si>
  <si>
    <t>K10</t>
  </si>
  <si>
    <t>Vade tarihi dönem içinde (01.01–31.12) mi?</t>
  </si>
  <si>
    <t>Sonraki dönemde vadeye girenler → Gelecek yıl.</t>
  </si>
  <si>
    <t>K11</t>
  </si>
  <si>
    <t>374 tutarının muhasebe kaydı yapıldı mı? Hangi hesap kullanıldı?</t>
  </si>
  <si>
    <t>Kazanç türüne göre: 646/648/679. Ticari kâra dahil.</t>
  </si>
  <si>
    <t>K12</t>
  </si>
  <si>
    <t>YMM Tasdik Raporu (49 No.lu Tebliğ) değerlendirildi mi?</t>
  </si>
  <si>
    <t>374 – KVK GEÇİCİ MD.14/1-b VADE SONU DİĞER KAZANÇLAR | MUHASEBE KAYITLARI</t>
  </si>
  <si>
    <t>Altın KKM Vade Kaydı | Prim/Bonus Kaydı | 370–371–372–373–374 Tam Muhasebe Tablosu</t>
  </si>
  <si>
    <t>KAYIT 1 — ALTIN KKM: VADE SONU ALTIN FİYAT FARKI KAZANCI (374 — En Yaygın Kalem)</t>
  </si>
  <si>
    <t xml:space="preserve">  Altın KKM hesabı vadeye geldiğinde altın fiyat artışından doğan ek getiri → 374 (faiz/kâr payı dışındaki kısım).</t>
  </si>
  <si>
    <t>Tarih</t>
  </si>
  <si>
    <t>Hesap</t>
  </si>
  <si>
    <t>Not</t>
  </si>
  <si>
    <t>Dr</t>
  </si>
  <si>
    <t>Kr</t>
  </si>
  <si>
    <t>Ref</t>
  </si>
  <si>
    <t>[Vade Tarihi]</t>
  </si>
  <si>
    <t>102 Bankalar</t>
  </si>
  <si>
    <t>Altın KKM vade sonu toplam tahsilat (altın fiyat getirisi + faiz/kâr payı)</t>
  </si>
  <si>
    <t>[Toplam]</t>
  </si>
  <si>
    <t>Banka bildirimi</t>
  </si>
  <si>
    <t>646 Kambiyo Kârları / 679 Diğer Kâr</t>
  </si>
  <si>
    <t>Altın fiyat farkı kazancı (374 kapsamı) — KVK Geçici Md.14/1-b → Beyanname 374</t>
  </si>
  <si>
    <t>[374 Net]</t>
  </si>
  <si>
    <t>KV 374</t>
  </si>
  <si>
    <t>642 Faiz Gelirleri / 644 Kâr Payları</t>
  </si>
  <si>
    <t>Vade faiz/kâr payı (373 kapsamı) — ayrı beyanname satırı 373</t>
  </si>
  <si>
    <t>[373 Tutar]</t>
  </si>
  <si>
    <t>KV 373</t>
  </si>
  <si>
    <t xml:space="preserve">  Altın KKM vade tahsilatında: Altın fiyat getirisi → 646/679 (374). Faiz/kâr payı → 642/644 (373). Ayrı hesaplar zorunlu.</t>
  </si>
  <si>
    <t>KAYIT 2 — PRİM / BONUS ÖDEMESİ (374 — Özel KKM Teşvik Ödemeleri)</t>
  </si>
  <si>
    <t>[Ödeme Tarihi]</t>
  </si>
  <si>
    <t>Bankadan alınan KKM prim/bonus ödemesi — faiz niteliğinde değil</t>
  </si>
  <si>
    <t>[Tutar]</t>
  </si>
  <si>
    <t>Banka yazısı/bildirimi</t>
  </si>
  <si>
    <t>648 Diğer Olağan Gelirler / 679 Diğer Olağandışı Kâr</t>
  </si>
  <si>
    <t>KKM prim/bonus — KVK Geçici Md.14/1-b kapsamı → Beyanname 374</t>
  </si>
  <si>
    <t xml:space="preserve">  Prim/bonus niteliği: Faiz/kâr payı değil, teşvik niteliğinde ödeme. 642 değil 648 veya 679 hesabına alınır. YMM: Banka yazısı ile prim niteliği teyit edilmeli.</t>
  </si>
  <si>
    <t>KAYIT 3 — 370/371/372/373/374 TAM MUHASEBE TABLOSU</t>
  </si>
  <si>
    <t>[Dönüşüm]</t>
  </si>
  <si>
    <t>Kur farkı değerleme → Tek seferlik → Beyanname 370</t>
  </si>
  <si>
    <t>[370]</t>
  </si>
  <si>
    <t>KV 370</t>
  </si>
  <si>
    <t>[Ödeme]</t>
  </si>
  <si>
    <t>Bankadan kur farkı koruma ödemesi → Dönemsel nakit → Beyanname 371</t>
  </si>
  <si>
    <t>[371]</t>
  </si>
  <si>
    <t>KV 371</t>
  </si>
  <si>
    <t>[31.12]</t>
  </si>
  <si>
    <t>Dönem sonu faiz/kâr payı tahakkuku → Beyanname 372</t>
  </si>
  <si>
    <t>[372]</t>
  </si>
  <si>
    <t>KV 372</t>
  </si>
  <si>
    <t>[Vade]</t>
  </si>
  <si>
    <t>Vade sonu faiz/kâr payı tahsilatı → Beyanname 373</t>
  </si>
  <si>
    <t>[373]</t>
  </si>
  <si>
    <t>646/648/679</t>
  </si>
  <si>
    <t>Vade sonu diğer kazançlar (altın+prim+endeks) → Beyanname 374</t>
  </si>
  <si>
    <t>[374]</t>
  </si>
  <si>
    <t xml:space="preserve">  YİAKV: 646+648+642+679 hesaplarındaki tüm KKM geliri ticari kâra dahil. 370+371+372+373+374 BEŞİ DE YİAKV MATRAHINDA DÜŞÜLEMEZ (E.7). Genel KV matrahından çıkarılır (her satır ayrı beyannamede). Muhasebe hesabı türüne bakılmaksızın tamamı YİAKV matrahında kalır.</t>
  </si>
  <si>
    <t>374 – KVK GEÇİCİ MD.14/1-b VADE SONU DİĞER KAZANÇLAR | DENETÇİ NOTLARI</t>
  </si>
  <si>
    <t>GİB KV Beyan Rehberi Mart 2026 (No:606) | Altın KKM | Prim/Bonus | Endeksli Getiri | ★★ YİAKV DÜŞÜLEMEZ</t>
  </si>
  <si>
    <t>Kod</t>
  </si>
  <si>
    <t>Mesleki Değerlendirme / Tasdik Standardı</t>
  </si>
  <si>
    <t>Mevzuat / Kaynak</t>
  </si>
  <si>
    <t>N1</t>
  </si>
  <si>
    <t>KVK Geçici Md.14/1-b — 374 Vade Sonu Diğer Kazançların Kapsamı</t>
  </si>
  <si>
    <t>374 (VADE SONUNDA DOĞAN DİĞER KAZANÇLAR) TANIMI:
KVK Geçici Madde 14/1-b kapsamındaki KKM hesaplarından vade sonu elde edilen kazançların
371 (kur farkı tazminat) + 372 (dönem sonu tahakkuk) + 373 (faiz/kâr payı) dışında kalan kısmı.
BAŞLICA 374 KALEMLERİ:
① ALTIN KKM VADE KAZANCI: Altın hesabını TL KKM'ye dönüştüren kurumların (370 kapsamı)
   vade sonunda altın fiyat farkından kaynaklanan getirisi. Bu kısım faiz/kâr payı değil.
   Hesaplama: (Vade Sonu Altın Fiyatı × Altın Miktarı) − Dönüşüm TL Bedeli − Faiz/Kâr Payı
② PRİM / BONUS ÖDEMESİ: Banka tarafından KKM hesabı için ödenen teşvik primi veya bonusu.
   Faiz/kâr payı niteliğinde değil — sözleşmede ayrıca tanımlanmış ödeme türü.
③ ENDEKSLİ KKM KAZANCI: TÜFE, döviz veya başka bir endekse bağlı getirinin faiz dışı kısmı.
④ DİĞER ÖZEL KKM GETİRİSİ: Yukarıdakiler dışında, 371/372/373 kapsamına girmediği açık
   olan her türlü KKM kaynaklı vade sonu kazancı.
BEYANNAME: 374 | Kazancın Bulunması Halinde İndirilecek</t>
  </si>
  <si>
    <t>KVK Geçici Md.14/1-b | GİB KV Beyan Reh. 2026 (No:606)</t>
  </si>
  <si>
    <t>N2</t>
  </si>
  <si>
    <t>★ 374 ve 371/372/373 Arasındaki Sınır — Mükerrerlik Önleme</t>
  </si>
  <si>
    <t>374 KAPSAM SINIRI — KRİTİK:
374 = 'DİĞER' kategorisi. Dolayısıyla önce şu üç soru yanıtlanmalı:
① Bu kazanç 371 (kur farkı tazminat) midir? → Hayırsa devam.
② Bu kazanç 372 (dönem sonu faiz/kâr payı tahakkuku) mudur? → Hayırsa devam.
③ Bu kazanç 373 (vade sonu faiz/kâr payı) midir? → Hayırsa 374.
ALTIN KKM ÖRNEK AYRIŞIMI:
Toplam Vade Getirisi: 50.000 TL
• Faiz/kâr payı: 20.000 TL → Beyanname 373
• Altın fiyat farkı getirisi: 30.000 TL → Beyanname 374
YANLIŞ: 50.000 TL'nin tamamını 373 veya tamamını 374 yazmak.
DOĞRU: 20.000 TL → 373 | 30.000 TL → 374 (toplam = banka bildirim tutarı)
YMM: C tablosu Sütun 6 (mükerrerlik analizi) kritik kontroldür.</t>
  </si>
  <si>
    <t>KVK Geçici Md.14/1-b | 1 Seri No.lu KVK GT</t>
  </si>
  <si>
    <t>N3</t>
  </si>
  <si>
    <t>★★ YİAKV ile İlişki — 370+371+372+373+374 Tamamı DÜŞÜLEMEZ</t>
  </si>
  <si>
    <t>YİAKV (KVK Md.32/C) MATRAHINDA:
• 370 → DÜŞÜLEMEZ | • 371 → DÜŞÜLEMEZ | • 372 → DÜŞÜLEMEZ
• 373 → DÜŞÜLEMEZ | • 374 → DÜŞÜLEMEZ
YİAKV çalışma kâğıdı E.7 satırı (GÜNCELLENMESİ GEREKİR):
'KKM Kur Farkı Değerleme + Tazminat + Dönem Sonu + Vade + Vade Diğer Kazançları
(KVK Geçici Md.14) → YİAKV'de DÜŞÜLEMEZ ✗ | Beyanname 370/371/372/373/374'
YMM, beş kodun tamamının asgari vergi matrahında kaldığını teyit etmelidir.
374'ün 'diğer' niteliği taşıması YİAKV muamelesini değiştirmez.</t>
  </si>
  <si>
    <t>KVK Md.32/C | YİAKV Reh. (No:607) | GİB KV Beyan Reh. (No:606)</t>
  </si>
  <si>
    <t>N4</t>
  </si>
  <si>
    <t>Altın KKM — Hesaplama Yöntemi ve TCMB Fiyat Tablosu</t>
  </si>
  <si>
    <t>ALTIN KKM VADE KAZANCI HESAPLAMA:
Altın hesabı → TL KKM dönüşümü aşamaları:
370 (Dönüşüm): Altın birim × Dönüşüm günü altın kuru = TL KKM başlangıç
373 (Vade faiz): KKM faiz/kâr payı = TL KKM × Oran × Gün
374 (Vade altın farkı): Vade sonu altın değeri − Dönüşüm bedeli − Faiz/kâr payı
TCMB ALTIN FİYATI: İstanbul Altın Borsası (İAB) veya TCMB resmi altın fiyatı.
Dönüşüm günü fiyatı (370 için) ve vade sonu fiyatı (374 için) ayrı ayrı alınır.
ÖRNEK:
100 gr altın → Dönüşüm Mart 2024 @ 2.000 TL/gr = 200.000 TL KKM
Vade Eylül 2025: Altın 2.800 TL/gr → 100 gr × 2.800 = 280.000 TL
Faiz (373): 20.000 TL | Altın farkı (374): 280.000 − 200.000 − 20.000 = 60.000 TL
Banka bildirimi: Toplam 300.000 TL (faiz 20.000 + altın getirisi 280.000 − maliyet 200.000 = 80.000)
→ 373: 20.000 TL | 374: 60.000 TL</t>
  </si>
  <si>
    <t>TCMB Altın Fiyatı | İAB | KVK Geçici Md.14/1-b</t>
  </si>
  <si>
    <t>N5</t>
  </si>
  <si>
    <t>Tartışmalı Kalemler — Özelge Stratejisi ve YMM Tasdik Standardı</t>
  </si>
  <si>
    <t>ÖZELGE STRATEJİSİ:
374 'diğer' niteliği tartışmaya açık olabilir. Şu durumlarda GİB özelgesi alınması tavsiye edilir:
• Altın KKM kazancının hesaplama yöntemi farklı yorumlanabiliyorsa
• Prim/bonus ödemeleri için bankanın nitelendirmesi farklıysa
• Endeksli KKM ürünlerinde getiri türü belirsizse
YMM TASDIK DİLİ — KULLANIN:
'...31/12/2021 tarihli bilançoda kayıtlı altın hesabının TL kur korumalı mevduat hesabına
dönüştürülmesi sonucunda açılan KKM hesabı [Vade Tarihi] tarihinde vadeye ulaşmış;
vade süresi boyunca oluşan faiz/kâr payı dışındaki [374 Tutar] TL altın fiyat farkı kazancı,
KVK Geçici Madde 14/1-b kapsamında kurumlar vergisinden istisna edilmiş ve yurt içi asgari
kurumlar vergisi matrahından indirilmemiştir.'
KULLANMAYIN:
'...Tüm vade kazancı 374 kapsamındadır.' (Faiz/kâr payı ayrımı yapılmamış)
'...374 tutarı YİAKV matrahından düşülmüştür.' (YANLIŞ)
KRİTİK RİSKLER:
(1) 373 kapsamındaki faiz/kâr payını 374'e yazmak (mükerrerlik değil, yanlış sınıflama).
(2) 374'ü YİAKV matrahından düşmek.
(3) Altın KKM hesaplama yöntemini belgelememek.</t>
  </si>
  <si>
    <t>49 No.lu Tebliğ | KVK Geçici Md.14 | SM-SMMM-YMM K. Md.12</t>
  </si>
  <si>
    <t xml:space="preserve">  GİB KV BEYAN REHBERİ MART 2026 (No:606) KAPANIŞ (374): KVK Geçici Md.14 paketi 370+371+372+373+374 beş kodla tamamlanmıştır. 374 = 'Diğer' kategorisi — Altın KKM, prim/bonus, endeksli getiri ve diğer özel KKM ürün kazançları. YİAKV E.7'de beş satırın tamamı DÜŞÜLEMEZ. Tartışmalı 374 kalemleri için GİB özelgesi tavsiye edilir. YMM müteselsil sorumluluk: SM-SMMM-YMM Kanunu Md.12.</t>
  </si>
  <si>
    <t>374 – KVK GEÇİCİ MD.14/1-b VADE SONU DİĞER KAZANÇLAR | BELGE LİSTESİ | YMM TASDİK</t>
  </si>
  <si>
    <t>GİB KV Beyan Rehberi Mart 2026 (No:606) | Altın KKM | Prim/Bonus | TCMB Altın Fiyatı | 370–373 Çapraz</t>
  </si>
  <si>
    <t>KATEGORİ 1 — ZORUNLU BELGELER</t>
  </si>
  <si>
    <t>No</t>
  </si>
  <si>
    <t>Temin</t>
  </si>
  <si>
    <t>1</t>
  </si>
  <si>
    <t>★ Banka Vade Bildirimi — Kazanç Türü Ayrıştırılmış</t>
  </si>
  <si>
    <t>Vade sonunda bankadan alınan resmi bildiri: Faiz/kâr payı ve diğer kazançlar ayrı satırlarda.
374 kapsamındaki kazancın (altın getirisi / prim / endeks) faiz/kâr payından ayrı gösterildiği teyit edilmeli.</t>
  </si>
  <si>
    <t>Banka şubesi/internet bankacılığı</t>
  </si>
  <si>
    <t>2</t>
  </si>
  <si>
    <t>★ TCMB Altın Fiyat Tablosu (Altın KKM için — Dönüşüm ve Vade Tarihleri)</t>
  </si>
  <si>
    <t>Altın KKM vade kazancı hesabında: Dönüşüm günü altın kuru (370 ile aynı) + Vade sonu altın kuru.
B.1 bölümündeki hesabın dayanağıdır. TCMB resmi fiyatı veya İAB verileri.</t>
  </si>
  <si>
    <t>TCMB/İAB web sitesi</t>
  </si>
  <si>
    <t>3</t>
  </si>
  <si>
    <t>★ 370/371/372/373 Çalışma Kâğıtları — Mükerrerlik Analizi</t>
  </si>
  <si>
    <t>374'ün 371+372+373 dışında kaldığı çapraz kontrol. Aynı kazanç birden fazla satırda gösterilmemeli.
C tablosu Sütun 6 mükerrerlik analizi bu dosyalardan yararlanır.</t>
  </si>
  <si>
    <t>370/371/372/373 çalışma kâğıtları</t>
  </si>
  <si>
    <t>4</t>
  </si>
  <si>
    <t>Prim/Bonus Bildirimi (Prim/Bonus Varsa)</t>
  </si>
  <si>
    <t>Banka tarafından düzenlenen resmi prim/bonus ödeme bildirisi.
Faiz niteliğinde olmadığı (teşvik/prim) banka yazısıyla teyit edilmeli.</t>
  </si>
  <si>
    <t>5</t>
  </si>
  <si>
    <t>KV Beyannamesi Taslağı — 374. Satır</t>
  </si>
  <si>
    <t>'Kazancın Bulunması Halinde' bölümü. ★★ YİAKV matrahından çıkarılmamış.</t>
  </si>
  <si>
    <t>GİB e-Beyanname sistemi</t>
  </si>
  <si>
    <t>KATEGORİ 2 — EK BELGELER</t>
  </si>
  <si>
    <t>6</t>
  </si>
  <si>
    <t>GİB Özelgesi (Tartışmalı 374 Kalemleri İçin)</t>
  </si>
  <si>
    <t>374 niteliği tartışmalı olabilecek kalemler: Altın KKM hesaplama yöntemi, endeksli getiri, özel prim.
GİB özelgesi risk yönetiminin temelidir — özellikle yeni/az emsal kalemler için.</t>
  </si>
  <si>
    <t>GİB özelge başvuru sistemi</t>
  </si>
  <si>
    <t>7</t>
  </si>
  <si>
    <t>Altın KKM Hesap Sözleşmesi</t>
  </si>
  <si>
    <t>Altın KKM ürününün sözleşme koşulları: Vade, getiri mekanizması, faiz/altın getiri ayrımı.</t>
  </si>
  <si>
    <t>Banka altın KKM sözleşmesi</t>
  </si>
  <si>
    <t>8</t>
  </si>
  <si>
    <t>Muhasebe Yevmiyesi — 646/648/679 Vade Kazanç Kaydı</t>
  </si>
  <si>
    <t>374 kapsamındaki kazancın muhasebe yevmiye kaydı. Faiz hesabı (642) ile karışmamalı.</t>
  </si>
  <si>
    <t>Yevmiye defteri</t>
  </si>
  <si>
    <t>KATEGORİ 3 — YMM TASDİK KONTROL SORULARI</t>
  </si>
  <si>
    <t>Beklenen Sonuç</t>
  </si>
  <si>
    <t>YMM Aksiyonu</t>
  </si>
  <si>
    <t>S1</t>
  </si>
  <si>
    <t>370 çapraz teyit.</t>
  </si>
  <si>
    <t>YMM kontrolü</t>
  </si>
  <si>
    <t>S2</t>
  </si>
  <si>
    <t>★ Bu kazanç gerçekten 371/372/373 kapsamına girmiyor mu?</t>
  </si>
  <si>
    <t>'Diğer' niteliği her üç kodun kapsamı karşılaştırılarak teyit edilmeli.</t>
  </si>
  <si>
    <t>S3</t>
  </si>
  <si>
    <t>Aynı tutar birden fazla satırda gösterilmemiş.</t>
  </si>
  <si>
    <t>S4</t>
  </si>
  <si>
    <t>Kazanç türü belgelendi mi? (Banka bildirimi + faiz ayrımı)</t>
  </si>
  <si>
    <t>Her kalem için banka belgesi ve faiz/kâr payı dışı nitelik teyidi.</t>
  </si>
  <si>
    <t>S5</t>
  </si>
  <si>
    <t>Altın KKM varsa B.1.6 hesabı (TCMB fiyatıyla) doğru mu?</t>
  </si>
  <si>
    <t>Dönüşüm ve vade sonu altın fiyatları TCMB/İAB'dan alınmış.</t>
  </si>
  <si>
    <t>S6</t>
  </si>
  <si>
    <t>Tartışmalı kalemler için özelge alındı mı?</t>
  </si>
  <si>
    <t>GİB özelgesi — özellikle altın KKM ve prim kalemleri için.</t>
  </si>
  <si>
    <t>S7</t>
  </si>
  <si>
    <t>370+371+372+373+374 tamamı YİAKV E.7'de DÜŞÜLEMEZ.</t>
  </si>
  <si>
    <t>S8</t>
  </si>
  <si>
    <t>S9</t>
  </si>
  <si>
    <t>370/371/372/373 çalışma kâğıtlarıyla çapraz mutabakat tamam mı?</t>
  </si>
  <si>
    <t>Beş dosya tutarlı.</t>
  </si>
  <si>
    <t>S10</t>
  </si>
  <si>
    <t>SON NOT: GİB KV Beyan Rehberi Mart 2026 (No:606) esas alınmıştır. 374, KVK Geçici Md.14 paketinin beşinci ve son kodudur. 374 = 371+372+373 dışında kalan KKM kaynaklı vade sonu kazançlar (altın, prim, endeks vb.). 370+371+372+373+374 tamamı YİAKV matrahından DÜŞÜLEMEZ (E.7). Tartışmalı kalemler için GİB özelgesi alınması tavsiye edilir.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</si>
</sst>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162"/>
    </font>
    <font>
      <b/>
      <sz val="8"/>
      <color rgb="FF7B5E00"/>
      <name val="Arial"/>
      <family val="2"/>
      <charset val="162"/>
    </font>
    <font>
      <b/>
      <sz val="8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9"/>
      <color rgb="FF1F3864"/>
      <name val="Arial"/>
      <family val="2"/>
      <charset val="162"/>
    </font>
    <font>
      <b/>
      <sz val="10"/>
      <color rgb="FF0000FF"/>
      <name val="Arial"/>
      <family val="2"/>
      <charset val="162"/>
    </font>
    <font>
      <i/>
      <sz val="8"/>
      <color rgb="FF555555"/>
      <name val="Arial"/>
      <family val="2"/>
      <charset val="162"/>
    </font>
    <font>
      <b/>
      <sz val="9"/>
      <color rgb="FFC0392B"/>
      <name val="Arial"/>
      <family val="2"/>
      <charset val="162"/>
    </font>
    <font>
      <i/>
      <sz val="8"/>
      <color rgb="FFC0392B"/>
      <name val="Arial"/>
      <family val="2"/>
      <charset val="162"/>
    </font>
    <font>
      <b/>
      <sz val="10"/>
      <color rgb="FF1B5E20"/>
      <name val="Arial"/>
      <family val="2"/>
      <charset val="162"/>
    </font>
    <font>
      <i/>
      <sz val="8"/>
      <color rgb="FF888888"/>
      <name val="Arial"/>
      <family val="2"/>
      <charset val="162"/>
    </font>
    <font>
      <sz val="9"/>
      <color rgb="FF1F3864"/>
      <name val="Arial"/>
      <family val="2"/>
      <charset val="162"/>
    </font>
    <font>
      <sz val="8"/>
      <color rgb="FF7B3F00"/>
      <name val="Arial"/>
      <family val="2"/>
      <charset val="162"/>
    </font>
    <font>
      <b/>
      <sz val="9"/>
      <color rgb="FF7B3F00"/>
      <name val="Arial"/>
      <family val="2"/>
      <charset val="162"/>
    </font>
    <font>
      <i/>
      <sz val="8"/>
      <color rgb="FF7B3F00"/>
      <name val="Arial"/>
      <family val="2"/>
      <charset val="162"/>
    </font>
    <font>
      <sz val="8"/>
      <color rgb="FF333333"/>
      <name val="Arial"/>
      <family val="2"/>
      <charset val="162"/>
    </font>
    <font>
      <b/>
      <sz val="9"/>
      <color rgb="FF880E4F"/>
      <name val="Arial"/>
      <family val="2"/>
      <charset val="162"/>
    </font>
    <font>
      <b/>
      <sz val="9"/>
      <color rgb="FF1B5E2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i/>
      <sz val="8"/>
      <color rgb="FF880E4F"/>
      <name val="Arial"/>
      <family val="2"/>
      <charset val="162"/>
    </font>
    <font>
      <b/>
      <sz val="13"/>
      <color rgb="FF1B5E20"/>
      <name val="Arial"/>
      <family val="2"/>
      <charset val="162"/>
    </font>
    <font>
      <sz val="8"/>
      <color rgb="FF00574B"/>
      <name val="Arial"/>
      <family val="2"/>
      <charset val="162"/>
    </font>
    <font>
      <sz val="8"/>
      <color rgb="FF004D40"/>
      <name val="Arial"/>
      <family val="2"/>
      <charset val="162"/>
    </font>
    <font>
      <sz val="8"/>
      <color rgb="FF01579B"/>
      <name val="Arial"/>
      <family val="2"/>
      <charset val="162"/>
    </font>
    <font>
      <sz val="8"/>
      <color rgb="FF0D47A1"/>
      <name val="Arial"/>
      <family val="2"/>
      <charset val="162"/>
    </font>
    <font>
      <sz val="8"/>
      <color rgb="FF880E4F"/>
      <name val="Arial"/>
      <family val="2"/>
      <charset val="162"/>
    </font>
    <font>
      <b/>
      <sz val="8"/>
      <color rgb="FFC0392B"/>
      <name val="Arial"/>
      <family val="2"/>
      <charset val="162"/>
    </font>
    <font>
      <b/>
      <sz val="8"/>
      <color rgb="FF1F3864"/>
      <name val="Arial"/>
      <family val="2"/>
      <charset val="162"/>
    </font>
    <font>
      <b/>
      <sz val="14"/>
      <color rgb="FF1B5E20"/>
      <name val="Arial"/>
      <family val="2"/>
      <charset val="162"/>
    </font>
    <font>
      <i/>
      <sz val="8"/>
      <color rgb="FF1B5E2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2"/>
      <color rgb="FF1B5E20"/>
      <name val="Arial"/>
      <family val="2"/>
      <charset val="162"/>
    </font>
    <font>
      <b/>
      <sz val="10"/>
      <color rgb="FFE65100"/>
      <name val="Arial"/>
      <family val="2"/>
      <charset val="162"/>
    </font>
    <font>
      <sz val="8"/>
      <color rgb="FF1F3864"/>
      <name val="Arial"/>
      <family val="2"/>
      <charset val="162"/>
    </font>
    <font>
      <b/>
      <sz val="36"/>
      <color rgb="FFFFFFFF"/>
      <name val="Arial"/>
      <family val="2"/>
      <charset val="162"/>
    </font>
    <font>
      <sz val="8"/>
      <color rgb="FFFFFFFF"/>
      <name val="Arial"/>
      <family val="2"/>
      <charset val="162"/>
    </font>
    <font>
      <i/>
      <sz val="8"/>
      <color rgb="FF444444"/>
      <name val="Arial"/>
      <family val="2"/>
      <charset val="162"/>
    </font>
    <font>
      <b/>
      <sz val="9"/>
      <color rgb="FF7B5E00"/>
      <name val="Arial"/>
      <family val="2"/>
      <charset val="162"/>
    </font>
    <font>
      <b/>
      <sz val="9"/>
      <color rgb="FF1565C0"/>
      <name val="Arial"/>
      <family val="2"/>
      <charset val="162"/>
    </font>
    <font>
      <i/>
      <sz val="8"/>
      <color rgb="FF1565C0"/>
      <name val="Arial"/>
      <family val="2"/>
      <charset val="162"/>
    </font>
  </fonts>
  <fills count="29">
    <fill>
      <patternFill patternType="none"/>
    </fill>
    <fill>
      <patternFill patternType="gray125"/>
    </fill>
    <fill>
      <patternFill patternType="solid">
        <fgColor rgb="FF880E4F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EC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7B3F00"/>
      </patternFill>
    </fill>
    <fill>
      <patternFill patternType="solid">
        <fgColor rgb="FFFFF8E1"/>
      </patternFill>
    </fill>
    <fill>
      <patternFill patternType="solid">
        <fgColor rgb="FFFFF3E0"/>
      </patternFill>
    </fill>
    <fill>
      <patternFill patternType="solid">
        <fgColor rgb="FFE0F7FA"/>
      </patternFill>
    </fill>
    <fill>
      <patternFill patternType="solid">
        <fgColor rgb="FFE8EAF6"/>
      </patternFill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B0B0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880E4F"/>
      </left>
      <right style="thin">
        <color rgb="FF880E4F"/>
      </right>
      <top style="thin">
        <color rgb="FF880E4F"/>
      </top>
      <bottom style="thin">
        <color rgb="FF880E4F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3" borderId="1" xfId="0" applyFill="1" applyBorder="1"/>
    <xf numFmtId="0" fontId="10" fillId="13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/>
    </xf>
    <xf numFmtId="3" fontId="17" fillId="9" borderId="3" xfId="0" applyNumberFormat="1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3" fontId="18" fillId="13" borderId="4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right" vertical="center"/>
    </xf>
    <xf numFmtId="3" fontId="20" fillId="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3" fontId="22" fillId="13" borderId="4" xfId="0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8" fillId="20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 wrapText="1"/>
    </xf>
    <xf numFmtId="3" fontId="30" fillId="13" borderId="4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33" fillId="13" borderId="1" xfId="0" applyNumberFormat="1" applyFont="1" applyFill="1" applyBorder="1" applyAlignment="1">
      <alignment horizontal="right" vertical="center"/>
    </xf>
    <xf numFmtId="0" fontId="34" fillId="16" borderId="1" xfId="0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top" wrapText="1"/>
    </xf>
    <xf numFmtId="0" fontId="16" fillId="22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/>
    </xf>
    <xf numFmtId="0" fontId="5" fillId="9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8" fillId="23" borderId="1" xfId="0" applyFont="1" applyFill="1" applyBorder="1" applyAlignment="1">
      <alignment horizontal="left" vertical="top" wrapText="1"/>
    </xf>
    <xf numFmtId="0" fontId="0" fillId="23" borderId="1" xfId="0" applyFill="1" applyBorder="1"/>
    <xf numFmtId="0" fontId="0" fillId="20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left" vertical="top" wrapText="1"/>
    </xf>
    <xf numFmtId="0" fontId="38" fillId="9" borderId="1" xfId="0" applyFont="1" applyFill="1" applyBorder="1" applyAlignment="1">
      <alignment horizontal="left" vertical="top" wrapText="1"/>
    </xf>
    <xf numFmtId="0" fontId="38" fillId="11" borderId="1" xfId="0" applyFont="1" applyFill="1" applyBorder="1" applyAlignment="1">
      <alignment horizontal="left" vertical="top" wrapText="1"/>
    </xf>
    <xf numFmtId="0" fontId="8" fillId="20" borderId="1" xfId="0" applyFont="1" applyFill="1" applyBorder="1" applyAlignment="1">
      <alignment horizontal="left" vertical="top" wrapText="1"/>
    </xf>
    <xf numFmtId="0" fontId="38" fillId="20" borderId="1" xfId="0" applyFont="1" applyFill="1" applyBorder="1" applyAlignment="1">
      <alignment horizontal="left" vertical="top" wrapText="1"/>
    </xf>
    <xf numFmtId="0" fontId="38" fillId="12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horizontal="left" vertical="top" wrapText="1"/>
    </xf>
    <xf numFmtId="0" fontId="16" fillId="25" borderId="1" xfId="0" applyFont="1" applyFill="1" applyBorder="1" applyAlignment="1">
      <alignment horizontal="left" vertical="top" wrapText="1"/>
    </xf>
    <xf numFmtId="0" fontId="38" fillId="13" borderId="1" xfId="0" applyFont="1" applyFill="1" applyBorder="1" applyAlignment="1">
      <alignment horizontal="left" vertical="top" wrapText="1"/>
    </xf>
    <xf numFmtId="0" fontId="0" fillId="19" borderId="1" xfId="0" applyFill="1" applyBorder="1"/>
    <xf numFmtId="0" fontId="5" fillId="19" borderId="1" xfId="0" applyFont="1" applyFill="1" applyBorder="1" applyAlignment="1">
      <alignment horizontal="center" vertical="top"/>
    </xf>
    <xf numFmtId="0" fontId="5" fillId="19" borderId="1" xfId="0" applyFont="1" applyFill="1" applyBorder="1" applyAlignment="1">
      <alignment horizontal="left" vertical="top" wrapText="1"/>
    </xf>
    <xf numFmtId="0" fontId="16" fillId="26" borderId="1" xfId="0" applyFont="1" applyFill="1" applyBorder="1" applyAlignment="1">
      <alignment horizontal="left" vertical="top" wrapText="1"/>
    </xf>
    <xf numFmtId="0" fontId="38" fillId="19" borderId="1" xfId="0" applyFont="1" applyFill="1" applyBorder="1" applyAlignment="1">
      <alignment horizontal="left" vertical="top" wrapText="1"/>
    </xf>
    <xf numFmtId="0" fontId="1" fillId="27" borderId="2" xfId="0" applyFont="1" applyFill="1" applyBorder="1" applyAlignment="1">
      <alignment horizontal="center" vertical="center"/>
    </xf>
    <xf numFmtId="0" fontId="40" fillId="20" borderId="1" xfId="0" applyFont="1" applyFill="1" applyBorder="1" applyAlignment="1">
      <alignment horizontal="center" vertical="top"/>
    </xf>
    <xf numFmtId="0" fontId="16" fillId="23" borderId="1" xfId="0" applyFont="1" applyFill="1" applyBorder="1" applyAlignment="1">
      <alignment horizontal="left" vertical="top" wrapText="1"/>
    </xf>
    <xf numFmtId="0" fontId="41" fillId="20" borderId="1" xfId="0" applyFont="1" applyFill="1" applyBorder="1" applyAlignment="1">
      <alignment horizontal="center" vertical="top"/>
    </xf>
    <xf numFmtId="0" fontId="40" fillId="19" borderId="1" xfId="0" applyFont="1" applyFill="1" applyBorder="1" applyAlignment="1">
      <alignment horizontal="center" vertical="top"/>
    </xf>
    <xf numFmtId="0" fontId="40" fillId="19" borderId="1" xfId="0" applyFont="1" applyFill="1" applyBorder="1" applyAlignment="1">
      <alignment horizontal="left" vertical="top" wrapText="1"/>
    </xf>
    <xf numFmtId="0" fontId="41" fillId="19" borderId="1" xfId="0" applyFont="1" applyFill="1" applyBorder="1" applyAlignment="1">
      <alignment horizontal="center" vertical="top"/>
    </xf>
    <xf numFmtId="0" fontId="40" fillId="23" borderId="1" xfId="0" applyFont="1" applyFill="1" applyBorder="1" applyAlignment="1">
      <alignment horizontal="center" vertical="top"/>
    </xf>
    <xf numFmtId="0" fontId="16" fillId="28" borderId="1" xfId="0" applyFont="1" applyFill="1" applyBorder="1" applyAlignment="1">
      <alignment horizontal="left" vertical="top" wrapText="1"/>
    </xf>
    <xf numFmtId="0" fontId="41" fillId="23" borderId="1" xfId="0" applyFont="1" applyFill="1" applyBorder="1" applyAlignment="1">
      <alignment horizontal="center" vertical="top"/>
    </xf>
    <xf numFmtId="0" fontId="11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9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21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0" fillId="10" borderId="1" xfId="0" applyFill="1" applyBorder="1"/>
    <xf numFmtId="0" fontId="11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11" fillId="15" borderId="1" xfId="0" applyFont="1" applyFill="1" applyBorder="1" applyAlignment="1">
      <alignment horizontal="left" vertical="center" wrapText="1"/>
    </xf>
    <xf numFmtId="0" fontId="0" fillId="15" borderId="1" xfId="0" applyFill="1" applyBorder="1"/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1" fillId="14" borderId="2" xfId="0" applyFont="1" applyFill="1" applyBorder="1" applyAlignment="1">
      <alignment horizontal="left" vertical="center"/>
    </xf>
    <xf numFmtId="0" fontId="0" fillId="14" borderId="2" xfId="0" applyFill="1" applyBorder="1"/>
    <xf numFmtId="0" fontId="7" fillId="12" borderId="1" xfId="0" applyFont="1" applyFill="1" applyBorder="1" applyAlignment="1">
      <alignment horizontal="left" vertical="center" wrapText="1"/>
    </xf>
    <xf numFmtId="0" fontId="16" fillId="9" borderId="2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5" fillId="15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14" fillId="1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1" fillId="2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3" fillId="15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0" fontId="7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/>
    </xf>
    <xf numFmtId="0" fontId="31" fillId="13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0" fillId="16" borderId="1" xfId="0" applyFill="1" applyBorder="1"/>
    <xf numFmtId="0" fontId="8" fillId="11" borderId="1" xfId="0" applyFont="1" applyFill="1" applyBorder="1" applyAlignment="1">
      <alignment horizontal="left" vertical="top" wrapText="1"/>
    </xf>
    <xf numFmtId="0" fontId="16" fillId="9" borderId="1" xfId="0" applyFont="1" applyFill="1" applyBorder="1" applyAlignment="1">
      <alignment horizontal="left" vertical="top" wrapText="1"/>
    </xf>
    <xf numFmtId="0" fontId="4" fillId="21" borderId="2" xfId="0" applyFont="1" applyFill="1" applyBorder="1" applyAlignment="1">
      <alignment horizontal="left" vertical="center"/>
    </xf>
    <xf numFmtId="0" fontId="0" fillId="21" borderId="2" xfId="0" applyFill="1" applyBorder="1"/>
    <xf numFmtId="0" fontId="8" fillId="23" borderId="1" xfId="0" applyFont="1" applyFill="1" applyBorder="1" applyAlignment="1">
      <alignment horizontal="left" vertical="top" wrapText="1"/>
    </xf>
    <xf numFmtId="0" fontId="0" fillId="23" borderId="1" xfId="0" applyFill="1" applyBorder="1"/>
    <xf numFmtId="0" fontId="16" fillId="20" borderId="1" xfId="0" applyFont="1" applyFill="1" applyBorder="1" applyAlignment="1">
      <alignment horizontal="left" vertical="top" wrapText="1"/>
    </xf>
    <xf numFmtId="0" fontId="0" fillId="20" borderId="1" xfId="0" applyFill="1" applyBorder="1"/>
    <xf numFmtId="0" fontId="5" fillId="1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16" fillId="22" borderId="1" xfId="0" applyFont="1" applyFill="1" applyBorder="1" applyAlignment="1">
      <alignment horizontal="left" vertical="top" wrapText="1"/>
    </xf>
    <xf numFmtId="0" fontId="0" fillId="22" borderId="1" xfId="0" applyFill="1" applyBorder="1"/>
    <xf numFmtId="0" fontId="5" fillId="16" borderId="1" xfId="0" applyFont="1" applyFill="1" applyBorder="1" applyAlignment="1">
      <alignment horizontal="left" vertical="center"/>
    </xf>
    <xf numFmtId="0" fontId="32" fillId="2" borderId="2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16" fillId="12" borderId="1" xfId="0" applyFont="1" applyFill="1" applyBorder="1" applyAlignment="1">
      <alignment horizontal="left" vertical="top" wrapText="1"/>
    </xf>
    <xf numFmtId="0" fontId="36" fillId="2" borderId="2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/>
    </xf>
    <xf numFmtId="0" fontId="37" fillId="3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35" fillId="9" borderId="1" xfId="0" applyFont="1" applyFill="1" applyBorder="1" applyAlignment="1">
      <alignment horizontal="left" vertical="center" wrapText="1"/>
    </xf>
    <xf numFmtId="0" fontId="16" fillId="16" borderId="2" xfId="0" applyFont="1" applyFill="1" applyBorder="1" applyAlignment="1">
      <alignment horizontal="left" vertical="center" wrapText="1"/>
    </xf>
    <xf numFmtId="0" fontId="0" fillId="16" borderId="2" xfId="0" applyFill="1" applyBorder="1"/>
    <xf numFmtId="0" fontId="39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9" fillId="2" borderId="2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5" xfId="0" applyFill="1" applyBorder="1"/>
    <xf numFmtId="0" fontId="4" fillId="2" borderId="5" xfId="0" applyFont="1" applyFill="1" applyBorder="1" applyAlignment="1">
      <alignment horizontal="left" vertical="center"/>
    </xf>
    <xf numFmtId="0" fontId="0" fillId="2" borderId="5" xfId="0" applyFill="1" applyBorder="1"/>
    <xf numFmtId="0" fontId="4" fillId="27" borderId="5" xfId="0" applyFont="1" applyFill="1" applyBorder="1" applyAlignment="1">
      <alignment horizontal="left" vertical="center"/>
    </xf>
    <xf numFmtId="0" fontId="0" fillId="27" borderId="5" xfId="0" applyFill="1" applyBorder="1"/>
    <xf numFmtId="0" fontId="4" fillId="8" borderId="5" xfId="0" applyFont="1" applyFill="1" applyBorder="1" applyAlignment="1">
      <alignment horizontal="left" vertical="center"/>
    </xf>
    <xf numFmtId="0" fontId="0" fillId="8" borderId="5" xfId="0" applyFill="1" applyBorder="1"/>
    <xf numFmtId="0" fontId="4" fillId="21" borderId="5" xfId="0" applyFont="1" applyFill="1" applyBorder="1" applyAlignment="1">
      <alignment horizontal="left" vertical="center"/>
    </xf>
    <xf numFmtId="0" fontId="0" fillId="21" borderId="5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D18A13-A702-4C4C-98F5-A5521C479A4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be8889b-b58b-4201-b4c2-7f0d80ab85d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topLeftCell="A10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3" width="16" customWidth="1"/>
    <col min="4" max="4" width="18" customWidth="1"/>
    <col min="5" max="5" width="16" customWidth="1"/>
    <col min="6" max="6" width="14" customWidth="1"/>
    <col min="7" max="7" width="24" customWidth="1"/>
  </cols>
  <sheetData>
    <row r="1" spans="1:7" ht="52" customHeight="1" x14ac:dyDescent="0.55000000000000004">
      <c r="A1" s="103" t="s">
        <v>0</v>
      </c>
      <c r="B1" s="104"/>
      <c r="C1" s="104"/>
      <c r="D1" s="104"/>
      <c r="E1" s="104"/>
      <c r="F1" s="104"/>
      <c r="G1" s="104"/>
    </row>
    <row r="2" spans="1:7" ht="22" customHeight="1" x14ac:dyDescent="0.55000000000000004">
      <c r="A2" s="113" t="s">
        <v>1</v>
      </c>
      <c r="B2" s="114"/>
      <c r="C2" s="114"/>
      <c r="D2" s="114"/>
      <c r="E2" s="114"/>
      <c r="F2" s="114"/>
      <c r="G2" s="114"/>
    </row>
    <row r="3" spans="1:7" ht="48" customHeight="1" x14ac:dyDescent="0.55000000000000004">
      <c r="A3" s="105" t="s">
        <v>2</v>
      </c>
      <c r="B3" s="106"/>
      <c r="C3" s="106"/>
      <c r="D3" s="106"/>
      <c r="E3" s="106"/>
      <c r="F3" s="106"/>
      <c r="G3" s="106"/>
    </row>
    <row r="4" spans="1:7" ht="22" customHeight="1" x14ac:dyDescent="0.55000000000000004">
      <c r="A4" s="108" t="s">
        <v>3</v>
      </c>
      <c r="B4" s="109"/>
      <c r="C4" s="109"/>
      <c r="D4" s="109"/>
      <c r="E4" s="109"/>
      <c r="F4" s="109"/>
      <c r="G4" s="109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111" t="s">
        <v>4</v>
      </c>
      <c r="B6" s="112"/>
      <c r="C6" s="112"/>
      <c r="D6" s="112"/>
      <c r="E6" s="112"/>
      <c r="F6" s="112"/>
      <c r="G6" s="112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98" t="s">
        <v>8</v>
      </c>
      <c r="B8" s="74"/>
      <c r="C8" s="74"/>
      <c r="D8" s="74"/>
      <c r="E8" s="4" t="s">
        <v>9</v>
      </c>
      <c r="F8" s="100" t="s">
        <v>10</v>
      </c>
      <c r="G8" s="74"/>
    </row>
    <row r="9" spans="1:7" ht="28" customHeight="1" x14ac:dyDescent="0.55000000000000004">
      <c r="A9" s="88" t="s">
        <v>11</v>
      </c>
      <c r="B9" s="89"/>
      <c r="C9" s="89"/>
      <c r="D9" s="89"/>
      <c r="E9" s="4" t="s">
        <v>9</v>
      </c>
      <c r="F9" s="97" t="s">
        <v>12</v>
      </c>
      <c r="G9" s="89"/>
    </row>
    <row r="10" spans="1:7" ht="28" customHeight="1" x14ac:dyDescent="0.55000000000000004">
      <c r="A10" s="98" t="s">
        <v>13</v>
      </c>
      <c r="B10" s="74"/>
      <c r="C10" s="74"/>
      <c r="D10" s="74"/>
      <c r="E10" s="4" t="s">
        <v>14</v>
      </c>
      <c r="F10" s="100" t="s">
        <v>15</v>
      </c>
      <c r="G10" s="74"/>
    </row>
    <row r="11" spans="1:7" ht="28" customHeight="1" x14ac:dyDescent="0.55000000000000004">
      <c r="A11" s="94" t="s">
        <v>16</v>
      </c>
      <c r="B11" s="83"/>
      <c r="C11" s="83"/>
      <c r="D11" s="83"/>
      <c r="E11" s="4" t="s">
        <v>9</v>
      </c>
      <c r="F11" s="92" t="s">
        <v>17</v>
      </c>
      <c r="G11" s="83"/>
    </row>
    <row r="12" spans="1:7" ht="28" customHeight="1" x14ac:dyDescent="0.55000000000000004">
      <c r="A12" s="98" t="s">
        <v>18</v>
      </c>
      <c r="B12" s="74"/>
      <c r="C12" s="74"/>
      <c r="D12" s="74"/>
      <c r="E12" s="4" t="s">
        <v>9</v>
      </c>
      <c r="F12" s="100" t="s">
        <v>19</v>
      </c>
      <c r="G12" s="74"/>
    </row>
    <row r="13" spans="1:7" ht="28" customHeight="1" x14ac:dyDescent="0.55000000000000004">
      <c r="A13" s="88" t="s">
        <v>20</v>
      </c>
      <c r="B13" s="89"/>
      <c r="C13" s="89"/>
      <c r="D13" s="89"/>
      <c r="E13" s="4" t="s">
        <v>9</v>
      </c>
      <c r="F13" s="97" t="s">
        <v>21</v>
      </c>
      <c r="G13" s="89"/>
    </row>
    <row r="14" spans="1:7" ht="28" customHeight="1" x14ac:dyDescent="0.55000000000000004">
      <c r="A14" s="98" t="s">
        <v>22</v>
      </c>
      <c r="B14" s="74"/>
      <c r="C14" s="74"/>
      <c r="D14" s="74"/>
      <c r="E14" s="4" t="s">
        <v>9</v>
      </c>
      <c r="F14" s="100" t="s">
        <v>23</v>
      </c>
      <c r="G14" s="74"/>
    </row>
    <row r="15" spans="1:7" ht="28" customHeight="1" x14ac:dyDescent="0.55000000000000004">
      <c r="A15" s="94" t="s">
        <v>24</v>
      </c>
      <c r="B15" s="83"/>
      <c r="C15" s="83"/>
      <c r="D15" s="83"/>
      <c r="E15" s="4" t="s">
        <v>9</v>
      </c>
      <c r="F15" s="92" t="s">
        <v>25</v>
      </c>
      <c r="G15" s="83"/>
    </row>
    <row r="16" spans="1:7" ht="24" customHeight="1" x14ac:dyDescent="0.55000000000000004">
      <c r="A16" s="96" t="s">
        <v>26</v>
      </c>
      <c r="B16" s="76"/>
      <c r="C16" s="76"/>
      <c r="D16" s="76"/>
      <c r="E16" s="7" t="str">
        <f>IF(AND(E8="EVET",E9="EVET",E11="EVET",E13="EVET"),"OK - Hesaplanabilir","HATA - Ön koşul eksik")</f>
        <v>OK - Hesaplanabilir</v>
      </c>
      <c r="F16" s="75" t="s">
        <v>27</v>
      </c>
      <c r="G16" s="76"/>
    </row>
    <row r="17" spans="1:7" ht="5.05" customHeight="1" x14ac:dyDescent="0.55000000000000004">
      <c r="A17" s="1"/>
      <c r="B17" s="1"/>
      <c r="C17" s="1"/>
      <c r="D17" s="1"/>
      <c r="E17" s="1"/>
      <c r="F17" s="1"/>
      <c r="G17" s="1"/>
    </row>
    <row r="18" spans="1:7" ht="22" customHeight="1" x14ac:dyDescent="0.55000000000000004">
      <c r="A18" s="79" t="s">
        <v>28</v>
      </c>
      <c r="B18" s="80"/>
      <c r="C18" s="80"/>
      <c r="D18" s="80"/>
      <c r="E18" s="80"/>
      <c r="F18" s="80"/>
      <c r="G18" s="80"/>
    </row>
    <row r="19" spans="1:7" ht="22" customHeight="1" x14ac:dyDescent="0.55000000000000004">
      <c r="A19" s="94" t="s">
        <v>29</v>
      </c>
      <c r="B19" s="83"/>
      <c r="C19" s="81"/>
      <c r="D19" s="81"/>
      <c r="E19" s="81"/>
      <c r="F19" s="8" t="s">
        <v>30</v>
      </c>
      <c r="G19" s="5"/>
    </row>
    <row r="20" spans="1:7" ht="22" customHeight="1" x14ac:dyDescent="0.55000000000000004">
      <c r="A20" s="98" t="s">
        <v>31</v>
      </c>
      <c r="B20" s="74"/>
      <c r="C20" s="81"/>
      <c r="D20" s="81"/>
      <c r="E20" s="81"/>
      <c r="F20" s="9" t="s">
        <v>32</v>
      </c>
      <c r="G20" s="3"/>
    </row>
    <row r="21" spans="1:7" ht="22" customHeight="1" x14ac:dyDescent="0.55000000000000004">
      <c r="A21" s="94" t="s">
        <v>33</v>
      </c>
      <c r="B21" s="83"/>
      <c r="C21" s="81"/>
      <c r="D21" s="81"/>
      <c r="E21" s="81"/>
      <c r="F21" s="8" t="s">
        <v>34</v>
      </c>
      <c r="G21" s="5"/>
    </row>
    <row r="22" spans="1:7" ht="22" customHeight="1" x14ac:dyDescent="0.55000000000000004">
      <c r="A22" s="98" t="s">
        <v>35</v>
      </c>
      <c r="B22" s="74"/>
      <c r="C22" s="81"/>
      <c r="D22" s="81"/>
      <c r="E22" s="81"/>
      <c r="F22" s="9" t="s">
        <v>36</v>
      </c>
      <c r="G22" s="3"/>
    </row>
    <row r="23" spans="1:7" ht="22" customHeight="1" x14ac:dyDescent="0.55000000000000004">
      <c r="A23" s="94" t="s">
        <v>37</v>
      </c>
      <c r="B23" s="83"/>
      <c r="C23" s="81"/>
      <c r="D23" s="81"/>
      <c r="E23" s="81"/>
      <c r="F23" s="8" t="s">
        <v>38</v>
      </c>
      <c r="G23" s="5"/>
    </row>
    <row r="24" spans="1:7" ht="22" customHeight="1" x14ac:dyDescent="0.55000000000000004">
      <c r="A24" s="98" t="s">
        <v>39</v>
      </c>
      <c r="B24" s="74"/>
      <c r="C24" s="81"/>
      <c r="D24" s="81"/>
      <c r="E24" s="81"/>
      <c r="F24" s="9" t="s">
        <v>40</v>
      </c>
      <c r="G24" s="3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24" customHeight="1" x14ac:dyDescent="0.55000000000000004">
      <c r="A26" s="79" t="s">
        <v>41</v>
      </c>
      <c r="B26" s="80"/>
      <c r="C26" s="80"/>
      <c r="D26" s="80"/>
      <c r="E26" s="80"/>
      <c r="F26" s="80"/>
      <c r="G26" s="80"/>
    </row>
    <row r="27" spans="1:7" ht="24" customHeight="1" x14ac:dyDescent="0.55000000000000004">
      <c r="A27" s="120" t="s">
        <v>42</v>
      </c>
      <c r="B27" s="74"/>
      <c r="C27" s="74"/>
      <c r="D27" s="74"/>
      <c r="E27" s="74"/>
      <c r="F27" s="74"/>
      <c r="G27" s="74"/>
    </row>
    <row r="28" spans="1:7" ht="20.05" customHeight="1" x14ac:dyDescent="0.55000000000000004">
      <c r="A28" s="90" t="s">
        <v>43</v>
      </c>
      <c r="B28" s="91"/>
      <c r="C28" s="91"/>
      <c r="D28" s="91"/>
      <c r="E28" s="91"/>
      <c r="F28" s="91"/>
      <c r="G28" s="91"/>
    </row>
    <row r="29" spans="1:7" ht="44.05" customHeight="1" x14ac:dyDescent="0.55000000000000004">
      <c r="A29" s="115" t="s">
        <v>44</v>
      </c>
      <c r="B29" s="116"/>
      <c r="C29" s="116"/>
      <c r="D29" s="116"/>
      <c r="E29" s="116"/>
      <c r="F29" s="116"/>
      <c r="G29" s="116"/>
    </row>
    <row r="30" spans="1:7" ht="18" customHeight="1" x14ac:dyDescent="0.55000000000000004">
      <c r="A30" s="2"/>
      <c r="B30" s="2" t="s">
        <v>45</v>
      </c>
      <c r="C30" s="2"/>
      <c r="D30" s="2" t="s">
        <v>46</v>
      </c>
      <c r="E30" s="2"/>
      <c r="F30" s="2" t="s">
        <v>47</v>
      </c>
      <c r="G30" s="2" t="s">
        <v>48</v>
      </c>
    </row>
    <row r="31" spans="1:7" ht="24" customHeight="1" x14ac:dyDescent="0.55000000000000004">
      <c r="A31" s="95" t="s">
        <v>49</v>
      </c>
      <c r="B31" s="83"/>
      <c r="C31" s="10"/>
      <c r="D31" s="82" t="s">
        <v>50</v>
      </c>
      <c r="E31" s="83"/>
      <c r="F31" s="102" t="s">
        <v>51</v>
      </c>
      <c r="G31" s="83"/>
    </row>
    <row r="32" spans="1:7" ht="24" customHeight="1" x14ac:dyDescent="0.55000000000000004">
      <c r="A32" s="107" t="s">
        <v>52</v>
      </c>
      <c r="B32" s="85"/>
      <c r="C32" s="10"/>
      <c r="D32" s="84" t="s">
        <v>53</v>
      </c>
      <c r="E32" s="85"/>
      <c r="F32" s="101" t="s">
        <v>54</v>
      </c>
      <c r="G32" s="85"/>
    </row>
    <row r="33" spans="1:7" ht="24" customHeight="1" x14ac:dyDescent="0.55000000000000004">
      <c r="A33" s="95" t="s">
        <v>55</v>
      </c>
      <c r="B33" s="83"/>
      <c r="C33" s="10"/>
      <c r="D33" s="82" t="s">
        <v>56</v>
      </c>
      <c r="E33" s="83"/>
      <c r="F33" s="102" t="s">
        <v>51</v>
      </c>
      <c r="G33" s="83"/>
    </row>
    <row r="34" spans="1:7" ht="24" customHeight="1" x14ac:dyDescent="0.55000000000000004">
      <c r="A34" s="107" t="s">
        <v>57</v>
      </c>
      <c r="B34" s="85"/>
      <c r="C34" s="10"/>
      <c r="D34" s="84" t="s">
        <v>58</v>
      </c>
      <c r="E34" s="85"/>
      <c r="F34" s="101" t="s">
        <v>59</v>
      </c>
      <c r="G34" s="85"/>
    </row>
    <row r="35" spans="1:7" ht="24" customHeight="1" x14ac:dyDescent="0.55000000000000004">
      <c r="A35" s="95" t="s">
        <v>60</v>
      </c>
      <c r="B35" s="83"/>
      <c r="C35" s="10"/>
      <c r="D35" s="82" t="s">
        <v>61</v>
      </c>
      <c r="E35" s="83"/>
      <c r="F35" s="102" t="s">
        <v>62</v>
      </c>
      <c r="G35" s="83"/>
    </row>
    <row r="36" spans="1:7" ht="24" customHeight="1" x14ac:dyDescent="0.55000000000000004">
      <c r="A36" s="107" t="s">
        <v>63</v>
      </c>
      <c r="B36" s="85"/>
      <c r="C36" s="10"/>
      <c r="D36" s="84" t="s">
        <v>64</v>
      </c>
      <c r="E36" s="85"/>
      <c r="F36" s="101" t="s">
        <v>65</v>
      </c>
      <c r="G36" s="85"/>
    </row>
    <row r="37" spans="1:7" ht="5.05" customHeight="1" x14ac:dyDescent="0.55000000000000004">
      <c r="A37" s="1"/>
      <c r="B37" s="1"/>
      <c r="C37" s="1"/>
      <c r="D37" s="1"/>
      <c r="E37" s="1"/>
      <c r="F37" s="1"/>
      <c r="G37" s="1"/>
    </row>
    <row r="38" spans="1:7" ht="20.05" customHeight="1" x14ac:dyDescent="0.55000000000000004">
      <c r="A38" s="110" t="s">
        <v>66</v>
      </c>
      <c r="B38" s="80"/>
      <c r="C38" s="80"/>
      <c r="D38" s="80"/>
      <c r="E38" s="80"/>
      <c r="F38" s="80"/>
      <c r="G38" s="80"/>
    </row>
    <row r="39" spans="1:7" ht="52" customHeight="1" x14ac:dyDescent="0.55000000000000004">
      <c r="A39" s="93" t="s">
        <v>67</v>
      </c>
      <c r="B39" s="78"/>
      <c r="C39" s="78"/>
      <c r="D39" s="78"/>
      <c r="E39" s="78"/>
      <c r="F39" s="78"/>
      <c r="G39" s="78"/>
    </row>
    <row r="40" spans="1:7" ht="5.05" customHeight="1" x14ac:dyDescent="0.55000000000000004">
      <c r="A40" s="1"/>
      <c r="B40" s="1"/>
      <c r="C40" s="1"/>
      <c r="D40" s="1"/>
      <c r="E40" s="1"/>
      <c r="F40" s="1"/>
      <c r="G40" s="1"/>
    </row>
    <row r="41" spans="1:7" ht="24" customHeight="1" x14ac:dyDescent="0.55000000000000004">
      <c r="A41" s="79" t="s">
        <v>68</v>
      </c>
      <c r="B41" s="80"/>
      <c r="C41" s="80"/>
      <c r="D41" s="80"/>
      <c r="E41" s="80"/>
      <c r="F41" s="80"/>
      <c r="G41" s="80"/>
    </row>
    <row r="42" spans="1:7" ht="24" customHeight="1" x14ac:dyDescent="0.55000000000000004">
      <c r="A42" s="120" t="s">
        <v>69</v>
      </c>
      <c r="B42" s="74"/>
      <c r="C42" s="74"/>
      <c r="D42" s="74"/>
      <c r="E42" s="74"/>
      <c r="F42" s="74"/>
      <c r="G42" s="74"/>
    </row>
    <row r="43" spans="1:7" ht="18" customHeight="1" x14ac:dyDescent="0.55000000000000004">
      <c r="A43" s="11" t="s">
        <v>70</v>
      </c>
      <c r="B43" s="11" t="s">
        <v>71</v>
      </c>
      <c r="C43" s="11" t="s">
        <v>72</v>
      </c>
      <c r="D43" s="11" t="s">
        <v>73</v>
      </c>
      <c r="E43" s="11" t="s">
        <v>74</v>
      </c>
      <c r="F43" s="11" t="s">
        <v>75</v>
      </c>
      <c r="G43" s="11" t="s">
        <v>76</v>
      </c>
    </row>
    <row r="44" spans="1:7" ht="26.05" customHeight="1" x14ac:dyDescent="0.55000000000000004">
      <c r="A44" s="12"/>
      <c r="B44" s="12"/>
      <c r="C44" s="12"/>
      <c r="D44" s="10"/>
      <c r="E44" s="13"/>
      <c r="F44" s="14" t="s">
        <v>77</v>
      </c>
      <c r="G44" s="15">
        <f t="shared" ref="G44:G51" si="0">IF(E44&gt;0,IF(F44="Yok",E44,0),0)</f>
        <v>0</v>
      </c>
    </row>
    <row r="45" spans="1:7" ht="26.05" customHeight="1" x14ac:dyDescent="0.55000000000000004">
      <c r="A45" s="12"/>
      <c r="B45" s="12"/>
      <c r="C45" s="12"/>
      <c r="D45" s="10"/>
      <c r="E45" s="13"/>
      <c r="F45" s="14" t="s">
        <v>77</v>
      </c>
      <c r="G45" s="15">
        <f t="shared" si="0"/>
        <v>0</v>
      </c>
    </row>
    <row r="46" spans="1:7" ht="26.05" customHeight="1" x14ac:dyDescent="0.55000000000000004">
      <c r="A46" s="12"/>
      <c r="B46" s="12"/>
      <c r="C46" s="12"/>
      <c r="D46" s="10"/>
      <c r="E46" s="13"/>
      <c r="F46" s="14" t="s">
        <v>77</v>
      </c>
      <c r="G46" s="15">
        <f t="shared" si="0"/>
        <v>0</v>
      </c>
    </row>
    <row r="47" spans="1:7" ht="26.05" customHeight="1" x14ac:dyDescent="0.55000000000000004">
      <c r="A47" s="12"/>
      <c r="B47" s="12"/>
      <c r="C47" s="12"/>
      <c r="D47" s="10"/>
      <c r="E47" s="13"/>
      <c r="F47" s="14" t="s">
        <v>77</v>
      </c>
      <c r="G47" s="15">
        <f t="shared" si="0"/>
        <v>0</v>
      </c>
    </row>
    <row r="48" spans="1:7" ht="26.05" customHeight="1" x14ac:dyDescent="0.55000000000000004">
      <c r="A48" s="12"/>
      <c r="B48" s="12"/>
      <c r="C48" s="12"/>
      <c r="D48" s="10"/>
      <c r="E48" s="13"/>
      <c r="F48" s="14" t="s">
        <v>77</v>
      </c>
      <c r="G48" s="15">
        <f t="shared" si="0"/>
        <v>0</v>
      </c>
    </row>
    <row r="49" spans="1:8" ht="26.05" customHeight="1" x14ac:dyDescent="0.55000000000000004">
      <c r="A49" s="12"/>
      <c r="B49" s="12"/>
      <c r="C49" s="12"/>
      <c r="D49" s="10"/>
      <c r="E49" s="13"/>
      <c r="F49" s="14" t="s">
        <v>77</v>
      </c>
      <c r="G49" s="15">
        <f t="shared" si="0"/>
        <v>0</v>
      </c>
    </row>
    <row r="50" spans="1:8" ht="26.05" customHeight="1" x14ac:dyDescent="0.55000000000000004">
      <c r="A50" s="12"/>
      <c r="B50" s="12"/>
      <c r="C50" s="12"/>
      <c r="D50" s="10"/>
      <c r="E50" s="13"/>
      <c r="F50" s="14" t="s">
        <v>77</v>
      </c>
      <c r="G50" s="15">
        <f t="shared" si="0"/>
        <v>0</v>
      </c>
    </row>
    <row r="51" spans="1:8" ht="26.05" customHeight="1" x14ac:dyDescent="0.55000000000000004">
      <c r="A51" s="12"/>
      <c r="B51" s="12"/>
      <c r="C51" s="12"/>
      <c r="D51" s="10"/>
      <c r="E51" s="13"/>
      <c r="F51" s="14" t="s">
        <v>77</v>
      </c>
      <c r="G51" s="15">
        <f t="shared" si="0"/>
        <v>0</v>
      </c>
    </row>
    <row r="52" spans="1:8" ht="30" customHeight="1" x14ac:dyDescent="0.55000000000000004">
      <c r="A52" s="16" t="s">
        <v>78</v>
      </c>
      <c r="B52" s="103" t="s">
        <v>79</v>
      </c>
      <c r="C52" s="104"/>
      <c r="D52" s="104"/>
      <c r="E52" s="17">
        <f>SUM(E44:E51)</f>
        <v>0</v>
      </c>
      <c r="F52" s="16" t="s">
        <v>80</v>
      </c>
      <c r="G52" s="18">
        <f>SUM(G44:G51)</f>
        <v>0</v>
      </c>
    </row>
    <row r="53" spans="1:8" ht="36" customHeight="1" x14ac:dyDescent="0.55000000000000004">
      <c r="A53" s="77" t="s">
        <v>81</v>
      </c>
      <c r="B53" s="78"/>
      <c r="C53" s="78"/>
      <c r="D53" s="78"/>
      <c r="E53" s="78"/>
      <c r="F53" s="78"/>
      <c r="G53" s="78"/>
    </row>
    <row r="54" spans="1:8" ht="5.05" customHeight="1" x14ac:dyDescent="0.55000000000000004">
      <c r="A54" s="1"/>
      <c r="B54" s="1"/>
      <c r="C54" s="1"/>
      <c r="D54" s="1"/>
      <c r="E54" s="1"/>
      <c r="F54" s="1"/>
      <c r="G54" s="1"/>
    </row>
    <row r="55" spans="1:8" ht="24" customHeight="1" x14ac:dyDescent="0.55000000000000004">
      <c r="A55" s="79" t="s">
        <v>82</v>
      </c>
      <c r="B55" s="80"/>
      <c r="C55" s="80"/>
      <c r="D55" s="80"/>
      <c r="E55" s="80"/>
      <c r="F55" s="80"/>
      <c r="G55" s="80"/>
    </row>
    <row r="56" spans="1:8" ht="18" customHeight="1" x14ac:dyDescent="0.55000000000000004">
      <c r="A56" s="2"/>
      <c r="B56" s="2" t="s">
        <v>83</v>
      </c>
      <c r="C56" s="2"/>
      <c r="D56" s="2" t="s">
        <v>84</v>
      </c>
      <c r="E56" s="2"/>
      <c r="F56" s="2" t="s">
        <v>47</v>
      </c>
      <c r="G56" s="2" t="s">
        <v>85</v>
      </c>
    </row>
    <row r="57" spans="1:8" ht="28" customHeight="1" x14ac:dyDescent="0.55000000000000004">
      <c r="A57" s="94" t="s">
        <v>86</v>
      </c>
      <c r="B57" s="83"/>
      <c r="C57" s="19">
        <f>E52</f>
        <v>0</v>
      </c>
      <c r="D57" s="82" t="s">
        <v>87</v>
      </c>
      <c r="E57" s="83"/>
      <c r="F57" s="92"/>
      <c r="G57" s="83"/>
    </row>
    <row r="58" spans="1:8" ht="28" customHeight="1" x14ac:dyDescent="0.55000000000000004">
      <c r="A58" s="98" t="s">
        <v>88</v>
      </c>
      <c r="B58" s="74"/>
      <c r="C58" s="19">
        <f>E52-G52</f>
        <v>0</v>
      </c>
      <c r="D58" s="73" t="s">
        <v>89</v>
      </c>
      <c r="E58" s="74"/>
      <c r="F58" s="100"/>
      <c r="G58" s="74"/>
    </row>
    <row r="59" spans="1:8" ht="28" customHeight="1" x14ac:dyDescent="0.55000000000000004">
      <c r="A59" s="99" t="s">
        <v>90</v>
      </c>
      <c r="B59" s="76"/>
      <c r="C59" s="20">
        <f>G52</f>
        <v>0</v>
      </c>
      <c r="D59" s="121" t="s">
        <v>91</v>
      </c>
      <c r="E59" s="76"/>
      <c r="F59" s="117" t="s">
        <v>92</v>
      </c>
      <c r="G59" s="76"/>
    </row>
    <row r="60" spans="1:8" ht="28" customHeight="1" x14ac:dyDescent="0.55000000000000004">
      <c r="A60" s="98" t="s">
        <v>93</v>
      </c>
      <c r="B60" s="74"/>
      <c r="C60" s="21"/>
      <c r="D60" s="73" t="s">
        <v>94</v>
      </c>
      <c r="E60" s="74"/>
      <c r="F60" s="100"/>
      <c r="G60" s="74"/>
    </row>
    <row r="61" spans="1:8" ht="5.05" customHeight="1" x14ac:dyDescent="0.55000000000000004">
      <c r="A61" s="1"/>
      <c r="B61" s="1"/>
      <c r="C61" s="1"/>
      <c r="D61" s="1"/>
      <c r="E61" s="1"/>
      <c r="F61" s="1"/>
      <c r="G61" s="1"/>
    </row>
    <row r="62" spans="1:8" ht="22" customHeight="1" x14ac:dyDescent="0.55000000000000004">
      <c r="A62" s="79" t="s">
        <v>95</v>
      </c>
      <c r="B62" s="80"/>
      <c r="C62" s="80"/>
      <c r="D62" s="80"/>
      <c r="E62" s="80"/>
      <c r="F62" s="80"/>
      <c r="G62" s="80"/>
    </row>
    <row r="63" spans="1:8" ht="18" customHeight="1" x14ac:dyDescent="0.55000000000000004">
      <c r="A63" s="2"/>
      <c r="B63" s="2" t="s">
        <v>96</v>
      </c>
      <c r="C63" s="2" t="s">
        <v>97</v>
      </c>
      <c r="D63" s="2" t="s">
        <v>98</v>
      </c>
      <c r="E63" s="2" t="s">
        <v>99</v>
      </c>
      <c r="F63" s="2" t="s">
        <v>100</v>
      </c>
      <c r="G63" s="2" t="s">
        <v>101</v>
      </c>
      <c r="H63" s="2" t="s">
        <v>102</v>
      </c>
    </row>
    <row r="64" spans="1:8" ht="24" customHeight="1" x14ac:dyDescent="0.55000000000000004">
      <c r="A64" s="22" t="s">
        <v>103</v>
      </c>
      <c r="B64" s="3"/>
      <c r="C64" s="23" t="s">
        <v>104</v>
      </c>
      <c r="D64" s="24" t="s">
        <v>105</v>
      </c>
      <c r="E64" s="25" t="s">
        <v>106</v>
      </c>
      <c r="F64" s="26" t="s">
        <v>107</v>
      </c>
      <c r="G64" s="27" t="s">
        <v>108</v>
      </c>
      <c r="H64" s="28" t="s">
        <v>109</v>
      </c>
    </row>
    <row r="65" spans="1:8" ht="24" customHeight="1" x14ac:dyDescent="0.55000000000000004">
      <c r="A65" s="22" t="s">
        <v>110</v>
      </c>
      <c r="B65" s="5"/>
      <c r="C65" s="23" t="s">
        <v>111</v>
      </c>
      <c r="D65" s="24" t="s">
        <v>112</v>
      </c>
      <c r="E65" s="25" t="s">
        <v>113</v>
      </c>
      <c r="F65" s="26" t="s">
        <v>114</v>
      </c>
      <c r="G65" s="27" t="s">
        <v>115</v>
      </c>
      <c r="H65" s="29" t="s">
        <v>116</v>
      </c>
    </row>
    <row r="66" spans="1:8" ht="24" customHeight="1" x14ac:dyDescent="0.55000000000000004">
      <c r="A66" s="22" t="s">
        <v>117</v>
      </c>
      <c r="B66" s="3"/>
      <c r="C66" s="23" t="s">
        <v>80</v>
      </c>
      <c r="D66" s="24" t="s">
        <v>80</v>
      </c>
      <c r="E66" s="25" t="s">
        <v>80</v>
      </c>
      <c r="F66" s="26" t="s">
        <v>118</v>
      </c>
      <c r="G66" s="27" t="s">
        <v>119</v>
      </c>
      <c r="H66" s="28" t="s">
        <v>120</v>
      </c>
    </row>
    <row r="67" spans="1:8" ht="32.049999999999997" customHeight="1" x14ac:dyDescent="0.55000000000000004">
      <c r="A67" s="118" t="s">
        <v>121</v>
      </c>
      <c r="B67" s="76"/>
      <c r="C67" s="76"/>
      <c r="D67" s="76"/>
      <c r="E67" s="30">
        <f>C59</f>
        <v>0</v>
      </c>
      <c r="F67" s="119" t="s">
        <v>122</v>
      </c>
      <c r="G67" s="76"/>
    </row>
    <row r="68" spans="1:8" ht="52" customHeight="1" x14ac:dyDescent="0.55000000000000004">
      <c r="A68" s="86" t="s">
        <v>123</v>
      </c>
      <c r="B68" s="87"/>
      <c r="C68" s="87"/>
      <c r="D68" s="87"/>
      <c r="E68" s="87"/>
      <c r="F68" s="87"/>
      <c r="G68" s="87"/>
    </row>
  </sheetData>
  <mergeCells count="81">
    <mergeCell ref="A67:D67"/>
    <mergeCell ref="D57:E57"/>
    <mergeCell ref="D32:E32"/>
    <mergeCell ref="F32:G32"/>
    <mergeCell ref="F35:G35"/>
    <mergeCell ref="D58:E58"/>
    <mergeCell ref="A41:G41"/>
    <mergeCell ref="F58:G58"/>
    <mergeCell ref="F67:G67"/>
    <mergeCell ref="F60:G60"/>
    <mergeCell ref="B52:D52"/>
    <mergeCell ref="D59:E59"/>
    <mergeCell ref="A42:G42"/>
    <mergeCell ref="A2:G2"/>
    <mergeCell ref="F14:G14"/>
    <mergeCell ref="A14:D14"/>
    <mergeCell ref="F11:G11"/>
    <mergeCell ref="A24:B24"/>
    <mergeCell ref="F12:G12"/>
    <mergeCell ref="C19:E19"/>
    <mergeCell ref="A20:B20"/>
    <mergeCell ref="A9:D9"/>
    <mergeCell ref="F33:G33"/>
    <mergeCell ref="A11:D11"/>
    <mergeCell ref="A1:G1"/>
    <mergeCell ref="F31:G31"/>
    <mergeCell ref="F9:G9"/>
    <mergeCell ref="C24:E24"/>
    <mergeCell ref="A3:G3"/>
    <mergeCell ref="A8:D8"/>
    <mergeCell ref="A4:G4"/>
    <mergeCell ref="A10:D10"/>
    <mergeCell ref="F8:G8"/>
    <mergeCell ref="A21:B21"/>
    <mergeCell ref="A6:G6"/>
    <mergeCell ref="A32:B32"/>
    <mergeCell ref="A23:B23"/>
    <mergeCell ref="F10:G10"/>
    <mergeCell ref="D34:E34"/>
    <mergeCell ref="A58:B58"/>
    <mergeCell ref="C22:E22"/>
    <mergeCell ref="F34:G34"/>
    <mergeCell ref="A55:G55"/>
    <mergeCell ref="A34:B34"/>
    <mergeCell ref="A36:B36"/>
    <mergeCell ref="A38:G38"/>
    <mergeCell ref="F36:G36"/>
    <mergeCell ref="A57:B57"/>
    <mergeCell ref="A18:G18"/>
    <mergeCell ref="A12:D12"/>
    <mergeCell ref="A29:G29"/>
    <mergeCell ref="A27:G27"/>
    <mergeCell ref="A31:B31"/>
    <mergeCell ref="A68:G68"/>
    <mergeCell ref="A13:D13"/>
    <mergeCell ref="A28:G28"/>
    <mergeCell ref="F15:G15"/>
    <mergeCell ref="C23:E23"/>
    <mergeCell ref="A39:G39"/>
    <mergeCell ref="A15:D15"/>
    <mergeCell ref="A33:B33"/>
    <mergeCell ref="A16:D16"/>
    <mergeCell ref="F13:G13"/>
    <mergeCell ref="A22:B22"/>
    <mergeCell ref="A35:B35"/>
    <mergeCell ref="D33:E33"/>
    <mergeCell ref="A19:B19"/>
    <mergeCell ref="A26:G26"/>
    <mergeCell ref="C20:E20"/>
    <mergeCell ref="D60:E60"/>
    <mergeCell ref="F16:G16"/>
    <mergeCell ref="A53:G53"/>
    <mergeCell ref="A62:G62"/>
    <mergeCell ref="C21:E21"/>
    <mergeCell ref="D31:E31"/>
    <mergeCell ref="D36:E36"/>
    <mergeCell ref="F57:G57"/>
    <mergeCell ref="D35:E35"/>
    <mergeCell ref="A59:B59"/>
    <mergeCell ref="A60:B60"/>
    <mergeCell ref="F59:G59"/>
  </mergeCells>
  <conditionalFormatting sqref="E16">
    <cfRule type="containsText" dxfId="3" priority="1" operator="containsText" text="OK">
      <formula>NOT(ISERROR(SEARCH("OK",E16)))</formula>
    </cfRule>
    <cfRule type="containsText" dxfId="2" priority="2" operator="containsText" text="HATA">
      <formula>NOT(ISERROR(SEARCH("HATA",E16)))</formula>
    </cfRule>
  </conditionalFormatting>
  <dataValidations count="10">
    <dataValidation type="list" sqref="E8" xr:uid="{00000000-0002-0000-0000-000000000000}">
      <formula1>"EVET,HAYIR-İstisna Yok"</formula1>
    </dataValidation>
    <dataValidation type="list" sqref="E9" xr:uid="{00000000-0002-0000-0000-000001000000}">
      <formula1>"EVET,HAYIR-Yanlış Kod"</formula1>
    </dataValidation>
    <dataValidation type="list" sqref="E10" xr:uid="{00000000-0002-0000-0000-000002000000}">
      <formula1>"Altın KKM Vade Kazancı,Özel KKM Ürün Getirisi,Prim-Bonus Ödemesi,Endeksli KKM Kazancı,Diğer (Açıklama Zorunlu)"</formula1>
    </dataValidation>
    <dataValidation type="list" sqref="E11" xr:uid="{00000000-0002-0000-0000-000003000000}">
      <formula1>"EVET,HAYIR-Sonraki Yıl"</formula1>
    </dataValidation>
    <dataValidation type="list" sqref="E12" xr:uid="{00000000-0002-0000-0000-000004000000}">
      <formula1>"EVET,HAYIR-Risk"</formula1>
    </dataValidation>
    <dataValidation type="list" sqref="E13" xr:uid="{00000000-0002-0000-0000-000005000000}">
      <formula1>"EVET,HAYIR-KRİTİK HATA"</formula1>
    </dataValidation>
    <dataValidation type="list" sqref="E14" xr:uid="{00000000-0002-0000-0000-000006000000}">
      <formula1>"EVET,HAYIR-Eksik Belge"</formula1>
    </dataValidation>
    <dataValidation type="list" sqref="E15" xr:uid="{00000000-0002-0000-0000-000007000000}">
      <formula1>"EVET,Tam Tasdik"</formula1>
    </dataValidation>
    <dataValidation type="list" sqref="A44:A51" xr:uid="{00000000-0002-0000-0000-000008000000}">
      <formula1>"Altın KKM Vade Kazancı,Özel KKM Prim/Bonus,Endeksli KKM Getirisi,Uzun Vade Ek Getiri,Diğer KKM Kazancı"</formula1>
    </dataValidation>
    <dataValidation type="list" sqref="F44:F51" xr:uid="{00000000-0002-0000-0000-000009000000}">
      <formula1>"Yok,Var-371,Var-372,Var-373,Var-Birden Fazla"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3" width="18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8" ht="36" customHeight="1" x14ac:dyDescent="0.55000000000000004">
      <c r="A1" s="137" t="s">
        <v>124</v>
      </c>
      <c r="B1" s="80"/>
      <c r="C1" s="80"/>
      <c r="D1" s="80"/>
      <c r="E1" s="80"/>
      <c r="F1" s="80"/>
      <c r="G1" s="80"/>
    </row>
    <row r="2" spans="1:8" ht="20.05" customHeight="1" x14ac:dyDescent="0.55000000000000004">
      <c r="A2" s="113" t="s">
        <v>125</v>
      </c>
      <c r="B2" s="114"/>
      <c r="C2" s="114"/>
      <c r="D2" s="114"/>
      <c r="E2" s="114"/>
      <c r="F2" s="114"/>
      <c r="G2" s="114"/>
    </row>
    <row r="3" spans="1:8" ht="5.05" customHeight="1" x14ac:dyDescent="0.55000000000000004">
      <c r="A3" s="1"/>
      <c r="B3" s="1"/>
      <c r="C3" s="1"/>
      <c r="D3" s="1"/>
      <c r="E3" s="1"/>
      <c r="F3" s="1"/>
      <c r="G3" s="1"/>
    </row>
    <row r="4" spans="1:8" ht="22" customHeight="1" x14ac:dyDescent="0.55000000000000004">
      <c r="A4" s="126" t="s">
        <v>126</v>
      </c>
      <c r="B4" s="127"/>
      <c r="C4" s="127"/>
      <c r="D4" s="127"/>
      <c r="E4" s="127"/>
      <c r="F4" s="127"/>
      <c r="G4" s="127"/>
    </row>
    <row r="5" spans="1:8" ht="22" customHeight="1" x14ac:dyDescent="0.55000000000000004">
      <c r="A5" s="132" t="s">
        <v>127</v>
      </c>
      <c r="B5" s="83"/>
      <c r="C5" s="83"/>
      <c r="D5" s="31" t="str">
        <f>'VERİ GİRİŞİ'!E16</f>
        <v>OK - Hesaplanabilir</v>
      </c>
      <c r="E5" s="92" t="s">
        <v>128</v>
      </c>
      <c r="F5" s="83"/>
      <c r="G5" s="83"/>
    </row>
    <row r="6" spans="1:8" ht="22" customHeight="1" x14ac:dyDescent="0.55000000000000004">
      <c r="A6" s="133" t="s">
        <v>129</v>
      </c>
      <c r="B6" s="74"/>
      <c r="C6" s="74"/>
      <c r="D6" s="31" t="str">
        <f>'VERİ GİRİŞİ'!E10</f>
        <v>Altın KKM</v>
      </c>
      <c r="E6" s="100" t="s">
        <v>130</v>
      </c>
      <c r="F6" s="74"/>
      <c r="G6" s="74"/>
    </row>
    <row r="7" spans="1:8" ht="22" customHeight="1" x14ac:dyDescent="0.55000000000000004">
      <c r="A7" s="132" t="s">
        <v>131</v>
      </c>
      <c r="B7" s="83"/>
      <c r="C7" s="83"/>
      <c r="D7" s="31">
        <f>'VERİ GİRİŞİ'!C57</f>
        <v>0</v>
      </c>
      <c r="E7" s="92" t="s">
        <v>132</v>
      </c>
      <c r="F7" s="83"/>
      <c r="G7" s="83"/>
    </row>
    <row r="8" spans="1:8" ht="22" customHeight="1" x14ac:dyDescent="0.55000000000000004">
      <c r="A8" s="133" t="s">
        <v>133</v>
      </c>
      <c r="B8" s="74"/>
      <c r="C8" s="74"/>
      <c r="D8" s="31">
        <f>'VERİ GİRİŞİ'!C58</f>
        <v>0</v>
      </c>
      <c r="E8" s="100" t="s">
        <v>134</v>
      </c>
      <c r="F8" s="74"/>
      <c r="G8" s="74"/>
    </row>
    <row r="9" spans="1:8" ht="22" customHeight="1" x14ac:dyDescent="0.55000000000000004">
      <c r="A9" s="96" t="s">
        <v>135</v>
      </c>
      <c r="B9" s="76"/>
      <c r="C9" s="76"/>
      <c r="D9" s="32">
        <f>'VERİ GİRİŞİ'!C59</f>
        <v>0</v>
      </c>
      <c r="E9" s="117"/>
      <c r="F9" s="76"/>
      <c r="G9" s="76"/>
    </row>
    <row r="10" spans="1:8" ht="22" customHeight="1" x14ac:dyDescent="0.55000000000000004">
      <c r="A10" s="136" t="s">
        <v>136</v>
      </c>
      <c r="B10" s="123"/>
      <c r="C10" s="123"/>
      <c r="D10" s="33" t="s">
        <v>137</v>
      </c>
      <c r="E10" s="122" t="s">
        <v>138</v>
      </c>
      <c r="F10" s="123"/>
      <c r="G10" s="123"/>
    </row>
    <row r="11" spans="1:8" ht="5.05" customHeight="1" x14ac:dyDescent="0.55000000000000004">
      <c r="A11" s="1"/>
      <c r="B11" s="1"/>
      <c r="C11" s="1"/>
      <c r="D11" s="1"/>
      <c r="E11" s="1"/>
      <c r="F11" s="1"/>
      <c r="G11" s="1"/>
    </row>
    <row r="12" spans="1:8" ht="22" customHeight="1" x14ac:dyDescent="0.55000000000000004">
      <c r="A12" s="79" t="s">
        <v>139</v>
      </c>
      <c r="B12" s="80"/>
      <c r="C12" s="80"/>
      <c r="D12" s="80"/>
      <c r="E12" s="80"/>
      <c r="F12" s="80"/>
      <c r="G12" s="80"/>
    </row>
    <row r="13" spans="1:8" ht="18" customHeight="1" x14ac:dyDescent="0.55000000000000004">
      <c r="A13" s="11"/>
      <c r="B13" s="11" t="s">
        <v>140</v>
      </c>
      <c r="C13" s="11" t="s">
        <v>97</v>
      </c>
      <c r="D13" s="11" t="s">
        <v>98</v>
      </c>
      <c r="E13" s="11" t="s">
        <v>99</v>
      </c>
      <c r="F13" s="11" t="s">
        <v>100</v>
      </c>
      <c r="G13" s="11" t="s">
        <v>101</v>
      </c>
      <c r="H13" s="11" t="s">
        <v>141</v>
      </c>
    </row>
    <row r="14" spans="1:8" ht="22" customHeight="1" x14ac:dyDescent="0.55000000000000004">
      <c r="A14" s="22" t="s">
        <v>103</v>
      </c>
      <c r="B14" s="3"/>
      <c r="C14" s="23" t="s">
        <v>104</v>
      </c>
      <c r="D14" s="24" t="s">
        <v>105</v>
      </c>
      <c r="E14" s="25" t="s">
        <v>106</v>
      </c>
      <c r="F14" s="26" t="s">
        <v>107</v>
      </c>
      <c r="G14" s="27" t="s">
        <v>108</v>
      </c>
      <c r="H14" s="34" t="s">
        <v>142</v>
      </c>
    </row>
    <row r="15" spans="1:8" ht="22" customHeight="1" x14ac:dyDescent="0.55000000000000004">
      <c r="A15" s="22" t="s">
        <v>143</v>
      </c>
      <c r="B15" s="5"/>
      <c r="C15" s="23" t="s">
        <v>144</v>
      </c>
      <c r="D15" s="24" t="s">
        <v>145</v>
      </c>
      <c r="E15" s="25" t="s">
        <v>146</v>
      </c>
      <c r="F15" s="26" t="s">
        <v>147</v>
      </c>
      <c r="G15" s="27" t="s">
        <v>147</v>
      </c>
      <c r="H15" s="34" t="s">
        <v>148</v>
      </c>
    </row>
    <row r="16" spans="1:8" ht="22" customHeight="1" x14ac:dyDescent="0.55000000000000004">
      <c r="A16" s="22" t="s">
        <v>149</v>
      </c>
      <c r="B16" s="3"/>
      <c r="C16" s="23" t="s">
        <v>150</v>
      </c>
      <c r="D16" s="24" t="s">
        <v>151</v>
      </c>
      <c r="E16" s="25" t="s">
        <v>152</v>
      </c>
      <c r="F16" s="26" t="s">
        <v>153</v>
      </c>
      <c r="G16" s="27" t="s">
        <v>119</v>
      </c>
      <c r="H16" s="28" t="s">
        <v>154</v>
      </c>
    </row>
    <row r="17" spans="1:8" ht="22" customHeight="1" x14ac:dyDescent="0.55000000000000004">
      <c r="A17" s="22" t="s">
        <v>110</v>
      </c>
      <c r="B17" s="5"/>
      <c r="C17" s="23" t="s">
        <v>111</v>
      </c>
      <c r="D17" s="24" t="s">
        <v>112</v>
      </c>
      <c r="E17" s="25" t="s">
        <v>113</v>
      </c>
      <c r="F17" s="26" t="s">
        <v>114</v>
      </c>
      <c r="G17" s="27" t="s">
        <v>115</v>
      </c>
      <c r="H17" s="34" t="s">
        <v>155</v>
      </c>
    </row>
    <row r="18" spans="1:8" ht="22" customHeight="1" x14ac:dyDescent="0.55000000000000004">
      <c r="A18" s="22" t="s">
        <v>156</v>
      </c>
      <c r="B18" s="3"/>
      <c r="C18" s="23" t="s">
        <v>97</v>
      </c>
      <c r="D18" s="24" t="s">
        <v>98</v>
      </c>
      <c r="E18" s="25" t="s">
        <v>99</v>
      </c>
      <c r="F18" s="26" t="s">
        <v>100</v>
      </c>
      <c r="G18" s="27" t="s">
        <v>157</v>
      </c>
      <c r="H18" s="34" t="s">
        <v>158</v>
      </c>
    </row>
    <row r="19" spans="1:8" ht="22" customHeight="1" x14ac:dyDescent="0.55000000000000004">
      <c r="A19" s="22" t="s">
        <v>102</v>
      </c>
      <c r="B19" s="5"/>
      <c r="C19" s="23" t="s">
        <v>159</v>
      </c>
      <c r="D19" s="24" t="s">
        <v>159</v>
      </c>
      <c r="E19" s="25" t="s">
        <v>159</v>
      </c>
      <c r="F19" s="26" t="s">
        <v>159</v>
      </c>
      <c r="G19" s="27" t="s">
        <v>159</v>
      </c>
      <c r="H19" s="34" t="s">
        <v>160</v>
      </c>
    </row>
    <row r="20" spans="1:8" ht="22" customHeight="1" x14ac:dyDescent="0.55000000000000004">
      <c r="A20" s="22" t="s">
        <v>161</v>
      </c>
      <c r="B20" s="3"/>
      <c r="C20" s="23" t="s">
        <v>80</v>
      </c>
      <c r="D20" s="24" t="s">
        <v>80</v>
      </c>
      <c r="E20" s="25" t="s">
        <v>80</v>
      </c>
      <c r="F20" s="26" t="s">
        <v>162</v>
      </c>
      <c r="G20" s="27" t="s">
        <v>163</v>
      </c>
      <c r="H20" s="34" t="s">
        <v>164</v>
      </c>
    </row>
    <row r="21" spans="1:8" ht="5.05" customHeight="1" x14ac:dyDescent="0.55000000000000004">
      <c r="A21" s="1"/>
      <c r="B21" s="1"/>
      <c r="C21" s="1"/>
      <c r="D21" s="1"/>
      <c r="E21" s="1"/>
      <c r="F21" s="1"/>
      <c r="G21" s="1"/>
    </row>
    <row r="22" spans="1:8" ht="22" customHeight="1" x14ac:dyDescent="0.55000000000000004">
      <c r="A22" s="79" t="s">
        <v>165</v>
      </c>
      <c r="B22" s="80"/>
      <c r="C22" s="80"/>
      <c r="D22" s="80"/>
      <c r="E22" s="80"/>
      <c r="F22" s="80"/>
      <c r="G22" s="80"/>
    </row>
    <row r="23" spans="1:8" ht="18" customHeight="1" x14ac:dyDescent="0.55000000000000004">
      <c r="A23" s="2"/>
      <c r="B23" s="2" t="s">
        <v>166</v>
      </c>
      <c r="C23" s="2"/>
      <c r="D23" s="2" t="s">
        <v>47</v>
      </c>
      <c r="E23" s="2"/>
      <c r="F23" s="2" t="s">
        <v>167</v>
      </c>
      <c r="G23" s="2"/>
    </row>
    <row r="24" spans="1:8" ht="22" customHeight="1" x14ac:dyDescent="0.55000000000000004">
      <c r="A24" s="35" t="s">
        <v>168</v>
      </c>
      <c r="B24" s="124" t="s">
        <v>169</v>
      </c>
      <c r="C24" s="89"/>
      <c r="D24" s="134" t="s">
        <v>170</v>
      </c>
      <c r="E24" s="135"/>
      <c r="F24" s="38" t="s">
        <v>171</v>
      </c>
      <c r="G24" s="3"/>
    </row>
    <row r="25" spans="1:8" ht="22" customHeight="1" x14ac:dyDescent="0.55000000000000004">
      <c r="A25" s="35" t="s">
        <v>172</v>
      </c>
      <c r="B25" s="124" t="s">
        <v>173</v>
      </c>
      <c r="C25" s="89"/>
      <c r="D25" s="134" t="s">
        <v>174</v>
      </c>
      <c r="E25" s="135"/>
      <c r="F25" s="38" t="s">
        <v>171</v>
      </c>
      <c r="G25" s="5"/>
    </row>
    <row r="26" spans="1:8" ht="22" customHeight="1" x14ac:dyDescent="0.55000000000000004">
      <c r="A26" s="35" t="s">
        <v>175</v>
      </c>
      <c r="B26" s="139" t="s">
        <v>176</v>
      </c>
      <c r="C26" s="74"/>
      <c r="D26" s="125" t="s">
        <v>177</v>
      </c>
      <c r="E26" s="74"/>
      <c r="F26" s="38" t="s">
        <v>171</v>
      </c>
      <c r="G26" s="3"/>
    </row>
    <row r="27" spans="1:8" ht="22" customHeight="1" x14ac:dyDescent="0.55000000000000004">
      <c r="A27" s="35" t="s">
        <v>178</v>
      </c>
      <c r="B27" s="124" t="s">
        <v>179</v>
      </c>
      <c r="C27" s="89"/>
      <c r="D27" s="134" t="s">
        <v>180</v>
      </c>
      <c r="E27" s="135"/>
      <c r="F27" s="38" t="s">
        <v>171</v>
      </c>
      <c r="G27" s="5"/>
    </row>
    <row r="28" spans="1:8" ht="22" customHeight="1" x14ac:dyDescent="0.55000000000000004">
      <c r="A28" s="35" t="s">
        <v>181</v>
      </c>
      <c r="B28" s="139" t="s">
        <v>182</v>
      </c>
      <c r="C28" s="74"/>
      <c r="D28" s="125" t="s">
        <v>183</v>
      </c>
      <c r="E28" s="74"/>
      <c r="F28" s="38" t="s">
        <v>171</v>
      </c>
      <c r="G28" s="3"/>
    </row>
    <row r="29" spans="1:8" ht="22" customHeight="1" x14ac:dyDescent="0.55000000000000004">
      <c r="A29" s="35" t="s">
        <v>184</v>
      </c>
      <c r="B29" s="138" t="s">
        <v>185</v>
      </c>
      <c r="C29" s="83"/>
      <c r="D29" s="140" t="s">
        <v>186</v>
      </c>
      <c r="E29" s="83"/>
      <c r="F29" s="38" t="s">
        <v>171</v>
      </c>
      <c r="G29" s="5"/>
    </row>
    <row r="30" spans="1:8" ht="22" customHeight="1" x14ac:dyDescent="0.55000000000000004">
      <c r="A30" s="35" t="s">
        <v>187</v>
      </c>
      <c r="B30" s="139" t="s">
        <v>188</v>
      </c>
      <c r="C30" s="74"/>
      <c r="D30" s="125" t="s">
        <v>189</v>
      </c>
      <c r="E30" s="74"/>
      <c r="F30" s="38" t="s">
        <v>171</v>
      </c>
      <c r="G30" s="3"/>
    </row>
    <row r="31" spans="1:8" ht="22" customHeight="1" x14ac:dyDescent="0.55000000000000004">
      <c r="A31" s="41" t="s">
        <v>190</v>
      </c>
      <c r="B31" s="128" t="s">
        <v>191</v>
      </c>
      <c r="C31" s="129"/>
      <c r="D31" s="130" t="s">
        <v>192</v>
      </c>
      <c r="E31" s="131"/>
      <c r="F31" s="38" t="s">
        <v>171</v>
      </c>
      <c r="G31" s="5"/>
    </row>
    <row r="32" spans="1:8" ht="22" customHeight="1" x14ac:dyDescent="0.55000000000000004">
      <c r="A32" s="35" t="s">
        <v>193</v>
      </c>
      <c r="B32" s="139" t="s">
        <v>194</v>
      </c>
      <c r="C32" s="74"/>
      <c r="D32" s="125" t="s">
        <v>195</v>
      </c>
      <c r="E32" s="74"/>
      <c r="F32" s="38" t="s">
        <v>171</v>
      </c>
      <c r="G32" s="3"/>
    </row>
    <row r="33" spans="1:7" ht="22" customHeight="1" x14ac:dyDescent="0.55000000000000004">
      <c r="A33" s="35" t="s">
        <v>196</v>
      </c>
      <c r="B33" s="138" t="s">
        <v>197</v>
      </c>
      <c r="C33" s="83"/>
      <c r="D33" s="140" t="s">
        <v>198</v>
      </c>
      <c r="E33" s="83"/>
      <c r="F33" s="38" t="s">
        <v>171</v>
      </c>
      <c r="G33" s="5"/>
    </row>
    <row r="34" spans="1:7" ht="22" customHeight="1" x14ac:dyDescent="0.55000000000000004">
      <c r="A34" s="35" t="s">
        <v>199</v>
      </c>
      <c r="B34" s="139" t="s">
        <v>200</v>
      </c>
      <c r="C34" s="74"/>
      <c r="D34" s="125" t="s">
        <v>201</v>
      </c>
      <c r="E34" s="74"/>
      <c r="F34" s="38" t="s">
        <v>171</v>
      </c>
      <c r="G34" s="3"/>
    </row>
    <row r="35" spans="1:7" ht="22" customHeight="1" x14ac:dyDescent="0.55000000000000004">
      <c r="A35" s="35" t="s">
        <v>202</v>
      </c>
      <c r="B35" s="138" t="s">
        <v>203</v>
      </c>
      <c r="C35" s="83"/>
      <c r="D35" s="140" t="s">
        <v>25</v>
      </c>
      <c r="E35" s="83"/>
      <c r="F35" s="38" t="s">
        <v>171</v>
      </c>
      <c r="G35" s="5"/>
    </row>
  </sheetData>
  <mergeCells count="41">
    <mergeCell ref="B35:C35"/>
    <mergeCell ref="D35:E35"/>
    <mergeCell ref="E8:G8"/>
    <mergeCell ref="A12:G12"/>
    <mergeCell ref="A2:G2"/>
    <mergeCell ref="B32:C32"/>
    <mergeCell ref="B26:C26"/>
    <mergeCell ref="A7:C7"/>
    <mergeCell ref="D26:E26"/>
    <mergeCell ref="A1:G1"/>
    <mergeCell ref="B29:C29"/>
    <mergeCell ref="B34:C34"/>
    <mergeCell ref="B28:C28"/>
    <mergeCell ref="A9:C9"/>
    <mergeCell ref="D28:E28"/>
    <mergeCell ref="D25:E25"/>
    <mergeCell ref="B24:C24"/>
    <mergeCell ref="B30:C30"/>
    <mergeCell ref="D24:E24"/>
    <mergeCell ref="D30:E30"/>
    <mergeCell ref="B33:C33"/>
    <mergeCell ref="E5:G5"/>
    <mergeCell ref="D33:E33"/>
    <mergeCell ref="D29:E29"/>
    <mergeCell ref="A6:C6"/>
    <mergeCell ref="E10:G10"/>
    <mergeCell ref="B25:C25"/>
    <mergeCell ref="D34:E34"/>
    <mergeCell ref="A22:G22"/>
    <mergeCell ref="A4:G4"/>
    <mergeCell ref="E9:G9"/>
    <mergeCell ref="B31:C31"/>
    <mergeCell ref="B27:C27"/>
    <mergeCell ref="D31:E31"/>
    <mergeCell ref="E6:G6"/>
    <mergeCell ref="A5:C5"/>
    <mergeCell ref="A8:C8"/>
    <mergeCell ref="D27:E27"/>
    <mergeCell ref="D32:E32"/>
    <mergeCell ref="E7:G7"/>
    <mergeCell ref="A10:C10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41" t="s">
        <v>204</v>
      </c>
      <c r="B1" s="80"/>
      <c r="C1" s="80"/>
      <c r="D1" s="80"/>
      <c r="E1" s="80"/>
      <c r="F1" s="80"/>
      <c r="G1" s="80"/>
    </row>
    <row r="2" spans="1:7" ht="20.05" customHeight="1" x14ac:dyDescent="0.55000000000000004">
      <c r="A2" s="143" t="s">
        <v>205</v>
      </c>
      <c r="B2" s="114"/>
      <c r="C2" s="114"/>
      <c r="D2" s="114"/>
      <c r="E2" s="114"/>
      <c r="F2" s="114"/>
      <c r="G2" s="114"/>
    </row>
    <row r="4" spans="1:7" ht="26.05" customHeight="1" x14ac:dyDescent="0.55000000000000004">
      <c r="A4" s="142" t="s">
        <v>206</v>
      </c>
      <c r="B4" s="91"/>
      <c r="C4" s="91"/>
      <c r="D4" s="91"/>
      <c r="E4" s="91"/>
      <c r="F4" s="91"/>
      <c r="G4" s="91"/>
    </row>
    <row r="5" spans="1:7" ht="22" customHeight="1" x14ac:dyDescent="0.55000000000000004">
      <c r="A5" s="146" t="s">
        <v>207</v>
      </c>
      <c r="B5" s="74"/>
      <c r="C5" s="74"/>
      <c r="D5" s="74"/>
      <c r="E5" s="74"/>
      <c r="F5" s="74"/>
      <c r="G5" s="74"/>
    </row>
    <row r="6" spans="1:7" ht="18" customHeight="1" x14ac:dyDescent="0.55000000000000004">
      <c r="A6" s="45"/>
      <c r="B6" s="45" t="s">
        <v>208</v>
      </c>
      <c r="C6" s="45" t="s">
        <v>209</v>
      </c>
      <c r="D6" s="45" t="s">
        <v>210</v>
      </c>
      <c r="E6" s="45" t="s">
        <v>211</v>
      </c>
      <c r="F6" s="45" t="s">
        <v>212</v>
      </c>
      <c r="G6" s="45" t="s">
        <v>213</v>
      </c>
    </row>
    <row r="7" spans="1:7" ht="26.05" customHeight="1" x14ac:dyDescent="0.55000000000000004">
      <c r="A7" s="46" t="s">
        <v>211</v>
      </c>
      <c r="B7" s="46" t="s">
        <v>214</v>
      </c>
      <c r="C7" s="46" t="s">
        <v>215</v>
      </c>
      <c r="D7" s="46" t="s">
        <v>216</v>
      </c>
      <c r="E7" s="46" t="s">
        <v>217</v>
      </c>
      <c r="F7" s="46" t="s">
        <v>80</v>
      </c>
      <c r="G7" s="46" t="s">
        <v>218</v>
      </c>
    </row>
    <row r="8" spans="1:7" ht="26.05" customHeight="1" x14ac:dyDescent="0.55000000000000004">
      <c r="A8" s="47" t="s">
        <v>212</v>
      </c>
      <c r="B8" s="47" t="s">
        <v>214</v>
      </c>
      <c r="C8" s="47" t="s">
        <v>219</v>
      </c>
      <c r="D8" s="47" t="s">
        <v>220</v>
      </c>
      <c r="E8" s="47" t="s">
        <v>80</v>
      </c>
      <c r="F8" s="47" t="s">
        <v>221</v>
      </c>
      <c r="G8" s="47" t="s">
        <v>222</v>
      </c>
    </row>
    <row r="9" spans="1:7" ht="26.05" customHeight="1" x14ac:dyDescent="0.55000000000000004">
      <c r="A9" s="46" t="s">
        <v>212</v>
      </c>
      <c r="B9" s="46" t="s">
        <v>214</v>
      </c>
      <c r="C9" s="46" t="s">
        <v>223</v>
      </c>
      <c r="D9" s="46" t="s">
        <v>224</v>
      </c>
      <c r="E9" s="46" t="s">
        <v>80</v>
      </c>
      <c r="F9" s="46" t="s">
        <v>225</v>
      </c>
      <c r="G9" s="46" t="s">
        <v>226</v>
      </c>
    </row>
    <row r="10" spans="1:7" ht="22" customHeight="1" x14ac:dyDescent="0.55000000000000004">
      <c r="A10" s="146" t="s">
        <v>227</v>
      </c>
      <c r="B10" s="74"/>
      <c r="C10" s="74"/>
      <c r="D10" s="74"/>
      <c r="E10" s="74"/>
      <c r="F10" s="74"/>
      <c r="G10" s="74"/>
    </row>
    <row r="11" spans="1:7" ht="26.05" customHeight="1" x14ac:dyDescent="0.55000000000000004">
      <c r="A11" s="79" t="s">
        <v>228</v>
      </c>
      <c r="B11" s="80"/>
      <c r="C11" s="80"/>
      <c r="D11" s="80"/>
      <c r="E11" s="80"/>
      <c r="F11" s="80"/>
      <c r="G11" s="80"/>
    </row>
    <row r="12" spans="1:7" ht="18" customHeight="1" x14ac:dyDescent="0.55000000000000004">
      <c r="A12" s="45"/>
      <c r="B12" s="45" t="s">
        <v>208</v>
      </c>
      <c r="C12" s="45" t="s">
        <v>209</v>
      </c>
      <c r="D12" s="45" t="s">
        <v>210</v>
      </c>
      <c r="E12" s="45" t="s">
        <v>211</v>
      </c>
      <c r="F12" s="45" t="s">
        <v>212</v>
      </c>
      <c r="G12" s="45" t="s">
        <v>213</v>
      </c>
    </row>
    <row r="13" spans="1:7" ht="26.05" customHeight="1" x14ac:dyDescent="0.55000000000000004">
      <c r="A13" s="46" t="s">
        <v>211</v>
      </c>
      <c r="B13" s="46" t="s">
        <v>229</v>
      </c>
      <c r="C13" s="46" t="s">
        <v>215</v>
      </c>
      <c r="D13" s="46" t="s">
        <v>230</v>
      </c>
      <c r="E13" s="46" t="s">
        <v>231</v>
      </c>
      <c r="F13" s="46" t="s">
        <v>80</v>
      </c>
      <c r="G13" s="46" t="s">
        <v>232</v>
      </c>
    </row>
    <row r="14" spans="1:7" ht="26.05" customHeight="1" x14ac:dyDescent="0.55000000000000004">
      <c r="A14" s="47" t="s">
        <v>212</v>
      </c>
      <c r="B14" s="47" t="s">
        <v>229</v>
      </c>
      <c r="C14" s="47" t="s">
        <v>233</v>
      </c>
      <c r="D14" s="47" t="s">
        <v>234</v>
      </c>
      <c r="E14" s="47" t="s">
        <v>80</v>
      </c>
      <c r="F14" s="47" t="s">
        <v>231</v>
      </c>
      <c r="G14" s="47" t="s">
        <v>222</v>
      </c>
    </row>
    <row r="15" spans="1:7" ht="22" customHeight="1" x14ac:dyDescent="0.55000000000000004">
      <c r="A15" s="146" t="s">
        <v>235</v>
      </c>
      <c r="B15" s="74"/>
      <c r="C15" s="74"/>
      <c r="D15" s="74"/>
      <c r="E15" s="74"/>
      <c r="F15" s="74"/>
      <c r="G15" s="74"/>
    </row>
    <row r="16" spans="1:7" ht="26.05" customHeight="1" x14ac:dyDescent="0.55000000000000004">
      <c r="A16" s="144" t="s">
        <v>236</v>
      </c>
      <c r="B16" s="145"/>
      <c r="C16" s="145"/>
      <c r="D16" s="145"/>
      <c r="E16" s="145"/>
      <c r="F16" s="145"/>
      <c r="G16" s="145"/>
    </row>
    <row r="17" spans="1:7" ht="18" customHeight="1" x14ac:dyDescent="0.55000000000000004">
      <c r="A17" s="45"/>
      <c r="B17" s="45" t="s">
        <v>208</v>
      </c>
      <c r="C17" s="45" t="s">
        <v>209</v>
      </c>
      <c r="D17" s="45" t="s">
        <v>210</v>
      </c>
      <c r="E17" s="45" t="s">
        <v>211</v>
      </c>
      <c r="F17" s="45" t="s">
        <v>212</v>
      </c>
      <c r="G17" s="45" t="s">
        <v>213</v>
      </c>
    </row>
    <row r="18" spans="1:7" ht="22" customHeight="1" x14ac:dyDescent="0.55000000000000004">
      <c r="A18" s="46" t="s">
        <v>97</v>
      </c>
      <c r="B18" s="46" t="s">
        <v>237</v>
      </c>
      <c r="C18" s="46" t="s">
        <v>111</v>
      </c>
      <c r="D18" s="46" t="s">
        <v>238</v>
      </c>
      <c r="E18" s="46" t="s">
        <v>80</v>
      </c>
      <c r="F18" s="46" t="s">
        <v>239</v>
      </c>
      <c r="G18" s="46" t="s">
        <v>240</v>
      </c>
    </row>
    <row r="19" spans="1:7" ht="22" customHeight="1" x14ac:dyDescent="0.55000000000000004">
      <c r="A19" s="47" t="s">
        <v>98</v>
      </c>
      <c r="B19" s="47" t="s">
        <v>241</v>
      </c>
      <c r="C19" s="47" t="s">
        <v>112</v>
      </c>
      <c r="D19" s="47" t="s">
        <v>242</v>
      </c>
      <c r="E19" s="47" t="s">
        <v>80</v>
      </c>
      <c r="F19" s="47" t="s">
        <v>243</v>
      </c>
      <c r="G19" s="47" t="s">
        <v>244</v>
      </c>
    </row>
    <row r="20" spans="1:7" ht="22" customHeight="1" x14ac:dyDescent="0.55000000000000004">
      <c r="A20" s="46" t="s">
        <v>99</v>
      </c>
      <c r="B20" s="46" t="s">
        <v>245</v>
      </c>
      <c r="C20" s="46" t="s">
        <v>113</v>
      </c>
      <c r="D20" s="46" t="s">
        <v>246</v>
      </c>
      <c r="E20" s="46" t="s">
        <v>80</v>
      </c>
      <c r="F20" s="46" t="s">
        <v>247</v>
      </c>
      <c r="G20" s="46" t="s">
        <v>248</v>
      </c>
    </row>
    <row r="21" spans="1:7" ht="22" customHeight="1" x14ac:dyDescent="0.55000000000000004">
      <c r="A21" s="47" t="s">
        <v>100</v>
      </c>
      <c r="B21" s="47" t="s">
        <v>249</v>
      </c>
      <c r="C21" s="47" t="s">
        <v>114</v>
      </c>
      <c r="D21" s="47" t="s">
        <v>250</v>
      </c>
      <c r="E21" s="47" t="s">
        <v>80</v>
      </c>
      <c r="F21" s="47" t="s">
        <v>251</v>
      </c>
      <c r="G21" s="47" t="s">
        <v>226</v>
      </c>
    </row>
    <row r="22" spans="1:7" ht="22" customHeight="1" x14ac:dyDescent="0.55000000000000004">
      <c r="A22" s="46" t="s">
        <v>157</v>
      </c>
      <c r="B22" s="46" t="s">
        <v>249</v>
      </c>
      <c r="C22" s="46" t="s">
        <v>252</v>
      </c>
      <c r="D22" s="46" t="s">
        <v>253</v>
      </c>
      <c r="E22" s="46" t="s">
        <v>80</v>
      </c>
      <c r="F22" s="46" t="s">
        <v>254</v>
      </c>
      <c r="G22" s="46" t="s">
        <v>222</v>
      </c>
    </row>
    <row r="23" spans="1:7" ht="40" customHeight="1" x14ac:dyDescent="0.55000000000000004">
      <c r="A23" s="147" t="s">
        <v>255</v>
      </c>
      <c r="B23" s="148"/>
      <c r="C23" s="148"/>
      <c r="D23" s="148"/>
      <c r="E23" s="148"/>
      <c r="F23" s="148"/>
      <c r="G23" s="148"/>
    </row>
  </sheetData>
  <mergeCells count="9">
    <mergeCell ref="A23:G23"/>
    <mergeCell ref="A1:G1"/>
    <mergeCell ref="A4:G4"/>
    <mergeCell ref="A2:G2"/>
    <mergeCell ref="A16:G16"/>
    <mergeCell ref="A15:G15"/>
    <mergeCell ref="A11:G11"/>
    <mergeCell ref="A10:G10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52" t="s">
        <v>256</v>
      </c>
      <c r="B1" s="80"/>
      <c r="C1" s="80"/>
      <c r="D1" s="80"/>
      <c r="E1" s="80"/>
      <c r="F1" s="80"/>
      <c r="G1" s="80"/>
    </row>
    <row r="2" spans="1:7" ht="22" customHeight="1" x14ac:dyDescent="0.55000000000000004">
      <c r="A2" s="150" t="s">
        <v>257</v>
      </c>
      <c r="B2" s="151"/>
      <c r="C2" s="151"/>
      <c r="D2" s="151"/>
      <c r="E2" s="151"/>
      <c r="F2" s="151"/>
      <c r="G2" s="151"/>
    </row>
    <row r="3" spans="1:7" ht="18" customHeight="1" x14ac:dyDescent="0.55000000000000004">
      <c r="A3" s="45" t="s">
        <v>258</v>
      </c>
      <c r="B3" s="45" t="s">
        <v>103</v>
      </c>
      <c r="C3" s="45" t="s">
        <v>259</v>
      </c>
      <c r="D3" s="45" t="s">
        <v>260</v>
      </c>
    </row>
    <row r="4" spans="1:7" ht="88" customHeight="1" x14ac:dyDescent="0.55000000000000004">
      <c r="A4" s="35" t="s">
        <v>261</v>
      </c>
      <c r="B4" s="39" t="s">
        <v>262</v>
      </c>
      <c r="C4" s="48" t="s">
        <v>263</v>
      </c>
      <c r="D4" s="49" t="s">
        <v>264</v>
      </c>
    </row>
    <row r="5" spans="1:7" ht="72" customHeight="1" x14ac:dyDescent="0.55000000000000004">
      <c r="A5" s="41" t="s">
        <v>265</v>
      </c>
      <c r="B5" s="36" t="s">
        <v>266</v>
      </c>
      <c r="C5" s="37" t="s">
        <v>267</v>
      </c>
      <c r="D5" s="50" t="s">
        <v>268</v>
      </c>
    </row>
    <row r="6" spans="1:7" ht="56.05" customHeight="1" x14ac:dyDescent="0.55000000000000004">
      <c r="A6" s="41" t="s">
        <v>269</v>
      </c>
      <c r="B6" s="51" t="s">
        <v>270</v>
      </c>
      <c r="C6" s="37" t="s">
        <v>271</v>
      </c>
      <c r="D6" s="52" t="s">
        <v>272</v>
      </c>
    </row>
    <row r="7" spans="1:7" ht="80.05" customHeight="1" x14ac:dyDescent="0.55000000000000004">
      <c r="A7" s="35" t="s">
        <v>273</v>
      </c>
      <c r="B7" s="39" t="s">
        <v>274</v>
      </c>
      <c r="C7" s="48" t="s">
        <v>275</v>
      </c>
      <c r="D7" s="49" t="s">
        <v>276</v>
      </c>
    </row>
    <row r="8" spans="1:7" ht="80.05" customHeight="1" x14ac:dyDescent="0.55000000000000004">
      <c r="A8" s="35" t="s">
        <v>277</v>
      </c>
      <c r="B8" s="40" t="s">
        <v>278</v>
      </c>
      <c r="C8" s="48" t="s">
        <v>279</v>
      </c>
      <c r="D8" s="53" t="s">
        <v>280</v>
      </c>
    </row>
    <row r="9" spans="1:7" ht="52" customHeight="1" x14ac:dyDescent="0.55000000000000004">
      <c r="A9" s="149" t="s">
        <v>281</v>
      </c>
      <c r="B9" s="106"/>
      <c r="C9" s="106"/>
      <c r="D9" s="106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55" t="s">
        <v>282</v>
      </c>
      <c r="B1" s="156"/>
      <c r="C1" s="156"/>
      <c r="D1" s="156"/>
      <c r="E1" s="156"/>
      <c r="F1" s="156"/>
    </row>
    <row r="2" spans="1:6" ht="22" customHeight="1" x14ac:dyDescent="0.55000000000000004">
      <c r="A2" s="153" t="s">
        <v>283</v>
      </c>
      <c r="B2" s="154"/>
      <c r="C2" s="154"/>
      <c r="D2" s="154"/>
      <c r="E2" s="154"/>
      <c r="F2" s="154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61" t="s">
        <v>284</v>
      </c>
      <c r="B4" s="162"/>
      <c r="C4" s="162"/>
      <c r="D4" s="162"/>
      <c r="E4" s="162"/>
      <c r="F4" s="162"/>
    </row>
    <row r="5" spans="1:6" ht="18" customHeight="1" x14ac:dyDescent="0.55000000000000004">
      <c r="A5" s="45"/>
      <c r="B5" s="45" t="s">
        <v>285</v>
      </c>
      <c r="C5" s="45" t="s">
        <v>48</v>
      </c>
      <c r="D5" s="45" t="s">
        <v>47</v>
      </c>
      <c r="E5" s="45" t="s">
        <v>286</v>
      </c>
      <c r="F5" s="45"/>
    </row>
    <row r="6" spans="1:6" ht="40" customHeight="1" x14ac:dyDescent="0.55000000000000004">
      <c r="A6" s="6"/>
      <c r="B6" s="54" t="s">
        <v>287</v>
      </c>
      <c r="C6" s="55" t="s">
        <v>288</v>
      </c>
      <c r="D6" s="56" t="s">
        <v>289</v>
      </c>
      <c r="E6" s="57" t="s">
        <v>290</v>
      </c>
      <c r="F6" s="6"/>
    </row>
    <row r="7" spans="1:6" ht="40" customHeight="1" x14ac:dyDescent="0.55000000000000004">
      <c r="A7" s="6"/>
      <c r="B7" s="54" t="s">
        <v>291</v>
      </c>
      <c r="C7" s="55" t="s">
        <v>292</v>
      </c>
      <c r="D7" s="56" t="s">
        <v>293</v>
      </c>
      <c r="E7" s="57" t="s">
        <v>294</v>
      </c>
      <c r="F7" s="6"/>
    </row>
    <row r="8" spans="1:6" ht="40" customHeight="1" x14ac:dyDescent="0.55000000000000004">
      <c r="A8" s="6"/>
      <c r="B8" s="54" t="s">
        <v>295</v>
      </c>
      <c r="C8" s="55" t="s">
        <v>296</v>
      </c>
      <c r="D8" s="56" t="s">
        <v>297</v>
      </c>
      <c r="E8" s="57" t="s">
        <v>298</v>
      </c>
      <c r="F8" s="6"/>
    </row>
    <row r="9" spans="1:6" ht="36" customHeight="1" x14ac:dyDescent="0.55000000000000004">
      <c r="A9" s="6"/>
      <c r="B9" s="54" t="s">
        <v>299</v>
      </c>
      <c r="C9" s="55" t="s">
        <v>300</v>
      </c>
      <c r="D9" s="56" t="s">
        <v>301</v>
      </c>
      <c r="E9" s="57" t="s">
        <v>232</v>
      </c>
      <c r="F9" s="6"/>
    </row>
    <row r="10" spans="1:6" ht="28" customHeight="1" x14ac:dyDescent="0.55000000000000004">
      <c r="A10" s="6"/>
      <c r="B10" s="54" t="s">
        <v>302</v>
      </c>
      <c r="C10" s="55" t="s">
        <v>303</v>
      </c>
      <c r="D10" s="56" t="s">
        <v>304</v>
      </c>
      <c r="E10" s="57" t="s">
        <v>305</v>
      </c>
      <c r="F10" s="6"/>
    </row>
    <row r="11" spans="1:6" ht="5.05" customHeight="1" x14ac:dyDescent="0.55000000000000004">
      <c r="A11" s="1"/>
      <c r="B11" s="1"/>
      <c r="C11" s="1"/>
      <c r="D11" s="1"/>
      <c r="E11" s="1"/>
      <c r="F11" s="1"/>
    </row>
    <row r="12" spans="1:6" ht="36" customHeight="1" x14ac:dyDescent="0.55000000000000004">
      <c r="A12" s="159" t="s">
        <v>306</v>
      </c>
      <c r="B12" s="160"/>
      <c r="C12" s="160"/>
      <c r="D12" s="160"/>
      <c r="E12" s="160"/>
      <c r="F12" s="160"/>
    </row>
    <row r="13" spans="1:6" ht="18" customHeight="1" x14ac:dyDescent="0.55000000000000004">
      <c r="A13" s="45"/>
      <c r="B13" s="45" t="s">
        <v>285</v>
      </c>
      <c r="C13" s="45" t="s">
        <v>48</v>
      </c>
      <c r="D13" s="45" t="s">
        <v>47</v>
      </c>
      <c r="E13" s="45" t="s">
        <v>286</v>
      </c>
      <c r="F13" s="45"/>
    </row>
    <row r="14" spans="1:6" ht="32.049999999999997" customHeight="1" x14ac:dyDescent="0.55000000000000004">
      <c r="A14" s="58"/>
      <c r="B14" s="59" t="s">
        <v>307</v>
      </c>
      <c r="C14" s="60" t="s">
        <v>308</v>
      </c>
      <c r="D14" s="61" t="s">
        <v>309</v>
      </c>
      <c r="E14" s="62" t="s">
        <v>310</v>
      </c>
      <c r="F14" s="58"/>
    </row>
    <row r="15" spans="1:6" ht="28" customHeight="1" x14ac:dyDescent="0.55000000000000004">
      <c r="A15" s="58"/>
      <c r="B15" s="59" t="s">
        <v>311</v>
      </c>
      <c r="C15" s="60" t="s">
        <v>312</v>
      </c>
      <c r="D15" s="61" t="s">
        <v>313</v>
      </c>
      <c r="E15" s="62" t="s">
        <v>314</v>
      </c>
      <c r="F15" s="58"/>
    </row>
    <row r="16" spans="1:6" ht="28" customHeight="1" x14ac:dyDescent="0.55000000000000004">
      <c r="A16" s="58"/>
      <c r="B16" s="59" t="s">
        <v>315</v>
      </c>
      <c r="C16" s="60" t="s">
        <v>316</v>
      </c>
      <c r="D16" s="61" t="s">
        <v>317</v>
      </c>
      <c r="E16" s="62" t="s">
        <v>318</v>
      </c>
      <c r="F16" s="58"/>
    </row>
    <row r="17" spans="1:6" ht="5.05" customHeight="1" x14ac:dyDescent="0.55000000000000004">
      <c r="A17" s="1"/>
      <c r="B17" s="1"/>
      <c r="C17" s="1"/>
      <c r="D17" s="1"/>
      <c r="E17" s="1"/>
      <c r="F17" s="1"/>
    </row>
    <row r="18" spans="1:6" ht="36" customHeight="1" x14ac:dyDescent="0.55000000000000004">
      <c r="A18" s="157" t="s">
        <v>319</v>
      </c>
      <c r="B18" s="158"/>
      <c r="C18" s="158"/>
      <c r="D18" s="158"/>
      <c r="E18" s="158"/>
      <c r="F18" s="158"/>
    </row>
    <row r="19" spans="1:6" ht="18" customHeight="1" x14ac:dyDescent="0.55000000000000004">
      <c r="A19" s="63"/>
      <c r="B19" s="63" t="s">
        <v>285</v>
      </c>
      <c r="C19" s="63" t="s">
        <v>5</v>
      </c>
      <c r="D19" s="63" t="s">
        <v>320</v>
      </c>
      <c r="E19" s="63" t="s">
        <v>321</v>
      </c>
      <c r="F19" s="63"/>
    </row>
    <row r="20" spans="1:6" ht="32.049999999999997" customHeight="1" x14ac:dyDescent="0.55000000000000004">
      <c r="A20" s="44"/>
      <c r="B20" s="64" t="s">
        <v>322</v>
      </c>
      <c r="C20" s="51" t="s">
        <v>169</v>
      </c>
      <c r="D20" s="65" t="s">
        <v>323</v>
      </c>
      <c r="E20" s="66" t="s">
        <v>324</v>
      </c>
      <c r="F20" s="44"/>
    </row>
    <row r="21" spans="1:6" ht="32.049999999999997" customHeight="1" x14ac:dyDescent="0.55000000000000004">
      <c r="A21" s="44"/>
      <c r="B21" s="64" t="s">
        <v>325</v>
      </c>
      <c r="C21" s="51" t="s">
        <v>326</v>
      </c>
      <c r="D21" s="65" t="s">
        <v>327</v>
      </c>
      <c r="E21" s="66" t="s">
        <v>324</v>
      </c>
      <c r="F21" s="44"/>
    </row>
    <row r="22" spans="1:6" ht="32.049999999999997" customHeight="1" x14ac:dyDescent="0.55000000000000004">
      <c r="A22" s="44"/>
      <c r="B22" s="64" t="s">
        <v>328</v>
      </c>
      <c r="C22" s="51" t="s">
        <v>179</v>
      </c>
      <c r="D22" s="65" t="s">
        <v>329</v>
      </c>
      <c r="E22" s="66" t="s">
        <v>324</v>
      </c>
      <c r="F22" s="44"/>
    </row>
    <row r="23" spans="1:6" ht="32.049999999999997" customHeight="1" x14ac:dyDescent="0.55000000000000004">
      <c r="A23" s="58"/>
      <c r="B23" s="67" t="s">
        <v>330</v>
      </c>
      <c r="C23" s="68" t="s">
        <v>331</v>
      </c>
      <c r="D23" s="61" t="s">
        <v>332</v>
      </c>
      <c r="E23" s="69" t="s">
        <v>324</v>
      </c>
      <c r="F23" s="58"/>
    </row>
    <row r="24" spans="1:6" ht="32.049999999999997" customHeight="1" x14ac:dyDescent="0.55000000000000004">
      <c r="A24" s="58"/>
      <c r="B24" s="67" t="s">
        <v>333</v>
      </c>
      <c r="C24" s="68" t="s">
        <v>334</v>
      </c>
      <c r="D24" s="61" t="s">
        <v>335</v>
      </c>
      <c r="E24" s="69" t="s">
        <v>324</v>
      </c>
      <c r="F24" s="58"/>
    </row>
    <row r="25" spans="1:6" ht="32.049999999999997" customHeight="1" x14ac:dyDescent="0.55000000000000004">
      <c r="A25" s="58"/>
      <c r="B25" s="67" t="s">
        <v>336</v>
      </c>
      <c r="C25" s="68" t="s">
        <v>337</v>
      </c>
      <c r="D25" s="61" t="s">
        <v>338</v>
      </c>
      <c r="E25" s="69" t="s">
        <v>324</v>
      </c>
      <c r="F25" s="58"/>
    </row>
    <row r="26" spans="1:6" ht="32.049999999999997" customHeight="1" x14ac:dyDescent="0.55000000000000004">
      <c r="A26" s="43"/>
      <c r="B26" s="70" t="s">
        <v>339</v>
      </c>
      <c r="C26" s="42" t="s">
        <v>191</v>
      </c>
      <c r="D26" s="71" t="s">
        <v>340</v>
      </c>
      <c r="E26" s="72" t="s">
        <v>324</v>
      </c>
      <c r="F26" s="43"/>
    </row>
    <row r="27" spans="1:6" ht="32.049999999999997" customHeight="1" x14ac:dyDescent="0.55000000000000004">
      <c r="A27" s="58"/>
      <c r="B27" s="67" t="s">
        <v>341</v>
      </c>
      <c r="C27" s="68" t="s">
        <v>194</v>
      </c>
      <c r="D27" s="61" t="s">
        <v>195</v>
      </c>
      <c r="E27" s="69" t="s">
        <v>324</v>
      </c>
      <c r="F27" s="58"/>
    </row>
    <row r="28" spans="1:6" ht="32.049999999999997" customHeight="1" x14ac:dyDescent="0.55000000000000004">
      <c r="A28" s="58"/>
      <c r="B28" s="67" t="s">
        <v>342</v>
      </c>
      <c r="C28" s="68" t="s">
        <v>343</v>
      </c>
      <c r="D28" s="61" t="s">
        <v>344</v>
      </c>
      <c r="E28" s="69" t="s">
        <v>324</v>
      </c>
      <c r="F28" s="58"/>
    </row>
    <row r="29" spans="1:6" ht="32.049999999999997" customHeight="1" x14ac:dyDescent="0.55000000000000004">
      <c r="A29" s="58"/>
      <c r="B29" s="67" t="s">
        <v>345</v>
      </c>
      <c r="C29" s="68" t="s">
        <v>203</v>
      </c>
      <c r="D29" s="61" t="s">
        <v>25</v>
      </c>
      <c r="E29" s="69" t="s">
        <v>324</v>
      </c>
      <c r="F29" s="58"/>
    </row>
    <row r="30" spans="1:6" ht="5.05" customHeight="1" x14ac:dyDescent="0.55000000000000004">
      <c r="A30" s="1"/>
      <c r="B30" s="1"/>
      <c r="C30" s="1"/>
      <c r="D30" s="1"/>
      <c r="E30" s="1"/>
      <c r="F30" s="1"/>
    </row>
    <row r="31" spans="1:6" ht="52" customHeight="1" x14ac:dyDescent="0.55000000000000004">
      <c r="A31" s="149" t="s">
        <v>346</v>
      </c>
      <c r="B31" s="106"/>
      <c r="C31" s="106"/>
      <c r="D31" s="106"/>
      <c r="E31" s="106"/>
      <c r="F31" s="106"/>
    </row>
  </sheetData>
  <mergeCells count="6">
    <mergeCell ref="A2:F2"/>
    <mergeCell ref="A1:F1"/>
    <mergeCell ref="A31:F31"/>
    <mergeCell ref="A18:F18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2026-04-05T12:46:17Z</dcterms:created>
  <dcterms:modified xsi:type="dcterms:W3CDTF">2026-04-05T13:02:15Z</dcterms:modified>
</cp:coreProperties>
</file>