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timatglobal365-my.sharepoint.com/personal/aydindede_itimatglobal_com/Documents/Desktop/GEM/son standart/"/>
    </mc:Choice>
  </mc:AlternateContent>
  <xr:revisionPtr revIDLastSave="0" documentId="8_{F546B69B-5583-4270-899F-C468AC70198C}" xr6:coauthVersionLast="47" xr6:coauthVersionMax="47" xr10:uidLastSave="{00000000-0000-0000-0000-000000000000}"/>
  <bookViews>
    <workbookView xWindow="-96" yWindow="-96" windowWidth="23232" windowHeight="12552" activeTab="2" xr2:uid="{00000000-000D-0000-FFFF-FFFF00000000}"/>
  </bookViews>
  <sheets>
    <sheet name="VERİ GİRİŞİ" sheetId="1" r:id="rId1"/>
    <sheet name="HESAPLAMALAR &amp; KONTROL" sheetId="2" r:id="rId2"/>
    <sheet name="MUHASEBE KAYITLARI" sheetId="3" r:id="rId3"/>
    <sheet name="DENETCİ NOTLARI" sheetId="4" r:id="rId4"/>
    <sheet name="BELGE LISTESI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2" l="1"/>
  <c r="F24" i="2"/>
  <c r="F25" i="2"/>
  <c r="F26" i="2"/>
  <c r="F27" i="2"/>
  <c r="F28" i="2"/>
  <c r="F29" i="2"/>
  <c r="F30" i="2"/>
  <c r="F31" i="2"/>
  <c r="F32" i="2"/>
  <c r="F33" i="2"/>
  <c r="F34" i="2"/>
  <c r="E6" i="2"/>
  <c r="D53" i="1"/>
  <c r="E8" i="2" s="1"/>
  <c r="D52" i="1"/>
  <c r="E7" i="2" s="1"/>
  <c r="F47" i="1"/>
  <c r="E47" i="1"/>
  <c r="G46" i="1"/>
  <c r="H46" i="1" s="1"/>
  <c r="H45" i="1"/>
  <c r="G45" i="1"/>
  <c r="G44" i="1"/>
  <c r="H44" i="1" s="1"/>
  <c r="G43" i="1"/>
  <c r="H43" i="1" s="1"/>
  <c r="G42" i="1"/>
  <c r="H42" i="1" s="1"/>
  <c r="H41" i="1"/>
  <c r="G41" i="1"/>
  <c r="G40" i="1"/>
  <c r="H40" i="1" s="1"/>
  <c r="G39" i="1"/>
  <c r="H39" i="1" s="1"/>
  <c r="F15" i="1"/>
  <c r="E5" i="2" s="1"/>
  <c r="H47" i="1" l="1"/>
  <c r="G47" i="1"/>
  <c r="D54" i="1" s="1"/>
  <c r="E9" i="2" l="1"/>
  <c r="E62" i="1"/>
</calcChain>
</file>

<file path=xl/sharedStrings.xml><?xml version="1.0" encoding="utf-8"?>
<sst xmlns="http://schemas.openxmlformats.org/spreadsheetml/2006/main" count="449" uniqueCount="333">
  <si>
    <t>373 – KVK GEÇİCİ MADDE 14/1-b | VADE SONUNDA OLUŞAN KÂR PAYI VE FAİZ İSTİSNASI | KUR KORUMALI MEVDUAT (KKM) | YMM TASDİK</t>
  </si>
  <si>
    <t>KVK Geçici Md.14/1-b | KKM Hesabı Vadeye Ulaştığında Tahsil Edilen Kâr Payı ve Faiz | Beyanname 373 | ★ YİAKV MATRAHINDA DÜŞÜLEMEZ</t>
  </si>
  <si>
    <t xml:space="preserve">  KVK GEÇİCİ MD.14 — DÖRT İSTİSNA KODU:
  370 (1-a) Dönüşüm kur farkı — tek seferlik | 371 (1-b) Bankadan kur farkı tazminatı — nakit/dönemsel
  372 (1-b) Dönem sonu (31/12) faiz/kâr payı tahakkuku — accrual | hesap hâlâ açık
  373 (1-b) Vade sonu faiz/kâr payı tahsilatı — nakit | hesap vadeye ulaştı → BU DOSYA
  ★★ 372–373 MUTABAKAT: Yılı aşan vadeli hesaplarda mükerrerlik önlenmeli: Net 373 = Toplam Vade − Önceki Yıl 372</t>
  </si>
  <si>
    <t xml:space="preserve">  ★★ YİAKV (KVK Md.32/C) KRİTİK: 373 kapsamındaki vade sonu kâr payı/faiz YİAKV matrahından DÜŞÜLEMEZ. 370+371+372+373 tamamı E.7 DÜŞÜLEMEZ listesindedir.</t>
  </si>
  <si>
    <t>A0. KAPSAM VE NİTELİK UYGUNLUK ÖN KONTROLÜ</t>
  </si>
  <si>
    <t>Kontrol Sorusu</t>
  </si>
  <si>
    <t>Yanıt</t>
  </si>
  <si>
    <t>YMM Tasdik Notu</t>
  </si>
  <si>
    <t>A0.1  Vadeye giren KKM hesabı KVK Geçici Md.14/1-a kapsamı dönüşümden mi açıldı?</t>
  </si>
  <si>
    <t>EVET</t>
  </si>
  <si>
    <t>373, yalnızca 370 kapsamındaki dönüşümden açılan ve vadeye ulaşan KKM hesaplarına uygulanır.</t>
  </si>
  <si>
    <t>A0.2  ★ Dönem içinde vadeye ulaşan KKM hesabı var mı? Kâr payı/faiz tahsil edildi mi?</t>
  </si>
  <si>
    <t>373 = Vade bitiminde bankadan fiilen ALINAN kâr payı/faiz. Hesap hâlâ açıksa → 372 (tahakkuk).</t>
  </si>
  <si>
    <t>A0.3  ★ 372 ile MÜKERRERLİK kontrolü yapıldı mı? (C Sütun 6 dolduruldu mu?)</t>
  </si>
  <si>
    <t>Önceki yıl 372 olan hesaplarda: Net 373 = Vade Toplam − Önceki 372. Aksi hâlde mükerrer istisna tarhiyat riski.</t>
  </si>
  <si>
    <t>A0.4  Vade sonu muhasebe kaydı doğru yapıldı mı? (102 Dr / 181 Kr + 642 Kr)</t>
  </si>
  <si>
    <t>Vade: 102 Dr / Kr 181 (önceki yıl accrual kapatma) + Kr 642 (bu yılın yeni kısmı). Her iki alacak istisna kapsamında.</t>
  </si>
  <si>
    <t>A0.5  ★ 373 tutarının YİAKV matrahından DÜŞÜLMEDIĞI teyit edildi mi?</t>
  </si>
  <si>
    <t>370+371+372+373 tamamı YİAKV matrahından DÜŞÜLEMEZ. E.7'de dört satır da kontrol edilmeli.</t>
  </si>
  <si>
    <t>A0.6  Banka vade bildirimi/hesap özeti mevcut mu?</t>
  </si>
  <si>
    <t>Vade sonunda bankadan alınan resmi bildiri: Vade tarihi, toplam kâr payı/faiz tutarı.</t>
  </si>
  <si>
    <t>A0.7  YMM Tasdik Raporu (49 No.lu Tebliğ) değerlendirildi mi?</t>
  </si>
  <si>
    <t>&gt;=500.000 TL → YMM raporu.</t>
  </si>
  <si>
    <t>A0.8  Tasdik Uygunluk Sonucu</t>
  </si>
  <si>
    <t>★ A0.3 (mükerrerlik) ve A0.5 (YİAKV düşülemez) en kritik.</t>
  </si>
  <si>
    <t>A. GENEL BİLGİLER</t>
  </si>
  <si>
    <t>Kurumun Unvanı</t>
  </si>
  <si>
    <t>Tam ticaret unvanı</t>
  </si>
  <si>
    <t>VKN</t>
  </si>
  <si>
    <t>10 haneli VKN</t>
  </si>
  <si>
    <t>Hesap Dönemi</t>
  </si>
  <si>
    <t>01.01.2025 – 31.12.2025</t>
  </si>
  <si>
    <t>KV Oranı (%)</t>
  </si>
  <si>
    <t>2025: %25 | Banka/Finans: %30</t>
  </si>
  <si>
    <t>Dosya Referansı</t>
  </si>
  <si>
    <t>YMM-2025/373-01</t>
  </si>
  <si>
    <t>370/371/372 Referansı</t>
  </si>
  <si>
    <t>Aynı KKM hesabı — dört dosya çapraz mutabakat</t>
  </si>
  <si>
    <t>B. VADELİ KKM HESAP BİLGİLERİ VE 372–373 MUTABAKAT AÇIKLAMASI</t>
  </si>
  <si>
    <t xml:space="preserve">  372–373 MUTABAKAT KURALI (YILI AŞAN VADELİ HESAPLAR İÇİN):
  Örnek: Hesap açılış Mart 2024, Vade Eylül 2025, Toplam faiz 30.000 TL
  Aralık 2024 sonu (372): 14.500 TL tahakkuk → 2024 KV beyannamesi 372 satırı.
  Eylül 2025 vade (373): 30.000 − 14.500 = 15.500 TL net → 2025 KV beyannamesi 373 satırı.
  KURAL: Net 373 = Vade Toplam Kâr Payı/Faiz − Önceki Dönem(ler) 372 Tutarı. Mükerrerlik ÖNLENMELI.</t>
  </si>
  <si>
    <t>Parametre</t>
  </si>
  <si>
    <t>Değer / Tarih</t>
  </si>
  <si>
    <t>Açıklama</t>
  </si>
  <si>
    <t>Kaynak</t>
  </si>
  <si>
    <t>B.1  KKM Hesap Açılış Tarihi (370 ile aynı)</t>
  </si>
  <si>
    <t>370 dönüşüm tarihi ile örtüşmeli.</t>
  </si>
  <si>
    <t>Banka sözleşmesi</t>
  </si>
  <si>
    <t>B.2  KKM Hesap Vade Tarihi (Bu Dönemde Kalan)</t>
  </si>
  <si>
    <t>Dönem içinde (01.01–31.12) vadeye ulaşan tarih.</t>
  </si>
  <si>
    <t>B.3  Kâr Payı / Faiz Türü</t>
  </si>
  <si>
    <t>TL Mevduat Faizi</t>
  </si>
  <si>
    <t>TL mevduat → Faiz (642). TL katılım → Kâr payı (644).</t>
  </si>
  <si>
    <t>B.4  Vade Sonu Toplam Kâr Payı/Faiz Tahsilat (Banka Bildirimi)</t>
  </si>
  <si>
    <t>Banka vade bildirimi / hesap özeti — tüm hesap süresi boyunca oluşan toplam.</t>
  </si>
  <si>
    <t>Banka vade bildirimi</t>
  </si>
  <si>
    <t>B.5  ★ Önceki Dönem(ler) 372 Tahakkuk Tutarı (Varsa — Bu Hesap İçin)</t>
  </si>
  <si>
    <t>0</t>
  </si>
  <si>
    <t>Bu hesap için önceki KV dönemlerinde 372 kapsamında istisna uygulanan toplam. Yoksa 0.</t>
  </si>
  <si>
    <t>Önceki dönem KV 372 satırı</t>
  </si>
  <si>
    <t>B.6  Bu Dönem Net 373 Tutarı (B.4 − B.5)</t>
  </si>
  <si>
    <t>Otomatik: C tablosunda hesaplanır. Burada sadece referans.</t>
  </si>
  <si>
    <t>Formül (C Sütun 7)</t>
  </si>
  <si>
    <t>B.7  ★ KKM Hesabının 31/12/2021 Bilanço Kaynaklı Olduğu Teyit Edildi mi?</t>
  </si>
  <si>
    <t>373 yalnızca 370 kapsamındaki dönüşümden açılan hesaplara uygulanır.</t>
  </si>
  <si>
    <t>KVK Geç.Md.14</t>
  </si>
  <si>
    <t>C. VADEYEGİREN KKM HESAP BAZINDA KÂR PAYI/FAİZ TABLOSU VE 372 MUTABAKAT</t>
  </si>
  <si>
    <t xml:space="preserve">  SÜTUN 5 (lacivert çerçeve): Vade sonu toplam tahsilat — ANA GİRİŞ. SÜTUN 6 (turuncu çerçeve): Önceki yıl 372 tutarı — mükerrerlik önleme. SÜTUN 7: Net 373 = Col5 − Col6. SÜTUN 8: İstisna (= Net 373).</t>
  </si>
  <si>
    <t>KKM Hesap</t>
  </si>
  <si>
    <t>Açılış Tarihi</t>
  </si>
  <si>
    <t>Vade Tarihi</t>
  </si>
  <si>
    <t>Vade (Ay)</t>
  </si>
  <si>
    <t>Vade Sonu Toplam (TL)</t>
  </si>
  <si>
    <t>Önceki Yıl 372 (TL)</t>
  </si>
  <si>
    <t>Net 373 (TL)</t>
  </si>
  <si>
    <t>İstisna (TL)</t>
  </si>
  <si>
    <t>TOPLAM</t>
  </si>
  <si>
    <t>Vadeye Giren Hesaplar → Beyanname 373</t>
  </si>
  <si>
    <t xml:space="preserve">  SÜTUN 5 (lacivert): Vade sonu banka bildirimi toplam. SÜTUN 6 (turuncu): Önceki yıl 372 tutarı (mükerrerlik önleme — yok ise 0). SÜTUN 7 = Net 373 = Sütun 5 − Sütun 6 → Bu dönem beyanname 373 tutarı. SÜTUN 8 = İstisna = Sütun 7.</t>
  </si>
  <si>
    <t>D. VADE SONU İSTİSNA ÖZET — BEYANNAME 373</t>
  </si>
  <si>
    <t>Hesap Kalemi</t>
  </si>
  <si>
    <t>Tutar (TL)</t>
  </si>
  <si>
    <t>YMM Notu</t>
  </si>
  <si>
    <t>D.1  Vade Sonu Toplam Tahsilat</t>
  </si>
  <si>
    <t>C Sütun 5 toplamı</t>
  </si>
  <si>
    <t>D.2  Önceki Yıl 372 Mahsubu (Mükerrerlik Önleme)</t>
  </si>
  <si>
    <t>C Sütun 6 toplamı — bu tutar 373'e YAZILMAZ</t>
  </si>
  <si>
    <t>D.3  ★ NET 373 İSTİSNA TUTARI → BEYANNAME 373</t>
  </si>
  <si>
    <t>→ Beyanname 373 | Kazancın Bulunması Halinde</t>
  </si>
  <si>
    <t>D.4  Kapsam Dışı Vade Kâr Payı/Faiz (31/12/2021 Dışı)</t>
  </si>
  <si>
    <t>C Sütun 7'den kapsam dışı hesaplar — vergilendirilir</t>
  </si>
  <si>
    <t>E. 370 – 371 – 372 – 373 TAM PAKET MUTABAKAT</t>
  </si>
  <si>
    <t>Kalem</t>
  </si>
  <si>
    <t>370</t>
  </si>
  <si>
    <t>371</t>
  </si>
  <si>
    <t>372</t>
  </si>
  <si>
    <t>373</t>
  </si>
  <si>
    <t>Beyanname</t>
  </si>
  <si>
    <t>YİAKV</t>
  </si>
  <si>
    <t>Konu</t>
  </si>
  <si>
    <t>Kur farkı değerleme</t>
  </si>
  <si>
    <t>Kur farkı tazminat</t>
  </si>
  <si>
    <t>Dönem sonu tahakkuk</t>
  </si>
  <si>
    <t>Vade sonu tahsilat</t>
  </si>
  <si>
    <t>Dört kod</t>
  </si>
  <si>
    <t>Dördü DÜŞÜLEMEZ</t>
  </si>
  <si>
    <t>Zaman</t>
  </si>
  <si>
    <t>Dönüşüm</t>
  </si>
  <si>
    <t>Ödeme dönemleri</t>
  </si>
  <si>
    <t>31 Aralık</t>
  </si>
  <si>
    <t>Vade tarihi</t>
  </si>
  <si>
    <t>Ayrı satırlar</t>
  </si>
  <si>
    <t>E.7</t>
  </si>
  <si>
    <t>Muhasebe</t>
  </si>
  <si>
    <t>646/679</t>
  </si>
  <si>
    <t>102/648</t>
  </si>
  <si>
    <t>181/642</t>
  </si>
  <si>
    <t>102/(181+642)</t>
  </si>
  <si>
    <t>Ticari kârda</t>
  </si>
  <si>
    <t>Matrahta kalır</t>
  </si>
  <si>
    <t>F.1  TOPLAM İSTİSNA → Beyanname Satır 373 (Kazancın Bulunması Halinde)</t>
  </si>
  <si>
    <t>D.3 — Net 373 (Toplam − Önceki 372) | KVK Geçici Md.14/1-b</t>
  </si>
  <si>
    <t xml:space="preserve">  ★★ KRİTİK UYARILAR:
(1) YİAKV MATRAHINDA DÜŞÜLEMEZ: 370+371+372+373 tamamı asgari KV matrahından çıkarılmaz — YİAKV E.7.
(2) MÜKERRERLİK: Önceki yıl 372 tahakkuku ile bu yıl 373 vade tahsilatı çakışabilir. C Sütun 6'ya önceki yıl 372 tutarı girilmeli — net 373 = toplam − önceki 372. EN KRİTİK HESAP HATASI.
(3) BEYANNAME: 'Kazancın Bulunması Halinde İndirilecek' — Zarar döneminde uygulanamaz.
(4) MUHASEBE: Dr 102 / Kr 181 (önceki yıl accrual kapatma) + Kr 642 (bu yılın yeni kısmı).</t>
  </si>
  <si>
    <t>373 – KVK GEÇİCİ MD.14/1-b VADE SONU KÂR PAYI/FAİZ | HESAPLAMALAR VE DENETİM</t>
  </si>
  <si>
    <t>Vade Sonu Tahsilat | 372–373 Mükerrerlik Önleme | Beyanname 373 | YİAKV MATRAHINDA DÜŞÜLEMEZ</t>
  </si>
  <si>
    <t>A. TASDİK ÖZETİ</t>
  </si>
  <si>
    <t>A0 Uygunluğu</t>
  </si>
  <si>
    <t>OK ise devam</t>
  </si>
  <si>
    <t>KKM Kaynaklı (B.7)</t>
  </si>
  <si>
    <t>EVET zorunlu</t>
  </si>
  <si>
    <t>Toplam Vade Tahsilat (D.1)</t>
  </si>
  <si>
    <t>Banka bildirimi</t>
  </si>
  <si>
    <t>372 Mahsubu (D.2)</t>
  </si>
  <si>
    <t>Mükerrerlik önleme</t>
  </si>
  <si>
    <t>373 NET İSTİSNA (D.3)</t>
  </si>
  <si>
    <t>★★ YİAKV'de DÜŞÜLEMEZ</t>
  </si>
  <si>
    <t>370+371+372+373 — Dördü de E.7</t>
  </si>
  <si>
    <t>Her zaman DÜŞÜLEMEZ</t>
  </si>
  <si>
    <t>B. 370–371–372–373 TAM KARŞILAŞTIRMA MATRİSİ — KVK GEÇİCİ MD.14</t>
  </si>
  <si>
    <t>Özellik</t>
  </si>
  <si>
    <t>370 (1-a)</t>
  </si>
  <si>
    <t>371 (1-b)</t>
  </si>
  <si>
    <t>372 (1-b)</t>
  </si>
  <si>
    <t>373 (1-b)</t>
  </si>
  <si>
    <t>Ortak</t>
  </si>
  <si>
    <t>Faiz/kâr payı tahakkuk</t>
  </si>
  <si>
    <t>Faiz/kâr payı vade tahsil</t>
  </si>
  <si>
    <t>4 ayrı mekanizma</t>
  </si>
  <si>
    <t>Dönüşüm — tek</t>
  </si>
  <si>
    <t>Her biri farklı dönem</t>
  </si>
  <si>
    <t>Ticari kâra dahil</t>
  </si>
  <si>
    <t>Kazancın Bulunması Halinde</t>
  </si>
  <si>
    <t>DÜŞÜLEMEZ (E.7)</t>
  </si>
  <si>
    <t>Dördü birlikte E.7</t>
  </si>
  <si>
    <t>372–373 İlişki</t>
  </si>
  <si>
    <t>—</t>
  </si>
  <si>
    <t>Dönem sonu accrual</t>
  </si>
  <si>
    <t>Vade tahsilatı − 372</t>
  </si>
  <si>
    <t>Net = Mükerrerlik yok</t>
  </si>
  <si>
    <t>C. DENETİM KONTROL LİSTESİ (K1–K12)</t>
  </si>
  <si>
    <t>Kontrol</t>
  </si>
  <si>
    <t>Sonuç</t>
  </si>
  <si>
    <t>K1</t>
  </si>
  <si>
    <t>★ KKM hesabı 31/12/2021 bilanço kaynaklı dönüşümden mi açıldı?</t>
  </si>
  <si>
    <t>370 çalışma kâğıdıyla çapraz teyit. B.7 EVET olmalı.</t>
  </si>
  <si>
    <t>Uygun/Eksik/Risk</t>
  </si>
  <si>
    <t>K2</t>
  </si>
  <si>
    <t>★ Vade tarihi dönem içinde (01.01–31.12) mi?</t>
  </si>
  <si>
    <t>Sonraki dönemde vadeye girenler → Gelecek yıl 373.</t>
  </si>
  <si>
    <t>K3</t>
  </si>
  <si>
    <t>★ 372–373 MÜKERRERLİK kontrolü (C Sütun 6) yapıldı mı?</t>
  </si>
  <si>
    <t>Önceki yıl 372 tutarı mahsup edildi. Net 373 = Toplam − 372. EN KRİTİK.</t>
  </si>
  <si>
    <t>K4</t>
  </si>
  <si>
    <t>Vade tahsilat tutarları banka vade bildirimiyle mutabık mı?</t>
  </si>
  <si>
    <t>Her hesap satırı banka belgesinden doğrulanmalı.</t>
  </si>
  <si>
    <t>K5</t>
  </si>
  <si>
    <t>Kontrol: 372 + 373 = Toplam kâr payı/faiz mi?</t>
  </si>
  <si>
    <t>Çapraz: İki kodun toplamı banka toplam bildirim tutarına eşit.</t>
  </si>
  <si>
    <t>K6</t>
  </si>
  <si>
    <t>Vade sonu muhasebe kaydı doğru mu? (102 Dr / 181 Kr + 642 Kr)</t>
  </si>
  <si>
    <t>181 kapatma (önceki yıl accrual) + 642 yeni kısım.</t>
  </si>
  <si>
    <t>K7</t>
  </si>
  <si>
    <t>370/371/372 çalışma kâğıtlarıyla çapraz mutabakat yapıldı mı?</t>
  </si>
  <si>
    <t>Dört dosya tutarlı — KKM hesap bilgileri örtüşüyor.</t>
  </si>
  <si>
    <t>K8</t>
  </si>
  <si>
    <t>★★ 373 istisnası YİAKV matrahından DÜŞÜLMEDI mi?</t>
  </si>
  <si>
    <t>370+371+372+373 tamamı YİAKV matrahından DÜŞÜLEMEZ. E.7'de dört satır.</t>
  </si>
  <si>
    <t>K9</t>
  </si>
  <si>
    <t>Beyanname 373 'Kazancın Bulunması Halinde' bölümünde mi?</t>
  </si>
  <si>
    <t>Zarar döneminde uygulanamaz.</t>
  </si>
  <si>
    <t>K10</t>
  </si>
  <si>
    <t>Dönem içinde birden fazla hesap vadeye girdi mi? Hepsi ayrı satırda mı?</t>
  </si>
  <si>
    <t>Her vadeye giren hesap C tablosunda ayrı satır ve ayrı 372 mahsubu.</t>
  </si>
  <si>
    <t>K11</t>
  </si>
  <si>
    <t>Hesap yenileme (rollover) yapıldıysa yeni hesap ayrıca değerlendirildi mi?</t>
  </si>
  <si>
    <t>Yenilenen hesap için yeni 371+372+373 analizi.</t>
  </si>
  <si>
    <t>K12</t>
  </si>
  <si>
    <t>YMM Tasdik Raporu (49 No.lu Tebliğ) değerlendirildi mi?</t>
  </si>
  <si>
    <t>373 – KVK GEÇİCİ MD.14/1-b VADE SONU KÂR PAYI/FAİZ | MUHASEBE KAYITLARI</t>
  </si>
  <si>
    <t>Vade Tahsilatı | 372 Accrual Kapatma | 370–371–372–373 Muhasebe Tablosu</t>
  </si>
  <si>
    <t>KAYIT 1 — VADE SONU (AYNI YILDA AÇILIP KAPANAN HESAP — ÖNCEKİ YIL 372 YOK)</t>
  </si>
  <si>
    <t xml:space="preserve">  Senaryo: KKM hesabı aynı dönemde açılıp vadeye giriyor (örn. Mart 2025 → Eylül 2025). Önceki yıl 372 yok.</t>
  </si>
  <si>
    <t>Tarih</t>
  </si>
  <si>
    <t>Hesap</t>
  </si>
  <si>
    <t>Not</t>
  </si>
  <si>
    <t>Dr</t>
  </si>
  <si>
    <t>Kr</t>
  </si>
  <si>
    <t>Ref</t>
  </si>
  <si>
    <t>[Vade Tarihi]</t>
  </si>
  <si>
    <t>102 Bankalar</t>
  </si>
  <si>
    <t>Vade sonu toplam kâr payı/faiz tahsilatı — tamamı bu dönem → Beyanname 373</t>
  </si>
  <si>
    <t>[Tutar]</t>
  </si>
  <si>
    <t>642 Faiz Gelirleri / 644 Kâr Payları</t>
  </si>
  <si>
    <t>Vade sonu kâr payı/faiz — KVK Geçici Md.14/1-b → Beyanname 373 (tamamı)</t>
  </si>
  <si>
    <t>KV 373</t>
  </si>
  <si>
    <t>KAYIT 2 — VADE SONU (YILI AŞAN VADELİ HESAP — ÖNCEKİ YIL 372 VAR)</t>
  </si>
  <si>
    <t xml:space="preserve">  Senaryo: Mart 2024 açılış, Eylül 2025 vade. 2024 yılı sonunda 372 (181/642) tahakkuku yapılmıştı.</t>
  </si>
  <si>
    <t>[Vade 2025]</t>
  </si>
  <si>
    <t>Vade sonu toplam kâr payı/faiz tahsilatı (2024 + 2025 toplam)</t>
  </si>
  <si>
    <t>[Toplam]</t>
  </si>
  <si>
    <t>181 Gelir Tahakkukları</t>
  </si>
  <si>
    <t>Önceki yıl 372 tahakkukunun kapatılması (2024 tahakkuk tutarı)</t>
  </si>
  <si>
    <t>[2024 x 372]</t>
  </si>
  <si>
    <t>181 kapatma</t>
  </si>
  <si>
    <t>Bu yılın (2025) kısmı → Beyanname 373 = Net tutar</t>
  </si>
  <si>
    <t>[Net 373]</t>
  </si>
  <si>
    <t xml:space="preserve">  2025 Beyannamesi 373 = 642'ye yazılan tutar (Net = Toplam − 2024 x 372). 181 kapatma → 2025'te yeni gelir değil (2024'te 372 alındı). YİAKV'de düşülemez.</t>
  </si>
  <si>
    <t>KAYIT 3 — 370/371/372/373 TAM MUHASEBE TABLOSU</t>
  </si>
  <si>
    <t>[Dönüşüm]</t>
  </si>
  <si>
    <t>Kur farkı değerleme → Tek seferlik → Beyanname 370</t>
  </si>
  <si>
    <t>[370]</t>
  </si>
  <si>
    <t>KV 370</t>
  </si>
  <si>
    <t>[Ödeme]</t>
  </si>
  <si>
    <t>Bankadan kur farkı koruma ödemesi → Dönemsel nakit → Beyanname 371</t>
  </si>
  <si>
    <t>[371]</t>
  </si>
  <si>
    <t>KV 371</t>
  </si>
  <si>
    <t>[31.12]</t>
  </si>
  <si>
    <t>Dönem sonu faiz/kâr payı tahakkuku → 31 Aralık → Beyanname 372</t>
  </si>
  <si>
    <t>[372]</t>
  </si>
  <si>
    <t>KV 372</t>
  </si>
  <si>
    <t>[Vade]</t>
  </si>
  <si>
    <t>Vade sonu tahsilat (181 kapat + yeni 642) → Beyanname 373</t>
  </si>
  <si>
    <t>[373]</t>
  </si>
  <si>
    <t xml:space="preserve">  YİAKV: 646+648+642(372)+642(373) → Ticari kâra dahil. 370+371+372+373 YİAKV MATRAHINDA DÜŞÜLEMEZ (E.7). Genel KV matrahından çıkarılır (her satır ayrı beyannamede). Toplamı: 370+371+372+373 = KVK Geçici Md.14 tam paketi.</t>
  </si>
  <si>
    <t>373 – KVK GEÇİCİ MD.14/1-b VADE SONU KÂR PAYI/FAİZ | DENETÇİ NOTLARI</t>
  </si>
  <si>
    <t>GİB KV Beyan Rehberi Mart 2026 (No:606) | KVK Geçici Md.14 | 372–373 Mükerrerlik | ★★ YİAKV DÜŞÜLEMEZ</t>
  </si>
  <si>
    <t>Kod</t>
  </si>
  <si>
    <t>Mesleki Değerlendirme / Tasdik Standardı</t>
  </si>
  <si>
    <t>Mevzuat / Kaynak</t>
  </si>
  <si>
    <t>N1</t>
  </si>
  <si>
    <t>KVK Geçici Md.14/1-b — 373 Vade Sonu Mekanizması</t>
  </si>
  <si>
    <t>373 (VADE SONUNDA OLUŞAN KÂR PAYI VE FAİZ):
KKM hesabı vadeye ulaştığında bankadan fiilen tahsil edilen kâr payı ve faiz geliri,
KVK Geçici Madde 14/1-b kapsamında kurumlar vergisinden istisnadır.
372 ile TEMEL FARK:
• 372: Hesap açık, dönem sonu 31 Aralık tahakkuku — muhasebe: 181 Dr / 642 Kr.
• 373: Hesap vadeye ulaştı, kâr payı/faiz tahsil edildi — muhasebe: 102 Dr / (181+642) Kr.
ÖNEMLI: Aynı KKM hesabından yılı aşan vadeli işlemlerde HER İKİSİ birlikte oluşabilir.
Önceki yılın 372 tahakkuku ile bu yılın 373 vade tahsilatı ÇAKIŞABİLİR → mükerrerlik önlenmeli.
BEYANNAME: 373 | Kazancın Bulunması Halinde İndirilecek</t>
  </si>
  <si>
    <t>KVK Geçici Md.14/1-b | GİB KV Beyan Reh. 2026 (No:606)</t>
  </si>
  <si>
    <t>N2</t>
  </si>
  <si>
    <t>★ 372–373 MÜKERRERLİK KURALI — EN KRİTİK YMM KONTROLÜ</t>
  </si>
  <si>
    <t>ÖRNEK (Yılı Aşan Vadeli Hesap):
Hesap: Mart 2024 açılış | Eylül 2025 vade | Toplam kâr payı: 30.000 TL
2024 KV dönemi (31.12.2024):
→ Tahakkuk: 14.500 TL (10 ay) | Muhasebe: Dr 181 / Kr 642
→ 2024 beyannamesi 372 satırı: 14.500 TL ✓
2025 KV dönemi (Vade: Eylül 2025):
→ Banka 30.000 TL öder
→ Muhasebe: Dr 102 / Kr 181 (14.500 kapatma) + Kr 642 (15.500 yeni)
→ 2025 beyannamesi 373 satırı: 15.500 TL (NET — önceki 372 mahsup edildi) ✓
ÇAPRAZ KONTROL: 372 (14.500) + 373 (15.500) = 30.000 TL (banka toplam bildirimi) ✓
HATA: 373'e 30.000 TL yazılırsa → 14.500 TL mükerrer istisna → Tarhiyat + Vergi ziyaı cezası.</t>
  </si>
  <si>
    <t>KVK Geçici Md.14/1-b | 1 Seri No.lu KVK GT</t>
  </si>
  <si>
    <t>N3</t>
  </si>
  <si>
    <t>★★ YİAKV ile İlişki — 370+371+372+373 Tamamı DÜŞÜLEMEZ</t>
  </si>
  <si>
    <t>YİAKV (KVK Md.32/C) MATRAHINDA:
• 370 → DÜŞÜLEMEZ | • 371 → DÜŞÜLEMEZ
• 372 → DÜŞÜLEMEZ | • 373 → DÜŞÜLEMEZ
YİAKV çalışma kâğıdı E.7 satırı:
'KKM Kur Farkı Değerleme + Tazminat + Dönem Sonu + Vade Kâr Payı/Faiz İstisnası
(KVK Geçici Md.14) → YİAKV'de DÜŞÜLEMEZ ✗ | Beyanname 370/371/372/373'
YMM, dört kodun tamamının asgari vergi matrahında kaldığını teyit etmelidir.
Toplu olarak da, ayrı ayrı da YİAKV matrahından düşülemez.</t>
  </si>
  <si>
    <t>KVK Md.32/C | YİAKV Reh. (No:607) | GİB KV Beyan Reh. (No:606)</t>
  </si>
  <si>
    <t>N4</t>
  </si>
  <si>
    <t>Hesap Yenileme, Aynı Yılda Birden Fazla Vade, Erken Kapatma</t>
  </si>
  <si>
    <t>HESAP YENİLEME (ROLLOVER):
Vadeye giren hesabın kâr payı/faizi → 373 istisnası.
Yenilenen yeni hesap için yeni 371/372/373 döngüsü başlar.
Yeni hesabın da 31/12/2021 kaynaklı olduğu teyit edilmeli.
AYNI YILDA BİRDEN FAZLA VADE:
Her vadeye giren hesap C tablosunda ayrı satır.
Her hesap için önceki yıl 372 mahsubu ayrı ayrı hesaplanır.
ERKEN KAPATMA:
Vade öncesi kapatmada genellikle ceza faizi uygulanır.
Fiilen tahsil edilen kâr payı/faiz → 373 kapsamında değerlendirilebilir.
372+373 ÇAPRAZ KONTROL:
Her hesap için: 372 (tüm dönem) + 373 (net vade) = Banka toplam bildirimi.
Bu eşitlik sağlanamıyorsa muhasebe veya beyanname hatası var demektir.</t>
  </si>
  <si>
    <t>KVK Geçici Md.14/1-b | VUK Md.280/281</t>
  </si>
  <si>
    <t>N5</t>
  </si>
  <si>
    <t>49 No.lu Tebliğ + YMM Tasdik Dil Standardı</t>
  </si>
  <si>
    <t>KULLANIN (Önceki Yıl 372 Olan Hesap İçin):
'...31/12/2021 tarihli bilançoda kayıtlı yabancı paranın TL kur korumalı mevduat hesabına dönüştürülmesi sonucunda açılan KKM hesabı [Vade Tarihi] tarihinde vadeye ulaşmış; vade süresince oluşan toplam [Brüt Tutar] TL kâr payı/faizin önceki dönemde 372 istisnasına konu edilen [372 Tutarı] TL düşülerek kalan [Net 373] TL KVK Geçici Madde 14/1-b kapsamında kurumlar vergisinden istisna edilmiş ve yurt içi asgari kurumlar vergisi matrahından indirilmemiştir.'
KULLANIN (Önceki Yıl 372 Olmayan Hesap İçin):
'...Vade süresinde oluşan toplam [Tutar] TL kâr payı/faizin tamamı 373 kapsamında istisnaya tabidir.'
KULLANMAYINlar:
'...Toplam vade kâr payının tamamı 373'e yazılmıştır.' (Önceki 372 mahsubu yapılmamış)
'...373 tutarı YİAKV matrahından düşülmüştür.' (YANLIŞ)
KRİTİK RİSKLER:
(1) 372 mahsubu yapılmadan 373'e toplam yazmak — MÜKERRERLIK.
(2) 373'ü YİAKV matrahından düşmek.
(3) Vade tarihinin dönem dışında olduğunu gözden kaçırmak.</t>
  </si>
  <si>
    <t>49 No.lu Tebliğ | KVK Geçici Md.14 | SM-SMMM-YMM K. Md.12</t>
  </si>
  <si>
    <t xml:space="preserve">  GİB KV BEYAN REHBERİ MART 2026 (No:606) KAPANIŞ (373): KVK Geçici Md.14 paketi tamamlandı — 370/371/372/373 dört kod, dört ayrı mekanizma, dört ayrı beyanname satırı. 372–373 mükerrerlik YMM'nin en kritik kontrolüdür. Dördü de YİAKV matrahından DÜŞÜLEMEZ. YMM müteselsil sorumluluk: SM-SMMM-YMM Kanunu Md.12.</t>
  </si>
  <si>
    <t>373 – KVK GEÇİCİ MD.14/1-b VADE SONU KÂR PAYI/FAİZ | BELGE LİSTESİ | YMM TASDİK</t>
  </si>
  <si>
    <t>GİB KV Beyan Rehberi Mart 2026 (No:606) | Banka Vade Bildirimi | 372 Mükerrerlik Önleme</t>
  </si>
  <si>
    <t>KATEGORİ 1 — ZORUNLU BELGELER</t>
  </si>
  <si>
    <t>No</t>
  </si>
  <si>
    <t>Belge</t>
  </si>
  <si>
    <t>Temin</t>
  </si>
  <si>
    <t>1</t>
  </si>
  <si>
    <t>★ Banka Vade Bildirimi / Hesap Özeti — Toplam Kâr Payı/Faiz</t>
  </si>
  <si>
    <t>Vade sonunda bankadan alınan resmi bildiri: Vade tarihi ve toplam kâr payı/faiz tutarı.
C tablosu Sütun 5'in dayanağıdır. Her hesap için ayrı banka belgesi zorunludur.</t>
  </si>
  <si>
    <t>Banka şubesi/internet bankacılığı</t>
  </si>
  <si>
    <t>2</t>
  </si>
  <si>
    <t>★ Önceki Dönem KV Beyannamesi 372 Satırı (Bu Hesap İçin)</t>
  </si>
  <si>
    <t>Önceki yılda bu hesap için 372 kapsamında istisna uygulanan tutar.
C tablosu Sütun 6 (mükerrerlik önleme) için zorunlu kaynak.
YMM: 372 + 373 = Toplam kâr payı/faiz (banka bildirimi) eşitliği kontrol edilmeli.</t>
  </si>
  <si>
    <t>Önceki dönem KV beyannamesi 372 satırı</t>
  </si>
  <si>
    <t>3</t>
  </si>
  <si>
    <t>★ 370/371/372 Çalışma Kâğıtları — Çapraz Mutabakat</t>
  </si>
  <si>
    <t>Dört dosyanın KKM hesap bilgileri tutarlı. B.7 (31/12/2021 kaynaklı) dört dosyada teyit.</t>
  </si>
  <si>
    <t>370/371/372 çalışma kâğıtları</t>
  </si>
  <si>
    <t>4</t>
  </si>
  <si>
    <t>Muhasebe Yevmiyesi — Vade Tahsilat Kaydı (102 Dr / 181 Kr + 642 Kr)</t>
  </si>
  <si>
    <t>Vade muhasebe kaydı: 102 borç / 181 alacak (önceki yıl accrual kapatma) + 642 alacak (yeni kısım).
C Sütun 7 (net 373) ile 642'ye yazılan tutar uyumlu olmalı.</t>
  </si>
  <si>
    <t>Yevmiye defteri</t>
  </si>
  <si>
    <t>5</t>
  </si>
  <si>
    <t>KV Beyannamesi Taslağı — 373. Satır</t>
  </si>
  <si>
    <t>'Kazancın Bulunması Halinde' bölümü. ★★ YİAKV matrahından çıkarılmamış.</t>
  </si>
  <si>
    <t>GİB e-Beyanname sistemi</t>
  </si>
  <si>
    <t>KATEGORİ 2 — EK BELGELER</t>
  </si>
  <si>
    <t>6</t>
  </si>
  <si>
    <t>181 Hesap Ekstresi — Önceki Yıl Tahakkuk Kapanışı</t>
  </si>
  <si>
    <t>181 kapatılan tutar = Sütun 6 tutarı (mükerrerlik kontrol belgesi).</t>
  </si>
  <si>
    <t>181 hesap ekstresi</t>
  </si>
  <si>
    <t>7</t>
  </si>
  <si>
    <t>KKM Hesap Sözleşmesi</t>
  </si>
  <si>
    <t>Kâr payı/faiz oranı ve vade koşulları — hesap doğrulaması için.</t>
  </si>
  <si>
    <t>8</t>
  </si>
  <si>
    <t>Hesap Yenileme Belgesi (Varsa)</t>
  </si>
  <si>
    <t>Rollover için yenileme sözleşmesi — yeni hesabın kapsam analizi.</t>
  </si>
  <si>
    <t>Banka belgesi</t>
  </si>
  <si>
    <t>KATEGORİ 3 — YMM TASDİK KONTROL SORULARI</t>
  </si>
  <si>
    <t>Beklenen Sonuç</t>
  </si>
  <si>
    <t>YMM Aksiyonu</t>
  </si>
  <si>
    <t>S1</t>
  </si>
  <si>
    <t>370 çapraz teyit. B.7 EVET.</t>
  </si>
  <si>
    <t>YMM kontrolü</t>
  </si>
  <si>
    <t>S2</t>
  </si>
  <si>
    <t>S3</t>
  </si>
  <si>
    <t>★ 372–373 MÜKERRERLİK (C Sütun 6) kontrolü yapıldı mı?</t>
  </si>
  <si>
    <t>Önceki yıl 372 mahsup edildi. Net 373 doğru hesaplandı.</t>
  </si>
  <si>
    <t>S4</t>
  </si>
  <si>
    <t>Vade tahsilat tutarları banka bildirimiyle mutabık mı?</t>
  </si>
  <si>
    <t>S5</t>
  </si>
  <si>
    <t>372+373 = Banka toplam bildirimi eşitliği sağlandı mı?</t>
  </si>
  <si>
    <t>Çapraz kontrol: İki kodun toplamı banka tutarına eşit.</t>
  </si>
  <si>
    <t>S6</t>
  </si>
  <si>
    <t>Vade muhasebe kaydı doğru? (102/181+642)</t>
  </si>
  <si>
    <t>181 kapatma + 642 yeni kısım.</t>
  </si>
  <si>
    <t>S7</t>
  </si>
  <si>
    <t>370/371/372 dosyalarıyla çapraz mutabakat tamam mı?</t>
  </si>
  <si>
    <t>Dört dosya tutarlı.</t>
  </si>
  <si>
    <t>S8</t>
  </si>
  <si>
    <t>370+371+372+373 tamamı YİAKV E.7'de DÜŞÜLEMEZ.</t>
  </si>
  <si>
    <t>S9</t>
  </si>
  <si>
    <t>S10</t>
  </si>
  <si>
    <t>SON NOT: GİB KV Beyan Rehberi Mart 2026 (No:606) esas alınmıştır. 373, 370+371+372 ile KVK Geçici Md.14 paketini tamamlar. 372–373 mükerrerlik (Sütun 6 mahsubu) en kritik YMM kontrol noktasıdır. Dördü de YİAKV matrahından DÜŞÜLEMEZ (E.7). YMM müteselsil: SM-SMMM-YMM Kanunu Md.12.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</si>
</sst>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b/>
      <sz val="8"/>
      <color rgb="FF7B5E00"/>
      <name val="Arial"/>
    </font>
    <font>
      <b/>
      <sz val="8"/>
      <color rgb="FFFFFFFF"/>
      <name val="Arial"/>
    </font>
    <font>
      <b/>
      <sz val="10"/>
      <color rgb="FFFFFFFF"/>
      <name val="Arial"/>
    </font>
    <font>
      <b/>
      <sz val="9"/>
      <color rgb="FF1F3864"/>
      <name val="Arial"/>
    </font>
    <font>
      <b/>
      <sz val="10"/>
      <color rgb="FF0000FF"/>
      <name val="Arial"/>
    </font>
    <font>
      <i/>
      <sz val="8"/>
      <color rgb="FF555555"/>
      <name val="Arial"/>
    </font>
    <font>
      <b/>
      <sz val="9"/>
      <color rgb="FFC0392B"/>
      <name val="Arial"/>
    </font>
    <font>
      <i/>
      <sz val="8"/>
      <color rgb="FFC0392B"/>
      <name val="Arial"/>
    </font>
    <font>
      <b/>
      <sz val="10"/>
      <color rgb="FF1B5E20"/>
      <name val="Arial"/>
    </font>
    <font>
      <i/>
      <sz val="8"/>
      <color rgb="FF888888"/>
      <name val="Arial"/>
    </font>
    <font>
      <b/>
      <sz val="8"/>
      <color rgb="FFC0392B"/>
      <name val="Arial"/>
    </font>
    <font>
      <i/>
      <sz val="8"/>
      <color rgb="FF0D47A1"/>
      <name val="Arial"/>
    </font>
    <font>
      <b/>
      <sz val="10"/>
      <color rgb="FF1F3864"/>
      <name val="Arial"/>
    </font>
    <font>
      <sz val="9"/>
      <color rgb="FF1F3864"/>
      <name val="Arial"/>
    </font>
    <font>
      <b/>
      <sz val="9"/>
      <color rgb="FF0D47A1"/>
      <name val="Arial"/>
    </font>
    <font>
      <b/>
      <sz val="9"/>
      <color rgb="FFE65100"/>
      <name val="Arial"/>
    </font>
    <font>
      <b/>
      <sz val="9"/>
      <color rgb="FF1B5E20"/>
      <name val="Arial"/>
    </font>
    <font>
      <b/>
      <sz val="11"/>
      <color rgb="FFFFFFFF"/>
      <name val="Arial"/>
    </font>
    <font>
      <b/>
      <sz val="13"/>
      <color rgb="FF1B5E20"/>
      <name val="Arial"/>
    </font>
    <font>
      <sz val="8"/>
      <color rgb="FF00574B"/>
      <name val="Arial"/>
    </font>
    <font>
      <sz val="8"/>
      <color rgb="FF004D40"/>
      <name val="Arial"/>
    </font>
    <font>
      <sz val="8"/>
      <color rgb="FF01579B"/>
      <name val="Arial"/>
    </font>
    <font>
      <sz val="8"/>
      <color rgb="FF0D47A1"/>
      <name val="Arial"/>
    </font>
    <font>
      <b/>
      <sz val="8"/>
      <color rgb="FF1F3864"/>
      <name val="Arial"/>
    </font>
    <font>
      <b/>
      <sz val="14"/>
      <color rgb="FF1B5E20"/>
      <name val="Arial"/>
    </font>
    <font>
      <i/>
      <sz val="8"/>
      <color rgb="FF1B5E20"/>
      <name val="Arial"/>
    </font>
    <font>
      <b/>
      <sz val="12"/>
      <color rgb="FFFFFFFF"/>
      <name val="Arial"/>
    </font>
    <font>
      <b/>
      <sz val="12"/>
      <color rgb="FF1B5E20"/>
      <name val="Arial"/>
    </font>
    <font>
      <b/>
      <sz val="10"/>
      <color rgb="FFE65100"/>
      <name val="Arial"/>
    </font>
    <font>
      <sz val="8"/>
      <color rgb="FF1F3864"/>
      <name val="Arial"/>
    </font>
    <font>
      <sz val="8"/>
      <color rgb="FF333333"/>
      <name val="Arial"/>
    </font>
    <font>
      <sz val="8"/>
      <color rgb="FFFFFFFF"/>
      <name val="Arial"/>
    </font>
    <font>
      <sz val="8"/>
      <color rgb="FFC0392B"/>
      <name val="Arial"/>
    </font>
    <font>
      <i/>
      <sz val="8"/>
      <color rgb="FF444444"/>
      <name val="Arial"/>
    </font>
    <font>
      <b/>
      <sz val="9"/>
      <color rgb="FF7B5E00"/>
      <name val="Arial"/>
    </font>
    <font>
      <b/>
      <sz val="9"/>
      <color rgb="FF1565C0"/>
      <name val="Arial"/>
    </font>
    <font>
      <i/>
      <sz val="8"/>
      <color rgb="FF1565C0"/>
      <name val="Arial"/>
    </font>
    <font>
      <b/>
      <sz val="15"/>
      <color rgb="FFFFFFFF"/>
      <name val="Arial"/>
      <family val="2"/>
      <charset val="162"/>
    </font>
    <font>
      <sz val="15"/>
      <color theme="1"/>
      <name val="Calibri"/>
      <family val="2"/>
      <scheme val="minor"/>
    </font>
    <font>
      <b/>
      <sz val="9"/>
      <color theme="1"/>
      <name val="Arial"/>
      <family val="2"/>
      <charset val="162"/>
    </font>
  </fonts>
  <fills count="30">
    <fill>
      <patternFill patternType="none"/>
    </fill>
    <fill>
      <patternFill patternType="gray125"/>
    </fill>
    <fill>
      <patternFill patternType="solid">
        <fgColor rgb="FF0D47A1"/>
      </patternFill>
    </fill>
    <fill>
      <patternFill patternType="solid">
        <fgColor rgb="FF2C3E50"/>
      </patternFill>
    </fill>
    <fill>
      <patternFill patternType="solid">
        <fgColor rgb="FFFFF9C4"/>
      </patternFill>
    </fill>
    <fill>
      <patternFill patternType="solid">
        <fgColor rgb="FFE65100"/>
      </patternFill>
    </fill>
    <fill>
      <patternFill patternType="solid">
        <fgColor rgb="FFDEDEDE"/>
      </patternFill>
    </fill>
    <fill>
      <patternFill patternType="solid">
        <fgColor rgb="FFC0392B"/>
      </patternFill>
    </fill>
    <fill>
      <patternFill patternType="solid">
        <fgColor rgb="FF1565C0"/>
      </patternFill>
    </fill>
    <fill>
      <patternFill patternType="solid">
        <fgColor rgb="FFE8EAF6"/>
      </patternFill>
    </fill>
    <fill>
      <patternFill patternType="solid">
        <fgColor rgb="FFFFFF00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FFEBEE"/>
      </patternFill>
    </fill>
    <fill>
      <patternFill patternType="solid">
        <fgColor rgb="FFFFF3E0"/>
      </patternFill>
    </fill>
    <fill>
      <patternFill patternType="solid">
        <fgColor rgb="FFEEF4FF"/>
      </patternFill>
    </fill>
    <fill>
      <patternFill patternType="solid">
        <fgColor rgb="FFE0F7FA"/>
      </patternFill>
    </fill>
    <fill>
      <patternFill patternType="solid">
        <fgColor rgb="FFE3F2FD"/>
      </patternFill>
    </fill>
    <fill>
      <patternFill patternType="solid">
        <fgColor rgb="FF1B5E20"/>
      </patternFill>
    </fill>
    <fill>
      <patternFill patternType="solid">
        <fgColor rgb="FFFFF5F5"/>
      </patternFill>
    </fill>
    <fill>
      <patternFill patternType="solid">
        <fgColor rgb="FFFFD0D0"/>
      </patternFill>
    </fill>
    <fill>
      <patternFill patternType="solid">
        <fgColor rgb="FFF7F7F7"/>
      </patternFill>
    </fill>
    <fill>
      <patternFill patternType="solid">
        <fgColor rgb="FFEBF5EB"/>
      </patternFill>
    </fill>
    <fill>
      <patternFill patternType="solid">
        <fgColor rgb="FFB71C1C"/>
      </patternFill>
    </fill>
    <fill>
      <patternFill patternType="solid">
        <fgColor rgb="FFFFB0B0"/>
      </patternFill>
    </fill>
    <fill>
      <patternFill patternType="solid">
        <fgColor rgb="FFFFF5F5"/>
        <bgColor indexed="64"/>
      </patternFill>
    </fill>
    <fill>
      <patternFill patternType="solid">
        <fgColor rgb="FFE8EA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EBEE"/>
        <bgColor indexed="64"/>
      </patternFill>
    </fill>
  </fills>
  <borders count="7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0D47A1"/>
      </left>
      <right style="thin">
        <color rgb="FF0D47A1"/>
      </right>
      <top style="thin">
        <color rgb="FF0D47A1"/>
      </top>
      <bottom style="thin">
        <color rgb="FF0D47A1"/>
      </bottom>
      <diagonal/>
    </border>
    <border>
      <left style="thin">
        <color rgb="FFE65100"/>
      </left>
      <right style="thin">
        <color rgb="FFE65100"/>
      </right>
      <top style="thin">
        <color rgb="FFE65100"/>
      </top>
      <bottom style="thin">
        <color rgb="FFE65100"/>
      </bottom>
      <diagonal/>
    </border>
    <border>
      <left style="thin">
        <color rgb="FF009900"/>
      </left>
      <right style="thin">
        <color rgb="FF009900"/>
      </right>
      <top style="thin">
        <color rgb="FF009900"/>
      </top>
      <bottom style="thin">
        <color rgb="FF009900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0" fillId="6" borderId="1" xfId="0" applyFill="1" applyBorder="1"/>
    <xf numFmtId="0" fontId="1" fillId="8" borderId="2" xfId="0" applyFont="1" applyFill="1" applyBorder="1" applyAlignment="1">
      <alignment horizontal="center" vertical="center" wrapText="1"/>
    </xf>
    <xf numFmtId="0" fontId="0" fillId="9" borderId="1" xfId="0" applyFill="1" applyBorder="1"/>
    <xf numFmtId="0" fontId="6" fillId="10" borderId="1" xfId="0" applyFont="1" applyFill="1" applyBorder="1" applyAlignment="1">
      <alignment horizontal="center" vertical="center"/>
    </xf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10" fillId="13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left" vertical="center" wrapText="1"/>
    </xf>
    <xf numFmtId="0" fontId="11" fillId="12" borderId="1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left" vertical="center"/>
    </xf>
    <xf numFmtId="1" fontId="0" fillId="10" borderId="1" xfId="0" applyNumberFormat="1" applyFill="1" applyBorder="1" applyAlignment="1">
      <alignment horizontal="center" vertical="center"/>
    </xf>
    <xf numFmtId="3" fontId="16" fillId="9" borderId="3" xfId="0" applyNumberFormat="1" applyFont="1" applyFill="1" applyBorder="1" applyAlignment="1">
      <alignment horizontal="right" vertical="center"/>
    </xf>
    <xf numFmtId="3" fontId="17" fillId="15" borderId="4" xfId="0" applyNumberFormat="1" applyFont="1" applyFill="1" applyBorder="1" applyAlignment="1">
      <alignment horizontal="right" vertical="center"/>
    </xf>
    <xf numFmtId="3" fontId="18" fillId="13" borderId="5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right" vertical="center"/>
    </xf>
    <xf numFmtId="3" fontId="4" fillId="15" borderId="1" xfId="0" applyNumberFormat="1" applyFont="1" applyFill="1" applyBorder="1" applyAlignment="1">
      <alignment horizontal="right" vertical="center"/>
    </xf>
    <xf numFmtId="3" fontId="19" fillId="2" borderId="1" xfId="0" applyNumberFormat="1" applyFont="1" applyFill="1" applyBorder="1" applyAlignment="1">
      <alignment horizontal="right" vertical="center"/>
    </xf>
    <xf numFmtId="3" fontId="10" fillId="9" borderId="1" xfId="0" applyNumberFormat="1" applyFont="1" applyFill="1" applyBorder="1" applyAlignment="1">
      <alignment horizontal="right" vertical="center"/>
    </xf>
    <xf numFmtId="3" fontId="20" fillId="13" borderId="5" xfId="0" applyNumberFormat="1" applyFont="1" applyFill="1" applyBorder="1" applyAlignment="1">
      <alignment horizontal="right" vertical="center"/>
    </xf>
    <xf numFmtId="0" fontId="0" fillId="10" borderId="1" xfId="0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  <xf numFmtId="0" fontId="21" fillId="15" borderId="1" xfId="0" applyFont="1" applyFill="1" applyBorder="1" applyAlignment="1">
      <alignment horizontal="center" vertical="center" wrapText="1"/>
    </xf>
    <xf numFmtId="0" fontId="22" fillId="17" borderId="1" xfId="0" applyFont="1" applyFill="1" applyBorder="1" applyAlignment="1">
      <alignment horizontal="center" vertical="center" wrapText="1"/>
    </xf>
    <xf numFmtId="0" fontId="23" fillId="9" borderId="1" xfId="0" applyFont="1" applyFill="1" applyBorder="1" applyAlignment="1">
      <alignment horizontal="center" vertical="center" wrapText="1"/>
    </xf>
    <xf numFmtId="0" fontId="24" fillId="18" borderId="1" xfId="0" applyFont="1" applyFill="1" applyBorder="1" applyAlignment="1">
      <alignment horizontal="center" vertical="center" wrapText="1"/>
    </xf>
    <xf numFmtId="0" fontId="25" fillId="12" borderId="1" xfId="0" applyFont="1" applyFill="1" applyBorder="1" applyAlignment="1">
      <alignment horizontal="center" vertical="center"/>
    </xf>
    <xf numFmtId="0" fontId="12" fillId="14" borderId="1" xfId="0" applyFont="1" applyFill="1" applyBorder="1" applyAlignment="1">
      <alignment horizontal="center" vertical="center" wrapText="1"/>
    </xf>
    <xf numFmtId="0" fontId="25" fillId="9" borderId="1" xfId="0" applyFont="1" applyFill="1" applyBorder="1" applyAlignment="1">
      <alignment horizontal="center" vertical="center"/>
    </xf>
    <xf numFmtId="3" fontId="26" fillId="13" borderId="5" xfId="0" applyNumberFormat="1" applyFont="1" applyFill="1" applyBorder="1" applyAlignment="1">
      <alignment horizontal="right" vertical="center"/>
    </xf>
    <xf numFmtId="3" fontId="10" fillId="9" borderId="1" xfId="0" applyNumberFormat="1" applyFont="1" applyFill="1" applyBorder="1" applyAlignment="1">
      <alignment horizontal="center" vertical="center"/>
    </xf>
    <xf numFmtId="3" fontId="29" fillId="13" borderId="1" xfId="0" applyNumberFormat="1" applyFont="1" applyFill="1" applyBorder="1" applyAlignment="1">
      <alignment horizontal="right" vertical="center"/>
    </xf>
    <xf numFmtId="0" fontId="30" fillId="15" borderId="1" xfId="0" applyFont="1" applyFill="1" applyBorder="1" applyAlignment="1">
      <alignment horizontal="center" vertical="center"/>
    </xf>
    <xf numFmtId="0" fontId="31" fillId="1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top"/>
    </xf>
    <xf numFmtId="0" fontId="8" fillId="11" borderId="1" xfId="0" applyFont="1" applyFill="1" applyBorder="1" applyAlignment="1">
      <alignment horizontal="left" vertical="top" wrapText="1"/>
    </xf>
    <xf numFmtId="0" fontId="32" fillId="20" borderId="1" xfId="0" applyFont="1" applyFill="1" applyBorder="1" applyAlignment="1">
      <alignment horizontal="left" vertical="top" wrapText="1"/>
    </xf>
    <xf numFmtId="0" fontId="0" fillId="10" borderId="1" xfId="0" applyFill="1" applyBorder="1" applyAlignment="1">
      <alignment horizontal="center" vertical="top"/>
    </xf>
    <xf numFmtId="0" fontId="5" fillId="9" borderId="1" xfId="0" applyFont="1" applyFill="1" applyBorder="1" applyAlignment="1">
      <alignment horizontal="left" vertical="top" wrapText="1"/>
    </xf>
    <xf numFmtId="0" fontId="32" fillId="9" borderId="1" xfId="0" applyFont="1" applyFill="1" applyBorder="1" applyAlignment="1">
      <alignment horizontal="left" vertical="top" wrapText="1"/>
    </xf>
    <xf numFmtId="0" fontId="5" fillId="12" borderId="1" xfId="0" applyFont="1" applyFill="1" applyBorder="1" applyAlignment="1">
      <alignment horizontal="left" vertical="top" wrapText="1"/>
    </xf>
    <xf numFmtId="0" fontId="32" fillId="12" borderId="1" xfId="0" applyFont="1" applyFill="1" applyBorder="1" applyAlignment="1">
      <alignment horizontal="left" vertical="top" wrapText="1"/>
    </xf>
    <xf numFmtId="0" fontId="1" fillId="7" borderId="1" xfId="0" applyFont="1" applyFill="1" applyBorder="1" applyAlignment="1">
      <alignment horizontal="center" vertical="top"/>
    </xf>
    <xf numFmtId="0" fontId="8" fillId="21" borderId="1" xfId="0" applyFont="1" applyFill="1" applyBorder="1" applyAlignment="1">
      <alignment horizontal="left" vertical="top" wrapText="1"/>
    </xf>
    <xf numFmtId="0" fontId="0" fillId="21" borderId="1" xfId="0" applyFill="1" applyBorder="1"/>
    <xf numFmtId="0" fontId="32" fillId="14" borderId="1" xfId="0" applyFont="1" applyFill="1" applyBorder="1" applyAlignment="1">
      <alignment horizontal="left" vertical="top" wrapText="1"/>
    </xf>
    <xf numFmtId="0" fontId="0" fillId="14" borderId="1" xfId="0" applyFill="1" applyBorder="1"/>
    <xf numFmtId="0" fontId="1" fillId="8" borderId="2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15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32" fillId="22" borderId="1" xfId="0" applyFont="1" applyFill="1" applyBorder="1" applyAlignment="1">
      <alignment horizontal="left" vertical="top" wrapText="1"/>
    </xf>
    <xf numFmtId="0" fontId="35" fillId="9" borderId="1" xfId="0" applyFont="1" applyFill="1" applyBorder="1" applyAlignment="1">
      <alignment horizontal="left" vertical="top" wrapText="1"/>
    </xf>
    <xf numFmtId="0" fontId="35" fillId="11" borderId="1" xfId="0" applyFont="1" applyFill="1" applyBorder="1" applyAlignment="1">
      <alignment horizontal="left" vertical="top" wrapText="1"/>
    </xf>
    <xf numFmtId="0" fontId="8" fillId="14" borderId="1" xfId="0" applyFont="1" applyFill="1" applyBorder="1" applyAlignment="1">
      <alignment horizontal="left" vertical="top" wrapText="1"/>
    </xf>
    <xf numFmtId="0" fontId="35" fillId="14" borderId="1" xfId="0" applyFont="1" applyFill="1" applyBorder="1" applyAlignment="1">
      <alignment horizontal="left" vertical="top" wrapText="1"/>
    </xf>
    <xf numFmtId="0" fontId="35" fillId="12" borderId="1" xfId="0" applyFont="1" applyFill="1" applyBorder="1" applyAlignment="1">
      <alignment horizontal="left" vertical="top" wrapText="1"/>
    </xf>
    <xf numFmtId="0" fontId="5" fillId="13" borderId="1" xfId="0" applyFont="1" applyFill="1" applyBorder="1" applyAlignment="1">
      <alignment horizontal="center" vertical="top"/>
    </xf>
    <xf numFmtId="0" fontId="5" fillId="13" borderId="1" xfId="0" applyFont="1" applyFill="1" applyBorder="1" applyAlignment="1">
      <alignment horizontal="left" vertical="top" wrapText="1"/>
    </xf>
    <xf numFmtId="0" fontId="32" fillId="23" borderId="1" xfId="0" applyFont="1" applyFill="1" applyBorder="1" applyAlignment="1">
      <alignment horizontal="left" vertical="top" wrapText="1"/>
    </xf>
    <xf numFmtId="0" fontId="35" fillId="13" borderId="1" xfId="0" applyFont="1" applyFill="1" applyBorder="1" applyAlignment="1">
      <alignment horizontal="left" vertical="top" wrapText="1"/>
    </xf>
    <xf numFmtId="0" fontId="0" fillId="18" borderId="1" xfId="0" applyFill="1" applyBorder="1"/>
    <xf numFmtId="0" fontId="5" fillId="18" borderId="1" xfId="0" applyFont="1" applyFill="1" applyBorder="1" applyAlignment="1">
      <alignment horizontal="center" vertical="top"/>
    </xf>
    <xf numFmtId="0" fontId="5" fillId="18" borderId="1" xfId="0" applyFont="1" applyFill="1" applyBorder="1" applyAlignment="1">
      <alignment horizontal="left" vertical="top" wrapText="1"/>
    </xf>
    <xf numFmtId="0" fontId="32" fillId="16" borderId="1" xfId="0" applyFont="1" applyFill="1" applyBorder="1" applyAlignment="1">
      <alignment horizontal="left" vertical="top" wrapText="1"/>
    </xf>
    <xf numFmtId="0" fontId="35" fillId="18" borderId="1" xfId="0" applyFont="1" applyFill="1" applyBorder="1" applyAlignment="1">
      <alignment horizontal="left" vertical="top" wrapText="1"/>
    </xf>
    <xf numFmtId="0" fontId="1" fillId="24" borderId="2" xfId="0" applyFont="1" applyFill="1" applyBorder="1" applyAlignment="1">
      <alignment horizontal="center" vertical="center"/>
    </xf>
    <xf numFmtId="0" fontId="37" fillId="14" borderId="1" xfId="0" applyFont="1" applyFill="1" applyBorder="1" applyAlignment="1">
      <alignment horizontal="center" vertical="top"/>
    </xf>
    <xf numFmtId="0" fontId="32" fillId="21" borderId="1" xfId="0" applyFont="1" applyFill="1" applyBorder="1" applyAlignment="1">
      <alignment horizontal="left" vertical="top" wrapText="1"/>
    </xf>
    <xf numFmtId="0" fontId="38" fillId="14" borderId="1" xfId="0" applyFont="1" applyFill="1" applyBorder="1" applyAlignment="1">
      <alignment horizontal="center" vertical="top"/>
    </xf>
    <xf numFmtId="0" fontId="37" fillId="18" borderId="1" xfId="0" applyFont="1" applyFill="1" applyBorder="1" applyAlignment="1">
      <alignment horizontal="center" vertical="top"/>
    </xf>
    <xf numFmtId="0" fontId="37" fillId="18" borderId="1" xfId="0" applyFont="1" applyFill="1" applyBorder="1" applyAlignment="1">
      <alignment horizontal="left" vertical="top" wrapText="1"/>
    </xf>
    <xf numFmtId="0" fontId="38" fillId="18" borderId="1" xfId="0" applyFont="1" applyFill="1" applyBorder="1" applyAlignment="1">
      <alignment horizontal="center" vertical="top"/>
    </xf>
    <xf numFmtId="0" fontId="37" fillId="21" borderId="1" xfId="0" applyFont="1" applyFill="1" applyBorder="1" applyAlignment="1">
      <alignment horizontal="center" vertical="top"/>
    </xf>
    <xf numFmtId="0" fontId="32" fillId="25" borderId="1" xfId="0" applyFont="1" applyFill="1" applyBorder="1" applyAlignment="1">
      <alignment horizontal="left" vertical="top" wrapText="1"/>
    </xf>
    <xf numFmtId="0" fontId="38" fillId="21" borderId="1" xfId="0" applyFont="1" applyFill="1" applyBorder="1" applyAlignment="1">
      <alignment horizontal="center" vertical="top"/>
    </xf>
    <xf numFmtId="0" fontId="5" fillId="12" borderId="1" xfId="0" applyFont="1" applyFill="1" applyBorder="1" applyAlignment="1">
      <alignment horizontal="left" vertical="center" wrapText="1"/>
    </xf>
    <xf numFmtId="0" fontId="0" fillId="12" borderId="1" xfId="0" applyFill="1" applyBorder="1"/>
    <xf numFmtId="0" fontId="4" fillId="7" borderId="2" xfId="0" applyFont="1" applyFill="1" applyBorder="1" applyAlignment="1">
      <alignment horizontal="left" vertical="center"/>
    </xf>
    <xf numFmtId="0" fontId="0" fillId="7" borderId="2" xfId="0" applyFill="1" applyBorder="1"/>
    <xf numFmtId="0" fontId="11" fillId="9" borderId="1" xfId="0" applyFont="1" applyFill="1" applyBorder="1" applyAlignment="1">
      <alignment horizontal="left" vertical="center" wrapText="1"/>
    </xf>
    <xf numFmtId="0" fontId="0" fillId="9" borderId="1" xfId="0" applyFill="1" applyBorder="1"/>
    <xf numFmtId="0" fontId="4" fillId="2" borderId="2" xfId="0" applyFont="1" applyFill="1" applyBorder="1" applyAlignment="1">
      <alignment horizontal="left" vertical="center"/>
    </xf>
    <xf numFmtId="0" fontId="0" fillId="2" borderId="2" xfId="0" applyFill="1" applyBorder="1"/>
    <xf numFmtId="0" fontId="5" fillId="9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0" fillId="4" borderId="2" xfId="0" applyFill="1" applyBorder="1"/>
    <xf numFmtId="0" fontId="13" fillId="9" borderId="1" xfId="0" applyFont="1" applyFill="1" applyBorder="1" applyAlignment="1">
      <alignment horizontal="left" vertical="center" wrapText="1"/>
    </xf>
    <xf numFmtId="0" fontId="11" fillId="12" borderId="1" xfId="0" applyFont="1" applyFill="1" applyBorder="1" applyAlignment="1">
      <alignment horizontal="left" vertical="center" wrapText="1"/>
    </xf>
    <xf numFmtId="0" fontId="9" fillId="11" borderId="1" xfId="0" applyFont="1" applyFill="1" applyBorder="1" applyAlignment="1">
      <alignment horizontal="left" vertical="center" wrapText="1"/>
    </xf>
    <xf numFmtId="0" fontId="0" fillId="11" borderId="1" xfId="0" applyFill="1" applyBorder="1"/>
    <xf numFmtId="0" fontId="10" fillId="13" borderId="1" xfId="0" applyFont="1" applyFill="1" applyBorder="1" applyAlignment="1">
      <alignment horizontal="left" vertical="center"/>
    </xf>
    <xf numFmtId="0" fontId="0" fillId="13" borderId="1" xfId="0" applyFill="1" applyBorder="1"/>
    <xf numFmtId="0" fontId="0" fillId="10" borderId="1" xfId="0" applyFill="1" applyBorder="1"/>
    <xf numFmtId="0" fontId="8" fillId="11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0" fillId="3" borderId="1" xfId="0" applyFill="1" applyBorder="1"/>
    <xf numFmtId="0" fontId="13" fillId="1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0" fillId="2" borderId="1" xfId="0" applyFill="1" applyBorder="1"/>
    <xf numFmtId="0" fontId="8" fillId="9" borderId="1" xfId="0" applyFont="1" applyFill="1" applyBorder="1" applyAlignment="1">
      <alignment horizontal="left" vertical="center" wrapText="1"/>
    </xf>
    <xf numFmtId="0" fontId="13" fillId="16" borderId="2" xfId="0" applyFont="1" applyFill="1" applyBorder="1" applyAlignment="1">
      <alignment horizontal="left" vertical="center" wrapText="1"/>
    </xf>
    <xf numFmtId="0" fontId="0" fillId="16" borderId="2" xfId="0" applyFill="1" applyBorder="1"/>
    <xf numFmtId="0" fontId="7" fillId="12" borderId="1" xfId="0" applyFont="1" applyFill="1" applyBorder="1" applyAlignment="1">
      <alignment horizontal="left" vertical="center" wrapText="1"/>
    </xf>
    <xf numFmtId="0" fontId="12" fillId="14" borderId="2" xfId="0" applyFont="1" applyFill="1" applyBorder="1" applyAlignment="1">
      <alignment horizontal="left" vertical="center" wrapText="1"/>
    </xf>
    <xf numFmtId="0" fontId="0" fillId="14" borderId="2" xfId="0" applyFill="1" applyBorder="1"/>
    <xf numFmtId="0" fontId="9" fillId="13" borderId="1" xfId="0" applyFont="1" applyFill="1" applyBorder="1" applyAlignment="1">
      <alignment horizontal="left" vertical="center" wrapText="1"/>
    </xf>
    <xf numFmtId="0" fontId="11" fillId="13" borderId="1" xfId="0" applyFont="1" applyFill="1" applyBorder="1" applyAlignment="1">
      <alignment horizontal="left" vertical="center" wrapText="1"/>
    </xf>
    <xf numFmtId="0" fontId="7" fillId="13" borderId="1" xfId="0" applyFont="1" applyFill="1" applyBorder="1" applyAlignment="1">
      <alignment horizontal="left" vertical="center" wrapText="1"/>
    </xf>
    <xf numFmtId="0" fontId="8" fillId="11" borderId="2" xfId="0" applyFont="1" applyFill="1" applyBorder="1" applyAlignment="1">
      <alignment horizontal="left" vertical="center" wrapText="1"/>
    </xf>
    <xf numFmtId="0" fontId="0" fillId="11" borderId="2" xfId="0" applyFill="1" applyBorder="1"/>
    <xf numFmtId="0" fontId="18" fillId="13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left" vertical="center"/>
    </xf>
    <xf numFmtId="0" fontId="27" fillId="13" borderId="1" xfId="0" applyFont="1" applyFill="1" applyBorder="1" applyAlignment="1">
      <alignment horizontal="left" vertical="center" wrapText="1"/>
    </xf>
    <xf numFmtId="0" fontId="15" fillId="9" borderId="1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/>
    </xf>
    <xf numFmtId="0" fontId="0" fillId="5" borderId="2" xfId="0" applyFill="1" applyBorder="1"/>
    <xf numFmtId="0" fontId="5" fillId="12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0" fontId="28" fillId="2" borderId="2" xfId="0" applyFont="1" applyFill="1" applyBorder="1" applyAlignment="1">
      <alignment horizontal="left" vertical="center"/>
    </xf>
    <xf numFmtId="0" fontId="5" fillId="15" borderId="1" xfId="0" applyFont="1" applyFill="1" applyBorder="1" applyAlignment="1">
      <alignment horizontal="left" vertical="center"/>
    </xf>
    <xf numFmtId="0" fontId="0" fillId="15" borderId="1" xfId="0" applyFill="1" applyBorder="1"/>
    <xf numFmtId="0" fontId="4" fillId="19" borderId="2" xfId="0" applyFont="1" applyFill="1" applyBorder="1" applyAlignment="1">
      <alignment horizontal="left" vertical="center"/>
    </xf>
    <xf numFmtId="0" fontId="0" fillId="19" borderId="2" xfId="0" applyFill="1" applyBorder="1"/>
    <xf numFmtId="0" fontId="7" fillId="15" borderId="1" xfId="0" applyFont="1" applyFill="1" applyBorder="1" applyAlignment="1">
      <alignment horizontal="left" vertical="center" wrapText="1"/>
    </xf>
    <xf numFmtId="0" fontId="34" fillId="11" borderId="1" xfId="0" applyFont="1" applyFill="1" applyBorder="1" applyAlignment="1">
      <alignment horizontal="left" vertical="center" wrapText="1"/>
    </xf>
    <xf numFmtId="0" fontId="33" fillId="3" borderId="1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left" vertical="center"/>
    </xf>
    <xf numFmtId="0" fontId="0" fillId="8" borderId="2" xfId="0" applyFill="1" applyBorder="1"/>
    <xf numFmtId="0" fontId="31" fillId="9" borderId="1" xfId="0" applyFont="1" applyFill="1" applyBorder="1" applyAlignment="1">
      <alignment horizontal="left" vertical="center" wrapText="1"/>
    </xf>
    <xf numFmtId="0" fontId="32" fillId="15" borderId="2" xfId="0" applyFont="1" applyFill="1" applyBorder="1" applyAlignment="1">
      <alignment horizontal="left" vertical="center" wrapText="1"/>
    </xf>
    <xf numFmtId="0" fontId="0" fillId="15" borderId="2" xfId="0" applyFill="1" applyBorder="1"/>
    <xf numFmtId="0" fontId="36" fillId="4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0" fillId="3" borderId="2" xfId="0" applyFill="1" applyBorder="1"/>
    <xf numFmtId="0" fontId="19" fillId="2" borderId="2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0" fillId="3" borderId="6" xfId="0" applyFill="1" applyBorder="1"/>
    <xf numFmtId="0" fontId="4" fillId="2" borderId="6" xfId="0" applyFont="1" applyFill="1" applyBorder="1" applyAlignment="1">
      <alignment horizontal="left" vertical="center"/>
    </xf>
    <xf numFmtId="0" fontId="0" fillId="2" borderId="6" xfId="0" applyFill="1" applyBorder="1"/>
    <xf numFmtId="0" fontId="4" fillId="24" borderId="6" xfId="0" applyFont="1" applyFill="1" applyBorder="1" applyAlignment="1">
      <alignment horizontal="left" vertical="center"/>
    </xf>
    <xf numFmtId="0" fontId="0" fillId="24" borderId="6" xfId="0" applyFill="1" applyBorder="1"/>
    <xf numFmtId="0" fontId="4" fillId="8" borderId="6" xfId="0" applyFont="1" applyFill="1" applyBorder="1" applyAlignment="1">
      <alignment horizontal="left" vertical="center"/>
    </xf>
    <xf numFmtId="0" fontId="0" fillId="8" borderId="6" xfId="0" applyFill="1" applyBorder="1"/>
    <xf numFmtId="0" fontId="4" fillId="19" borderId="6" xfId="0" applyFont="1" applyFill="1" applyBorder="1" applyAlignment="1">
      <alignment horizontal="left" vertical="center"/>
    </xf>
    <xf numFmtId="0" fontId="0" fillId="19" borderId="6" xfId="0" applyFill="1" applyBorder="1"/>
    <xf numFmtId="0" fontId="39" fillId="2" borderId="2" xfId="0" applyFont="1" applyFill="1" applyBorder="1" applyAlignment="1">
      <alignment horizontal="left" vertical="center"/>
    </xf>
    <xf numFmtId="0" fontId="40" fillId="2" borderId="2" xfId="0" applyFont="1" applyFill="1" applyBorder="1"/>
    <xf numFmtId="0" fontId="41" fillId="20" borderId="1" xfId="0" applyFont="1" applyFill="1" applyBorder="1" applyAlignment="1">
      <alignment horizontal="center"/>
    </xf>
    <xf numFmtId="0" fontId="41" fillId="9" borderId="1" xfId="0" applyFont="1" applyFill="1" applyBorder="1" applyAlignment="1">
      <alignment horizontal="center"/>
    </xf>
    <xf numFmtId="0" fontId="41" fillId="12" borderId="1" xfId="0" applyFont="1" applyFill="1" applyBorder="1" applyAlignment="1">
      <alignment horizontal="center"/>
    </xf>
    <xf numFmtId="0" fontId="41" fillId="14" borderId="1" xfId="0" applyFont="1" applyFill="1" applyBorder="1" applyAlignment="1">
      <alignment horizontal="center"/>
    </xf>
    <xf numFmtId="0" fontId="0" fillId="26" borderId="1" xfId="0" applyFill="1" applyBorder="1"/>
    <xf numFmtId="0" fontId="0" fillId="27" borderId="1" xfId="0" applyFill="1" applyBorder="1"/>
    <xf numFmtId="0" fontId="0" fillId="28" borderId="1" xfId="0" applyFill="1" applyBorder="1"/>
    <xf numFmtId="0" fontId="0" fillId="29" borderId="1" xfId="0" applyFill="1" applyBorder="1"/>
  </cellXfs>
  <cellStyles count="1">
    <cellStyle name="Normal" xfId="0" builtinId="0"/>
  </cellStyles>
  <dxfs count="10">
    <dxf>
      <font>
        <color rgb="FFFFFFFF"/>
      </font>
      <fill>
        <patternFill patternType="solid">
          <fgColor indexed="64"/>
          <bgColor rgb="FFC0392B"/>
        </patternFill>
      </fill>
    </dxf>
    <dxf>
      <font>
        <color rgb="FF7B5E00"/>
      </font>
      <fill>
        <patternFill patternType="solid">
          <fgColor indexed="64"/>
          <bgColor rgb="FFFFFF00"/>
        </patternFill>
      </fill>
    </dxf>
    <dxf>
      <font>
        <color rgb="FF1B5E20"/>
      </font>
      <fill>
        <patternFill patternType="solid">
          <fgColor indexed="64"/>
          <bgColor rgb="FFC6EFCE"/>
        </patternFill>
      </fill>
    </dxf>
    <dxf>
      <font>
        <color rgb="FFFFFFFF"/>
      </font>
      <fill>
        <patternFill patternType="solid">
          <fgColor indexed="64"/>
          <bgColor rgb="FFC0392B"/>
        </patternFill>
      </fill>
    </dxf>
    <dxf>
      <font>
        <color rgb="FF7B5E00"/>
      </font>
      <fill>
        <patternFill patternType="solid">
          <fgColor indexed="64"/>
          <bgColor rgb="FFFFFF00"/>
        </patternFill>
      </fill>
    </dxf>
    <dxf>
      <font>
        <color rgb="FF1B5E20"/>
      </font>
      <fill>
        <patternFill patternType="solid">
          <fgColor indexed="64"/>
          <bgColor rgb="FFC6EFCE"/>
        </patternFill>
      </fill>
    </dxf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746CDFE-490D-4E24-90BF-B45CDDC6FC92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a6c51de-b490-435b-96fa-e3904dd520d2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3"/>
  <sheetViews>
    <sheetView workbookViewId="0">
      <selection sqref="A1:H1"/>
    </sheetView>
  </sheetViews>
  <sheetFormatPr defaultRowHeight="14.4" x14ac:dyDescent="0.55000000000000004"/>
  <cols>
    <col min="1" max="1" width="3" customWidth="1"/>
    <col min="2" max="2" width="28" customWidth="1"/>
    <col min="3" max="3" width="14" customWidth="1"/>
    <col min="4" max="4" width="16" customWidth="1"/>
    <col min="5" max="5" width="14" customWidth="1"/>
    <col min="6" max="6" width="16" customWidth="1"/>
    <col min="7" max="7" width="14" customWidth="1"/>
    <col min="8" max="8" width="20" customWidth="1"/>
  </cols>
  <sheetData>
    <row r="1" spans="1:8" ht="52" customHeight="1" x14ac:dyDescent="0.55000000000000004">
      <c r="A1" s="104" t="s">
        <v>0</v>
      </c>
      <c r="B1" s="105"/>
      <c r="C1" s="105"/>
      <c r="D1" s="105"/>
      <c r="E1" s="105"/>
      <c r="F1" s="105"/>
      <c r="G1" s="105"/>
      <c r="H1" s="105"/>
    </row>
    <row r="2" spans="1:8" ht="22" customHeight="1" x14ac:dyDescent="0.55000000000000004">
      <c r="A2" s="101" t="s">
        <v>1</v>
      </c>
      <c r="B2" s="102"/>
      <c r="C2" s="102"/>
      <c r="D2" s="102"/>
      <c r="E2" s="102"/>
      <c r="F2" s="102"/>
      <c r="G2" s="102"/>
      <c r="H2" s="102"/>
    </row>
    <row r="3" spans="1:8" ht="42" customHeight="1" x14ac:dyDescent="0.55000000000000004">
      <c r="A3" s="91" t="s">
        <v>2</v>
      </c>
      <c r="B3" s="92"/>
      <c r="C3" s="92"/>
      <c r="D3" s="92"/>
      <c r="E3" s="92"/>
      <c r="F3" s="92"/>
      <c r="G3" s="92"/>
      <c r="H3" s="92"/>
    </row>
    <row r="4" spans="1:8" ht="22" customHeight="1" x14ac:dyDescent="0.55000000000000004">
      <c r="A4" s="122" t="s">
        <v>3</v>
      </c>
      <c r="B4" s="123"/>
      <c r="C4" s="123"/>
      <c r="D4" s="123"/>
      <c r="E4" s="123"/>
      <c r="F4" s="123"/>
      <c r="G4" s="123"/>
      <c r="H4" s="123"/>
    </row>
    <row r="5" spans="1:8" ht="5.05" customHeight="1" x14ac:dyDescent="0.55000000000000004">
      <c r="A5" s="1"/>
      <c r="B5" s="1"/>
      <c r="C5" s="1"/>
      <c r="D5" s="1"/>
      <c r="E5" s="1"/>
      <c r="F5" s="1"/>
      <c r="G5" s="1"/>
      <c r="H5" s="1"/>
    </row>
    <row r="6" spans="1:8" ht="24" customHeight="1" x14ac:dyDescent="0.55000000000000004">
      <c r="A6" s="84" t="s">
        <v>4</v>
      </c>
      <c r="B6" s="85"/>
      <c r="C6" s="85"/>
      <c r="D6" s="85"/>
      <c r="E6" s="85"/>
      <c r="F6" s="85"/>
      <c r="G6" s="85"/>
      <c r="H6" s="85"/>
    </row>
    <row r="7" spans="1:8" ht="18" customHeight="1" x14ac:dyDescent="0.55000000000000004">
      <c r="A7" s="2"/>
      <c r="B7" s="2" t="s">
        <v>5</v>
      </c>
      <c r="C7" s="2"/>
      <c r="D7" s="2"/>
      <c r="E7" s="2"/>
      <c r="F7" s="2" t="s">
        <v>6</v>
      </c>
      <c r="G7" s="2"/>
      <c r="H7" s="2" t="s">
        <v>7</v>
      </c>
    </row>
    <row r="8" spans="1:8" ht="28" customHeight="1" x14ac:dyDescent="0.55000000000000004">
      <c r="A8" s="90" t="s">
        <v>8</v>
      </c>
      <c r="B8" s="87"/>
      <c r="C8" s="87"/>
      <c r="D8" s="87"/>
      <c r="E8" s="87"/>
      <c r="F8" s="4" t="s">
        <v>9</v>
      </c>
      <c r="G8" s="118" t="s">
        <v>10</v>
      </c>
      <c r="H8" s="87"/>
    </row>
    <row r="9" spans="1:8" ht="28" customHeight="1" x14ac:dyDescent="0.55000000000000004">
      <c r="A9" s="100" t="s">
        <v>11</v>
      </c>
      <c r="B9" s="96"/>
      <c r="C9" s="96"/>
      <c r="D9" s="96"/>
      <c r="E9" s="96"/>
      <c r="F9" s="4" t="s">
        <v>9</v>
      </c>
      <c r="G9" s="95" t="s">
        <v>12</v>
      </c>
      <c r="H9" s="96"/>
    </row>
    <row r="10" spans="1:8" ht="28" customHeight="1" x14ac:dyDescent="0.55000000000000004">
      <c r="A10" s="100" t="s">
        <v>13</v>
      </c>
      <c r="B10" s="96"/>
      <c r="C10" s="96"/>
      <c r="D10" s="96"/>
      <c r="E10" s="96"/>
      <c r="F10" s="4" t="s">
        <v>9</v>
      </c>
      <c r="G10" s="95" t="s">
        <v>14</v>
      </c>
      <c r="H10" s="96"/>
    </row>
    <row r="11" spans="1:8" ht="28" customHeight="1" x14ac:dyDescent="0.55000000000000004">
      <c r="A11" s="82" t="s">
        <v>15</v>
      </c>
      <c r="B11" s="83"/>
      <c r="C11" s="83"/>
      <c r="D11" s="83"/>
      <c r="E11" s="83"/>
      <c r="F11" s="4" t="s">
        <v>9</v>
      </c>
      <c r="G11" s="109" t="s">
        <v>16</v>
      </c>
      <c r="H11" s="83"/>
    </row>
    <row r="12" spans="1:8" ht="28" customHeight="1" x14ac:dyDescent="0.55000000000000004">
      <c r="A12" s="100" t="s">
        <v>17</v>
      </c>
      <c r="B12" s="96"/>
      <c r="C12" s="96"/>
      <c r="D12" s="96"/>
      <c r="E12" s="96"/>
      <c r="F12" s="4" t="s">
        <v>9</v>
      </c>
      <c r="G12" s="95" t="s">
        <v>18</v>
      </c>
      <c r="H12" s="96"/>
    </row>
    <row r="13" spans="1:8" ht="28" customHeight="1" x14ac:dyDescent="0.55000000000000004">
      <c r="A13" s="82" t="s">
        <v>19</v>
      </c>
      <c r="B13" s="83"/>
      <c r="C13" s="83"/>
      <c r="D13" s="83"/>
      <c r="E13" s="83"/>
      <c r="F13" s="4" t="s">
        <v>9</v>
      </c>
      <c r="G13" s="109" t="s">
        <v>20</v>
      </c>
      <c r="H13" s="83"/>
    </row>
    <row r="14" spans="1:8" ht="28" customHeight="1" x14ac:dyDescent="0.55000000000000004">
      <c r="A14" s="90" t="s">
        <v>21</v>
      </c>
      <c r="B14" s="87"/>
      <c r="C14" s="87"/>
      <c r="D14" s="87"/>
      <c r="E14" s="87"/>
      <c r="F14" s="4" t="s">
        <v>9</v>
      </c>
      <c r="G14" s="118" t="s">
        <v>22</v>
      </c>
      <c r="H14" s="87"/>
    </row>
    <row r="15" spans="1:8" ht="24" customHeight="1" x14ac:dyDescent="0.55000000000000004">
      <c r="A15" s="119" t="s">
        <v>23</v>
      </c>
      <c r="B15" s="98"/>
      <c r="C15" s="98"/>
      <c r="D15" s="98"/>
      <c r="E15" s="98"/>
      <c r="F15" s="8" t="str">
        <f>IF(AND(F8="EVET",F9="EVET",F10="EVET",F12="EVET"),"OK - Hesaplanabilir","HATA - Ön koşul eksik")</f>
        <v>OK - Hesaplanabilir</v>
      </c>
      <c r="G15" s="112" t="s">
        <v>24</v>
      </c>
      <c r="H15" s="98"/>
    </row>
    <row r="16" spans="1:8" ht="5.05" customHeight="1" x14ac:dyDescent="0.55000000000000004">
      <c r="A16" s="1"/>
      <c r="B16" s="1"/>
      <c r="C16" s="1"/>
      <c r="D16" s="1"/>
      <c r="E16" s="1"/>
      <c r="F16" s="1"/>
      <c r="G16" s="1"/>
      <c r="H16" s="1"/>
    </row>
    <row r="17" spans="1:8" ht="22" customHeight="1" x14ac:dyDescent="0.55000000000000004">
      <c r="A17" s="88" t="s">
        <v>25</v>
      </c>
      <c r="B17" s="89"/>
      <c r="C17" s="89"/>
      <c r="D17" s="89"/>
      <c r="E17" s="89"/>
      <c r="F17" s="89"/>
      <c r="G17" s="89"/>
      <c r="H17" s="89"/>
    </row>
    <row r="18" spans="1:8" ht="22" customHeight="1" x14ac:dyDescent="0.55000000000000004">
      <c r="A18" s="90" t="s">
        <v>26</v>
      </c>
      <c r="B18" s="87"/>
      <c r="C18" s="99"/>
      <c r="D18" s="99"/>
      <c r="E18" s="99"/>
      <c r="F18" s="99"/>
      <c r="G18" s="9" t="s">
        <v>27</v>
      </c>
      <c r="H18" s="3"/>
    </row>
    <row r="19" spans="1:8" ht="22" customHeight="1" x14ac:dyDescent="0.55000000000000004">
      <c r="A19" s="82" t="s">
        <v>28</v>
      </c>
      <c r="B19" s="83"/>
      <c r="C19" s="99"/>
      <c r="D19" s="99"/>
      <c r="E19" s="99"/>
      <c r="F19" s="99"/>
      <c r="G19" s="10" t="s">
        <v>29</v>
      </c>
      <c r="H19" s="6"/>
    </row>
    <row r="20" spans="1:8" ht="22" customHeight="1" x14ac:dyDescent="0.55000000000000004">
      <c r="A20" s="90" t="s">
        <v>30</v>
      </c>
      <c r="B20" s="87"/>
      <c r="C20" s="99"/>
      <c r="D20" s="99"/>
      <c r="E20" s="99"/>
      <c r="F20" s="99"/>
      <c r="G20" s="9" t="s">
        <v>31</v>
      </c>
      <c r="H20" s="3"/>
    </row>
    <row r="21" spans="1:8" ht="22" customHeight="1" x14ac:dyDescent="0.55000000000000004">
      <c r="A21" s="82" t="s">
        <v>32</v>
      </c>
      <c r="B21" s="83"/>
      <c r="C21" s="99"/>
      <c r="D21" s="99"/>
      <c r="E21" s="99"/>
      <c r="F21" s="99"/>
      <c r="G21" s="10" t="s">
        <v>33</v>
      </c>
      <c r="H21" s="6"/>
    </row>
    <row r="22" spans="1:8" ht="22" customHeight="1" x14ac:dyDescent="0.55000000000000004">
      <c r="A22" s="90" t="s">
        <v>34</v>
      </c>
      <c r="B22" s="87"/>
      <c r="C22" s="99"/>
      <c r="D22" s="99"/>
      <c r="E22" s="99"/>
      <c r="F22" s="99"/>
      <c r="G22" s="9" t="s">
        <v>35</v>
      </c>
      <c r="H22" s="3"/>
    </row>
    <row r="23" spans="1:8" ht="22" customHeight="1" x14ac:dyDescent="0.55000000000000004">
      <c r="A23" s="82" t="s">
        <v>36</v>
      </c>
      <c r="B23" s="83"/>
      <c r="C23" s="99"/>
      <c r="D23" s="99"/>
      <c r="E23" s="99"/>
      <c r="F23" s="99"/>
      <c r="G23" s="10" t="s">
        <v>37</v>
      </c>
      <c r="H23" s="6"/>
    </row>
    <row r="24" spans="1:8" ht="5.05" customHeight="1" x14ac:dyDescent="0.55000000000000004">
      <c r="A24" s="1"/>
      <c r="B24" s="1"/>
      <c r="C24" s="1"/>
      <c r="D24" s="1"/>
      <c r="E24" s="1"/>
      <c r="F24" s="1"/>
      <c r="G24" s="1"/>
      <c r="H24" s="1"/>
    </row>
    <row r="25" spans="1:8" ht="24" customHeight="1" x14ac:dyDescent="0.55000000000000004">
      <c r="A25" s="88" t="s">
        <v>38</v>
      </c>
      <c r="B25" s="89"/>
      <c r="C25" s="89"/>
      <c r="D25" s="89"/>
      <c r="E25" s="89"/>
      <c r="F25" s="89"/>
      <c r="G25" s="89"/>
      <c r="H25" s="89"/>
    </row>
    <row r="26" spans="1:8" ht="36" customHeight="1" x14ac:dyDescent="0.55000000000000004">
      <c r="A26" s="110" t="s">
        <v>39</v>
      </c>
      <c r="B26" s="111"/>
      <c r="C26" s="111"/>
      <c r="D26" s="111"/>
      <c r="E26" s="111"/>
      <c r="F26" s="111"/>
      <c r="G26" s="111"/>
      <c r="H26" s="111"/>
    </row>
    <row r="27" spans="1:8" ht="18" customHeight="1" x14ac:dyDescent="0.55000000000000004">
      <c r="A27" s="2"/>
      <c r="B27" s="2" t="s">
        <v>40</v>
      </c>
      <c r="C27" s="2"/>
      <c r="D27" s="2"/>
      <c r="E27" s="2" t="s">
        <v>41</v>
      </c>
      <c r="F27" s="2"/>
      <c r="G27" s="2" t="s">
        <v>42</v>
      </c>
      <c r="H27" s="2" t="s">
        <v>43</v>
      </c>
    </row>
    <row r="28" spans="1:8" ht="26.05" customHeight="1" x14ac:dyDescent="0.55000000000000004">
      <c r="A28" s="90" t="s">
        <v>44</v>
      </c>
      <c r="B28" s="87"/>
      <c r="C28" s="11"/>
      <c r="D28" s="86" t="s">
        <v>45</v>
      </c>
      <c r="E28" s="87"/>
      <c r="F28" s="87"/>
      <c r="G28" s="93" t="s">
        <v>46</v>
      </c>
      <c r="H28" s="87"/>
    </row>
    <row r="29" spans="1:8" ht="26.05" customHeight="1" x14ac:dyDescent="0.55000000000000004">
      <c r="A29" s="82" t="s">
        <v>47</v>
      </c>
      <c r="B29" s="83"/>
      <c r="C29" s="12"/>
      <c r="D29" s="94" t="s">
        <v>48</v>
      </c>
      <c r="E29" s="83"/>
      <c r="F29" s="83"/>
      <c r="G29" s="103" t="s">
        <v>46</v>
      </c>
      <c r="H29" s="83"/>
    </row>
    <row r="30" spans="1:8" ht="26.05" customHeight="1" x14ac:dyDescent="0.55000000000000004">
      <c r="A30" s="90" t="s">
        <v>49</v>
      </c>
      <c r="B30" s="87"/>
      <c r="C30" s="4" t="s">
        <v>50</v>
      </c>
      <c r="D30" s="86" t="s">
        <v>51</v>
      </c>
      <c r="E30" s="87"/>
      <c r="F30" s="87"/>
      <c r="G30" s="93" t="s">
        <v>46</v>
      </c>
      <c r="H30" s="87"/>
    </row>
    <row r="31" spans="1:8" ht="26.05" customHeight="1" x14ac:dyDescent="0.55000000000000004">
      <c r="A31" s="82" t="s">
        <v>52</v>
      </c>
      <c r="B31" s="83"/>
      <c r="C31" s="12"/>
      <c r="D31" s="94" t="s">
        <v>53</v>
      </c>
      <c r="E31" s="83"/>
      <c r="F31" s="83"/>
      <c r="G31" s="103" t="s">
        <v>54</v>
      </c>
      <c r="H31" s="83"/>
    </row>
    <row r="32" spans="1:8" ht="26.05" customHeight="1" x14ac:dyDescent="0.55000000000000004">
      <c r="A32" s="106" t="s">
        <v>55</v>
      </c>
      <c r="B32" s="87"/>
      <c r="C32" s="12" t="s">
        <v>56</v>
      </c>
      <c r="D32" s="86" t="s">
        <v>57</v>
      </c>
      <c r="E32" s="87"/>
      <c r="F32" s="87"/>
      <c r="G32" s="93" t="s">
        <v>58</v>
      </c>
      <c r="H32" s="87"/>
    </row>
    <row r="33" spans="1:8" ht="26.05" customHeight="1" x14ac:dyDescent="0.55000000000000004">
      <c r="A33" s="82" t="s">
        <v>59</v>
      </c>
      <c r="B33" s="83"/>
      <c r="C33" s="12"/>
      <c r="D33" s="94" t="s">
        <v>60</v>
      </c>
      <c r="E33" s="83"/>
      <c r="F33" s="83"/>
      <c r="G33" s="103" t="s">
        <v>61</v>
      </c>
      <c r="H33" s="83"/>
    </row>
    <row r="34" spans="1:8" ht="26.05" customHeight="1" x14ac:dyDescent="0.55000000000000004">
      <c r="A34" s="106" t="s">
        <v>62</v>
      </c>
      <c r="B34" s="87"/>
      <c r="C34" s="4" t="s">
        <v>9</v>
      </c>
      <c r="D34" s="86" t="s">
        <v>63</v>
      </c>
      <c r="E34" s="87"/>
      <c r="F34" s="87"/>
      <c r="G34" s="93" t="s">
        <v>64</v>
      </c>
      <c r="H34" s="87"/>
    </row>
    <row r="35" spans="1:8" ht="5.05" customHeight="1" x14ac:dyDescent="0.55000000000000004">
      <c r="A35" s="1"/>
      <c r="B35" s="1"/>
      <c r="C35" s="1"/>
      <c r="D35" s="1"/>
      <c r="E35" s="1"/>
      <c r="F35" s="1"/>
      <c r="G35" s="1"/>
      <c r="H35" s="1"/>
    </row>
    <row r="36" spans="1:8" ht="26.05" customHeight="1" x14ac:dyDescent="0.55000000000000004">
      <c r="A36" s="88" t="s">
        <v>65</v>
      </c>
      <c r="B36" s="89"/>
      <c r="C36" s="89"/>
      <c r="D36" s="89"/>
      <c r="E36" s="89"/>
      <c r="F36" s="89"/>
      <c r="G36" s="89"/>
      <c r="H36" s="89"/>
    </row>
    <row r="37" spans="1:8" ht="26.05" customHeight="1" x14ac:dyDescent="0.55000000000000004">
      <c r="A37" s="121" t="s">
        <v>66</v>
      </c>
      <c r="B37" s="87"/>
      <c r="C37" s="87"/>
      <c r="D37" s="87"/>
      <c r="E37" s="87"/>
      <c r="F37" s="87"/>
      <c r="G37" s="87"/>
      <c r="H37" s="87"/>
    </row>
    <row r="38" spans="1:8" ht="18" customHeight="1" x14ac:dyDescent="0.55000000000000004">
      <c r="A38" s="13" t="s">
        <v>67</v>
      </c>
      <c r="B38" s="13" t="s">
        <v>68</v>
      </c>
      <c r="C38" s="13" t="s">
        <v>69</v>
      </c>
      <c r="D38" s="13" t="s">
        <v>70</v>
      </c>
      <c r="E38" s="13" t="s">
        <v>71</v>
      </c>
      <c r="F38" s="13" t="s">
        <v>72</v>
      </c>
      <c r="G38" s="13" t="s">
        <v>73</v>
      </c>
      <c r="H38" s="13" t="s">
        <v>74</v>
      </c>
    </row>
    <row r="39" spans="1:8" ht="26.05" customHeight="1" x14ac:dyDescent="0.55000000000000004">
      <c r="A39" s="14"/>
      <c r="B39" s="11"/>
      <c r="C39" s="11"/>
      <c r="D39" s="15"/>
      <c r="E39" s="16"/>
      <c r="F39" s="17"/>
      <c r="G39" s="18">
        <f t="shared" ref="G39:G46" si="0">IF(E39&gt;0,MAX(E39-F39,0),0)</f>
        <v>0</v>
      </c>
      <c r="H39" s="18">
        <f t="shared" ref="H39:H46" si="1">G39</f>
        <v>0</v>
      </c>
    </row>
    <row r="40" spans="1:8" ht="26.05" customHeight="1" x14ac:dyDescent="0.55000000000000004">
      <c r="A40" s="14"/>
      <c r="B40" s="11"/>
      <c r="C40" s="11"/>
      <c r="D40" s="15"/>
      <c r="E40" s="16"/>
      <c r="F40" s="17"/>
      <c r="G40" s="18">
        <f t="shared" si="0"/>
        <v>0</v>
      </c>
      <c r="H40" s="18">
        <f t="shared" si="1"/>
        <v>0</v>
      </c>
    </row>
    <row r="41" spans="1:8" ht="26.05" customHeight="1" x14ac:dyDescent="0.55000000000000004">
      <c r="A41" s="14"/>
      <c r="B41" s="11"/>
      <c r="C41" s="11"/>
      <c r="D41" s="15"/>
      <c r="E41" s="16"/>
      <c r="F41" s="17"/>
      <c r="G41" s="18">
        <f t="shared" si="0"/>
        <v>0</v>
      </c>
      <c r="H41" s="18">
        <f t="shared" si="1"/>
        <v>0</v>
      </c>
    </row>
    <row r="42" spans="1:8" ht="26.05" customHeight="1" x14ac:dyDescent="0.55000000000000004">
      <c r="A42" s="14"/>
      <c r="B42" s="11"/>
      <c r="C42" s="11"/>
      <c r="D42" s="15"/>
      <c r="E42" s="16"/>
      <c r="F42" s="17"/>
      <c r="G42" s="18">
        <f t="shared" si="0"/>
        <v>0</v>
      </c>
      <c r="H42" s="18">
        <f t="shared" si="1"/>
        <v>0</v>
      </c>
    </row>
    <row r="43" spans="1:8" ht="26.05" customHeight="1" x14ac:dyDescent="0.55000000000000004">
      <c r="A43" s="14"/>
      <c r="B43" s="11"/>
      <c r="C43" s="11"/>
      <c r="D43" s="15"/>
      <c r="E43" s="16"/>
      <c r="F43" s="17"/>
      <c r="G43" s="18">
        <f t="shared" si="0"/>
        <v>0</v>
      </c>
      <c r="H43" s="18">
        <f t="shared" si="1"/>
        <v>0</v>
      </c>
    </row>
    <row r="44" spans="1:8" ht="26.05" customHeight="1" x14ac:dyDescent="0.55000000000000004">
      <c r="A44" s="14"/>
      <c r="B44" s="11"/>
      <c r="C44" s="11"/>
      <c r="D44" s="15"/>
      <c r="E44" s="16"/>
      <c r="F44" s="17"/>
      <c r="G44" s="18">
        <f t="shared" si="0"/>
        <v>0</v>
      </c>
      <c r="H44" s="18">
        <f t="shared" si="1"/>
        <v>0</v>
      </c>
    </row>
    <row r="45" spans="1:8" ht="26.05" customHeight="1" x14ac:dyDescent="0.55000000000000004">
      <c r="A45" s="14"/>
      <c r="B45" s="11"/>
      <c r="C45" s="11"/>
      <c r="D45" s="15"/>
      <c r="E45" s="16"/>
      <c r="F45" s="17"/>
      <c r="G45" s="18">
        <f t="shared" si="0"/>
        <v>0</v>
      </c>
      <c r="H45" s="18">
        <f t="shared" si="1"/>
        <v>0</v>
      </c>
    </row>
    <row r="46" spans="1:8" ht="26.05" customHeight="1" x14ac:dyDescent="0.55000000000000004">
      <c r="A46" s="14"/>
      <c r="B46" s="11"/>
      <c r="C46" s="11"/>
      <c r="D46" s="15"/>
      <c r="E46" s="16"/>
      <c r="F46" s="17"/>
      <c r="G46" s="18">
        <f t="shared" si="0"/>
        <v>0</v>
      </c>
      <c r="H46" s="18">
        <f t="shared" si="1"/>
        <v>0</v>
      </c>
    </row>
    <row r="47" spans="1:8" ht="30" customHeight="1" x14ac:dyDescent="0.55000000000000004">
      <c r="A47" s="19" t="s">
        <v>75</v>
      </c>
      <c r="B47" s="104" t="s">
        <v>76</v>
      </c>
      <c r="C47" s="105"/>
      <c r="D47" s="105"/>
      <c r="E47" s="20">
        <f>SUM(E39:E46)</f>
        <v>0</v>
      </c>
      <c r="F47" s="21">
        <f>SUM(F39:F46)</f>
        <v>0</v>
      </c>
      <c r="G47" s="20">
        <f>SUM(G39:G46)</f>
        <v>0</v>
      </c>
      <c r="H47" s="22">
        <f>SUM(H39:H46)</f>
        <v>0</v>
      </c>
    </row>
    <row r="48" spans="1:8" ht="32.049999999999997" customHeight="1" x14ac:dyDescent="0.55000000000000004">
      <c r="A48" s="107" t="s">
        <v>77</v>
      </c>
      <c r="B48" s="108"/>
      <c r="C48" s="108"/>
      <c r="D48" s="108"/>
      <c r="E48" s="108"/>
      <c r="F48" s="108"/>
      <c r="G48" s="108"/>
      <c r="H48" s="108"/>
    </row>
    <row r="49" spans="1:8" ht="5.05" customHeight="1" x14ac:dyDescent="0.55000000000000004">
      <c r="A49" s="1"/>
      <c r="B49" s="1"/>
      <c r="C49" s="1"/>
      <c r="D49" s="1"/>
      <c r="E49" s="1"/>
      <c r="F49" s="1"/>
      <c r="G49" s="1"/>
      <c r="H49" s="1"/>
    </row>
    <row r="50" spans="1:8" ht="24" customHeight="1" x14ac:dyDescent="0.55000000000000004">
      <c r="A50" s="88" t="s">
        <v>78</v>
      </c>
      <c r="B50" s="89"/>
      <c r="C50" s="89"/>
      <c r="D50" s="89"/>
      <c r="E50" s="89"/>
      <c r="F50" s="89"/>
      <c r="G50" s="89"/>
      <c r="H50" s="89"/>
    </row>
    <row r="51" spans="1:8" ht="18" customHeight="1" x14ac:dyDescent="0.55000000000000004">
      <c r="A51" s="2"/>
      <c r="B51" s="2" t="s">
        <v>79</v>
      </c>
      <c r="C51" s="2"/>
      <c r="D51" s="2"/>
      <c r="E51" s="2" t="s">
        <v>80</v>
      </c>
      <c r="F51" s="2"/>
      <c r="G51" s="2" t="s">
        <v>42</v>
      </c>
      <c r="H51" s="2" t="s">
        <v>81</v>
      </c>
    </row>
    <row r="52" spans="1:8" ht="28" customHeight="1" x14ac:dyDescent="0.55000000000000004">
      <c r="A52" s="90" t="s">
        <v>82</v>
      </c>
      <c r="B52" s="87"/>
      <c r="C52" s="87"/>
      <c r="D52" s="23">
        <f>E47</f>
        <v>0</v>
      </c>
      <c r="E52" s="86" t="s">
        <v>83</v>
      </c>
      <c r="F52" s="87"/>
      <c r="G52" s="118"/>
      <c r="H52" s="87"/>
    </row>
    <row r="53" spans="1:8" ht="28" customHeight="1" x14ac:dyDescent="0.55000000000000004">
      <c r="A53" s="82" t="s">
        <v>84</v>
      </c>
      <c r="B53" s="83"/>
      <c r="C53" s="83"/>
      <c r="D53" s="23">
        <f>F47</f>
        <v>0</v>
      </c>
      <c r="E53" s="94" t="s">
        <v>85</v>
      </c>
      <c r="F53" s="83"/>
      <c r="G53" s="109"/>
      <c r="H53" s="83"/>
    </row>
    <row r="54" spans="1:8" ht="28" customHeight="1" x14ac:dyDescent="0.55000000000000004">
      <c r="A54" s="117" t="s">
        <v>86</v>
      </c>
      <c r="B54" s="98"/>
      <c r="C54" s="98"/>
      <c r="D54" s="24">
        <f>G47</f>
        <v>0</v>
      </c>
      <c r="E54" s="113" t="s">
        <v>87</v>
      </c>
      <c r="F54" s="98"/>
      <c r="G54" s="114"/>
      <c r="H54" s="98"/>
    </row>
    <row r="55" spans="1:8" ht="28" customHeight="1" x14ac:dyDescent="0.55000000000000004">
      <c r="A55" s="82" t="s">
        <v>88</v>
      </c>
      <c r="B55" s="83"/>
      <c r="C55" s="83"/>
      <c r="D55" s="25"/>
      <c r="E55" s="94" t="s">
        <v>89</v>
      </c>
      <c r="F55" s="83"/>
      <c r="G55" s="109"/>
      <c r="H55" s="83"/>
    </row>
    <row r="56" spans="1:8" ht="5.05" customHeight="1" x14ac:dyDescent="0.55000000000000004">
      <c r="A56" s="1"/>
      <c r="B56" s="1"/>
      <c r="C56" s="1"/>
      <c r="D56" s="1"/>
      <c r="E56" s="1"/>
      <c r="F56" s="1"/>
      <c r="G56" s="1"/>
      <c r="H56" s="1"/>
    </row>
    <row r="57" spans="1:8" ht="22" customHeight="1" x14ac:dyDescent="0.55000000000000004">
      <c r="A57" s="88" t="s">
        <v>90</v>
      </c>
      <c r="B57" s="89"/>
      <c r="C57" s="89"/>
      <c r="D57" s="89"/>
      <c r="E57" s="89"/>
      <c r="F57" s="89"/>
      <c r="G57" s="89"/>
      <c r="H57" s="89"/>
    </row>
    <row r="58" spans="1:8" ht="18" customHeight="1" x14ac:dyDescent="0.55000000000000004">
      <c r="A58" s="2"/>
      <c r="B58" s="2" t="s">
        <v>91</v>
      </c>
      <c r="C58" s="2" t="s">
        <v>92</v>
      </c>
      <c r="D58" s="2" t="s">
        <v>93</v>
      </c>
      <c r="E58" s="2" t="s">
        <v>94</v>
      </c>
      <c r="F58" s="2" t="s">
        <v>95</v>
      </c>
      <c r="G58" s="2" t="s">
        <v>96</v>
      </c>
      <c r="H58" s="2" t="s">
        <v>97</v>
      </c>
    </row>
    <row r="59" spans="1:8" ht="24" customHeight="1" x14ac:dyDescent="0.55000000000000004">
      <c r="A59" s="26" t="s">
        <v>98</v>
      </c>
      <c r="B59" s="6"/>
      <c r="C59" s="27" t="s">
        <v>99</v>
      </c>
      <c r="D59" s="28" t="s">
        <v>100</v>
      </c>
      <c r="E59" s="29" t="s">
        <v>101</v>
      </c>
      <c r="F59" s="30" t="s">
        <v>102</v>
      </c>
      <c r="G59" s="31" t="s">
        <v>103</v>
      </c>
      <c r="H59" s="32" t="s">
        <v>104</v>
      </c>
    </row>
    <row r="60" spans="1:8" ht="24" customHeight="1" x14ac:dyDescent="0.55000000000000004">
      <c r="A60" s="26" t="s">
        <v>105</v>
      </c>
      <c r="B60" s="3"/>
      <c r="C60" s="27" t="s">
        <v>106</v>
      </c>
      <c r="D60" s="28" t="s">
        <v>107</v>
      </c>
      <c r="E60" s="29" t="s">
        <v>108</v>
      </c>
      <c r="F60" s="30" t="s">
        <v>109</v>
      </c>
      <c r="G60" s="33" t="s">
        <v>110</v>
      </c>
      <c r="H60" s="32" t="s">
        <v>111</v>
      </c>
    </row>
    <row r="61" spans="1:8" ht="24" customHeight="1" x14ac:dyDescent="0.55000000000000004">
      <c r="A61" s="26" t="s">
        <v>112</v>
      </c>
      <c r="B61" s="6"/>
      <c r="C61" s="27" t="s">
        <v>113</v>
      </c>
      <c r="D61" s="28" t="s">
        <v>114</v>
      </c>
      <c r="E61" s="29" t="s">
        <v>115</v>
      </c>
      <c r="F61" s="30" t="s">
        <v>116</v>
      </c>
      <c r="G61" s="31" t="s">
        <v>117</v>
      </c>
      <c r="H61" s="32" t="s">
        <v>118</v>
      </c>
    </row>
    <row r="62" spans="1:8" ht="32.049999999999997" customHeight="1" x14ac:dyDescent="0.55000000000000004">
      <c r="A62" s="97" t="s">
        <v>119</v>
      </c>
      <c r="B62" s="98"/>
      <c r="C62" s="98"/>
      <c r="D62" s="98"/>
      <c r="E62" s="34">
        <f>D54</f>
        <v>0</v>
      </c>
      <c r="F62" s="120" t="s">
        <v>120</v>
      </c>
      <c r="G62" s="98"/>
      <c r="H62" s="98"/>
    </row>
    <row r="63" spans="1:8" ht="52" customHeight="1" x14ac:dyDescent="0.55000000000000004">
      <c r="A63" s="115" t="s">
        <v>121</v>
      </c>
      <c r="B63" s="116"/>
      <c r="C63" s="116"/>
      <c r="D63" s="116"/>
      <c r="E63" s="116"/>
      <c r="F63" s="116"/>
      <c r="G63" s="116"/>
      <c r="H63" s="116"/>
    </row>
  </sheetData>
  <mergeCells count="78">
    <mergeCell ref="A1:H1"/>
    <mergeCell ref="G8:H8"/>
    <mergeCell ref="F62:H62"/>
    <mergeCell ref="G10:H10"/>
    <mergeCell ref="G53:H53"/>
    <mergeCell ref="G28:H28"/>
    <mergeCell ref="A53:C53"/>
    <mergeCell ref="A18:B18"/>
    <mergeCell ref="A37:H37"/>
    <mergeCell ref="G30:H30"/>
    <mergeCell ref="A57:H57"/>
    <mergeCell ref="G14:H14"/>
    <mergeCell ref="A8:E8"/>
    <mergeCell ref="G55:H55"/>
    <mergeCell ref="G29:H29"/>
    <mergeCell ref="A4:H4"/>
    <mergeCell ref="G54:H54"/>
    <mergeCell ref="G32:H32"/>
    <mergeCell ref="A63:H63"/>
    <mergeCell ref="C21:F21"/>
    <mergeCell ref="A13:E13"/>
    <mergeCell ref="A54:C54"/>
    <mergeCell ref="C23:F23"/>
    <mergeCell ref="G52:H52"/>
    <mergeCell ref="A15:E15"/>
    <mergeCell ref="A36:H36"/>
    <mergeCell ref="A20:B20"/>
    <mergeCell ref="A29:B29"/>
    <mergeCell ref="G31:H31"/>
    <mergeCell ref="A31:B31"/>
    <mergeCell ref="A2:H2"/>
    <mergeCell ref="G33:H33"/>
    <mergeCell ref="A14:E14"/>
    <mergeCell ref="B47:D47"/>
    <mergeCell ref="D31:F31"/>
    <mergeCell ref="G9:H9"/>
    <mergeCell ref="A34:B34"/>
    <mergeCell ref="D32:F32"/>
    <mergeCell ref="G11:H11"/>
    <mergeCell ref="C18:F18"/>
    <mergeCell ref="G13:H13"/>
    <mergeCell ref="D33:F33"/>
    <mergeCell ref="A21:B21"/>
    <mergeCell ref="A26:H26"/>
    <mergeCell ref="G15:H15"/>
    <mergeCell ref="C20:F20"/>
    <mergeCell ref="E53:F53"/>
    <mergeCell ref="A30:B30"/>
    <mergeCell ref="G12:H12"/>
    <mergeCell ref="E55:F55"/>
    <mergeCell ref="A62:D62"/>
    <mergeCell ref="A55:C55"/>
    <mergeCell ref="C19:F19"/>
    <mergeCell ref="A12:E12"/>
    <mergeCell ref="A48:H48"/>
    <mergeCell ref="E52:F52"/>
    <mergeCell ref="A32:B32"/>
    <mergeCell ref="A23:B23"/>
    <mergeCell ref="D34:F34"/>
    <mergeCell ref="A17:H17"/>
    <mergeCell ref="C22:F22"/>
    <mergeCell ref="E54:F54"/>
    <mergeCell ref="A52:C52"/>
    <mergeCell ref="A50:H50"/>
    <mergeCell ref="A3:H3"/>
    <mergeCell ref="G34:H34"/>
    <mergeCell ref="D29:F29"/>
    <mergeCell ref="A33:B33"/>
    <mergeCell ref="A22:B22"/>
    <mergeCell ref="A19:B19"/>
    <mergeCell ref="A28:B28"/>
    <mergeCell ref="A10:E10"/>
    <mergeCell ref="A9:E9"/>
    <mergeCell ref="A11:E11"/>
    <mergeCell ref="A6:H6"/>
    <mergeCell ref="D28:F28"/>
    <mergeCell ref="A25:H25"/>
    <mergeCell ref="D30:F30"/>
  </mergeCells>
  <conditionalFormatting sqref="F15">
    <cfRule type="containsText" dxfId="9" priority="1" operator="containsText" text="OK">
      <formula>NOT(ISERROR(SEARCH("OK",F15)))</formula>
    </cfRule>
    <cfRule type="containsText" dxfId="8" priority="2" operator="containsText" text="HATA">
      <formula>NOT(ISERROR(SEARCH("HATA",F15)))</formula>
    </cfRule>
  </conditionalFormatting>
  <dataValidations count="7">
    <dataValidation type="list" sqref="F8:F9" xr:uid="{00000000-0002-0000-0000-000000000000}">
      <formula1>"EVET,HAYIR-İstisna Yok"</formula1>
    </dataValidation>
    <dataValidation type="list" sqref="F10 F12" xr:uid="{00000000-0002-0000-0000-000002000000}">
      <formula1>"EVET,HAYIR-KRİTİK HATA"</formula1>
    </dataValidation>
    <dataValidation type="list" sqref="F11" xr:uid="{00000000-0002-0000-0000-000003000000}">
      <formula1>"EVET,HAYIR-Eksik Kayıt"</formula1>
    </dataValidation>
    <dataValidation type="list" sqref="F13" xr:uid="{00000000-0002-0000-0000-000005000000}">
      <formula1>"EVET,HAYIR-Eksik Belge"</formula1>
    </dataValidation>
    <dataValidation type="list" sqref="F14" xr:uid="{00000000-0002-0000-0000-000006000000}">
      <formula1>"EVET,Tam Tasdik"</formula1>
    </dataValidation>
    <dataValidation type="list" sqref="C30" xr:uid="{00000000-0002-0000-0000-000007000000}">
      <formula1>"TL Mevduat Faizi,TL Katılım Hesabı Kâr Payı"</formula1>
    </dataValidation>
    <dataValidation type="list" sqref="C34" xr:uid="{00000000-0002-0000-0000-000008000000}">
      <formula1>"EVET,HAYIR-Kapsam Dışı"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4"/>
  <sheetViews>
    <sheetView workbookViewId="0">
      <selection sqref="A1:H1"/>
    </sheetView>
  </sheetViews>
  <sheetFormatPr defaultRowHeight="14.4" x14ac:dyDescent="0.55000000000000004"/>
  <cols>
    <col min="1" max="1" width="4" customWidth="1"/>
    <col min="2" max="2" width="38" customWidth="1"/>
    <col min="3" max="5" width="14" customWidth="1"/>
    <col min="6" max="7" width="12" customWidth="1"/>
    <col min="8" max="8" width="16" customWidth="1"/>
  </cols>
  <sheetData>
    <row r="1" spans="1:8" ht="36" customHeight="1" x14ac:dyDescent="0.55000000000000004">
      <c r="A1" s="126" t="s">
        <v>122</v>
      </c>
      <c r="B1" s="89"/>
      <c r="C1" s="89"/>
      <c r="D1" s="89"/>
      <c r="E1" s="89"/>
      <c r="F1" s="89"/>
      <c r="G1" s="89"/>
      <c r="H1" s="89"/>
    </row>
    <row r="2" spans="1:8" ht="20.05" customHeight="1" x14ac:dyDescent="0.55000000000000004">
      <c r="A2" s="101" t="s">
        <v>123</v>
      </c>
      <c r="B2" s="102"/>
      <c r="C2" s="102"/>
      <c r="D2" s="102"/>
      <c r="E2" s="102"/>
      <c r="F2" s="102"/>
      <c r="G2" s="102"/>
      <c r="H2" s="102"/>
    </row>
    <row r="3" spans="1:8" ht="5.05" customHeight="1" x14ac:dyDescent="0.55000000000000004">
      <c r="A3" s="1"/>
      <c r="B3" s="1"/>
      <c r="C3" s="1"/>
      <c r="D3" s="1"/>
      <c r="E3" s="1"/>
      <c r="F3" s="1"/>
      <c r="G3" s="1"/>
      <c r="H3" s="1"/>
    </row>
    <row r="4" spans="1:8" ht="22" customHeight="1" x14ac:dyDescent="0.55000000000000004">
      <c r="A4" s="129" t="s">
        <v>124</v>
      </c>
      <c r="B4" s="130"/>
      <c r="C4" s="130"/>
      <c r="D4" s="130"/>
      <c r="E4" s="130"/>
      <c r="F4" s="130"/>
      <c r="G4" s="130"/>
      <c r="H4" s="130"/>
    </row>
    <row r="5" spans="1:8" ht="22" customHeight="1" x14ac:dyDescent="0.55000000000000004">
      <c r="A5" s="124" t="s">
        <v>125</v>
      </c>
      <c r="B5" s="83"/>
      <c r="C5" s="83"/>
      <c r="D5" s="83"/>
      <c r="E5" s="35" t="str">
        <f>'VERİ GİRİŞİ'!F15</f>
        <v>OK - Hesaplanabilir</v>
      </c>
      <c r="F5" s="109" t="s">
        <v>126</v>
      </c>
      <c r="G5" s="83"/>
      <c r="H5" s="83"/>
    </row>
    <row r="6" spans="1:8" ht="22" customHeight="1" x14ac:dyDescent="0.55000000000000004">
      <c r="A6" s="125" t="s">
        <v>127</v>
      </c>
      <c r="B6" s="87"/>
      <c r="C6" s="87"/>
      <c r="D6" s="87"/>
      <c r="E6" s="35" t="str">
        <f>'VERİ GİRİŞİ'!C34</f>
        <v>EVET</v>
      </c>
      <c r="F6" s="118" t="s">
        <v>128</v>
      </c>
      <c r="G6" s="87"/>
      <c r="H6" s="87"/>
    </row>
    <row r="7" spans="1:8" ht="22" customHeight="1" x14ac:dyDescent="0.55000000000000004">
      <c r="A7" s="124" t="s">
        <v>129</v>
      </c>
      <c r="B7" s="83"/>
      <c r="C7" s="83"/>
      <c r="D7" s="83"/>
      <c r="E7" s="35">
        <f>'VERİ GİRİŞİ'!D52</f>
        <v>0</v>
      </c>
      <c r="F7" s="109" t="s">
        <v>130</v>
      </c>
      <c r="G7" s="83"/>
      <c r="H7" s="83"/>
    </row>
    <row r="8" spans="1:8" ht="22" customHeight="1" x14ac:dyDescent="0.55000000000000004">
      <c r="A8" s="125" t="s">
        <v>131</v>
      </c>
      <c r="B8" s="87"/>
      <c r="C8" s="87"/>
      <c r="D8" s="87"/>
      <c r="E8" s="35">
        <f>'VERİ GİRİŞİ'!D53</f>
        <v>0</v>
      </c>
      <c r="F8" s="118" t="s">
        <v>132</v>
      </c>
      <c r="G8" s="87"/>
      <c r="H8" s="87"/>
    </row>
    <row r="9" spans="1:8" ht="22" customHeight="1" x14ac:dyDescent="0.55000000000000004">
      <c r="A9" s="119" t="s">
        <v>133</v>
      </c>
      <c r="B9" s="98"/>
      <c r="C9" s="98"/>
      <c r="D9" s="98"/>
      <c r="E9" s="36">
        <f>'VERİ GİRİŞİ'!D54</f>
        <v>0</v>
      </c>
      <c r="F9" s="114"/>
      <c r="G9" s="98"/>
      <c r="H9" s="98"/>
    </row>
    <row r="10" spans="1:8" ht="22" customHeight="1" x14ac:dyDescent="0.55000000000000004">
      <c r="A10" s="127" t="s">
        <v>134</v>
      </c>
      <c r="B10" s="128"/>
      <c r="C10" s="128"/>
      <c r="D10" s="128"/>
      <c r="E10" s="37" t="s">
        <v>135</v>
      </c>
      <c r="F10" s="131" t="s">
        <v>136</v>
      </c>
      <c r="G10" s="128"/>
      <c r="H10" s="128"/>
    </row>
    <row r="11" spans="1:8" ht="5.05" customHeight="1" x14ac:dyDescent="0.55000000000000004">
      <c r="A11" s="1"/>
      <c r="B11" s="1"/>
      <c r="C11" s="1"/>
      <c r="D11" s="1"/>
      <c r="E11" s="1"/>
      <c r="F11" s="1"/>
      <c r="G11" s="1"/>
      <c r="H11" s="1"/>
    </row>
    <row r="12" spans="1:8" ht="22" customHeight="1" x14ac:dyDescent="0.55000000000000004">
      <c r="A12" s="88" t="s">
        <v>137</v>
      </c>
      <c r="B12" s="89"/>
      <c r="C12" s="89"/>
      <c r="D12" s="89"/>
      <c r="E12" s="89"/>
      <c r="F12" s="89"/>
      <c r="G12" s="89"/>
      <c r="H12" s="89"/>
    </row>
    <row r="13" spans="1:8" ht="18" customHeight="1" x14ac:dyDescent="0.55000000000000004">
      <c r="A13" s="2"/>
      <c r="B13" s="2" t="s">
        <v>138</v>
      </c>
      <c r="C13" s="2" t="s">
        <v>139</v>
      </c>
      <c r="D13" s="2" t="s">
        <v>140</v>
      </c>
      <c r="E13" s="2" t="s">
        <v>141</v>
      </c>
      <c r="F13" s="2" t="s">
        <v>142</v>
      </c>
      <c r="G13" s="2" t="s">
        <v>143</v>
      </c>
      <c r="H13" s="2"/>
    </row>
    <row r="14" spans="1:8" ht="22" customHeight="1" x14ac:dyDescent="0.55000000000000004">
      <c r="A14" s="26" t="s">
        <v>98</v>
      </c>
      <c r="B14" s="3"/>
      <c r="C14" s="27" t="s">
        <v>99</v>
      </c>
      <c r="D14" s="28" t="s">
        <v>100</v>
      </c>
      <c r="E14" s="29" t="s">
        <v>144</v>
      </c>
      <c r="F14" s="30" t="s">
        <v>145</v>
      </c>
      <c r="G14" s="38" t="s">
        <v>146</v>
      </c>
      <c r="H14" s="3"/>
    </row>
    <row r="15" spans="1:8" ht="22" customHeight="1" x14ac:dyDescent="0.55000000000000004">
      <c r="A15" s="26" t="s">
        <v>105</v>
      </c>
      <c r="B15" s="6"/>
      <c r="C15" s="27" t="s">
        <v>147</v>
      </c>
      <c r="D15" s="28" t="s">
        <v>107</v>
      </c>
      <c r="E15" s="29" t="s">
        <v>108</v>
      </c>
      <c r="F15" s="30" t="s">
        <v>109</v>
      </c>
      <c r="G15" s="38" t="s">
        <v>148</v>
      </c>
      <c r="H15" s="6"/>
    </row>
    <row r="16" spans="1:8" ht="22" customHeight="1" x14ac:dyDescent="0.55000000000000004">
      <c r="A16" s="26" t="s">
        <v>112</v>
      </c>
      <c r="B16" s="3"/>
      <c r="C16" s="27" t="s">
        <v>113</v>
      </c>
      <c r="D16" s="28" t="s">
        <v>114</v>
      </c>
      <c r="E16" s="29" t="s">
        <v>115</v>
      </c>
      <c r="F16" s="30" t="s">
        <v>116</v>
      </c>
      <c r="G16" s="38" t="s">
        <v>149</v>
      </c>
      <c r="H16" s="3"/>
    </row>
    <row r="17" spans="1:8" ht="22" customHeight="1" x14ac:dyDescent="0.55000000000000004">
      <c r="A17" s="26" t="s">
        <v>96</v>
      </c>
      <c r="B17" s="6"/>
      <c r="C17" s="27" t="s">
        <v>92</v>
      </c>
      <c r="D17" s="28" t="s">
        <v>93</v>
      </c>
      <c r="E17" s="29" t="s">
        <v>94</v>
      </c>
      <c r="F17" s="30" t="s">
        <v>95</v>
      </c>
      <c r="G17" s="38" t="s">
        <v>150</v>
      </c>
      <c r="H17" s="6"/>
    </row>
    <row r="18" spans="1:8" ht="22" customHeight="1" x14ac:dyDescent="0.55000000000000004">
      <c r="A18" s="26" t="s">
        <v>97</v>
      </c>
      <c r="B18" s="3"/>
      <c r="C18" s="27" t="s">
        <v>151</v>
      </c>
      <c r="D18" s="28" t="s">
        <v>151</v>
      </c>
      <c r="E18" s="29" t="s">
        <v>151</v>
      </c>
      <c r="F18" s="30" t="s">
        <v>151</v>
      </c>
      <c r="G18" s="32" t="s">
        <v>152</v>
      </c>
      <c r="H18" s="3"/>
    </row>
    <row r="19" spans="1:8" ht="22" customHeight="1" x14ac:dyDescent="0.55000000000000004">
      <c r="A19" s="26" t="s">
        <v>153</v>
      </c>
      <c r="B19" s="6"/>
      <c r="C19" s="27" t="s">
        <v>154</v>
      </c>
      <c r="D19" s="28" t="s">
        <v>154</v>
      </c>
      <c r="E19" s="29" t="s">
        <v>155</v>
      </c>
      <c r="F19" s="30" t="s">
        <v>156</v>
      </c>
      <c r="G19" s="32" t="s">
        <v>157</v>
      </c>
      <c r="H19" s="6"/>
    </row>
    <row r="20" spans="1:8" ht="5.05" customHeight="1" x14ac:dyDescent="0.55000000000000004">
      <c r="A20" s="1"/>
      <c r="B20" s="1"/>
      <c r="C20" s="1"/>
      <c r="D20" s="1"/>
      <c r="E20" s="1"/>
      <c r="F20" s="1"/>
      <c r="G20" s="1"/>
      <c r="H20" s="1"/>
    </row>
    <row r="21" spans="1:8" ht="22" customHeight="1" x14ac:dyDescent="0.55000000000000004">
      <c r="A21" s="88" t="s">
        <v>158</v>
      </c>
      <c r="B21" s="89"/>
      <c r="C21" s="89"/>
      <c r="D21" s="89"/>
      <c r="E21" s="89"/>
      <c r="F21" s="89"/>
      <c r="G21" s="89"/>
      <c r="H21" s="89"/>
    </row>
    <row r="22" spans="1:8" ht="18" customHeight="1" x14ac:dyDescent="0.55000000000000004">
      <c r="A22" s="2"/>
      <c r="B22" s="2" t="s">
        <v>159</v>
      </c>
      <c r="C22" s="2"/>
      <c r="D22" s="2" t="s">
        <v>42</v>
      </c>
      <c r="E22" s="2"/>
      <c r="F22" s="2" t="s">
        <v>160</v>
      </c>
      <c r="G22" s="2"/>
      <c r="H22" s="2"/>
    </row>
    <row r="23" spans="1:8" ht="22" customHeight="1" x14ac:dyDescent="0.55000000000000004">
      <c r="A23" s="39" t="s">
        <v>161</v>
      </c>
      <c r="B23" s="40" t="s">
        <v>162</v>
      </c>
      <c r="C23" s="5"/>
      <c r="D23" s="41" t="s">
        <v>163</v>
      </c>
      <c r="E23" s="159"/>
      <c r="F23" s="155" t="str">
        <f>IF('VERİ GİRİŞİ'!C34="EVET","Uygun","Eksik")</f>
        <v>Uygun</v>
      </c>
      <c r="G23" s="42" t="s">
        <v>164</v>
      </c>
      <c r="H23" s="6"/>
    </row>
    <row r="24" spans="1:8" ht="22" customHeight="1" x14ac:dyDescent="0.55000000000000004">
      <c r="A24" s="39" t="s">
        <v>165</v>
      </c>
      <c r="B24" s="40" t="s">
        <v>166</v>
      </c>
      <c r="C24" s="5"/>
      <c r="D24" s="41" t="s">
        <v>167</v>
      </c>
      <c r="E24" s="159"/>
      <c r="F24" s="155" t="str">
        <f>IF('VERİ GİRİŞİ'!F9="EVET","Uygun","Eksik")</f>
        <v>Uygun</v>
      </c>
      <c r="G24" s="42" t="s">
        <v>164</v>
      </c>
      <c r="H24" s="3"/>
    </row>
    <row r="25" spans="1:8" ht="22" customHeight="1" x14ac:dyDescent="0.55000000000000004">
      <c r="A25" s="39" t="s">
        <v>168</v>
      </c>
      <c r="B25" s="40" t="s">
        <v>169</v>
      </c>
      <c r="C25" s="5"/>
      <c r="D25" s="41" t="s">
        <v>170</v>
      </c>
      <c r="E25" s="159"/>
      <c r="F25" s="155" t="str">
        <f>IF('VERİ GİRİŞİ'!F10="EVET","Uygun","Risk")</f>
        <v>Uygun</v>
      </c>
      <c r="G25" s="42" t="s">
        <v>164</v>
      </c>
      <c r="H25" s="6"/>
    </row>
    <row r="26" spans="1:8" ht="22" customHeight="1" x14ac:dyDescent="0.55000000000000004">
      <c r="A26" s="39" t="s">
        <v>171</v>
      </c>
      <c r="B26" s="43" t="s">
        <v>172</v>
      </c>
      <c r="C26" s="3"/>
      <c r="D26" s="44" t="s">
        <v>173</v>
      </c>
      <c r="E26" s="161"/>
      <c r="F26" s="156" t="str">
        <f>IF('VERİ GİRİŞİ'!E47&gt;0,"Uygun","Eksik")</f>
        <v>Eksik</v>
      </c>
      <c r="G26" s="42" t="s">
        <v>164</v>
      </c>
      <c r="H26" s="3"/>
    </row>
    <row r="27" spans="1:8" ht="22" customHeight="1" x14ac:dyDescent="0.55000000000000004">
      <c r="A27" s="39" t="s">
        <v>174</v>
      </c>
      <c r="B27" s="45" t="s">
        <v>175</v>
      </c>
      <c r="C27" s="6"/>
      <c r="D27" s="46" t="s">
        <v>176</v>
      </c>
      <c r="E27" s="160"/>
      <c r="F27" s="157" t="str">
        <f>IF(AND('VERİ GİRİŞİ'!E47&gt;0,'VERİ GİRİŞİ'!G47='VERİ GİRİŞİ'!E47-'VERİ GİRİŞİ'!F47),"Uygun","Risk")</f>
        <v>Risk</v>
      </c>
      <c r="G27" s="42" t="s">
        <v>164</v>
      </c>
      <c r="H27" s="6"/>
    </row>
    <row r="28" spans="1:8" ht="22" customHeight="1" x14ac:dyDescent="0.55000000000000004">
      <c r="A28" s="39" t="s">
        <v>177</v>
      </c>
      <c r="B28" s="43" t="s">
        <v>178</v>
      </c>
      <c r="C28" s="3"/>
      <c r="D28" s="44" t="s">
        <v>179</v>
      </c>
      <c r="E28" s="161"/>
      <c r="F28" s="156" t="str">
        <f>IF('VERİ GİRİŞİ'!F11="EVET","Uygun","Eksik")</f>
        <v>Uygun</v>
      </c>
      <c r="G28" s="42" t="s">
        <v>164</v>
      </c>
      <c r="H28" s="3"/>
    </row>
    <row r="29" spans="1:8" ht="22" customHeight="1" x14ac:dyDescent="0.55000000000000004">
      <c r="A29" s="39" t="s">
        <v>180</v>
      </c>
      <c r="B29" s="45" t="s">
        <v>181</v>
      </c>
      <c r="C29" s="6"/>
      <c r="D29" s="46" t="s">
        <v>182</v>
      </c>
      <c r="E29" s="160"/>
      <c r="F29" s="157" t="str">
        <f>IF('VERİ GİRİŞİ'!F8="EVET","Uygun","Eksik")</f>
        <v>Uygun</v>
      </c>
      <c r="G29" s="42" t="s">
        <v>164</v>
      </c>
      <c r="H29" s="6"/>
    </row>
    <row r="30" spans="1:8" ht="22" customHeight="1" x14ac:dyDescent="0.55000000000000004">
      <c r="A30" s="47" t="s">
        <v>183</v>
      </c>
      <c r="B30" s="48" t="s">
        <v>184</v>
      </c>
      <c r="C30" s="49"/>
      <c r="D30" s="50" t="s">
        <v>185</v>
      </c>
      <c r="E30" s="162"/>
      <c r="F30" s="158" t="str">
        <f>IF('VERİ GİRİŞİ'!F12="EVET","Uygun","Risk")</f>
        <v>Uygun</v>
      </c>
      <c r="G30" s="42" t="s">
        <v>164</v>
      </c>
      <c r="H30" s="3"/>
    </row>
    <row r="31" spans="1:8" ht="22" customHeight="1" x14ac:dyDescent="0.55000000000000004">
      <c r="A31" s="39" t="s">
        <v>186</v>
      </c>
      <c r="B31" s="45" t="s">
        <v>187</v>
      </c>
      <c r="C31" s="6"/>
      <c r="D31" s="46" t="s">
        <v>188</v>
      </c>
      <c r="E31" s="160"/>
      <c r="F31" s="157" t="str">
        <f>IF('VERİ GİRİŞİ'!F9="EVET","Uygun","Eksik")</f>
        <v>Uygun</v>
      </c>
      <c r="G31" s="42" t="s">
        <v>164</v>
      </c>
      <c r="H31" s="6"/>
    </row>
    <row r="32" spans="1:8" ht="22" customHeight="1" x14ac:dyDescent="0.55000000000000004">
      <c r="A32" s="39" t="s">
        <v>189</v>
      </c>
      <c r="B32" s="43" t="s">
        <v>190</v>
      </c>
      <c r="C32" s="3"/>
      <c r="D32" s="44" t="s">
        <v>191</v>
      </c>
      <c r="E32" s="161"/>
      <c r="F32" s="156" t="str">
        <f>IF('VERİ GİRİŞİ'!E47&gt;0,"Uygun","Eksik")</f>
        <v>Eksik</v>
      </c>
      <c r="G32" s="42" t="s">
        <v>164</v>
      </c>
      <c r="H32" s="3"/>
    </row>
    <row r="33" spans="1:8" ht="22" customHeight="1" x14ac:dyDescent="0.55000000000000004">
      <c r="A33" s="39" t="s">
        <v>192</v>
      </c>
      <c r="B33" s="45" t="s">
        <v>193</v>
      </c>
      <c r="C33" s="6"/>
      <c r="D33" s="46" t="s">
        <v>194</v>
      </c>
      <c r="E33" s="160"/>
      <c r="F33" s="157" t="str">
        <f>IF('VERİ GİRİŞİ'!F8="EVET","Uygun","Eksik")</f>
        <v>Uygun</v>
      </c>
      <c r="G33" s="42" t="s">
        <v>164</v>
      </c>
      <c r="H33" s="6"/>
    </row>
    <row r="34" spans="1:8" ht="22" customHeight="1" x14ac:dyDescent="0.55000000000000004">
      <c r="A34" s="39" t="s">
        <v>195</v>
      </c>
      <c r="B34" s="43" t="s">
        <v>196</v>
      </c>
      <c r="C34" s="3"/>
      <c r="D34" s="44" t="s">
        <v>22</v>
      </c>
      <c r="E34" s="161"/>
      <c r="F34" s="156" t="str">
        <f>IF('VERİ GİRİŞİ'!F14="EVET","Uygun","Eksik")</f>
        <v>Uygun</v>
      </c>
      <c r="G34" s="42" t="s">
        <v>164</v>
      </c>
      <c r="H34" s="3"/>
    </row>
  </sheetData>
  <mergeCells count="17">
    <mergeCell ref="A7:D7"/>
    <mergeCell ref="F10:H10"/>
    <mergeCell ref="F7:H7"/>
    <mergeCell ref="A12:H12"/>
    <mergeCell ref="A21:H21"/>
    <mergeCell ref="F8:H8"/>
    <mergeCell ref="A1:H1"/>
    <mergeCell ref="A10:D10"/>
    <mergeCell ref="A9:D9"/>
    <mergeCell ref="F9:H9"/>
    <mergeCell ref="A6:D6"/>
    <mergeCell ref="A2:H2"/>
    <mergeCell ref="A4:H4"/>
    <mergeCell ref="F6:H6"/>
    <mergeCell ref="A5:D5"/>
    <mergeCell ref="A8:D8"/>
    <mergeCell ref="F5:H5"/>
  </mergeCells>
  <conditionalFormatting sqref="E5">
    <cfRule type="containsText" dxfId="7" priority="1" operator="containsText" text="OK">
      <formula>NOT(ISERROR(SEARCH("OK",E5)))</formula>
    </cfRule>
    <cfRule type="containsText" dxfId="6" priority="2" operator="containsText" text="HATA">
      <formula>NOT(ISERROR(SEARCH("HATA",E5)))</formula>
    </cfRule>
  </conditionalFormatting>
  <conditionalFormatting sqref="F23:F34">
    <cfRule type="containsText" dxfId="5" priority="3" operator="containsText" text="Uygun">
      <formula>NOT(ISERROR(SEARCH("Uygun",F23)))</formula>
    </cfRule>
  </conditionalFormatting>
  <conditionalFormatting sqref="F23:F34">
    <cfRule type="containsText" dxfId="4" priority="4" operator="containsText" text="Eksik">
      <formula>NOT(ISERROR(SEARCH("Eksik",F23)))</formula>
    </cfRule>
  </conditionalFormatting>
  <conditionalFormatting sqref="F23:F34">
    <cfRule type="containsText" dxfId="3" priority="5" operator="containsText" text="Risk">
      <formula>NOT(ISERROR(SEARCH("Risk",F23)))</formula>
    </cfRule>
  </conditionalFormatting>
  <conditionalFormatting sqref="F23:F34">
    <cfRule type="containsText" dxfId="2" priority="6" operator="containsText" text="Uygun">
      <formula>NOT(ISERROR(SEARCH("Uygun",F23)))</formula>
    </cfRule>
  </conditionalFormatting>
  <conditionalFormatting sqref="F23:F34">
    <cfRule type="containsText" dxfId="1" priority="7" operator="containsText" text="Eksik">
      <formula>NOT(ISERROR(SEARCH("Eksik",F23)))</formula>
    </cfRule>
  </conditionalFormatting>
  <conditionalFormatting sqref="F23:F34">
    <cfRule type="containsText" dxfId="0" priority="8" operator="containsText" text="Risk">
      <formula>NOT(ISERROR(SEARCH("Risk",F23)))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2"/>
  <sheetViews>
    <sheetView tabSelected="1" workbookViewId="0">
      <selection activeCell="D7" sqref="D7"/>
    </sheetView>
  </sheetViews>
  <sheetFormatPr defaultRowHeight="14.4" x14ac:dyDescent="0.55000000000000004"/>
  <cols>
    <col min="1" max="1" width="4" customWidth="1"/>
    <col min="2" max="2" width="10" customWidth="1"/>
    <col min="3" max="3" width="26" customWidth="1"/>
    <col min="4" max="4" width="22" customWidth="1"/>
    <col min="5" max="7" width="12" customWidth="1"/>
    <col min="8" max="8" width="18" customWidth="1"/>
  </cols>
  <sheetData>
    <row r="1" spans="1:8" ht="28" customHeight="1" x14ac:dyDescent="0.7">
      <c r="A1" s="153" t="s">
        <v>197</v>
      </c>
      <c r="B1" s="154"/>
      <c r="C1" s="154"/>
      <c r="D1" s="154"/>
      <c r="E1" s="154"/>
      <c r="F1" s="154"/>
      <c r="G1" s="154"/>
      <c r="H1" s="154"/>
    </row>
    <row r="2" spans="1:8" ht="20.05" customHeight="1" x14ac:dyDescent="0.55000000000000004">
      <c r="A2" s="133" t="s">
        <v>198</v>
      </c>
      <c r="B2" s="102"/>
      <c r="C2" s="102"/>
      <c r="D2" s="102"/>
      <c r="E2" s="102"/>
      <c r="F2" s="102"/>
      <c r="G2" s="102"/>
      <c r="H2" s="102"/>
    </row>
    <row r="4" spans="1:8" ht="26.05" customHeight="1" x14ac:dyDescent="0.55000000000000004">
      <c r="A4" s="88" t="s">
        <v>199</v>
      </c>
      <c r="B4" s="89"/>
      <c r="C4" s="89"/>
      <c r="D4" s="89"/>
      <c r="E4" s="89"/>
      <c r="F4" s="89"/>
      <c r="G4" s="89"/>
      <c r="H4" s="89"/>
    </row>
    <row r="5" spans="1:8" ht="22" customHeight="1" x14ac:dyDescent="0.55000000000000004">
      <c r="A5" s="136" t="s">
        <v>200</v>
      </c>
      <c r="B5" s="87"/>
      <c r="C5" s="87"/>
      <c r="D5" s="87"/>
      <c r="E5" s="87"/>
      <c r="F5" s="87"/>
      <c r="G5" s="87"/>
      <c r="H5" s="87"/>
    </row>
    <row r="6" spans="1:8" ht="18" customHeight="1" x14ac:dyDescent="0.55000000000000004">
      <c r="A6" s="52"/>
      <c r="B6" s="52" t="s">
        <v>201</v>
      </c>
      <c r="C6" s="52" t="s">
        <v>202</v>
      </c>
      <c r="D6" s="52" t="s">
        <v>203</v>
      </c>
      <c r="E6" s="52" t="s">
        <v>204</v>
      </c>
      <c r="F6" s="52" t="s">
        <v>205</v>
      </c>
      <c r="G6" s="52"/>
      <c r="H6" s="52" t="s">
        <v>206</v>
      </c>
    </row>
    <row r="7" spans="1:8" ht="26.05" customHeight="1" x14ac:dyDescent="0.55000000000000004">
      <c r="A7" s="53" t="s">
        <v>204</v>
      </c>
      <c r="B7" s="53" t="s">
        <v>207</v>
      </c>
      <c r="C7" s="53" t="s">
        <v>208</v>
      </c>
      <c r="D7" s="53" t="s">
        <v>209</v>
      </c>
      <c r="E7" s="53" t="s">
        <v>210</v>
      </c>
      <c r="F7" s="53" t="s">
        <v>154</v>
      </c>
      <c r="G7" s="54"/>
      <c r="H7" s="53" t="s">
        <v>130</v>
      </c>
    </row>
    <row r="8" spans="1:8" ht="26.05" customHeight="1" x14ac:dyDescent="0.55000000000000004">
      <c r="A8" s="55" t="s">
        <v>205</v>
      </c>
      <c r="B8" s="55" t="s">
        <v>207</v>
      </c>
      <c r="C8" s="55" t="s">
        <v>211</v>
      </c>
      <c r="D8" s="55" t="s">
        <v>212</v>
      </c>
      <c r="E8" s="55" t="s">
        <v>154</v>
      </c>
      <c r="F8" s="55" t="s">
        <v>210</v>
      </c>
      <c r="G8" s="56"/>
      <c r="H8" s="55" t="s">
        <v>213</v>
      </c>
    </row>
    <row r="9" spans="1:8" ht="26.05" customHeight="1" x14ac:dyDescent="0.55000000000000004">
      <c r="A9" s="88" t="s">
        <v>214</v>
      </c>
      <c r="B9" s="89"/>
      <c r="C9" s="89"/>
      <c r="D9" s="89"/>
      <c r="E9" s="89"/>
      <c r="F9" s="89"/>
      <c r="G9" s="89"/>
      <c r="H9" s="89"/>
    </row>
    <row r="10" spans="1:8" ht="22" customHeight="1" x14ac:dyDescent="0.55000000000000004">
      <c r="A10" s="132" t="s">
        <v>215</v>
      </c>
      <c r="B10" s="96"/>
      <c r="C10" s="96"/>
      <c r="D10" s="96"/>
      <c r="E10" s="96"/>
      <c r="F10" s="96"/>
      <c r="G10" s="96"/>
      <c r="H10" s="96"/>
    </row>
    <row r="11" spans="1:8" ht="18" customHeight="1" x14ac:dyDescent="0.55000000000000004">
      <c r="A11" s="52"/>
      <c r="B11" s="52" t="s">
        <v>201</v>
      </c>
      <c r="C11" s="52" t="s">
        <v>202</v>
      </c>
      <c r="D11" s="52" t="s">
        <v>203</v>
      </c>
      <c r="E11" s="52" t="s">
        <v>204</v>
      </c>
      <c r="F11" s="52" t="s">
        <v>205</v>
      </c>
      <c r="G11" s="52"/>
      <c r="H11" s="52" t="s">
        <v>206</v>
      </c>
    </row>
    <row r="12" spans="1:8" ht="26.05" customHeight="1" x14ac:dyDescent="0.55000000000000004">
      <c r="A12" s="53" t="s">
        <v>204</v>
      </c>
      <c r="B12" s="53" t="s">
        <v>216</v>
      </c>
      <c r="C12" s="53" t="s">
        <v>208</v>
      </c>
      <c r="D12" s="53" t="s">
        <v>217</v>
      </c>
      <c r="E12" s="53" t="s">
        <v>218</v>
      </c>
      <c r="F12" s="53" t="s">
        <v>154</v>
      </c>
      <c r="G12" s="54"/>
      <c r="H12" s="53" t="s">
        <v>130</v>
      </c>
    </row>
    <row r="13" spans="1:8" ht="26.05" customHeight="1" x14ac:dyDescent="0.55000000000000004">
      <c r="A13" s="55" t="s">
        <v>205</v>
      </c>
      <c r="B13" s="55" t="s">
        <v>216</v>
      </c>
      <c r="C13" s="55" t="s">
        <v>219</v>
      </c>
      <c r="D13" s="55" t="s">
        <v>220</v>
      </c>
      <c r="E13" s="55" t="s">
        <v>154</v>
      </c>
      <c r="F13" s="55" t="s">
        <v>221</v>
      </c>
      <c r="G13" s="56"/>
      <c r="H13" s="55" t="s">
        <v>222</v>
      </c>
    </row>
    <row r="14" spans="1:8" ht="26.05" customHeight="1" x14ac:dyDescent="0.55000000000000004">
      <c r="A14" s="53" t="s">
        <v>205</v>
      </c>
      <c r="B14" s="53" t="s">
        <v>216</v>
      </c>
      <c r="C14" s="53" t="s">
        <v>211</v>
      </c>
      <c r="D14" s="53" t="s">
        <v>223</v>
      </c>
      <c r="E14" s="53" t="s">
        <v>154</v>
      </c>
      <c r="F14" s="53" t="s">
        <v>224</v>
      </c>
      <c r="G14" s="54"/>
      <c r="H14" s="53" t="s">
        <v>213</v>
      </c>
    </row>
    <row r="15" spans="1:8" ht="24" customHeight="1" x14ac:dyDescent="0.55000000000000004">
      <c r="A15" s="132" t="s">
        <v>225</v>
      </c>
      <c r="B15" s="96"/>
      <c r="C15" s="96"/>
      <c r="D15" s="96"/>
      <c r="E15" s="96"/>
      <c r="F15" s="96"/>
      <c r="G15" s="96"/>
      <c r="H15" s="96"/>
    </row>
    <row r="16" spans="1:8" ht="26.05" customHeight="1" x14ac:dyDescent="0.55000000000000004">
      <c r="A16" s="134" t="s">
        <v>226</v>
      </c>
      <c r="B16" s="135"/>
      <c r="C16" s="135"/>
      <c r="D16" s="135"/>
      <c r="E16" s="135"/>
      <c r="F16" s="135"/>
      <c r="G16" s="135"/>
      <c r="H16" s="135"/>
    </row>
    <row r="17" spans="1:8" ht="18" customHeight="1" x14ac:dyDescent="0.55000000000000004">
      <c r="A17" s="52"/>
      <c r="B17" s="52" t="s">
        <v>201</v>
      </c>
      <c r="C17" s="52" t="s">
        <v>202</v>
      </c>
      <c r="D17" s="52" t="s">
        <v>203</v>
      </c>
      <c r="E17" s="52" t="s">
        <v>204</v>
      </c>
      <c r="F17" s="52" t="s">
        <v>205</v>
      </c>
      <c r="G17" s="52"/>
      <c r="H17" s="52" t="s">
        <v>206</v>
      </c>
    </row>
    <row r="18" spans="1:8" ht="24" customHeight="1" x14ac:dyDescent="0.55000000000000004">
      <c r="A18" s="53" t="s">
        <v>92</v>
      </c>
      <c r="B18" s="53" t="s">
        <v>227</v>
      </c>
      <c r="C18" s="53" t="s">
        <v>113</v>
      </c>
      <c r="D18" s="53" t="s">
        <v>228</v>
      </c>
      <c r="E18" s="53" t="s">
        <v>154</v>
      </c>
      <c r="F18" s="53" t="s">
        <v>229</v>
      </c>
      <c r="G18" s="54"/>
      <c r="H18" s="53" t="s">
        <v>230</v>
      </c>
    </row>
    <row r="19" spans="1:8" ht="24" customHeight="1" x14ac:dyDescent="0.55000000000000004">
      <c r="A19" s="55" t="s">
        <v>93</v>
      </c>
      <c r="B19" s="55" t="s">
        <v>231</v>
      </c>
      <c r="C19" s="55" t="s">
        <v>114</v>
      </c>
      <c r="D19" s="55" t="s">
        <v>232</v>
      </c>
      <c r="E19" s="55" t="s">
        <v>154</v>
      </c>
      <c r="F19" s="55" t="s">
        <v>233</v>
      </c>
      <c r="G19" s="56"/>
      <c r="H19" s="55" t="s">
        <v>234</v>
      </c>
    </row>
    <row r="20" spans="1:8" ht="24" customHeight="1" x14ac:dyDescent="0.55000000000000004">
      <c r="A20" s="53" t="s">
        <v>94</v>
      </c>
      <c r="B20" s="53" t="s">
        <v>235</v>
      </c>
      <c r="C20" s="53" t="s">
        <v>115</v>
      </c>
      <c r="D20" s="53" t="s">
        <v>236</v>
      </c>
      <c r="E20" s="53" t="s">
        <v>154</v>
      </c>
      <c r="F20" s="53" t="s">
        <v>237</v>
      </c>
      <c r="G20" s="54"/>
      <c r="H20" s="53" t="s">
        <v>238</v>
      </c>
    </row>
    <row r="21" spans="1:8" ht="24" customHeight="1" x14ac:dyDescent="0.55000000000000004">
      <c r="A21" s="55" t="s">
        <v>95</v>
      </c>
      <c r="B21" s="55" t="s">
        <v>239</v>
      </c>
      <c r="C21" s="55" t="s">
        <v>116</v>
      </c>
      <c r="D21" s="55" t="s">
        <v>240</v>
      </c>
      <c r="E21" s="55" t="s">
        <v>154</v>
      </c>
      <c r="F21" s="55" t="s">
        <v>241</v>
      </c>
      <c r="G21" s="56"/>
      <c r="H21" s="55" t="s">
        <v>213</v>
      </c>
    </row>
    <row r="22" spans="1:8" ht="40" customHeight="1" x14ac:dyDescent="0.55000000000000004">
      <c r="A22" s="137" t="s">
        <v>242</v>
      </c>
      <c r="B22" s="138"/>
      <c r="C22" s="138"/>
      <c r="D22" s="138"/>
      <c r="E22" s="138"/>
      <c r="F22" s="138"/>
      <c r="G22" s="138"/>
      <c r="H22" s="138"/>
    </row>
  </sheetData>
  <mergeCells count="9">
    <mergeCell ref="A16:H16"/>
    <mergeCell ref="A10:H10"/>
    <mergeCell ref="A5:H5"/>
    <mergeCell ref="A22:H22"/>
    <mergeCell ref="A9:H9"/>
    <mergeCell ref="A4:H4"/>
    <mergeCell ref="A1:H1"/>
    <mergeCell ref="A15:H15"/>
    <mergeCell ref="A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"/>
  <sheetViews>
    <sheetView workbookViewId="0"/>
  </sheetViews>
  <sheetFormatPr defaultRowHeight="14.4" x14ac:dyDescent="0.55000000000000004"/>
  <cols>
    <col min="1" max="1" width="4" customWidth="1"/>
    <col min="2" max="2" width="24" customWidth="1"/>
    <col min="3" max="3" width="50" customWidth="1"/>
    <col min="4" max="4" width="22" customWidth="1"/>
  </cols>
  <sheetData>
    <row r="1" spans="1:8" ht="36" customHeight="1" x14ac:dyDescent="0.55000000000000004">
      <c r="A1" s="142" t="s">
        <v>243</v>
      </c>
      <c r="B1" s="89"/>
      <c r="C1" s="89"/>
      <c r="D1" s="89"/>
      <c r="E1" s="89"/>
      <c r="F1" s="89"/>
      <c r="G1" s="89"/>
      <c r="H1" s="89"/>
    </row>
    <row r="2" spans="1:8" ht="22" customHeight="1" x14ac:dyDescent="0.55000000000000004">
      <c r="A2" s="140" t="s">
        <v>244</v>
      </c>
      <c r="B2" s="141"/>
      <c r="C2" s="141"/>
      <c r="D2" s="141"/>
      <c r="E2" s="141"/>
      <c r="F2" s="141"/>
      <c r="G2" s="141"/>
      <c r="H2" s="141"/>
    </row>
    <row r="3" spans="1:8" ht="18" customHeight="1" x14ac:dyDescent="0.55000000000000004">
      <c r="A3" s="52" t="s">
        <v>245</v>
      </c>
      <c r="B3" s="52" t="s">
        <v>98</v>
      </c>
      <c r="C3" s="52" t="s">
        <v>246</v>
      </c>
      <c r="D3" s="52" t="s">
        <v>247</v>
      </c>
    </row>
    <row r="4" spans="1:8" ht="64" customHeight="1" x14ac:dyDescent="0.55000000000000004">
      <c r="A4" s="39" t="s">
        <v>248</v>
      </c>
      <c r="B4" s="43" t="s">
        <v>249</v>
      </c>
      <c r="C4" s="57" t="s">
        <v>250</v>
      </c>
      <c r="D4" s="58" t="s">
        <v>251</v>
      </c>
    </row>
    <row r="5" spans="1:8" ht="80.05" customHeight="1" x14ac:dyDescent="0.55000000000000004">
      <c r="A5" s="47" t="s">
        <v>252</v>
      </c>
      <c r="B5" s="40" t="s">
        <v>253</v>
      </c>
      <c r="C5" s="41" t="s">
        <v>254</v>
      </c>
      <c r="D5" s="59" t="s">
        <v>255</v>
      </c>
    </row>
    <row r="6" spans="1:8" ht="56.05" customHeight="1" x14ac:dyDescent="0.55000000000000004">
      <c r="A6" s="47" t="s">
        <v>256</v>
      </c>
      <c r="B6" s="60" t="s">
        <v>257</v>
      </c>
      <c r="C6" s="41" t="s">
        <v>258</v>
      </c>
      <c r="D6" s="61" t="s">
        <v>259</v>
      </c>
    </row>
    <row r="7" spans="1:8" ht="64" customHeight="1" x14ac:dyDescent="0.55000000000000004">
      <c r="A7" s="39" t="s">
        <v>260</v>
      </c>
      <c r="B7" s="43" t="s">
        <v>261</v>
      </c>
      <c r="C7" s="57" t="s">
        <v>262</v>
      </c>
      <c r="D7" s="58" t="s">
        <v>263</v>
      </c>
    </row>
    <row r="8" spans="1:8" ht="72" customHeight="1" x14ac:dyDescent="0.55000000000000004">
      <c r="A8" s="39" t="s">
        <v>264</v>
      </c>
      <c r="B8" s="45" t="s">
        <v>265</v>
      </c>
      <c r="C8" s="57" t="s">
        <v>266</v>
      </c>
      <c r="D8" s="62" t="s">
        <v>267</v>
      </c>
    </row>
    <row r="9" spans="1:8" ht="44.05" customHeight="1" x14ac:dyDescent="0.55000000000000004">
      <c r="A9" s="139" t="s">
        <v>268</v>
      </c>
      <c r="B9" s="92"/>
      <c r="C9" s="92"/>
      <c r="D9" s="92"/>
    </row>
  </sheetData>
  <mergeCells count="3">
    <mergeCell ref="A9:D9"/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1"/>
  <sheetViews>
    <sheetView workbookViewId="0"/>
  </sheetViews>
  <sheetFormatPr defaultRowHeight="14.4" x14ac:dyDescent="0.55000000000000004"/>
  <cols>
    <col min="1" max="1" width="3" customWidth="1"/>
    <col min="2" max="2" width="8" customWidth="1"/>
    <col min="3" max="3" width="40" customWidth="1"/>
    <col min="4" max="4" width="34" customWidth="1"/>
    <col min="5" max="5" width="22" customWidth="1"/>
    <col min="6" max="6" width="3" customWidth="1"/>
  </cols>
  <sheetData>
    <row r="1" spans="1:6" ht="38.049999999999997" customHeight="1" x14ac:dyDescent="0.55000000000000004">
      <c r="A1" s="145" t="s">
        <v>269</v>
      </c>
      <c r="B1" s="146"/>
      <c r="C1" s="146"/>
      <c r="D1" s="146"/>
      <c r="E1" s="146"/>
      <c r="F1" s="146"/>
    </row>
    <row r="2" spans="1:6" ht="22" customHeight="1" x14ac:dyDescent="0.55000000000000004">
      <c r="A2" s="143" t="s">
        <v>270</v>
      </c>
      <c r="B2" s="144"/>
      <c r="C2" s="144"/>
      <c r="D2" s="144"/>
      <c r="E2" s="144"/>
      <c r="F2" s="144"/>
    </row>
    <row r="3" spans="1:6" ht="5.05" customHeight="1" x14ac:dyDescent="0.55000000000000004">
      <c r="A3" s="1"/>
      <c r="B3" s="1"/>
      <c r="C3" s="1"/>
      <c r="D3" s="1"/>
      <c r="E3" s="1"/>
      <c r="F3" s="1"/>
    </row>
    <row r="4" spans="1:6" ht="36" customHeight="1" x14ac:dyDescent="0.55000000000000004">
      <c r="A4" s="151" t="s">
        <v>271</v>
      </c>
      <c r="B4" s="152"/>
      <c r="C4" s="152"/>
      <c r="D4" s="152"/>
      <c r="E4" s="152"/>
      <c r="F4" s="152"/>
    </row>
    <row r="5" spans="1:6" ht="18" customHeight="1" x14ac:dyDescent="0.55000000000000004">
      <c r="A5" s="52"/>
      <c r="B5" s="52" t="s">
        <v>272</v>
      </c>
      <c r="C5" s="52" t="s">
        <v>273</v>
      </c>
      <c r="D5" s="52" t="s">
        <v>42</v>
      </c>
      <c r="E5" s="52" t="s">
        <v>274</v>
      </c>
      <c r="F5" s="52"/>
    </row>
    <row r="6" spans="1:6" ht="40" customHeight="1" x14ac:dyDescent="0.55000000000000004">
      <c r="A6" s="7"/>
      <c r="B6" s="63" t="s">
        <v>275</v>
      </c>
      <c r="C6" s="64" t="s">
        <v>276</v>
      </c>
      <c r="D6" s="65" t="s">
        <v>277</v>
      </c>
      <c r="E6" s="66" t="s">
        <v>278</v>
      </c>
      <c r="F6" s="7"/>
    </row>
    <row r="7" spans="1:6" ht="44.05" customHeight="1" x14ac:dyDescent="0.55000000000000004">
      <c r="A7" s="7"/>
      <c r="B7" s="63" t="s">
        <v>279</v>
      </c>
      <c r="C7" s="64" t="s">
        <v>280</v>
      </c>
      <c r="D7" s="65" t="s">
        <v>281</v>
      </c>
      <c r="E7" s="66" t="s">
        <v>282</v>
      </c>
      <c r="F7" s="7"/>
    </row>
    <row r="8" spans="1:6" ht="32.049999999999997" customHeight="1" x14ac:dyDescent="0.55000000000000004">
      <c r="A8" s="7"/>
      <c r="B8" s="63" t="s">
        <v>283</v>
      </c>
      <c r="C8" s="64" t="s">
        <v>284</v>
      </c>
      <c r="D8" s="65" t="s">
        <v>285</v>
      </c>
      <c r="E8" s="66" t="s">
        <v>286</v>
      </c>
      <c r="F8" s="7"/>
    </row>
    <row r="9" spans="1:6" ht="36" customHeight="1" x14ac:dyDescent="0.55000000000000004">
      <c r="A9" s="7"/>
      <c r="B9" s="63" t="s">
        <v>287</v>
      </c>
      <c r="C9" s="64" t="s">
        <v>288</v>
      </c>
      <c r="D9" s="65" t="s">
        <v>289</v>
      </c>
      <c r="E9" s="66" t="s">
        <v>290</v>
      </c>
      <c r="F9" s="7"/>
    </row>
    <row r="10" spans="1:6" ht="28" customHeight="1" x14ac:dyDescent="0.55000000000000004">
      <c r="A10" s="7"/>
      <c r="B10" s="63" t="s">
        <v>291</v>
      </c>
      <c r="C10" s="64" t="s">
        <v>292</v>
      </c>
      <c r="D10" s="65" t="s">
        <v>293</v>
      </c>
      <c r="E10" s="66" t="s">
        <v>294</v>
      </c>
      <c r="F10" s="7"/>
    </row>
    <row r="11" spans="1:6" ht="5.05" customHeight="1" x14ac:dyDescent="0.55000000000000004">
      <c r="A11" s="1"/>
      <c r="B11" s="1"/>
      <c r="C11" s="1"/>
      <c r="D11" s="1"/>
      <c r="E11" s="1"/>
      <c r="F11" s="1"/>
    </row>
    <row r="12" spans="1:6" ht="36" customHeight="1" x14ac:dyDescent="0.55000000000000004">
      <c r="A12" s="149" t="s">
        <v>295</v>
      </c>
      <c r="B12" s="150"/>
      <c r="C12" s="150"/>
      <c r="D12" s="150"/>
      <c r="E12" s="150"/>
      <c r="F12" s="150"/>
    </row>
    <row r="13" spans="1:6" ht="18" customHeight="1" x14ac:dyDescent="0.55000000000000004">
      <c r="A13" s="52"/>
      <c r="B13" s="52" t="s">
        <v>272</v>
      </c>
      <c r="C13" s="52" t="s">
        <v>273</v>
      </c>
      <c r="D13" s="52" t="s">
        <v>42</v>
      </c>
      <c r="E13" s="52" t="s">
        <v>274</v>
      </c>
      <c r="F13" s="52"/>
    </row>
    <row r="14" spans="1:6" ht="28" customHeight="1" x14ac:dyDescent="0.55000000000000004">
      <c r="A14" s="67"/>
      <c r="B14" s="68" t="s">
        <v>296</v>
      </c>
      <c r="C14" s="69" t="s">
        <v>297</v>
      </c>
      <c r="D14" s="70" t="s">
        <v>298</v>
      </c>
      <c r="E14" s="71" t="s">
        <v>299</v>
      </c>
      <c r="F14" s="67"/>
    </row>
    <row r="15" spans="1:6" ht="24" customHeight="1" x14ac:dyDescent="0.55000000000000004">
      <c r="A15" s="67"/>
      <c r="B15" s="68" t="s">
        <v>300</v>
      </c>
      <c r="C15" s="69" t="s">
        <v>301</v>
      </c>
      <c r="D15" s="70" t="s">
        <v>302</v>
      </c>
      <c r="E15" s="71" t="s">
        <v>46</v>
      </c>
      <c r="F15" s="67"/>
    </row>
    <row r="16" spans="1:6" ht="24" customHeight="1" x14ac:dyDescent="0.55000000000000004">
      <c r="A16" s="67"/>
      <c r="B16" s="68" t="s">
        <v>303</v>
      </c>
      <c r="C16" s="69" t="s">
        <v>304</v>
      </c>
      <c r="D16" s="70" t="s">
        <v>305</v>
      </c>
      <c r="E16" s="71" t="s">
        <v>306</v>
      </c>
      <c r="F16" s="67"/>
    </row>
    <row r="17" spans="1:6" ht="5.05" customHeight="1" x14ac:dyDescent="0.55000000000000004">
      <c r="A17" s="1"/>
      <c r="B17" s="1"/>
      <c r="C17" s="1"/>
      <c r="D17" s="1"/>
      <c r="E17" s="1"/>
      <c r="F17" s="1"/>
    </row>
    <row r="18" spans="1:6" ht="36" customHeight="1" x14ac:dyDescent="0.55000000000000004">
      <c r="A18" s="147" t="s">
        <v>307</v>
      </c>
      <c r="B18" s="148"/>
      <c r="C18" s="148"/>
      <c r="D18" s="148"/>
      <c r="E18" s="148"/>
      <c r="F18" s="148"/>
    </row>
    <row r="19" spans="1:6" ht="18" customHeight="1" x14ac:dyDescent="0.55000000000000004">
      <c r="A19" s="72"/>
      <c r="B19" s="72" t="s">
        <v>272</v>
      </c>
      <c r="C19" s="72" t="s">
        <v>5</v>
      </c>
      <c r="D19" s="72" t="s">
        <v>308</v>
      </c>
      <c r="E19" s="72" t="s">
        <v>309</v>
      </c>
      <c r="F19" s="72"/>
    </row>
    <row r="20" spans="1:6" ht="32.049999999999997" customHeight="1" x14ac:dyDescent="0.55000000000000004">
      <c r="A20" s="51"/>
      <c r="B20" s="73" t="s">
        <v>310</v>
      </c>
      <c r="C20" s="60" t="s">
        <v>162</v>
      </c>
      <c r="D20" s="74" t="s">
        <v>311</v>
      </c>
      <c r="E20" s="75" t="s">
        <v>312</v>
      </c>
      <c r="F20" s="51"/>
    </row>
    <row r="21" spans="1:6" ht="32.049999999999997" customHeight="1" x14ac:dyDescent="0.55000000000000004">
      <c r="A21" s="51"/>
      <c r="B21" s="73" t="s">
        <v>313</v>
      </c>
      <c r="C21" s="60" t="s">
        <v>166</v>
      </c>
      <c r="D21" s="74" t="s">
        <v>167</v>
      </c>
      <c r="E21" s="75" t="s">
        <v>312</v>
      </c>
      <c r="F21" s="51"/>
    </row>
    <row r="22" spans="1:6" ht="32.049999999999997" customHeight="1" x14ac:dyDescent="0.55000000000000004">
      <c r="A22" s="51"/>
      <c r="B22" s="73" t="s">
        <v>314</v>
      </c>
      <c r="C22" s="60" t="s">
        <v>315</v>
      </c>
      <c r="D22" s="74" t="s">
        <v>316</v>
      </c>
      <c r="E22" s="75" t="s">
        <v>312</v>
      </c>
      <c r="F22" s="51"/>
    </row>
    <row r="23" spans="1:6" ht="32.049999999999997" customHeight="1" x14ac:dyDescent="0.55000000000000004">
      <c r="A23" s="67"/>
      <c r="B23" s="76" t="s">
        <v>317</v>
      </c>
      <c r="C23" s="77" t="s">
        <v>318</v>
      </c>
      <c r="D23" s="70" t="s">
        <v>173</v>
      </c>
      <c r="E23" s="78" t="s">
        <v>312</v>
      </c>
      <c r="F23" s="67"/>
    </row>
    <row r="24" spans="1:6" ht="32.049999999999997" customHeight="1" x14ac:dyDescent="0.55000000000000004">
      <c r="A24" s="67"/>
      <c r="B24" s="76" t="s">
        <v>319</v>
      </c>
      <c r="C24" s="77" t="s">
        <v>320</v>
      </c>
      <c r="D24" s="70" t="s">
        <v>321</v>
      </c>
      <c r="E24" s="78" t="s">
        <v>312</v>
      </c>
      <c r="F24" s="67"/>
    </row>
    <row r="25" spans="1:6" ht="32.049999999999997" customHeight="1" x14ac:dyDescent="0.55000000000000004">
      <c r="A25" s="67"/>
      <c r="B25" s="76" t="s">
        <v>322</v>
      </c>
      <c r="C25" s="77" t="s">
        <v>323</v>
      </c>
      <c r="D25" s="70" t="s">
        <v>324</v>
      </c>
      <c r="E25" s="78" t="s">
        <v>312</v>
      </c>
      <c r="F25" s="67"/>
    </row>
    <row r="26" spans="1:6" ht="32.049999999999997" customHeight="1" x14ac:dyDescent="0.55000000000000004">
      <c r="A26" s="67"/>
      <c r="B26" s="76" t="s">
        <v>325</v>
      </c>
      <c r="C26" s="77" t="s">
        <v>326</v>
      </c>
      <c r="D26" s="70" t="s">
        <v>327</v>
      </c>
      <c r="E26" s="78" t="s">
        <v>312</v>
      </c>
      <c r="F26" s="67"/>
    </row>
    <row r="27" spans="1:6" ht="32.049999999999997" customHeight="1" x14ac:dyDescent="0.55000000000000004">
      <c r="A27" s="49"/>
      <c r="B27" s="79" t="s">
        <v>328</v>
      </c>
      <c r="C27" s="48" t="s">
        <v>184</v>
      </c>
      <c r="D27" s="80" t="s">
        <v>329</v>
      </c>
      <c r="E27" s="81" t="s">
        <v>312</v>
      </c>
      <c r="F27" s="49"/>
    </row>
    <row r="28" spans="1:6" ht="32.049999999999997" customHeight="1" x14ac:dyDescent="0.55000000000000004">
      <c r="A28" s="67"/>
      <c r="B28" s="76" t="s">
        <v>330</v>
      </c>
      <c r="C28" s="77" t="s">
        <v>187</v>
      </c>
      <c r="D28" s="70" t="s">
        <v>188</v>
      </c>
      <c r="E28" s="78" t="s">
        <v>312</v>
      </c>
      <c r="F28" s="67"/>
    </row>
    <row r="29" spans="1:6" ht="32.049999999999997" customHeight="1" x14ac:dyDescent="0.55000000000000004">
      <c r="A29" s="67"/>
      <c r="B29" s="76" t="s">
        <v>331</v>
      </c>
      <c r="C29" s="77" t="s">
        <v>196</v>
      </c>
      <c r="D29" s="70" t="s">
        <v>22</v>
      </c>
      <c r="E29" s="78" t="s">
        <v>312</v>
      </c>
      <c r="F29" s="67"/>
    </row>
    <row r="30" spans="1:6" ht="5.05" customHeight="1" x14ac:dyDescent="0.55000000000000004">
      <c r="A30" s="1"/>
      <c r="B30" s="1"/>
      <c r="C30" s="1"/>
      <c r="D30" s="1"/>
      <c r="E30" s="1"/>
      <c r="F30" s="1"/>
    </row>
    <row r="31" spans="1:6" ht="52" customHeight="1" x14ac:dyDescent="0.55000000000000004">
      <c r="A31" s="139" t="s">
        <v>332</v>
      </c>
      <c r="B31" s="92"/>
      <c r="C31" s="92"/>
      <c r="D31" s="92"/>
      <c r="E31" s="92"/>
      <c r="F31" s="92"/>
    </row>
  </sheetData>
  <mergeCells count="6">
    <mergeCell ref="A2:F2"/>
    <mergeCell ref="A1:F1"/>
    <mergeCell ref="A31:F31"/>
    <mergeCell ref="A18:F18"/>
    <mergeCell ref="A12:F12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VERİ GİRİŞİ</vt:lpstr>
      <vt:lpstr>HESAPLAMALAR &amp; KONTROL</vt:lpstr>
      <vt:lpstr>MUHASEBE KAYITLARI</vt:lpstr>
      <vt:lpstr>DENETCİ NOTLARI</vt:lpstr>
      <vt:lpstr>BELGE 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Aydın DEDE</cp:lastModifiedBy>
  <dcterms:created xsi:type="dcterms:W3CDTF">2026-04-05T12:29:02Z</dcterms:created>
  <dcterms:modified xsi:type="dcterms:W3CDTF">2026-04-05T12:37:35Z</dcterms:modified>
</cp:coreProperties>
</file>