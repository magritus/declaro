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C56F27EE-D0AB-4D0C-9C8A-7C4C659F0373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2" l="1"/>
  <c r="G31" i="2"/>
  <c r="G30" i="2"/>
  <c r="G29" i="2"/>
  <c r="G28" i="2"/>
  <c r="G27" i="2"/>
  <c r="G26" i="2"/>
  <c r="G25" i="2"/>
  <c r="G24" i="2"/>
  <c r="G23" i="2"/>
  <c r="G22" i="2"/>
  <c r="G21" i="2"/>
  <c r="C33" i="1"/>
  <c r="E6" i="2"/>
  <c r="D53" i="1"/>
  <c r="E8" i="2" s="1"/>
  <c r="F47" i="1"/>
  <c r="E47" i="1"/>
  <c r="D52" i="1" s="1"/>
  <c r="E7" i="2" s="1"/>
  <c r="G46" i="1"/>
  <c r="H46" i="1" s="1"/>
  <c r="H45" i="1"/>
  <c r="G45" i="1"/>
  <c r="G44" i="1"/>
  <c r="H44" i="1" s="1"/>
  <c r="G43" i="1"/>
  <c r="H43" i="1" s="1"/>
  <c r="G42" i="1"/>
  <c r="H42" i="1" s="1"/>
  <c r="H41" i="1"/>
  <c r="G41" i="1"/>
  <c r="G40" i="1"/>
  <c r="H40" i="1" s="1"/>
  <c r="G39" i="1"/>
  <c r="H39" i="1" s="1"/>
  <c r="F15" i="1"/>
  <c r="E5" i="2" s="1"/>
  <c r="H47" i="1" l="1"/>
  <c r="G47" i="1"/>
  <c r="D54" i="1" s="1"/>
  <c r="E9" i="2" l="1"/>
  <c r="E62" i="1"/>
</calcChain>
</file>

<file path=xl/sharedStrings.xml><?xml version="1.0" encoding="utf-8"?>
<sst xmlns="http://schemas.openxmlformats.org/spreadsheetml/2006/main" count="426" uniqueCount="347">
  <si>
    <t>384 – KVK GEÇİCİ MADDE 14/4 | KÂR PAYI VE FAİZ İSTİSNASI | PARAGRAF 4 — GENEL / VADESİZ / DÖNEMSELİ KAPSAR | 383–384 MÜKERRERLİK | YMM TASDİK</t>
  </si>
  <si>
    <t>KVK Geçici Md.14/4 (Paragraf 4) | Genel Kâr Payı/Faiz İstisnası (Dönem Sonu Kısıtı Yok) | Beyanname 384 | ★ YİAKV MATRAHINDA DÜŞÜLEMEZ | 383–384 Mükerrerlik Önlenmeli</t>
  </si>
  <si>
    <t xml:space="preserve">  383 – 384 AYRIMI (PARAGRAF 4 İÇİNDE):
  383 (Md.14/4): 'Dönem Sonu DEĞERLEMESİNDEN DOĞAN kâr payı ve faiz' → 31 Aralık tahakkuk esaslı | 181/642.
  384 (Md.14/4): 'Kâr payı ve faiz istisnası' → Dönem sonu sınırı YOK — doğrudan ödeme, vade sonu, dönemsel tahsilat kapsar | 102/642.
  ★★ 383–384 MÜKERRERLİK: 383 tahakkuku yapılan araç için vade/tahsilat döneminde → 383'ün önceki yıl kısmı 384'ten çıkarılır. (372-373, 376-377, 380-381 kuralının Paragraf 4 eşdeğeri)</t>
  </si>
  <si>
    <t xml:space="preserve">  ★★ YİAKV (KVK Md.32/C) KRİTİK: 384 kapsamındaki kâr payı/faiz istisnası YİAKV matrahından DÜŞÜLEMEZ. KVK Geçici Md.14 tüm kodları E.7 DÜŞÜLEMEZ listesindedir.</t>
  </si>
  <si>
    <t>A0. KAPSAM VE NİTELİK UYGUNLUK ÖN KONTROLÜ</t>
  </si>
  <si>
    <t>Kontrol Sorusu</t>
  </si>
  <si>
    <t>Yanıt</t>
  </si>
  <si>
    <t>YMM Tasdik Notu</t>
  </si>
  <si>
    <t>A0.1  KVK Geçici Md.14/4 kapsamında işlem gerçekleştirildi mi?</t>
  </si>
  <si>
    <t>EVET</t>
  </si>
  <si>
    <t>384, KVK Geçici Md.14/4 kapsamı araçlardan elde edilen kâr payı ve faize uygulanır. Paragraf 4 kapsam analizi zorunludur.</t>
  </si>
  <si>
    <t>A0.2  ★ Bu kâr payı/faiz 383 (dönem sonu tahakkuk) kapsamında DEĞİL mi?</t>
  </si>
  <si>
    <t>383: 31 Aralık tahakkuk (dönem sonu değerleme). 384: Doğrudan ödeme/vade/dönemsel kâr payı/faiz. Aynı tutarın hem 383 hem 384'e yazılması mükerrerlik oluşturur.</t>
  </si>
  <si>
    <t>A0.3  Tahsilat/Ödeme Türü belirlendi mi?</t>
  </si>
  <si>
    <t>Vade Sonu Tahsilatı</t>
  </si>
  <si>
    <t>384'ün kapsamı: Vade sonu + Dönemsel tahsilat + Doğrudan ödeme — 383'ten farklı tüm tahsilatlar.</t>
  </si>
  <si>
    <t>A0.4  ★ 383–384 MÜKERRERLİK kontrolü yapıldı mı?</t>
  </si>
  <si>
    <t>Önceki yılda 383 tahakkuku yapılmış araç vadeye giriyorsa: Net 384 = Toplam − Önceki Yıl 383 Tahakkuku. (372-373, 376-377, 380-381 kuralının P4 eşdeğeri)</t>
  </si>
  <si>
    <t>A0.5  Paragraf 1/2/3 ile mükerrerlik analizi yapıldı mı?</t>
  </si>
  <si>
    <t>Paragraf 4 araçlarının 373/377/381 kapsamına girmediği teyit edilmeli.</t>
  </si>
  <si>
    <t>A0.6  ★ 384 tutarının YİAKV matrahından DÜŞÜLMEDIĞI teyit edildi mi?</t>
  </si>
  <si>
    <t>KVK Geçici Md.14 tüm kodları YİAKV matrahından DÜŞÜLEMEZ. E.7'de 384 de kontrol edilmeli.</t>
  </si>
  <si>
    <t>A0.7  YMM Tasdik Raporu (49 No.lu Tebliğ) değerlendirildi mi?</t>
  </si>
  <si>
    <t>&gt;=500.000 TL → YMM raporu.</t>
  </si>
  <si>
    <t>A0.8  Tasdik Uygunluk Sonucu</t>
  </si>
  <si>
    <t>★ A0.2 (383 ayrımı), A0.4 (383-384 mükerrerlik), A0.6 (YİAKV)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</si>
  <si>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</si>
  <si>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</si>
  <si>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</si>
  <si>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</si>
  <si>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</si>
  <si>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</si>
  <si>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</si>
  <si>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</si>
  <si>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 | Banka/Finans: %30</t>
  </si>
  <si>
    <t>Dosya Referansı</t>
  </si>
  <si>
    <t>YMM-2025/384-01</t>
  </si>
  <si>
    <t>383 Çalışma Kâğıdı Referansı</t>
  </si>
  <si>
    <t>Dönem sonu tahakkuk (383) ile mükerrerlik önleme zorunlu</t>
  </si>
  <si>
    <t>B. 383–384 MUTABAKAT AÇIKLAMASI VE ARAÇ BİLGİLERİ</t>
  </si>
  <si>
    <t xml:space="preserve">  383–384 MUTABAKAT KURALI (YILI AŞAN VADELİ PARAGRAF 4 ARAÇLARI):
  Örnek: P4 araç açılış Mart 2024 | Vade Eylül 2025 | Toplam kâr payı: 30.000 TL
  Aralık 2024 sonu (383): 14.500 TL tahakkuk → 2024 KV beyannamesi 383 satırı.
  Eylül 2025 vade (384): 30.000 − 14.500 = 15.500 TL net → 2025 KV beyannamesi 384 satırı.
  KURAL: Net 384 = Toplam − Önceki Yıl 383 Tahakkuku. Çapraz: 383 + 384 = Toplam kâr payı/faiz.</t>
  </si>
  <si>
    <t>Parametre</t>
  </si>
  <si>
    <t>Değer / Tarih</t>
  </si>
  <si>
    <t>Açıklama</t>
  </si>
  <si>
    <t>Kaynak</t>
  </si>
  <si>
    <t>B.1  Paragraf 4 TL Araç Türü</t>
  </si>
  <si>
    <t>TL Mevduat</t>
  </si>
  <si>
    <t>KVK Geçici Md.14/4 kapsamı TL araç türü.</t>
  </si>
  <si>
    <t>Araç sözleşmesi</t>
  </si>
  <si>
    <t>B.2  384 Tahsilat Türü</t>
  </si>
  <si>
    <t>384'ün 383'ten farklı kapsamı: Vade/dönemsel/doğrudan tahsilat.</t>
  </si>
  <si>
    <t>Ödeme belgesi</t>
  </si>
  <si>
    <t>B.3  Tahsilat/Ödeme Tarihi (veya Dönem)</t>
  </si>
  <si>
    <t>Kâr payı/faizin tahsil edildiği tarih veya dönem.</t>
  </si>
  <si>
    <t>Banka belgesi</t>
  </si>
  <si>
    <t>B.4  Toplam Kâr Payı/Faiz (Bu Araç İçin Banka Bildirimi)</t>
  </si>
  <si>
    <t>Tüm araç süresi boyunca oluşan toplam kâr payı/faiz.</t>
  </si>
  <si>
    <t>Banka bildirimi</t>
  </si>
  <si>
    <t>B.5  ★ Önceki Dönem(ler) 383 Tahakkuk Tutarı (Bu Araç İçin)</t>
  </si>
  <si>
    <t>Bu araç için önceki KV dönemlerinde 383 kapsamında istisna uygulanan toplam. Yoksa 0.</t>
  </si>
  <si>
    <t>Önceki dönem KV 383 satırı</t>
  </si>
  <si>
    <t>B.6  Net 384 Tutarı (B.4 − B.5)</t>
  </si>
  <si>
    <t>C tablosunda otomatik hesaplanır. Çapraz: 383+384 = B.4.</t>
  </si>
  <si>
    <t>Formül (C Sütun 7)</t>
  </si>
  <si>
    <t>B.7  ★ Paragraf 4 Kapsamı Teyit Edildi mi?</t>
  </si>
  <si>
    <t>Paragraf 4 kapsam analizi belgesi hazırlandı.</t>
  </si>
  <si>
    <t>Paragraf 4 analizi</t>
  </si>
  <si>
    <t>C. PARAGRAF 4 ARACI BAZINDA KÂR PAYI/FAİZ VE 383 MUTABAKAT TABLOSU</t>
  </si>
  <si>
    <t xml:space="preserve">  SÜTUN 5 (yeşil çerçeve): Toplam kâr payı/faiz — ANA VERİ. SÜTUN 6 (turuncu çerçeve): Önceki yıl 383 tutarı — mükerrerlik önleme. SÜTUN 7 = Net 384. SÜTUN 8 = İstisna.</t>
  </si>
  <si>
    <t>Araç Adı/No</t>
  </si>
  <si>
    <t>Açılış/Dönem</t>
  </si>
  <si>
    <t>Tahsilat Türü</t>
  </si>
  <si>
    <t>Tahsilat Tarihi</t>
  </si>
  <si>
    <t>Toplam Kâr Payı/Faiz (TL)</t>
  </si>
  <si>
    <t>Önceki Yıl 383 (TL)</t>
  </si>
  <si>
    <t>Net 384 (TL)</t>
  </si>
  <si>
    <t>İstisna (TL)</t>
  </si>
  <si>
    <t>TOPLAM</t>
  </si>
  <si>
    <t>Paragraf 4 Kâr Payı/Faiz → Beyanname 384</t>
  </si>
  <si>
    <t xml:space="preserve">  SÜTUN 5 (yeşil çerçeve): Banka bildirimi toplam kâr payı/faiz — ANA VERİ. SÜTUN 6 (turuncu): Önceki yıl 383 tutarı (yoksa 0). SÜTUN 7 = Net 384 = Sütun5 − Sütun6. ÇAPRAZ: 383 (tahakkuk) + 384 (net) = Toplam kâr payı/faiz (banka bildirimi).</t>
  </si>
  <si>
    <t>D. KÂR PAYI VE FAİZ İSTİSNASI ÖZET — BEYANNAME 384</t>
  </si>
  <si>
    <t>Hesap Kalemi</t>
  </si>
  <si>
    <t>Tutar (TL)</t>
  </si>
  <si>
    <t>YMM Notu</t>
  </si>
  <si>
    <t>D.1  Toplam Kâr Payı/Faiz (C Sütun 5)</t>
  </si>
  <si>
    <t>Banka bildirimi toplamı</t>
  </si>
  <si>
    <t>D.2  Önceki Yıl 383 Mahsubu</t>
  </si>
  <si>
    <t>C Sütun 6 — bu tutar 384'e YAZILMAZ</t>
  </si>
  <si>
    <t>D.3  ★ NET 384 İSTİSNA TUTARI → BEYANNAME 384</t>
  </si>
  <si>
    <t>→ Beyanname 384 | Kazancın Bulunması Halinde</t>
  </si>
  <si>
    <t>D.4  Kapsam Dışı Kâr Payı/Faiz</t>
  </si>
  <si>
    <t>Paragraf 4 dışı araçlar — vergilendirilir</t>
  </si>
  <si>
    <t>E. 383–384 PARAGRAF 4 ZİNCİR MUTABAKAT</t>
  </si>
  <si>
    <t>Kalem</t>
  </si>
  <si>
    <t>383 (Dönem Sonu Tahakkuk)</t>
  </si>
  <si>
    <t>384 (Kâr Payı/Faiz)</t>
  </si>
  <si>
    <t>Toplam</t>
  </si>
  <si>
    <t>Çapraz Kontrol</t>
  </si>
  <si>
    <t>Beyanname</t>
  </si>
  <si>
    <t>YİAKV</t>
  </si>
  <si>
    <t>Zaman</t>
  </si>
  <si>
    <t>31 Aralık tahakkuk</t>
  </si>
  <si>
    <t>Tahsilat/vade/dönemsel</t>
  </si>
  <si>
    <t>383+384=Toplam</t>
  </si>
  <si>
    <t>Eşitlik zorunlu</t>
  </si>
  <si>
    <t>Ayrı satırlar</t>
  </si>
  <si>
    <t>İkisi DÜŞÜLEMEZ</t>
  </si>
  <si>
    <t>Muhasebe</t>
  </si>
  <si>
    <t>181 Dr / 642 Kr</t>
  </si>
  <si>
    <t>102 Dr / (181+642 veya 642) Kr</t>
  </si>
  <si>
    <t>Ayrı muhasebe</t>
  </si>
  <si>
    <t>Çapraz teyit</t>
  </si>
  <si>
    <t>Ayrı beyanname</t>
  </si>
  <si>
    <t>E.7</t>
  </si>
  <si>
    <t>Kapsam</t>
  </si>
  <si>
    <t>Dönem sonu accrual</t>
  </si>
  <si>
    <t>Genel kâr payı/faiz</t>
  </si>
  <si>
    <t>P4 tam paketi</t>
  </si>
  <si>
    <t>383+384 dengesi</t>
  </si>
  <si>
    <t>383/384</t>
  </si>
  <si>
    <t>Her ikisi de</t>
  </si>
  <si>
    <t>F.1  TOPLAM İSTİSNA → Beyanname Satır 384 (Kazancın Bulunması Halinde)</t>
  </si>
  <si>
    <t>D.3 — Net 384 (Toplam − Önceki 383) | KVK Geçici Md.14/4</t>
  </si>
  <si>
    <t xml:space="preserve">  ★★ KRİTİK UYARILAR:
(1) YİAKV MATRAHINDA DÜŞÜLEMEZ: 384 asgari KV matrahından çıkarılmaz — YİAKV E.7.
(2) 383–384 MÜKERRERLİK: Önceki yıl 383 mahsubu zorunlu (C Sütun 6). Çapraz: 383 + 384 = Toplam kâr payı/faiz (banka bildirimi). EN KRİTİK HESAP HATASI.
(3) 383 vs 384 AYRIMI: 383 = 31 Aralık tahakkuk. 384 = Genel kâr payı/faiz (tahsilat/vade/dönemsel).
(4) PARAGRAF 4 NİTELİĞİ: 373/377/381 kapsamına girmeyen araçlar. Paragraf analizi zorunlu.</t>
  </si>
  <si>
    <t>384 – KVK GEÇİCİ MD.14/4 KÂR PAYI VE FAİZ | HESAPLAMALAR VE DENETİM</t>
  </si>
  <si>
    <t>Paragraf 4 Genel Kâr Payı/Faiz | 383-384 Mükerrerlik | Beyanname 384 | YİAKV MATRAHINDA DÜŞÜLEMEZ</t>
  </si>
  <si>
    <t>A. TASDİK ÖZETİ</t>
  </si>
  <si>
    <t>A0 Uygunluğu</t>
  </si>
  <si>
    <t>OK ise devam</t>
  </si>
  <si>
    <t>Tahsilat Türü (A0.3)</t>
  </si>
  <si>
    <t>Vade/Dönemsel/Doğrudan</t>
  </si>
  <si>
    <t>Toplam Kâr Payı/Faiz (D.1)</t>
  </si>
  <si>
    <t>383 Mahsubu (D.2)</t>
  </si>
  <si>
    <t>Mükerrerlik önleme</t>
  </si>
  <si>
    <t>384 NET İSTİSNA (D.3)</t>
  </si>
  <si>
    <t>★★ YİAKV'de DÜŞÜLEMEZ</t>
  </si>
  <si>
    <t>Tüm KVK Geçici Md.14 kodları E.7</t>
  </si>
  <si>
    <t>Her zaman DÜŞÜLEMEZ</t>
  </si>
  <si>
    <t>B. 373 / 377 / 381 / 384 — VADE VE GENEL KÂR PAYI/FAİZ DÖRT PARAGRAF KARŞILAŞTIRMASI</t>
  </si>
  <si>
    <t>Özellik</t>
  </si>
  <si>
    <t>373 (Md.14/1-b) P1</t>
  </si>
  <si>
    <t>377 (Md.14/2) P2</t>
  </si>
  <si>
    <t>381 (Md.14/3) P3</t>
  </si>
  <si>
    <t>384 (Md.14/4) P4</t>
  </si>
  <si>
    <t>Ortak</t>
  </si>
  <si>
    <t>Dayanak</t>
  </si>
  <si>
    <t>P1: Aktif yab.para/altın → TL KKM</t>
  </si>
  <si>
    <t>P2: Borç → TL araç</t>
  </si>
  <si>
    <t>P3: Altın → TL araç</t>
  </si>
  <si>
    <t>P4: Özel kapsam araç</t>
  </si>
  <si>
    <t>Vade/genel kâr payı</t>
  </si>
  <si>
    <t>Dördü DÜŞÜLEMEZ</t>
  </si>
  <si>
    <t>102/(181+642)</t>
  </si>
  <si>
    <t>102/(181+642) veya 102/642</t>
  </si>
  <si>
    <t>Benzer mekanizma</t>
  </si>
  <si>
    <t>Mükerrerlik</t>
  </si>
  <si>
    <t>372-373</t>
  </si>
  <si>
    <t>376-377</t>
  </si>
  <si>
    <t>380-381</t>
  </si>
  <si>
    <t>383-384 (YENİ)</t>
  </si>
  <si>
    <t>Önceki tahakkuk mahsubu</t>
  </si>
  <si>
    <t>Her çift</t>
  </si>
  <si>
    <t>Önceki Tahakkuk</t>
  </si>
  <si>
    <t>372 mahsubu</t>
  </si>
  <si>
    <t>376 mahsubu</t>
  </si>
  <si>
    <t>380 mahsubu</t>
  </si>
  <si>
    <t>383 mahsubu</t>
  </si>
  <si>
    <t>Net = Toplam − Önceki</t>
  </si>
  <si>
    <t>Çapraz eşitlik</t>
  </si>
  <si>
    <t>C. DENETİM KONTROL LİSTESİ (K1–K12)</t>
  </si>
  <si>
    <t>Kontrol</t>
  </si>
  <si>
    <t>Sonuç</t>
  </si>
  <si>
    <t>K1</t>
  </si>
  <si>
    <t>★ Paragraf 4 kapsamı analizi yapıldı ve belgelendi mi?</t>
  </si>
  <si>
    <t>GİB Beyan Reh. No:606 + CB Kararları referans alındı.</t>
  </si>
  <si>
    <t>K2</t>
  </si>
  <si>
    <t>★ Bu kâr payı/faiz 383 (dönem sonu tahakkuk) kapsamında değil mi?</t>
  </si>
  <si>
    <t>383 = 31 Aralık accrual. 384 = Genel kâr payı/faiz. Ayrım açık olmalı.</t>
  </si>
  <si>
    <t>K3</t>
  </si>
  <si>
    <t>★ 383–384 MÜKERRERLİK kontrolü (C Sütun 6) yapıldı mı?</t>
  </si>
  <si>
    <t>Önceki yıl 383 mahsup edildi. Net 384 doğru hesaplandı. EN KRİTİK.</t>
  </si>
  <si>
    <t>K4</t>
  </si>
  <si>
    <t>Kâr payı/faiz tutarları banka bildirimiyle mutabık mı?</t>
  </si>
  <si>
    <t>Her araç satırı banka belgesinden doğrulanmış.</t>
  </si>
  <si>
    <t>K5</t>
  </si>
  <si>
    <t>ÇAPRAZ: 383 + 384 = Toplam kâr payı/faiz mi?</t>
  </si>
  <si>
    <t>İki kodun toplamı banka toplam bildirimine eşit olmalı.</t>
  </si>
  <si>
    <t>K6</t>
  </si>
  <si>
    <t>Vade sonu muhasebe kaydı doğru mu? (102 / 181 Kr + 642 Kr)</t>
  </si>
  <si>
    <t>Önceki 383 181 kapatma + 642 yeni kısım.</t>
  </si>
  <si>
    <t>K7</t>
  </si>
  <si>
    <t>373/377/381 (Paragraf 1/2/3) ile mükerrerlik analizi yapıldı mı?</t>
  </si>
  <si>
    <t>Paragraf 4 araçları → 384. Diğer paragraflara karıştırma yok.</t>
  </si>
  <si>
    <t>K8</t>
  </si>
  <si>
    <t>★★ 384 istisnası YİAKV matrahından DÜŞÜLMEDI mi?</t>
  </si>
  <si>
    <t>KVK Geçici Md.14 tüm kodları YİAKV E.7'de DÜŞÜLEMEZ.</t>
  </si>
  <si>
    <t>K9</t>
  </si>
  <si>
    <t>Beyanname 384 'Kazancın Bulunması Halinde' bölümünde mi?</t>
  </si>
  <si>
    <t>Zarar döneminde uygulanamaz.</t>
  </si>
  <si>
    <t>K10</t>
  </si>
  <si>
    <t>Tahsilat türü doğru belirlendi mi? (Vade/Dönemsel/Doğrudan)</t>
  </si>
  <si>
    <t>B.2 tahsilat türü seçimi yapıldı.</t>
  </si>
  <si>
    <t>K11</t>
  </si>
  <si>
    <t>Birden fazla Paragraf 4 aracı varsa her biri ayrı satırda mı?</t>
  </si>
  <si>
    <t>Her araç C tablosunda ayrı satır ve ayrı 383 mahsubu.</t>
  </si>
  <si>
    <t>K12</t>
  </si>
  <si>
    <t>YMM Tasdik Raporu (49 No.lu Tebliğ) değerlendirildi mi?</t>
  </si>
  <si>
    <t>384 – KVK GEÇİCİ MD.14/4 KÂR PAYI VE FAİZ | MUHASEBE KAYITLARI</t>
  </si>
  <si>
    <t>Vade Tahsilatı | 383 Accrual Kapatma | 373/377/381/384 Karşılaştırma</t>
  </si>
  <si>
    <t>KAYIT 1 — VADE SONU (AYNI YILDA AÇILIP KAPANAN P4 ARACI — ÖNCEKİ YIL 383 YOK)</t>
  </si>
  <si>
    <t>Tarih</t>
  </si>
  <si>
    <t>Hesap</t>
  </si>
  <si>
    <t>Not</t>
  </si>
  <si>
    <t>Dr</t>
  </si>
  <si>
    <t>Kr</t>
  </si>
  <si>
    <t>Ref</t>
  </si>
  <si>
    <t>[Tahsilat Tarihi]</t>
  </si>
  <si>
    <t>102 Bankalar</t>
  </si>
  <si>
    <t>Kâr payı/faiz tahsilatı — tamamı bu dönem → Beyanname 384</t>
  </si>
  <si>
    <t>[Tutar]</t>
  </si>
  <si>
    <t>—</t>
  </si>
  <si>
    <t>642 Faiz Gelirleri / 644 Kâr Payları</t>
  </si>
  <si>
    <t>KVK Geçici Md.14/4 → Beyanname 384 (tamamı)</t>
  </si>
  <si>
    <t>KV 384</t>
  </si>
  <si>
    <t>KAYIT 2 — VADE SONU (YILI AŞAN VADELİ P4 ARACI — ÖNCEKİ YIL 383 VAR)</t>
  </si>
  <si>
    <t xml:space="preserve">  383 (dönem sonu tahakkuk) yapılmış araç vadeye giriyorsa: 181 kapatma + yeni 642 kısmı.</t>
  </si>
  <si>
    <t>Toplam kâr payı/faiz tahsilatı (önceki 383 + bu yıl yeni)</t>
  </si>
  <si>
    <t>[Toplam]</t>
  </si>
  <si>
    <t>181 Gelir Tahakkukları</t>
  </si>
  <si>
    <t>Önceki yıl 383 tahakkukunun kapatılması</t>
  </si>
  <si>
    <t>[383 Tutar]</t>
  </si>
  <si>
    <t>181 kapatma</t>
  </si>
  <si>
    <t>642 Faiz Gelirleri</t>
  </si>
  <si>
    <t>Bu yılın yeni kısmı → Beyanname 384 (Net)</t>
  </si>
  <si>
    <t>[Net 384]</t>
  </si>
  <si>
    <t xml:space="preserve">  ÇAPRAZ: 383 (2024) + 384 (2025 Net) = Toplam kâr payı/faiz. C tablosu Sütun 6 mükerrerlik önler.</t>
  </si>
  <si>
    <t>KAYIT 3 — 373 / 377 / 381 / 384 DÖRT PARAGRAF YAN YANA</t>
  </si>
  <si>
    <t>373</t>
  </si>
  <si>
    <t>[Vade]</t>
  </si>
  <si>
    <t>P1 AKT: KKM vade kâr payı/faiz → 373</t>
  </si>
  <si>
    <t>[373]</t>
  </si>
  <si>
    <t>KV 373</t>
  </si>
  <si>
    <t>377</t>
  </si>
  <si>
    <t>P2 PAS: Borç araç vade kâr payı/faiz → 377</t>
  </si>
  <si>
    <t>[377]</t>
  </si>
  <si>
    <t>KV 377</t>
  </si>
  <si>
    <t>381</t>
  </si>
  <si>
    <t>P3 ALT: Altın araç vade kâr payı/faiz → 381</t>
  </si>
  <si>
    <t>[381]</t>
  </si>
  <si>
    <t>KV 381</t>
  </si>
  <si>
    <t>384</t>
  </si>
  <si>
    <t>[Vade/Dönem]</t>
  </si>
  <si>
    <t>P4: Genel kâr payı/faiz → 384 (BU)</t>
  </si>
  <si>
    <t>[384]</t>
  </si>
  <si>
    <t xml:space="preserve">  YİAKV: 373+377+381+384 dördünün de geliri YİAKV MATRAHINDA DÜŞÜLEMEZ (E.7). Aynı araç için yalnızca biri uygulanabilir. 383-384 çapraz kontrol: 383 (tahakkuk) + 384 (net) = Toplam kâr payı/faiz banka bildirimi.</t>
  </si>
  <si>
    <t>384 – KVK GEÇİCİ MD.14/4 KÂR PAYI VE FAİZ | DENETÇİ NOTLARI</t>
  </si>
  <si>
    <t>GİB KV Beyan Rehberi Mart 2026 (No:606) | 373/377/381 Karşılaştırması | 383-384 Mükerrerlik | ★★ YİAKV</t>
  </si>
  <si>
    <t>Kod</t>
  </si>
  <si>
    <t>Konu</t>
  </si>
  <si>
    <t>Mesleki Değerlendirme / Tasdik Standardı</t>
  </si>
  <si>
    <t>Mevzuat / Kaynak</t>
  </si>
  <si>
    <t>N1</t>
  </si>
  <si>
    <t>KVK Geçici Md.14/4 — 383 vs 384 Ayrımı ve Genel Kâr Payı/Faiz Mekanizması</t>
  </si>
  <si>
    <t>384 (PARAGRAF 4 — KÂR PAYI VE FAİZ İSTİSNASI) TANIMI:
383'ten FARK:
• 383 'Dönem sonu DEĞERLEMESİNDEN DOĞAN kâr payı ve faiz' → 31 Aralık tahakkuk, 181/642
• 384 'Kâr payı ve faiz istisnası' → Genel, zamana sınırsız, doğrudan ödeme/vade/dönemsel
384 KAPSAMINA GIREN TAHSİLAT TÜRLERİ:
① Vade sonu kâr payı/faiz tahsilatı (araç vadeye ulaştığında)
② Dönemsel kâr payı/faiz ödemeleri (aylık, üç aylık, yıllık)
③ Doğrudan tahsilat (belirli bir tarih ön koşulu olmaksızın)
④ 383 (dönem sonu tahakkuku) dışında kalan her türlü P4 kâr payı/faizi
383–384 MÜKERRERLİK KURALI:
Önceki yıl 383 tahakkuku yapılmışsa: Net 384 = Toplam − 383 Tahakkuku
Çapraz: 383 + 384 = Toplam kâr payı/faiz (banka bildirimi toplamı)
BEYANNAME: 384 | Kazancın Bulunması Halinde İndirilecek</t>
  </si>
  <si>
    <t>KVK Geçici Md.14/4 | GİB KV Beyan Reh. 2026 (No:606)</t>
  </si>
  <si>
    <t>N2</t>
  </si>
  <si>
    <t>★ 383–384 MÜKERRERLİK KURALI — Paragraf 4'ün Kritik Hesap Dengesi</t>
  </si>
  <si>
    <t>383-384 MÜKERRERLİK SENARYOsu (372-373, 376-377, 380-381 kuralının P4 eşdeğeri):
P4 Araç: Mart 2024 açılış | Eylül 2025 vade | Toplam kâr payı: 30.000 TL
2024 KV (31.12.2024):
→ Dönem sonu tahakkuk (383): 14.500 TL | Dr 181 / Kr 642
→ 2024 beyannamesi 383: 14.500 TL ✓
2025 KV (Eylül 2025 vade):
→ Tahsilat: 30.000 TL
→ Dr 102 / Kr 181 (14.500 kapatma) + Kr 642 (15.500 yeni)
→ 2025 beyannamesi 384: 15.500 TL (NET) ✓
ÇAPRAZ: 383 (14.500) + 384 (15.500) = 30.000 TL (banka bildirimi) ✓
HATA: 384'e 30.000 TL yazılırsa → 14.500 TL mükerrer istisna → Tarhiyat.</t>
  </si>
  <si>
    <t>KVK Geçici Md.14/4 | 383 Çalışma Kâğıdı</t>
  </si>
  <si>
    <t>N3</t>
  </si>
  <si>
    <t>★★ YİAKV ile İlişki — KVK Geçici Md.14 Tüm Kodları DÜŞÜLEMEZ</t>
  </si>
  <si>
    <t>KVK GEÇİCİ MD.14 KAPSAMININ TAMAMININ YİAKV MATRAHINDA DÜŞÜLEMEZLİĞİ:
Paragraf 1: 370|371|372|373|374 → BEŞİ DE DÜŞÜLEMEZ
Paragraf 2: 375|376|377|378 → DÖRDÜ DE DÜŞÜLEMEZ
Paragraf 3: 379|380|381|382 → DÖRDÜ DE DÜŞÜLEMEZ
Paragraf 4: 383|384|... → HEPSI DÜŞÜLEMEZ
YİAKV E.7 (Güncellenmeli — 384 eklenmeli):
'KVK Geçici Md.14 (Tüm Paragraflar 1-4, Kodlar 370-384+)
→ DÜŞÜLEMEZ ✗ | Beyanname 370/.../383/384'
YMM, 384'ün eklenmesiyle E.7'yi güncellemelidir.</t>
  </si>
  <si>
    <t>KVK Md.32/C | YİAKV Reh. (No:607) | GİB KV Beyan Reh. (No:606)</t>
  </si>
  <si>
    <t>N4</t>
  </si>
  <si>
    <t>Paragraf 4 Kâr Payı/Faiz Zinciri: 383 → 384</t>
  </si>
  <si>
    <t>PARAGRAF 4 ZİNCİRİ (383-384):
383 (Md.14/4): Paragraf 4 dönem sonu faiz/kâr payı tahakkuku (31 Aralık accrual)
384 (Md.14/4): Paragraf 4 genel kâr payı/faiz (vade, dönemsel, doğrudan)
Paralel zincirler:
  P1: 372 (dönem sonu) → 373 (vade)
  P2: 376 (dönem sonu) → 377 (vade)
  P3: 380 (dönem sonu) → 381 (vade)
  P4: 383 (dönem sonu) → 384 (vade/genel) ← BU
384 = 373, 377, 381'in Paragraf 4 karşılığı (ama adı daha genel).
ÖZELGE: Paragraf 4 kapsamı tartışmalıysa GİB özelgesi alınmalıdır.</t>
  </si>
  <si>
    <t>KVK Geçici Md.14/4 | VUK Md.280/281</t>
  </si>
  <si>
    <t>N5</t>
  </si>
  <si>
    <t>49 No.lu Tebliğ + YMM Tasdik Dil Standardı</t>
  </si>
  <si>
    <t>KULLANIN (Önceki Yıl 383 Olan Araç İçin):
'...KVK Geçici Madde 14/4 kapsamındaki [Araç Türü] hesabından elde edilen toplam
[Brüt Tutar] TL kâr payı/faizin önceki dönemde 383 istisnasına konu edilen
[383 Tutarı] TL düşülerek kalan [Net 384] TL, KVK Geçici Madde 14/4 kapsamında
kurumlar vergisinden istisna edilmiş ve yurt içi asgari kurumlar vergisi
matrahından indirilmemiştir.'
KULLANMAYIN:
'...384 tutarı YİAKV matrahından düşülmüştür.' (YANLIŞ)
'...Toplam kâr payının tamamı 384'e yazılmıştır.' (383 mahsubu yapılmamış)
'...383 ve 384 aynı araç için birlikte uygulanabilir.' (Mükerrerlik açıklaması eksik)
KRİTİK RİSKLER:
(1) 383 mahsubu yapılmadan 384'e toplam yazmak — MÜKERRERLİK.
(2) 384'ü YİAKV matrahından düşmek.
(3) Paragraf 4 kapsam analizi yapmadan 384 uygulamak.
(4) 373/377/381 araçlarını 384'e yazmak (paragraf karışıklığı).</t>
  </si>
  <si>
    <t>49 No.lu Tebliğ | KVK Geçici Md.14/4 | SM-SMMM-YMM K. Md.12</t>
  </si>
  <si>
    <t xml:space="preserve">  GİB KV BEYAN REHBERİ MART 2026 (No:606) KAPANIŞ (384): 384 = 373, 377, 381'in Paragraf 4 karşılığı (daha genel adlandırma). 383 (dönem sonu tahakkuk) + 384 (genel kâr payı/faiz) = Paragraf 4 tam kâr payı/faiz paketi. 383-384 mükerrerlik (Sütun 6 mahsubu) kritik. KVK Geçici Md.14 tüm kodları YİAKV E.7'de DÜŞÜLEMEZ. YMM müteselsil sorumluluk: SM-SMMM-YMM Kanunu Md.12.</t>
  </si>
  <si>
    <t>384 – KVK GEÇİCİ MD.14/4 KÂR PAYI VE FAİZ | BELGE LİSTESİ | YMM TASDİK</t>
  </si>
  <si>
    <t>GİB KV Beyan Rehberi Mart 2026 (No:606) | Araç/Banka Bildirimi | 383 Mükerrerlik | Paragraf 4</t>
  </si>
  <si>
    <t>KATEGORİ 1 — ZORUNLU BELGELER</t>
  </si>
  <si>
    <t>No</t>
  </si>
  <si>
    <t>Belge</t>
  </si>
  <si>
    <t>Temin</t>
  </si>
  <si>
    <t>1</t>
  </si>
  <si>
    <t>★ Banka/Araç Kâr Payı/Faiz Bildirimi (Toplam Tutar)</t>
  </si>
  <si>
    <t>Tahsilat/ödeme dönemine ait kâr payı/faiz bildirimi. C tablosu Sütun 5'in dayanağıdır.</t>
  </si>
  <si>
    <t>Banka/araç belgesi</t>
  </si>
  <si>
    <t>2</t>
  </si>
  <si>
    <t>★ Önceki Dönem KV Beyannamesi 383 Satırı (Bu Araç İçin)</t>
  </si>
  <si>
    <t>Önceki yılda bu araç için 383 kapsamında istisna uygulanan tutar.
C Sütun 6 (mükerrerlik önleme) için zorunlu. 383+384=Toplam kâr payı/faiz eşitliği kontrol edilmeli.</t>
  </si>
  <si>
    <t>Önceki dönem KV beyannamesi 383 satırı</t>
  </si>
  <si>
    <t>3</t>
  </si>
  <si>
    <t>★ Paragraf 4 Kapsam Analizi Belgesi</t>
  </si>
  <si>
    <t>KVK Geçici Md.14/4 kapsamını gösteren YMM tarafından hazırlanan kapsam analizi notu.</t>
  </si>
  <si>
    <t>YMM tarafından hazırlanır</t>
  </si>
  <si>
    <t>4</t>
  </si>
  <si>
    <t>Muhasebe Yevmiyesi — Tahsilat Kaydı (102 Dr / 181 Kr + 642 Kr)</t>
  </si>
  <si>
    <t>Tahsilat kaydı: 102 borç / 181 alacak (önceki 383 kapatma) + 642 alacak (yeni kısım).</t>
  </si>
  <si>
    <t>Yevmiye defteri</t>
  </si>
  <si>
    <t>5</t>
  </si>
  <si>
    <t>KV Beyannamesi Taslağı — 384. Satır</t>
  </si>
  <si>
    <t>'Kazancın Bulunması Halinde' bölümü. ★★ YİAKV matrahından çıkarılmamış.</t>
  </si>
  <si>
    <t>GİB e-Beyanname</t>
  </si>
  <si>
    <t>KATEGORİ 2 — EK BELGELER</t>
  </si>
  <si>
    <t>6</t>
  </si>
  <si>
    <t>GİB Özelgesi (Paragraf 4 Kapsam Belirsizliğinde)</t>
  </si>
  <si>
    <t>Paragraf 4 kapsamı tartışmalıysa GİB özelgesi alınmalıdır.</t>
  </si>
  <si>
    <t>GİB özelge sistemi</t>
  </si>
  <si>
    <t>7</t>
  </si>
  <si>
    <t>181 Hesap Ekstresi — 383 Accrual Kapatma</t>
  </si>
  <si>
    <t>181 kapatılan tutar = Sütun 6 — mükerrerlik kontrol belgesi.</t>
  </si>
  <si>
    <t>181 hesap ekstresi</t>
  </si>
  <si>
    <t>KATEGORİ 3 — YMM TASDİK KONTROL SORULARI</t>
  </si>
  <si>
    <t>Beklenen Sonuç</t>
  </si>
  <si>
    <t>YMM Aksiyonu</t>
  </si>
  <si>
    <t>S1</t>
  </si>
  <si>
    <t>★ Paragraf 4 kapsam analizi yapıldı ve belgelendi mi?</t>
  </si>
  <si>
    <t>GİB Beyan Reh. + CB Kararları referans.</t>
  </si>
  <si>
    <t>YMM kontrolü</t>
  </si>
  <si>
    <t>S2</t>
  </si>
  <si>
    <t>383 vs 384 ayrımı açık.</t>
  </si>
  <si>
    <t>S3</t>
  </si>
  <si>
    <t>★ 383-384 MÜKERRERLİK (C Sütun 6) kontrolü yapıldı mı?</t>
  </si>
  <si>
    <t>Önceki yıl 383 mahsup edildi.</t>
  </si>
  <si>
    <t>S4</t>
  </si>
  <si>
    <t>Tahsilat tutarları banka bildirimiyle mutabık mı?</t>
  </si>
  <si>
    <t>Her satır belgeyle doğrulanmalı.</t>
  </si>
  <si>
    <t>S5</t>
  </si>
  <si>
    <t>383 + 384 = Toplam kâr payı/faiz eşitliği sağlandı mı?</t>
  </si>
  <si>
    <t>Çapraz kontrol — banka bildirimi toplamına eşit.</t>
  </si>
  <si>
    <t>S6</t>
  </si>
  <si>
    <t>Vade muhasebe kaydı doğru? (102 / 181 Kr + 642 Kr)</t>
  </si>
  <si>
    <t>181 kapatma + 642 yeni kısım.</t>
  </si>
  <si>
    <t>S7</t>
  </si>
  <si>
    <t>373/377/381 ile doğru ayrıştırıldı mı?</t>
  </si>
  <si>
    <t>P4 araçları → 384. Diğer paragraflara karıştırma yok.</t>
  </si>
  <si>
    <t>S8</t>
  </si>
  <si>
    <t>Tüm KVK Geçici Md.14 kodları YİAKV E.7'de DÜŞÜLEMEZ.</t>
  </si>
  <si>
    <t>S9</t>
  </si>
  <si>
    <t>S10</t>
  </si>
  <si>
    <t>GİB KV Beyan Rehberi Mart 2026 (No:606) esas alınmıştır. 384 = 373, 377, 381'in Paragraf 4 karşılığı (genel kâr payı/faiz formülasyonu). 383 (dönem sonu tahakkuk) + 384 (genel kâr payı/faiz) = Paragraf 4 tam paketi. 383-384 mükerrerlik (C Sütun 6 mahsubu) en kritik kontrol. KVK Geçici Md.14 tüm kodları YİAKV E.7'de DÜŞÜLEMEZ. YMM müteselsil sorumluluk: SM-SMMM-YMM Kanunu Md.12.</t>
  </si>
  <si>
    <t>Kazancın bulunması halinde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</si>
</sst>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  <charset val="162"/>
    </font>
    <font>
      <b/>
      <sz val="8"/>
      <color rgb="FF7B5E00"/>
      <name val="Arial"/>
      <family val="2"/>
      <charset val="162"/>
    </font>
    <font>
      <b/>
      <sz val="8"/>
      <color rgb="FFFFFFFF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9"/>
      <color rgb="FF1F3864"/>
      <name val="Arial"/>
      <family val="2"/>
      <charset val="162"/>
    </font>
    <font>
      <b/>
      <sz val="10"/>
      <color rgb="FF0000FF"/>
      <name val="Arial"/>
      <family val="2"/>
      <charset val="162"/>
    </font>
    <font>
      <i/>
      <sz val="8"/>
      <color rgb="FF555555"/>
      <name val="Arial"/>
      <family val="2"/>
      <charset val="162"/>
    </font>
    <font>
      <b/>
      <sz val="9"/>
      <color rgb="FFC0392B"/>
      <name val="Arial"/>
      <family val="2"/>
      <charset val="162"/>
    </font>
    <font>
      <i/>
      <sz val="8"/>
      <color rgb="FFC0392B"/>
      <name val="Arial"/>
      <family val="2"/>
      <charset val="162"/>
    </font>
    <font>
      <b/>
      <sz val="10"/>
      <color rgb="FF1B5E20"/>
      <name val="Arial"/>
      <family val="2"/>
      <charset val="162"/>
    </font>
    <font>
      <i/>
      <sz val="8"/>
      <color rgb="FF888888"/>
      <name val="Arial"/>
      <family val="2"/>
      <charset val="162"/>
    </font>
    <font>
      <b/>
      <sz val="8"/>
      <color rgb="FFC0392B"/>
      <name val="Arial"/>
      <family val="2"/>
      <charset val="162"/>
    </font>
    <font>
      <i/>
      <sz val="8"/>
      <color rgb="FF558B2F"/>
      <name val="Arial"/>
      <family val="2"/>
      <charset val="162"/>
    </font>
    <font>
      <b/>
      <sz val="10"/>
      <color rgb="FF1F3864"/>
      <name val="Arial"/>
      <family val="2"/>
      <charset val="162"/>
    </font>
    <font>
      <sz val="9"/>
      <color rgb="FF1F3864"/>
      <name val="Arial"/>
      <family val="2"/>
      <charset val="162"/>
    </font>
    <font>
      <b/>
      <sz val="9"/>
      <color rgb="FF558B2F"/>
      <name val="Arial"/>
      <family val="2"/>
      <charset val="162"/>
    </font>
    <font>
      <b/>
      <sz val="9"/>
      <color rgb="FFE65100"/>
      <name val="Arial"/>
      <family val="2"/>
      <charset val="162"/>
    </font>
    <font>
      <b/>
      <sz val="9"/>
      <color rgb="FF1B5E20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sz val="13"/>
      <color rgb="FF1B5E20"/>
      <name val="Arial"/>
      <family val="2"/>
      <charset val="162"/>
    </font>
    <font>
      <sz val="8"/>
      <color rgb="FF33691E"/>
      <name val="Arial"/>
      <family val="2"/>
      <charset val="162"/>
    </font>
    <font>
      <sz val="8"/>
      <color rgb="FF558B2F"/>
      <name val="Arial"/>
      <family val="2"/>
      <charset val="162"/>
    </font>
    <font>
      <b/>
      <sz val="8"/>
      <color rgb="FF1B5E20"/>
      <name val="Arial"/>
      <family val="2"/>
      <charset val="162"/>
    </font>
    <font>
      <b/>
      <sz val="8"/>
      <color rgb="FF1F3864"/>
      <name val="Arial"/>
      <family val="2"/>
      <charset val="162"/>
    </font>
    <font>
      <b/>
      <sz val="14"/>
      <color rgb="FF1B5E20"/>
      <name val="Arial"/>
      <family val="2"/>
      <charset val="162"/>
    </font>
    <font>
      <i/>
      <sz val="8"/>
      <color rgb="FF1B5E20"/>
      <name val="Arial"/>
      <family val="2"/>
      <charset val="162"/>
    </font>
    <font>
      <b/>
      <sz val="12"/>
      <color rgb="FFFFFFFF"/>
      <name val="Arial"/>
      <family val="2"/>
      <charset val="162"/>
    </font>
    <font>
      <b/>
      <sz val="12"/>
      <color rgb="FF1B5E20"/>
      <name val="Arial"/>
      <family val="2"/>
      <charset val="162"/>
    </font>
    <font>
      <b/>
      <sz val="10"/>
      <color rgb="FFE65100"/>
      <name val="Arial"/>
      <family val="2"/>
      <charset val="162"/>
    </font>
    <font>
      <sz val="8"/>
      <color rgb="FF0D47A1"/>
      <name val="Arial"/>
      <family val="2"/>
      <charset val="162"/>
    </font>
    <font>
      <sz val="8"/>
      <color rgb="FF303F9F"/>
      <name val="Arial"/>
      <family val="2"/>
      <charset val="162"/>
    </font>
    <font>
      <sz val="8"/>
      <color rgb="FF00ACC1"/>
      <name val="Arial"/>
      <family val="2"/>
      <charset val="162"/>
    </font>
    <font>
      <sz val="8"/>
      <color rgb="FF1F3864"/>
      <name val="Arial"/>
      <family val="2"/>
      <charset val="162"/>
    </font>
    <font>
      <sz val="8"/>
      <color rgb="FF333333"/>
      <name val="Arial"/>
      <family val="2"/>
      <charset val="162"/>
    </font>
    <font>
      <b/>
      <sz val="36"/>
      <color rgb="FFFFFFFF"/>
      <name val="Arial"/>
      <family val="2"/>
      <charset val="162"/>
    </font>
    <font>
      <sz val="8"/>
      <color rgb="FFFFFFFF"/>
      <name val="Arial"/>
      <family val="2"/>
      <charset val="162"/>
    </font>
    <font>
      <sz val="8"/>
      <color rgb="FFC0392B"/>
      <name val="Arial"/>
      <family val="2"/>
      <charset val="162"/>
    </font>
    <font>
      <i/>
      <sz val="8"/>
      <color rgb="FF444444"/>
      <name val="Arial"/>
      <family val="2"/>
      <charset val="162"/>
    </font>
    <font>
      <b/>
      <sz val="9"/>
      <color rgb="FF7B5E00"/>
      <name val="Arial"/>
      <family val="2"/>
      <charset val="162"/>
    </font>
    <font>
      <b/>
      <sz val="9"/>
      <color rgb="FF1565C0"/>
      <name val="Arial"/>
      <family val="2"/>
      <charset val="162"/>
    </font>
    <font>
      <i/>
      <sz val="8"/>
      <color rgb="FF1565C0"/>
      <name val="Arial"/>
      <family val="2"/>
      <charset val="162"/>
    </font>
  </fonts>
  <fills count="30">
    <fill>
      <patternFill patternType="none"/>
    </fill>
    <fill>
      <patternFill patternType="gray125"/>
    </fill>
    <fill>
      <patternFill patternType="solid">
        <fgColor rgb="FF558B2F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1F8E9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EBEE"/>
      </patternFill>
    </fill>
    <fill>
      <patternFill patternType="solid">
        <fgColor rgb="FFF9FBE7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E8EAF6"/>
      </patternFill>
    </fill>
    <fill>
      <patternFill patternType="solid">
        <fgColor rgb="FFE0F7FA"/>
      </patternFill>
    </fill>
    <fill>
      <patternFill patternType="solid">
        <fgColor rgb="FFFFF5F5"/>
      </patternFill>
    </fill>
    <fill>
      <patternFill patternType="solid">
        <fgColor rgb="FFFFD0D0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E3F2FD"/>
      </patternFill>
    </fill>
    <fill>
      <patternFill patternType="solid">
        <fgColor rgb="FFEEF4FF"/>
      </patternFill>
    </fill>
    <fill>
      <patternFill patternType="solid">
        <fgColor rgb="FFB71C1C"/>
      </patternFill>
    </fill>
    <fill>
      <patternFill patternType="solid">
        <fgColor rgb="FFFFB0B0"/>
      </patternFill>
    </fill>
    <fill>
      <patternFill patternType="solid">
        <fgColor rgb="FFC6EFCE"/>
        <bgColor indexed="64"/>
      </patternFill>
    </fill>
    <fill>
      <patternFill patternType="solid">
        <fgColor rgb="FFFFF3E0"/>
        <bgColor indexed="64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558B2F"/>
      </left>
      <right style="thin">
        <color rgb="FF558B2F"/>
      </right>
      <top style="thin">
        <color rgb="FF558B2F"/>
      </top>
      <bottom style="thin">
        <color rgb="FF558B2F"/>
      </bottom>
      <diagonal/>
    </border>
    <border>
      <left style="thin">
        <color rgb="FFE65100"/>
      </left>
      <right style="thin">
        <color rgb="FFE65100"/>
      </right>
      <top style="thin">
        <color rgb="FFE65100"/>
      </top>
      <bottom style="thin">
        <color rgb="FFE65100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6" borderId="1" xfId="0" applyFill="1" applyBorder="1"/>
    <xf numFmtId="0" fontId="1" fillId="8" borderId="2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6" fillId="10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10" fillId="12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11" fillId="13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center" vertical="center"/>
    </xf>
    <xf numFmtId="3" fontId="16" fillId="15" borderId="3" xfId="0" applyNumberFormat="1" applyFont="1" applyFill="1" applyBorder="1" applyAlignment="1">
      <alignment horizontal="right" vertical="center"/>
    </xf>
    <xf numFmtId="3" fontId="17" fillId="16" borderId="4" xfId="0" applyNumberFormat="1" applyFont="1" applyFill="1" applyBorder="1" applyAlignment="1">
      <alignment horizontal="right" vertical="center"/>
    </xf>
    <xf numFmtId="3" fontId="18" fillId="12" borderId="5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  <xf numFmtId="3" fontId="4" fillId="16" borderId="1" xfId="0" applyNumberFormat="1" applyFont="1" applyFill="1" applyBorder="1" applyAlignment="1">
      <alignment horizontal="right" vertical="center"/>
    </xf>
    <xf numFmtId="3" fontId="19" fillId="2" borderId="1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right" vertical="center"/>
    </xf>
    <xf numFmtId="3" fontId="20" fillId="12" borderId="5" xfId="0" applyNumberFormat="1" applyFont="1" applyFill="1" applyBorder="1" applyAlignment="1">
      <alignment horizontal="right" vertical="center"/>
    </xf>
    <xf numFmtId="0" fontId="0" fillId="10" borderId="1" xfId="0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/>
    </xf>
    <xf numFmtId="3" fontId="25" fillId="12" borderId="5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center" vertical="center"/>
    </xf>
    <xf numFmtId="3" fontId="28" fillId="12" borderId="1" xfId="0" applyNumberFormat="1" applyFont="1" applyFill="1" applyBorder="1" applyAlignment="1">
      <alignment horizontal="right" vertical="center"/>
    </xf>
    <xf numFmtId="0" fontId="29" fillId="16" borderId="1" xfId="0" applyFont="1" applyFill="1" applyBorder="1" applyAlignment="1">
      <alignment horizontal="center" vertical="center"/>
    </xf>
    <xf numFmtId="0" fontId="30" fillId="16" borderId="1" xfId="0" applyFont="1" applyFill="1" applyBorder="1" applyAlignment="1">
      <alignment horizontal="center" vertical="center" wrapText="1"/>
    </xf>
    <xf numFmtId="0" fontId="31" fillId="18" borderId="1" xfId="0" applyFont="1" applyFill="1" applyBorder="1" applyAlignment="1">
      <alignment horizontal="center" vertical="center" wrapText="1"/>
    </xf>
    <xf numFmtId="0" fontId="32" fillId="19" borderId="1" xfId="0" applyFont="1" applyFill="1" applyBorder="1" applyAlignment="1">
      <alignment horizontal="center" vertical="center" wrapText="1"/>
    </xf>
    <xf numFmtId="0" fontId="33" fillId="1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left" vertical="top" wrapText="1"/>
    </xf>
    <xf numFmtId="0" fontId="34" fillId="20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top"/>
    </xf>
    <xf numFmtId="0" fontId="8" fillId="21" borderId="1" xfId="0" applyFont="1" applyFill="1" applyBorder="1" applyAlignment="1">
      <alignment horizontal="left" vertical="top" wrapText="1"/>
    </xf>
    <xf numFmtId="0" fontId="0" fillId="21" borderId="1" xfId="0" applyFill="1" applyBorder="1"/>
    <xf numFmtId="0" fontId="0" fillId="14" borderId="1" xfId="0" applyFill="1" applyBorder="1"/>
    <xf numFmtId="0" fontId="1" fillId="8" borderId="2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4" fillId="22" borderId="1" xfId="0" applyFont="1" applyFill="1" applyBorder="1" applyAlignment="1">
      <alignment horizontal="left" vertical="top" wrapText="1"/>
    </xf>
    <xf numFmtId="0" fontId="38" fillId="9" borderId="1" xfId="0" applyFont="1" applyFill="1" applyBorder="1" applyAlignment="1">
      <alignment horizontal="left" vertical="top" wrapText="1"/>
    </xf>
    <xf numFmtId="0" fontId="38" fillId="11" borderId="1" xfId="0" applyFont="1" applyFill="1" applyBorder="1" applyAlignment="1">
      <alignment horizontal="left" vertical="top" wrapText="1"/>
    </xf>
    <xf numFmtId="0" fontId="8" fillId="14" borderId="1" xfId="0" applyFont="1" applyFill="1" applyBorder="1" applyAlignment="1">
      <alignment horizontal="left" vertical="top" wrapText="1"/>
    </xf>
    <xf numFmtId="0" fontId="38" fillId="14" borderId="1" xfId="0" applyFont="1" applyFill="1" applyBorder="1" applyAlignment="1">
      <alignment horizontal="left" vertical="top" wrapText="1"/>
    </xf>
    <xf numFmtId="0" fontId="38" fillId="13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center" vertical="top"/>
    </xf>
    <xf numFmtId="0" fontId="5" fillId="12" borderId="1" xfId="0" applyFont="1" applyFill="1" applyBorder="1" applyAlignment="1">
      <alignment horizontal="left" vertical="top" wrapText="1"/>
    </xf>
    <xf numFmtId="0" fontId="34" fillId="23" borderId="1" xfId="0" applyFont="1" applyFill="1" applyBorder="1" applyAlignment="1">
      <alignment horizontal="left" vertical="top" wrapText="1"/>
    </xf>
    <xf numFmtId="0" fontId="38" fillId="12" borderId="1" xfId="0" applyFont="1" applyFill="1" applyBorder="1" applyAlignment="1">
      <alignment horizontal="left" vertical="top" wrapText="1"/>
    </xf>
    <xf numFmtId="0" fontId="0" fillId="24" borderId="1" xfId="0" applyFill="1" applyBorder="1"/>
    <xf numFmtId="0" fontId="5" fillId="24" borderId="1" xfId="0" applyFont="1" applyFill="1" applyBorder="1" applyAlignment="1">
      <alignment horizontal="center" vertical="top"/>
    </xf>
    <xf numFmtId="0" fontId="5" fillId="24" borderId="1" xfId="0" applyFont="1" applyFill="1" applyBorder="1" applyAlignment="1">
      <alignment horizontal="left" vertical="top" wrapText="1"/>
    </xf>
    <xf numFmtId="0" fontId="34" fillId="25" borderId="1" xfId="0" applyFont="1" applyFill="1" applyBorder="1" applyAlignment="1">
      <alignment horizontal="left" vertical="top" wrapText="1"/>
    </xf>
    <xf numFmtId="0" fontId="38" fillId="24" borderId="1" xfId="0" applyFont="1" applyFill="1" applyBorder="1" applyAlignment="1">
      <alignment horizontal="left" vertical="top" wrapText="1"/>
    </xf>
    <xf numFmtId="0" fontId="1" fillId="26" borderId="2" xfId="0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horizontal="center" vertical="top"/>
    </xf>
    <xf numFmtId="0" fontId="34" fillId="21" borderId="1" xfId="0" applyFont="1" applyFill="1" applyBorder="1" applyAlignment="1">
      <alignment horizontal="left" vertical="top" wrapText="1"/>
    </xf>
    <xf numFmtId="0" fontId="41" fillId="14" borderId="1" xfId="0" applyFont="1" applyFill="1" applyBorder="1" applyAlignment="1">
      <alignment horizontal="center" vertical="top"/>
    </xf>
    <xf numFmtId="0" fontId="40" fillId="24" borderId="1" xfId="0" applyFont="1" applyFill="1" applyBorder="1" applyAlignment="1">
      <alignment horizontal="center" vertical="top"/>
    </xf>
    <xf numFmtId="0" fontId="40" fillId="24" borderId="1" xfId="0" applyFont="1" applyFill="1" applyBorder="1" applyAlignment="1">
      <alignment horizontal="left" vertical="top" wrapText="1"/>
    </xf>
    <xf numFmtId="0" fontId="41" fillId="24" borderId="1" xfId="0" applyFont="1" applyFill="1" applyBorder="1" applyAlignment="1">
      <alignment horizontal="center" vertical="top"/>
    </xf>
    <xf numFmtId="0" fontId="40" fillId="21" borderId="1" xfId="0" applyFont="1" applyFill="1" applyBorder="1" applyAlignment="1">
      <alignment horizontal="center" vertical="top"/>
    </xf>
    <xf numFmtId="0" fontId="34" fillId="27" borderId="1" xfId="0" applyFont="1" applyFill="1" applyBorder="1" applyAlignment="1">
      <alignment horizontal="left" vertical="top" wrapText="1"/>
    </xf>
    <xf numFmtId="0" fontId="41" fillId="21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4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11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5" fillId="9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13" fillId="9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5" fillId="13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0" fillId="10" borderId="1" xfId="0" applyFill="1" applyBorder="1"/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13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9" fillId="11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13" fillId="15" borderId="2" xfId="0" applyFont="1" applyFill="1" applyBorder="1" applyAlignment="1">
      <alignment horizontal="left" vertical="center" wrapText="1"/>
    </xf>
    <xf numFmtId="0" fontId="0" fillId="15" borderId="2" xfId="0" applyFill="1" applyBorder="1"/>
    <xf numFmtId="0" fontId="12" fillId="14" borderId="2" xfId="0" applyFont="1" applyFill="1" applyBorder="1" applyAlignment="1">
      <alignment horizontal="left" vertical="center" wrapText="1"/>
    </xf>
    <xf numFmtId="0" fontId="0" fillId="14" borderId="2" xfId="0" applyFill="1" applyBorder="1"/>
    <xf numFmtId="0" fontId="9" fillId="12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18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/>
    </xf>
    <xf numFmtId="0" fontId="26" fillId="12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/>
    <xf numFmtId="0" fontId="5" fillId="13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34" fillId="13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left" vertical="top" wrapText="1"/>
    </xf>
    <xf numFmtId="0" fontId="34" fillId="9" borderId="1" xfId="0" applyFont="1" applyFill="1" applyBorder="1" applyAlignment="1">
      <alignment horizontal="left" vertical="top" wrapText="1"/>
    </xf>
    <xf numFmtId="0" fontId="8" fillId="11" borderId="1" xfId="0" applyFont="1" applyFill="1" applyBorder="1" applyAlignment="1">
      <alignment horizontal="left" vertical="top" wrapText="1"/>
    </xf>
    <xf numFmtId="0" fontId="27" fillId="2" borderId="2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 vertical="center"/>
    </xf>
    <xf numFmtId="0" fontId="0" fillId="16" borderId="1" xfId="0" applyFill="1" applyBorder="1"/>
    <xf numFmtId="0" fontId="34" fillId="14" borderId="1" xfId="0" applyFont="1" applyFill="1" applyBorder="1" applyAlignment="1">
      <alignment horizontal="left" vertical="top" wrapText="1"/>
    </xf>
    <xf numFmtId="0" fontId="0" fillId="14" borderId="1" xfId="0" applyFill="1" applyBorder="1"/>
    <xf numFmtId="0" fontId="34" fillId="20" borderId="1" xfId="0" applyFont="1" applyFill="1" applyBorder="1" applyAlignment="1">
      <alignment horizontal="left" vertical="top" wrapText="1"/>
    </xf>
    <xf numFmtId="0" fontId="0" fillId="20" borderId="1" xfId="0" applyFill="1" applyBorder="1"/>
    <xf numFmtId="0" fontId="8" fillId="21" borderId="1" xfId="0" applyFont="1" applyFill="1" applyBorder="1" applyAlignment="1">
      <alignment horizontal="left" vertical="top" wrapText="1"/>
    </xf>
    <xf numFmtId="0" fontId="0" fillId="21" borderId="1" xfId="0" applyFill="1" applyBorder="1"/>
    <xf numFmtId="0" fontId="4" fillId="17" borderId="2" xfId="0" applyFont="1" applyFill="1" applyBorder="1" applyAlignment="1">
      <alignment horizontal="left" vertical="center"/>
    </xf>
    <xf numFmtId="0" fontId="0" fillId="17" borderId="2" xfId="0" applyFill="1" applyBorder="1"/>
    <xf numFmtId="0" fontId="7" fillId="16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top" wrapText="1"/>
    </xf>
    <xf numFmtId="0" fontId="37" fillId="11" borderId="1" xfId="0" applyFont="1" applyFill="1" applyBorder="1" applyAlignment="1">
      <alignment horizontal="left" vertical="center" wrapText="1"/>
    </xf>
    <xf numFmtId="0" fontId="34" fillId="16" borderId="2" xfId="0" applyFont="1" applyFill="1" applyBorder="1" applyAlignment="1">
      <alignment horizontal="left" vertical="center" wrapText="1"/>
    </xf>
    <xf numFmtId="0" fontId="0" fillId="16" borderId="2" xfId="0" applyFill="1" applyBorder="1"/>
    <xf numFmtId="0" fontId="4" fillId="8" borderId="2" xfId="0" applyFont="1" applyFill="1" applyBorder="1" applyAlignment="1">
      <alignment horizontal="left" vertical="center"/>
    </xf>
    <xf numFmtId="0" fontId="0" fillId="8" borderId="2" xfId="0" applyFill="1" applyBorder="1"/>
    <xf numFmtId="0" fontId="36" fillId="3" borderId="1" xfId="0" applyFont="1" applyFill="1" applyBorder="1" applyAlignment="1">
      <alignment horizontal="left" vertical="center" wrapText="1"/>
    </xf>
    <xf numFmtId="0" fontId="35" fillId="2" borderId="2" xfId="0" applyFont="1" applyFill="1" applyBorder="1" applyAlignment="1">
      <alignment horizontal="left" vertical="center"/>
    </xf>
    <xf numFmtId="0" fontId="39" fillId="4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19" fillId="2" borderId="2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0" fillId="3" borderId="6" xfId="0" applyFill="1" applyBorder="1"/>
    <xf numFmtId="0" fontId="4" fillId="2" borderId="6" xfId="0" applyFont="1" applyFill="1" applyBorder="1" applyAlignment="1">
      <alignment horizontal="left" vertical="center"/>
    </xf>
    <xf numFmtId="0" fontId="0" fillId="2" borderId="6" xfId="0" applyFill="1" applyBorder="1"/>
    <xf numFmtId="0" fontId="4" fillId="26" borderId="6" xfId="0" applyFont="1" applyFill="1" applyBorder="1" applyAlignment="1">
      <alignment horizontal="left" vertical="center"/>
    </xf>
    <xf numFmtId="0" fontId="0" fillId="26" borderId="6" xfId="0" applyFill="1" applyBorder="1"/>
    <xf numFmtId="0" fontId="4" fillId="8" borderId="6" xfId="0" applyFont="1" applyFill="1" applyBorder="1" applyAlignment="1">
      <alignment horizontal="left" vertical="center"/>
    </xf>
    <xf numFmtId="0" fontId="0" fillId="8" borderId="6" xfId="0" applyFill="1" applyBorder="1"/>
    <xf numFmtId="0" fontId="4" fillId="17" borderId="6" xfId="0" applyFont="1" applyFill="1" applyBorder="1" applyAlignment="1">
      <alignment horizontal="left" vertical="center"/>
    </xf>
    <xf numFmtId="0" fontId="0" fillId="17" borderId="6" xfId="0" applyFill="1" applyBorder="1"/>
    <xf numFmtId="0" fontId="10" fillId="28" borderId="1" xfId="0" applyFont="1" applyFill="1" applyBorder="1" applyAlignment="1">
      <alignment horizontal="center" vertical="top"/>
    </xf>
    <xf numFmtId="0" fontId="29" fillId="29" borderId="1" xfId="0" applyFont="1" applyFill="1" applyBorder="1" applyAlignment="1">
      <alignment horizontal="center" vertical="top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F3FE347-38B4-41BA-8624-76E8CFC5F0F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123f43b-3b26-4bb6-8aa8-bc0fe01b379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workbookViewId="0">
      <selection activeCell="F8" sqref="F8"/>
    </sheetView>
  </sheetViews>
  <sheetFormatPr defaultRowHeight="14.4" x14ac:dyDescent="0.55000000000000004"/>
  <cols>
    <col min="1" max="1" width="3" customWidth="1"/>
    <col min="2" max="2" width="28" customWidth="1"/>
    <col min="3" max="4" width="14" customWidth="1"/>
    <col min="5" max="6" width="16" customWidth="1"/>
    <col min="7" max="7" width="14" customWidth="1"/>
    <col min="8" max="8" width="20" customWidth="1"/>
  </cols>
  <sheetData>
    <row r="1" spans="1:8" ht="52" customHeight="1" x14ac:dyDescent="0.55000000000000004">
      <c r="A1" s="102" t="s">
        <v>0</v>
      </c>
      <c r="B1" s="103"/>
      <c r="C1" s="103"/>
      <c r="D1" s="103"/>
      <c r="E1" s="103"/>
      <c r="F1" s="103"/>
      <c r="G1" s="103"/>
      <c r="H1" s="103"/>
    </row>
    <row r="2" spans="1:8" ht="22" customHeight="1" x14ac:dyDescent="0.55000000000000004">
      <c r="A2" s="99" t="s">
        <v>1</v>
      </c>
      <c r="B2" s="100"/>
      <c r="C2" s="100"/>
      <c r="D2" s="100"/>
      <c r="E2" s="100"/>
      <c r="F2" s="100"/>
      <c r="G2" s="100"/>
      <c r="H2" s="100"/>
    </row>
    <row r="3" spans="1:8" ht="44.05" customHeight="1" x14ac:dyDescent="0.55000000000000004">
      <c r="A3" s="89" t="s">
        <v>2</v>
      </c>
      <c r="B3" s="90"/>
      <c r="C3" s="90"/>
      <c r="D3" s="90"/>
      <c r="E3" s="90"/>
      <c r="F3" s="90"/>
      <c r="G3" s="90"/>
      <c r="H3" s="90"/>
    </row>
    <row r="4" spans="1:8" ht="22" customHeight="1" x14ac:dyDescent="0.55000000000000004">
      <c r="A4" s="120" t="s">
        <v>3</v>
      </c>
      <c r="B4" s="121"/>
      <c r="C4" s="121"/>
      <c r="D4" s="121"/>
      <c r="E4" s="121"/>
      <c r="F4" s="121"/>
      <c r="G4" s="121"/>
      <c r="H4" s="121"/>
    </row>
    <row r="5" spans="1:8" ht="5.05" customHeight="1" x14ac:dyDescent="0.55000000000000004">
      <c r="A5" s="1"/>
      <c r="B5" s="1"/>
      <c r="C5" s="1"/>
      <c r="D5" s="1"/>
      <c r="E5" s="1"/>
      <c r="F5" s="1"/>
      <c r="G5" s="1"/>
      <c r="H5" s="1"/>
    </row>
    <row r="6" spans="1:8" ht="24" customHeight="1" x14ac:dyDescent="0.55000000000000004">
      <c r="A6" s="82" t="s">
        <v>4</v>
      </c>
      <c r="B6" s="83"/>
      <c r="C6" s="83"/>
      <c r="D6" s="83"/>
      <c r="E6" s="83"/>
      <c r="F6" s="83"/>
      <c r="G6" s="83"/>
      <c r="H6" s="83"/>
    </row>
    <row r="7" spans="1:8" ht="18" customHeight="1" x14ac:dyDescent="0.55000000000000004">
      <c r="A7" s="2"/>
      <c r="B7" s="2" t="s">
        <v>5</v>
      </c>
      <c r="C7" s="2"/>
      <c r="D7" s="2"/>
      <c r="E7" s="2"/>
      <c r="F7" s="2" t="s">
        <v>6</v>
      </c>
      <c r="G7" s="2"/>
      <c r="H7" s="2" t="s">
        <v>7</v>
      </c>
    </row>
    <row r="8" spans="1:8" ht="28" customHeight="1" x14ac:dyDescent="0.55000000000000004">
      <c r="A8" s="88" t="s">
        <v>8</v>
      </c>
      <c r="B8" s="85"/>
      <c r="C8" s="85"/>
      <c r="D8" s="85"/>
      <c r="E8" s="85"/>
      <c r="F8" s="4" t="s">
        <v>9</v>
      </c>
      <c r="G8" s="95" t="s">
        <v>10</v>
      </c>
      <c r="H8" s="85"/>
    </row>
    <row r="9" spans="1:8" ht="28" customHeight="1" x14ac:dyDescent="0.55000000000000004">
      <c r="A9" s="80" t="s">
        <v>11</v>
      </c>
      <c r="B9" s="81"/>
      <c r="C9" s="81"/>
      <c r="D9" s="81"/>
      <c r="E9" s="81"/>
      <c r="F9" s="4" t="s">
        <v>9</v>
      </c>
      <c r="G9" s="104" t="s">
        <v>12</v>
      </c>
      <c r="H9" s="81"/>
    </row>
    <row r="10" spans="1:8" ht="28" customHeight="1" x14ac:dyDescent="0.55000000000000004">
      <c r="A10" s="88" t="s">
        <v>13</v>
      </c>
      <c r="B10" s="85"/>
      <c r="C10" s="85"/>
      <c r="D10" s="85"/>
      <c r="E10" s="85"/>
      <c r="F10" s="4" t="s">
        <v>14</v>
      </c>
      <c r="G10" s="95" t="s">
        <v>15</v>
      </c>
      <c r="H10" s="85"/>
    </row>
    <row r="11" spans="1:8" ht="28" customHeight="1" x14ac:dyDescent="0.55000000000000004">
      <c r="A11" s="80" t="s">
        <v>16</v>
      </c>
      <c r="B11" s="81"/>
      <c r="C11" s="81"/>
      <c r="D11" s="81"/>
      <c r="E11" s="81"/>
      <c r="F11" s="4" t="s">
        <v>9</v>
      </c>
      <c r="G11" s="104" t="s">
        <v>17</v>
      </c>
      <c r="H11" s="81"/>
    </row>
    <row r="12" spans="1:8" ht="28" customHeight="1" x14ac:dyDescent="0.55000000000000004">
      <c r="A12" s="88" t="s">
        <v>18</v>
      </c>
      <c r="B12" s="85"/>
      <c r="C12" s="85"/>
      <c r="D12" s="85"/>
      <c r="E12" s="85"/>
      <c r="F12" s="4" t="s">
        <v>9</v>
      </c>
      <c r="G12" s="95" t="s">
        <v>19</v>
      </c>
      <c r="H12" s="85"/>
    </row>
    <row r="13" spans="1:8" ht="28" customHeight="1" x14ac:dyDescent="0.55000000000000004">
      <c r="A13" s="80" t="s">
        <v>20</v>
      </c>
      <c r="B13" s="81"/>
      <c r="C13" s="81"/>
      <c r="D13" s="81"/>
      <c r="E13" s="81"/>
      <c r="F13" s="4" t="s">
        <v>9</v>
      </c>
      <c r="G13" s="104" t="s">
        <v>21</v>
      </c>
      <c r="H13" s="81"/>
    </row>
    <row r="14" spans="1:8" ht="28" customHeight="1" x14ac:dyDescent="0.55000000000000004">
      <c r="A14" s="88" t="s">
        <v>22</v>
      </c>
      <c r="B14" s="85"/>
      <c r="C14" s="85"/>
      <c r="D14" s="85"/>
      <c r="E14" s="85"/>
      <c r="F14" s="4" t="s">
        <v>9</v>
      </c>
      <c r="G14" s="95" t="s">
        <v>23</v>
      </c>
      <c r="H14" s="85"/>
    </row>
    <row r="15" spans="1:8" ht="24" customHeight="1" x14ac:dyDescent="0.55000000000000004">
      <c r="A15" s="116" t="s">
        <v>24</v>
      </c>
      <c r="B15" s="97"/>
      <c r="C15" s="97"/>
      <c r="D15" s="97"/>
      <c r="E15" s="97"/>
      <c r="F15" s="6" t="str">
        <f>IF(AND(F8="EVET",F9="EVET",F11="EVET",F13="EVET"),"OK - Hesaplanabilir","HATA - Ön koşul eksik")</f>
        <v>OK - Hesaplanabilir</v>
      </c>
      <c r="G15" s="110" t="s">
        <v>25</v>
      </c>
      <c r="H15" s="97"/>
    </row>
    <row r="16" spans="1:8" ht="5.05" customHeight="1" x14ac:dyDescent="0.55000000000000004">
      <c r="A16" s="1"/>
      <c r="B16" s="1"/>
      <c r="C16" s="1"/>
      <c r="D16" s="1"/>
      <c r="E16" s="1"/>
      <c r="F16" s="1"/>
      <c r="G16" s="1"/>
      <c r="H16" s="1"/>
    </row>
    <row r="17" spans="1:8" ht="22" customHeight="1" x14ac:dyDescent="0.55000000000000004">
      <c r="A17" s="86" t="s">
        <v>26</v>
      </c>
      <c r="B17" s="87"/>
      <c r="C17" s="87"/>
      <c r="D17" s="87"/>
      <c r="E17" s="87"/>
      <c r="F17" s="87"/>
      <c r="G17" s="87"/>
      <c r="H17" s="87"/>
    </row>
    <row r="18" spans="1:8" ht="22" customHeight="1" x14ac:dyDescent="0.55000000000000004">
      <c r="A18" s="88" t="s">
        <v>27</v>
      </c>
      <c r="B18" s="85"/>
      <c r="C18" s="98"/>
      <c r="D18" s="98"/>
      <c r="E18" s="98"/>
      <c r="F18" s="98"/>
      <c r="G18" s="7" t="s">
        <v>28</v>
      </c>
      <c r="H18" s="3"/>
    </row>
    <row r="19" spans="1:8" ht="22" customHeight="1" x14ac:dyDescent="0.55000000000000004">
      <c r="A19" s="94" t="s">
        <v>29</v>
      </c>
      <c r="B19" s="93"/>
      <c r="C19" s="98"/>
      <c r="D19" s="98"/>
      <c r="E19" s="98"/>
      <c r="F19" s="98"/>
      <c r="G19" s="9" t="s">
        <v>30</v>
      </c>
      <c r="H19" s="8"/>
    </row>
    <row r="20" spans="1:8" ht="22" customHeight="1" x14ac:dyDescent="0.55000000000000004">
      <c r="A20" s="88" t="s">
        <v>31</v>
      </c>
      <c r="B20" s="85"/>
      <c r="C20" s="98"/>
      <c r="D20" s="98"/>
      <c r="E20" s="98"/>
      <c r="F20" s="98"/>
      <c r="G20" s="7" t="s">
        <v>32</v>
      </c>
      <c r="H20" s="3"/>
    </row>
    <row r="21" spans="1:8" ht="22" customHeight="1" x14ac:dyDescent="0.55000000000000004">
      <c r="A21" s="94" t="s">
        <v>33</v>
      </c>
      <c r="B21" s="93"/>
      <c r="C21" s="98"/>
      <c r="D21" s="98"/>
      <c r="E21" s="98"/>
      <c r="F21" s="98"/>
      <c r="G21" s="9" t="s">
        <v>34</v>
      </c>
      <c r="H21" s="8"/>
    </row>
    <row r="22" spans="1:8" ht="22" customHeight="1" x14ac:dyDescent="0.55000000000000004">
      <c r="A22" s="88" t="s">
        <v>35</v>
      </c>
      <c r="B22" s="85"/>
      <c r="C22" s="98"/>
      <c r="D22" s="98"/>
      <c r="E22" s="98"/>
      <c r="F22" s="98"/>
      <c r="G22" s="7" t="s">
        <v>36</v>
      </c>
      <c r="H22" s="3"/>
    </row>
    <row r="23" spans="1:8" ht="22" customHeight="1" x14ac:dyDescent="0.55000000000000004">
      <c r="A23" s="94" t="s">
        <v>37</v>
      </c>
      <c r="B23" s="93"/>
      <c r="C23" s="98"/>
      <c r="D23" s="98"/>
      <c r="E23" s="98"/>
      <c r="F23" s="98"/>
      <c r="G23" s="9" t="s">
        <v>38</v>
      </c>
      <c r="H23" s="8"/>
    </row>
    <row r="24" spans="1:8" ht="5.05" customHeight="1" x14ac:dyDescent="0.55000000000000004">
      <c r="A24" s="1"/>
      <c r="B24" s="1"/>
      <c r="C24" s="1"/>
      <c r="D24" s="1"/>
      <c r="E24" s="1"/>
      <c r="F24" s="1"/>
      <c r="G24" s="1"/>
      <c r="H24" s="1"/>
    </row>
    <row r="25" spans="1:8" ht="24" customHeight="1" x14ac:dyDescent="0.55000000000000004">
      <c r="A25" s="86" t="s">
        <v>39</v>
      </c>
      <c r="B25" s="87"/>
      <c r="C25" s="87"/>
      <c r="D25" s="87"/>
      <c r="E25" s="87"/>
      <c r="F25" s="87"/>
      <c r="G25" s="87"/>
      <c r="H25" s="87"/>
    </row>
    <row r="26" spans="1:8" ht="36" customHeight="1" x14ac:dyDescent="0.55000000000000004">
      <c r="A26" s="108" t="s">
        <v>40</v>
      </c>
      <c r="B26" s="109"/>
      <c r="C26" s="109"/>
      <c r="D26" s="109"/>
      <c r="E26" s="109"/>
      <c r="F26" s="109"/>
      <c r="G26" s="109"/>
      <c r="H26" s="109"/>
    </row>
    <row r="27" spans="1:8" ht="18" customHeight="1" x14ac:dyDescent="0.55000000000000004">
      <c r="A27" s="2"/>
      <c r="B27" s="2" t="s">
        <v>41</v>
      </c>
      <c r="C27" s="2"/>
      <c r="D27" s="2"/>
      <c r="E27" s="2" t="s">
        <v>42</v>
      </c>
      <c r="F27" s="2"/>
      <c r="G27" s="2" t="s">
        <v>43</v>
      </c>
      <c r="H27" s="2" t="s">
        <v>44</v>
      </c>
    </row>
    <row r="28" spans="1:8" ht="26.05" customHeight="1" x14ac:dyDescent="0.55000000000000004">
      <c r="A28" s="88" t="s">
        <v>45</v>
      </c>
      <c r="B28" s="85"/>
      <c r="C28" s="4" t="s">
        <v>46</v>
      </c>
      <c r="D28" s="84" t="s">
        <v>47</v>
      </c>
      <c r="E28" s="85"/>
      <c r="F28" s="85"/>
      <c r="G28" s="91" t="s">
        <v>48</v>
      </c>
      <c r="H28" s="85"/>
    </row>
    <row r="29" spans="1:8" ht="26.05" customHeight="1" x14ac:dyDescent="0.55000000000000004">
      <c r="A29" s="94" t="s">
        <v>49</v>
      </c>
      <c r="B29" s="93"/>
      <c r="C29" s="4" t="s">
        <v>14</v>
      </c>
      <c r="D29" s="92" t="s">
        <v>50</v>
      </c>
      <c r="E29" s="93"/>
      <c r="F29" s="93"/>
      <c r="G29" s="101" t="s">
        <v>51</v>
      </c>
      <c r="H29" s="93"/>
    </row>
    <row r="30" spans="1:8" ht="26.05" customHeight="1" x14ac:dyDescent="0.55000000000000004">
      <c r="A30" s="88" t="s">
        <v>52</v>
      </c>
      <c r="B30" s="85"/>
      <c r="C30" s="10"/>
      <c r="D30" s="84" t="s">
        <v>53</v>
      </c>
      <c r="E30" s="85"/>
      <c r="F30" s="85"/>
      <c r="G30" s="91" t="s">
        <v>54</v>
      </c>
      <c r="H30" s="85"/>
    </row>
    <row r="31" spans="1:8" ht="26.05" customHeight="1" x14ac:dyDescent="0.55000000000000004">
      <c r="A31" s="94" t="s">
        <v>55</v>
      </c>
      <c r="B31" s="93"/>
      <c r="C31" s="10"/>
      <c r="D31" s="92" t="s">
        <v>56</v>
      </c>
      <c r="E31" s="93"/>
      <c r="F31" s="93"/>
      <c r="G31" s="101" t="s">
        <v>57</v>
      </c>
      <c r="H31" s="93"/>
    </row>
    <row r="32" spans="1:8" ht="26.05" customHeight="1" x14ac:dyDescent="0.55000000000000004">
      <c r="A32" s="105" t="s">
        <v>58</v>
      </c>
      <c r="B32" s="85"/>
      <c r="C32" s="10"/>
      <c r="D32" s="84" t="s">
        <v>59</v>
      </c>
      <c r="E32" s="85"/>
      <c r="F32" s="85"/>
      <c r="G32" s="91" t="s">
        <v>60</v>
      </c>
      <c r="H32" s="85"/>
    </row>
    <row r="33" spans="1:8" ht="26.05" customHeight="1" x14ac:dyDescent="0.55000000000000004">
      <c r="A33" s="94" t="s">
        <v>61</v>
      </c>
      <c r="B33" s="93"/>
      <c r="C33" s="11">
        <f>G47</f>
        <v>0</v>
      </c>
      <c r="D33" s="92" t="s">
        <v>62</v>
      </c>
      <c r="E33" s="93"/>
      <c r="F33" s="93"/>
      <c r="G33" s="101" t="s">
        <v>63</v>
      </c>
      <c r="H33" s="93"/>
    </row>
    <row r="34" spans="1:8" ht="26.05" customHeight="1" x14ac:dyDescent="0.55000000000000004">
      <c r="A34" s="105" t="s">
        <v>64</v>
      </c>
      <c r="B34" s="85"/>
      <c r="C34" s="4" t="s">
        <v>9</v>
      </c>
      <c r="D34" s="84" t="s">
        <v>65</v>
      </c>
      <c r="E34" s="85"/>
      <c r="F34" s="85"/>
      <c r="G34" s="91" t="s">
        <v>66</v>
      </c>
      <c r="H34" s="85"/>
    </row>
    <row r="35" spans="1:8" ht="5.05" customHeight="1" x14ac:dyDescent="0.55000000000000004">
      <c r="A35" s="1"/>
      <c r="B35" s="1"/>
      <c r="C35" s="1"/>
      <c r="D35" s="1"/>
      <c r="E35" s="1"/>
      <c r="F35" s="1"/>
      <c r="G35" s="1"/>
      <c r="H35" s="1"/>
    </row>
    <row r="36" spans="1:8" ht="24" customHeight="1" x14ac:dyDescent="0.55000000000000004">
      <c r="A36" s="86" t="s">
        <v>67</v>
      </c>
      <c r="B36" s="87"/>
      <c r="C36" s="87"/>
      <c r="D36" s="87"/>
      <c r="E36" s="87"/>
      <c r="F36" s="87"/>
      <c r="G36" s="87"/>
      <c r="H36" s="87"/>
    </row>
    <row r="37" spans="1:8" ht="24" customHeight="1" x14ac:dyDescent="0.55000000000000004">
      <c r="A37" s="119" t="s">
        <v>68</v>
      </c>
      <c r="B37" s="85"/>
      <c r="C37" s="85"/>
      <c r="D37" s="85"/>
      <c r="E37" s="85"/>
      <c r="F37" s="85"/>
      <c r="G37" s="85"/>
      <c r="H37" s="85"/>
    </row>
    <row r="38" spans="1:8" ht="18" customHeight="1" x14ac:dyDescent="0.55000000000000004">
      <c r="A38" s="12" t="s">
        <v>69</v>
      </c>
      <c r="B38" s="12" t="s">
        <v>70</v>
      </c>
      <c r="C38" s="12" t="s">
        <v>71</v>
      </c>
      <c r="D38" s="12" t="s">
        <v>72</v>
      </c>
      <c r="E38" s="12" t="s">
        <v>73</v>
      </c>
      <c r="F38" s="12" t="s">
        <v>74</v>
      </c>
      <c r="G38" s="12" t="s">
        <v>75</v>
      </c>
      <c r="H38" s="12" t="s">
        <v>76</v>
      </c>
    </row>
    <row r="39" spans="1:8" ht="26.05" customHeight="1" x14ac:dyDescent="0.55000000000000004">
      <c r="A39" s="13"/>
      <c r="B39" s="10"/>
      <c r="C39" s="14"/>
      <c r="D39" s="10"/>
      <c r="E39" s="15"/>
      <c r="F39" s="16"/>
      <c r="G39" s="17">
        <f t="shared" ref="G39:G46" si="0">IF(E39&gt;0,MAX(E39-F39,0),0)</f>
        <v>0</v>
      </c>
      <c r="H39" s="17">
        <f t="shared" ref="H39:H46" si="1">G39</f>
        <v>0</v>
      </c>
    </row>
    <row r="40" spans="1:8" ht="26.05" customHeight="1" x14ac:dyDescent="0.55000000000000004">
      <c r="A40" s="13"/>
      <c r="B40" s="10"/>
      <c r="C40" s="14"/>
      <c r="D40" s="10"/>
      <c r="E40" s="15"/>
      <c r="F40" s="16"/>
      <c r="G40" s="17">
        <f t="shared" si="0"/>
        <v>0</v>
      </c>
      <c r="H40" s="17">
        <f t="shared" si="1"/>
        <v>0</v>
      </c>
    </row>
    <row r="41" spans="1:8" ht="26.05" customHeight="1" x14ac:dyDescent="0.55000000000000004">
      <c r="A41" s="13"/>
      <c r="B41" s="10"/>
      <c r="C41" s="14"/>
      <c r="D41" s="10"/>
      <c r="E41" s="15"/>
      <c r="F41" s="16"/>
      <c r="G41" s="17">
        <f t="shared" si="0"/>
        <v>0</v>
      </c>
      <c r="H41" s="17">
        <f t="shared" si="1"/>
        <v>0</v>
      </c>
    </row>
    <row r="42" spans="1:8" ht="26.05" customHeight="1" x14ac:dyDescent="0.55000000000000004">
      <c r="A42" s="13"/>
      <c r="B42" s="10"/>
      <c r="C42" s="14"/>
      <c r="D42" s="10"/>
      <c r="E42" s="15"/>
      <c r="F42" s="16"/>
      <c r="G42" s="17">
        <f t="shared" si="0"/>
        <v>0</v>
      </c>
      <c r="H42" s="17">
        <f t="shared" si="1"/>
        <v>0</v>
      </c>
    </row>
    <row r="43" spans="1:8" ht="26.05" customHeight="1" x14ac:dyDescent="0.55000000000000004">
      <c r="A43" s="13"/>
      <c r="B43" s="10"/>
      <c r="C43" s="14"/>
      <c r="D43" s="10"/>
      <c r="E43" s="15"/>
      <c r="F43" s="16"/>
      <c r="G43" s="17">
        <f t="shared" si="0"/>
        <v>0</v>
      </c>
      <c r="H43" s="17">
        <f t="shared" si="1"/>
        <v>0</v>
      </c>
    </row>
    <row r="44" spans="1:8" ht="26.05" customHeight="1" x14ac:dyDescent="0.55000000000000004">
      <c r="A44" s="13"/>
      <c r="B44" s="10"/>
      <c r="C44" s="14"/>
      <c r="D44" s="10"/>
      <c r="E44" s="15"/>
      <c r="F44" s="16"/>
      <c r="G44" s="17">
        <f t="shared" si="0"/>
        <v>0</v>
      </c>
      <c r="H44" s="17">
        <f t="shared" si="1"/>
        <v>0</v>
      </c>
    </row>
    <row r="45" spans="1:8" ht="26.05" customHeight="1" x14ac:dyDescent="0.55000000000000004">
      <c r="A45" s="13"/>
      <c r="B45" s="10"/>
      <c r="C45" s="14"/>
      <c r="D45" s="10"/>
      <c r="E45" s="15"/>
      <c r="F45" s="16"/>
      <c r="G45" s="17">
        <f t="shared" si="0"/>
        <v>0</v>
      </c>
      <c r="H45" s="17">
        <f t="shared" si="1"/>
        <v>0</v>
      </c>
    </row>
    <row r="46" spans="1:8" ht="26.05" customHeight="1" x14ac:dyDescent="0.55000000000000004">
      <c r="A46" s="13"/>
      <c r="B46" s="10"/>
      <c r="C46" s="14"/>
      <c r="D46" s="10"/>
      <c r="E46" s="15"/>
      <c r="F46" s="16"/>
      <c r="G46" s="17">
        <f t="shared" si="0"/>
        <v>0</v>
      </c>
      <c r="H46" s="17">
        <f t="shared" si="1"/>
        <v>0</v>
      </c>
    </row>
    <row r="47" spans="1:8" ht="30" customHeight="1" x14ac:dyDescent="0.55000000000000004">
      <c r="A47" s="18" t="s">
        <v>77</v>
      </c>
      <c r="B47" s="102" t="s">
        <v>78</v>
      </c>
      <c r="C47" s="103"/>
      <c r="D47" s="103"/>
      <c r="E47" s="19">
        <f>SUM(E39:E46)</f>
        <v>0</v>
      </c>
      <c r="F47" s="20">
        <f>SUM(F39:F46)</f>
        <v>0</v>
      </c>
      <c r="G47" s="19">
        <f>SUM(G39:G46)</f>
        <v>0</v>
      </c>
      <c r="H47" s="21">
        <f>SUM(H39:H46)</f>
        <v>0</v>
      </c>
    </row>
    <row r="48" spans="1:8" ht="28" customHeight="1" x14ac:dyDescent="0.55000000000000004">
      <c r="A48" s="106" t="s">
        <v>79</v>
      </c>
      <c r="B48" s="107"/>
      <c r="C48" s="107"/>
      <c r="D48" s="107"/>
      <c r="E48" s="107"/>
      <c r="F48" s="107"/>
      <c r="G48" s="107"/>
      <c r="H48" s="107"/>
    </row>
    <row r="49" spans="1:8" ht="5.05" customHeight="1" x14ac:dyDescent="0.55000000000000004">
      <c r="A49" s="1"/>
      <c r="B49" s="1"/>
      <c r="C49" s="1"/>
      <c r="D49" s="1"/>
      <c r="E49" s="1"/>
      <c r="F49" s="1"/>
      <c r="G49" s="1"/>
      <c r="H49" s="1"/>
    </row>
    <row r="50" spans="1:8" ht="24" customHeight="1" x14ac:dyDescent="0.55000000000000004">
      <c r="A50" s="86" t="s">
        <v>80</v>
      </c>
      <c r="B50" s="87"/>
      <c r="C50" s="87"/>
      <c r="D50" s="87"/>
      <c r="E50" s="87"/>
      <c r="F50" s="87"/>
      <c r="G50" s="87"/>
      <c r="H50" s="87"/>
    </row>
    <row r="51" spans="1:8" ht="18" customHeight="1" x14ac:dyDescent="0.55000000000000004">
      <c r="A51" s="2"/>
      <c r="B51" s="2" t="s">
        <v>81</v>
      </c>
      <c r="C51" s="2"/>
      <c r="D51" s="2"/>
      <c r="E51" s="2" t="s">
        <v>82</v>
      </c>
      <c r="F51" s="2"/>
      <c r="G51" s="2" t="s">
        <v>43</v>
      </c>
      <c r="H51" s="2" t="s">
        <v>83</v>
      </c>
    </row>
    <row r="52" spans="1:8" ht="28" customHeight="1" x14ac:dyDescent="0.55000000000000004">
      <c r="A52" s="88" t="s">
        <v>84</v>
      </c>
      <c r="B52" s="85"/>
      <c r="C52" s="85"/>
      <c r="D52" s="22">
        <f>E47</f>
        <v>0</v>
      </c>
      <c r="E52" s="84" t="s">
        <v>85</v>
      </c>
      <c r="F52" s="85"/>
      <c r="G52" s="95"/>
      <c r="H52" s="85"/>
    </row>
    <row r="53" spans="1:8" ht="28" customHeight="1" x14ac:dyDescent="0.55000000000000004">
      <c r="A53" s="94" t="s">
        <v>86</v>
      </c>
      <c r="B53" s="93"/>
      <c r="C53" s="93"/>
      <c r="D53" s="22">
        <f>F47</f>
        <v>0</v>
      </c>
      <c r="E53" s="92" t="s">
        <v>87</v>
      </c>
      <c r="F53" s="93"/>
      <c r="G53" s="118"/>
      <c r="H53" s="93"/>
    </row>
    <row r="54" spans="1:8" ht="28" customHeight="1" x14ac:dyDescent="0.55000000000000004">
      <c r="A54" s="115" t="s">
        <v>88</v>
      </c>
      <c r="B54" s="97"/>
      <c r="C54" s="97"/>
      <c r="D54" s="23">
        <f>G47</f>
        <v>0</v>
      </c>
      <c r="E54" s="111" t="s">
        <v>89</v>
      </c>
      <c r="F54" s="97"/>
      <c r="G54" s="112"/>
      <c r="H54" s="97"/>
    </row>
    <row r="55" spans="1:8" ht="28" customHeight="1" x14ac:dyDescent="0.55000000000000004">
      <c r="A55" s="94" t="s">
        <v>90</v>
      </c>
      <c r="B55" s="93"/>
      <c r="C55" s="93"/>
      <c r="D55" s="24"/>
      <c r="E55" s="92" t="s">
        <v>91</v>
      </c>
      <c r="F55" s="93"/>
      <c r="G55" s="118"/>
      <c r="H55" s="93"/>
    </row>
    <row r="56" spans="1:8" ht="5.05" customHeight="1" x14ac:dyDescent="0.55000000000000004">
      <c r="A56" s="1"/>
      <c r="B56" s="1"/>
      <c r="C56" s="1"/>
      <c r="D56" s="1"/>
      <c r="E56" s="1"/>
      <c r="F56" s="1"/>
      <c r="G56" s="1"/>
      <c r="H56" s="1"/>
    </row>
    <row r="57" spans="1:8" ht="22" customHeight="1" x14ac:dyDescent="0.55000000000000004">
      <c r="A57" s="86" t="s">
        <v>92</v>
      </c>
      <c r="B57" s="87"/>
      <c r="C57" s="87"/>
      <c r="D57" s="87"/>
      <c r="E57" s="87"/>
      <c r="F57" s="87"/>
      <c r="G57" s="87"/>
      <c r="H57" s="87"/>
    </row>
    <row r="58" spans="1:8" ht="18" customHeight="1" x14ac:dyDescent="0.55000000000000004">
      <c r="A58" s="2"/>
      <c r="B58" s="2" t="s">
        <v>93</v>
      </c>
      <c r="C58" s="2" t="s">
        <v>94</v>
      </c>
      <c r="D58" s="2" t="s">
        <v>95</v>
      </c>
      <c r="E58" s="2" t="s">
        <v>96</v>
      </c>
      <c r="F58" s="2" t="s">
        <v>97</v>
      </c>
      <c r="G58" s="2" t="s">
        <v>98</v>
      </c>
      <c r="H58" s="2" t="s">
        <v>99</v>
      </c>
    </row>
    <row r="59" spans="1:8" ht="24" customHeight="1" x14ac:dyDescent="0.55000000000000004">
      <c r="A59" s="25" t="s">
        <v>100</v>
      </c>
      <c r="B59" s="8"/>
      <c r="C59" s="26" t="s">
        <v>101</v>
      </c>
      <c r="D59" s="27" t="s">
        <v>102</v>
      </c>
      <c r="E59" s="28" t="s">
        <v>103</v>
      </c>
      <c r="F59" s="29" t="s">
        <v>104</v>
      </c>
      <c r="G59" s="30" t="s">
        <v>105</v>
      </c>
      <c r="H59" s="29" t="s">
        <v>106</v>
      </c>
    </row>
    <row r="60" spans="1:8" ht="24" customHeight="1" x14ac:dyDescent="0.55000000000000004">
      <c r="A60" s="25" t="s">
        <v>107</v>
      </c>
      <c r="B60" s="3"/>
      <c r="C60" s="26" t="s">
        <v>108</v>
      </c>
      <c r="D60" s="27" t="s">
        <v>109</v>
      </c>
      <c r="E60" s="28" t="s">
        <v>110</v>
      </c>
      <c r="F60" s="31" t="s">
        <v>111</v>
      </c>
      <c r="G60" s="32" t="s">
        <v>112</v>
      </c>
      <c r="H60" s="29" t="s">
        <v>113</v>
      </c>
    </row>
    <row r="61" spans="1:8" ht="24" customHeight="1" x14ac:dyDescent="0.55000000000000004">
      <c r="A61" s="25" t="s">
        <v>114</v>
      </c>
      <c r="B61" s="8"/>
      <c r="C61" s="26" t="s">
        <v>115</v>
      </c>
      <c r="D61" s="27" t="s">
        <v>116</v>
      </c>
      <c r="E61" s="28" t="s">
        <v>117</v>
      </c>
      <c r="F61" s="31" t="s">
        <v>118</v>
      </c>
      <c r="G61" s="30" t="s">
        <v>119</v>
      </c>
      <c r="H61" s="29" t="s">
        <v>120</v>
      </c>
    </row>
    <row r="62" spans="1:8" ht="32.049999999999997" customHeight="1" x14ac:dyDescent="0.55000000000000004">
      <c r="A62" s="96" t="s">
        <v>121</v>
      </c>
      <c r="B62" s="97"/>
      <c r="C62" s="97"/>
      <c r="D62" s="97"/>
      <c r="E62" s="33">
        <f>D54</f>
        <v>0</v>
      </c>
      <c r="F62" s="117" t="s">
        <v>122</v>
      </c>
      <c r="G62" s="97"/>
      <c r="H62" s="97"/>
    </row>
    <row r="63" spans="1:8" ht="48" customHeight="1" x14ac:dyDescent="0.55000000000000004">
      <c r="A63" s="113" t="s">
        <v>123</v>
      </c>
      <c r="B63" s="114"/>
      <c r="C63" s="114"/>
      <c r="D63" s="114"/>
      <c r="E63" s="114"/>
      <c r="F63" s="114"/>
      <c r="G63" s="114"/>
      <c r="H63" s="114"/>
    </row>
  </sheetData>
  <mergeCells count="78">
    <mergeCell ref="A1:H1"/>
    <mergeCell ref="G8:H8"/>
    <mergeCell ref="F62:H62"/>
    <mergeCell ref="G10:H10"/>
    <mergeCell ref="G53:H53"/>
    <mergeCell ref="G28:H28"/>
    <mergeCell ref="A53:C53"/>
    <mergeCell ref="A18:B18"/>
    <mergeCell ref="A37:H37"/>
    <mergeCell ref="G30:H30"/>
    <mergeCell ref="A57:H57"/>
    <mergeCell ref="G14:H14"/>
    <mergeCell ref="A8:E8"/>
    <mergeCell ref="G55:H55"/>
    <mergeCell ref="G29:H29"/>
    <mergeCell ref="A4:H4"/>
    <mergeCell ref="G54:H54"/>
    <mergeCell ref="G32:H32"/>
    <mergeCell ref="A63:H63"/>
    <mergeCell ref="C21:F21"/>
    <mergeCell ref="A13:E13"/>
    <mergeCell ref="A54:C54"/>
    <mergeCell ref="C23:F23"/>
    <mergeCell ref="G52:H52"/>
    <mergeCell ref="A15:E15"/>
    <mergeCell ref="A36:H36"/>
    <mergeCell ref="A20:B20"/>
    <mergeCell ref="A29:B29"/>
    <mergeCell ref="G31:H31"/>
    <mergeCell ref="A31:B31"/>
    <mergeCell ref="A2:H2"/>
    <mergeCell ref="G33:H33"/>
    <mergeCell ref="A14:E14"/>
    <mergeCell ref="B47:D47"/>
    <mergeCell ref="D31:F31"/>
    <mergeCell ref="G9:H9"/>
    <mergeCell ref="A34:B34"/>
    <mergeCell ref="D32:F32"/>
    <mergeCell ref="G11:H11"/>
    <mergeCell ref="C18:F18"/>
    <mergeCell ref="G13:H13"/>
    <mergeCell ref="D33:F33"/>
    <mergeCell ref="A21:B21"/>
    <mergeCell ref="A26:H26"/>
    <mergeCell ref="G15:H15"/>
    <mergeCell ref="C20:F20"/>
    <mergeCell ref="E53:F53"/>
    <mergeCell ref="A30:B30"/>
    <mergeCell ref="G12:H12"/>
    <mergeCell ref="E55:F55"/>
    <mergeCell ref="A62:D62"/>
    <mergeCell ref="A55:C55"/>
    <mergeCell ref="C19:F19"/>
    <mergeCell ref="A12:E12"/>
    <mergeCell ref="A48:H48"/>
    <mergeCell ref="E52:F52"/>
    <mergeCell ref="A32:B32"/>
    <mergeCell ref="A23:B23"/>
    <mergeCell ref="D34:F34"/>
    <mergeCell ref="A17:H17"/>
    <mergeCell ref="C22:F22"/>
    <mergeCell ref="E54:F54"/>
    <mergeCell ref="A52:C52"/>
    <mergeCell ref="A50:H50"/>
    <mergeCell ref="A3:H3"/>
    <mergeCell ref="G34:H34"/>
    <mergeCell ref="D29:F29"/>
    <mergeCell ref="A33:B33"/>
    <mergeCell ref="A22:B22"/>
    <mergeCell ref="A19:B19"/>
    <mergeCell ref="A28:B28"/>
    <mergeCell ref="A10:E10"/>
    <mergeCell ref="A9:E9"/>
    <mergeCell ref="A11:E11"/>
    <mergeCell ref="A6:H6"/>
    <mergeCell ref="D28:F28"/>
    <mergeCell ref="A25:H25"/>
    <mergeCell ref="D30:F30"/>
  </mergeCells>
  <conditionalFormatting sqref="F15">
    <cfRule type="containsText" dxfId="3" priority="1" operator="containsText" text="OK">
      <formula>NOT(ISERROR(SEARCH("OK",F15)))</formula>
    </cfRule>
    <cfRule type="containsText" dxfId="2" priority="2" operator="containsText" text="HATA">
      <formula>NOT(ISERROR(SEARCH("HATA",F15)))</formula>
    </cfRule>
  </conditionalFormatting>
  <dataValidations count="8">
    <dataValidation type="list" sqref="F8" xr:uid="{00000000-0002-0000-0000-000000000000}">
      <formula1>"EVET,HAYIR-İstisna Yok"</formula1>
    </dataValidation>
    <dataValidation type="list" sqref="F9" xr:uid="{00000000-0002-0000-0000-000001000000}">
      <formula1>"EVET,HAYIR-Yanlış Kod"</formula1>
    </dataValidation>
    <dataValidation type="list" sqref="F10" xr:uid="{00000000-0002-0000-0000-000002000000}">
      <formula1>"Vade Sonu Tahsilatı,Dönemsel Ödeme (Aylık/Üçaylık),Doğrudan Tahsilat,Diğer"</formula1>
    </dataValidation>
    <dataValidation type="list" sqref="F11 F13" xr:uid="{00000000-0002-0000-0000-000003000000}">
      <formula1>"EVET,HAYIR-KRİTİK HATA"</formula1>
    </dataValidation>
    <dataValidation type="list" sqref="F12 C34" xr:uid="{00000000-0002-0000-0000-000004000000}">
      <formula1>"EVET,HAYIR-Risk"</formula1>
    </dataValidation>
    <dataValidation type="list" sqref="F14" xr:uid="{00000000-0002-0000-0000-000006000000}">
      <formula1>"EVET,Tam Tasdik"</formula1>
    </dataValidation>
    <dataValidation type="list" sqref="C28" xr:uid="{00000000-0002-0000-0000-000007000000}">
      <formula1>"TL Mevduat,TL Katılım Hesabı,TL Tahvil/Bono,Diğer P4 Araç"</formula1>
    </dataValidation>
    <dataValidation type="list" sqref="C29" xr:uid="{00000000-0002-0000-0000-000008000000}">
      <formula1>"Vade Sonu Tahsilatı,Dönemsel Ödeme,Doğrudan Tahsilat,Vade+Dönemsel"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/>
  </sheetViews>
  <sheetFormatPr defaultRowHeight="14.4" x14ac:dyDescent="0.55000000000000004"/>
  <cols>
    <col min="1" max="1" width="4" customWidth="1"/>
    <col min="2" max="2" width="38" customWidth="1"/>
    <col min="3" max="7" width="12" customWidth="1"/>
    <col min="8" max="8" width="14" customWidth="1"/>
  </cols>
  <sheetData>
    <row r="1" spans="1:8" ht="36" customHeight="1" x14ac:dyDescent="0.55000000000000004">
      <c r="A1" s="128" t="s">
        <v>124</v>
      </c>
      <c r="B1" s="87"/>
      <c r="C1" s="87"/>
      <c r="D1" s="87"/>
      <c r="E1" s="87"/>
      <c r="F1" s="87"/>
      <c r="G1" s="87"/>
      <c r="H1" s="87"/>
    </row>
    <row r="2" spans="1:8" ht="20.05" customHeight="1" x14ac:dyDescent="0.55000000000000004">
      <c r="A2" s="99" t="s">
        <v>125</v>
      </c>
      <c r="B2" s="100"/>
      <c r="C2" s="100"/>
      <c r="D2" s="100"/>
      <c r="E2" s="100"/>
      <c r="F2" s="100"/>
      <c r="G2" s="100"/>
      <c r="H2" s="100"/>
    </row>
    <row r="3" spans="1:8" ht="5.05" customHeight="1" x14ac:dyDescent="0.55000000000000004">
      <c r="A3" s="1"/>
      <c r="B3" s="1"/>
      <c r="C3" s="1"/>
      <c r="D3" s="1"/>
      <c r="E3" s="1"/>
      <c r="F3" s="1"/>
      <c r="G3" s="1"/>
      <c r="H3" s="1"/>
    </row>
    <row r="4" spans="1:8" ht="22" customHeight="1" x14ac:dyDescent="0.55000000000000004">
      <c r="A4" s="137" t="s">
        <v>126</v>
      </c>
      <c r="B4" s="138"/>
      <c r="C4" s="138"/>
      <c r="D4" s="138"/>
      <c r="E4" s="138"/>
      <c r="F4" s="138"/>
      <c r="G4" s="138"/>
      <c r="H4" s="138"/>
    </row>
    <row r="5" spans="1:8" ht="22" customHeight="1" x14ac:dyDescent="0.55000000000000004">
      <c r="A5" s="122" t="s">
        <v>127</v>
      </c>
      <c r="B5" s="93"/>
      <c r="C5" s="93"/>
      <c r="D5" s="93"/>
      <c r="E5" s="34" t="str">
        <f>'VERİ GİRİŞİ'!F15</f>
        <v>OK - Hesaplanabilir</v>
      </c>
      <c r="F5" s="118" t="s">
        <v>128</v>
      </c>
      <c r="G5" s="93"/>
      <c r="H5" s="93"/>
    </row>
    <row r="6" spans="1:8" ht="22" customHeight="1" x14ac:dyDescent="0.55000000000000004">
      <c r="A6" s="123" t="s">
        <v>129</v>
      </c>
      <c r="B6" s="85"/>
      <c r="C6" s="85"/>
      <c r="D6" s="85"/>
      <c r="E6" s="34" t="str">
        <f>'VERİ GİRİŞİ'!F10</f>
        <v>Vade Sonu Tahsilatı</v>
      </c>
      <c r="F6" s="95" t="s">
        <v>130</v>
      </c>
      <c r="G6" s="85"/>
      <c r="H6" s="85"/>
    </row>
    <row r="7" spans="1:8" ht="22" customHeight="1" x14ac:dyDescent="0.55000000000000004">
      <c r="A7" s="122" t="s">
        <v>131</v>
      </c>
      <c r="B7" s="93"/>
      <c r="C7" s="93"/>
      <c r="D7" s="93"/>
      <c r="E7" s="34">
        <f>'VERİ GİRİŞİ'!D52</f>
        <v>0</v>
      </c>
      <c r="F7" s="118" t="s">
        <v>57</v>
      </c>
      <c r="G7" s="93"/>
      <c r="H7" s="93"/>
    </row>
    <row r="8" spans="1:8" ht="22" customHeight="1" x14ac:dyDescent="0.55000000000000004">
      <c r="A8" s="123" t="s">
        <v>132</v>
      </c>
      <c r="B8" s="85"/>
      <c r="C8" s="85"/>
      <c r="D8" s="85"/>
      <c r="E8" s="34">
        <f>'VERİ GİRİŞİ'!D53</f>
        <v>0</v>
      </c>
      <c r="F8" s="95" t="s">
        <v>133</v>
      </c>
      <c r="G8" s="85"/>
      <c r="H8" s="85"/>
    </row>
    <row r="9" spans="1:8" ht="22" customHeight="1" x14ac:dyDescent="0.55000000000000004">
      <c r="A9" s="116" t="s">
        <v>134</v>
      </c>
      <c r="B9" s="97"/>
      <c r="C9" s="97"/>
      <c r="D9" s="97"/>
      <c r="E9" s="35">
        <f>'VERİ GİRİŞİ'!D54</f>
        <v>0</v>
      </c>
      <c r="F9" s="112" t="s">
        <v>346</v>
      </c>
      <c r="G9" s="97"/>
      <c r="H9" s="97"/>
    </row>
    <row r="10" spans="1:8" ht="22" customHeight="1" x14ac:dyDescent="0.55000000000000004">
      <c r="A10" s="129" t="s">
        <v>135</v>
      </c>
      <c r="B10" s="130"/>
      <c r="C10" s="130"/>
      <c r="D10" s="130"/>
      <c r="E10" s="36" t="s">
        <v>136</v>
      </c>
      <c r="F10" s="139" t="s">
        <v>137</v>
      </c>
      <c r="G10" s="130"/>
      <c r="H10" s="130"/>
    </row>
    <row r="11" spans="1:8" ht="5.05" customHeight="1" x14ac:dyDescent="0.55000000000000004">
      <c r="A11" s="1"/>
      <c r="B11" s="1"/>
      <c r="C11" s="1"/>
      <c r="D11" s="1"/>
      <c r="E11" s="1"/>
      <c r="F11" s="1"/>
      <c r="G11" s="1"/>
      <c r="H11" s="1"/>
    </row>
    <row r="12" spans="1:8" ht="22" customHeight="1" x14ac:dyDescent="0.55000000000000004">
      <c r="A12" s="86" t="s">
        <v>138</v>
      </c>
      <c r="B12" s="87"/>
      <c r="C12" s="87"/>
      <c r="D12" s="87"/>
      <c r="E12" s="87"/>
      <c r="F12" s="87"/>
      <c r="G12" s="87"/>
      <c r="H12" s="87"/>
    </row>
    <row r="13" spans="1:8" ht="18" customHeight="1" x14ac:dyDescent="0.55000000000000004">
      <c r="A13" s="12"/>
      <c r="B13" s="12" t="s">
        <v>139</v>
      </c>
      <c r="C13" s="12" t="s">
        <v>140</v>
      </c>
      <c r="D13" s="12" t="s">
        <v>141</v>
      </c>
      <c r="E13" s="12" t="s">
        <v>142</v>
      </c>
      <c r="F13" s="12" t="s">
        <v>143</v>
      </c>
      <c r="G13" s="12" t="s">
        <v>144</v>
      </c>
      <c r="H13" s="12" t="s">
        <v>99</v>
      </c>
    </row>
    <row r="14" spans="1:8" ht="22" customHeight="1" x14ac:dyDescent="0.55000000000000004">
      <c r="A14" s="25" t="s">
        <v>145</v>
      </c>
      <c r="B14" s="3"/>
      <c r="C14" s="37" t="s">
        <v>146</v>
      </c>
      <c r="D14" s="38" t="s">
        <v>147</v>
      </c>
      <c r="E14" s="39" t="s">
        <v>148</v>
      </c>
      <c r="F14" s="27" t="s">
        <v>149</v>
      </c>
      <c r="G14" s="40" t="s">
        <v>150</v>
      </c>
      <c r="H14" s="29" t="s">
        <v>151</v>
      </c>
    </row>
    <row r="15" spans="1:8" ht="22" customHeight="1" x14ac:dyDescent="0.55000000000000004">
      <c r="A15" s="25" t="s">
        <v>107</v>
      </c>
      <c r="B15" s="8"/>
      <c r="C15" s="37" t="s">
        <v>152</v>
      </c>
      <c r="D15" s="38" t="s">
        <v>152</v>
      </c>
      <c r="E15" s="39" t="s">
        <v>152</v>
      </c>
      <c r="F15" s="27" t="s">
        <v>153</v>
      </c>
      <c r="G15" s="40" t="s">
        <v>154</v>
      </c>
      <c r="H15" s="28" t="s">
        <v>113</v>
      </c>
    </row>
    <row r="16" spans="1:8" ht="22" customHeight="1" x14ac:dyDescent="0.55000000000000004">
      <c r="A16" s="25" t="s">
        <v>155</v>
      </c>
      <c r="B16" s="3"/>
      <c r="C16" s="37" t="s">
        <v>156</v>
      </c>
      <c r="D16" s="38" t="s">
        <v>157</v>
      </c>
      <c r="E16" s="39" t="s">
        <v>158</v>
      </c>
      <c r="F16" s="27" t="s">
        <v>159</v>
      </c>
      <c r="G16" s="40" t="s">
        <v>160</v>
      </c>
      <c r="H16" s="28" t="s">
        <v>161</v>
      </c>
    </row>
    <row r="17" spans="1:8" ht="22" customHeight="1" x14ac:dyDescent="0.55000000000000004">
      <c r="A17" s="25" t="s">
        <v>162</v>
      </c>
      <c r="B17" s="8"/>
      <c r="C17" s="37" t="s">
        <v>163</v>
      </c>
      <c r="D17" s="38" t="s">
        <v>164</v>
      </c>
      <c r="E17" s="39" t="s">
        <v>165</v>
      </c>
      <c r="F17" s="27" t="s">
        <v>166</v>
      </c>
      <c r="G17" s="40" t="s">
        <v>167</v>
      </c>
      <c r="H17" s="28" t="s">
        <v>168</v>
      </c>
    </row>
    <row r="18" spans="1:8" ht="5.05" customHeight="1" x14ac:dyDescent="0.55000000000000004">
      <c r="A18" s="1"/>
      <c r="B18" s="1"/>
      <c r="C18" s="1"/>
      <c r="D18" s="1"/>
      <c r="E18" s="1"/>
      <c r="F18" s="1"/>
      <c r="G18" s="1"/>
      <c r="H18" s="1"/>
    </row>
    <row r="19" spans="1:8" ht="22" customHeight="1" x14ac:dyDescent="0.55000000000000004">
      <c r="A19" s="86" t="s">
        <v>169</v>
      </c>
      <c r="B19" s="87"/>
      <c r="C19" s="87"/>
      <c r="D19" s="87"/>
      <c r="E19" s="87"/>
      <c r="F19" s="87"/>
      <c r="G19" s="87"/>
      <c r="H19" s="87"/>
    </row>
    <row r="20" spans="1:8" ht="18" customHeight="1" x14ac:dyDescent="0.55000000000000004">
      <c r="A20" s="2"/>
      <c r="B20" s="2" t="s">
        <v>170</v>
      </c>
      <c r="C20" s="2"/>
      <c r="D20" s="2" t="s">
        <v>43</v>
      </c>
      <c r="E20" s="2"/>
      <c r="F20" s="2" t="s">
        <v>171</v>
      </c>
      <c r="G20" s="2"/>
      <c r="H20" s="2"/>
    </row>
    <row r="21" spans="1:8" ht="22" customHeight="1" x14ac:dyDescent="0.55000000000000004">
      <c r="A21" s="41" t="s">
        <v>172</v>
      </c>
      <c r="B21" s="127" t="s">
        <v>173</v>
      </c>
      <c r="C21" s="81"/>
      <c r="D21" s="133" t="s">
        <v>174</v>
      </c>
      <c r="E21" s="134"/>
      <c r="F21" s="134"/>
      <c r="G21" s="162" t="str">
        <f>IF('VERİ GİRİŞİ'!F8="EVET","Uygun","Eksik")</f>
        <v>Uygun</v>
      </c>
      <c r="H21" s="8"/>
    </row>
    <row r="22" spans="1:8" ht="22" customHeight="1" x14ac:dyDescent="0.55000000000000004">
      <c r="A22" s="41" t="s">
        <v>175</v>
      </c>
      <c r="B22" s="127" t="s">
        <v>176</v>
      </c>
      <c r="C22" s="81"/>
      <c r="D22" s="133" t="s">
        <v>177</v>
      </c>
      <c r="E22" s="134"/>
      <c r="F22" s="134"/>
      <c r="G22" s="162" t="str">
        <f>IF('VERİ GİRİŞİ'!F9="EVET","Uygun","Eksik")</f>
        <v>Uygun</v>
      </c>
      <c r="H22" s="3"/>
    </row>
    <row r="23" spans="1:8" ht="22" customHeight="1" x14ac:dyDescent="0.55000000000000004">
      <c r="A23" s="41" t="s">
        <v>178</v>
      </c>
      <c r="B23" s="127" t="s">
        <v>179</v>
      </c>
      <c r="C23" s="81"/>
      <c r="D23" s="133" t="s">
        <v>180</v>
      </c>
      <c r="E23" s="134"/>
      <c r="F23" s="134"/>
      <c r="G23" s="162" t="str">
        <f>IF('VERİ GİRİŞİ'!F11="EVET","Uygun","Eksik")</f>
        <v>Uygun</v>
      </c>
      <c r="H23" s="8"/>
    </row>
    <row r="24" spans="1:8" ht="22" customHeight="1" x14ac:dyDescent="0.55000000000000004">
      <c r="A24" s="41" t="s">
        <v>181</v>
      </c>
      <c r="B24" s="140" t="s">
        <v>182</v>
      </c>
      <c r="C24" s="85"/>
      <c r="D24" s="126" t="s">
        <v>183</v>
      </c>
      <c r="E24" s="85"/>
      <c r="F24" s="85"/>
      <c r="G24" s="163" t="str">
        <f>IF('VERİ GİRİŞİ'!E47&gt;0,"Uygun","Eksik")</f>
        <v>Eksik</v>
      </c>
      <c r="H24" s="3"/>
    </row>
    <row r="25" spans="1:8" ht="22" customHeight="1" x14ac:dyDescent="0.55000000000000004">
      <c r="A25" s="41" t="s">
        <v>184</v>
      </c>
      <c r="B25" s="125" t="s">
        <v>185</v>
      </c>
      <c r="C25" s="93"/>
      <c r="D25" s="124" t="s">
        <v>186</v>
      </c>
      <c r="E25" s="93"/>
      <c r="F25" s="93"/>
      <c r="G25" s="163" t="str">
        <f>IF(AND(E7&gt;0,E7=E8+E9),"Uygun",IF(E7=0,"Eksik","Risk"))</f>
        <v>Eksik</v>
      </c>
      <c r="H25" s="8"/>
    </row>
    <row r="26" spans="1:8" ht="22" customHeight="1" x14ac:dyDescent="0.55000000000000004">
      <c r="A26" s="41" t="s">
        <v>187</v>
      </c>
      <c r="B26" s="140" t="s">
        <v>188</v>
      </c>
      <c r="C26" s="85"/>
      <c r="D26" s="126" t="s">
        <v>189</v>
      </c>
      <c r="E26" s="85"/>
      <c r="F26" s="85"/>
      <c r="G26" s="163" t="str">
        <f>IF(E7&gt;0,"Uygun","Eksik")</f>
        <v>Eksik</v>
      </c>
      <c r="H26" s="3"/>
    </row>
    <row r="27" spans="1:8" ht="22" customHeight="1" x14ac:dyDescent="0.55000000000000004">
      <c r="A27" s="41" t="s">
        <v>190</v>
      </c>
      <c r="B27" s="125" t="s">
        <v>191</v>
      </c>
      <c r="C27" s="93"/>
      <c r="D27" s="124" t="s">
        <v>192</v>
      </c>
      <c r="E27" s="93"/>
      <c r="F27" s="93"/>
      <c r="G27" s="162" t="str">
        <f>IF('VERİ GİRİŞİ'!F12="EVET","Uygun","Eksik")</f>
        <v>Uygun</v>
      </c>
      <c r="H27" s="8"/>
    </row>
    <row r="28" spans="1:8" ht="22" customHeight="1" x14ac:dyDescent="0.55000000000000004">
      <c r="A28" s="46" t="s">
        <v>193</v>
      </c>
      <c r="B28" s="135" t="s">
        <v>194</v>
      </c>
      <c r="C28" s="136"/>
      <c r="D28" s="131" t="s">
        <v>195</v>
      </c>
      <c r="E28" s="132"/>
      <c r="F28" s="132"/>
      <c r="G28" s="162" t="str">
        <f>IF('VERİ GİRİŞİ'!F13="EVET","Uygun","Risk")</f>
        <v>Uygun</v>
      </c>
      <c r="H28" s="3"/>
    </row>
    <row r="29" spans="1:8" ht="22" customHeight="1" x14ac:dyDescent="0.55000000000000004">
      <c r="A29" s="41" t="s">
        <v>196</v>
      </c>
      <c r="B29" s="125" t="s">
        <v>197</v>
      </c>
      <c r="C29" s="93"/>
      <c r="D29" s="124" t="s">
        <v>198</v>
      </c>
      <c r="E29" s="93"/>
      <c r="F29" s="93"/>
      <c r="G29" s="163" t="str">
        <f>IF(E9&gt;0,"Uygun","Eksik")</f>
        <v>Eksik</v>
      </c>
      <c r="H29" s="8"/>
    </row>
    <row r="30" spans="1:8" ht="22" customHeight="1" x14ac:dyDescent="0.55000000000000004">
      <c r="A30" s="41" t="s">
        <v>199</v>
      </c>
      <c r="B30" s="140" t="s">
        <v>200</v>
      </c>
      <c r="C30" s="85"/>
      <c r="D30" s="126" t="s">
        <v>201</v>
      </c>
      <c r="E30" s="85"/>
      <c r="F30" s="85"/>
      <c r="G30" s="162" t="str">
        <f>IF(E6&lt;&gt;"","Uygun","Eksik")</f>
        <v>Uygun</v>
      </c>
      <c r="H30" s="3"/>
    </row>
    <row r="31" spans="1:8" ht="22" customHeight="1" x14ac:dyDescent="0.55000000000000004">
      <c r="A31" s="41" t="s">
        <v>202</v>
      </c>
      <c r="B31" s="125" t="s">
        <v>203</v>
      </c>
      <c r="C31" s="93"/>
      <c r="D31" s="124" t="s">
        <v>204</v>
      </c>
      <c r="E31" s="93"/>
      <c r="F31" s="93"/>
      <c r="G31" s="163" t="str">
        <f>IF(COUNTA('VERİ GİRİŞİ'!A39:A46)&gt;0,"Uygun","Eksik")</f>
        <v>Eksik</v>
      </c>
      <c r="H31" s="8"/>
    </row>
    <row r="32" spans="1:8" ht="22" customHeight="1" x14ac:dyDescent="0.55000000000000004">
      <c r="A32" s="41" t="s">
        <v>205</v>
      </c>
      <c r="B32" s="140" t="s">
        <v>206</v>
      </c>
      <c r="C32" s="85"/>
      <c r="D32" s="126" t="s">
        <v>23</v>
      </c>
      <c r="E32" s="85"/>
      <c r="F32" s="85"/>
      <c r="G32" s="162" t="str">
        <f>IF('VERİ GİRİŞİ'!F14="EVET","Uygun","Eksik")</f>
        <v>Uygun</v>
      </c>
      <c r="H32" s="3"/>
    </row>
  </sheetData>
  <mergeCells count="41">
    <mergeCell ref="B32:C32"/>
    <mergeCell ref="F7:H7"/>
    <mergeCell ref="D21:F21"/>
    <mergeCell ref="B30:C30"/>
    <mergeCell ref="F6:H6"/>
    <mergeCell ref="B26:C26"/>
    <mergeCell ref="D31:F31"/>
    <mergeCell ref="D22:F22"/>
    <mergeCell ref="A19:H19"/>
    <mergeCell ref="D29:F29"/>
    <mergeCell ref="B29:C29"/>
    <mergeCell ref="A6:D6"/>
    <mergeCell ref="D23:F23"/>
    <mergeCell ref="A2:H2"/>
    <mergeCell ref="B28:C28"/>
    <mergeCell ref="A7:D7"/>
    <mergeCell ref="D26:F26"/>
    <mergeCell ref="A4:H4"/>
    <mergeCell ref="F10:H10"/>
    <mergeCell ref="B24:C24"/>
    <mergeCell ref="D32:F32"/>
    <mergeCell ref="F8:H8"/>
    <mergeCell ref="B22:C22"/>
    <mergeCell ref="B31:C31"/>
    <mergeCell ref="A1:H1"/>
    <mergeCell ref="B27:C27"/>
    <mergeCell ref="A10:D10"/>
    <mergeCell ref="A9:D9"/>
    <mergeCell ref="B21:C21"/>
    <mergeCell ref="D28:F28"/>
    <mergeCell ref="B23:C23"/>
    <mergeCell ref="F9:H9"/>
    <mergeCell ref="D30:F30"/>
    <mergeCell ref="D25:F25"/>
    <mergeCell ref="D24:F24"/>
    <mergeCell ref="A12:H12"/>
    <mergeCell ref="A5:D5"/>
    <mergeCell ref="A8:D8"/>
    <mergeCell ref="F5:H5"/>
    <mergeCell ref="D27:F27"/>
    <mergeCell ref="B25:C25"/>
  </mergeCells>
  <conditionalFormatting sqref="E5">
    <cfRule type="containsText" dxfId="1" priority="1" operator="containsText" text="OK">
      <formula>NOT(ISERROR(SEARCH("OK",E5)))</formula>
    </cfRule>
    <cfRule type="containsText" dxfId="0" priority="2" operator="containsText" text="HATA">
      <formula>NOT(ISERROR(SEARCH("HATA",E5)))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6" customWidth="1"/>
    <col min="4" max="4" width="22" customWidth="1"/>
    <col min="5" max="7" width="12" customWidth="1"/>
    <col min="8" max="8" width="16" customWidth="1"/>
  </cols>
  <sheetData>
    <row r="1" spans="1:8" ht="28" customHeight="1" x14ac:dyDescent="0.55000000000000004">
      <c r="A1" s="147" t="s">
        <v>207</v>
      </c>
      <c r="B1" s="87"/>
      <c r="C1" s="87"/>
      <c r="D1" s="87"/>
      <c r="E1" s="87"/>
      <c r="F1" s="87"/>
      <c r="G1" s="87"/>
      <c r="H1" s="87"/>
    </row>
    <row r="2" spans="1:8" ht="20.05" customHeight="1" x14ac:dyDescent="0.55000000000000004">
      <c r="A2" s="146" t="s">
        <v>208</v>
      </c>
      <c r="B2" s="100"/>
      <c r="C2" s="100"/>
      <c r="D2" s="100"/>
      <c r="E2" s="100"/>
      <c r="F2" s="100"/>
      <c r="G2" s="100"/>
      <c r="H2" s="100"/>
    </row>
    <row r="4" spans="1:8" ht="26.05" customHeight="1" x14ac:dyDescent="0.55000000000000004">
      <c r="A4" s="86" t="s">
        <v>209</v>
      </c>
      <c r="B4" s="87"/>
      <c r="C4" s="87"/>
      <c r="D4" s="87"/>
      <c r="E4" s="87"/>
      <c r="F4" s="87"/>
      <c r="G4" s="87"/>
      <c r="H4" s="87"/>
    </row>
    <row r="5" spans="1:8" ht="18" customHeight="1" x14ac:dyDescent="0.55000000000000004">
      <c r="A5" s="50"/>
      <c r="B5" s="50" t="s">
        <v>210</v>
      </c>
      <c r="C5" s="50" t="s">
        <v>211</v>
      </c>
      <c r="D5" s="50" t="s">
        <v>212</v>
      </c>
      <c r="E5" s="50" t="s">
        <v>213</v>
      </c>
      <c r="F5" s="50" t="s">
        <v>214</v>
      </c>
      <c r="G5" s="50"/>
      <c r="H5" s="50" t="s">
        <v>215</v>
      </c>
    </row>
    <row r="6" spans="1:8" ht="24" customHeight="1" x14ac:dyDescent="0.55000000000000004">
      <c r="A6" s="51" t="s">
        <v>213</v>
      </c>
      <c r="B6" s="51" t="s">
        <v>216</v>
      </c>
      <c r="C6" s="51" t="s">
        <v>217</v>
      </c>
      <c r="D6" s="51" t="s">
        <v>218</v>
      </c>
      <c r="E6" s="51" t="s">
        <v>219</v>
      </c>
      <c r="F6" s="51" t="s">
        <v>220</v>
      </c>
      <c r="G6" s="52"/>
      <c r="H6" s="51" t="s">
        <v>54</v>
      </c>
    </row>
    <row r="7" spans="1:8" ht="24" customHeight="1" x14ac:dyDescent="0.55000000000000004">
      <c r="A7" s="53" t="s">
        <v>214</v>
      </c>
      <c r="B7" s="53" t="s">
        <v>216</v>
      </c>
      <c r="C7" s="53" t="s">
        <v>221</v>
      </c>
      <c r="D7" s="53" t="s">
        <v>222</v>
      </c>
      <c r="E7" s="53" t="s">
        <v>220</v>
      </c>
      <c r="F7" s="53" t="s">
        <v>219</v>
      </c>
      <c r="G7" s="54"/>
      <c r="H7" s="53" t="s">
        <v>223</v>
      </c>
    </row>
    <row r="8" spans="1:8" ht="26.05" customHeight="1" x14ac:dyDescent="0.55000000000000004">
      <c r="A8" s="86" t="s">
        <v>224</v>
      </c>
      <c r="B8" s="87"/>
      <c r="C8" s="87"/>
      <c r="D8" s="87"/>
      <c r="E8" s="87"/>
      <c r="F8" s="87"/>
      <c r="G8" s="87"/>
      <c r="H8" s="87"/>
    </row>
    <row r="9" spans="1:8" ht="22" customHeight="1" x14ac:dyDescent="0.55000000000000004">
      <c r="A9" s="141" t="s">
        <v>225</v>
      </c>
      <c r="B9" s="81"/>
      <c r="C9" s="81"/>
      <c r="D9" s="81"/>
      <c r="E9" s="81"/>
      <c r="F9" s="81"/>
      <c r="G9" s="81"/>
      <c r="H9" s="81"/>
    </row>
    <row r="10" spans="1:8" ht="18" customHeight="1" x14ac:dyDescent="0.55000000000000004">
      <c r="A10" s="50"/>
      <c r="B10" s="50" t="s">
        <v>210</v>
      </c>
      <c r="C10" s="50" t="s">
        <v>211</v>
      </c>
      <c r="D10" s="50" t="s">
        <v>212</v>
      </c>
      <c r="E10" s="50" t="s">
        <v>213</v>
      </c>
      <c r="F10" s="50" t="s">
        <v>214</v>
      </c>
      <c r="G10" s="50"/>
      <c r="H10" s="50" t="s">
        <v>215</v>
      </c>
    </row>
    <row r="11" spans="1:8" ht="24" customHeight="1" x14ac:dyDescent="0.55000000000000004">
      <c r="A11" s="51" t="s">
        <v>213</v>
      </c>
      <c r="B11" s="51" t="s">
        <v>216</v>
      </c>
      <c r="C11" s="51" t="s">
        <v>217</v>
      </c>
      <c r="D11" s="51" t="s">
        <v>226</v>
      </c>
      <c r="E11" s="51" t="s">
        <v>227</v>
      </c>
      <c r="F11" s="51" t="s">
        <v>220</v>
      </c>
      <c r="G11" s="52"/>
      <c r="H11" s="51" t="s">
        <v>54</v>
      </c>
    </row>
    <row r="12" spans="1:8" ht="24" customHeight="1" x14ac:dyDescent="0.55000000000000004">
      <c r="A12" s="53" t="s">
        <v>214</v>
      </c>
      <c r="B12" s="53" t="s">
        <v>216</v>
      </c>
      <c r="C12" s="53" t="s">
        <v>228</v>
      </c>
      <c r="D12" s="53" t="s">
        <v>229</v>
      </c>
      <c r="E12" s="53" t="s">
        <v>220</v>
      </c>
      <c r="F12" s="53" t="s">
        <v>230</v>
      </c>
      <c r="G12" s="54"/>
      <c r="H12" s="53" t="s">
        <v>231</v>
      </c>
    </row>
    <row r="13" spans="1:8" ht="24" customHeight="1" x14ac:dyDescent="0.55000000000000004">
      <c r="A13" s="51" t="s">
        <v>214</v>
      </c>
      <c r="B13" s="51" t="s">
        <v>216</v>
      </c>
      <c r="C13" s="51" t="s">
        <v>232</v>
      </c>
      <c r="D13" s="51" t="s">
        <v>233</v>
      </c>
      <c r="E13" s="51" t="s">
        <v>220</v>
      </c>
      <c r="F13" s="51" t="s">
        <v>234</v>
      </c>
      <c r="G13" s="52"/>
      <c r="H13" s="51" t="s">
        <v>223</v>
      </c>
    </row>
    <row r="14" spans="1:8" ht="20.05" customHeight="1" x14ac:dyDescent="0.55000000000000004">
      <c r="A14" s="141" t="s">
        <v>235</v>
      </c>
      <c r="B14" s="81"/>
      <c r="C14" s="81"/>
      <c r="D14" s="81"/>
      <c r="E14" s="81"/>
      <c r="F14" s="81"/>
      <c r="G14" s="81"/>
      <c r="H14" s="81"/>
    </row>
    <row r="15" spans="1:8" ht="26.05" customHeight="1" x14ac:dyDescent="0.55000000000000004">
      <c r="A15" s="144" t="s">
        <v>236</v>
      </c>
      <c r="B15" s="145"/>
      <c r="C15" s="145"/>
      <c r="D15" s="145"/>
      <c r="E15" s="145"/>
      <c r="F15" s="145"/>
      <c r="G15" s="145"/>
      <c r="H15" s="145"/>
    </row>
    <row r="16" spans="1:8" ht="18" customHeight="1" x14ac:dyDescent="0.55000000000000004">
      <c r="A16" s="50"/>
      <c r="B16" s="50" t="s">
        <v>210</v>
      </c>
      <c r="C16" s="50" t="s">
        <v>211</v>
      </c>
      <c r="D16" s="50" t="s">
        <v>212</v>
      </c>
      <c r="E16" s="50" t="s">
        <v>213</v>
      </c>
      <c r="F16" s="50" t="s">
        <v>214</v>
      </c>
      <c r="G16" s="50"/>
      <c r="H16" s="50" t="s">
        <v>215</v>
      </c>
    </row>
    <row r="17" spans="1:8" ht="20.05" customHeight="1" x14ac:dyDescent="0.55000000000000004">
      <c r="A17" s="51" t="s">
        <v>237</v>
      </c>
      <c r="B17" s="51" t="s">
        <v>238</v>
      </c>
      <c r="C17" s="51" t="s">
        <v>152</v>
      </c>
      <c r="D17" s="51" t="s">
        <v>239</v>
      </c>
      <c r="E17" s="51" t="s">
        <v>220</v>
      </c>
      <c r="F17" s="51" t="s">
        <v>240</v>
      </c>
      <c r="G17" s="52"/>
      <c r="H17" s="51" t="s">
        <v>241</v>
      </c>
    </row>
    <row r="18" spans="1:8" ht="20.05" customHeight="1" x14ac:dyDescent="0.55000000000000004">
      <c r="A18" s="53" t="s">
        <v>242</v>
      </c>
      <c r="B18" s="53" t="s">
        <v>238</v>
      </c>
      <c r="C18" s="53" t="s">
        <v>152</v>
      </c>
      <c r="D18" s="53" t="s">
        <v>243</v>
      </c>
      <c r="E18" s="53" t="s">
        <v>220</v>
      </c>
      <c r="F18" s="53" t="s">
        <v>244</v>
      </c>
      <c r="G18" s="54"/>
      <c r="H18" s="53" t="s">
        <v>245</v>
      </c>
    </row>
    <row r="19" spans="1:8" ht="20.05" customHeight="1" x14ac:dyDescent="0.55000000000000004">
      <c r="A19" s="51" t="s">
        <v>246</v>
      </c>
      <c r="B19" s="51" t="s">
        <v>238</v>
      </c>
      <c r="C19" s="51" t="s">
        <v>152</v>
      </c>
      <c r="D19" s="51" t="s">
        <v>247</v>
      </c>
      <c r="E19" s="51" t="s">
        <v>220</v>
      </c>
      <c r="F19" s="51" t="s">
        <v>248</v>
      </c>
      <c r="G19" s="52"/>
      <c r="H19" s="51" t="s">
        <v>249</v>
      </c>
    </row>
    <row r="20" spans="1:8" ht="20.05" customHeight="1" x14ac:dyDescent="0.55000000000000004">
      <c r="A20" s="53" t="s">
        <v>250</v>
      </c>
      <c r="B20" s="53" t="s">
        <v>251</v>
      </c>
      <c r="C20" s="53" t="s">
        <v>152</v>
      </c>
      <c r="D20" s="53" t="s">
        <v>252</v>
      </c>
      <c r="E20" s="53" t="s">
        <v>220</v>
      </c>
      <c r="F20" s="53" t="s">
        <v>253</v>
      </c>
      <c r="G20" s="54"/>
      <c r="H20" s="53" t="s">
        <v>223</v>
      </c>
    </row>
    <row r="21" spans="1:8" ht="36" customHeight="1" x14ac:dyDescent="0.55000000000000004">
      <c r="A21" s="142" t="s">
        <v>254</v>
      </c>
      <c r="B21" s="143"/>
      <c r="C21" s="143"/>
      <c r="D21" s="143"/>
      <c r="E21" s="143"/>
      <c r="F21" s="143"/>
      <c r="G21" s="143"/>
      <c r="H21" s="143"/>
    </row>
  </sheetData>
  <mergeCells count="8">
    <mergeCell ref="A1:H1"/>
    <mergeCell ref="A8:H8"/>
    <mergeCell ref="A9:H9"/>
    <mergeCell ref="A4:H4"/>
    <mergeCell ref="A21:H21"/>
    <mergeCell ref="A15:H15"/>
    <mergeCell ref="A2:H2"/>
    <mergeCell ref="A14:H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8" ht="36" customHeight="1" x14ac:dyDescent="0.55000000000000004">
      <c r="A1" s="151" t="s">
        <v>255</v>
      </c>
      <c r="B1" s="87"/>
      <c r="C1" s="87"/>
      <c r="D1" s="87"/>
      <c r="E1" s="87"/>
      <c r="F1" s="87"/>
      <c r="G1" s="87"/>
      <c r="H1" s="87"/>
    </row>
    <row r="2" spans="1:8" ht="22" customHeight="1" x14ac:dyDescent="0.55000000000000004">
      <c r="A2" s="149" t="s">
        <v>256</v>
      </c>
      <c r="B2" s="150"/>
      <c r="C2" s="150"/>
      <c r="D2" s="150"/>
      <c r="E2" s="150"/>
      <c r="F2" s="150"/>
      <c r="G2" s="150"/>
      <c r="H2" s="150"/>
    </row>
    <row r="3" spans="1:8" ht="18" customHeight="1" x14ac:dyDescent="0.55000000000000004">
      <c r="A3" s="50" t="s">
        <v>257</v>
      </c>
      <c r="B3" s="50" t="s">
        <v>258</v>
      </c>
      <c r="C3" s="50" t="s">
        <v>259</v>
      </c>
      <c r="D3" s="50" t="s">
        <v>260</v>
      </c>
    </row>
    <row r="4" spans="1:8" ht="80.05" customHeight="1" x14ac:dyDescent="0.55000000000000004">
      <c r="A4" s="41" t="s">
        <v>261</v>
      </c>
      <c r="B4" s="44" t="s">
        <v>262</v>
      </c>
      <c r="C4" s="55" t="s">
        <v>263</v>
      </c>
      <c r="D4" s="56" t="s">
        <v>264</v>
      </c>
    </row>
    <row r="5" spans="1:8" ht="72" customHeight="1" x14ac:dyDescent="0.55000000000000004">
      <c r="A5" s="46" t="s">
        <v>265</v>
      </c>
      <c r="B5" s="42" t="s">
        <v>266</v>
      </c>
      <c r="C5" s="43" t="s">
        <v>267</v>
      </c>
      <c r="D5" s="57" t="s">
        <v>268</v>
      </c>
    </row>
    <row r="6" spans="1:8" ht="56.05" customHeight="1" x14ac:dyDescent="0.55000000000000004">
      <c r="A6" s="46" t="s">
        <v>269</v>
      </c>
      <c r="B6" s="58" t="s">
        <v>270</v>
      </c>
      <c r="C6" s="43" t="s">
        <v>271</v>
      </c>
      <c r="D6" s="59" t="s">
        <v>272</v>
      </c>
    </row>
    <row r="7" spans="1:8" ht="56.05" customHeight="1" x14ac:dyDescent="0.55000000000000004">
      <c r="A7" s="41" t="s">
        <v>273</v>
      </c>
      <c r="B7" s="44" t="s">
        <v>274</v>
      </c>
      <c r="C7" s="55" t="s">
        <v>275</v>
      </c>
      <c r="D7" s="56" t="s">
        <v>276</v>
      </c>
    </row>
    <row r="8" spans="1:8" ht="72" customHeight="1" x14ac:dyDescent="0.55000000000000004">
      <c r="A8" s="41" t="s">
        <v>277</v>
      </c>
      <c r="B8" s="45" t="s">
        <v>278</v>
      </c>
      <c r="C8" s="55" t="s">
        <v>279</v>
      </c>
      <c r="D8" s="60" t="s">
        <v>280</v>
      </c>
    </row>
    <row r="9" spans="1:8" ht="44.05" customHeight="1" x14ac:dyDescent="0.55000000000000004">
      <c r="A9" s="148" t="s">
        <v>281</v>
      </c>
      <c r="B9" s="90"/>
      <c r="C9" s="90"/>
      <c r="D9" s="90"/>
    </row>
  </sheetData>
  <mergeCells count="3">
    <mergeCell ref="A9:D9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54" t="s">
        <v>282</v>
      </c>
      <c r="B1" s="155"/>
      <c r="C1" s="155"/>
      <c r="D1" s="155"/>
      <c r="E1" s="155"/>
      <c r="F1" s="155"/>
    </row>
    <row r="2" spans="1:6" ht="22" customHeight="1" x14ac:dyDescent="0.55000000000000004">
      <c r="A2" s="152" t="s">
        <v>283</v>
      </c>
      <c r="B2" s="153"/>
      <c r="C2" s="153"/>
      <c r="D2" s="153"/>
      <c r="E2" s="153"/>
      <c r="F2" s="153"/>
    </row>
    <row r="3" spans="1:6" ht="5.05" customHeight="1" x14ac:dyDescent="0.55000000000000004">
      <c r="A3" s="1"/>
      <c r="B3" s="1"/>
      <c r="C3" s="1"/>
      <c r="D3" s="1"/>
      <c r="E3" s="1"/>
      <c r="F3" s="1"/>
    </row>
    <row r="4" spans="1:6" ht="36" customHeight="1" x14ac:dyDescent="0.55000000000000004">
      <c r="A4" s="160" t="s">
        <v>284</v>
      </c>
      <c r="B4" s="161"/>
      <c r="C4" s="161"/>
      <c r="D4" s="161"/>
      <c r="E4" s="161"/>
      <c r="F4" s="161"/>
    </row>
    <row r="5" spans="1:6" ht="18" customHeight="1" x14ac:dyDescent="0.55000000000000004">
      <c r="A5" s="50"/>
      <c r="B5" s="50" t="s">
        <v>285</v>
      </c>
      <c r="C5" s="50" t="s">
        <v>286</v>
      </c>
      <c r="D5" s="50" t="s">
        <v>43</v>
      </c>
      <c r="E5" s="50" t="s">
        <v>287</v>
      </c>
      <c r="F5" s="50"/>
    </row>
    <row r="6" spans="1:6" ht="32.049999999999997" customHeight="1" x14ac:dyDescent="0.55000000000000004">
      <c r="A6" s="5"/>
      <c r="B6" s="61" t="s">
        <v>288</v>
      </c>
      <c r="C6" s="62" t="s">
        <v>289</v>
      </c>
      <c r="D6" s="63" t="s">
        <v>290</v>
      </c>
      <c r="E6" s="64" t="s">
        <v>291</v>
      </c>
      <c r="F6" s="5"/>
    </row>
    <row r="7" spans="1:6" ht="40" customHeight="1" x14ac:dyDescent="0.55000000000000004">
      <c r="A7" s="5"/>
      <c r="B7" s="61" t="s">
        <v>292</v>
      </c>
      <c r="C7" s="62" t="s">
        <v>293</v>
      </c>
      <c r="D7" s="63" t="s">
        <v>294</v>
      </c>
      <c r="E7" s="64" t="s">
        <v>295</v>
      </c>
      <c r="F7" s="5"/>
    </row>
    <row r="8" spans="1:6" ht="32.049999999999997" customHeight="1" x14ac:dyDescent="0.55000000000000004">
      <c r="A8" s="5"/>
      <c r="B8" s="61" t="s">
        <v>296</v>
      </c>
      <c r="C8" s="62" t="s">
        <v>297</v>
      </c>
      <c r="D8" s="63" t="s">
        <v>298</v>
      </c>
      <c r="E8" s="64" t="s">
        <v>299</v>
      </c>
      <c r="F8" s="5"/>
    </row>
    <row r="9" spans="1:6" ht="32.049999999999997" customHeight="1" x14ac:dyDescent="0.55000000000000004">
      <c r="A9" s="5"/>
      <c r="B9" s="61" t="s">
        <v>300</v>
      </c>
      <c r="C9" s="62" t="s">
        <v>301</v>
      </c>
      <c r="D9" s="63" t="s">
        <v>302</v>
      </c>
      <c r="E9" s="64" t="s">
        <v>303</v>
      </c>
      <c r="F9" s="5"/>
    </row>
    <row r="10" spans="1:6" ht="28" customHeight="1" x14ac:dyDescent="0.55000000000000004">
      <c r="A10" s="5"/>
      <c r="B10" s="61" t="s">
        <v>304</v>
      </c>
      <c r="C10" s="62" t="s">
        <v>305</v>
      </c>
      <c r="D10" s="63" t="s">
        <v>306</v>
      </c>
      <c r="E10" s="64" t="s">
        <v>307</v>
      </c>
      <c r="F10" s="5"/>
    </row>
    <row r="11" spans="1:6" ht="5.05" customHeight="1" x14ac:dyDescent="0.55000000000000004">
      <c r="A11" s="1"/>
      <c r="B11" s="1"/>
      <c r="C11" s="1"/>
      <c r="D11" s="1"/>
      <c r="E11" s="1"/>
      <c r="F11" s="1"/>
    </row>
    <row r="12" spans="1:6" ht="36" customHeight="1" x14ac:dyDescent="0.55000000000000004">
      <c r="A12" s="158" t="s">
        <v>308</v>
      </c>
      <c r="B12" s="159"/>
      <c r="C12" s="159"/>
      <c r="D12" s="159"/>
      <c r="E12" s="159"/>
      <c r="F12" s="159"/>
    </row>
    <row r="13" spans="1:6" ht="18" customHeight="1" x14ac:dyDescent="0.55000000000000004">
      <c r="A13" s="50"/>
      <c r="B13" s="50" t="s">
        <v>285</v>
      </c>
      <c r="C13" s="50" t="s">
        <v>286</v>
      </c>
      <c r="D13" s="50" t="s">
        <v>43</v>
      </c>
      <c r="E13" s="50" t="s">
        <v>287</v>
      </c>
      <c r="F13" s="50"/>
    </row>
    <row r="14" spans="1:6" ht="28" customHeight="1" x14ac:dyDescent="0.55000000000000004">
      <c r="A14" s="65"/>
      <c r="B14" s="66" t="s">
        <v>309</v>
      </c>
      <c r="C14" s="67" t="s">
        <v>310</v>
      </c>
      <c r="D14" s="68" t="s">
        <v>311</v>
      </c>
      <c r="E14" s="69" t="s">
        <v>312</v>
      </c>
      <c r="F14" s="65"/>
    </row>
    <row r="15" spans="1:6" ht="28" customHeight="1" x14ac:dyDescent="0.55000000000000004">
      <c r="A15" s="65"/>
      <c r="B15" s="66" t="s">
        <v>313</v>
      </c>
      <c r="C15" s="67" t="s">
        <v>314</v>
      </c>
      <c r="D15" s="68" t="s">
        <v>315</v>
      </c>
      <c r="E15" s="69" t="s">
        <v>316</v>
      </c>
      <c r="F15" s="65"/>
    </row>
    <row r="16" spans="1:6" ht="5.05" customHeight="1" x14ac:dyDescent="0.55000000000000004">
      <c r="A16" s="1"/>
      <c r="B16" s="1"/>
      <c r="C16" s="1"/>
      <c r="D16" s="1"/>
      <c r="E16" s="1"/>
      <c r="F16" s="1"/>
    </row>
    <row r="17" spans="1:6" ht="36" customHeight="1" x14ac:dyDescent="0.55000000000000004">
      <c r="A17" s="156" t="s">
        <v>317</v>
      </c>
      <c r="B17" s="157"/>
      <c r="C17" s="157"/>
      <c r="D17" s="157"/>
      <c r="E17" s="157"/>
      <c r="F17" s="157"/>
    </row>
    <row r="18" spans="1:6" ht="18" customHeight="1" x14ac:dyDescent="0.55000000000000004">
      <c r="A18" s="70"/>
      <c r="B18" s="70" t="s">
        <v>285</v>
      </c>
      <c r="C18" s="70" t="s">
        <v>5</v>
      </c>
      <c r="D18" s="70" t="s">
        <v>318</v>
      </c>
      <c r="E18" s="70" t="s">
        <v>319</v>
      </c>
      <c r="F18" s="70"/>
    </row>
    <row r="19" spans="1:6" ht="32.049999999999997" customHeight="1" x14ac:dyDescent="0.55000000000000004">
      <c r="A19" s="49"/>
      <c r="B19" s="71" t="s">
        <v>320</v>
      </c>
      <c r="C19" s="58" t="s">
        <v>321</v>
      </c>
      <c r="D19" s="72" t="s">
        <v>322</v>
      </c>
      <c r="E19" s="73" t="s">
        <v>323</v>
      </c>
      <c r="F19" s="49"/>
    </row>
    <row r="20" spans="1:6" ht="32.049999999999997" customHeight="1" x14ac:dyDescent="0.55000000000000004">
      <c r="A20" s="49"/>
      <c r="B20" s="71" t="s">
        <v>324</v>
      </c>
      <c r="C20" s="58" t="s">
        <v>176</v>
      </c>
      <c r="D20" s="72" t="s">
        <v>325</v>
      </c>
      <c r="E20" s="73" t="s">
        <v>323</v>
      </c>
      <c r="F20" s="49"/>
    </row>
    <row r="21" spans="1:6" ht="32.049999999999997" customHeight="1" x14ac:dyDescent="0.55000000000000004">
      <c r="A21" s="49"/>
      <c r="B21" s="71" t="s">
        <v>326</v>
      </c>
      <c r="C21" s="58" t="s">
        <v>327</v>
      </c>
      <c r="D21" s="72" t="s">
        <v>328</v>
      </c>
      <c r="E21" s="73" t="s">
        <v>323</v>
      </c>
      <c r="F21" s="49"/>
    </row>
    <row r="22" spans="1:6" ht="32.049999999999997" customHeight="1" x14ac:dyDescent="0.55000000000000004">
      <c r="A22" s="65"/>
      <c r="B22" s="74" t="s">
        <v>329</v>
      </c>
      <c r="C22" s="75" t="s">
        <v>330</v>
      </c>
      <c r="D22" s="68" t="s">
        <v>331</v>
      </c>
      <c r="E22" s="76" t="s">
        <v>323</v>
      </c>
      <c r="F22" s="65"/>
    </row>
    <row r="23" spans="1:6" ht="32.049999999999997" customHeight="1" x14ac:dyDescent="0.55000000000000004">
      <c r="A23" s="65"/>
      <c r="B23" s="74" t="s">
        <v>332</v>
      </c>
      <c r="C23" s="75" t="s">
        <v>333</v>
      </c>
      <c r="D23" s="68" t="s">
        <v>334</v>
      </c>
      <c r="E23" s="76" t="s">
        <v>323</v>
      </c>
      <c r="F23" s="65"/>
    </row>
    <row r="24" spans="1:6" ht="32.049999999999997" customHeight="1" x14ac:dyDescent="0.55000000000000004">
      <c r="A24" s="65"/>
      <c r="B24" s="74" t="s">
        <v>335</v>
      </c>
      <c r="C24" s="75" t="s">
        <v>336</v>
      </c>
      <c r="D24" s="68" t="s">
        <v>337</v>
      </c>
      <c r="E24" s="76" t="s">
        <v>323</v>
      </c>
      <c r="F24" s="65"/>
    </row>
    <row r="25" spans="1:6" ht="32.049999999999997" customHeight="1" x14ac:dyDescent="0.55000000000000004">
      <c r="A25" s="65"/>
      <c r="B25" s="74" t="s">
        <v>338</v>
      </c>
      <c r="C25" s="75" t="s">
        <v>339</v>
      </c>
      <c r="D25" s="68" t="s">
        <v>340</v>
      </c>
      <c r="E25" s="76" t="s">
        <v>323</v>
      </c>
      <c r="F25" s="65"/>
    </row>
    <row r="26" spans="1:6" ht="32.049999999999997" customHeight="1" x14ac:dyDescent="0.55000000000000004">
      <c r="A26" s="48"/>
      <c r="B26" s="77" t="s">
        <v>341</v>
      </c>
      <c r="C26" s="47" t="s">
        <v>194</v>
      </c>
      <c r="D26" s="78" t="s">
        <v>342</v>
      </c>
      <c r="E26" s="79" t="s">
        <v>323</v>
      </c>
      <c r="F26" s="48"/>
    </row>
    <row r="27" spans="1:6" ht="32.049999999999997" customHeight="1" x14ac:dyDescent="0.55000000000000004">
      <c r="A27" s="65"/>
      <c r="B27" s="74" t="s">
        <v>343</v>
      </c>
      <c r="C27" s="75" t="s">
        <v>197</v>
      </c>
      <c r="D27" s="68" t="s">
        <v>198</v>
      </c>
      <c r="E27" s="76" t="s">
        <v>323</v>
      </c>
      <c r="F27" s="65"/>
    </row>
    <row r="28" spans="1:6" ht="32.049999999999997" customHeight="1" x14ac:dyDescent="0.55000000000000004">
      <c r="A28" s="65"/>
      <c r="B28" s="74" t="s">
        <v>344</v>
      </c>
      <c r="C28" s="75" t="s">
        <v>206</v>
      </c>
      <c r="D28" s="68" t="s">
        <v>23</v>
      </c>
      <c r="E28" s="76" t="s">
        <v>323</v>
      </c>
      <c r="F28" s="65"/>
    </row>
    <row r="29" spans="1:6" ht="5.05" customHeight="1" x14ac:dyDescent="0.55000000000000004">
      <c r="A29" s="1"/>
      <c r="B29" s="1"/>
      <c r="C29" s="1"/>
      <c r="D29" s="1"/>
      <c r="E29" s="1"/>
      <c r="F29" s="1"/>
    </row>
    <row r="30" spans="1:6" ht="52" customHeight="1" x14ac:dyDescent="0.55000000000000004">
      <c r="A30" s="148" t="s">
        <v>345</v>
      </c>
      <c r="B30" s="90"/>
      <c r="C30" s="90"/>
      <c r="D30" s="90"/>
      <c r="E30" s="90"/>
      <c r="F30" s="90"/>
    </row>
  </sheetData>
  <mergeCells count="6">
    <mergeCell ref="A30:F30"/>
    <mergeCell ref="A2:F2"/>
    <mergeCell ref="A1:F1"/>
    <mergeCell ref="A17:F17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2026-04-05T16:29:04Z</dcterms:created>
  <dcterms:modified xsi:type="dcterms:W3CDTF">2026-04-05T16:49:44Z</dcterms:modified>
</cp:coreProperties>
</file>