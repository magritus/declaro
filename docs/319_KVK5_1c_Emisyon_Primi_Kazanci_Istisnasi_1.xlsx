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EA693DB5-C85B-42A9-9752-10E9438E3FC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" l="1"/>
  <c r="C38" i="2"/>
  <c r="D20" i="2"/>
  <c r="D19" i="2"/>
  <c r="D18" i="2"/>
  <c r="D13" i="2"/>
  <c r="D12" i="2"/>
  <c r="D11" i="2"/>
  <c r="D10" i="2"/>
  <c r="D9" i="2"/>
  <c r="D8" i="2"/>
  <c r="D7" i="2"/>
  <c r="D6" i="2"/>
  <c r="D5" i="2"/>
  <c r="F63" i="1"/>
  <c r="C60" i="1"/>
  <c r="C59" i="1"/>
  <c r="C58" i="1"/>
  <c r="C57" i="1"/>
  <c r="C51" i="1"/>
  <c r="C50" i="1"/>
  <c r="C49" i="1"/>
  <c r="C43" i="1"/>
  <c r="C42" i="1"/>
  <c r="C41" i="1"/>
  <c r="C40" i="1"/>
  <c r="C39" i="1"/>
  <c r="E16" i="1"/>
</calcChain>
</file>

<file path=xl/sharedStrings.xml><?xml version="1.0" encoding="utf-8"?>
<sst xmlns="http://schemas.openxmlformats.org/spreadsheetml/2006/main" count="458" uniqueCount="371">
  <si>
    <t>319 – EMİSYON PRİMİ KAZANCI İSTİSNASI | KVK Md.5/1-ç | YMM TASDİK ÇALIŞMA KÂĞIDI</t>
  </si>
  <si>
    <t>KVK Md.5/1-ç | YALNIZCA Anonim Şirket | Kendi Paylarının Primli İhracı | %100 Tam İstisna | Zarar Olsa Dahi İndirilecek — Beyanname Satır 319 | YİAKV'den DÜŞÜLEBİLİR</t>
  </si>
  <si>
    <t xml:space="preserve">  ★ KRİTİK BEYANNAME TEKNİĞİ: Emisyon primi 520 hesabına gider — gelir tablosuna GİRMEZ — ticari karda YOKTUR. Bu nedenle: (1) Önce KKEG olarak matrah artar, (2) Ardından 319 ile düşülür → Net vergi etkisi SIFIR. Bu iki işlem ZORUNLU ve EŞZAMANLI olmalıdır.</t>
  </si>
  <si>
    <t xml:space="preserve">  KAPSAM DIŞI: AŞ'nin başkasına ait hisseleri elden çıkarmasından sağlanan kazanç (5/1-e/c). Sermaye azaltımı sırasında iptal edilen payların bedeli. Kâr dağıtımından kaynaklanan işlemler.</t>
  </si>
  <si>
    <t>A0. KAPSAM VE NİTELİK UYGUNLUK ÖN KONTROLÜ</t>
  </si>
  <si>
    <t>Kontrol Sorusu</t>
  </si>
  <si>
    <t>Yanıt</t>
  </si>
  <si>
    <t>YMM Tasdik Notu</t>
  </si>
  <si>
    <t>A0.1  ★ İstisna kullanan kurum ANONİM ŞİRKET mi?</t>
  </si>
  <si>
    <t>EVET</t>
  </si>
  <si>
    <t>KVK 5/1-ç'de 'anonim şirketlerin' ifadesi açık hükümdür. Ltd.Şti. için bu madde kapsamında açık bir istisna hükmü yoktur; tartışmalıdır. Ticaret sicil belgesi zorunludur.</t>
  </si>
  <si>
    <t>A0.2  ★ İstisna şirketin KENDİ paylarının primli ihracından mı? (Başkasına ait hisse satışı değil)</t>
  </si>
  <si>
    <t>TEMEL KAPSAM SINIRI: AŞ'nin kendi hisselerini primli ihraç etmesi. Başkasına ait hisseleri satmak → 5/1-c veya 5/1-e. Pay senedi + sermaye artırım tescili ile belgelenmeli.</t>
  </si>
  <si>
    <t>A0.3  Pay ihracı kuruluş veya sermaye artırımı kapsamında mı?</t>
  </si>
  <si>
    <t>KVK 5/1-ç: 'Kuruluşlarında VEYA sermayelerini artırdıkları sırada' ifadesi zorunludur. Sonradan çıkarılan primli paylar (sermaye artırımı olmaksızın) kapsam dışı tartışmalıdır.</t>
  </si>
  <si>
    <t>A0.4  Satış bedeli itibari değerin ÜSTÜNDE mi? (Gerçek primli ihraç)</t>
  </si>
  <si>
    <t>Emisyon primi = Satış Bedeli − İtibari Değer &gt; 0 olmalıdır. İtibari değere eşit veya altında ihraç → 319 istisnası uygulanmaz. C bölümündeki C.5 formülü ile kontrol edin.</t>
  </si>
  <si>
    <t>A0.5  ★ 520 hesabı kullanıldı mı? Emisyon primi gelir tablosuna GİRMEDİ mi?</t>
  </si>
  <si>
    <t>KRİTİK MUHASEBE: Emisyon primi 520 (Hisse Senedi İhraç Primleri) hesabına kaydedilmelidir. Gelir tablosuna GİRMEMELİDİR. 520 yerine 649 veya 679'a kaydedilmişse muhasebe hatası var.</t>
  </si>
  <si>
    <t>A0.6  ★ KKEG ilavesi yapıldı mı? (519 satırı — 319 ile birlikte ZORUNLU)</t>
  </si>
  <si>
    <t>KRİTİK BEYANNAME TEKNİĞİ: 520'ye giden tutar gelir tablosuna girmediğinden önce KKEG olarak matrah artırılmalı (519 satırı), ardından 319 ile düşülmelidir. KKEG yapılmadan sadece 319 yazılırsa beyanname HATALIDIR.</t>
  </si>
  <si>
    <t>A0.7  NSA (KVK 10/1-ı) hesabında emisyon primi tescil edilmeyen kısma DÂHİL EDİLMEDİ mi?</t>
  </si>
  <si>
    <t>Emisyon primleri nakdi sermaye artışı indirim (NSA) hesabında dikkate ALINMAZ. Sadece tescil edilen sermaye artışı NSA'ya girer. NSA hesaplama tablosunda kontrol edilmelidir.</t>
  </si>
  <si>
    <t>A0.8  YMM Tasdik Raporu gereksinimi değerlendirildi mi? (49 No.lu Tebliğ)</t>
  </si>
  <si>
    <t>49 No.lu Tebliğ (30.12.2025): Tek satır &gt;=500.000 TL veya toplam &gt;=1.000.000 TL → YMM raporu. Tam tasdik sözleşmesi olanlar ayrıca rapor düzenlemez.</t>
  </si>
  <si>
    <t>A0.9  Tasdik Uygunluk Sonucu (A0.1-A0.8 tümü)</t>
  </si>
  <si>
    <t>★ A0.2 (kendi payı), A0.5 (520 hesabı), A0.6 (KKEG zorunlu) kritik.</t>
  </si>
  <si>
    <t>A. GENEL BİLGİLER</t>
  </si>
  <si>
    <t>İstisna Kullanan Kurum (Anonim Şirket)</t>
  </si>
  <si>
    <t>Anonim şirket olmalı — tam unvan</t>
  </si>
  <si>
    <t>Vergi Kimlik Numarası</t>
  </si>
  <si>
    <t>10 haneli VKN</t>
  </si>
  <si>
    <t>İşlemin Türü</t>
  </si>
  <si>
    <t>Kuruluş / Sermaye Artırımı</t>
  </si>
  <si>
    <t>Primli Pay İhraç Tarihi</t>
  </si>
  <si>
    <t>GG.AA.YYYY</t>
  </si>
  <si>
    <t>Hesap Dönemi</t>
  </si>
  <si>
    <t>Örn: 01.01.2025 – 31.12.2025</t>
  </si>
  <si>
    <t>Genel KV Oranı (%)</t>
  </si>
  <si>
    <t>2025: %25 | Finans sektörü: %30</t>
  </si>
  <si>
    <t>B. MÜKELLEF VE KAPSAM KONTROLÜ — Üç Temel Şart</t>
  </si>
  <si>
    <t xml:space="preserve">  5/1-ç istisnası üç temel şartın KÜMÜLATİF sağlanmasını gerektirir: (1) Anonim şirket, (2) Kendi paylarının ihracı, (3) Kuruluş veya sermaye artırımı.</t>
  </si>
  <si>
    <t>Şart</t>
  </si>
  <si>
    <t>Durum</t>
  </si>
  <si>
    <t>Açıklama / YMM Notu</t>
  </si>
  <si>
    <t>B.1  ★ Anonim Şirket Statüsü</t>
  </si>
  <si>
    <t>KVK 5/1-ç: 'Anonim şirketlerin' — açık hüküm. Ltd.Şti. için bu kapsamda açık hüküm yoktur. Ticaret sicil belgesi zorunludur.</t>
  </si>
  <si>
    <t>B.2  ★ Şirketin KENDİ Paylarının Primli İhracı</t>
  </si>
  <si>
    <t>AŞ'nin başkasına ait hisseleri satması → Bu istisna KULLANILAMAZ. Pay senedi / ilmühaber + sermaye artırım tescil belgesi ile belgelenmelidir.</t>
  </si>
  <si>
    <t>B.3  Kuruluş veya Sermaye Artırımı Kapsamında İhraç</t>
  </si>
  <si>
    <t>Genel kurul / yönetim kurulu (kayıtlı sermaye) kararıyla gerçekleşen primli ihraç. Ticaret siciline tescil zorunludur.</t>
  </si>
  <si>
    <t>C. EMİSYON PRİMİ HESABI — İstisna Tutarı</t>
  </si>
  <si>
    <t xml:space="preserve">  EMİSYON PRİMİ = (Pay Başına Satış Bedeli − Pay Başına İtibari Değer) × İhraç Edilen Pay Adedi. Satış bedeli itibari değerin ÜSTÜNDE olmalıdır. Prim tutarı 520 (Hisse Senedi İhraç Primleri) hesabına kaydedilir — gelir tablosuna GİRMEZ.</t>
  </si>
  <si>
    <t>Hesap Kalemi</t>
  </si>
  <si>
    <t>Değer / Tutar (TL)</t>
  </si>
  <si>
    <t>Açıklama</t>
  </si>
  <si>
    <t>YMM Notu</t>
  </si>
  <si>
    <t>C.1  İhraç Edilen Pay Adedi</t>
  </si>
  <si>
    <t>Primli olarak satılan toplam pay adedi</t>
  </si>
  <si>
    <t>GK/YK kararındaki pay adediyle uyumlu olmalı</t>
  </si>
  <si>
    <t>C.2  Pay Başına İtibari Değer (TL)</t>
  </si>
  <si>
    <t>Hisse senedinin üzerinde yazılı nominal değer (örn: 1 TL)</t>
  </si>
  <si>
    <t>Ticaret sicili tescilindeki nominal değer esas alınır</t>
  </si>
  <si>
    <t>C.3  Pay Başına Satış Bedeli / İhraç Fiyatı (TL)</t>
  </si>
  <si>
    <t>Primli ihraç fiyatı — itibari değerin ÜSTÜNDE olmali</t>
  </si>
  <si>
    <t>GK/YK kararında belirlenen ihraç fiyatı</t>
  </si>
  <si>
    <t>C.4  Pay Başına Emisyon Primi (C.3 − C.2)</t>
  </si>
  <si>
    <t>Birimin prim tutarı (pozitif olmalı)</t>
  </si>
  <si>
    <t>Negatif ise istisna uygulanamaz</t>
  </si>
  <si>
    <t>C.5  Toplam Nominal Bedel (C.1 × C.2)</t>
  </si>
  <si>
    <t>Sermaye artırımının tescile esas kısmı</t>
  </si>
  <si>
    <t>501 Ödenmemiş Sermaye ve 500 Sermaye ile uyumlu</t>
  </si>
  <si>
    <t>C.6  Toplam Tahsil Edilen Bedel (C.1 × C.3)</t>
  </si>
  <si>
    <t>Nakden tahsil edilen toplam tutar</t>
  </si>
  <si>
    <t>102 Banka tahsilatı ile uyumlu olmalı</t>
  </si>
  <si>
    <t>C.7  EMİSYON PRİMİ = 319 İSTİSNA TUTARI (C.6 − C.5)</t>
  </si>
  <si>
    <t>Bu tutar KKEG ilavesi ve 319 satırıyla eşit olmalıdır</t>
  </si>
  <si>
    <t>C.8  TTK 519 Kanuni Yedek Akçe (Emisyon Priminden Ayrılacak Min. Tutar)</t>
  </si>
  <si>
    <t>TTK Md.519/2: Emisyon priminin tamamı kanuni yedek akçeye eklenmeli</t>
  </si>
  <si>
    <t>Giderler düşüldükten sonra kalan kısım yedek akçeye aktarılır</t>
  </si>
  <si>
    <t>D. İHRAÇ GİDERLERİ VE KVK 5/3 KKEG ANALİZİ</t>
  </si>
  <si>
    <t xml:space="preserve">  KVK 5/3: İstisna kazançlara ilişkin giderler istisna dışı kazançtan düşülemez. İhraç giderlerinin emisyon primine isabet eden kısmı KKEG'dir. Nominal bedele isabet eden kısım ise gider olarak indirilebilir.</t>
  </si>
  <si>
    <t>Gider Kalemi</t>
  </si>
  <si>
    <t>Tutar (TL)</t>
  </si>
  <si>
    <t>D.1  Toplam İhraç Giderleri (TL)</t>
  </si>
  <si>
    <t>Aracılık komisyonu, tescil harcı, noter, gazete ilanı, danışmanlık vb.</t>
  </si>
  <si>
    <t>Tüm ihraçla ilgili giderler — fatura bazında belgelenmelidir</t>
  </si>
  <si>
    <t>D.2  Emisyon Primine İsabet Eden Gider Oranı (%)</t>
  </si>
  <si>
    <t>Bu oran KKEG hesabında kullanılır</t>
  </si>
  <si>
    <t>D.3  Emisyon Primine İsabet Eden Giderler — KKEG</t>
  </si>
  <si>
    <t>KVK 5/3 + Danıştay emsal kararları: Bu tutarın KKEG olduğu açıktır</t>
  </si>
  <si>
    <t>D.4  İndirilebilir Gider (Nominal Bedele İsabet)</t>
  </si>
  <si>
    <t>KDV notu: Emisyon primine isabet eden KDV'nin indirimi de tartışmalıdır — KDVK 30/d</t>
  </si>
  <si>
    <t>E. ★ KRİTİK BEYANNAME TEKNİĞİ — KKEG İLAVESİ + 319 İSTİSNASI BİRLİKTE ZORUNLU</t>
  </si>
  <si>
    <t xml:space="preserve">  NEDEN BİRLİKTE OLMALI? Emisyon primi → 520 hesabı (öz kaynaklar) → Gelir tablosuna GİRMEZ → Ticari karda YOKTUR. Bu nedenle beyanname düzeltme mekanizması zorunludur: ÖNCE KKEG olarak matrah artırılır, SONRA 319 ile düşülür. İkisi EŞZAMANLI ve AYNI TUTAR olmak zorundadır. Sadece 319 yazılır, KKEG yapılmazsa → BEYANNAME HATALIDIR.</t>
  </si>
  <si>
    <t>Beyanname Adımı</t>
  </si>
  <si>
    <t>Beyanname Yeri</t>
  </si>
  <si>
    <t>E.1  ADIM 1 — Ticari Kâr (Bilanço Kârı)</t>
  </si>
  <si>
    <t>Emisyon primi burada YOK — 520 hesabına gitti, gelir tablosuna GİRMEDİ</t>
  </si>
  <si>
    <t>Bilanço — Ticari K/Z</t>
  </si>
  <si>
    <t>E.2  ADIM 2 — KKEG İLAVESİ: Emisyon Primi (= C.7)</t>
  </si>
  <si>
    <t>520'ye giden, gelir tablosuna girmeyen emisyon primi → KKEG olarak matrah artar</t>
  </si>
  <si>
    <t>KV Beyannamesi — KKEG Tablosu (519 Satırı)</t>
  </si>
  <si>
    <t>E.3  ADIM 3 — Mali Kâr (E.1 + E.2)</t>
  </si>
  <si>
    <t>Emisyon primi artık mali kara dahil edilmiş durumdadır</t>
  </si>
  <si>
    <t>KV Beyannamesi — Mali Kâr</t>
  </si>
  <si>
    <t>E.4  ADIM 4 — 319 İSTİSNA DÜŞÜMÜ (= C.7 — KKEG ile AYNI TUTAR)</t>
  </si>
  <si>
    <t>'Zarar Olsa Dahi İndirilecek' bölümü — Emisyon priminin TAMAMI istisna</t>
  </si>
  <si>
    <t>KV Beyannamesi — 319 Satırı</t>
  </si>
  <si>
    <t>E.5  ADIM 5 — NET VERGİ ETKİSİ (E.2 − E.4)</t>
  </si>
  <si>
    <t>SIFIR OLMALI: KKEG ile İstisna karşılıklı sıfırlar → Emisyon priminde KV ÖDENMEDİ</t>
  </si>
  <si>
    <t>Kontrol: SIFIR görülüyorsa doğru</t>
  </si>
  <si>
    <t>F. BEYANNAME 319 — İSTİSNA TUTARI SONUCU</t>
  </si>
  <si>
    <t>F.1  TOPLAM İSTİSNA → Beyanname Satır 319 (Zarar Olsa Dahi İndirilecek — C.7 ile Aynı)</t>
  </si>
  <si>
    <t>C.7 = E.4 = KKEG tutarı = 319 Satırı</t>
  </si>
  <si>
    <t xml:space="preserve">  YİAKV ve NSA NOTLARI: (1) YİAKV (KVK 32/C): Emisyon primi istisnası YİAKV matrahından DÜŞÜLEBİLİR (5/1-ç kapsamı). (2) NSA (KVK 10/1-ı): Emisyon primleri nakdi sermaye artışı indirim hesabına DAHİL EDİLMEZ — yalnızca tescil edilen sermaye artışı NSA'ya girer. (3) TTK 519: Emisyon priminin tamamı kanuni yedek akçeye eklenmeli.</t>
  </si>
  <si>
    <t>319 – EMİSYON PRİMİ KAZANCI | HESAPLAMALAR VE DENETİM KONTROL PANELİ</t>
  </si>
  <si>
    <t>KVK Md.5/1-ç | Anonim Şirket | Kendi Paylarının Primli İhracı | %100 İstisna | KKEG + 319 Zorunlu | YİAKV'den Düşülebilir</t>
  </si>
  <si>
    <t>A. TASDİK ÖZETİ — VERİ GİRİŞİNDEN OTOMATİK</t>
  </si>
  <si>
    <t>A0 Tasdik Uygunluğu</t>
  </si>
  <si>
    <t>A0.9 OK ise devam</t>
  </si>
  <si>
    <t>AŞ Şartı (B.1)</t>
  </si>
  <si>
    <t>EVET zorunlu</t>
  </si>
  <si>
    <t>İhraç Edilen Pay Adedi</t>
  </si>
  <si>
    <t>C.1 değeri</t>
  </si>
  <si>
    <t>Pay Başına Emisyon Primi (C.4)</t>
  </si>
  <si>
    <t>Pozitif olmali</t>
  </si>
  <si>
    <t>Toplam Nominal Bedel (C.5)</t>
  </si>
  <si>
    <t>Sermaye tescil tutarı</t>
  </si>
  <si>
    <t>Toplam Tahsilat (C.6)</t>
  </si>
  <si>
    <t>Banka ile uyumlu</t>
  </si>
  <si>
    <t>EMİSYON PRİMİ = 319 İSTİSNA (C.7)</t>
  </si>
  <si>
    <t>C.7 = E.2 KKEG = E.4 319</t>
  </si>
  <si>
    <t>İhraç Giderleri KKEG Kısmı (D.3)</t>
  </si>
  <si>
    <t>KVK 5/3 — matrahtan düşülemez</t>
  </si>
  <si>
    <t>E.5 Net Vergi Etkisi (SIFIR OLMALI)</t>
  </si>
  <si>
    <t>SIFIR ise KKEG+319 doğru</t>
  </si>
  <si>
    <t>B. BEYANNAME TEKNİĞİ DOĞRULAMA — KKEG + 319 ÇİFT KAYIT</t>
  </si>
  <si>
    <t xml:space="preserve">  KKEG tutarı (E.2) ile 319 tutarı (E.4) HER ZAMAN EŞİT OLMALIDIR. İkisi aynı emisyon primini temsil eder. E.5 (Net Etki) SIFIR vermezse beyanname hatalıdır.</t>
  </si>
  <si>
    <t>Kalem</t>
  </si>
  <si>
    <t>KKEG İlavesi (519 Satırı)</t>
  </si>
  <si>
    <t>KV Beyannamesi — KKEG Tablosu</t>
  </si>
  <si>
    <t>319 İstisnası</t>
  </si>
  <si>
    <t>Net Etki (SIFIR OLMALI)</t>
  </si>
  <si>
    <t>KKEG − 319 = 0 ✓</t>
  </si>
  <si>
    <t>C. DENETİM KONTROL LİSTESİ (K1–K11)</t>
  </si>
  <si>
    <t>Kontrol</t>
  </si>
  <si>
    <t>Açıklama ve Kanıt</t>
  </si>
  <si>
    <t>Sonuç</t>
  </si>
  <si>
    <t>YMM Aksiyonu</t>
  </si>
  <si>
    <t>K1</t>
  </si>
  <si>
    <t>★ Kurum Anonim Şirket mi? (KVK 5/1-ç açık hükmü)</t>
  </si>
  <si>
    <t>Ticaret sicil gazetesi — AŞ ibaresi zorunlu. Ltd için açık hüküm yoktur.</t>
  </si>
  <si>
    <t>Uygun / Eksik / Risk</t>
  </si>
  <si>
    <t>K2</t>
  </si>
  <si>
    <t>★ İstisna şirketin KENDİ paylarının primli ihracından mı?</t>
  </si>
  <si>
    <t>Pay senedi + sermaye artırım tescil belgesi. Başkasına ait hisse satışı → 5/1-e/c.</t>
  </si>
  <si>
    <t>K3</t>
  </si>
  <si>
    <t>Satış bedeli itibari değerin üstünde mi? (Gerçek prim var mı?)</t>
  </si>
  <si>
    <t>C.4 = C.3 − C.2 &gt; 0 olmalıdır. Negatif veya sıfır ise istisna uygulanamaz.</t>
  </si>
  <si>
    <t>K4</t>
  </si>
  <si>
    <t>★ 520 hesabı kullanıldı mı? Emisyon primi gelir tablosuna GİRMEDİ mi?</t>
  </si>
  <si>
    <t>Muhasebe: 102 Banka Borç / 501 Sermaye Alacak + 520 Alacak. 520 yerine 649/679'a kaydedilmişse hata.</t>
  </si>
  <si>
    <t>K5</t>
  </si>
  <si>
    <t>★ KKEG ilavesi yapıldı mı? (519 satırı — 319 ile aynı tutar)</t>
  </si>
  <si>
    <t>Beyanname KKEG tablosu (519 satırı): C.7 tutarında emisyon primi. Bu yapılmadan sadece 319 yazılırsa beyanname hatalıdır.</t>
  </si>
  <si>
    <t>K6</t>
  </si>
  <si>
    <t>★ 319 tutarı KKEG tutarıyla EŞİT mi? E.5 = 0 mi?</t>
  </si>
  <si>
    <t>HESAPLAMALAR B bölümündeki E.5 kontrol satırı SIFIR vermelidir. Fark varsa hesap hatası var.</t>
  </si>
  <si>
    <t>K7</t>
  </si>
  <si>
    <t>İhraç giderleri KVK 5/3 kapsamında doğru ayrıştırıldı mı?</t>
  </si>
  <si>
    <t>D.3 = Toplam Gider × (Emisyon Primi / Toplam Tahsilat). Bu kısım KKEG olarak beyannamede ayrıca eklenir.</t>
  </si>
  <si>
    <t>K8</t>
  </si>
  <si>
    <t>TTK 519 kanuni yedek akçe ayrımı yapıldı mı?</t>
  </si>
  <si>
    <t>Emisyon priminin (giderler düşüldükten sonra) tamamı kanuni yedek akçeye eklenmeli. Genel kurul kararı zorunludur.</t>
  </si>
  <si>
    <t>K9</t>
  </si>
  <si>
    <t>NSA (KVK 10/1-ı) hesabında emisyon primi tescil edilmeyen kısma dahil edilmedi mi?</t>
  </si>
  <si>
    <t>Emisyon primleri NSA hesabına girmez. NSA hesaplama tablosunda bu kontrol zorunludur.</t>
  </si>
  <si>
    <t>K10</t>
  </si>
  <si>
    <t>YİAKV matrahından 319 istisnası DÜŞÜLDܒ mü?</t>
  </si>
  <si>
    <t>Emisyon primi istisnası (319) YİAKV matrahından DÜŞÜLEBİLİR. YİAKV çalışma kâğıdında teyit edilmeli.</t>
  </si>
  <si>
    <t>K11</t>
  </si>
  <si>
    <t>Birleşme/devir/bölünmede emisyon primleri doğru aktarıldı mı?</t>
  </si>
  <si>
    <t>KVK 18,19,20 kapsamında devir/bölünmede emisyon primlerinin devralan şirkete aynen aktarılması vergi avantajını korur. Devir sözleşmesi + bilanço kontrolü zorunludur.</t>
  </si>
  <si>
    <t>D. BEYANNAME SATIR EŞLEŞTİRME</t>
  </si>
  <si>
    <t>Satır</t>
  </si>
  <si>
    <t>Tutar / Not</t>
  </si>
  <si>
    <t>319</t>
  </si>
  <si>
    <t>KVK 5/1-ç — Emisyon Primi | %100 İstisna | Zarar Olsa Dahi İndirilecek</t>
  </si>
  <si>
    <t>KKEG</t>
  </si>
  <si>
    <t>Aynı tutar KKEG tablosuna da girilmeli (519 satırı) — ZORUNLU EŞLİK</t>
  </si>
  <si>
    <t>NSA</t>
  </si>
  <si>
    <t>Dahil Edilmez</t>
  </si>
  <si>
    <t>KVK 10/1-ı NSA hesabına emisyon primleri girmez — sadece tescil edilen sermaye artar</t>
  </si>
  <si>
    <t>319 – EMİSYON PRİMİ KAZANCI | MUHASEBE KAYITLARI ÇALIŞMA KÂĞIDI</t>
  </si>
  <si>
    <t>KVK Md.5/1-ç | %100 Tam İstisna | 520 Hesabı | KKEG + 319 Zorunlu | TTK 519 Yedek Akçe</t>
  </si>
  <si>
    <t xml:space="preserve">  NOT: Rehber niteliğindedir. Şirkete özgü hesap planına göre uyarlanmalıdır. Emisyon primi gelir tablosuna GİRMEZ — 520 (Öz Kaynaklar) hesabına kaydedilir.</t>
  </si>
  <si>
    <t>KAYIT 1 — PRİMLİ PAY İHRACI (KENDİ PAYLARI — SERMAYE ARTIRIMI)</t>
  </si>
  <si>
    <t>Örnek: Nominal 1.500.000 TL sermaye artırımı, 500.000 TL emisyon primi → Toplam tahsilat 2.000.000 TL</t>
  </si>
  <si>
    <t>Tarih</t>
  </si>
  <si>
    <t>Hesap Adı / Kodu</t>
  </si>
  <si>
    <t>Muhasebe Notu</t>
  </si>
  <si>
    <t>Dr (TL)</t>
  </si>
  <si>
    <t>Kr (TL)</t>
  </si>
  <si>
    <t>Referans</t>
  </si>
  <si>
    <t>Dr</t>
  </si>
  <si>
    <t>İhraç tarihi</t>
  </si>
  <si>
    <t>102 Bankalar</t>
  </si>
  <si>
    <t>Toplam tahsilatın bankaya girişi (nominal + prim)</t>
  </si>
  <si>
    <t>2.000.000</t>
  </si>
  <si>
    <t>—</t>
  </si>
  <si>
    <t>Banka dekontu</t>
  </si>
  <si>
    <t>Kr</t>
  </si>
  <si>
    <t>501 Ödenmemiş Sermaye</t>
  </si>
  <si>
    <t>Taahhüt edilen sermaye artırımının kaydı</t>
  </si>
  <si>
    <t>1.500.000</t>
  </si>
  <si>
    <t>GK/YK kararı</t>
  </si>
  <si>
    <t>520 Hisse Senedi İhraç Primleri</t>
  </si>
  <si>
    <t>EMİSYON PRİMİ — Öz Kaynaklar altında (GELİR TABLOSUNA GİRMEZ!)</t>
  </si>
  <si>
    <t>500.000</t>
  </si>
  <si>
    <t>KVK 5/1-ç</t>
  </si>
  <si>
    <t>KRİTİK MUHASEBE NOTU: 520 hesabına kaydedilen emisyon primi GELİR TABLOSUNA GİRMEZ. Bu nedenle ticari karda görünmez. Tescil sonrası: 501 → 500 Sermaye aktarılır (Dr 501 / Kr 500).</t>
  </si>
  <si>
    <t>KAYIT 2 — İHRAÇ GİDERLERİ (KVK 5/3 KKEG AYIRIMI)</t>
  </si>
  <si>
    <t>Örnek: Toplam gider 100.000 TL, emisyon primi oranı %25 → KKEG: 25.000 TL, İndirilebilir: 75.000 TL</t>
  </si>
  <si>
    <t>Gider tarihi</t>
  </si>
  <si>
    <t>689 / 770 Genel Yönetim Giderleri</t>
  </si>
  <si>
    <t>Aracılık, tescil harcı, noter, gazete ilanı, hukuki vb.</t>
  </si>
  <si>
    <t>100.000</t>
  </si>
  <si>
    <t>Fatura</t>
  </si>
  <si>
    <t>Ödeme</t>
  </si>
  <si>
    <t>Beyanname</t>
  </si>
  <si>
    <t>KKEG: İstisna kısmına isabet eden gider (25.000 TL)</t>
  </si>
  <si>
    <t>KVK 5/3: Bu kısım KKEG — beyanname KKEG tablosuna eklenir. KDV'si de indirim konusu yapılamaz (KDVK 30/d).</t>
  </si>
  <si>
    <t>25.000</t>
  </si>
  <si>
    <t>KVK 5/3</t>
  </si>
  <si>
    <t>★ KAYIT 3 — KRİTİK BEYANNAME TEKNİĞİ (KKEG + 319 ZORUNLU EŞLİK)</t>
  </si>
  <si>
    <t xml:space="preserve">  BEYANNAME MEKANİZMASI — Emisyon priminin KV dışı tutulma yolu:
ADIM 1: Ticari Kâr hesaplanır. Emisyon primi 520'ye gittiğinden ticari karda YOKTUR.
ADIM 2: KKEG İLAVESİ (519 satırı): Emisyon primi tutarı beyannamede KKEG olarak matrahı artırır.
         → Bu adım olmadan sadece 319 yazılamaz!
ADIM 3: 319 İSTİSNA DÜŞÜMÜ: 'Zarar Olsa Dahi İndirilecek' bölümünde aynı tutar düşülür.
         → KKEG ile 319 HER ZAMAN EŞİT OLMALIDIR.
SONUÇ: KKEG ilavesi − 319 düşümü = SIFIR → Emisyon priminde KV ödenmez. ✓</t>
  </si>
  <si>
    <t>KAYIT 4 — TTK 519 KANUNİ YEDEK AKÇE AYRIMI</t>
  </si>
  <si>
    <t>Dönem sonu</t>
  </si>
  <si>
    <t>Emisyon priminin kanuni yedek akçeye aktarılması (giderler düşüldükten sonra)</t>
  </si>
  <si>
    <t>[Net Prim]</t>
  </si>
  <si>
    <t>TTK Md.519/2</t>
  </si>
  <si>
    <t>541 Yasal Yedekler (Kanuni Yedek Akçe)</t>
  </si>
  <si>
    <t>TTK 519: Emisyon priminin tamamı kanuni yedek akçeye eklenmeli</t>
  </si>
  <si>
    <t>GK kararı</t>
  </si>
  <si>
    <t>TTK Md.519/2: Emisyon primlerinin tamamı (giderler düşüldükten sonra) kanuni yedek akçeye eklenmeli. Bu aktarım için genel kurul kararı gerekebilir. Aktarım yapılmadan 520 bakiyesinde bırakmak TTK 519 ihlali riski taşır.</t>
  </si>
  <si>
    <t>319 – EMİSYON PRİMİ KAZANCI | DENETÇİ NOTLARI VE MESLEKİ DEĞERLENDİRME</t>
  </si>
  <si>
    <t>KVK Md.5/1-ç | Anonim Şirket | Kendi Paylarının Primli İhracı | %100 İstisna | KKEG+319 Zorunlu | YİAKV Düşülebilir | TTK 519 | NSA Dışında</t>
  </si>
  <si>
    <t>BÖLÜM 1 — YASAL DAYANAK VE TEMEL KAVRAMLAR</t>
  </si>
  <si>
    <t>Kod</t>
  </si>
  <si>
    <t>Konu</t>
  </si>
  <si>
    <t>Mesleki Değerlendirme</t>
  </si>
  <si>
    <t>Mevzuat</t>
  </si>
  <si>
    <t>N1</t>
  </si>
  <si>
    <t>KVK 5/1-ç — Kanun Metni ve Kapsam</t>
  </si>
  <si>
    <t>KVK Md.5/1-ç (Tam metin): 'Anonim şirketlerin kuruluşlarında veya sermayelerini artırdıkları sırada çıkardıkları payların bedelinin itibarî değeri aşan kısmı.'
EMİSYON PRİMİ = (Satış Bedeli − İtibari Değer) × Pay Adedi
İstisna: %100 Tam İstisna — Zarar olsa dahi indirilecek.
Muhasebe: 520 (Hisse Senedi İhraç Primleri) hesabına kaydedilir.
YMM notu: Beyanname 319. satırına yazılır.</t>
  </si>
  <si>
    <t>KVK Md.5/1-ç</t>
  </si>
  <si>
    <t>N2</t>
  </si>
  <si>
    <t>Kapsam Sınırları — Neyin İstisna OLMAYACAĞI</t>
  </si>
  <si>
    <t>KAPSAM DIŞI:
✗ AŞ'nin başkasına ait hisseleri satmasından sağlanan prim → 5/1-c veya 5/1-e kapsamı
✗ Sermaye azaltımı sırasında iptal edilen payların tutarı
✗ Kâr dağıtımından kaynaklanan işlemler
✗ İkincil piyasada hisse senedi alım-satımı (AŞ'nin kendi paylarını geri alıp satması tartışmalı)
✗ Borçlanma araçları ihraçlarındaki prim (tahvil primi — ayrı bir hüküm yoktur)
YMM notu: 'Kendi paylarının primli ihracı' ifadesi belge ile doğrulanmalıdır.</t>
  </si>
  <si>
    <t>KVK Md.5/1-ç | Danıştay içtihatları</t>
  </si>
  <si>
    <t>N3</t>
  </si>
  <si>
    <t>★ Beyanname Tekniği — KKEG + 319 Birlikte Zorunlu</t>
  </si>
  <si>
    <t>EMİSYON PRİMİNİN KV SİSTEMİNDEKİ YERİ:
1. Emisyon primi → 520 hesabına gider → Gelir tablosuna GİRMEZ
2. Ticari karda görünmez → Beyanname düzeltme mekanizması zorunlu
DOĞRU BEYANNAME AKIŞI:
a) KKEG ilavesi (519 satırı): 520'ye giden tutar KKEG olarak matrahı artırır
b) 319 istisnası: 'Zarar Olsa Dahi İndirilecek' bölümünde AYNI TUTAR düşülür
c) Net etki: SIFIR → Emisyon priminde KV ödenmez
HATA SENARYOSU: Sadece 319 yazılır, KKEG yapılmaz → Matrah yanlış → Tarhiyat riski!</t>
  </si>
  <si>
    <t>KVK Md.5/1-ç | GİB Özelgeleri | Danıştay</t>
  </si>
  <si>
    <t>N4</t>
  </si>
  <si>
    <t>KVK 5/3 — İhraç Giderleri KKEG Analizi</t>
  </si>
  <si>
    <t>KVK 5/3: İstisna kazançlara ilişkin giderler KKEG'dir.
İhraç giderlerinin emisyon primine isabet eden kısmı KKEG.
Oran = Emisyon Primi / Toplam Tahsilat.
Danıştay emsal kararı: İhraç giderlerinin KKEG sayılacağı teyit edilmiştir.
KDV: İstisna işleme ait giderlerin KDV'si KDVK 30/d kapsamında indirim konusu yapılamaz.
YMM notu: Gider ayrıştırma tablosu (D bölümü) tasdik dosyasına eklenmelidir.</t>
  </si>
  <si>
    <t>KVK Md.5/3 | KDVK Md.30/d | Danıştay</t>
  </si>
  <si>
    <t>BÖLÜM 2 — YMM TASDİK DEĞERLENDİRMESİ VE DİĞER ETKİLEŞİMLER</t>
  </si>
  <si>
    <t>N5</t>
  </si>
  <si>
    <t>TTK 519 Kanuni Yedek Akçe Zorunluluğu</t>
  </si>
  <si>
    <t>TTK Md.519/2: Emisyon primlerinin giderler düşüldükten sonra kalan kısmının TAMAMI kanuni yedek akçeye eklenmeli.
Genel kurul kararı gerekebilir.
520 bakiyesini yedek akçeye aktarmadan tutmak TTK 519 ihlali riski taşır.
YMM notu: TTK uyumu KVK 5/1-ç istisnasının koşulu olmasa da tasdik dosyasında TTK 519 uyumu teyit edilmelidir.</t>
  </si>
  <si>
    <t>N6</t>
  </si>
  <si>
    <t>YİAKV'den DÜŞÜLEBİLİR (5/1-ç Kapsamı)</t>
  </si>
  <si>
    <t>KVK 32/C kapsamındaki YİAKV hesabında emisyon primi istisnası (319) MATRAHTAN DÜŞÜLEBİLİR.
Bu, bazı diğer istisnalardan (5/1-c = 318 gibi) farklı bir durumdur.
YİAKV çalışma kâğıdında 319 tutarı matrahtan doğru biçimde düşülmelidir.
YMM notu: KPMG/7524 s.K. değerlendirmesi ve güncel GİB açıklamalarıyla teyit.</t>
  </si>
  <si>
    <t>KVK Md.32/C | YİAKV Tebliğleri</t>
  </si>
  <si>
    <t>N7</t>
  </si>
  <si>
    <t>NSA (KVK 10/1-ı) — Emisyon Primleri Dahil Edilmez</t>
  </si>
  <si>
    <t>Nakdi Sermaye Artışı İndirimi (NSA) hesabında EMİSYON PRİMLERİ dikkate ALINMAZ.
NSA'ya giren tutar: Ticaret siciline tescil edilen sermaye artışının nakdi kısmı.
Emisyon primleri tescil edilen sermayeye değil, 520 hesabına gider.
YMM notu: NSA hesaplama tablosunda emisyon priminin dahil edilmediği teyit edilmeli.</t>
  </si>
  <si>
    <t>KVK Md.10/1-ı | NSA Tebliğleri</t>
  </si>
  <si>
    <t>N8</t>
  </si>
  <si>
    <t>Birleşme/Devir/Bölünmede Emisyon Primleri</t>
  </si>
  <si>
    <t>KVK 18, 19, 20 kapsamında birleşme/devir/bölünmede:
Emisyon primlerinin devralan şirkete aynen aktarılması vergi avantajının devam etmesini sağlar.
Aksi halde devir bilançosunda emisyon priminin farklı işlenmesi vergi riski doğurabilir.
YMM notu: Devir/bölünme sözleşmesi + bilanço kontrolü zorunludur.</t>
  </si>
  <si>
    <t>KVK Md.18, 19, 20 | Danıştay</t>
  </si>
  <si>
    <t>N9</t>
  </si>
  <si>
    <t>49 No.lu Tebliğ — Tasdik Raporu + YMM Tasdik Dil Standardı</t>
  </si>
  <si>
    <t>49 No.lu Tebliğ (30.12.2025): &gt;=500.000 TL → YMM raporu. Tam tasdik → ayrıca rapor yok.
KULLANIN:
'...KVK 5/1-ç şartları sağlandığı ölçüde emisyon primi istisnası uygulanabilecektir'
'...KKEG ilavesi ve 319 istisna düşümünün birlikte uygulandığı doğrulanmalıdır'
KULLANMAYIN:
'...otomatik olarak istisna uygulanır' | '...sorunsuz' | '...tüm primler kapsam içindedir'
KRİTİK RİSK: KKEG yapılmadan sadece 319 → Tarhiyat.</t>
  </si>
  <si>
    <t>49 No.lu Tebliğ | SM-SMMM-YMM K. Md.12</t>
  </si>
  <si>
    <t xml:space="preserve">  ÖZELGE/DANIŞTAY: İzmir VDB (2011): Emisyon priminin KKEG + 319 tekniğiyle beyan edilmesi onaylanmıştır. Danıştay: İhraç giderlerinin KKEG sayıldığı teyit edilmiştir. Ltd şirketler için emisyon primi istisnasının uygulanabilirliği tartışmalıdır — özelge alınması tavsiye edilir.</t>
  </si>
  <si>
    <t>319 – EMİSYON PRİMİ KAZANCI | BELGE VE BİLGİ LİSTESİ | YMM TASDİK</t>
  </si>
  <si>
    <t>KVK Md.5/1-ç | Anonim Şirket | Kendi Paylarının Primli İhracı | %100 İstisna | 520 Hesabı | KKEG+319 Zorunlu | TTK 519 | YİAKV Düşülebilir | NSA Dışında</t>
  </si>
  <si>
    <t xml:space="preserve">  Kategori 1: Zorunlu belgeler. Kategori 2: Destekleyici. Kategori 3: YMM tasdik kontrol soruları (★ kritik).</t>
  </si>
  <si>
    <t>KATEGORİ 1 — ZORUNLU BELGELER  (Tamamı Mevcut Olmadan Tasdik Tamamlanmaz)</t>
  </si>
  <si>
    <t>No</t>
  </si>
  <si>
    <t>Belge / Bilgi Adı</t>
  </si>
  <si>
    <t>Detay ve YMM Kontrol Noktaları</t>
  </si>
  <si>
    <t>Temin Yeri</t>
  </si>
  <si>
    <t>1</t>
  </si>
  <si>
    <t>Anonim Şirket Statüsünü İspat Eden Belge</t>
  </si>
  <si>
    <t>KVK 5/1-ç açık hükmü: 'Anonim şirketlerin...' — AŞ statüsü zorunludur.
Ticaret sicil gazetesi veya güncel ticaret sicil tasdiknamesi.
YMM notu: Ltd şirketler için bu kapsamda açık hüküm yoktur. Tartışmalı durumlarda özelge alınması tavsiye edilir.</t>
  </si>
  <si>
    <t>Ticaret sicil gazetesi / MERSİS / Ticaret sicil tasdiknamesi</t>
  </si>
  <si>
    <t>2</t>
  </si>
  <si>
    <t>Primli Pay İhraç Kararı (GK veya YK Kararı)</t>
  </si>
  <si>
    <t>Genel kurul veya yönetim kurulu (kayıtlı sermaye sisteminde) kararı.
Primli ihraç fiyatı, itibari değer ve pay adedini açıkça göstermeli.
YMM notu: İhraç fiyatının itibari değeri aştığı GK/YK kararında görünmeli. Karar olmadan primli ihraç belgelenemez.</t>
  </si>
  <si>
    <t>GK/YK karar metni / Yönetim kurulu toplantı tutanağı</t>
  </si>
  <si>
    <t>3</t>
  </si>
  <si>
    <t>Sermaye Artırım Tescil Belgesi (Ticaret Sicili)</t>
  </si>
  <si>
    <t>Tescil edilen nominal sermaye artışı tutarı görünmeli.
Emisyon priminin tescil edilmediği (yalnızca nominal kısmın tescil edildiği) teyit edilmeli.
YMM notu: NSA hesabında tescil edilen tutar esas alınır — emisyon primi tescil edilmez.</t>
  </si>
  <si>
    <t>Türkiye Ticaret Sicili Gazetesi / MERSİS tescil çıktısı</t>
  </si>
  <si>
    <t>4</t>
  </si>
  <si>
    <t>520 Hesap Hareketi — Yevmiye ve Mizan</t>
  </si>
  <si>
    <t>102 Bankalar Borç / 501 Ödenmemiş Sermaye + 520 Alacak kaydı.
520 hesabına kaydedildiği ve gelir tablosuna GİRMEDİĞİ teyit edilmeli.
YMM notu: 520 yerine 649/679'a kaydedilmişse muhasebe hatası — düzeltme zorunlu.</t>
  </si>
  <si>
    <t>Yevmiye defteri + Mizan / 520 hesap ekstresi</t>
  </si>
  <si>
    <t>5</t>
  </si>
  <si>
    <t>KV Beyannamesi KKEG Tablosu (519 Satırı — Emisyon Primi)</t>
  </si>
  <si>
    <t>Emisyon priminin KKEG olarak beyanname matrahına eklendiği teyit edilmeli.
KKEG tutarı = C.7 (Emisyon Primi) ile eşit olmalıdır.
YMM notu: KKEG ilavesi yapılmadan sadece 319 yazılırsa beyanname HATALIDIR. Bu iki kaydın birlikte bulunması zorunludur.</t>
  </si>
  <si>
    <t>Onaylı KV beyannamesi — KKEG tablosu</t>
  </si>
  <si>
    <t>6</t>
  </si>
  <si>
    <t>KV Beyannamesi 319. Satır</t>
  </si>
  <si>
    <t>'Zarar Olsa Dahi İndirilecek' bölümünde 319 satırında gösterilmeli.
KKEG tutarıyla HER ZAMAN EŞİT olmali.
YMM notu: HESAPLAMALAR B bölümü E.5 (Net Etki) SIFIR vermelidir. Sıfır vermiyorsa hata var.</t>
  </si>
  <si>
    <t>Onaylı KV beyannamesi — 319. satır</t>
  </si>
  <si>
    <t>KATEGORİ 2 — DESTEKLEYİCİ BELGELER  (Duruma Göre Gereklidir)</t>
  </si>
  <si>
    <t>7</t>
  </si>
  <si>
    <t>İhraç Giderleri Listesi ve KVK 5/3 KKEG Analizi</t>
  </si>
  <si>
    <t>Aracılık komisyonu, tescil harcı, noter, gazete ilanı, danışmanlık vb. gider listesi.
D.3 hesabı: Emisyon primine isabet eden kısım KKEG.
KDV: İstisna kısma isabet eden KDV'nin indirimi tartışmalıdır (KDVK 30/d).
YMM notu: KKEG gider analizi yazılı olarak tasdik dosyasına eklenmelidir.</t>
  </si>
  <si>
    <t>Fatura + Oran hesaplama tablosu (D bölümü)</t>
  </si>
  <si>
    <t>8</t>
  </si>
  <si>
    <t>TTK 519 Kanuni Yedek Akçe Ayrım Belgesi</t>
  </si>
  <si>
    <t>Emisyon priminin giderler düşüldükten sonra kanuni yedek akçeye aktarıldığını gösterir.
Genel kurul kararı ve muhasebe aktarım kaydı.
YMM notu: TTK 519 uyumu KVK istisnasının koşulu olmasa da tasdik dosyasında yer almalıdır.</t>
  </si>
  <si>
    <t>GK kararı + 520→541 muhasebe kaydı</t>
  </si>
  <si>
    <t>9</t>
  </si>
  <si>
    <t>NSA (KVK 10/1-ı) Hesaplama Tablosu</t>
  </si>
  <si>
    <t>Emisyon priminin NSA hesabına DAHİL EDİLMEDİĞİNİN teyidi.
NSA'ya giren tutar: Tescil edilen nominal sermaye artışı (nakdi kısım).
YMM notu: NSA tablosunda emisyon priminin ayrı tutulduğu gösterilmelidir.</t>
  </si>
  <si>
    <t>NSA hesaplama tablosu / KVK 10/1-ı çalışma kâğıdı</t>
  </si>
  <si>
    <t>10</t>
  </si>
  <si>
    <t>YİAKV Matrah Hesaplama Tablosu (319 Düşümü)</t>
  </si>
  <si>
    <t>Emisyon primi istisnası (319) YİAKV matrahından DÜŞÜLEBİLİR.
YİAKV çalışma kâğıdında 319 tutarının matrahtan doğru biçimde düşüldüğü teyit edilmeli.</t>
  </si>
  <si>
    <t>YİAKV çalışma kâğıdı / KVK 32/C Tebliğleri</t>
  </si>
  <si>
    <t>11</t>
  </si>
  <si>
    <t>Birleşme/Devir/Bölünme Belgeleri (Emisyon Primlerinin Aktarımı)</t>
  </si>
  <si>
    <t>Birleşme, devir veya bölünme varsa: Emisyon primlerinin devralan şirkete aynen aktarıldığını gösteren devir bilanço ve sözleşmesi.
YMM notu: Aktarım yapılmazsa vergi avantajı sona erebilir.</t>
  </si>
  <si>
    <t>Devir/bölünme sözleşmesi + Devre esas bilanço</t>
  </si>
  <si>
    <t>KATEGORİ 3 — YMM TASDİK KONTROL SORULARI  (★ İşaretli Sorular Kritiktir)</t>
  </si>
  <si>
    <t>Beklenen Sonuç / Tasdik Standardı</t>
  </si>
  <si>
    <t>S1</t>
  </si>
  <si>
    <t>★ Kurum gerçekten Anonim Şirket mi? (Ltd için açık hüküm yok)</t>
  </si>
  <si>
    <t>Ticaret sicil belgesi kontrol edilmeli. AŞ değilse tartışmalı — özelge alınması gerekebilir.</t>
  </si>
  <si>
    <t>YMM kontrolü</t>
  </si>
  <si>
    <t>S2</t>
  </si>
  <si>
    <t>★ İstisna şirketin KENDİ paylarının ihracından mı? (Başkasına ait hisse satışı değil)</t>
  </si>
  <si>
    <t>S3</t>
  </si>
  <si>
    <t>Yevmiye + mizan: 520 hesabında görünmeli. 649/679'a kaydedilmişse muhasebe hatası.</t>
  </si>
  <si>
    <t>S4</t>
  </si>
  <si>
    <t>KV beyannamesi KKEG tablosu: Emisyon primi tutarı 519 satırında görünmeli. KKEG yapılmadan sadece 319 → Tarhiyat riski.</t>
  </si>
  <si>
    <t>S5</t>
  </si>
  <si>
    <t>★ KKEG tutarı = 319 tutarı mı? E.5 (Net Etki) SIFIR mu?</t>
  </si>
  <si>
    <t>HESAPLAMALAR B bölümü: E.2 = E.4 ve E.5 = 0 olmalıdır. Fark varsa hesap hatası.</t>
  </si>
  <si>
    <t>S6</t>
  </si>
  <si>
    <t>D.3: Emisyon primine isabet eden kısım KKEG. İlgili KDV için KDVK 30/d analizi yapılmış mı?</t>
  </si>
  <si>
    <t>S7</t>
  </si>
  <si>
    <t>TTK 519 kanuni yedek akçe aktarımı yapıldı mı?</t>
  </si>
  <si>
    <t>520 → 541 aktarım kaydı ve GK kararı mevcut olmalı. TTK 519 uyumu kontrol edilmelidir.</t>
  </si>
  <si>
    <t>S8</t>
  </si>
  <si>
    <t>NSA hesabında emisyon primi tescil edilmeyen kısma dahil edilmedi mi?</t>
  </si>
  <si>
    <t>NSA tablosu: Yalnızca tescil edilen sermaye artışı girer. Emisyon primleri girmez.</t>
  </si>
  <si>
    <t>S9</t>
  </si>
  <si>
    <t>Emisyon primi istisnası YİAKV matrahından düşülebilir. YİAKV çalışma kâğıdında teyit edilmeli.</t>
  </si>
  <si>
    <t xml:space="preserve">  SON NOT (YMM TASDİK): 49 No.lu Tebliğ (30.12.2025): &gt;=500.000 TL → YMM raporu. Tam tasdik → ayrıca rapor yok. En kritik hata: KKEG yapmadan sadece 319 yazmak → Tarhiyat riski. KKEG tutarı ile 319 tutarı HER ZAMAN EŞİT olmalıdır. YİAKV'den DÜŞÜLEBİLİR. NSA'ya dahil edilmez. TTK 519 uyumu kontrol edilmeli. YMM müteselsil sorumluluk: SM-SMMM-YMM Kanunu Md.12.</t>
  </si>
  <si>
    <t>Emisyon Primi / Toplam Tahsilat × 100 — Bu oran KKEG hesabında kullanılır</t>
  </si>
  <si>
    <t>Toplam Gider × Oran — Bu kısım istisna dışı kazançtan düşülemez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</si>
</sst>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C0392B"/>
      <name val="Arial"/>
    </font>
    <font>
      <sz val="8"/>
      <color rgb="FF555555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A5276"/>
      <name val="Arial"/>
    </font>
    <font>
      <b/>
      <sz val="11"/>
      <color rgb="FF1B5E20"/>
      <name val="Arial"/>
    </font>
    <font>
      <b/>
      <sz val="9"/>
      <color rgb="FF1B5E20"/>
      <name val="Arial"/>
    </font>
    <font>
      <b/>
      <sz val="12"/>
      <color rgb="FF1B5E20"/>
      <name val="Arial"/>
    </font>
    <font>
      <b/>
      <sz val="11"/>
      <color rgb="FFC0392B"/>
      <name val="Arial"/>
    </font>
    <font>
      <b/>
      <sz val="12"/>
      <color rgb="FFC0392B"/>
      <name val="Arial"/>
    </font>
    <font>
      <i/>
      <sz val="8"/>
      <color rgb="FFFFFFFF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9"/>
      <color rgb="FF7B5E00"/>
      <name val="Arial"/>
    </font>
    <font>
      <b/>
      <sz val="12"/>
      <color rgb="FFFFFFFF"/>
      <name val="Arial"/>
    </font>
    <font>
      <sz val="8"/>
      <color rgb="FF333333"/>
      <name val="Arial"/>
    </font>
    <font>
      <b/>
      <sz val="36"/>
      <color rgb="FFFFFFFF"/>
      <name val="Arial"/>
    </font>
    <font>
      <sz val="9"/>
      <color rgb="FF1F3864"/>
      <name val="Arial"/>
    </font>
    <font>
      <i/>
      <sz val="8"/>
      <color rgb="FF444444"/>
      <name val="Arial"/>
    </font>
    <font>
      <b/>
      <sz val="9"/>
      <color rgb="FF1565C0"/>
      <name val="Arial"/>
    </font>
    <font>
      <i/>
      <sz val="8"/>
      <color rgb="FF1565C0"/>
      <name val="Arial"/>
    </font>
  </fonts>
  <fills count="31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2E4057"/>
      </patternFill>
    </fill>
    <fill>
      <patternFill patternType="solid">
        <fgColor rgb="FFFCE4D6"/>
      </patternFill>
    </fill>
    <fill>
      <patternFill patternType="solid">
        <fgColor rgb="FFF0F4FF"/>
      </patternFill>
    </fill>
    <fill>
      <patternFill patternType="solid">
        <fgColor rgb="FFF0F0F0"/>
      </patternFill>
    </fill>
    <fill>
      <patternFill patternType="solid">
        <fgColor rgb="FFC0392B"/>
      </patternFill>
    </fill>
    <fill>
      <patternFill patternType="solid">
        <fgColor rgb="FF2E5FA3"/>
      </patternFill>
    </fill>
    <fill>
      <patternFill patternType="solid">
        <fgColor rgb="FFFFFF00"/>
      </patternFill>
    </fill>
    <fill>
      <patternFill patternType="solid">
        <fgColor rgb="FFEEF4FF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E65100"/>
      </patternFill>
    </fill>
    <fill>
      <patternFill patternType="solid">
        <fgColor rgb="FFFFCCBC"/>
      </patternFill>
    </fill>
    <fill>
      <patternFill patternType="solid">
        <fgColor rgb="FF1B5E20"/>
      </patternFill>
    </fill>
    <fill>
      <patternFill patternType="solid">
        <fgColor rgb="FFFFF9C4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922B21"/>
      </patternFill>
    </fill>
    <fill>
      <patternFill patternType="solid">
        <fgColor rgb="FFEBF5FB"/>
      </patternFill>
    </fill>
    <fill>
      <patternFill patternType="solid">
        <fgColor rgb="FFEBF5EB"/>
      </patternFill>
    </fill>
    <fill>
      <patternFill patternType="solid">
        <fgColor rgb="FF7D3C98"/>
      </patternFill>
    </fill>
    <fill>
      <patternFill patternType="solid">
        <fgColor rgb="FFEDE7F6"/>
      </patternFill>
    </fill>
    <fill>
      <patternFill patternType="solid">
        <fgColor rgb="FFF3E5F5"/>
      </patternFill>
    </fill>
    <fill>
      <patternFill patternType="solid">
        <fgColor rgb="FF1565C0"/>
      </patternFill>
    </fill>
    <fill>
      <patternFill patternType="solid">
        <fgColor rgb="FFE8F4F8"/>
      </patternFill>
    </fill>
    <fill>
      <patternFill patternType="solid">
        <fgColor rgb="FFD0EAF0"/>
      </patternFill>
    </fill>
    <fill>
      <patternFill patternType="solid">
        <fgColor rgb="FFE3F2FD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B71C1C"/>
      </left>
      <right style="thin">
        <color rgb="FFB71C1C"/>
      </right>
      <top style="thin">
        <color rgb="FFB71C1C"/>
      </top>
      <bottom style="thin">
        <color rgb="FFB71C1C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4" borderId="2" xfId="0" applyFill="1" applyBorder="1"/>
    <xf numFmtId="0" fontId="0" fillId="6" borderId="2" xfId="0" applyFill="1" applyBorder="1"/>
    <xf numFmtId="0" fontId="2" fillId="8" borderId="1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11" fillId="12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/>
    </xf>
    <xf numFmtId="0" fontId="24" fillId="19" borderId="2" xfId="0" applyFont="1" applyFill="1" applyBorder="1" applyAlignment="1">
      <alignment horizontal="left" vertical="top" wrapText="1"/>
    </xf>
    <xf numFmtId="0" fontId="0" fillId="9" borderId="2" xfId="0" applyFill="1" applyBorder="1" applyAlignment="1">
      <alignment horizontal="center" vertical="top"/>
    </xf>
    <xf numFmtId="0" fontId="9" fillId="10" borderId="2" xfId="0" applyFont="1" applyFill="1" applyBorder="1" applyAlignment="1">
      <alignment horizontal="left" vertical="top" wrapText="1"/>
    </xf>
    <xf numFmtId="0" fontId="24" fillId="20" borderId="2" xfId="0" applyFont="1" applyFill="1" applyBorder="1" applyAlignment="1">
      <alignment horizontal="left" vertical="top" wrapText="1"/>
    </xf>
    <xf numFmtId="0" fontId="9" fillId="11" borderId="2" xfId="0" applyFont="1" applyFill="1" applyBorder="1" applyAlignment="1">
      <alignment horizontal="left" vertical="top" wrapText="1"/>
    </xf>
    <xf numFmtId="0" fontId="9" fillId="10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 wrapText="1"/>
    </xf>
    <xf numFmtId="0" fontId="26" fillId="11" borderId="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7" fillId="10" borderId="2" xfId="0" applyFont="1" applyFill="1" applyBorder="1" applyAlignment="1">
      <alignment horizontal="left" vertical="top" wrapText="1"/>
    </xf>
    <xf numFmtId="0" fontId="27" fillId="11" borderId="2" xfId="0" applyFont="1" applyFill="1" applyBorder="1" applyAlignment="1">
      <alignment horizontal="left" vertical="top" wrapText="1"/>
    </xf>
    <xf numFmtId="0" fontId="9" fillId="12" borderId="2" xfId="0" applyFont="1" applyFill="1" applyBorder="1" applyAlignment="1">
      <alignment horizontal="center" vertical="top"/>
    </xf>
    <xf numFmtId="0" fontId="9" fillId="12" borderId="2" xfId="0" applyFont="1" applyFill="1" applyBorder="1" applyAlignment="1">
      <alignment horizontal="left" vertical="top" wrapText="1"/>
    </xf>
    <xf numFmtId="0" fontId="24" fillId="23" borderId="2" xfId="0" applyFont="1" applyFill="1" applyBorder="1" applyAlignment="1">
      <alignment horizontal="left" vertical="top" wrapText="1"/>
    </xf>
    <xf numFmtId="0" fontId="27" fillId="12" borderId="2" xfId="0" applyFont="1" applyFill="1" applyBorder="1" applyAlignment="1">
      <alignment horizontal="left" vertical="top" wrapText="1"/>
    </xf>
    <xf numFmtId="0" fontId="0" fillId="25" borderId="2" xfId="0" applyFill="1" applyBorder="1"/>
    <xf numFmtId="0" fontId="9" fillId="25" borderId="2" xfId="0" applyFont="1" applyFill="1" applyBorder="1" applyAlignment="1">
      <alignment horizontal="center" vertical="top"/>
    </xf>
    <xf numFmtId="0" fontId="9" fillId="25" borderId="2" xfId="0" applyFont="1" applyFill="1" applyBorder="1" applyAlignment="1">
      <alignment horizontal="left" vertical="top" wrapText="1"/>
    </xf>
    <xf numFmtId="0" fontId="24" fillId="26" borderId="2" xfId="0" applyFont="1" applyFill="1" applyBorder="1" applyAlignment="1">
      <alignment horizontal="left" vertical="top" wrapText="1"/>
    </xf>
    <xf numFmtId="0" fontId="27" fillId="25" borderId="2" xfId="0" applyFont="1" applyFill="1" applyBorder="1" applyAlignment="1">
      <alignment horizontal="left" vertical="top" wrapText="1"/>
    </xf>
    <xf numFmtId="0" fontId="2" fillId="27" borderId="1" xfId="0" applyFont="1" applyFill="1" applyBorder="1" applyAlignment="1">
      <alignment horizontal="center" vertical="center"/>
    </xf>
    <xf numFmtId="0" fontId="0" fillId="28" borderId="2" xfId="0" applyFill="1" applyBorder="1"/>
    <xf numFmtId="0" fontId="28" fillId="28" borderId="2" xfId="0" applyFont="1" applyFill="1" applyBorder="1" applyAlignment="1">
      <alignment horizontal="center" vertical="top"/>
    </xf>
    <xf numFmtId="0" fontId="28" fillId="28" borderId="2" xfId="0" applyFont="1" applyFill="1" applyBorder="1" applyAlignment="1">
      <alignment horizontal="left" vertical="top" wrapText="1"/>
    </xf>
    <xf numFmtId="0" fontId="24" fillId="29" borderId="2" xfId="0" applyFont="1" applyFill="1" applyBorder="1" applyAlignment="1">
      <alignment horizontal="left" vertical="top" wrapText="1"/>
    </xf>
    <xf numFmtId="0" fontId="29" fillId="28" borderId="2" xfId="0" applyFont="1" applyFill="1" applyBorder="1" applyAlignment="1">
      <alignment horizontal="center" vertical="top" wrapText="1"/>
    </xf>
    <xf numFmtId="0" fontId="0" fillId="30" borderId="2" xfId="0" applyFill="1" applyBorder="1"/>
    <xf numFmtId="0" fontId="28" fillId="30" borderId="2" xfId="0" applyFont="1" applyFill="1" applyBorder="1" applyAlignment="1">
      <alignment horizontal="center" vertical="top"/>
    </xf>
    <xf numFmtId="0" fontId="28" fillId="30" borderId="2" xfId="0" applyFont="1" applyFill="1" applyBorder="1" applyAlignment="1">
      <alignment horizontal="left" vertical="top" wrapText="1"/>
    </xf>
    <xf numFmtId="0" fontId="24" fillId="10" borderId="2" xfId="0" applyFont="1" applyFill="1" applyBorder="1" applyAlignment="1">
      <alignment horizontal="left" vertical="top" wrapText="1"/>
    </xf>
    <xf numFmtId="0" fontId="29" fillId="30" borderId="2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left" vertical="center" wrapText="1"/>
    </xf>
    <xf numFmtId="0" fontId="0" fillId="2" borderId="2" xfId="0" applyFill="1" applyBorder="1"/>
    <xf numFmtId="0" fontId="10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8" fillId="12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9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9" borderId="2" xfId="0" applyFill="1" applyBorder="1"/>
    <xf numFmtId="0" fontId="12" fillId="10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6" fillId="4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9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5" fillId="2" borderId="1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 wrapText="1"/>
    </xf>
    <xf numFmtId="0" fontId="10" fillId="14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2" fillId="15" borderId="2" xfId="0" applyFont="1" applyFill="1" applyBorder="1" applyAlignment="1">
      <alignment horizontal="center" vertical="center" wrapText="1"/>
    </xf>
    <xf numFmtId="0" fontId="0" fillId="15" borderId="2" xfId="0" applyFill="1" applyBorder="1"/>
    <xf numFmtId="0" fontId="9" fillId="10" borderId="2" xfId="0" applyFont="1" applyFill="1" applyBorder="1" applyAlignment="1">
      <alignment horizontal="left" vertical="center" wrapText="1"/>
    </xf>
    <xf numFmtId="0" fontId="2" fillId="17" borderId="2" xfId="0" applyFont="1" applyFill="1" applyBorder="1" applyAlignment="1">
      <alignment horizontal="left" vertical="center" wrapText="1"/>
    </xf>
    <xf numFmtId="0" fontId="0" fillId="17" borderId="2" xfId="0" applyFill="1" applyBorder="1"/>
    <xf numFmtId="0" fontId="10" fillId="10" borderId="2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5" borderId="2" xfId="0" applyFill="1" applyBorder="1"/>
    <xf numFmtId="0" fontId="2" fillId="15" borderId="2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9" fillId="2" borderId="2" xfId="0" applyFont="1" applyFill="1" applyBorder="1" applyAlignment="1">
      <alignment horizontal="left" vertical="center" wrapText="1"/>
    </xf>
    <xf numFmtId="0" fontId="19" fillId="17" borderId="2" xfId="0" applyFont="1" applyFill="1" applyBorder="1" applyAlignment="1">
      <alignment horizontal="left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left" vertical="center" wrapText="1"/>
    </xf>
    <xf numFmtId="0" fontId="22" fillId="18" borderId="1" xfId="0" applyFont="1" applyFill="1" applyBorder="1" applyAlignment="1">
      <alignment horizontal="left" vertical="center" wrapText="1"/>
    </xf>
    <xf numFmtId="0" fontId="0" fillId="18" borderId="1" xfId="0" applyFill="1" applyBorder="1"/>
    <xf numFmtId="0" fontId="12" fillId="1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top" wrapText="1"/>
    </xf>
    <xf numFmtId="0" fontId="24" fillId="20" borderId="2" xfId="0" applyFont="1" applyFill="1" applyBorder="1" applyAlignment="1">
      <alignment horizontal="left" vertical="top" wrapText="1"/>
    </xf>
    <xf numFmtId="0" fontId="0" fillId="20" borderId="2" xfId="0" applyFill="1" applyBorder="1"/>
    <xf numFmtId="0" fontId="5" fillId="17" borderId="1" xfId="0" applyFont="1" applyFill="1" applyBorder="1" applyAlignment="1">
      <alignment horizontal="left" vertical="center"/>
    </xf>
    <xf numFmtId="0" fontId="0" fillId="17" borderId="1" xfId="0" applyFill="1" applyBorder="1"/>
    <xf numFmtId="0" fontId="5" fillId="15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/>
    </xf>
    <xf numFmtId="0" fontId="24" fillId="11" borderId="2" xfId="0" applyFont="1" applyFill="1" applyBorder="1" applyAlignment="1">
      <alignment horizontal="left" vertical="top" wrapText="1"/>
    </xf>
    <xf numFmtId="0" fontId="24" fillId="12" borderId="2" xfId="0" applyFont="1" applyFill="1" applyBorder="1" applyAlignment="1">
      <alignment horizontal="left" vertical="center" wrapText="1"/>
    </xf>
    <xf numFmtId="0" fontId="24" fillId="19" borderId="2" xfId="0" applyFont="1" applyFill="1" applyBorder="1" applyAlignment="1">
      <alignment horizontal="left" vertical="top" wrapText="1"/>
    </xf>
    <xf numFmtId="0" fontId="0" fillId="19" borderId="2" xfId="0" applyFill="1" applyBorder="1"/>
    <xf numFmtId="0" fontId="24" fillId="10" borderId="2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/>
    </xf>
    <xf numFmtId="0" fontId="5" fillId="17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top" wrapText="1"/>
    </xf>
    <xf numFmtId="0" fontId="15" fillId="1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25" fillId="2" borderId="1" xfId="0" applyFont="1" applyFill="1" applyBorder="1" applyAlignment="1">
      <alignment horizontal="left" vertical="center"/>
    </xf>
    <xf numFmtId="0" fontId="26" fillId="18" borderId="4" xfId="0" applyFont="1" applyFill="1" applyBorder="1" applyAlignment="1">
      <alignment horizontal="left" vertical="center" wrapText="1"/>
    </xf>
    <xf numFmtId="0" fontId="0" fillId="18" borderId="4" xfId="0" applyFill="1" applyBorder="1"/>
    <xf numFmtId="0" fontId="1" fillId="2" borderId="5" xfId="0" applyFont="1" applyFill="1" applyBorder="1" applyAlignment="1">
      <alignment horizontal="left" vertical="center"/>
    </xf>
    <xf numFmtId="0" fontId="0" fillId="2" borderId="5" xfId="0" applyFill="1" applyBorder="1"/>
    <xf numFmtId="0" fontId="5" fillId="21" borderId="1" xfId="0" applyFont="1" applyFill="1" applyBorder="1" applyAlignment="1">
      <alignment horizontal="left" vertical="center"/>
    </xf>
    <xf numFmtId="0" fontId="0" fillId="21" borderId="1" xfId="0" applyFill="1" applyBorder="1"/>
    <xf numFmtId="0" fontId="5" fillId="24" borderId="1" xfId="0" applyFont="1" applyFill="1" applyBorder="1" applyAlignment="1">
      <alignment horizontal="left" vertical="center"/>
    </xf>
    <xf numFmtId="0" fontId="0" fillId="24" borderId="1" xfId="0" applyFill="1" applyBorder="1"/>
    <xf numFmtId="0" fontId="5" fillId="27" borderId="1" xfId="0" applyFont="1" applyFill="1" applyBorder="1" applyAlignment="1">
      <alignment horizontal="left" vertical="center"/>
    </xf>
    <xf numFmtId="0" fontId="0" fillId="27" borderId="1" xfId="0" applyFill="1" applyBorder="1"/>
    <xf numFmtId="0" fontId="13" fillId="22" borderId="2" xfId="0" applyFont="1" applyFill="1" applyBorder="1" applyAlignment="1">
      <alignment horizontal="left" vertical="center" wrapText="1"/>
    </xf>
    <xf numFmtId="0" fontId="0" fillId="22" borderId="2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932233-275A-4FB0-8066-7DEFADB1863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6ed82a6-c211-449c-b13c-bb35143b777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A3" workbookViewId="0">
      <selection sqref="A1:G1"/>
    </sheetView>
  </sheetViews>
  <sheetFormatPr defaultRowHeight="14.4" x14ac:dyDescent="0.55000000000000004"/>
  <cols>
    <col min="1" max="1" width="3" customWidth="1"/>
    <col min="2" max="2" width="32" customWidth="1"/>
    <col min="3" max="4" width="20" customWidth="1"/>
    <col min="5" max="5" width="14" customWidth="1"/>
    <col min="6" max="6" width="12" customWidth="1"/>
    <col min="7" max="7" width="22" customWidth="1"/>
  </cols>
  <sheetData>
    <row r="1" spans="1:7" ht="44.05" customHeight="1" x14ac:dyDescent="0.55000000000000004">
      <c r="A1" s="58" t="s">
        <v>0</v>
      </c>
      <c r="B1" s="59"/>
      <c r="C1" s="59"/>
      <c r="D1" s="59"/>
      <c r="E1" s="59"/>
      <c r="F1" s="59"/>
      <c r="G1" s="59"/>
    </row>
    <row r="2" spans="1:7" ht="20.05" customHeight="1" x14ac:dyDescent="0.55000000000000004">
      <c r="A2" s="90" t="s">
        <v>1</v>
      </c>
      <c r="B2" s="91"/>
      <c r="C2" s="91"/>
      <c r="D2" s="91"/>
      <c r="E2" s="91"/>
      <c r="F2" s="91"/>
      <c r="G2" s="91"/>
    </row>
    <row r="3" spans="1:7" ht="40" customHeight="1" x14ac:dyDescent="0.55000000000000004">
      <c r="A3" s="75" t="s">
        <v>2</v>
      </c>
      <c r="B3" s="53"/>
      <c r="C3" s="53"/>
      <c r="D3" s="53"/>
      <c r="E3" s="53"/>
      <c r="F3" s="53"/>
      <c r="G3" s="53"/>
    </row>
    <row r="4" spans="1:7" ht="24" customHeight="1" x14ac:dyDescent="0.55000000000000004">
      <c r="A4" s="85" t="s">
        <v>3</v>
      </c>
      <c r="B4" s="86"/>
      <c r="C4" s="86"/>
      <c r="D4" s="86"/>
      <c r="E4" s="86"/>
      <c r="F4" s="86"/>
      <c r="G4" s="86"/>
    </row>
    <row r="5" spans="1:7" ht="5.05" customHeight="1" x14ac:dyDescent="0.55000000000000004">
      <c r="A5" s="2"/>
      <c r="B5" s="2"/>
      <c r="C5" s="2"/>
      <c r="D5" s="2"/>
      <c r="E5" s="2"/>
      <c r="F5" s="2"/>
      <c r="G5" s="2"/>
    </row>
    <row r="6" spans="1:7" ht="24" customHeight="1" x14ac:dyDescent="0.55000000000000004">
      <c r="A6" s="88" t="s">
        <v>4</v>
      </c>
      <c r="B6" s="89"/>
      <c r="C6" s="89"/>
      <c r="D6" s="89"/>
      <c r="E6" s="89"/>
      <c r="F6" s="89"/>
      <c r="G6" s="89"/>
    </row>
    <row r="7" spans="1:7" ht="18" customHeight="1" x14ac:dyDescent="0.55000000000000004">
      <c r="A7" s="3"/>
      <c r="B7" s="3" t="s">
        <v>5</v>
      </c>
      <c r="C7" s="3"/>
      <c r="D7" s="3"/>
      <c r="E7" s="3" t="s">
        <v>6</v>
      </c>
      <c r="F7" s="3"/>
      <c r="G7" s="3" t="s">
        <v>7</v>
      </c>
    </row>
    <row r="8" spans="1:7" ht="30" customHeight="1" x14ac:dyDescent="0.55000000000000004">
      <c r="A8" s="63" t="s">
        <v>8</v>
      </c>
      <c r="B8" s="53"/>
      <c r="C8" s="53"/>
      <c r="D8" s="53"/>
      <c r="E8" s="4" t="s">
        <v>9</v>
      </c>
      <c r="F8" s="71" t="s">
        <v>10</v>
      </c>
      <c r="G8" s="53"/>
    </row>
    <row r="9" spans="1:7" ht="30" customHeight="1" x14ac:dyDescent="0.55000000000000004">
      <c r="A9" s="63" t="s">
        <v>11</v>
      </c>
      <c r="B9" s="53"/>
      <c r="C9" s="53"/>
      <c r="D9" s="53"/>
      <c r="E9" s="4" t="s">
        <v>9</v>
      </c>
      <c r="F9" s="71" t="s">
        <v>12</v>
      </c>
      <c r="G9" s="53"/>
    </row>
    <row r="10" spans="1:7" ht="30" customHeight="1" x14ac:dyDescent="0.55000000000000004">
      <c r="A10" s="80" t="s">
        <v>13</v>
      </c>
      <c r="B10" s="62"/>
      <c r="C10" s="62"/>
      <c r="D10" s="62"/>
      <c r="E10" s="4" t="s">
        <v>9</v>
      </c>
      <c r="F10" s="83" t="s">
        <v>14</v>
      </c>
      <c r="G10" s="62"/>
    </row>
    <row r="11" spans="1:7" ht="30" customHeight="1" x14ac:dyDescent="0.55000000000000004">
      <c r="A11" s="56" t="s">
        <v>15</v>
      </c>
      <c r="B11" s="57"/>
      <c r="C11" s="57"/>
      <c r="D11" s="57"/>
      <c r="E11" s="4" t="s">
        <v>9</v>
      </c>
      <c r="F11" s="64" t="s">
        <v>16</v>
      </c>
      <c r="G11" s="57"/>
    </row>
    <row r="12" spans="1:7" ht="30" customHeight="1" x14ac:dyDescent="0.55000000000000004">
      <c r="A12" s="63" t="s">
        <v>17</v>
      </c>
      <c r="B12" s="53"/>
      <c r="C12" s="53"/>
      <c r="D12" s="53"/>
      <c r="E12" s="4" t="s">
        <v>9</v>
      </c>
      <c r="F12" s="71" t="s">
        <v>18</v>
      </c>
      <c r="G12" s="53"/>
    </row>
    <row r="13" spans="1:7" ht="30" customHeight="1" x14ac:dyDescent="0.55000000000000004">
      <c r="A13" s="63" t="s">
        <v>19</v>
      </c>
      <c r="B13" s="53"/>
      <c r="C13" s="53"/>
      <c r="D13" s="53"/>
      <c r="E13" s="4" t="s">
        <v>9</v>
      </c>
      <c r="F13" s="71" t="s">
        <v>20</v>
      </c>
      <c r="G13" s="53"/>
    </row>
    <row r="14" spans="1:7" ht="30" customHeight="1" x14ac:dyDescent="0.55000000000000004">
      <c r="A14" s="80" t="s">
        <v>21</v>
      </c>
      <c r="B14" s="62"/>
      <c r="C14" s="62"/>
      <c r="D14" s="62"/>
      <c r="E14" s="4" t="s">
        <v>9</v>
      </c>
      <c r="F14" s="83" t="s">
        <v>22</v>
      </c>
      <c r="G14" s="62"/>
    </row>
    <row r="15" spans="1:7" ht="30" customHeight="1" x14ac:dyDescent="0.55000000000000004">
      <c r="A15" s="56" t="s">
        <v>23</v>
      </c>
      <c r="B15" s="57"/>
      <c r="C15" s="57"/>
      <c r="D15" s="57"/>
      <c r="E15" s="4" t="s">
        <v>9</v>
      </c>
      <c r="F15" s="64" t="s">
        <v>24</v>
      </c>
      <c r="G15" s="57"/>
    </row>
    <row r="16" spans="1:7" ht="22" customHeight="1" x14ac:dyDescent="0.55000000000000004">
      <c r="A16" s="70" t="s">
        <v>25</v>
      </c>
      <c r="B16" s="55"/>
      <c r="C16" s="55"/>
      <c r="D16" s="55"/>
      <c r="E16" s="8" t="str">
        <f>IF(AND(E8="EVET",E9="EVET",E10="EVET",E11="EVET",E12="EVET",E13="EVET",E14="EVET",E15="EVET"),"OK - Hesaplanabilir","HATA - Ön koşul eksik")</f>
        <v>OK - Hesaplanabilir</v>
      </c>
      <c r="F16" s="54" t="s">
        <v>26</v>
      </c>
      <c r="G16" s="55"/>
    </row>
    <row r="17" spans="1:7" ht="5.05" customHeight="1" x14ac:dyDescent="0.55000000000000004">
      <c r="A17" s="2"/>
      <c r="B17" s="2"/>
      <c r="C17" s="2"/>
      <c r="D17" s="2"/>
      <c r="E17" s="2"/>
      <c r="F17" s="2"/>
      <c r="G17" s="2"/>
    </row>
    <row r="18" spans="1:7" ht="22" customHeight="1" x14ac:dyDescent="0.55000000000000004">
      <c r="A18" s="67" t="s">
        <v>27</v>
      </c>
      <c r="B18" s="59"/>
      <c r="C18" s="59"/>
      <c r="D18" s="59"/>
      <c r="E18" s="59"/>
      <c r="F18" s="59"/>
      <c r="G18" s="59"/>
    </row>
    <row r="19" spans="1:7" ht="20.05" customHeight="1" x14ac:dyDescent="0.55000000000000004">
      <c r="A19" s="76" t="s">
        <v>28</v>
      </c>
      <c r="B19" s="57"/>
      <c r="C19" s="60"/>
      <c r="D19" s="60"/>
      <c r="E19" s="60"/>
      <c r="F19" s="68" t="s">
        <v>29</v>
      </c>
      <c r="G19" s="57"/>
    </row>
    <row r="20" spans="1:7" ht="20.05" customHeight="1" x14ac:dyDescent="0.55000000000000004">
      <c r="A20" s="74" t="s">
        <v>30</v>
      </c>
      <c r="B20" s="62"/>
      <c r="C20" s="60"/>
      <c r="D20" s="60"/>
      <c r="E20" s="60"/>
      <c r="F20" s="61" t="s">
        <v>31</v>
      </c>
      <c r="G20" s="62"/>
    </row>
    <row r="21" spans="1:7" ht="20.05" customHeight="1" x14ac:dyDescent="0.55000000000000004">
      <c r="A21" s="76" t="s">
        <v>32</v>
      </c>
      <c r="B21" s="57"/>
      <c r="C21" s="60"/>
      <c r="D21" s="60"/>
      <c r="E21" s="60"/>
      <c r="F21" s="68" t="s">
        <v>33</v>
      </c>
      <c r="G21" s="57"/>
    </row>
    <row r="22" spans="1:7" ht="20.05" customHeight="1" x14ac:dyDescent="0.55000000000000004">
      <c r="A22" s="74" t="s">
        <v>34</v>
      </c>
      <c r="B22" s="62"/>
      <c r="C22" s="60"/>
      <c r="D22" s="60"/>
      <c r="E22" s="60"/>
      <c r="F22" s="61" t="s">
        <v>35</v>
      </c>
      <c r="G22" s="62"/>
    </row>
    <row r="23" spans="1:7" ht="20.05" customHeight="1" x14ac:dyDescent="0.55000000000000004">
      <c r="A23" s="76" t="s">
        <v>36</v>
      </c>
      <c r="B23" s="57"/>
      <c r="C23" s="60"/>
      <c r="D23" s="60"/>
      <c r="E23" s="60"/>
      <c r="F23" s="68" t="s">
        <v>37</v>
      </c>
      <c r="G23" s="57"/>
    </row>
    <row r="24" spans="1:7" ht="20.05" customHeight="1" x14ac:dyDescent="0.55000000000000004">
      <c r="A24" s="74" t="s">
        <v>38</v>
      </c>
      <c r="B24" s="62"/>
      <c r="C24" s="60"/>
      <c r="D24" s="60"/>
      <c r="E24" s="60"/>
      <c r="F24" s="61" t="s">
        <v>39</v>
      </c>
      <c r="G24" s="62"/>
    </row>
    <row r="25" spans="1:7" ht="5.05" customHeight="1" x14ac:dyDescent="0.55000000000000004">
      <c r="A25" s="2"/>
      <c r="B25" s="2"/>
      <c r="C25" s="2"/>
      <c r="D25" s="2"/>
      <c r="E25" s="2"/>
      <c r="F25" s="2"/>
      <c r="G25" s="2"/>
    </row>
    <row r="26" spans="1:7" ht="22" customHeight="1" x14ac:dyDescent="0.55000000000000004">
      <c r="A26" s="67" t="s">
        <v>40</v>
      </c>
      <c r="B26" s="59"/>
      <c r="C26" s="59"/>
      <c r="D26" s="59"/>
      <c r="E26" s="59"/>
      <c r="F26" s="59"/>
      <c r="G26" s="59"/>
    </row>
    <row r="27" spans="1:7" ht="28" customHeight="1" x14ac:dyDescent="0.55000000000000004">
      <c r="A27" s="75" t="s">
        <v>41</v>
      </c>
      <c r="B27" s="53"/>
      <c r="C27" s="53"/>
      <c r="D27" s="53"/>
      <c r="E27" s="53"/>
      <c r="F27" s="53"/>
      <c r="G27" s="53"/>
    </row>
    <row r="28" spans="1:7" ht="18" customHeight="1" x14ac:dyDescent="0.55000000000000004">
      <c r="A28" s="3"/>
      <c r="B28" s="3" t="s">
        <v>42</v>
      </c>
      <c r="C28" s="3"/>
      <c r="D28" s="3" t="s">
        <v>43</v>
      </c>
      <c r="E28" s="3"/>
      <c r="F28" s="3" t="s">
        <v>44</v>
      </c>
      <c r="G28" s="3"/>
    </row>
    <row r="29" spans="1:7" ht="28" customHeight="1" x14ac:dyDescent="0.55000000000000004">
      <c r="A29" s="63" t="s">
        <v>45</v>
      </c>
      <c r="B29" s="53"/>
      <c r="C29" s="53"/>
      <c r="D29" s="4" t="s">
        <v>9</v>
      </c>
      <c r="E29" s="1"/>
      <c r="F29" s="52" t="s">
        <v>46</v>
      </c>
      <c r="G29" s="53"/>
    </row>
    <row r="30" spans="1:7" ht="28" customHeight="1" x14ac:dyDescent="0.55000000000000004">
      <c r="A30" s="63" t="s">
        <v>47</v>
      </c>
      <c r="B30" s="53"/>
      <c r="C30" s="53"/>
      <c r="D30" s="4" t="s">
        <v>9</v>
      </c>
      <c r="E30" s="1"/>
      <c r="F30" s="52" t="s">
        <v>48</v>
      </c>
      <c r="G30" s="53"/>
    </row>
    <row r="31" spans="1:7" ht="28" customHeight="1" x14ac:dyDescent="0.55000000000000004">
      <c r="A31" s="56" t="s">
        <v>49</v>
      </c>
      <c r="B31" s="57"/>
      <c r="C31" s="57"/>
      <c r="D31" s="4" t="s">
        <v>9</v>
      </c>
      <c r="E31" s="6"/>
      <c r="F31" s="64" t="s">
        <v>50</v>
      </c>
      <c r="G31" s="57"/>
    </row>
    <row r="32" spans="1:7" ht="5.05" customHeight="1" x14ac:dyDescent="0.55000000000000004">
      <c r="A32" s="2"/>
      <c r="B32" s="2"/>
      <c r="C32" s="2"/>
      <c r="D32" s="2"/>
      <c r="E32" s="2"/>
      <c r="F32" s="2"/>
      <c r="G32" s="2"/>
    </row>
    <row r="33" spans="1:7" ht="24" customHeight="1" x14ac:dyDescent="0.55000000000000004">
      <c r="A33" s="67" t="s">
        <v>51</v>
      </c>
      <c r="B33" s="59"/>
      <c r="C33" s="59"/>
      <c r="D33" s="59"/>
      <c r="E33" s="59"/>
      <c r="F33" s="59"/>
      <c r="G33" s="59"/>
    </row>
    <row r="34" spans="1:7" ht="36" customHeight="1" x14ac:dyDescent="0.55000000000000004">
      <c r="A34" s="84" t="s">
        <v>52</v>
      </c>
      <c r="B34" s="62"/>
      <c r="C34" s="62"/>
      <c r="D34" s="62"/>
      <c r="E34" s="62"/>
      <c r="F34" s="62"/>
      <c r="G34" s="62"/>
    </row>
    <row r="35" spans="1:7" ht="18" customHeight="1" x14ac:dyDescent="0.55000000000000004">
      <c r="A35" s="3"/>
      <c r="B35" s="3" t="s">
        <v>53</v>
      </c>
      <c r="C35" s="3"/>
      <c r="D35" s="3" t="s">
        <v>54</v>
      </c>
      <c r="E35" s="3"/>
      <c r="F35" s="3" t="s">
        <v>55</v>
      </c>
      <c r="G35" s="3" t="s">
        <v>56</v>
      </c>
    </row>
    <row r="36" spans="1:7" ht="26.05" customHeight="1" x14ac:dyDescent="0.55000000000000004">
      <c r="A36" s="80" t="s">
        <v>57</v>
      </c>
      <c r="B36" s="62"/>
      <c r="C36" s="9"/>
      <c r="D36" s="61" t="s">
        <v>58</v>
      </c>
      <c r="E36" s="62"/>
      <c r="F36" s="83" t="s">
        <v>59</v>
      </c>
      <c r="G36" s="62"/>
    </row>
    <row r="37" spans="1:7" ht="26.05" customHeight="1" x14ac:dyDescent="0.55000000000000004">
      <c r="A37" s="56" t="s">
        <v>60</v>
      </c>
      <c r="B37" s="57"/>
      <c r="C37" s="9"/>
      <c r="D37" s="68" t="s">
        <v>61</v>
      </c>
      <c r="E37" s="57"/>
      <c r="F37" s="64" t="s">
        <v>62</v>
      </c>
      <c r="G37" s="57"/>
    </row>
    <row r="38" spans="1:7" ht="26.05" customHeight="1" x14ac:dyDescent="0.55000000000000004">
      <c r="A38" s="80" t="s">
        <v>63</v>
      </c>
      <c r="B38" s="62"/>
      <c r="C38" s="9"/>
      <c r="D38" s="61" t="s">
        <v>64</v>
      </c>
      <c r="E38" s="62"/>
      <c r="F38" s="83" t="s">
        <v>65</v>
      </c>
      <c r="G38" s="62"/>
    </row>
    <row r="39" spans="1:7" ht="26.05" customHeight="1" x14ac:dyDescent="0.55000000000000004">
      <c r="A39" s="56" t="s">
        <v>66</v>
      </c>
      <c r="B39" s="57"/>
      <c r="C39" s="10">
        <f>C38-C37</f>
        <v>0</v>
      </c>
      <c r="D39" s="68" t="s">
        <v>67</v>
      </c>
      <c r="E39" s="57"/>
      <c r="F39" s="64" t="s">
        <v>68</v>
      </c>
      <c r="G39" s="57"/>
    </row>
    <row r="40" spans="1:7" ht="26.05" customHeight="1" x14ac:dyDescent="0.55000000000000004">
      <c r="A40" s="80" t="s">
        <v>69</v>
      </c>
      <c r="B40" s="62"/>
      <c r="C40" s="10">
        <f>C36*C37</f>
        <v>0</v>
      </c>
      <c r="D40" s="61" t="s">
        <v>70</v>
      </c>
      <c r="E40" s="62"/>
      <c r="F40" s="83" t="s">
        <v>71</v>
      </c>
      <c r="G40" s="62"/>
    </row>
    <row r="41" spans="1:7" ht="26.05" customHeight="1" x14ac:dyDescent="0.55000000000000004">
      <c r="A41" s="56" t="s">
        <v>72</v>
      </c>
      <c r="B41" s="57"/>
      <c r="C41" s="10">
        <f>C36*C38</f>
        <v>0</v>
      </c>
      <c r="D41" s="68" t="s">
        <v>73</v>
      </c>
      <c r="E41" s="57"/>
      <c r="F41" s="64" t="s">
        <v>74</v>
      </c>
      <c r="G41" s="57"/>
    </row>
    <row r="42" spans="1:7" ht="26.05" customHeight="1" x14ac:dyDescent="0.55000000000000004">
      <c r="A42" s="69" t="s">
        <v>75</v>
      </c>
      <c r="B42" s="55"/>
      <c r="C42" s="11">
        <f>C41-C40</f>
        <v>0</v>
      </c>
      <c r="D42" s="98"/>
      <c r="E42" s="55"/>
      <c r="F42" s="54" t="s">
        <v>76</v>
      </c>
      <c r="G42" s="55"/>
    </row>
    <row r="43" spans="1:7" ht="26.05" customHeight="1" x14ac:dyDescent="0.55000000000000004">
      <c r="A43" s="56" t="s">
        <v>77</v>
      </c>
      <c r="B43" s="57"/>
      <c r="C43" s="10">
        <f>C42</f>
        <v>0</v>
      </c>
      <c r="D43" s="68" t="s">
        <v>78</v>
      </c>
      <c r="E43" s="57"/>
      <c r="F43" s="64" t="s">
        <v>79</v>
      </c>
      <c r="G43" s="57"/>
    </row>
    <row r="44" spans="1:7" ht="5.05" customHeight="1" x14ac:dyDescent="0.55000000000000004">
      <c r="A44" s="2"/>
      <c r="B44" s="2"/>
      <c r="C44" s="2"/>
      <c r="D44" s="2"/>
      <c r="E44" s="2"/>
      <c r="F44" s="2"/>
      <c r="G44" s="2"/>
    </row>
    <row r="45" spans="1:7" ht="22" customHeight="1" x14ac:dyDescent="0.55000000000000004">
      <c r="A45" s="67" t="s">
        <v>80</v>
      </c>
      <c r="B45" s="59"/>
      <c r="C45" s="59"/>
      <c r="D45" s="59"/>
      <c r="E45" s="59"/>
      <c r="F45" s="59"/>
      <c r="G45" s="59"/>
    </row>
    <row r="46" spans="1:7" ht="36" customHeight="1" x14ac:dyDescent="0.55000000000000004">
      <c r="A46" s="75" t="s">
        <v>81</v>
      </c>
      <c r="B46" s="53"/>
      <c r="C46" s="53"/>
      <c r="D46" s="53"/>
      <c r="E46" s="53"/>
      <c r="F46" s="53"/>
      <c r="G46" s="53"/>
    </row>
    <row r="47" spans="1:7" ht="18" customHeight="1" x14ac:dyDescent="0.55000000000000004">
      <c r="A47" s="3"/>
      <c r="B47" s="3" t="s">
        <v>82</v>
      </c>
      <c r="C47" s="3"/>
      <c r="D47" s="3" t="s">
        <v>83</v>
      </c>
      <c r="E47" s="3"/>
      <c r="F47" s="3" t="s">
        <v>55</v>
      </c>
      <c r="G47" s="3" t="s">
        <v>56</v>
      </c>
    </row>
    <row r="48" spans="1:7" ht="26.05" customHeight="1" x14ac:dyDescent="0.55000000000000004">
      <c r="A48" s="80" t="s">
        <v>84</v>
      </c>
      <c r="B48" s="62"/>
      <c r="C48" s="9"/>
      <c r="D48" s="61" t="s">
        <v>85</v>
      </c>
      <c r="E48" s="62"/>
      <c r="F48" s="83" t="s">
        <v>86</v>
      </c>
      <c r="G48" s="62"/>
    </row>
    <row r="49" spans="1:7" ht="26.05" customHeight="1" x14ac:dyDescent="0.55000000000000004">
      <c r="A49" s="56" t="s">
        <v>87</v>
      </c>
      <c r="B49" s="57"/>
      <c r="C49" s="10">
        <f>IF(C41&gt;0,C42/C41*100,0)</f>
        <v>0</v>
      </c>
      <c r="D49" s="68" t="s">
        <v>369</v>
      </c>
      <c r="E49" s="57"/>
      <c r="F49" s="64" t="s">
        <v>88</v>
      </c>
      <c r="G49" s="57"/>
    </row>
    <row r="50" spans="1:7" ht="26.05" customHeight="1" x14ac:dyDescent="0.55000000000000004">
      <c r="A50" s="63" t="s">
        <v>89</v>
      </c>
      <c r="B50" s="53"/>
      <c r="C50" s="12">
        <f>IF(C48&gt;0,C48*C49/100,0)</f>
        <v>0</v>
      </c>
      <c r="D50" s="100" t="s">
        <v>370</v>
      </c>
      <c r="E50" s="53"/>
      <c r="F50" s="52" t="s">
        <v>90</v>
      </c>
      <c r="G50" s="53"/>
    </row>
    <row r="51" spans="1:7" ht="26.05" customHeight="1" x14ac:dyDescent="0.55000000000000004">
      <c r="A51" s="56" t="s">
        <v>91</v>
      </c>
      <c r="B51" s="57"/>
      <c r="C51" s="10">
        <f>MAX(0,C48-C50)</f>
        <v>0</v>
      </c>
      <c r="D51" s="68"/>
      <c r="E51" s="57"/>
      <c r="F51" s="64" t="s">
        <v>92</v>
      </c>
      <c r="G51" s="57"/>
    </row>
    <row r="52" spans="1:7" ht="5.05" customHeight="1" x14ac:dyDescent="0.55000000000000004">
      <c r="A52" s="2"/>
      <c r="B52" s="2"/>
      <c r="C52" s="2"/>
      <c r="D52" s="2"/>
      <c r="E52" s="2"/>
      <c r="F52" s="2"/>
      <c r="G52" s="2"/>
    </row>
    <row r="53" spans="1:7" ht="30" customHeight="1" x14ac:dyDescent="0.55000000000000004">
      <c r="A53" s="58" t="s">
        <v>93</v>
      </c>
      <c r="B53" s="59"/>
      <c r="C53" s="59"/>
      <c r="D53" s="59"/>
      <c r="E53" s="59"/>
      <c r="F53" s="59"/>
      <c r="G53" s="59"/>
    </row>
    <row r="54" spans="1:7" ht="44.05" customHeight="1" x14ac:dyDescent="0.55000000000000004">
      <c r="A54" s="75" t="s">
        <v>94</v>
      </c>
      <c r="B54" s="53"/>
      <c r="C54" s="53"/>
      <c r="D54" s="53"/>
      <c r="E54" s="53"/>
      <c r="F54" s="53"/>
      <c r="G54" s="53"/>
    </row>
    <row r="55" spans="1:7" ht="20.05" customHeight="1" x14ac:dyDescent="0.55000000000000004">
      <c r="A55" s="13"/>
      <c r="B55" s="13" t="s">
        <v>95</v>
      </c>
      <c r="C55" s="13"/>
      <c r="D55" s="13" t="s">
        <v>83</v>
      </c>
      <c r="E55" s="13"/>
      <c r="F55" s="13" t="s">
        <v>55</v>
      </c>
      <c r="G55" s="13" t="s">
        <v>96</v>
      </c>
    </row>
    <row r="56" spans="1:7" ht="28" customHeight="1" x14ac:dyDescent="0.55000000000000004">
      <c r="A56" s="65" t="s">
        <v>97</v>
      </c>
      <c r="B56" s="66"/>
      <c r="C56" s="9"/>
      <c r="D56" s="72" t="s">
        <v>98</v>
      </c>
      <c r="E56" s="66"/>
      <c r="F56" s="73" t="s">
        <v>99</v>
      </c>
      <c r="G56" s="62"/>
    </row>
    <row r="57" spans="1:7" ht="28" customHeight="1" x14ac:dyDescent="0.55000000000000004">
      <c r="A57" s="87" t="s">
        <v>100</v>
      </c>
      <c r="B57" s="79"/>
      <c r="C57" s="14">
        <f>C42</f>
        <v>0</v>
      </c>
      <c r="D57" s="95" t="s">
        <v>101</v>
      </c>
      <c r="E57" s="79"/>
      <c r="F57" s="78" t="s">
        <v>102</v>
      </c>
      <c r="G57" s="79"/>
    </row>
    <row r="58" spans="1:7" ht="28" customHeight="1" x14ac:dyDescent="0.55000000000000004">
      <c r="A58" s="65" t="s">
        <v>103</v>
      </c>
      <c r="B58" s="66"/>
      <c r="C58" s="14">
        <f>C56+C57</f>
        <v>0</v>
      </c>
      <c r="D58" s="72" t="s">
        <v>104</v>
      </c>
      <c r="E58" s="66"/>
      <c r="F58" s="73" t="s">
        <v>105</v>
      </c>
      <c r="G58" s="62"/>
    </row>
    <row r="59" spans="1:7" ht="28" customHeight="1" x14ac:dyDescent="0.55000000000000004">
      <c r="A59" s="81" t="s">
        <v>106</v>
      </c>
      <c r="B59" s="82"/>
      <c r="C59" s="11">
        <f>C42</f>
        <v>0</v>
      </c>
      <c r="D59" s="93" t="s">
        <v>107</v>
      </c>
      <c r="E59" s="82"/>
      <c r="F59" s="94" t="s">
        <v>108</v>
      </c>
      <c r="G59" s="82"/>
    </row>
    <row r="60" spans="1:7" ht="28" customHeight="1" x14ac:dyDescent="0.55000000000000004">
      <c r="A60" s="92" t="s">
        <v>109</v>
      </c>
      <c r="B60" s="51"/>
      <c r="C60" s="11">
        <f>C57-C59</f>
        <v>0</v>
      </c>
      <c r="D60" s="50" t="s">
        <v>110</v>
      </c>
      <c r="E60" s="51"/>
      <c r="F60" s="99" t="s">
        <v>111</v>
      </c>
      <c r="G60" s="51"/>
    </row>
    <row r="61" spans="1:7" ht="5.05" customHeight="1" x14ac:dyDescent="0.55000000000000004">
      <c r="A61" s="2"/>
      <c r="B61" s="2"/>
      <c r="C61" s="2"/>
      <c r="D61" s="2"/>
      <c r="E61" s="2"/>
      <c r="F61" s="2"/>
      <c r="G61" s="2"/>
    </row>
    <row r="62" spans="1:7" ht="26.05" customHeight="1" x14ac:dyDescent="0.55000000000000004">
      <c r="A62" s="58" t="s">
        <v>112</v>
      </c>
      <c r="B62" s="59"/>
      <c r="C62" s="59"/>
      <c r="D62" s="59"/>
      <c r="E62" s="59"/>
      <c r="F62" s="59"/>
      <c r="G62" s="59"/>
    </row>
    <row r="63" spans="1:7" ht="30" customHeight="1" x14ac:dyDescent="0.55000000000000004">
      <c r="A63" s="77" t="s">
        <v>113</v>
      </c>
      <c r="B63" s="51"/>
      <c r="C63" s="51"/>
      <c r="D63" s="51"/>
      <c r="E63" s="51"/>
      <c r="F63" s="15">
        <f>C42</f>
        <v>0</v>
      </c>
      <c r="G63" s="16" t="s">
        <v>114</v>
      </c>
    </row>
    <row r="64" spans="1:7" ht="36" customHeight="1" x14ac:dyDescent="0.55000000000000004">
      <c r="A64" s="96" t="s">
        <v>115</v>
      </c>
      <c r="B64" s="97"/>
      <c r="C64" s="97"/>
      <c r="D64" s="97"/>
      <c r="E64" s="97"/>
      <c r="F64" s="97"/>
      <c r="G64" s="97"/>
    </row>
  </sheetData>
  <mergeCells count="110">
    <mergeCell ref="A64:G64"/>
    <mergeCell ref="D41:E41"/>
    <mergeCell ref="F41:G41"/>
    <mergeCell ref="A50:B50"/>
    <mergeCell ref="C19:E19"/>
    <mergeCell ref="F38:G38"/>
    <mergeCell ref="D43:E43"/>
    <mergeCell ref="A54:G54"/>
    <mergeCell ref="D58:E58"/>
    <mergeCell ref="F58:G58"/>
    <mergeCell ref="A20:B20"/>
    <mergeCell ref="F37:G37"/>
    <mergeCell ref="D42:E42"/>
    <mergeCell ref="A27:G27"/>
    <mergeCell ref="F60:G60"/>
    <mergeCell ref="D50:E50"/>
    <mergeCell ref="A33:G33"/>
    <mergeCell ref="A58:B58"/>
    <mergeCell ref="A2:G2"/>
    <mergeCell ref="F14:G14"/>
    <mergeCell ref="A40:B40"/>
    <mergeCell ref="A14:D14"/>
    <mergeCell ref="F11:G11"/>
    <mergeCell ref="A24:B24"/>
    <mergeCell ref="A60:B60"/>
    <mergeCell ref="D59:E59"/>
    <mergeCell ref="D40:E40"/>
    <mergeCell ref="F40:G40"/>
    <mergeCell ref="F59:G59"/>
    <mergeCell ref="F12:G12"/>
    <mergeCell ref="F24:G24"/>
    <mergeCell ref="D57:E57"/>
    <mergeCell ref="F51:G51"/>
    <mergeCell ref="A1:G1"/>
    <mergeCell ref="A31:C31"/>
    <mergeCell ref="D37:E37"/>
    <mergeCell ref="F31:G31"/>
    <mergeCell ref="F9:G9"/>
    <mergeCell ref="C24:E24"/>
    <mergeCell ref="D39:E39"/>
    <mergeCell ref="F39:G39"/>
    <mergeCell ref="F48:G48"/>
    <mergeCell ref="A3:G3"/>
    <mergeCell ref="D38:E38"/>
    <mergeCell ref="A8:D8"/>
    <mergeCell ref="A4:G4"/>
    <mergeCell ref="A36:B36"/>
    <mergeCell ref="A10:D10"/>
    <mergeCell ref="F21:G21"/>
    <mergeCell ref="F36:G36"/>
    <mergeCell ref="F8:G8"/>
    <mergeCell ref="A21:B21"/>
    <mergeCell ref="A6:G6"/>
    <mergeCell ref="F22:G22"/>
    <mergeCell ref="A30:C30"/>
    <mergeCell ref="A23:B23"/>
    <mergeCell ref="A38:B38"/>
    <mergeCell ref="F10:G10"/>
    <mergeCell ref="F19:G19"/>
    <mergeCell ref="C22:E22"/>
    <mergeCell ref="A9:D9"/>
    <mergeCell ref="F30:G30"/>
    <mergeCell ref="A34:G34"/>
    <mergeCell ref="F20:G20"/>
    <mergeCell ref="A37:B37"/>
    <mergeCell ref="F42:G42"/>
    <mergeCell ref="A11:D11"/>
    <mergeCell ref="A29:C29"/>
    <mergeCell ref="A18:G18"/>
    <mergeCell ref="A12:D12"/>
    <mergeCell ref="F43:G43"/>
    <mergeCell ref="A19:B19"/>
    <mergeCell ref="D51:E51"/>
    <mergeCell ref="A63:E63"/>
    <mergeCell ref="A26:G26"/>
    <mergeCell ref="C20:E20"/>
    <mergeCell ref="F57:G57"/>
    <mergeCell ref="A39:B39"/>
    <mergeCell ref="A48:B48"/>
    <mergeCell ref="A59:B59"/>
    <mergeCell ref="A49:B49"/>
    <mergeCell ref="D49:E49"/>
    <mergeCell ref="F50:G50"/>
    <mergeCell ref="A57:B57"/>
    <mergeCell ref="A43:B43"/>
    <mergeCell ref="F49:G49"/>
    <mergeCell ref="D60:E60"/>
    <mergeCell ref="F29:G29"/>
    <mergeCell ref="F16:G16"/>
    <mergeCell ref="A51:B51"/>
    <mergeCell ref="A53:G53"/>
    <mergeCell ref="A62:G62"/>
    <mergeCell ref="C21:E21"/>
    <mergeCell ref="D36:E36"/>
    <mergeCell ref="A13:D13"/>
    <mergeCell ref="F15:G15"/>
    <mergeCell ref="A41:B41"/>
    <mergeCell ref="C23:E23"/>
    <mergeCell ref="A15:D15"/>
    <mergeCell ref="A56:B56"/>
    <mergeCell ref="D48:E48"/>
    <mergeCell ref="A45:G45"/>
    <mergeCell ref="F23:G23"/>
    <mergeCell ref="A42:B42"/>
    <mergeCell ref="A16:D16"/>
    <mergeCell ref="F13:G13"/>
    <mergeCell ref="D56:E56"/>
    <mergeCell ref="F56:G56"/>
    <mergeCell ref="A22:B22"/>
    <mergeCell ref="A46:G46"/>
  </mergeCells>
  <conditionalFormatting sqref="E16">
    <cfRule type="containsText" dxfId="3" priority="1" operator="containsText" text="OK">
      <formula>NOT(ISERROR(SEARCH("OK",E16)))</formula>
    </cfRule>
    <cfRule type="containsText" dxfId="2" priority="2" operator="containsText" text="HATA">
      <formula>NOT(ISERROR(SEARCH("HATA",E16)))</formula>
    </cfRule>
  </conditionalFormatting>
  <dataValidations count="5">
    <dataValidation type="list" sqref="E8" xr:uid="{00000000-0002-0000-0000-000000000000}">
      <formula1>"EVET,HAYIR-Ltd"</formula1>
    </dataValidation>
    <dataValidation type="list" sqref="D29:D31 E9:E11" xr:uid="{00000000-0002-0000-0000-000001000000}">
      <formula1>"EVET,HAYIR"</formula1>
    </dataValidation>
    <dataValidation type="list" sqref="E12" xr:uid="{00000000-0002-0000-0000-000004000000}">
      <formula1>"EVET,HAYIR-Hata"</formula1>
    </dataValidation>
    <dataValidation type="list" sqref="E13:E14" xr:uid="{00000000-0002-0000-0000-000005000000}">
      <formula1>"EVET,HAYIR-Risk"</formula1>
    </dataValidation>
    <dataValidation type="list" sqref="E15" xr:uid="{00000000-0002-0000-0000-000007000000}">
      <formula1>"EVET,Tam Tasdik"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/>
  </sheetViews>
  <sheetFormatPr defaultRowHeight="14.4" x14ac:dyDescent="0.55000000000000004"/>
  <cols>
    <col min="1" max="1" width="4" customWidth="1"/>
    <col min="2" max="2" width="36" customWidth="1"/>
    <col min="3" max="4" width="16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15" t="s">
        <v>116</v>
      </c>
      <c r="B1" s="59"/>
      <c r="C1" s="59"/>
      <c r="D1" s="59"/>
      <c r="E1" s="59"/>
      <c r="F1" s="59"/>
      <c r="G1" s="59"/>
    </row>
    <row r="2" spans="1:7" ht="20.05" customHeight="1" x14ac:dyDescent="0.55000000000000004">
      <c r="A2" s="90" t="s">
        <v>117</v>
      </c>
      <c r="B2" s="91"/>
      <c r="C2" s="91"/>
      <c r="D2" s="91"/>
      <c r="E2" s="91"/>
      <c r="F2" s="91"/>
      <c r="G2" s="91"/>
    </row>
    <row r="3" spans="1:7" ht="5.05" customHeight="1" x14ac:dyDescent="0.55000000000000004">
      <c r="A3" s="2"/>
      <c r="B3" s="2"/>
      <c r="C3" s="2"/>
      <c r="D3" s="2"/>
      <c r="E3" s="2"/>
      <c r="F3" s="2"/>
      <c r="G3" s="2"/>
    </row>
    <row r="4" spans="1:7" ht="22" customHeight="1" x14ac:dyDescent="0.55000000000000004">
      <c r="A4" s="105" t="s">
        <v>118</v>
      </c>
      <c r="B4" s="106"/>
      <c r="C4" s="106"/>
      <c r="D4" s="106"/>
      <c r="E4" s="106"/>
      <c r="F4" s="106"/>
      <c r="G4" s="106"/>
    </row>
    <row r="5" spans="1:7" ht="22" customHeight="1" x14ac:dyDescent="0.55000000000000004">
      <c r="A5" s="76" t="s">
        <v>119</v>
      </c>
      <c r="B5" s="57"/>
      <c r="C5" s="57"/>
      <c r="D5" s="17" t="str">
        <f>'VERİ GİRİŞİ'!E16</f>
        <v>OK - Hesaplanabilir</v>
      </c>
      <c r="E5" s="64" t="s">
        <v>120</v>
      </c>
      <c r="F5" s="57"/>
      <c r="G5" s="57"/>
    </row>
    <row r="6" spans="1:7" ht="22" customHeight="1" x14ac:dyDescent="0.55000000000000004">
      <c r="A6" s="74" t="s">
        <v>121</v>
      </c>
      <c r="B6" s="62"/>
      <c r="C6" s="62"/>
      <c r="D6" s="17" t="str">
        <f>'VERİ GİRİŞİ'!D29</f>
        <v>EVET</v>
      </c>
      <c r="E6" s="83" t="s">
        <v>122</v>
      </c>
      <c r="F6" s="62"/>
      <c r="G6" s="62"/>
    </row>
    <row r="7" spans="1:7" ht="22" customHeight="1" x14ac:dyDescent="0.55000000000000004">
      <c r="A7" s="76" t="s">
        <v>123</v>
      </c>
      <c r="B7" s="57"/>
      <c r="C7" s="57"/>
      <c r="D7" s="17">
        <f>'VERİ GİRİŞİ'!C36</f>
        <v>0</v>
      </c>
      <c r="E7" s="64" t="s">
        <v>124</v>
      </c>
      <c r="F7" s="57"/>
      <c r="G7" s="57"/>
    </row>
    <row r="8" spans="1:7" ht="22" customHeight="1" x14ac:dyDescent="0.55000000000000004">
      <c r="A8" s="74" t="s">
        <v>125</v>
      </c>
      <c r="B8" s="62"/>
      <c r="C8" s="62"/>
      <c r="D8" s="17">
        <f>'VERİ GİRİŞİ'!C39</f>
        <v>0</v>
      </c>
      <c r="E8" s="83" t="s">
        <v>126</v>
      </c>
      <c r="F8" s="62"/>
      <c r="G8" s="62"/>
    </row>
    <row r="9" spans="1:7" ht="22" customHeight="1" x14ac:dyDescent="0.55000000000000004">
      <c r="A9" s="76" t="s">
        <v>127</v>
      </c>
      <c r="B9" s="57"/>
      <c r="C9" s="57"/>
      <c r="D9" s="17">
        <f>'VERİ GİRİŞİ'!C40</f>
        <v>0</v>
      </c>
      <c r="E9" s="64" t="s">
        <v>128</v>
      </c>
      <c r="F9" s="57"/>
      <c r="G9" s="57"/>
    </row>
    <row r="10" spans="1:7" ht="22" customHeight="1" x14ac:dyDescent="0.55000000000000004">
      <c r="A10" s="74" t="s">
        <v>129</v>
      </c>
      <c r="B10" s="62"/>
      <c r="C10" s="62"/>
      <c r="D10" s="17">
        <f>'VERİ GİRİŞİ'!C41</f>
        <v>0</v>
      </c>
      <c r="E10" s="83" t="s">
        <v>130</v>
      </c>
      <c r="F10" s="62"/>
      <c r="G10" s="62"/>
    </row>
    <row r="11" spans="1:7" ht="22" customHeight="1" x14ac:dyDescent="0.55000000000000004">
      <c r="A11" s="70" t="s">
        <v>131</v>
      </c>
      <c r="B11" s="55"/>
      <c r="C11" s="55"/>
      <c r="D11" s="10">
        <f>'VERİ GİRİŞİ'!C42</f>
        <v>0</v>
      </c>
      <c r="E11" s="101" t="s">
        <v>132</v>
      </c>
      <c r="F11" s="55"/>
      <c r="G11" s="55"/>
    </row>
    <row r="12" spans="1:7" ht="22" customHeight="1" x14ac:dyDescent="0.55000000000000004">
      <c r="A12" s="109" t="s">
        <v>133</v>
      </c>
      <c r="B12" s="53"/>
      <c r="C12" s="53"/>
      <c r="D12" s="12">
        <f>'VERİ GİRİŞİ'!C50</f>
        <v>0</v>
      </c>
      <c r="E12" s="52" t="s">
        <v>134</v>
      </c>
      <c r="F12" s="53"/>
      <c r="G12" s="53"/>
    </row>
    <row r="13" spans="1:7" ht="22" customHeight="1" x14ac:dyDescent="0.55000000000000004">
      <c r="A13" s="70" t="s">
        <v>135</v>
      </c>
      <c r="B13" s="55"/>
      <c r="C13" s="55"/>
      <c r="D13" s="10">
        <f>'VERİ GİRİŞİ'!C60</f>
        <v>0</v>
      </c>
      <c r="E13" s="101" t="s">
        <v>136</v>
      </c>
      <c r="F13" s="55"/>
      <c r="G13" s="55"/>
    </row>
    <row r="14" spans="1:7" ht="5.05" customHeight="1" x14ac:dyDescent="0.55000000000000004">
      <c r="A14" s="2"/>
      <c r="B14" s="2"/>
      <c r="C14" s="2"/>
      <c r="D14" s="2"/>
      <c r="E14" s="2"/>
      <c r="F14" s="2"/>
      <c r="G14" s="2"/>
    </row>
    <row r="15" spans="1:7" ht="24" customHeight="1" x14ac:dyDescent="0.55000000000000004">
      <c r="A15" s="67" t="s">
        <v>137</v>
      </c>
      <c r="B15" s="59"/>
      <c r="C15" s="59"/>
      <c r="D15" s="59"/>
      <c r="E15" s="59"/>
      <c r="F15" s="59"/>
      <c r="G15" s="59"/>
    </row>
    <row r="16" spans="1:7" ht="32.049999999999997" customHeight="1" x14ac:dyDescent="0.55000000000000004">
      <c r="A16" s="75" t="s">
        <v>138</v>
      </c>
      <c r="B16" s="53"/>
      <c r="C16" s="53"/>
      <c r="D16" s="53"/>
      <c r="E16" s="53"/>
      <c r="F16" s="53"/>
      <c r="G16" s="53"/>
    </row>
    <row r="17" spans="1:7" ht="20.05" customHeight="1" x14ac:dyDescent="0.55000000000000004">
      <c r="A17" s="13"/>
      <c r="B17" s="13" t="s">
        <v>139</v>
      </c>
      <c r="C17" s="13"/>
      <c r="D17" s="13" t="s">
        <v>83</v>
      </c>
      <c r="E17" s="13"/>
      <c r="F17" s="13" t="s">
        <v>96</v>
      </c>
      <c r="G17" s="13"/>
    </row>
    <row r="18" spans="1:7" ht="28" customHeight="1" x14ac:dyDescent="0.55000000000000004">
      <c r="A18" s="107" t="s">
        <v>140</v>
      </c>
      <c r="B18" s="79"/>
      <c r="C18" s="79"/>
      <c r="D18" s="14">
        <f>'VERİ GİRİŞİ'!C57</f>
        <v>0</v>
      </c>
      <c r="E18" s="78" t="s">
        <v>141</v>
      </c>
      <c r="F18" s="79"/>
      <c r="G18" s="79"/>
    </row>
    <row r="19" spans="1:7" ht="28" customHeight="1" x14ac:dyDescent="0.55000000000000004">
      <c r="A19" s="116" t="s">
        <v>142</v>
      </c>
      <c r="B19" s="82"/>
      <c r="C19" s="82"/>
      <c r="D19" s="11">
        <f>'VERİ GİRİŞİ'!C59</f>
        <v>0</v>
      </c>
      <c r="E19" s="94" t="s">
        <v>108</v>
      </c>
      <c r="F19" s="82"/>
      <c r="G19" s="82"/>
    </row>
    <row r="20" spans="1:7" ht="28" customHeight="1" x14ac:dyDescent="0.55000000000000004">
      <c r="A20" s="77" t="s">
        <v>143</v>
      </c>
      <c r="B20" s="51"/>
      <c r="C20" s="51"/>
      <c r="D20" s="11">
        <f>'VERİ GİRİŞİ'!C60</f>
        <v>0</v>
      </c>
      <c r="E20" s="99" t="s">
        <v>144</v>
      </c>
      <c r="F20" s="51"/>
      <c r="G20" s="51"/>
    </row>
    <row r="21" spans="1:7" ht="5.05" customHeight="1" x14ac:dyDescent="0.55000000000000004">
      <c r="A21" s="2"/>
      <c r="B21" s="2"/>
      <c r="C21" s="2"/>
      <c r="D21" s="2"/>
      <c r="E21" s="2"/>
      <c r="F21" s="2"/>
      <c r="G21" s="2"/>
    </row>
    <row r="22" spans="1:7" ht="22" customHeight="1" x14ac:dyDescent="0.55000000000000004">
      <c r="A22" s="67" t="s">
        <v>145</v>
      </c>
      <c r="B22" s="59"/>
      <c r="C22" s="59"/>
      <c r="D22" s="59"/>
      <c r="E22" s="59"/>
      <c r="F22" s="59"/>
      <c r="G22" s="59"/>
    </row>
    <row r="23" spans="1:7" ht="18" customHeight="1" x14ac:dyDescent="0.55000000000000004">
      <c r="A23" s="3"/>
      <c r="B23" s="3" t="s">
        <v>146</v>
      </c>
      <c r="C23" s="3"/>
      <c r="D23" s="3" t="s">
        <v>147</v>
      </c>
      <c r="E23" s="3"/>
      <c r="F23" s="3" t="s">
        <v>148</v>
      </c>
      <c r="G23" s="3" t="s">
        <v>149</v>
      </c>
    </row>
    <row r="24" spans="1:7" ht="28" customHeight="1" x14ac:dyDescent="0.55000000000000004">
      <c r="A24" s="18" t="s">
        <v>150</v>
      </c>
      <c r="B24" s="102" t="s">
        <v>151</v>
      </c>
      <c r="C24" s="53"/>
      <c r="D24" s="112" t="s">
        <v>152</v>
      </c>
      <c r="E24" s="113"/>
      <c r="F24" s="20" t="s">
        <v>153</v>
      </c>
      <c r="G24" s="5"/>
    </row>
    <row r="25" spans="1:7" ht="28" customHeight="1" x14ac:dyDescent="0.55000000000000004">
      <c r="A25" s="18" t="s">
        <v>154</v>
      </c>
      <c r="B25" s="102" t="s">
        <v>155</v>
      </c>
      <c r="C25" s="53"/>
      <c r="D25" s="112" t="s">
        <v>156</v>
      </c>
      <c r="E25" s="113"/>
      <c r="F25" s="20" t="s">
        <v>153</v>
      </c>
      <c r="G25" s="6"/>
    </row>
    <row r="26" spans="1:7" ht="28" customHeight="1" x14ac:dyDescent="0.55000000000000004">
      <c r="A26" s="18" t="s">
        <v>157</v>
      </c>
      <c r="B26" s="117" t="s">
        <v>158</v>
      </c>
      <c r="C26" s="62"/>
      <c r="D26" s="103" t="s">
        <v>159</v>
      </c>
      <c r="E26" s="104"/>
      <c r="F26" s="20" t="s">
        <v>153</v>
      </c>
      <c r="G26" s="5"/>
    </row>
    <row r="27" spans="1:7" ht="28" customHeight="1" x14ac:dyDescent="0.55000000000000004">
      <c r="A27" s="18" t="s">
        <v>160</v>
      </c>
      <c r="B27" s="102" t="s">
        <v>161</v>
      </c>
      <c r="C27" s="53"/>
      <c r="D27" s="112" t="s">
        <v>162</v>
      </c>
      <c r="E27" s="113"/>
      <c r="F27" s="20" t="s">
        <v>153</v>
      </c>
      <c r="G27" s="6"/>
    </row>
    <row r="28" spans="1:7" ht="28" customHeight="1" x14ac:dyDescent="0.55000000000000004">
      <c r="A28" s="18" t="s">
        <v>163</v>
      </c>
      <c r="B28" s="102" t="s">
        <v>164</v>
      </c>
      <c r="C28" s="53"/>
      <c r="D28" s="112" t="s">
        <v>165</v>
      </c>
      <c r="E28" s="113"/>
      <c r="F28" s="20" t="s">
        <v>153</v>
      </c>
      <c r="G28" s="5"/>
    </row>
    <row r="29" spans="1:7" ht="28" customHeight="1" x14ac:dyDescent="0.55000000000000004">
      <c r="A29" s="18" t="s">
        <v>166</v>
      </c>
      <c r="B29" s="102" t="s">
        <v>167</v>
      </c>
      <c r="C29" s="53"/>
      <c r="D29" s="112" t="s">
        <v>168</v>
      </c>
      <c r="E29" s="113"/>
      <c r="F29" s="20" t="s">
        <v>153</v>
      </c>
      <c r="G29" s="6"/>
    </row>
    <row r="30" spans="1:7" ht="28" customHeight="1" x14ac:dyDescent="0.55000000000000004">
      <c r="A30" s="18" t="s">
        <v>169</v>
      </c>
      <c r="B30" s="117" t="s">
        <v>170</v>
      </c>
      <c r="C30" s="62"/>
      <c r="D30" s="103" t="s">
        <v>171</v>
      </c>
      <c r="E30" s="104"/>
      <c r="F30" s="20" t="s">
        <v>153</v>
      </c>
      <c r="G30" s="5"/>
    </row>
    <row r="31" spans="1:7" ht="28" customHeight="1" x14ac:dyDescent="0.55000000000000004">
      <c r="A31" s="18" t="s">
        <v>172</v>
      </c>
      <c r="B31" s="108" t="s">
        <v>173</v>
      </c>
      <c r="C31" s="57"/>
      <c r="D31" s="110" t="s">
        <v>174</v>
      </c>
      <c r="E31" s="57"/>
      <c r="F31" s="20" t="s">
        <v>153</v>
      </c>
      <c r="G31" s="6"/>
    </row>
    <row r="32" spans="1:7" ht="28" customHeight="1" x14ac:dyDescent="0.55000000000000004">
      <c r="A32" s="18" t="s">
        <v>175</v>
      </c>
      <c r="B32" s="117" t="s">
        <v>176</v>
      </c>
      <c r="C32" s="62"/>
      <c r="D32" s="103" t="s">
        <v>177</v>
      </c>
      <c r="E32" s="104"/>
      <c r="F32" s="20" t="s">
        <v>153</v>
      </c>
      <c r="G32" s="5"/>
    </row>
    <row r="33" spans="1:7" ht="28" customHeight="1" x14ac:dyDescent="0.55000000000000004">
      <c r="A33" s="18" t="s">
        <v>178</v>
      </c>
      <c r="B33" s="108" t="s">
        <v>179</v>
      </c>
      <c r="C33" s="57"/>
      <c r="D33" s="110" t="s">
        <v>180</v>
      </c>
      <c r="E33" s="57"/>
      <c r="F33" s="20" t="s">
        <v>153</v>
      </c>
      <c r="G33" s="6"/>
    </row>
    <row r="34" spans="1:7" ht="28" customHeight="1" x14ac:dyDescent="0.55000000000000004">
      <c r="A34" s="18" t="s">
        <v>181</v>
      </c>
      <c r="B34" s="117" t="s">
        <v>182</v>
      </c>
      <c r="C34" s="62"/>
      <c r="D34" s="103" t="s">
        <v>183</v>
      </c>
      <c r="E34" s="104"/>
      <c r="F34" s="20" t="s">
        <v>153</v>
      </c>
      <c r="G34" s="5"/>
    </row>
    <row r="35" spans="1:7" ht="5.05" customHeight="1" x14ac:dyDescent="0.55000000000000004">
      <c r="A35" s="2"/>
      <c r="B35" s="2"/>
      <c r="C35" s="2"/>
      <c r="D35" s="2"/>
      <c r="E35" s="2"/>
      <c r="F35" s="2"/>
      <c r="G35" s="2"/>
    </row>
    <row r="36" spans="1:7" ht="22" customHeight="1" x14ac:dyDescent="0.55000000000000004">
      <c r="A36" s="67" t="s">
        <v>184</v>
      </c>
      <c r="B36" s="59"/>
      <c r="C36" s="59"/>
      <c r="D36" s="59"/>
      <c r="E36" s="59"/>
      <c r="F36" s="59"/>
      <c r="G36" s="59"/>
    </row>
    <row r="37" spans="1:7" ht="18" customHeight="1" x14ac:dyDescent="0.55000000000000004">
      <c r="A37" s="3"/>
      <c r="B37" s="3" t="s">
        <v>185</v>
      </c>
      <c r="C37" s="3"/>
      <c r="D37" s="3" t="s">
        <v>186</v>
      </c>
      <c r="E37" s="3"/>
      <c r="F37" s="3" t="s">
        <v>55</v>
      </c>
      <c r="G37" s="3"/>
    </row>
    <row r="38" spans="1:7" ht="24" customHeight="1" x14ac:dyDescent="0.55000000000000004">
      <c r="A38" s="118" t="s">
        <v>187</v>
      </c>
      <c r="B38" s="55"/>
      <c r="C38" s="10">
        <f>'VERİ GİRİŞİ'!C42</f>
        <v>0</v>
      </c>
      <c r="D38" s="111" t="s">
        <v>188</v>
      </c>
      <c r="E38" s="55"/>
      <c r="F38" s="55"/>
      <c r="G38" s="55"/>
    </row>
    <row r="39" spans="1:7" ht="24" customHeight="1" x14ac:dyDescent="0.55000000000000004">
      <c r="A39" s="119" t="s">
        <v>189</v>
      </c>
      <c r="B39" s="53"/>
      <c r="C39" s="10">
        <f>'VERİ GİRİŞİ'!C42</f>
        <v>0</v>
      </c>
      <c r="D39" s="71" t="s">
        <v>190</v>
      </c>
      <c r="E39" s="53"/>
      <c r="F39" s="53"/>
      <c r="G39" s="53"/>
    </row>
    <row r="40" spans="1:7" ht="24" customHeight="1" x14ac:dyDescent="0.55000000000000004">
      <c r="A40" s="120" t="s">
        <v>191</v>
      </c>
      <c r="B40" s="62"/>
      <c r="C40" s="24" t="s">
        <v>192</v>
      </c>
      <c r="D40" s="114" t="s">
        <v>193</v>
      </c>
      <c r="E40" s="62"/>
      <c r="F40" s="62"/>
      <c r="G40" s="62"/>
    </row>
  </sheetData>
  <mergeCells count="59">
    <mergeCell ref="A40:B40"/>
    <mergeCell ref="A2:G2"/>
    <mergeCell ref="B32:C32"/>
    <mergeCell ref="A39:B39"/>
    <mergeCell ref="B26:C26"/>
    <mergeCell ref="A7:C7"/>
    <mergeCell ref="D26:E26"/>
    <mergeCell ref="E20:G20"/>
    <mergeCell ref="E5:G5"/>
    <mergeCell ref="D33:E33"/>
    <mergeCell ref="D29:E29"/>
    <mergeCell ref="A6:C6"/>
    <mergeCell ref="E8:G8"/>
    <mergeCell ref="D40:G40"/>
    <mergeCell ref="A13:C13"/>
    <mergeCell ref="A1:G1"/>
    <mergeCell ref="A19:C19"/>
    <mergeCell ref="B29:C29"/>
    <mergeCell ref="B34:C34"/>
    <mergeCell ref="B28:C28"/>
    <mergeCell ref="A9:C9"/>
    <mergeCell ref="D28:E28"/>
    <mergeCell ref="E12:G12"/>
    <mergeCell ref="A16:G16"/>
    <mergeCell ref="E18:G18"/>
    <mergeCell ref="D25:E25"/>
    <mergeCell ref="B24:C24"/>
    <mergeCell ref="B30:C30"/>
    <mergeCell ref="A11:C11"/>
    <mergeCell ref="A4:G4"/>
    <mergeCell ref="A18:C18"/>
    <mergeCell ref="E9:G9"/>
    <mergeCell ref="B31:C31"/>
    <mergeCell ref="A12:C12"/>
    <mergeCell ref="B27:C27"/>
    <mergeCell ref="D31:E31"/>
    <mergeCell ref="E6:G6"/>
    <mergeCell ref="E11:G11"/>
    <mergeCell ref="A5:C5"/>
    <mergeCell ref="A8:C8"/>
    <mergeCell ref="D27:E27"/>
    <mergeCell ref="A15:G15"/>
    <mergeCell ref="E7:G7"/>
    <mergeCell ref="A20:C20"/>
    <mergeCell ref="A10:C10"/>
    <mergeCell ref="E10:G10"/>
    <mergeCell ref="E13:G13"/>
    <mergeCell ref="E19:G19"/>
    <mergeCell ref="B25:C25"/>
    <mergeCell ref="D39:G39"/>
    <mergeCell ref="D34:E34"/>
    <mergeCell ref="A22:G22"/>
    <mergeCell ref="D38:G38"/>
    <mergeCell ref="D32:E32"/>
    <mergeCell ref="A36:G36"/>
    <mergeCell ref="D24:E24"/>
    <mergeCell ref="D30:E30"/>
    <mergeCell ref="B33:C33"/>
    <mergeCell ref="A38:B38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30" customWidth="1"/>
    <col min="4" max="4" width="20" customWidth="1"/>
    <col min="5" max="6" width="14" customWidth="1"/>
    <col min="7" max="7" width="22" customWidth="1"/>
  </cols>
  <sheetData>
    <row r="1" spans="1:7" ht="28" customHeight="1" x14ac:dyDescent="0.55000000000000004">
      <c r="A1" s="123" t="s">
        <v>194</v>
      </c>
      <c r="B1" s="59"/>
      <c r="C1" s="59"/>
      <c r="D1" s="59"/>
      <c r="E1" s="59"/>
      <c r="F1" s="59"/>
      <c r="G1" s="59"/>
    </row>
    <row r="2" spans="1:7" ht="22" customHeight="1" x14ac:dyDescent="0.55000000000000004">
      <c r="A2" s="90" t="s">
        <v>195</v>
      </c>
      <c r="B2" s="91"/>
      <c r="C2" s="91"/>
      <c r="D2" s="91"/>
      <c r="E2" s="91"/>
      <c r="F2" s="91"/>
      <c r="G2" s="91"/>
    </row>
    <row r="3" spans="1:7" ht="28" customHeight="1" x14ac:dyDescent="0.55000000000000004">
      <c r="A3" s="75" t="s">
        <v>196</v>
      </c>
      <c r="B3" s="53"/>
      <c r="C3" s="53"/>
      <c r="D3" s="53"/>
      <c r="E3" s="53"/>
      <c r="F3" s="53"/>
      <c r="G3" s="53"/>
    </row>
    <row r="4" spans="1:7" ht="5.05" customHeight="1" x14ac:dyDescent="0.55000000000000004">
      <c r="A4" s="2"/>
      <c r="B4" s="2"/>
      <c r="C4" s="2"/>
      <c r="D4" s="2"/>
      <c r="E4" s="2"/>
      <c r="F4" s="2"/>
      <c r="G4" s="2"/>
    </row>
    <row r="5" spans="1:7" ht="26.05" customHeight="1" x14ac:dyDescent="0.55000000000000004">
      <c r="A5" s="67" t="s">
        <v>197</v>
      </c>
      <c r="B5" s="59"/>
      <c r="C5" s="59"/>
      <c r="D5" s="59"/>
      <c r="E5" s="59"/>
      <c r="F5" s="59"/>
      <c r="G5" s="59"/>
    </row>
    <row r="6" spans="1:7" ht="22" customHeight="1" x14ac:dyDescent="0.55000000000000004">
      <c r="A6" s="121" t="s">
        <v>198</v>
      </c>
      <c r="B6" s="122"/>
      <c r="C6" s="122"/>
      <c r="D6" s="122"/>
      <c r="E6" s="122"/>
      <c r="F6" s="122"/>
      <c r="G6" s="122"/>
    </row>
    <row r="7" spans="1:7" ht="18" customHeight="1" x14ac:dyDescent="0.55000000000000004">
      <c r="A7" s="3"/>
      <c r="B7" s="3" t="s">
        <v>199</v>
      </c>
      <c r="C7" s="3" t="s">
        <v>200</v>
      </c>
      <c r="D7" s="3" t="s">
        <v>201</v>
      </c>
      <c r="E7" s="3" t="s">
        <v>202</v>
      </c>
      <c r="F7" s="3" t="s">
        <v>203</v>
      </c>
      <c r="G7" s="3" t="s">
        <v>204</v>
      </c>
    </row>
    <row r="8" spans="1:7" ht="30" customHeight="1" x14ac:dyDescent="0.55000000000000004">
      <c r="A8" s="25" t="s">
        <v>205</v>
      </c>
      <c r="B8" s="25" t="s">
        <v>206</v>
      </c>
      <c r="C8" s="25" t="s">
        <v>207</v>
      </c>
      <c r="D8" s="25" t="s">
        <v>208</v>
      </c>
      <c r="E8" s="25" t="s">
        <v>209</v>
      </c>
      <c r="F8" s="25" t="s">
        <v>210</v>
      </c>
      <c r="G8" s="25" t="s">
        <v>211</v>
      </c>
    </row>
    <row r="9" spans="1:7" ht="30" customHeight="1" x14ac:dyDescent="0.55000000000000004">
      <c r="A9" s="26" t="s">
        <v>212</v>
      </c>
      <c r="B9" s="26" t="s">
        <v>206</v>
      </c>
      <c r="C9" s="26" t="s">
        <v>213</v>
      </c>
      <c r="D9" s="26" t="s">
        <v>214</v>
      </c>
      <c r="E9" s="26" t="s">
        <v>210</v>
      </c>
      <c r="F9" s="26" t="s">
        <v>215</v>
      </c>
      <c r="G9" s="26" t="s">
        <v>216</v>
      </c>
    </row>
    <row r="10" spans="1:7" ht="30" customHeight="1" x14ac:dyDescent="0.55000000000000004">
      <c r="A10" s="25" t="s">
        <v>212</v>
      </c>
      <c r="B10" s="25" t="s">
        <v>206</v>
      </c>
      <c r="C10" s="25" t="s">
        <v>217</v>
      </c>
      <c r="D10" s="25" t="s">
        <v>218</v>
      </c>
      <c r="E10" s="25" t="s">
        <v>210</v>
      </c>
      <c r="F10" s="25" t="s">
        <v>219</v>
      </c>
      <c r="G10" s="25" t="s">
        <v>220</v>
      </c>
    </row>
    <row r="11" spans="1:7" ht="32.049999999999997" customHeight="1" x14ac:dyDescent="0.55000000000000004">
      <c r="A11" s="114" t="s">
        <v>221</v>
      </c>
      <c r="B11" s="62"/>
      <c r="C11" s="62"/>
      <c r="D11" s="62"/>
      <c r="E11" s="62"/>
      <c r="F11" s="62"/>
      <c r="G11" s="62"/>
    </row>
    <row r="12" spans="1:7" ht="5.05" customHeight="1" x14ac:dyDescent="0.55000000000000004">
      <c r="A12" s="2"/>
      <c r="B12" s="2"/>
      <c r="C12" s="2"/>
      <c r="D12" s="2"/>
      <c r="E12" s="2"/>
      <c r="F12" s="2"/>
      <c r="G12" s="2"/>
    </row>
    <row r="13" spans="1:7" ht="26.05" customHeight="1" x14ac:dyDescent="0.55000000000000004">
      <c r="A13" s="67" t="s">
        <v>222</v>
      </c>
      <c r="B13" s="59"/>
      <c r="C13" s="59"/>
      <c r="D13" s="59"/>
      <c r="E13" s="59"/>
      <c r="F13" s="59"/>
      <c r="G13" s="59"/>
    </row>
    <row r="14" spans="1:7" ht="22" customHeight="1" x14ac:dyDescent="0.55000000000000004">
      <c r="A14" s="121" t="s">
        <v>223</v>
      </c>
      <c r="B14" s="122"/>
      <c r="C14" s="122"/>
      <c r="D14" s="122"/>
      <c r="E14" s="122"/>
      <c r="F14" s="122"/>
      <c r="G14" s="122"/>
    </row>
    <row r="15" spans="1:7" ht="18" customHeight="1" x14ac:dyDescent="0.55000000000000004">
      <c r="A15" s="3"/>
      <c r="B15" s="3" t="s">
        <v>199</v>
      </c>
      <c r="C15" s="3" t="s">
        <v>200</v>
      </c>
      <c r="D15" s="3" t="s">
        <v>201</v>
      </c>
      <c r="E15" s="3" t="s">
        <v>202</v>
      </c>
      <c r="F15" s="3" t="s">
        <v>203</v>
      </c>
      <c r="G15" s="3" t="s">
        <v>204</v>
      </c>
    </row>
    <row r="16" spans="1:7" ht="28" customHeight="1" x14ac:dyDescent="0.55000000000000004">
      <c r="A16" s="25" t="s">
        <v>205</v>
      </c>
      <c r="B16" s="25" t="s">
        <v>224</v>
      </c>
      <c r="C16" s="25" t="s">
        <v>225</v>
      </c>
      <c r="D16" s="25" t="s">
        <v>226</v>
      </c>
      <c r="E16" s="25" t="s">
        <v>227</v>
      </c>
      <c r="F16" s="25" t="s">
        <v>210</v>
      </c>
      <c r="G16" s="25" t="s">
        <v>228</v>
      </c>
    </row>
    <row r="17" spans="1:7" ht="28" customHeight="1" x14ac:dyDescent="0.55000000000000004">
      <c r="A17" s="26" t="s">
        <v>212</v>
      </c>
      <c r="B17" s="26" t="s">
        <v>224</v>
      </c>
      <c r="C17" s="26" t="s">
        <v>207</v>
      </c>
      <c r="D17" s="26" t="s">
        <v>229</v>
      </c>
      <c r="E17" s="26" t="s">
        <v>210</v>
      </c>
      <c r="F17" s="26" t="s">
        <v>227</v>
      </c>
      <c r="G17" s="26" t="s">
        <v>211</v>
      </c>
    </row>
    <row r="18" spans="1:7" ht="30" customHeight="1" x14ac:dyDescent="0.55000000000000004">
      <c r="A18" s="27" t="s">
        <v>230</v>
      </c>
      <c r="B18" s="27" t="s">
        <v>210</v>
      </c>
      <c r="C18" s="27" t="s">
        <v>231</v>
      </c>
      <c r="D18" s="27" t="s">
        <v>232</v>
      </c>
      <c r="E18" s="27" t="s">
        <v>233</v>
      </c>
      <c r="F18" s="27" t="s">
        <v>210</v>
      </c>
      <c r="G18" s="27" t="s">
        <v>234</v>
      </c>
    </row>
    <row r="19" spans="1:7" ht="5.05" customHeight="1" x14ac:dyDescent="0.55000000000000004">
      <c r="A19" s="2"/>
      <c r="B19" s="2"/>
      <c r="C19" s="2"/>
      <c r="D19" s="2"/>
      <c r="E19" s="2"/>
      <c r="F19" s="2"/>
      <c r="G19" s="2"/>
    </row>
    <row r="20" spans="1:7" ht="26.05" customHeight="1" x14ac:dyDescent="0.55000000000000004">
      <c r="A20" s="67" t="s">
        <v>235</v>
      </c>
      <c r="B20" s="59"/>
      <c r="C20" s="59"/>
      <c r="D20" s="59"/>
      <c r="E20" s="59"/>
      <c r="F20" s="59"/>
      <c r="G20" s="59"/>
    </row>
    <row r="21" spans="1:7" ht="72" customHeight="1" x14ac:dyDescent="0.55000000000000004">
      <c r="A21" s="124" t="s">
        <v>236</v>
      </c>
      <c r="B21" s="125"/>
      <c r="C21" s="125"/>
      <c r="D21" s="125"/>
      <c r="E21" s="125"/>
      <c r="F21" s="125"/>
      <c r="G21" s="125"/>
    </row>
    <row r="22" spans="1:7" ht="5.05" customHeight="1" x14ac:dyDescent="0.55000000000000004">
      <c r="A22" s="2"/>
      <c r="B22" s="2"/>
      <c r="C22" s="2"/>
      <c r="D22" s="2"/>
      <c r="E22" s="2"/>
      <c r="F22" s="2"/>
      <c r="G22" s="2"/>
    </row>
    <row r="23" spans="1:7" ht="26.05" customHeight="1" x14ac:dyDescent="0.55000000000000004">
      <c r="A23" s="67" t="s">
        <v>237</v>
      </c>
      <c r="B23" s="59"/>
      <c r="C23" s="59"/>
      <c r="D23" s="59"/>
      <c r="E23" s="59"/>
      <c r="F23" s="59"/>
      <c r="G23" s="59"/>
    </row>
    <row r="24" spans="1:7" ht="18" customHeight="1" x14ac:dyDescent="0.55000000000000004">
      <c r="A24" s="3"/>
      <c r="B24" s="3" t="s">
        <v>199</v>
      </c>
      <c r="C24" s="3" t="s">
        <v>200</v>
      </c>
      <c r="D24" s="3" t="s">
        <v>201</v>
      </c>
      <c r="E24" s="3" t="s">
        <v>202</v>
      </c>
      <c r="F24" s="3" t="s">
        <v>203</v>
      </c>
      <c r="G24" s="3" t="s">
        <v>204</v>
      </c>
    </row>
    <row r="25" spans="1:7" ht="28" customHeight="1" x14ac:dyDescent="0.55000000000000004">
      <c r="A25" s="25" t="s">
        <v>205</v>
      </c>
      <c r="B25" s="25" t="s">
        <v>238</v>
      </c>
      <c r="C25" s="25" t="s">
        <v>217</v>
      </c>
      <c r="D25" s="25" t="s">
        <v>239</v>
      </c>
      <c r="E25" s="25" t="s">
        <v>240</v>
      </c>
      <c r="F25" s="25" t="s">
        <v>210</v>
      </c>
      <c r="G25" s="25" t="s">
        <v>241</v>
      </c>
    </row>
    <row r="26" spans="1:7" ht="28" customHeight="1" x14ac:dyDescent="0.55000000000000004">
      <c r="A26" s="26" t="s">
        <v>212</v>
      </c>
      <c r="B26" s="26" t="s">
        <v>238</v>
      </c>
      <c r="C26" s="26" t="s">
        <v>242</v>
      </c>
      <c r="D26" s="26" t="s">
        <v>243</v>
      </c>
      <c r="E26" s="26" t="s">
        <v>210</v>
      </c>
      <c r="F26" s="26" t="s">
        <v>240</v>
      </c>
      <c r="G26" s="26" t="s">
        <v>244</v>
      </c>
    </row>
    <row r="27" spans="1:7" ht="32.049999999999997" customHeight="1" x14ac:dyDescent="0.55000000000000004">
      <c r="A27" s="114" t="s">
        <v>245</v>
      </c>
      <c r="B27" s="62"/>
      <c r="C27" s="62"/>
      <c r="D27" s="62"/>
      <c r="E27" s="62"/>
      <c r="F27" s="62"/>
      <c r="G27" s="62"/>
    </row>
  </sheetData>
  <mergeCells count="12">
    <mergeCell ref="A13:G13"/>
    <mergeCell ref="A14:G14"/>
    <mergeCell ref="A1:G1"/>
    <mergeCell ref="A27:G27"/>
    <mergeCell ref="A3:G3"/>
    <mergeCell ref="A6:G6"/>
    <mergeCell ref="A21:G21"/>
    <mergeCell ref="A20:G20"/>
    <mergeCell ref="A2:G2"/>
    <mergeCell ref="A11:G11"/>
    <mergeCell ref="A5:G5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46" customWidth="1"/>
    <col min="4" max="4" width="22" customWidth="1"/>
  </cols>
  <sheetData>
    <row r="1" spans="1:4" ht="36" customHeight="1" x14ac:dyDescent="0.55000000000000004">
      <c r="A1" s="126" t="s">
        <v>246</v>
      </c>
      <c r="B1" s="127"/>
      <c r="C1" s="127"/>
      <c r="D1" s="127"/>
    </row>
    <row r="2" spans="1:4" ht="20.05" customHeight="1" x14ac:dyDescent="0.55000000000000004">
      <c r="A2" s="90" t="s">
        <v>247</v>
      </c>
      <c r="B2" s="91"/>
      <c r="C2" s="91"/>
      <c r="D2" s="91"/>
    </row>
    <row r="3" spans="1:4" ht="5.05" customHeight="1" x14ac:dyDescent="0.55000000000000004">
      <c r="A3" s="2"/>
      <c r="B3" s="2"/>
      <c r="C3" s="2"/>
      <c r="D3" s="2"/>
    </row>
    <row r="4" spans="1:4" ht="26.05" customHeight="1" x14ac:dyDescent="0.55000000000000004">
      <c r="A4" s="105" t="s">
        <v>248</v>
      </c>
      <c r="B4" s="106"/>
      <c r="C4" s="106"/>
      <c r="D4" s="106"/>
    </row>
    <row r="5" spans="1:4" ht="18" customHeight="1" x14ac:dyDescent="0.55000000000000004">
      <c r="A5" s="3" t="s">
        <v>249</v>
      </c>
      <c r="B5" s="3" t="s">
        <v>250</v>
      </c>
      <c r="C5" s="3" t="s">
        <v>251</v>
      </c>
      <c r="D5" s="3" t="s">
        <v>252</v>
      </c>
    </row>
    <row r="6" spans="1:4" ht="52" customHeight="1" x14ac:dyDescent="0.55000000000000004">
      <c r="A6" s="18" t="s">
        <v>253</v>
      </c>
      <c r="B6" s="21" t="s">
        <v>254</v>
      </c>
      <c r="C6" s="22" t="s">
        <v>255</v>
      </c>
      <c r="D6" s="28" t="s">
        <v>256</v>
      </c>
    </row>
    <row r="7" spans="1:4" ht="52" customHeight="1" x14ac:dyDescent="0.55000000000000004">
      <c r="A7" s="18" t="s">
        <v>257</v>
      </c>
      <c r="B7" s="23" t="s">
        <v>258</v>
      </c>
      <c r="C7" s="19" t="s">
        <v>259</v>
      </c>
      <c r="D7" s="29" t="s">
        <v>260</v>
      </c>
    </row>
    <row r="8" spans="1:4" ht="52" customHeight="1" x14ac:dyDescent="0.55000000000000004">
      <c r="A8" s="18" t="s">
        <v>261</v>
      </c>
      <c r="B8" s="21" t="s">
        <v>262</v>
      </c>
      <c r="C8" s="22" t="s">
        <v>263</v>
      </c>
      <c r="D8" s="28" t="s">
        <v>264</v>
      </c>
    </row>
    <row r="9" spans="1:4" ht="52" customHeight="1" x14ac:dyDescent="0.55000000000000004">
      <c r="A9" s="18" t="s">
        <v>265</v>
      </c>
      <c r="B9" s="23" t="s">
        <v>266</v>
      </c>
      <c r="C9" s="19" t="s">
        <v>267</v>
      </c>
      <c r="D9" s="29" t="s">
        <v>268</v>
      </c>
    </row>
    <row r="10" spans="1:4" ht="5.05" customHeight="1" x14ac:dyDescent="0.55000000000000004">
      <c r="A10" s="2"/>
      <c r="B10" s="2"/>
      <c r="C10" s="2"/>
      <c r="D10" s="2"/>
    </row>
    <row r="11" spans="1:4" ht="26.05" customHeight="1" x14ac:dyDescent="0.55000000000000004">
      <c r="A11" s="128" t="s">
        <v>269</v>
      </c>
      <c r="B11" s="129"/>
      <c r="C11" s="129"/>
      <c r="D11" s="129"/>
    </row>
    <row r="12" spans="1:4" ht="18" customHeight="1" x14ac:dyDescent="0.55000000000000004">
      <c r="A12" s="3" t="s">
        <v>249</v>
      </c>
      <c r="B12" s="3" t="s">
        <v>250</v>
      </c>
      <c r="C12" s="3" t="s">
        <v>251</v>
      </c>
      <c r="D12" s="3" t="s">
        <v>252</v>
      </c>
    </row>
    <row r="13" spans="1:4" ht="52" customHeight="1" x14ac:dyDescent="0.55000000000000004">
      <c r="A13" s="18" t="s">
        <v>270</v>
      </c>
      <c r="B13" s="21" t="s">
        <v>271</v>
      </c>
      <c r="C13" s="22" t="s">
        <v>272</v>
      </c>
      <c r="D13" s="28" t="s">
        <v>241</v>
      </c>
    </row>
    <row r="14" spans="1:4" ht="52" customHeight="1" x14ac:dyDescent="0.55000000000000004">
      <c r="A14" s="18" t="s">
        <v>273</v>
      </c>
      <c r="B14" s="23" t="s">
        <v>274</v>
      </c>
      <c r="C14" s="19" t="s">
        <v>275</v>
      </c>
      <c r="D14" s="29" t="s">
        <v>276</v>
      </c>
    </row>
    <row r="15" spans="1:4" ht="52" customHeight="1" x14ac:dyDescent="0.55000000000000004">
      <c r="A15" s="18" t="s">
        <v>277</v>
      </c>
      <c r="B15" s="21" t="s">
        <v>278</v>
      </c>
      <c r="C15" s="22" t="s">
        <v>279</v>
      </c>
      <c r="D15" s="28" t="s">
        <v>280</v>
      </c>
    </row>
    <row r="16" spans="1:4" ht="52" customHeight="1" x14ac:dyDescent="0.55000000000000004">
      <c r="A16" s="18" t="s">
        <v>281</v>
      </c>
      <c r="B16" s="23" t="s">
        <v>282</v>
      </c>
      <c r="C16" s="19" t="s">
        <v>283</v>
      </c>
      <c r="D16" s="29" t="s">
        <v>284</v>
      </c>
    </row>
    <row r="17" spans="1:4" ht="52" customHeight="1" x14ac:dyDescent="0.55000000000000004">
      <c r="A17" s="18" t="s">
        <v>285</v>
      </c>
      <c r="B17" s="21" t="s">
        <v>286</v>
      </c>
      <c r="C17" s="22" t="s">
        <v>287</v>
      </c>
      <c r="D17" s="28" t="s">
        <v>288</v>
      </c>
    </row>
    <row r="18" spans="1:4" ht="5.05" customHeight="1" x14ac:dyDescent="0.55000000000000004">
      <c r="A18" s="2"/>
      <c r="B18" s="2"/>
      <c r="C18" s="2"/>
      <c r="D18" s="2"/>
    </row>
    <row r="19" spans="1:4" ht="36" customHeight="1" x14ac:dyDescent="0.55000000000000004">
      <c r="A19" s="96" t="s">
        <v>289</v>
      </c>
      <c r="B19" s="97"/>
      <c r="C19" s="97"/>
      <c r="D19" s="97"/>
    </row>
  </sheetData>
  <mergeCells count="5">
    <mergeCell ref="A1:D1"/>
    <mergeCell ref="A11:D11"/>
    <mergeCell ref="A4:D4"/>
    <mergeCell ref="A19:D1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38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26" t="s">
        <v>290</v>
      </c>
      <c r="B1" s="127"/>
      <c r="C1" s="127"/>
      <c r="D1" s="127"/>
      <c r="E1" s="127"/>
      <c r="F1" s="127"/>
    </row>
    <row r="2" spans="1:6" ht="20.05" customHeight="1" x14ac:dyDescent="0.55000000000000004">
      <c r="A2" s="90" t="s">
        <v>291</v>
      </c>
      <c r="B2" s="91"/>
      <c r="C2" s="91"/>
      <c r="D2" s="91"/>
      <c r="E2" s="91"/>
      <c r="F2" s="91"/>
    </row>
    <row r="3" spans="1:6" ht="24" customHeight="1" x14ac:dyDescent="0.55000000000000004">
      <c r="A3" s="134" t="s">
        <v>292</v>
      </c>
      <c r="B3" s="135"/>
      <c r="C3" s="135"/>
      <c r="D3" s="135"/>
      <c r="E3" s="135"/>
      <c r="F3" s="135"/>
    </row>
    <row r="4" spans="1:6" ht="5.05" customHeight="1" x14ac:dyDescent="0.55000000000000004">
      <c r="A4" s="2"/>
      <c r="B4" s="2"/>
      <c r="C4" s="2"/>
      <c r="D4" s="2"/>
      <c r="E4" s="2"/>
      <c r="F4" s="2"/>
    </row>
    <row r="5" spans="1:6" ht="26.05" customHeight="1" x14ac:dyDescent="0.55000000000000004">
      <c r="A5" s="105" t="s">
        <v>293</v>
      </c>
      <c r="B5" s="106"/>
      <c r="C5" s="106"/>
      <c r="D5" s="106"/>
      <c r="E5" s="106"/>
      <c r="F5" s="106"/>
    </row>
    <row r="6" spans="1:6" ht="18" customHeight="1" x14ac:dyDescent="0.55000000000000004">
      <c r="A6" s="3"/>
      <c r="B6" s="3" t="s">
        <v>294</v>
      </c>
      <c r="C6" s="3" t="s">
        <v>295</v>
      </c>
      <c r="D6" s="3" t="s">
        <v>296</v>
      </c>
      <c r="E6" s="3" t="s">
        <v>297</v>
      </c>
      <c r="F6" s="3"/>
    </row>
    <row r="7" spans="1:6" ht="48" customHeight="1" x14ac:dyDescent="0.55000000000000004">
      <c r="A7" s="7"/>
      <c r="B7" s="30" t="s">
        <v>298</v>
      </c>
      <c r="C7" s="31" t="s">
        <v>299</v>
      </c>
      <c r="D7" s="32" t="s">
        <v>300</v>
      </c>
      <c r="E7" s="33" t="s">
        <v>301</v>
      </c>
      <c r="F7" s="7"/>
    </row>
    <row r="8" spans="1:6" ht="48" customHeight="1" x14ac:dyDescent="0.55000000000000004">
      <c r="A8" s="7"/>
      <c r="B8" s="30" t="s">
        <v>302</v>
      </c>
      <c r="C8" s="31" t="s">
        <v>303</v>
      </c>
      <c r="D8" s="32" t="s">
        <v>304</v>
      </c>
      <c r="E8" s="33" t="s">
        <v>305</v>
      </c>
      <c r="F8" s="7"/>
    </row>
    <row r="9" spans="1:6" ht="44.05" customHeight="1" x14ac:dyDescent="0.55000000000000004">
      <c r="A9" s="7"/>
      <c r="B9" s="30" t="s">
        <v>306</v>
      </c>
      <c r="C9" s="31" t="s">
        <v>307</v>
      </c>
      <c r="D9" s="32" t="s">
        <v>308</v>
      </c>
      <c r="E9" s="33" t="s">
        <v>309</v>
      </c>
      <c r="F9" s="7"/>
    </row>
    <row r="10" spans="1:6" ht="48" customHeight="1" x14ac:dyDescent="0.55000000000000004">
      <c r="A10" s="7"/>
      <c r="B10" s="30" t="s">
        <v>310</v>
      </c>
      <c r="C10" s="31" t="s">
        <v>311</v>
      </c>
      <c r="D10" s="32" t="s">
        <v>312</v>
      </c>
      <c r="E10" s="33" t="s">
        <v>313</v>
      </c>
      <c r="F10" s="7"/>
    </row>
    <row r="11" spans="1:6" ht="52" customHeight="1" x14ac:dyDescent="0.55000000000000004">
      <c r="A11" s="7"/>
      <c r="B11" s="30" t="s">
        <v>314</v>
      </c>
      <c r="C11" s="31" t="s">
        <v>315</v>
      </c>
      <c r="D11" s="32" t="s">
        <v>316</v>
      </c>
      <c r="E11" s="33" t="s">
        <v>317</v>
      </c>
      <c r="F11" s="7"/>
    </row>
    <row r="12" spans="1:6" ht="44.05" customHeight="1" x14ac:dyDescent="0.55000000000000004">
      <c r="A12" s="7"/>
      <c r="B12" s="30" t="s">
        <v>318</v>
      </c>
      <c r="C12" s="31" t="s">
        <v>319</v>
      </c>
      <c r="D12" s="32" t="s">
        <v>320</v>
      </c>
      <c r="E12" s="33" t="s">
        <v>321</v>
      </c>
      <c r="F12" s="7"/>
    </row>
    <row r="13" spans="1:6" ht="5.05" customHeight="1" x14ac:dyDescent="0.55000000000000004">
      <c r="A13" s="2"/>
      <c r="B13" s="2"/>
      <c r="C13" s="2"/>
      <c r="D13" s="2"/>
      <c r="E13" s="2"/>
      <c r="F13" s="2"/>
    </row>
    <row r="14" spans="1:6" ht="26.05" customHeight="1" x14ac:dyDescent="0.55000000000000004">
      <c r="A14" s="130" t="s">
        <v>322</v>
      </c>
      <c r="B14" s="131"/>
      <c r="C14" s="131"/>
      <c r="D14" s="131"/>
      <c r="E14" s="131"/>
      <c r="F14" s="131"/>
    </row>
    <row r="15" spans="1:6" ht="18" customHeight="1" x14ac:dyDescent="0.55000000000000004">
      <c r="A15" s="3"/>
      <c r="B15" s="3" t="s">
        <v>294</v>
      </c>
      <c r="C15" s="3" t="s">
        <v>295</v>
      </c>
      <c r="D15" s="3" t="s">
        <v>296</v>
      </c>
      <c r="E15" s="3" t="s">
        <v>297</v>
      </c>
      <c r="F15" s="3"/>
    </row>
    <row r="16" spans="1:6" ht="48" customHeight="1" x14ac:dyDescent="0.55000000000000004">
      <c r="A16" s="34"/>
      <c r="B16" s="35" t="s">
        <v>323</v>
      </c>
      <c r="C16" s="36" t="s">
        <v>324</v>
      </c>
      <c r="D16" s="37" t="s">
        <v>325</v>
      </c>
      <c r="E16" s="38" t="s">
        <v>326</v>
      </c>
      <c r="F16" s="34"/>
    </row>
    <row r="17" spans="1:6" ht="44.05" customHeight="1" x14ac:dyDescent="0.55000000000000004">
      <c r="A17" s="34"/>
      <c r="B17" s="35" t="s">
        <v>327</v>
      </c>
      <c r="C17" s="36" t="s">
        <v>328</v>
      </c>
      <c r="D17" s="37" t="s">
        <v>329</v>
      </c>
      <c r="E17" s="38" t="s">
        <v>330</v>
      </c>
      <c r="F17" s="34"/>
    </row>
    <row r="18" spans="1:6" ht="40" customHeight="1" x14ac:dyDescent="0.55000000000000004">
      <c r="A18" s="34"/>
      <c r="B18" s="35" t="s">
        <v>331</v>
      </c>
      <c r="C18" s="36" t="s">
        <v>332</v>
      </c>
      <c r="D18" s="37" t="s">
        <v>333</v>
      </c>
      <c r="E18" s="38" t="s">
        <v>334</v>
      </c>
      <c r="F18" s="34"/>
    </row>
    <row r="19" spans="1:6" ht="40" customHeight="1" x14ac:dyDescent="0.55000000000000004">
      <c r="A19" s="34"/>
      <c r="B19" s="35" t="s">
        <v>335</v>
      </c>
      <c r="C19" s="36" t="s">
        <v>336</v>
      </c>
      <c r="D19" s="37" t="s">
        <v>337</v>
      </c>
      <c r="E19" s="38" t="s">
        <v>338</v>
      </c>
      <c r="F19" s="34"/>
    </row>
    <row r="20" spans="1:6" ht="40" customHeight="1" x14ac:dyDescent="0.55000000000000004">
      <c r="A20" s="34"/>
      <c r="B20" s="35" t="s">
        <v>339</v>
      </c>
      <c r="C20" s="36" t="s">
        <v>340</v>
      </c>
      <c r="D20" s="37" t="s">
        <v>341</v>
      </c>
      <c r="E20" s="38" t="s">
        <v>342</v>
      </c>
      <c r="F20" s="34"/>
    </row>
    <row r="21" spans="1:6" ht="5.05" customHeight="1" x14ac:dyDescent="0.55000000000000004">
      <c r="A21" s="2"/>
      <c r="B21" s="2"/>
      <c r="C21" s="2"/>
      <c r="D21" s="2"/>
      <c r="E21" s="2"/>
      <c r="F21" s="2"/>
    </row>
    <row r="22" spans="1:6" ht="26.05" customHeight="1" x14ac:dyDescent="0.55000000000000004">
      <c r="A22" s="132" t="s">
        <v>343</v>
      </c>
      <c r="B22" s="133"/>
      <c r="C22" s="133"/>
      <c r="D22" s="133"/>
      <c r="E22" s="133"/>
      <c r="F22" s="133"/>
    </row>
    <row r="23" spans="1:6" ht="18" customHeight="1" x14ac:dyDescent="0.55000000000000004">
      <c r="A23" s="39"/>
      <c r="B23" s="39" t="s">
        <v>294</v>
      </c>
      <c r="C23" s="39" t="s">
        <v>5</v>
      </c>
      <c r="D23" s="39" t="s">
        <v>344</v>
      </c>
      <c r="E23" s="39" t="s">
        <v>149</v>
      </c>
      <c r="F23" s="39"/>
    </row>
    <row r="24" spans="1:6" ht="48" customHeight="1" x14ac:dyDescent="0.55000000000000004">
      <c r="A24" s="40"/>
      <c r="B24" s="41" t="s">
        <v>345</v>
      </c>
      <c r="C24" s="42" t="s">
        <v>346</v>
      </c>
      <c r="D24" s="43" t="s">
        <v>347</v>
      </c>
      <c r="E24" s="44" t="s">
        <v>348</v>
      </c>
      <c r="F24" s="40"/>
    </row>
    <row r="25" spans="1:6" ht="48" customHeight="1" x14ac:dyDescent="0.55000000000000004">
      <c r="A25" s="40"/>
      <c r="B25" s="41" t="s">
        <v>349</v>
      </c>
      <c r="C25" s="42" t="s">
        <v>350</v>
      </c>
      <c r="D25" s="43" t="s">
        <v>156</v>
      </c>
      <c r="E25" s="44" t="s">
        <v>348</v>
      </c>
      <c r="F25" s="40"/>
    </row>
    <row r="26" spans="1:6" ht="48" customHeight="1" x14ac:dyDescent="0.55000000000000004">
      <c r="A26" s="40"/>
      <c r="B26" s="41" t="s">
        <v>351</v>
      </c>
      <c r="C26" s="42" t="s">
        <v>161</v>
      </c>
      <c r="D26" s="43" t="s">
        <v>352</v>
      </c>
      <c r="E26" s="44" t="s">
        <v>348</v>
      </c>
      <c r="F26" s="40"/>
    </row>
    <row r="27" spans="1:6" ht="48" customHeight="1" x14ac:dyDescent="0.55000000000000004">
      <c r="A27" s="40"/>
      <c r="B27" s="41" t="s">
        <v>353</v>
      </c>
      <c r="C27" s="42" t="s">
        <v>164</v>
      </c>
      <c r="D27" s="43" t="s">
        <v>354</v>
      </c>
      <c r="E27" s="44" t="s">
        <v>348</v>
      </c>
      <c r="F27" s="40"/>
    </row>
    <row r="28" spans="1:6" ht="48" customHeight="1" x14ac:dyDescent="0.55000000000000004">
      <c r="A28" s="40"/>
      <c r="B28" s="41" t="s">
        <v>355</v>
      </c>
      <c r="C28" s="42" t="s">
        <v>356</v>
      </c>
      <c r="D28" s="43" t="s">
        <v>357</v>
      </c>
      <c r="E28" s="44" t="s">
        <v>348</v>
      </c>
      <c r="F28" s="40"/>
    </row>
    <row r="29" spans="1:6" ht="48" customHeight="1" x14ac:dyDescent="0.55000000000000004">
      <c r="A29" s="45"/>
      <c r="B29" s="46" t="s">
        <v>358</v>
      </c>
      <c r="C29" s="47" t="s">
        <v>170</v>
      </c>
      <c r="D29" s="48" t="s">
        <v>359</v>
      </c>
      <c r="E29" s="49" t="s">
        <v>348</v>
      </c>
      <c r="F29" s="45"/>
    </row>
    <row r="30" spans="1:6" ht="48" customHeight="1" x14ac:dyDescent="0.55000000000000004">
      <c r="A30" s="45"/>
      <c r="B30" s="46" t="s">
        <v>360</v>
      </c>
      <c r="C30" s="47" t="s">
        <v>361</v>
      </c>
      <c r="D30" s="48" t="s">
        <v>362</v>
      </c>
      <c r="E30" s="49" t="s">
        <v>348</v>
      </c>
      <c r="F30" s="45"/>
    </row>
    <row r="31" spans="1:6" ht="48" customHeight="1" x14ac:dyDescent="0.55000000000000004">
      <c r="A31" s="45"/>
      <c r="B31" s="46" t="s">
        <v>363</v>
      </c>
      <c r="C31" s="47" t="s">
        <v>364</v>
      </c>
      <c r="D31" s="48" t="s">
        <v>365</v>
      </c>
      <c r="E31" s="49" t="s">
        <v>348</v>
      </c>
      <c r="F31" s="45"/>
    </row>
    <row r="32" spans="1:6" ht="48" customHeight="1" x14ac:dyDescent="0.55000000000000004">
      <c r="A32" s="45"/>
      <c r="B32" s="46" t="s">
        <v>366</v>
      </c>
      <c r="C32" s="47" t="s">
        <v>179</v>
      </c>
      <c r="D32" s="48" t="s">
        <v>367</v>
      </c>
      <c r="E32" s="49" t="s">
        <v>348</v>
      </c>
      <c r="F32" s="45"/>
    </row>
    <row r="33" spans="1:6" ht="5.05" customHeight="1" x14ac:dyDescent="0.55000000000000004">
      <c r="A33" s="2"/>
      <c r="B33" s="2"/>
      <c r="C33" s="2"/>
      <c r="D33" s="2"/>
      <c r="E33" s="2"/>
      <c r="F33" s="2"/>
    </row>
    <row r="34" spans="1:6" ht="44.05" customHeight="1" x14ac:dyDescent="0.55000000000000004">
      <c r="A34" s="96" t="s">
        <v>368</v>
      </c>
      <c r="B34" s="97"/>
      <c r="C34" s="97"/>
      <c r="D34" s="97"/>
      <c r="E34" s="97"/>
      <c r="F34" s="97"/>
    </row>
  </sheetData>
  <mergeCells count="7">
    <mergeCell ref="A34:F34"/>
    <mergeCell ref="A3:F3"/>
    <mergeCell ref="A2:F2"/>
    <mergeCell ref="A14:F14"/>
    <mergeCell ref="A1:F1"/>
    <mergeCell ref="A5:F5"/>
    <mergeCell ref="A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2026-04-03T19:50:52Z</dcterms:created>
  <dcterms:modified xsi:type="dcterms:W3CDTF">2026-04-03T19:57:00Z</dcterms:modified>
</cp:coreProperties>
</file>