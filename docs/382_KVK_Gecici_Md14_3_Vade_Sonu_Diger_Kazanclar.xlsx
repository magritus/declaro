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E51E918F-044A-4D72-BD7A-72AF6D8AEF6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E50" i="1"/>
  <c r="C46" i="1"/>
  <c r="D6" i="2"/>
  <c r="E40" i="1"/>
  <c r="C45" i="1" s="1"/>
  <c r="G39" i="1"/>
  <c r="G38" i="1"/>
  <c r="G37" i="1"/>
  <c r="G36" i="1"/>
  <c r="G35" i="1"/>
  <c r="G34" i="1"/>
  <c r="G33" i="1"/>
  <c r="G32" i="1"/>
  <c r="G40" i="1" s="1"/>
  <c r="E15" i="1"/>
  <c r="D5" i="2" s="1"/>
  <c r="C47" i="1" l="1"/>
</calcChain>
</file>

<file path=xl/sharedStrings.xml><?xml version="1.0" encoding="utf-8"?>
<sst xmlns="http://schemas.openxmlformats.org/spreadsheetml/2006/main" count="526" uniqueCount="320">
  <si>
    <t>382 – KVK GEÇİCİ MADDE 14/3 | VADE SONUNDA DOĞAN DİĞER KAZANÇ İSTİSNASI | PARAGRAF 3 — ALTIN HESABI | KVK GEÇİCİ MD.14 SON KOD (370–382) | YMM TASDİK</t>
  </si>
  <si>
    <t>KVK Geçici Md.14/3 (Paragraf 3) | Altın Dönüşümü Sonrası 379/380/381 Dışında Kalan Vade Sonu Kazançlar | Beyanname 382 | ★ YİAKV MATRAHINDA DÜŞÜLEMEZ | KVK GEÇİCİ MD.14 PAKETI TAMAMLANDI (370–382 ON ÜÇ KOD)</t>
  </si>
  <si>
    <t xml:space="preserve">  374 / 378 / 382 PARAGRAF KARŞILAŞTIRMASI — Her üçü de VADE SONU DİĞER KAZANÇLAR:
  374 (Md.14/1-b): Paragraf 1 AKTİF — TL KKM (mevduat/altın) vade sonu DİĞER kazançları (371/372/373 dışı).
  378 (Md.14/2): Paragraf 2 PASİF — Borç dönüşümü TL araç vade sonu DİĞER kazançları (375/376/377 dışı).
  382 (Md.14/3): Paragraf 3 ALTIN — Altın hesabı TL araç vade sonu DİĞER kazançları (379/380/381 dışı) → BU DOSYA.
  ★ KVK GEÇİCİ MD.14 PAKETİ TAMAMLANDI: 370→382 on üç kod (P1: 370–374 | P2: 375–378 | P3: 379–382).</t>
  </si>
  <si>
    <t xml:space="preserve">  ★★ YİAKV (KVK Md.32/C) KRİTİK: 382 kapsamındaki vade sonu diğer kazançlar YİAKV matrahından DÜŞÜLEMEZ. 370–382 tamamı E.7 DÜŞÜLEMEZ listesindedir (13 kod).</t>
  </si>
  <si>
    <t>A0. KAPSAM VE NİTELİK UYGUNLUK ÖN KONTROLÜ</t>
  </si>
  <si>
    <t>Kontrol Sorusu</t>
  </si>
  <si>
    <t>Yanıt</t>
  </si>
  <si>
    <t>YMM Tasdik Notu</t>
  </si>
  <si>
    <t>A0.1  KVK Geçici Md.14/3 kapsamında altın hesabı dönüşümü (379) gerçekleştirildi mi?</t>
  </si>
  <si>
    <t>EVET</t>
  </si>
  <si>
    <t>382, 379 bağlantısı gerektirir. Altın dönüşümü (379) + dönem sonu tahakkuk (380) + vade (381) zinciri mevcut olmalı. 382 bu zincirin 'diğer' tamamlayıcısıdır.</t>
  </si>
  <si>
    <t>A0.2  ★ Bu kazanç 379/380/381 kapsamına girmiyor mu? ('Diğer' niteliği teyit edildi mi?)</t>
  </si>
  <si>
    <t>382 = 379 (altın dönüşüm kazancı) + 380 (dönem sonu tahakkuk) + 381 (vade kâr payı/faiz) DIŞINDA kalan kazançlar. Üç kodun kapsamını önce kontrol edin.</t>
  </si>
  <si>
    <t>A0.3  Kazanç türü belirlendi mi? (Altın fiyat farkı ek kazancı / Prim / Özel getiri / Diğer)</t>
  </si>
  <si>
    <t>Altın Fiyat Farkı Ek Kazancı</t>
  </si>
  <si>
    <t>Her tür için ayrı yasal dayanak ve belge zorunludur.</t>
  </si>
  <si>
    <t>A0.4  Vade tarihi dönem içinde (01.01–31.12) mi?</t>
  </si>
  <si>
    <t>382, vade sonu kazancıdır. Vade tarihi dönem içinde olmalı.</t>
  </si>
  <si>
    <t>A0.5  379/380/381 ile mükerrerlik analizi yapıldı mı?</t>
  </si>
  <si>
    <t>382 kapsamındaki kazancın 379/380/381'den farklı kalem olduğu teyit edilmeli. 374 ve 378 ile de ayrıştırma: Paragraf 3 araçları → 382.</t>
  </si>
  <si>
    <t>A0.6  ★ 382 tutarının YİAKV matrahından DÜŞÜLMEDIĞI teyit edildi mi?</t>
  </si>
  <si>
    <t>370–382 (13 kod) tamamı YİAKV matrahından DÜŞÜLEMEZ. E.7'de 382 de kontrol edilmeli.</t>
  </si>
  <si>
    <t>A0.7  YMM Tasdik Raporu gereksinimi değerlendirildi mi? (49 No.lu Tebliğ)</t>
  </si>
  <si>
    <t>&gt;=500.000 TL → YMM raporu.</t>
  </si>
  <si>
    <t>A0.8  Tasdik Uygunluk Sonucu</t>
  </si>
  <si>
    <t>★ A0.2 (diğer niteliği), A0.5 (mükerrerlik), A0.6 (YİAKV)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</si>
  <si>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</si>
  <si>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</si>
  <si>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</si>
  <si>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</si>
  <si>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</si>
  <si>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</si>
  <si>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</si>
  <si>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</si>
  <si>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</si>
  <si>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</si>
  <si>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YMM-2025/382-01</t>
  </si>
  <si>
    <t>379/380/381 Referansı</t>
  </si>
  <si>
    <t>Paragraf 3 zinciri — üç dosya çapraz mutabakat</t>
  </si>
  <si>
    <t>B. KAZANÇ TÜRÜ ANALİZİ — 382 KAPSAMININ KATEGORİLERİ (Paragraf 3 — Altın)</t>
  </si>
  <si>
    <t xml:space="preserve">  382 = Paragraf 3 kapsamında 379/380/381 DIŞINDA kalan her altın hesabı dönüşümü kaynaklı vade sonu kazancı. Her kalem için GİB'e açıklanabilir 'diğer' niteliği teyit edilmeli.</t>
  </si>
  <si>
    <t xml:space="preserve">  BAŞLICA 382 KALEMLERİ:
  ① ALTIN FİYAT FARKI EK KAZANCI: 379 (dönüşüm anı kazancı) dışında kalan, vade sonunda altın fiyat değişiminden doğan ek kazanç. (379 tek seferlik dönüşüm anındaki farkı kapsar; vade süresindeki ek altın fiyat hareketinden doğan kazanç 382 kapsamında olabilir.)
  ② PRİM / TEŞVİK ÖDEMESİ: Paragraf 3 kapsamı altın hesabı için banka tarafından ödenen prim veya teşvik (faiz/kâr payı niteliğinde değil).
  ③ ÖZEL TL ARAÇ GETİRİSİ: Altın dönüşümü sonrası kurulan TL araçtan faiz/kâr payı dışındaki ek getiri.
  ④ DİĞER: 379/380/381 kapsamına girmediği açık olan her türlü Paragraf 3 vade sonu kazancı.
  NOT: 374 (Par.1) ve 378 (Par.2) ile kapsam ayrımı: Altın hesabı araçları → 382. Diğer paragraflara karıştırma.</t>
  </si>
  <si>
    <t>C. VADE SONU DİĞER KAZANÇ TABLOSU (382) — KALEMİ VE TUTARI GİRİN</t>
  </si>
  <si>
    <t xml:space="preserve">  Her 382 kalemi için ayrı satır. SÜTUN 3 (kazanç türü) ve SÜTUN 5 (tutar) ANA GİRİŞ. 379/380/381 ile mükerrerlik var mı? kontrolü SÜTUN 6'da yapılır.</t>
  </si>
  <si>
    <t>Kazanç Türü</t>
  </si>
  <si>
    <t>Açıklama / Hesap</t>
  </si>
  <si>
    <t>379/380 Araç</t>
  </si>
  <si>
    <t>Vade Tarihi</t>
  </si>
  <si>
    <t>382 Brüt Tutar (TL)</t>
  </si>
  <si>
    <t>379-381 Mükerrerlik?</t>
  </si>
  <si>
    <t>Net 382 İstisna (TL)</t>
  </si>
  <si>
    <t>Yok</t>
  </si>
  <si>
    <t>TOPLAM</t>
  </si>
  <si>
    <t>382 Kapsamı Vade Sonu Diğer Kazançlar → Beyanname 382</t>
  </si>
  <si>
    <t>—</t>
  </si>
  <si>
    <t xml:space="preserve">  SÜTUN 5 (teal çerçeve): 382 kapsamındaki vade sonu diğer kazanç — ANA GİRİŞ. SÜTUN 6: Mükerrerlik analizi — 379/380/381'de zaten gösterildiyse 'Var' seçin, net 382 = 0. 374 (Par.1) ve 378 (Par.2) ile ayrıştırma: Altın araçları → 382.</t>
  </si>
  <si>
    <t>D. VADE SONU DİĞER KAZANÇ İSTİSNASI ÖZET — BEYANNAME 382</t>
  </si>
  <si>
    <t>Hesap Kalemi</t>
  </si>
  <si>
    <t>Tutar (TL)</t>
  </si>
  <si>
    <t>Açıklama</t>
  </si>
  <si>
    <t>YMM Notu</t>
  </si>
  <si>
    <t>D.1  Toplam 382 Brüt Kazanç (C Tablosu Sütun 5)</t>
  </si>
  <si>
    <t>C Sütun 5 toplamı</t>
  </si>
  <si>
    <t>D.2  Mükerrer Kalemler (379/380/381 ile çakışan)</t>
  </si>
  <si>
    <t>Mükerrer tutarlar — 382'ye yazılmaz</t>
  </si>
  <si>
    <t>D.3  ★ NET 382 İSTİSNA TUTARI → BEYANNAME 382</t>
  </si>
  <si>
    <t>→ Beyanname 382 | Kazancın Bulunması Halinde</t>
  </si>
  <si>
    <t>KVK Geçici Md.14/3</t>
  </si>
  <si>
    <t>D.4  Kapsam Dışı (Paragraf 3 dışı araçlar)</t>
  </si>
  <si>
    <t>Vergilendirilir</t>
  </si>
  <si>
    <t>E.1  TOPLAM İSTİSNA → Beyanname Satır 382 (Kazancın Bulunması Halinde)</t>
  </si>
  <si>
    <t>D.3 — KVK Geçici Md.14/3 | Paragraf 3 Vade Sonu Diğer Kazançlar</t>
  </si>
  <si>
    <t xml:space="preserve">  ★★ KVK GEÇİCİ MD.14 PAKETİ TAMAMLANDI — 370'DEN 382'YE ON ÜÇ KOD:
  PARAGRAF 1 (5 kod): 370 Kur farkı değerleme | 371 Kur farkı tazminat | 372 Dönem sonu tahakkuk | 373 Vade kâr payı/faiz | 374 Vade diğer kazançlar.
  PARAGRAF 2 (4 kod): 375 Borç kur farkı | 376 Dönem sonu tahakkuk | 377 Vade kâr payı/faiz | 378 Vade diğer kazançlar.
  PARAGRAF 3 (4 kod): 379 Altın dönüşüm kazancı | 380 Dönem sonu tahakkuk | 381 Vade kâr payı/faiz | 382 Vade diğer kazançlar.
  ★★ TÜMÜ YİAKV MATRAHINDA DÜŞÜLEMEZ (E.7 — 13 KOD EKSİKSİZ LİSTEDE).</t>
  </si>
  <si>
    <t>382 – KVK GEÇİCİ MD.14/3 VADE SONU DİĞER KAZANÇLAR | HESAPLAMALAR VE DENETİM</t>
  </si>
  <si>
    <t>Paragraf 3 Diğer Kazançlar | 370–382 KVK GEÇİCİ MD.14 PAKET TAMAMLANDI | YİAKV MATRAHINDA DÜŞÜLEMEZ</t>
  </si>
  <si>
    <t>A. TASDİK ÖZETİ</t>
  </si>
  <si>
    <t>A0 Uygunluğu</t>
  </si>
  <si>
    <t>OK ise devam</t>
  </si>
  <si>
    <t>Kazanç Türü (A0.3)</t>
  </si>
  <si>
    <t>Altın farkı/Prim/Özel/Diğer</t>
  </si>
  <si>
    <t>Toplam Brüt (D.1)</t>
  </si>
  <si>
    <t>Mükerrer Kalemler (D.2)</t>
  </si>
  <si>
    <t>379-381 çakışan — hariç tutuldu</t>
  </si>
  <si>
    <t>382 NET İSTİSNA (D.3)</t>
  </si>
  <si>
    <t>★★ YİAKV'de DÜŞÜLEMEZ</t>
  </si>
  <si>
    <t>370–382 tamamı E.7 (13 kod)</t>
  </si>
  <si>
    <t>Her zaman DÜŞÜLEMEZ</t>
  </si>
  <si>
    <t>B. KVK GEÇİCİ MD.14 TAM PAKET — 370'DEN 382'YE ON ÜÇ KOD (TAMAMLANDI)</t>
  </si>
  <si>
    <t xml:space="preserve">  ★ PAKET TAMAMLANDI: 370–382 on üç kod, üç paragraf. Tümü YİAKV matrahından DÜŞÜLEMEZ. YİAKV E.7 on üç kodu eksiksiz kapsamalı.</t>
  </si>
  <si>
    <t>Kod</t>
  </si>
  <si>
    <t>Par.</t>
  </si>
  <si>
    <t>Taraf</t>
  </si>
  <si>
    <t>Kapsam</t>
  </si>
  <si>
    <t>Muhasebe</t>
  </si>
  <si>
    <t>Zaman</t>
  </si>
  <si>
    <t>Beyanname</t>
  </si>
  <si>
    <t>YİAKV</t>
  </si>
  <si>
    <t>370</t>
  </si>
  <si>
    <t>1-a</t>
  </si>
  <si>
    <t>AKT</t>
  </si>
  <si>
    <t>Kur farkı değerleme</t>
  </si>
  <si>
    <t>646/679</t>
  </si>
  <si>
    <t>Dönüşüm</t>
  </si>
  <si>
    <t>DÜŞÜLEMEZ</t>
  </si>
  <si>
    <t>371</t>
  </si>
  <si>
    <t>1-b</t>
  </si>
  <si>
    <t>Kur farkı tazminat</t>
  </si>
  <si>
    <t>102/648</t>
  </si>
  <si>
    <t>Ödeme</t>
  </si>
  <si>
    <t>372</t>
  </si>
  <si>
    <t>Dönem sonu tahakkuk</t>
  </si>
  <si>
    <t>181/642</t>
  </si>
  <si>
    <t>31 Aralık</t>
  </si>
  <si>
    <t>373</t>
  </si>
  <si>
    <t>Vade kâr payı/faiz</t>
  </si>
  <si>
    <t>102/(181+642)</t>
  </si>
  <si>
    <t>Vade</t>
  </si>
  <si>
    <t>374</t>
  </si>
  <si>
    <t>Vade diğer kazançlar</t>
  </si>
  <si>
    <t>646/648/679</t>
  </si>
  <si>
    <t>375</t>
  </si>
  <si>
    <t>2</t>
  </si>
  <si>
    <t>PAS</t>
  </si>
  <si>
    <t>Borç kur farkı</t>
  </si>
  <si>
    <t>376</t>
  </si>
  <si>
    <t>377</t>
  </si>
  <si>
    <t>378</t>
  </si>
  <si>
    <t>379</t>
  </si>
  <si>
    <t>3</t>
  </si>
  <si>
    <t>ALT</t>
  </si>
  <si>
    <t>Altın dönüşüm kazancı</t>
  </si>
  <si>
    <t>380</t>
  </si>
  <si>
    <t>381</t>
  </si>
  <si>
    <t>382</t>
  </si>
  <si>
    <t>Vade diğer kazançlar (BU)</t>
  </si>
  <si>
    <t xml:space="preserve">  ★★ YİAKV E.7 SON GÜNCELLEMESİ (13 KOD — TAM PAKET):
  E.7 satırı: 'KVK Geçici Md.14 (Tüm Paragraflar 1-3, Tüm Kodlar 370-382) → YİAKV'de DÜŞÜLEMEZ ✗ | Beyanname 370/371/372/373/374/375/376/377/378/379/380/381/382'
  YMM, on üç kodun tamamının YİAKV çalışma kâğıdında E.7'de eksiksiz listelendiğini teyit etmelidir.</t>
  </si>
  <si>
    <t>C. DENETİM KONTROL LİSTESİ (K1–K12)</t>
  </si>
  <si>
    <t>Kontrol</t>
  </si>
  <si>
    <t>Sonuç</t>
  </si>
  <si>
    <t>K1</t>
  </si>
  <si>
    <t>★ 379/380/381 Paragraf 3 zinciri mevcut mu?</t>
  </si>
  <si>
    <t>382, Paragraf 3 zincirinin son kodu. 379+380+381 olmadan oluşamaz.</t>
  </si>
  <si>
    <t>Uygun/Eksik/Risk</t>
  </si>
  <si>
    <t>K2</t>
  </si>
  <si>
    <t>★ Bu kazanç türü gerçekten 379/380/381 kapsamına girmiyor mu?</t>
  </si>
  <si>
    <t>382 = 'Diğer' = 379+380+381 dışı. Her üçünün kapsamı kontrol edilmeli.</t>
  </si>
  <si>
    <t>K3</t>
  </si>
  <si>
    <t>Kazanç türü belgelendi mi? (Sözleşme/banka yazısı vb.)</t>
  </si>
  <si>
    <t>Her 382 kalemi için ayrı belge ve savunulabilir yasal dayanak.</t>
  </si>
  <si>
    <t>K4</t>
  </si>
  <si>
    <t>★ 379/380/381 ile mükerrerlik analizi (C Sütun 6) yapıldı mı?</t>
  </si>
  <si>
    <t>'Yok' olanlar 382'ye yazıldı. 'Var' olanlar dışlandı (D.2).</t>
  </si>
  <si>
    <t>K5</t>
  </si>
  <si>
    <t>374 (Par.1) ve 378 (Par.2) ile doğru ayrıştırıldı mı?</t>
  </si>
  <si>
    <t>Altın araçları → 382. Diğer paragraflara karıştırma yok.</t>
  </si>
  <si>
    <t>K6</t>
  </si>
  <si>
    <t>379/380/381 çalışma kâğıtlarıyla çapraz mutabakat yapıldı mı?</t>
  </si>
  <si>
    <t>Paragraf 3 zinciri tutarlı.</t>
  </si>
  <si>
    <t>K7</t>
  </si>
  <si>
    <t>Tartışmalı 382 kalemleri için özelge alındı mı?</t>
  </si>
  <si>
    <t>'Diğer' niteliği tartışmalı olabilir — GİB özelgesi risk yönetiminin temelidir.</t>
  </si>
  <si>
    <t>K8</t>
  </si>
  <si>
    <t>★★ 382 istisnası YİAKV matrahından DÜŞÜLMEDI mi?</t>
  </si>
  <si>
    <t>K9</t>
  </si>
  <si>
    <t>YİAKV E.7 satırı 382 dahil tüm 13 kodu kapsıyor mu?</t>
  </si>
  <si>
    <t>13 kodun tamamı E.7'de listeli — SON GÜNCELLEME.</t>
  </si>
  <si>
    <t>K10</t>
  </si>
  <si>
    <t>Beyanname 382 'Kazancın Bulunması Halinde' bölümünde mi?</t>
  </si>
  <si>
    <t>Zarar döneminde uygulanamaz.</t>
  </si>
  <si>
    <t>K11</t>
  </si>
  <si>
    <t>Vade tarihi dönem içinde (01.01–31.12) mi?</t>
  </si>
  <si>
    <t>Sonraki dönemde vadeye girenler → Gelecek yıl.</t>
  </si>
  <si>
    <t>K12</t>
  </si>
  <si>
    <t>YMM Tasdik Raporu (49 No.lu Tebliğ) değerlendirildi mi?</t>
  </si>
  <si>
    <t>382 – KVK GEÇİCİ MD.14/3 VADE SONU DİĞER KAZANÇLAR | MUHASEBE KAYITLARI | PAKET KAPANIŞI</t>
  </si>
  <si>
    <t>Paragraf 3 Diğer Kazanç | 374/378/382 Karşılaştırma | 370–382 Tam Tablo (13 Kod)</t>
  </si>
  <si>
    <t>KAYIT 1 — VADE SONU: PARAGRAF 3 DİĞER KAZANÇ (ALTINLI KKM BAĞLANTILI)</t>
  </si>
  <si>
    <t>Tarih</t>
  </si>
  <si>
    <t>Hesap</t>
  </si>
  <si>
    <t>Not</t>
  </si>
  <si>
    <t>Dr</t>
  </si>
  <si>
    <t>Kr</t>
  </si>
  <si>
    <t>Ref</t>
  </si>
  <si>
    <t>[Vade Tarihi]</t>
  </si>
  <si>
    <t>102 Bankalar / Çeşitli Hesap</t>
  </si>
  <si>
    <t>Paragraf 3 vade sonu diğer kazanç tahsilatı</t>
  </si>
  <si>
    <t>[Tutar]</t>
  </si>
  <si>
    <t>Belge/Hesaplama</t>
  </si>
  <si>
    <t>646 Kambiyo Kârları / 679 Diğer Kâr / 648 Diğer Gelir</t>
  </si>
  <si>
    <t>Paragraf 3 vade sonu diğer kazanç — KVK Geçici Md.14/3 → Beyanname 382</t>
  </si>
  <si>
    <t>KV 382</t>
  </si>
  <si>
    <t>KAYIT 2 — 374 / 378 / 382 YAN YANA (ÜÇÜNÜN KARŞILAŞTIRMASI)</t>
  </si>
  <si>
    <t>[Vade]</t>
  </si>
  <si>
    <t>P1 AKT: TL KKM/altın araç vade diğer kazançlar → 374</t>
  </si>
  <si>
    <t>[374]</t>
  </si>
  <si>
    <t>KV 374</t>
  </si>
  <si>
    <t>P2 PAS: Borç TL araç vade diğer kazançlar → 378</t>
  </si>
  <si>
    <t>[378]</t>
  </si>
  <si>
    <t>KV 378</t>
  </si>
  <si>
    <t>P3 ALT: Altın TL araç vade diğer kazançlar → 382 (BU)</t>
  </si>
  <si>
    <t>[382]</t>
  </si>
  <si>
    <t>KAYIT 3 — KVK GEÇİCİ MD.14 TAM PAKET (370–382 ON ÜÇ KOD)</t>
  </si>
  <si>
    <t>P1</t>
  </si>
  <si>
    <t>AKT: Kur farkı değerleme → 370</t>
  </si>
  <si>
    <t>[370]</t>
  </si>
  <si>
    <t>KV 370</t>
  </si>
  <si>
    <t>AKT: Kur farkı tazminat → 371</t>
  </si>
  <si>
    <t>[371]</t>
  </si>
  <si>
    <t>KV 371</t>
  </si>
  <si>
    <t>AKT: Dönem sonu tahakkuk → 372</t>
  </si>
  <si>
    <t>[372]</t>
  </si>
  <si>
    <t>KV 372</t>
  </si>
  <si>
    <t>AKT: Vade kâr payı/faiz → 373</t>
  </si>
  <si>
    <t>[373]</t>
  </si>
  <si>
    <t>KV 373</t>
  </si>
  <si>
    <t>AKT: Vade diğer kazançlar → 374</t>
  </si>
  <si>
    <t>P2</t>
  </si>
  <si>
    <t>PAS: Borç kur farkı → 375</t>
  </si>
  <si>
    <t>[375]</t>
  </si>
  <si>
    <t>KV 375</t>
  </si>
  <si>
    <t>PAS: Dönem sonu tahakkuk → 376</t>
  </si>
  <si>
    <t>[376]</t>
  </si>
  <si>
    <t>KV 376</t>
  </si>
  <si>
    <t>PAS: Vade kâr payı/faiz → 377</t>
  </si>
  <si>
    <t>[377]</t>
  </si>
  <si>
    <t>KV 377</t>
  </si>
  <si>
    <t>PAS: Vade diğer → 378</t>
  </si>
  <si>
    <t>P3</t>
  </si>
  <si>
    <t>ALT: Altın dönüşüm kazancı → 379</t>
  </si>
  <si>
    <t>[379]</t>
  </si>
  <si>
    <t>KV 379</t>
  </si>
  <si>
    <t>ALT: Dönem sonu tahakkuk → 380</t>
  </si>
  <si>
    <t>[380]</t>
  </si>
  <si>
    <t>KV 380</t>
  </si>
  <si>
    <t>ALT: Vade kâr payı/faiz → 381</t>
  </si>
  <si>
    <t>[381]</t>
  </si>
  <si>
    <t>KV 381</t>
  </si>
  <si>
    <t>ALT: Vade diğer → 382 (BU)</t>
  </si>
  <si>
    <t xml:space="preserve">  KVK GEÇİCİ MD.14 PAKETI TAMAMLANDI (370–382 ON ÜÇ KOD):
  Paragraf 1 (5 kod: 370–374): Aktif taraf — Yab. para/altın → TL KKM
  Paragraf 2 (4 kod: 375–378): Pasif taraf — Yab. para borç → TL
  Paragraf 3 (4 kod: 379–382): Altın hesabı → TL
  ★★ ON ÜÇ KODUN TAMAMININ GELİRİ YİAKV MATRAHINDA DÜŞÜLEMEZ (E.7 — 13 KOD EKSİKSİZ).</t>
  </si>
  <si>
    <t>382 – KVK GEÇİCİ MD.14/3 VADE SONU DİĞER KAZANÇLAR | DENETÇİ NOTLARI | PAKET KAPANIŞI</t>
  </si>
  <si>
    <t>GİB KV Beyan Rehberi Mart 2026 (No:606) | 374/378 Karşılaştırma | 370–382 On Üç Kod | YİAKV E.7 Finali</t>
  </si>
  <si>
    <t>Konu</t>
  </si>
  <si>
    <t>Mesleki Değerlendirme / Tasdik Standardı</t>
  </si>
  <si>
    <t>Mevzuat / Kaynak</t>
  </si>
  <si>
    <t>N1</t>
  </si>
  <si>
    <t>KVK Geçici Md.14/3 — 382 Kapsamı ve 374/378 ile Karşılaştırması</t>
  </si>
  <si>
    <t>382 (PARAGRAF 3 — ALTIN HESABI VADE SONU DİĞER KAZANÇLAR) TANIMI:
KVK Geçici Madde 14/3 kapsamında altın hesaplarını TL'ye dönüştüren kurumların,
dönüşüm sonrası TL araçlarından vade sonunda elde ettiği 379+380+381 DIŞINDA
kalan diğer kazançlar, KVK Geçici Madde 14/3 kapsamında istisnadır.
374 / 378 / 382 KARŞILAŞTIRMASI:
• 374 (Paragraf 1): Aktif — TL KKM (mevduat/altın dönüşümü) diğer kazançları
• 378 (Paragraf 2): Pasif — Borç dönüşümü TL araç diğer kazançları
• 382 (Paragraf 3): Altın — Altın dönüşümü TL araç diğer kazançları
Her üçü de '379/380/381 veya 371/372/373 veya 375/376/377 dışı' mantığı ile çalışır.
BEYANNAME: 382 | Kazancın Bulunması Halinde İndirilecek</t>
  </si>
  <si>
    <t>KVK Geçici Md.14/3 | GİB KV Beyan Reh. 2026 (No:606)</t>
  </si>
  <si>
    <t>N2</t>
  </si>
  <si>
    <t>374/378/382 — Birlikte Uygulanabilir mi? (Mükerrerlik Analizi)</t>
  </si>
  <si>
    <t>374, 378 ve 382 BİRLİKTE UYGULANABİLİR (farklı araçlar için):
Kurum hem P1 hem P2 hem P3 dönüşümü yaptıysa:
• P1 TL KKM araç diğer kazancı → 374
• P2 TL araç diğer kazancı → 378
• P3 altın TL araç diğer kazancı → 382
Bu MÜKERRERLİK DEĞİL — her biri farklı araç, farklı paragraf.
MÜKERRERLİK HATALARI:
• Aynı TL araç hem 374 hem 382 kapsamında → Mükerrerlik
• Aynı kazanç hem 381 (kâr payı/faiz) hem 382 (diğer) → Mükerrerlik
• Aynı altın araç için hem 374 hem 382 → Paragraf karışıklığı
ÖZELGE TAVSİYESİ: 382 'diğer' niteliği en tartışmalı kategoridir.
Altın fiyat farkı ek kazancının nasıl hesaplanacağı konusunda GİB özelgesi alınmalıdır.</t>
  </si>
  <si>
    <t>KVK Geçici Md.14/1-b (374) | Md.14/2 (378) | Md.14/3 (382)</t>
  </si>
  <si>
    <t>N3</t>
  </si>
  <si>
    <t>★★ YİAKV E.7 — 370–382 On Üç Kodun Tamamı DÜŞÜLEMEZ | SON GÜNCELLEME</t>
  </si>
  <si>
    <t>KVK GEÇİCİ MD.14 — ON ÜÇ KODUN TAMAMININ YİAKV MATRAHINDA DÜŞÜLEMEZLİĞİ:
Paragraf 1: 370|371|372|373|374 → BEŞİ DE DÜŞÜLEMEZ
Paragraf 2: 375|376|377|378 → DÖRDÜ DE DÜŞÜLEMEZ
Paragraf 3: 379|380|381|382 → DÖRDÜ DE DÜŞÜLEMEZ
TOPLAM ON ÜÇ KOD: TAMAMINA YİAKV MATRAHINDA DÜŞÜLEMEZ
YİAKV E.7 SON METİN (Önerilen):
'KVK Geçici Md.14 (Paragraf 1-3, Tüm Kodlar 370-382) Kur Farkı +
Faiz/Kâr Payı + Vade Kazançları İstisnası
→ YİAKV'de DÜŞÜLEMEZ ✗ | Beyanname 370/371/372/373/374/375/376/377/378/379/380/381/382'
★ BU SON GÜNCELLEME: 382 eklenmesiyle KVK Geçici Md.14 E.7 satırı tamamlanmıştır.</t>
  </si>
  <si>
    <t>KVK Md.32/C | YİAKV Reh. (No:607) | GİB KV Beyan Reh. (No:606)</t>
  </si>
  <si>
    <t>N4</t>
  </si>
  <si>
    <t>KVK Geçici Md.14 370–382 Paket Özeti — YMM Tasdik Perspektifi</t>
  </si>
  <si>
    <t>370–382 PAKETİNDE YMM'NİN ANA KONTROL ODAKLARI:
PARAGRAF 1 (370–374) — AKTİF TARAF:
• 372-373 çapraz: Her KKM hesabı için 372 + 373 = Toplam kâr payı/faiz ✓
• 374 'diğer' niteliği teyidi (özellikle altın KKM prim/endeks)
PARAGRAF 2 (375–378) — PASİF TARAF:
• 375 bağlantısı: 376/377/378 için 375 dönüşüm belgesi zorunlu
• 376-377 çapraz: Her araç için 376 + 377 = Toplam kâr payı/faiz ✓
PARAGRAF 3 (379–382) — ALTIN TARAFI:
• 379 bağlantısı: 380/381/382 için 379 altın dönüşüm belgesi zorunlu
• 380-381 çapraz: Her araç için 380 + 381 = Toplam kâr payı/faiz ✓
• 382 'diğer' niteliği teyidi — GİB özelgesi tavsiye
HER ÜÇ PARAGRAF İÇİN ORTAK:
• YİAKV E.7: 13 kodun tamamı DÜŞÜLEMEZ listesinde
• Beyanname: 'Kazancın Bulunması Halinde' (zarar döneminde uygulanamaz)
• 49 No.lu Tebliğ: &gt;=500.000 TL → YMM raporu</t>
  </si>
  <si>
    <t>KVK Geçici Md.14 | GİB KV Beyan Reh. 2026 (No:606) | 49 No.lu Tebliğ</t>
  </si>
  <si>
    <t>N5</t>
  </si>
  <si>
    <t>49 No.lu Tebliğ + YMM Tasdik Dil Standardı + Paket Kapanış</t>
  </si>
  <si>
    <t>KULLANIN:
'...KVK Geçici Madde 14/3 kapsamında altın hesabının TL'ye dönüştürülmesi sonucunda
kurulan [Araç Türü] hesabından vade sonunda elde edilen, faiz/kâr payı ve kur farkı
istisnası dışında kalan [Tutar] TL [Kazanç Türü], KVK Geçici Madde 14/3 kapsamında
kurumlar vergisinden istisna edilmiş ve yurt içi asgari kurumlar vergisi matrahından
indirilmemiştir.'
KULLANMAYIN:
'...382 tutarı YİAKV matrahından düşülmüştür.' (YANLIŞ)
'...381 ve 382 aynı kazanç için uygulanmıştır.' (Mükerrerlik)
'...YİAKV E.7'de 382 yoktur.' (E.7 güncellenmeli)
KRİTİK RİSKLER:
(1) 382'yi YİAKV matrahından düşmek.
(2) E.7'yi 382'yi kapsayacak şekilde güncellemeyip eski metinle bırakmak.
(3) 381 (kâr payı/faiz) ile 382 (diğer) ayrımını yapmamak.
(4) Paragraf 1 ve 2 araçlarını (374/378) Paragraf 3 (382) ile karıştırmak.</t>
  </si>
  <si>
    <t>49 No.lu Tebliğ | KVK Geçici Md.14 | SM-SMMM-YMM K. Md.12</t>
  </si>
  <si>
    <t xml:space="preserve">  KVK GEÇİCİ MD.14 PAKETİ TAMAMLANDI — 370'DEN 382'YE ON ÜÇ KOD:
  Paragraf 1 (5 kod 370–374): Aktif taraf yab. para/altın → TL KKM.
  Paragraf 2 (4 kod 375–378): Pasif taraf yab. para borç → TL.
  Paragraf 3 (4 kod 379–382): Altın hesabı → TL dönüşümü.
  ★★ ON ÜÇ KODUN TAMAMININ GELİRİ YİAKV MATRAHINDA DÜŞÜLEMEZ. YİAKV E.7 satırı 382'yi de kapsayacak şekilde SON GÜNCELLEME yapılmalıdır. GİB KV Beyan Rehberi Mart 2026 (No:606) esas alınmıştır. YMM müteselsil sorumluluk: SM-SMMM-YMM Kanunu Md.12.</t>
  </si>
  <si>
    <t>382 – KVK GEÇİCİ MD.14/3 VADE SONU DİĞER KAZANÇLAR | BELGE LİSTESİ | YMM TASDİK</t>
  </si>
  <si>
    <t>GİB KV Beyan Rehberi Mart 2026 (No:606) | 379/380/381 Çapraz | Özelge | YİAKV E.7 Finali</t>
  </si>
  <si>
    <t>KATEGORİ 1 — ZORUNLU BELGELER</t>
  </si>
  <si>
    <t>No</t>
  </si>
  <si>
    <t>Belge</t>
  </si>
  <si>
    <t>Temin</t>
  </si>
  <si>
    <t>1</t>
  </si>
  <si>
    <t>★ 379/380/381 Çalışma Kâğıtları — Paragraf 3 Zinciri ve 'Diğer' Teyidi</t>
  </si>
  <si>
    <t>379 (altın dönüşümü) + 380 (dönem sonu) + 381 (vade) üçü birlikte 382'nin 'diğer' niteliğini teyit eder.
382 tutarının 379/380/381 kapsamına girmediği bu dosyalar üzerinden kanıtlanmalıdır.</t>
  </si>
  <si>
    <t>379/380/381 çalışma kâğıtları</t>
  </si>
  <si>
    <t>★ Kazanç Türüne Özgü Belge (Sözleşme / Banka Yazısı / Hesaplama)</t>
  </si>
  <si>
    <t>Her 382 kalemi için ayrı belge. Altın fiyat farkı → Fiyat tablosu + Hesaplama.
Prim/teşvik → Banka resmi yazısı. Her kalem için ayrı belge zorunludur.</t>
  </si>
  <si>
    <t>Kazanç türüne göre</t>
  </si>
  <si>
    <t>GİB Özelgesi (Tartışmalı 382 Kalemleri İçin — Tavsiye)</t>
  </si>
  <si>
    <t>382 'diğer' niteliği özellikle altın fiyat farkı ek kazancı konusunda tartışmalı olabilir.
GİB özelgesi alınması risk yönetiminin temelidir.</t>
  </si>
  <si>
    <t>GİB özelge başvuru sistemi</t>
  </si>
  <si>
    <t>4</t>
  </si>
  <si>
    <t>KV Beyannamesi Taslağı — 382. Satır</t>
  </si>
  <si>
    <t>'Kazancın Bulunması Halinde' bölümü. ★★ YİAKV E.7 güncellenmiş (382 dahil 13 kod — SON GÜNCELLEME).</t>
  </si>
  <si>
    <t>GİB e-Beyanname sistemi</t>
  </si>
  <si>
    <t>KATEGORİ 2 — EK BELGELER</t>
  </si>
  <si>
    <t>5</t>
  </si>
  <si>
    <t>Muhasebe Yevmiyesi — 646/648/679 Vade Diğer Kazanç Kaydı</t>
  </si>
  <si>
    <t>382 kapsamındaki kazancın muhasebe kaydı. 642 (faiz) ile karışmamalı.</t>
  </si>
  <si>
    <t>Yevmiye defteri</t>
  </si>
  <si>
    <t>6</t>
  </si>
  <si>
    <t>374 ve 378 Çalışma Kâğıtları (Paragraf Ayrıştırma)</t>
  </si>
  <si>
    <t>Aynı dönemde 374/378/382 hepsi uygulanıyorsa araç bazlı ayrıştırma belgelenmelidir.</t>
  </si>
  <si>
    <t>374/378 çalışma kâğıtları</t>
  </si>
  <si>
    <t>KATEGORİ 3 — YMM TASDİK KONTROL SORULARI (SON PAKET)</t>
  </si>
  <si>
    <t>Beklenen Sonuç</t>
  </si>
  <si>
    <t>YMM Aksiyonu</t>
  </si>
  <si>
    <t>S1</t>
  </si>
  <si>
    <t>382 bağlantısı zorunlu.</t>
  </si>
  <si>
    <t>YMM kontrolü</t>
  </si>
  <si>
    <t>S2</t>
  </si>
  <si>
    <t>★ Bu kazanç 379/380/381 kapsamına girmiyor mu?</t>
  </si>
  <si>
    <t>'Diğer' niteliği üç kodun kapsamı karşılaştırılarak teyit.</t>
  </si>
  <si>
    <t>S3</t>
  </si>
  <si>
    <t>'Yok' olanlar 382'ye yazıldı.</t>
  </si>
  <si>
    <t>S4</t>
  </si>
  <si>
    <t>Kazanç türü belgelendi mi?</t>
  </si>
  <si>
    <t>Her kalem için belge ve savunulabilir yasal dayanak.</t>
  </si>
  <si>
    <t>S5</t>
  </si>
  <si>
    <t>Altın araçları → 382.</t>
  </si>
  <si>
    <t>S6</t>
  </si>
  <si>
    <t>Tartışmalı kalemler için özelge alındı mı?</t>
  </si>
  <si>
    <t>GİB özelgesi tavsiye.</t>
  </si>
  <si>
    <t>S7</t>
  </si>
  <si>
    <t>370–382 (13 kod) tamamı YİAKV E.7'de DÜŞÜLEMEZ.</t>
  </si>
  <si>
    <t>S8</t>
  </si>
  <si>
    <t>★ YİAKV E.7 satırı 382 dahil tüm 13 kodu kapsıyor mu?</t>
  </si>
  <si>
    <t>S9</t>
  </si>
  <si>
    <t>S10</t>
  </si>
  <si>
    <t xml:space="preserve">  KVK GEÇİCİ MD.14 PAKETİ TAMAMLANDI (370–382 ON ÜÇ KOD):
  Paragraf 1 (5 kod): 370 | 371 | 372 | 373 | 374
  Paragraf 2 (4 kod): 375 | 376 | 377 | 378
  Paragraf 3 (4 kod): 379 | 380 | 381 | 382
  ★★ ON ÜÇ KODUN TAMAMININ GELİRİ YİAKV MATRAHINDA DÜŞÜLEMEZ. YİAKV E.7 satırı 382 dahil 13 kodu kapsayacak şekilde SON GÜNCELLEMESİ yapılmalıdır.
  GİB KV Beyan Rehberi Mart 2026 (No:606) esas alınmıştır.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</si>
</sst>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1F3864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9"/>
      <color rgb="FF00BCD4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i/>
      <sz val="8"/>
      <color rgb="FF00BCD4"/>
      <name val="Arial"/>
      <family val="2"/>
      <charset val="162"/>
    </font>
    <font>
      <b/>
      <sz val="13"/>
      <color rgb="FF1B5E20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1F3864"/>
      <name val="Arial"/>
      <family val="2"/>
      <charset val="162"/>
    </font>
    <font>
      <b/>
      <sz val="8"/>
      <color rgb="FFC0392B"/>
      <name val="Arial"/>
      <family val="2"/>
      <charset val="162"/>
    </font>
    <font>
      <sz val="8"/>
      <color rgb="FF7B3F00"/>
      <name val="Arial"/>
      <family val="2"/>
      <charset val="162"/>
    </font>
    <font>
      <sz val="8"/>
      <color rgb="FF00BCD4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38">
    <fill>
      <patternFill patternType="none"/>
    </fill>
    <fill>
      <patternFill patternType="gray125"/>
    </fill>
    <fill>
      <patternFill patternType="solid">
        <fgColor rgb="FF00BCD4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0F7FA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00574B"/>
      </patternFill>
    </fill>
    <fill>
      <patternFill patternType="solid">
        <fgColor rgb="FFFFEBEE"/>
      </patternFill>
    </fill>
    <fill>
      <patternFill patternType="solid">
        <fgColor rgb="FF004D40"/>
      </patternFill>
    </fill>
    <fill>
      <patternFill patternType="solid">
        <fgColor rgb="FF01579B"/>
      </patternFill>
    </fill>
    <fill>
      <patternFill patternType="solid">
        <fgColor rgb="FF0D47A1"/>
      </patternFill>
    </fill>
    <fill>
      <patternFill patternType="solid">
        <fgColor rgb="FF880E4F"/>
      </patternFill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03F9F"/>
      </patternFill>
    </fill>
    <fill>
      <patternFill patternType="solid">
        <fgColor rgb="FF3949AB"/>
      </patternFill>
    </fill>
    <fill>
      <patternFill patternType="solid">
        <fgColor rgb="FF006064"/>
      </patternFill>
    </fill>
    <fill>
      <patternFill patternType="solid">
        <fgColor rgb="FFFFF8E1"/>
      </patternFill>
    </fill>
    <fill>
      <patternFill patternType="solid">
        <fgColor rgb="FF00838F"/>
      </patternFill>
    </fill>
    <fill>
      <patternFill patternType="solid">
        <fgColor rgb="FF00ACC1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BCD4"/>
      </left>
      <right style="thin">
        <color rgb="FF00BCD4"/>
      </right>
      <top style="thin">
        <color rgb="FF00BCD4"/>
      </top>
      <bottom style="thin">
        <color rgb="FF00BCD4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3" fontId="14" fillId="9" borderId="3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3" fontId="15" fillId="13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19" fillId="13" borderId="4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3" fontId="20" fillId="13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3" fillId="13" borderId="1" xfId="0" applyNumberFormat="1" applyFont="1" applyFill="1" applyBorder="1" applyAlignment="1">
      <alignment horizontal="right" vertical="center"/>
    </xf>
    <xf numFmtId="0" fontId="24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3" fillId="3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31" borderId="1" xfId="0" applyFont="1" applyFill="1" applyBorder="1" applyAlignment="1">
      <alignment horizontal="left" vertical="top" wrapText="1"/>
    </xf>
    <xf numFmtId="0" fontId="0" fillId="31" borderId="1" xfId="0" applyFill="1" applyBorder="1"/>
    <xf numFmtId="0" fontId="0" fillId="17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center" vertical="center" wrapText="1"/>
    </xf>
    <xf numFmtId="0" fontId="13" fillId="32" borderId="1" xfId="0" applyFont="1" applyFill="1" applyBorder="1" applyAlignment="1">
      <alignment horizontal="left" vertical="top" wrapText="1"/>
    </xf>
    <xf numFmtId="0" fontId="31" fillId="9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31" fillId="11" borderId="1" xfId="0" applyFont="1" applyFill="1" applyBorder="1" applyAlignment="1">
      <alignment horizontal="left" vertical="top" wrapText="1"/>
    </xf>
    <xf numFmtId="0" fontId="8" fillId="17" borderId="1" xfId="0" applyFont="1" applyFill="1" applyBorder="1" applyAlignment="1">
      <alignment horizontal="left" vertical="top" wrapText="1"/>
    </xf>
    <xf numFmtId="0" fontId="31" fillId="17" borderId="1" xfId="0" applyFont="1" applyFill="1" applyBorder="1" applyAlignment="1">
      <alignment horizontal="left" vertical="top" wrapText="1"/>
    </xf>
    <xf numFmtId="0" fontId="31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13" fillId="33" borderId="1" xfId="0" applyFont="1" applyFill="1" applyBorder="1" applyAlignment="1">
      <alignment horizontal="left" vertical="top" wrapText="1"/>
    </xf>
    <xf numFmtId="0" fontId="31" fillId="13" borderId="1" xfId="0" applyFont="1" applyFill="1" applyBorder="1" applyAlignment="1">
      <alignment horizontal="left" vertical="top" wrapText="1"/>
    </xf>
    <xf numFmtId="0" fontId="0" fillId="34" borderId="1" xfId="0" applyFill="1" applyBorder="1"/>
    <xf numFmtId="0" fontId="5" fillId="34" borderId="1" xfId="0" applyFont="1" applyFill="1" applyBorder="1" applyAlignment="1">
      <alignment horizontal="center" vertical="top"/>
    </xf>
    <xf numFmtId="0" fontId="5" fillId="34" borderId="1" xfId="0" applyFont="1" applyFill="1" applyBorder="1" applyAlignment="1">
      <alignment horizontal="left" vertical="top" wrapText="1"/>
    </xf>
    <xf numFmtId="0" fontId="13" fillId="35" borderId="1" xfId="0" applyFont="1" applyFill="1" applyBorder="1" applyAlignment="1">
      <alignment horizontal="left" vertical="top" wrapText="1"/>
    </xf>
    <xf numFmtId="0" fontId="31" fillId="34" borderId="1" xfId="0" applyFont="1" applyFill="1" applyBorder="1" applyAlignment="1">
      <alignment horizontal="left" vertical="top" wrapText="1"/>
    </xf>
    <xf numFmtId="0" fontId="1" fillId="36" borderId="2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top"/>
    </xf>
    <xf numFmtId="0" fontId="13" fillId="31" borderId="1" xfId="0" applyFont="1" applyFill="1" applyBorder="1" applyAlignment="1">
      <alignment horizontal="left" vertical="top" wrapText="1"/>
    </xf>
    <xf numFmtId="0" fontId="34" fillId="17" borderId="1" xfId="0" applyFont="1" applyFill="1" applyBorder="1" applyAlignment="1">
      <alignment horizontal="center" vertical="top"/>
    </xf>
    <xf numFmtId="0" fontId="33" fillId="34" borderId="1" xfId="0" applyFont="1" applyFill="1" applyBorder="1" applyAlignment="1">
      <alignment horizontal="center" vertical="top"/>
    </xf>
    <xf numFmtId="0" fontId="33" fillId="34" borderId="1" xfId="0" applyFont="1" applyFill="1" applyBorder="1" applyAlignment="1">
      <alignment horizontal="left" vertical="top" wrapText="1"/>
    </xf>
    <xf numFmtId="0" fontId="34" fillId="34" borderId="1" xfId="0" applyFont="1" applyFill="1" applyBorder="1" applyAlignment="1">
      <alignment horizontal="center" vertical="top"/>
    </xf>
    <xf numFmtId="0" fontId="33" fillId="31" borderId="1" xfId="0" applyFont="1" applyFill="1" applyBorder="1" applyAlignment="1">
      <alignment horizontal="center" vertical="top"/>
    </xf>
    <xf numFmtId="0" fontId="13" fillId="37" borderId="1" xfId="0" applyFont="1" applyFill="1" applyBorder="1" applyAlignment="1">
      <alignment horizontal="left" vertical="top" wrapText="1"/>
    </xf>
    <xf numFmtId="0" fontId="34" fillId="31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7" fillId="9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5" fillId="1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13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5" fillId="1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13" fillId="9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0" fillId="1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13" fillId="9" borderId="1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5" fillId="12" borderId="1" xfId="0" applyFont="1" applyFill="1" applyBorder="1" applyAlignment="1">
      <alignment horizontal="left" vertical="top" wrapText="1"/>
    </xf>
    <xf numFmtId="0" fontId="8" fillId="31" borderId="1" xfId="0" applyFont="1" applyFill="1" applyBorder="1" applyAlignment="1">
      <alignment horizontal="left" vertical="top" wrapText="1"/>
    </xf>
    <xf numFmtId="0" fontId="0" fillId="31" borderId="1" xfId="0" applyFill="1" applyBorder="1"/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 wrapText="1"/>
    </xf>
    <xf numFmtId="0" fontId="13" fillId="30" borderId="1" xfId="0" applyFont="1" applyFill="1" applyBorder="1" applyAlignment="1">
      <alignment horizontal="left" vertical="top" wrapText="1"/>
    </xf>
    <xf numFmtId="0" fontId="0" fillId="30" borderId="1" xfId="0" applyFill="1" applyBorder="1"/>
    <xf numFmtId="0" fontId="13" fillId="12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13" fillId="17" borderId="1" xfId="0" applyFont="1" applyFill="1" applyBorder="1" applyAlignment="1">
      <alignment horizontal="left" vertical="top" wrapText="1"/>
    </xf>
    <xf numFmtId="0" fontId="0" fillId="17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29" fillId="2" borderId="2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 wrapText="1"/>
    </xf>
    <xf numFmtId="0" fontId="32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6" fillId="2" borderId="2" xfId="0" applyFont="1" applyFill="1" applyBorder="1" applyAlignment="1">
      <alignment horizontal="left" vertical="center"/>
    </xf>
    <xf numFmtId="0" fontId="4" fillId="36" borderId="5" xfId="0" applyFont="1" applyFill="1" applyBorder="1" applyAlignment="1">
      <alignment horizontal="left" vertical="center"/>
    </xf>
    <xf numFmtId="0" fontId="0" fillId="36" borderId="5" xfId="0" applyFill="1" applyBorder="1"/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14" borderId="5" xfId="0" applyFont="1" applyFill="1" applyBorder="1" applyAlignment="1">
      <alignment horizontal="left" vertical="center"/>
    </xf>
    <xf numFmtId="0" fontId="0" fillId="14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C1107C-66BE-4A95-ADE3-5487A7692C6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80b621a-341f-432f-a5c9-fa83d2a7eb1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3" width="16" customWidth="1"/>
    <col min="4" max="4" width="18" customWidth="1"/>
    <col min="5" max="5" width="16" customWidth="1"/>
    <col min="6" max="6" width="14" customWidth="1"/>
    <col min="7" max="7" width="24" customWidth="1"/>
  </cols>
  <sheetData>
    <row r="1" spans="1:7" ht="52" customHeight="1" x14ac:dyDescent="0.55000000000000004">
      <c r="A1" s="100" t="s">
        <v>0</v>
      </c>
      <c r="B1" s="101"/>
      <c r="C1" s="101"/>
      <c r="D1" s="101"/>
      <c r="E1" s="101"/>
      <c r="F1" s="101"/>
      <c r="G1" s="101"/>
    </row>
    <row r="2" spans="1:7" ht="22" customHeight="1" x14ac:dyDescent="0.55000000000000004">
      <c r="A2" s="119" t="s">
        <v>1</v>
      </c>
      <c r="B2" s="120"/>
      <c r="C2" s="120"/>
      <c r="D2" s="120"/>
      <c r="E2" s="120"/>
      <c r="F2" s="120"/>
      <c r="G2" s="120"/>
    </row>
    <row r="3" spans="1:7" ht="44.05" customHeight="1" x14ac:dyDescent="0.55000000000000004">
      <c r="A3" s="116" t="s">
        <v>2</v>
      </c>
      <c r="B3" s="117"/>
      <c r="C3" s="117"/>
      <c r="D3" s="117"/>
      <c r="E3" s="117"/>
      <c r="F3" s="117"/>
      <c r="G3" s="117"/>
    </row>
    <row r="4" spans="1:7" ht="22" customHeight="1" x14ac:dyDescent="0.55000000000000004">
      <c r="A4" s="91" t="s">
        <v>3</v>
      </c>
      <c r="B4" s="92"/>
      <c r="C4" s="92"/>
      <c r="D4" s="92"/>
      <c r="E4" s="92"/>
      <c r="F4" s="92"/>
      <c r="G4" s="92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9" t="s">
        <v>4</v>
      </c>
      <c r="B6" s="110"/>
      <c r="C6" s="110"/>
      <c r="D6" s="110"/>
      <c r="E6" s="110"/>
      <c r="F6" s="110"/>
      <c r="G6" s="110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3" t="s">
        <v>8</v>
      </c>
      <c r="B8" s="84"/>
      <c r="C8" s="84"/>
      <c r="D8" s="84"/>
      <c r="E8" s="4" t="s">
        <v>9</v>
      </c>
      <c r="F8" s="89" t="s">
        <v>10</v>
      </c>
      <c r="G8" s="84"/>
    </row>
    <row r="9" spans="1:7" ht="28" customHeight="1" x14ac:dyDescent="0.55000000000000004">
      <c r="A9" s="96" t="s">
        <v>11</v>
      </c>
      <c r="B9" s="97"/>
      <c r="C9" s="97"/>
      <c r="D9" s="97"/>
      <c r="E9" s="4" t="s">
        <v>9</v>
      </c>
      <c r="F9" s="112" t="s">
        <v>12</v>
      </c>
      <c r="G9" s="97"/>
    </row>
    <row r="10" spans="1:7" ht="28" customHeight="1" x14ac:dyDescent="0.55000000000000004">
      <c r="A10" s="83" t="s">
        <v>13</v>
      </c>
      <c r="B10" s="84"/>
      <c r="C10" s="84"/>
      <c r="D10" s="84"/>
      <c r="E10" s="4" t="s">
        <v>14</v>
      </c>
      <c r="F10" s="89" t="s">
        <v>15</v>
      </c>
      <c r="G10" s="84"/>
    </row>
    <row r="11" spans="1:7" ht="28" customHeight="1" x14ac:dyDescent="0.55000000000000004">
      <c r="A11" s="93" t="s">
        <v>16</v>
      </c>
      <c r="B11" s="86"/>
      <c r="C11" s="86"/>
      <c r="D11" s="86"/>
      <c r="E11" s="4" t="s">
        <v>9</v>
      </c>
      <c r="F11" s="85" t="s">
        <v>17</v>
      </c>
      <c r="G11" s="86"/>
    </row>
    <row r="12" spans="1:7" ht="28" customHeight="1" x14ac:dyDescent="0.55000000000000004">
      <c r="A12" s="83" t="s">
        <v>18</v>
      </c>
      <c r="B12" s="84"/>
      <c r="C12" s="84"/>
      <c r="D12" s="84"/>
      <c r="E12" s="4" t="s">
        <v>9</v>
      </c>
      <c r="F12" s="89" t="s">
        <v>19</v>
      </c>
      <c r="G12" s="84"/>
    </row>
    <row r="13" spans="1:7" ht="28" customHeight="1" x14ac:dyDescent="0.55000000000000004">
      <c r="A13" s="96" t="s">
        <v>20</v>
      </c>
      <c r="B13" s="97"/>
      <c r="C13" s="97"/>
      <c r="D13" s="97"/>
      <c r="E13" s="4" t="s">
        <v>9</v>
      </c>
      <c r="F13" s="112" t="s">
        <v>21</v>
      </c>
      <c r="G13" s="97"/>
    </row>
    <row r="14" spans="1:7" ht="28" customHeight="1" x14ac:dyDescent="0.55000000000000004">
      <c r="A14" s="83" t="s">
        <v>22</v>
      </c>
      <c r="B14" s="84"/>
      <c r="C14" s="84"/>
      <c r="D14" s="84"/>
      <c r="E14" s="4" t="s">
        <v>9</v>
      </c>
      <c r="F14" s="89" t="s">
        <v>23</v>
      </c>
      <c r="G14" s="84"/>
    </row>
    <row r="15" spans="1:7" ht="24" customHeight="1" x14ac:dyDescent="0.55000000000000004">
      <c r="A15" s="102" t="s">
        <v>24</v>
      </c>
      <c r="B15" s="99"/>
      <c r="C15" s="99"/>
      <c r="D15" s="99"/>
      <c r="E15" s="7" t="str">
        <f>IF(AND(E8="EVET",E9="EVET",E11="EVET",E13="EVET"),"OK - Hesaplanabilir","HATA - Ön koşul eksik")</f>
        <v>OK - Hesaplanabilir</v>
      </c>
      <c r="F15" s="98" t="s">
        <v>25</v>
      </c>
      <c r="G15" s="99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87" t="s">
        <v>26</v>
      </c>
      <c r="B17" s="88"/>
      <c r="C17" s="88"/>
      <c r="D17" s="88"/>
      <c r="E17" s="88"/>
      <c r="F17" s="88"/>
      <c r="G17" s="88"/>
    </row>
    <row r="18" spans="1:7" ht="22" customHeight="1" x14ac:dyDescent="0.55000000000000004">
      <c r="A18" s="83" t="s">
        <v>27</v>
      </c>
      <c r="B18" s="84"/>
      <c r="C18" s="90"/>
      <c r="D18" s="90"/>
      <c r="E18" s="90"/>
      <c r="F18" s="8" t="s">
        <v>28</v>
      </c>
      <c r="G18" s="3"/>
    </row>
    <row r="19" spans="1:7" ht="22" customHeight="1" x14ac:dyDescent="0.55000000000000004">
      <c r="A19" s="93" t="s">
        <v>29</v>
      </c>
      <c r="B19" s="86"/>
      <c r="C19" s="90"/>
      <c r="D19" s="90"/>
      <c r="E19" s="90"/>
      <c r="F19" s="9" t="s">
        <v>30</v>
      </c>
      <c r="G19" s="5"/>
    </row>
    <row r="20" spans="1:7" ht="22" customHeight="1" x14ac:dyDescent="0.55000000000000004">
      <c r="A20" s="83" t="s">
        <v>31</v>
      </c>
      <c r="B20" s="84"/>
      <c r="C20" s="90"/>
      <c r="D20" s="90"/>
      <c r="E20" s="90"/>
      <c r="F20" s="8" t="s">
        <v>32</v>
      </c>
      <c r="G20" s="3"/>
    </row>
    <row r="21" spans="1:7" ht="22" customHeight="1" x14ac:dyDescent="0.55000000000000004">
      <c r="A21" s="93" t="s">
        <v>33</v>
      </c>
      <c r="B21" s="86"/>
      <c r="C21" s="90"/>
      <c r="D21" s="90"/>
      <c r="E21" s="90"/>
      <c r="F21" s="9" t="s">
        <v>34</v>
      </c>
      <c r="G21" s="5"/>
    </row>
    <row r="22" spans="1:7" ht="22" customHeight="1" x14ac:dyDescent="0.55000000000000004">
      <c r="A22" s="83" t="s">
        <v>35</v>
      </c>
      <c r="B22" s="84"/>
      <c r="C22" s="90"/>
      <c r="D22" s="90"/>
      <c r="E22" s="90"/>
      <c r="F22" s="8" t="s">
        <v>36</v>
      </c>
      <c r="G22" s="3"/>
    </row>
    <row r="23" spans="1:7" ht="22" customHeight="1" x14ac:dyDescent="0.55000000000000004">
      <c r="A23" s="93" t="s">
        <v>37</v>
      </c>
      <c r="B23" s="86"/>
      <c r="C23" s="90"/>
      <c r="D23" s="90"/>
      <c r="E23" s="90"/>
      <c r="F23" s="9" t="s">
        <v>38</v>
      </c>
      <c r="G23" s="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87" t="s">
        <v>39</v>
      </c>
      <c r="B25" s="88"/>
      <c r="C25" s="88"/>
      <c r="D25" s="88"/>
      <c r="E25" s="88"/>
      <c r="F25" s="88"/>
      <c r="G25" s="88"/>
    </row>
    <row r="26" spans="1:7" ht="24" customHeight="1" x14ac:dyDescent="0.55000000000000004">
      <c r="A26" s="103" t="s">
        <v>40</v>
      </c>
      <c r="B26" s="84"/>
      <c r="C26" s="84"/>
      <c r="D26" s="84"/>
      <c r="E26" s="84"/>
      <c r="F26" s="84"/>
      <c r="G26" s="84"/>
    </row>
    <row r="27" spans="1:7" ht="52" customHeight="1" x14ac:dyDescent="0.55000000000000004">
      <c r="A27" s="115" t="s">
        <v>41</v>
      </c>
      <c r="B27" s="114"/>
      <c r="C27" s="114"/>
      <c r="D27" s="114"/>
      <c r="E27" s="114"/>
      <c r="F27" s="114"/>
      <c r="G27" s="114"/>
    </row>
    <row r="28" spans="1:7" ht="5.05" customHeight="1" x14ac:dyDescent="0.55000000000000004">
      <c r="A28" s="1"/>
      <c r="B28" s="1"/>
      <c r="C28" s="1"/>
      <c r="D28" s="1"/>
      <c r="E28" s="1"/>
      <c r="F28" s="1"/>
      <c r="G28" s="1"/>
    </row>
    <row r="29" spans="1:7" ht="24" customHeight="1" x14ac:dyDescent="0.55000000000000004">
      <c r="A29" s="87" t="s">
        <v>42</v>
      </c>
      <c r="B29" s="88"/>
      <c r="C29" s="88"/>
      <c r="D29" s="88"/>
      <c r="E29" s="88"/>
      <c r="F29" s="88"/>
      <c r="G29" s="88"/>
    </row>
    <row r="30" spans="1:7" ht="22" customHeight="1" x14ac:dyDescent="0.55000000000000004">
      <c r="A30" s="103" t="s">
        <v>43</v>
      </c>
      <c r="B30" s="84"/>
      <c r="C30" s="84"/>
      <c r="D30" s="84"/>
      <c r="E30" s="84"/>
      <c r="F30" s="84"/>
      <c r="G30" s="84"/>
    </row>
    <row r="31" spans="1:7" ht="18" customHeight="1" x14ac:dyDescent="0.55000000000000004">
      <c r="A31" s="10" t="s">
        <v>44</v>
      </c>
      <c r="B31" s="10" t="s">
        <v>45</v>
      </c>
      <c r="C31" s="10" t="s">
        <v>46</v>
      </c>
      <c r="D31" s="10" t="s">
        <v>47</v>
      </c>
      <c r="E31" s="10" t="s">
        <v>48</v>
      </c>
      <c r="F31" s="10" t="s">
        <v>49</v>
      </c>
      <c r="G31" s="10" t="s">
        <v>50</v>
      </c>
    </row>
    <row r="32" spans="1:7" ht="26.05" customHeight="1" x14ac:dyDescent="0.55000000000000004">
      <c r="A32" s="11"/>
      <c r="B32" s="11"/>
      <c r="C32" s="11"/>
      <c r="D32" s="12"/>
      <c r="E32" s="13"/>
      <c r="F32" s="14" t="s">
        <v>51</v>
      </c>
      <c r="G32" s="15">
        <f t="shared" ref="G32:G39" si="0">IF(E32&gt;0,IF(F32="Yok",E32,0),0)</f>
        <v>0</v>
      </c>
    </row>
    <row r="33" spans="1:7" ht="26.05" customHeight="1" x14ac:dyDescent="0.55000000000000004">
      <c r="A33" s="11"/>
      <c r="B33" s="11"/>
      <c r="C33" s="11"/>
      <c r="D33" s="12"/>
      <c r="E33" s="13"/>
      <c r="F33" s="14" t="s">
        <v>51</v>
      </c>
      <c r="G33" s="15">
        <f t="shared" si="0"/>
        <v>0</v>
      </c>
    </row>
    <row r="34" spans="1:7" ht="26.05" customHeight="1" x14ac:dyDescent="0.55000000000000004">
      <c r="A34" s="11"/>
      <c r="B34" s="11"/>
      <c r="C34" s="11"/>
      <c r="D34" s="12"/>
      <c r="E34" s="13"/>
      <c r="F34" s="14" t="s">
        <v>51</v>
      </c>
      <c r="G34" s="15">
        <f t="shared" si="0"/>
        <v>0</v>
      </c>
    </row>
    <row r="35" spans="1:7" ht="26.05" customHeight="1" x14ac:dyDescent="0.55000000000000004">
      <c r="A35" s="11"/>
      <c r="B35" s="11"/>
      <c r="C35" s="11"/>
      <c r="D35" s="12"/>
      <c r="E35" s="13"/>
      <c r="F35" s="14" t="s">
        <v>51</v>
      </c>
      <c r="G35" s="15">
        <f t="shared" si="0"/>
        <v>0</v>
      </c>
    </row>
    <row r="36" spans="1:7" ht="26.05" customHeight="1" x14ac:dyDescent="0.55000000000000004">
      <c r="A36" s="11"/>
      <c r="B36" s="11"/>
      <c r="C36" s="11"/>
      <c r="D36" s="12"/>
      <c r="E36" s="13"/>
      <c r="F36" s="14" t="s">
        <v>51</v>
      </c>
      <c r="G36" s="15">
        <f t="shared" si="0"/>
        <v>0</v>
      </c>
    </row>
    <row r="37" spans="1:7" ht="26.05" customHeight="1" x14ac:dyDescent="0.55000000000000004">
      <c r="A37" s="11"/>
      <c r="B37" s="11"/>
      <c r="C37" s="11"/>
      <c r="D37" s="12"/>
      <c r="E37" s="13"/>
      <c r="F37" s="14" t="s">
        <v>51</v>
      </c>
      <c r="G37" s="15">
        <f t="shared" si="0"/>
        <v>0</v>
      </c>
    </row>
    <row r="38" spans="1:7" ht="26.05" customHeight="1" x14ac:dyDescent="0.55000000000000004">
      <c r="A38" s="11"/>
      <c r="B38" s="11"/>
      <c r="C38" s="11"/>
      <c r="D38" s="12"/>
      <c r="E38" s="13"/>
      <c r="F38" s="14" t="s">
        <v>51</v>
      </c>
      <c r="G38" s="15">
        <f t="shared" si="0"/>
        <v>0</v>
      </c>
    </row>
    <row r="39" spans="1:7" ht="26.05" customHeight="1" x14ac:dyDescent="0.55000000000000004">
      <c r="A39" s="11"/>
      <c r="B39" s="11"/>
      <c r="C39" s="11"/>
      <c r="D39" s="12"/>
      <c r="E39" s="13"/>
      <c r="F39" s="14" t="s">
        <v>51</v>
      </c>
      <c r="G39" s="15">
        <f t="shared" si="0"/>
        <v>0</v>
      </c>
    </row>
    <row r="40" spans="1:7" ht="30" customHeight="1" x14ac:dyDescent="0.55000000000000004">
      <c r="A40" s="16" t="s">
        <v>52</v>
      </c>
      <c r="B40" s="100" t="s">
        <v>53</v>
      </c>
      <c r="C40" s="101"/>
      <c r="D40" s="101"/>
      <c r="E40" s="17">
        <f>SUM(E32:E39)</f>
        <v>0</v>
      </c>
      <c r="F40" s="16" t="s">
        <v>54</v>
      </c>
      <c r="G40" s="18">
        <f>SUM(G32:G39)</f>
        <v>0</v>
      </c>
    </row>
    <row r="41" spans="1:7" ht="28" customHeight="1" x14ac:dyDescent="0.55000000000000004">
      <c r="A41" s="113" t="s">
        <v>55</v>
      </c>
      <c r="B41" s="114"/>
      <c r="C41" s="114"/>
      <c r="D41" s="114"/>
      <c r="E41" s="114"/>
      <c r="F41" s="114"/>
      <c r="G41" s="114"/>
    </row>
    <row r="42" spans="1:7" ht="5.05" customHeight="1" x14ac:dyDescent="0.55000000000000004">
      <c r="A42" s="1"/>
      <c r="B42" s="1"/>
      <c r="C42" s="1"/>
      <c r="D42" s="1"/>
      <c r="E42" s="1"/>
      <c r="F42" s="1"/>
      <c r="G42" s="1"/>
    </row>
    <row r="43" spans="1:7" ht="24" customHeight="1" x14ac:dyDescent="0.55000000000000004">
      <c r="A43" s="87" t="s">
        <v>56</v>
      </c>
      <c r="B43" s="88"/>
      <c r="C43" s="88"/>
      <c r="D43" s="88"/>
      <c r="E43" s="88"/>
      <c r="F43" s="88"/>
      <c r="G43" s="88"/>
    </row>
    <row r="44" spans="1:7" ht="18" customHeight="1" x14ac:dyDescent="0.55000000000000004">
      <c r="A44" s="2"/>
      <c r="B44" s="2" t="s">
        <v>57</v>
      </c>
      <c r="C44" s="2"/>
      <c r="D44" s="2" t="s">
        <v>58</v>
      </c>
      <c r="E44" s="2"/>
      <c r="F44" s="2" t="s">
        <v>59</v>
      </c>
      <c r="G44" s="2" t="s">
        <v>60</v>
      </c>
    </row>
    <row r="45" spans="1:7" ht="28" customHeight="1" x14ac:dyDescent="0.55000000000000004">
      <c r="A45" s="93" t="s">
        <v>61</v>
      </c>
      <c r="B45" s="86"/>
      <c r="C45" s="19">
        <f>E40</f>
        <v>0</v>
      </c>
      <c r="D45" s="95" t="s">
        <v>62</v>
      </c>
      <c r="E45" s="86"/>
      <c r="F45" s="85"/>
      <c r="G45" s="86"/>
    </row>
    <row r="46" spans="1:7" ht="28" customHeight="1" x14ac:dyDescent="0.55000000000000004">
      <c r="A46" s="83" t="s">
        <v>63</v>
      </c>
      <c r="B46" s="84"/>
      <c r="C46" s="19">
        <f>E40-G40</f>
        <v>0</v>
      </c>
      <c r="D46" s="94" t="s">
        <v>64</v>
      </c>
      <c r="E46" s="84"/>
      <c r="F46" s="89"/>
      <c r="G46" s="84"/>
    </row>
    <row r="47" spans="1:7" ht="28" customHeight="1" x14ac:dyDescent="0.55000000000000004">
      <c r="A47" s="111" t="s">
        <v>65</v>
      </c>
      <c r="B47" s="99"/>
      <c r="C47" s="20">
        <f>G40</f>
        <v>0</v>
      </c>
      <c r="D47" s="107" t="s">
        <v>66</v>
      </c>
      <c r="E47" s="99"/>
      <c r="F47" s="108" t="s">
        <v>67</v>
      </c>
      <c r="G47" s="99"/>
    </row>
    <row r="48" spans="1:7" ht="28" customHeight="1" x14ac:dyDescent="0.55000000000000004">
      <c r="A48" s="83" t="s">
        <v>68</v>
      </c>
      <c r="B48" s="84"/>
      <c r="C48" s="21"/>
      <c r="D48" s="94" t="s">
        <v>69</v>
      </c>
      <c r="E48" s="84"/>
      <c r="F48" s="89"/>
      <c r="G48" s="84"/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32.049999999999997" customHeight="1" x14ac:dyDescent="0.55000000000000004">
      <c r="A50" s="118" t="s">
        <v>70</v>
      </c>
      <c r="B50" s="99"/>
      <c r="C50" s="99"/>
      <c r="D50" s="99"/>
      <c r="E50" s="22">
        <f>C47</f>
        <v>0</v>
      </c>
      <c r="F50" s="104" t="s">
        <v>71</v>
      </c>
      <c r="G50" s="99"/>
    </row>
    <row r="51" spans="1:7" ht="60" customHeight="1" x14ac:dyDescent="0.55000000000000004">
      <c r="A51" s="105" t="s">
        <v>72</v>
      </c>
      <c r="B51" s="106"/>
      <c r="C51" s="106"/>
      <c r="D51" s="106"/>
      <c r="E51" s="106"/>
      <c r="F51" s="106"/>
      <c r="G51" s="106"/>
    </row>
  </sheetData>
  <mergeCells count="57">
    <mergeCell ref="A2:G2"/>
    <mergeCell ref="F14:G14"/>
    <mergeCell ref="C20:E20"/>
    <mergeCell ref="A14:D14"/>
    <mergeCell ref="A1:G1"/>
    <mergeCell ref="F47:G47"/>
    <mergeCell ref="C19:E19"/>
    <mergeCell ref="A6:G6"/>
    <mergeCell ref="A47:B47"/>
    <mergeCell ref="C18:E18"/>
    <mergeCell ref="F46:G46"/>
    <mergeCell ref="F13:G13"/>
    <mergeCell ref="A23:B23"/>
    <mergeCell ref="A25:G25"/>
    <mergeCell ref="A41:G41"/>
    <mergeCell ref="F9:G9"/>
    <mergeCell ref="A22:B22"/>
    <mergeCell ref="A20:B20"/>
    <mergeCell ref="A27:G27"/>
    <mergeCell ref="A3:G3"/>
    <mergeCell ref="F50:G50"/>
    <mergeCell ref="A51:G51"/>
    <mergeCell ref="F8:G8"/>
    <mergeCell ref="D47:E47"/>
    <mergeCell ref="A21:B21"/>
    <mergeCell ref="F48:G48"/>
    <mergeCell ref="A12:D12"/>
    <mergeCell ref="A19:B19"/>
    <mergeCell ref="A50:D50"/>
    <mergeCell ref="A26:G26"/>
    <mergeCell ref="A4:G4"/>
    <mergeCell ref="A45:B45"/>
    <mergeCell ref="D46:E46"/>
    <mergeCell ref="A29:G29"/>
    <mergeCell ref="C21:E21"/>
    <mergeCell ref="A10:D10"/>
    <mergeCell ref="A43:G43"/>
    <mergeCell ref="D45:E45"/>
    <mergeCell ref="A13:D13"/>
    <mergeCell ref="A9:D9"/>
    <mergeCell ref="F12:G12"/>
    <mergeCell ref="F15:G15"/>
    <mergeCell ref="C23:E23"/>
    <mergeCell ref="B40:D40"/>
    <mergeCell ref="A15:D15"/>
    <mergeCell ref="A30:G30"/>
    <mergeCell ref="A48:B48"/>
    <mergeCell ref="F11:G11"/>
    <mergeCell ref="A8:D8"/>
    <mergeCell ref="A17:G17"/>
    <mergeCell ref="F10:G10"/>
    <mergeCell ref="C22:E22"/>
    <mergeCell ref="F45:G45"/>
    <mergeCell ref="A46:B46"/>
    <mergeCell ref="A11:D11"/>
    <mergeCell ref="A18:B18"/>
    <mergeCell ref="D48:E48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8">
    <dataValidation type="list" sqref="E8" xr:uid="{00000000-0002-0000-0000-000000000000}">
      <formula1>"EVET,HAYIR-İstisna Yok"</formula1>
    </dataValidation>
    <dataValidation type="list" sqref="E9" xr:uid="{00000000-0002-0000-0000-000001000000}">
      <formula1>"EVET,HAYIR-Yanlış Kod"</formula1>
    </dataValidation>
    <dataValidation type="list" sqref="E10 A32:A39" xr:uid="{00000000-0002-0000-0000-000002000000}">
      <formula1>"Altın Fiyat Farkı Ek Kazancı,Prim/Teşvik Ödemesi,Özel TL Araç Getirisi,Diğer Paragraf 3 Kazancı"</formula1>
    </dataValidation>
    <dataValidation type="list" sqref="E11" xr:uid="{00000000-0002-0000-0000-000003000000}">
      <formula1>"EVET,HAYIR-Sonraki Yıl"</formula1>
    </dataValidation>
    <dataValidation type="list" sqref="E12" xr:uid="{00000000-0002-0000-0000-000004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E14" xr:uid="{00000000-0002-0000-0000-000006000000}">
      <formula1>"EVET,Tam Tasdik"</formula1>
    </dataValidation>
    <dataValidation type="list" sqref="F32:F39" xr:uid="{00000000-0002-0000-0000-000008000000}">
      <formula1>"Yok,Var-379,Var-380,Var-381,Var-Birden Fazla"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5" width="14" customWidth="1"/>
    <col min="6" max="6" width="12" customWidth="1"/>
    <col min="7" max="7" width="16" customWidth="1"/>
  </cols>
  <sheetData>
    <row r="1" spans="1:8" ht="36" customHeight="1" x14ac:dyDescent="0.55000000000000004">
      <c r="A1" s="136" t="s">
        <v>73</v>
      </c>
      <c r="B1" s="88"/>
      <c r="C1" s="88"/>
      <c r="D1" s="88"/>
      <c r="E1" s="88"/>
      <c r="F1" s="88"/>
      <c r="G1" s="88"/>
    </row>
    <row r="2" spans="1:8" ht="20.05" customHeight="1" x14ac:dyDescent="0.55000000000000004">
      <c r="A2" s="119" t="s">
        <v>74</v>
      </c>
      <c r="B2" s="120"/>
      <c r="C2" s="120"/>
      <c r="D2" s="120"/>
      <c r="E2" s="120"/>
      <c r="F2" s="120"/>
      <c r="G2" s="120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</row>
    <row r="4" spans="1:8" ht="22" customHeight="1" x14ac:dyDescent="0.55000000000000004">
      <c r="A4" s="124" t="s">
        <v>75</v>
      </c>
      <c r="B4" s="125"/>
      <c r="C4" s="125"/>
      <c r="D4" s="125"/>
      <c r="E4" s="125"/>
      <c r="F4" s="125"/>
      <c r="G4" s="125"/>
    </row>
    <row r="5" spans="1:8" ht="22" customHeight="1" x14ac:dyDescent="0.55000000000000004">
      <c r="A5" s="129" t="s">
        <v>76</v>
      </c>
      <c r="B5" s="86"/>
      <c r="C5" s="86"/>
      <c r="D5" s="23" t="str">
        <f>'VERİ GİRİŞİ'!E15</f>
        <v>OK - Hesaplanabilir</v>
      </c>
      <c r="E5" s="85" t="s">
        <v>77</v>
      </c>
      <c r="F5" s="86"/>
      <c r="G5" s="86"/>
    </row>
    <row r="6" spans="1:8" ht="22" customHeight="1" x14ac:dyDescent="0.55000000000000004">
      <c r="A6" s="130" t="s">
        <v>78</v>
      </c>
      <c r="B6" s="84"/>
      <c r="C6" s="84"/>
      <c r="D6" s="23" t="str">
        <f>'VERİ GİRİŞİ'!E10</f>
        <v>Altın Fiyat Farkı Ek Kazancı</v>
      </c>
      <c r="E6" s="89" t="s">
        <v>79</v>
      </c>
      <c r="F6" s="84"/>
      <c r="G6" s="84"/>
    </row>
    <row r="7" spans="1:8" ht="22" customHeight="1" x14ac:dyDescent="0.55000000000000004">
      <c r="A7" s="129" t="s">
        <v>80</v>
      </c>
      <c r="B7" s="86"/>
      <c r="C7" s="86"/>
      <c r="D7" s="23">
        <f>'VERİ GİRİŞİ'!C45</f>
        <v>0</v>
      </c>
      <c r="E7" s="85" t="s">
        <v>62</v>
      </c>
      <c r="F7" s="86"/>
      <c r="G7" s="86"/>
    </row>
    <row r="8" spans="1:8" ht="22" customHeight="1" x14ac:dyDescent="0.55000000000000004">
      <c r="A8" s="130" t="s">
        <v>81</v>
      </c>
      <c r="B8" s="84"/>
      <c r="C8" s="84"/>
      <c r="D8" s="23">
        <f>'VERİ GİRİŞİ'!C46</f>
        <v>0</v>
      </c>
      <c r="E8" s="89" t="s">
        <v>82</v>
      </c>
      <c r="F8" s="84"/>
      <c r="G8" s="84"/>
    </row>
    <row r="9" spans="1:8" ht="22" customHeight="1" x14ac:dyDescent="0.55000000000000004">
      <c r="A9" s="102" t="s">
        <v>83</v>
      </c>
      <c r="B9" s="99"/>
      <c r="C9" s="99"/>
      <c r="D9" s="24">
        <f>'VERİ GİRİŞİ'!C47</f>
        <v>0</v>
      </c>
      <c r="E9" s="108"/>
      <c r="F9" s="99"/>
      <c r="G9" s="99"/>
    </row>
    <row r="10" spans="1:8" ht="22" customHeight="1" x14ac:dyDescent="0.55000000000000004">
      <c r="A10" s="135" t="s">
        <v>84</v>
      </c>
      <c r="B10" s="122"/>
      <c r="C10" s="122"/>
      <c r="D10" s="25" t="s">
        <v>85</v>
      </c>
      <c r="E10" s="121" t="s">
        <v>86</v>
      </c>
      <c r="F10" s="122"/>
      <c r="G10" s="122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</row>
    <row r="12" spans="1:8" ht="24" customHeight="1" x14ac:dyDescent="0.55000000000000004">
      <c r="A12" s="87" t="s">
        <v>87</v>
      </c>
      <c r="B12" s="88"/>
      <c r="C12" s="88"/>
      <c r="D12" s="88"/>
      <c r="E12" s="88"/>
      <c r="F12" s="88"/>
      <c r="G12" s="88"/>
    </row>
    <row r="13" spans="1:8" ht="22" customHeight="1" x14ac:dyDescent="0.55000000000000004">
      <c r="A13" s="119" t="s">
        <v>88</v>
      </c>
      <c r="B13" s="120"/>
      <c r="C13" s="120"/>
      <c r="D13" s="120"/>
      <c r="E13" s="120"/>
      <c r="F13" s="120"/>
      <c r="G13" s="120"/>
    </row>
    <row r="14" spans="1:8" ht="18" customHeight="1" x14ac:dyDescent="0.55000000000000004">
      <c r="A14" s="10" t="s">
        <v>89</v>
      </c>
      <c r="B14" s="10" t="s">
        <v>90</v>
      </c>
      <c r="C14" s="10" t="s">
        <v>91</v>
      </c>
      <c r="D14" s="10" t="s">
        <v>92</v>
      </c>
      <c r="E14" s="10" t="s">
        <v>93</v>
      </c>
      <c r="F14" s="10" t="s">
        <v>94</v>
      </c>
      <c r="G14" s="10" t="s">
        <v>95</v>
      </c>
      <c r="H14" s="10" t="s">
        <v>96</v>
      </c>
    </row>
    <row r="15" spans="1:8" ht="20.05" customHeight="1" x14ac:dyDescent="0.55000000000000004">
      <c r="A15" s="26" t="s">
        <v>97</v>
      </c>
      <c r="B15" s="27" t="s">
        <v>98</v>
      </c>
      <c r="C15" s="27" t="s">
        <v>99</v>
      </c>
      <c r="D15" s="27" t="s">
        <v>100</v>
      </c>
      <c r="E15" s="27" t="s">
        <v>101</v>
      </c>
      <c r="F15" s="27" t="s">
        <v>102</v>
      </c>
      <c r="G15" s="27" t="s">
        <v>97</v>
      </c>
      <c r="H15" s="28" t="s">
        <v>103</v>
      </c>
    </row>
    <row r="16" spans="1:8" ht="20.05" customHeight="1" x14ac:dyDescent="0.55000000000000004">
      <c r="A16" s="29" t="s">
        <v>104</v>
      </c>
      <c r="B16" s="30" t="s">
        <v>105</v>
      </c>
      <c r="C16" s="30" t="s">
        <v>99</v>
      </c>
      <c r="D16" s="30" t="s">
        <v>106</v>
      </c>
      <c r="E16" s="30" t="s">
        <v>107</v>
      </c>
      <c r="F16" s="30" t="s">
        <v>108</v>
      </c>
      <c r="G16" s="30" t="s">
        <v>104</v>
      </c>
      <c r="H16" s="28" t="s">
        <v>103</v>
      </c>
    </row>
    <row r="17" spans="1:8" ht="20.05" customHeight="1" x14ac:dyDescent="0.55000000000000004">
      <c r="A17" s="31" t="s">
        <v>109</v>
      </c>
      <c r="B17" s="27" t="s">
        <v>105</v>
      </c>
      <c r="C17" s="27" t="s">
        <v>99</v>
      </c>
      <c r="D17" s="27" t="s">
        <v>110</v>
      </c>
      <c r="E17" s="27" t="s">
        <v>111</v>
      </c>
      <c r="F17" s="27" t="s">
        <v>112</v>
      </c>
      <c r="G17" s="27" t="s">
        <v>109</v>
      </c>
      <c r="H17" s="28" t="s">
        <v>103</v>
      </c>
    </row>
    <row r="18" spans="1:8" ht="20.05" customHeight="1" x14ac:dyDescent="0.55000000000000004">
      <c r="A18" s="32" t="s">
        <v>113</v>
      </c>
      <c r="B18" s="30" t="s">
        <v>105</v>
      </c>
      <c r="C18" s="30" t="s">
        <v>99</v>
      </c>
      <c r="D18" s="30" t="s">
        <v>114</v>
      </c>
      <c r="E18" s="30" t="s">
        <v>115</v>
      </c>
      <c r="F18" s="30" t="s">
        <v>116</v>
      </c>
      <c r="G18" s="30" t="s">
        <v>113</v>
      </c>
      <c r="H18" s="28" t="s">
        <v>103</v>
      </c>
    </row>
    <row r="19" spans="1:8" ht="20.05" customHeight="1" x14ac:dyDescent="0.55000000000000004">
      <c r="A19" s="33" t="s">
        <v>117</v>
      </c>
      <c r="B19" s="27" t="s">
        <v>105</v>
      </c>
      <c r="C19" s="27" t="s">
        <v>99</v>
      </c>
      <c r="D19" s="27" t="s">
        <v>118</v>
      </c>
      <c r="E19" s="27" t="s">
        <v>119</v>
      </c>
      <c r="F19" s="27" t="s">
        <v>116</v>
      </c>
      <c r="G19" s="27" t="s">
        <v>117</v>
      </c>
      <c r="H19" s="28" t="s">
        <v>103</v>
      </c>
    </row>
    <row r="20" spans="1:8" ht="20.05" customHeight="1" x14ac:dyDescent="0.55000000000000004">
      <c r="A20" s="34" t="s">
        <v>120</v>
      </c>
      <c r="B20" s="30" t="s">
        <v>121</v>
      </c>
      <c r="C20" s="30" t="s">
        <v>122</v>
      </c>
      <c r="D20" s="30" t="s">
        <v>123</v>
      </c>
      <c r="E20" s="30" t="s">
        <v>101</v>
      </c>
      <c r="F20" s="30" t="s">
        <v>102</v>
      </c>
      <c r="G20" s="30" t="s">
        <v>120</v>
      </c>
      <c r="H20" s="28" t="s">
        <v>103</v>
      </c>
    </row>
    <row r="21" spans="1:8" ht="20.05" customHeight="1" x14ac:dyDescent="0.55000000000000004">
      <c r="A21" s="35" t="s">
        <v>124</v>
      </c>
      <c r="B21" s="27" t="s">
        <v>121</v>
      </c>
      <c r="C21" s="27" t="s">
        <v>122</v>
      </c>
      <c r="D21" s="27" t="s">
        <v>110</v>
      </c>
      <c r="E21" s="27" t="s">
        <v>111</v>
      </c>
      <c r="F21" s="27" t="s">
        <v>112</v>
      </c>
      <c r="G21" s="27" t="s">
        <v>124</v>
      </c>
      <c r="H21" s="28" t="s">
        <v>103</v>
      </c>
    </row>
    <row r="22" spans="1:8" ht="20.05" customHeight="1" x14ac:dyDescent="0.55000000000000004">
      <c r="A22" s="36" t="s">
        <v>125</v>
      </c>
      <c r="B22" s="30" t="s">
        <v>121</v>
      </c>
      <c r="C22" s="30" t="s">
        <v>122</v>
      </c>
      <c r="D22" s="30" t="s">
        <v>114</v>
      </c>
      <c r="E22" s="30" t="s">
        <v>115</v>
      </c>
      <c r="F22" s="30" t="s">
        <v>116</v>
      </c>
      <c r="G22" s="30" t="s">
        <v>125</v>
      </c>
      <c r="H22" s="28" t="s">
        <v>103</v>
      </c>
    </row>
    <row r="23" spans="1:8" ht="20.05" customHeight="1" x14ac:dyDescent="0.55000000000000004">
      <c r="A23" s="37" t="s">
        <v>126</v>
      </c>
      <c r="B23" s="27" t="s">
        <v>121</v>
      </c>
      <c r="C23" s="27" t="s">
        <v>122</v>
      </c>
      <c r="D23" s="27" t="s">
        <v>118</v>
      </c>
      <c r="E23" s="27" t="s">
        <v>119</v>
      </c>
      <c r="F23" s="27" t="s">
        <v>116</v>
      </c>
      <c r="G23" s="27" t="s">
        <v>126</v>
      </c>
      <c r="H23" s="28" t="s">
        <v>103</v>
      </c>
    </row>
    <row r="24" spans="1:8" ht="20.05" customHeight="1" x14ac:dyDescent="0.55000000000000004">
      <c r="A24" s="38" t="s">
        <v>127</v>
      </c>
      <c r="B24" s="39" t="s">
        <v>128</v>
      </c>
      <c r="C24" s="39" t="s">
        <v>129</v>
      </c>
      <c r="D24" s="39" t="s">
        <v>130</v>
      </c>
      <c r="E24" s="39" t="s">
        <v>101</v>
      </c>
      <c r="F24" s="39" t="s">
        <v>102</v>
      </c>
      <c r="G24" s="39" t="s">
        <v>127</v>
      </c>
      <c r="H24" s="28" t="s">
        <v>103</v>
      </c>
    </row>
    <row r="25" spans="1:8" ht="20.05" customHeight="1" x14ac:dyDescent="0.55000000000000004">
      <c r="A25" s="40" t="s">
        <v>131</v>
      </c>
      <c r="B25" s="39" t="s">
        <v>128</v>
      </c>
      <c r="C25" s="39" t="s">
        <v>129</v>
      </c>
      <c r="D25" s="39" t="s">
        <v>110</v>
      </c>
      <c r="E25" s="39" t="s">
        <v>111</v>
      </c>
      <c r="F25" s="39" t="s">
        <v>112</v>
      </c>
      <c r="G25" s="39" t="s">
        <v>131</v>
      </c>
      <c r="H25" s="28" t="s">
        <v>103</v>
      </c>
    </row>
    <row r="26" spans="1:8" ht="20.05" customHeight="1" x14ac:dyDescent="0.55000000000000004">
      <c r="A26" s="41" t="s">
        <v>132</v>
      </c>
      <c r="B26" s="39" t="s">
        <v>128</v>
      </c>
      <c r="C26" s="39" t="s">
        <v>129</v>
      </c>
      <c r="D26" s="39" t="s">
        <v>114</v>
      </c>
      <c r="E26" s="39" t="s">
        <v>115</v>
      </c>
      <c r="F26" s="39" t="s">
        <v>116</v>
      </c>
      <c r="G26" s="39" t="s">
        <v>132</v>
      </c>
      <c r="H26" s="28" t="s">
        <v>103</v>
      </c>
    </row>
    <row r="27" spans="1:8" ht="20.05" customHeight="1" x14ac:dyDescent="0.55000000000000004">
      <c r="A27" s="42" t="s">
        <v>133</v>
      </c>
      <c r="B27" s="43" t="s">
        <v>128</v>
      </c>
      <c r="C27" s="43" t="s">
        <v>129</v>
      </c>
      <c r="D27" s="43" t="s">
        <v>134</v>
      </c>
      <c r="E27" s="43" t="s">
        <v>119</v>
      </c>
      <c r="F27" s="43" t="s">
        <v>116</v>
      </c>
      <c r="G27" s="43" t="s">
        <v>133</v>
      </c>
      <c r="H27" s="28" t="s">
        <v>103</v>
      </c>
    </row>
    <row r="28" spans="1:8" ht="40" customHeight="1" x14ac:dyDescent="0.55000000000000004">
      <c r="A28" s="105" t="s">
        <v>135</v>
      </c>
      <c r="B28" s="106"/>
      <c r="C28" s="106"/>
      <c r="D28" s="106"/>
      <c r="E28" s="106"/>
      <c r="F28" s="106"/>
      <c r="G28" s="106"/>
    </row>
    <row r="29" spans="1:8" ht="5.05" customHeight="1" x14ac:dyDescent="0.55000000000000004">
      <c r="A29" s="1"/>
      <c r="B29" s="1"/>
      <c r="C29" s="1"/>
      <c r="D29" s="1"/>
      <c r="E29" s="1"/>
      <c r="F29" s="1"/>
      <c r="G29" s="1"/>
    </row>
    <row r="30" spans="1:8" ht="22" customHeight="1" x14ac:dyDescent="0.55000000000000004">
      <c r="A30" s="87" t="s">
        <v>136</v>
      </c>
      <c r="B30" s="88"/>
      <c r="C30" s="88"/>
      <c r="D30" s="88"/>
      <c r="E30" s="88"/>
      <c r="F30" s="88"/>
      <c r="G30" s="88"/>
    </row>
    <row r="31" spans="1:8" ht="18" customHeight="1" x14ac:dyDescent="0.55000000000000004">
      <c r="A31" s="2"/>
      <c r="B31" s="2" t="s">
        <v>137</v>
      </c>
      <c r="C31" s="2"/>
      <c r="D31" s="2" t="s">
        <v>59</v>
      </c>
      <c r="E31" s="2"/>
      <c r="F31" s="2" t="s">
        <v>138</v>
      </c>
      <c r="G31" s="2"/>
    </row>
    <row r="32" spans="1:8" ht="22" customHeight="1" x14ac:dyDescent="0.55000000000000004">
      <c r="A32" s="44" t="s">
        <v>139</v>
      </c>
      <c r="B32" s="139" t="s">
        <v>140</v>
      </c>
      <c r="C32" s="97"/>
      <c r="D32" s="132" t="s">
        <v>141</v>
      </c>
      <c r="E32" s="133"/>
      <c r="F32" s="46" t="s">
        <v>142</v>
      </c>
      <c r="G32" s="3"/>
    </row>
    <row r="33" spans="1:7" ht="22" customHeight="1" x14ac:dyDescent="0.55000000000000004">
      <c r="A33" s="44" t="s">
        <v>143</v>
      </c>
      <c r="B33" s="139" t="s">
        <v>144</v>
      </c>
      <c r="C33" s="97"/>
      <c r="D33" s="132" t="s">
        <v>145</v>
      </c>
      <c r="E33" s="133"/>
      <c r="F33" s="46" t="s">
        <v>142</v>
      </c>
      <c r="G33" s="5"/>
    </row>
    <row r="34" spans="1:7" ht="22" customHeight="1" x14ac:dyDescent="0.55000000000000004">
      <c r="A34" s="44" t="s">
        <v>146</v>
      </c>
      <c r="B34" s="131" t="s">
        <v>147</v>
      </c>
      <c r="C34" s="84"/>
      <c r="D34" s="123" t="s">
        <v>148</v>
      </c>
      <c r="E34" s="84"/>
      <c r="F34" s="46" t="s">
        <v>142</v>
      </c>
      <c r="G34" s="3"/>
    </row>
    <row r="35" spans="1:7" ht="22" customHeight="1" x14ac:dyDescent="0.55000000000000004">
      <c r="A35" s="44" t="s">
        <v>149</v>
      </c>
      <c r="B35" s="139" t="s">
        <v>150</v>
      </c>
      <c r="C35" s="97"/>
      <c r="D35" s="132" t="s">
        <v>151</v>
      </c>
      <c r="E35" s="133"/>
      <c r="F35" s="46" t="s">
        <v>142</v>
      </c>
      <c r="G35" s="5"/>
    </row>
    <row r="36" spans="1:7" ht="22" customHeight="1" x14ac:dyDescent="0.55000000000000004">
      <c r="A36" s="44" t="s">
        <v>152</v>
      </c>
      <c r="B36" s="131" t="s">
        <v>153</v>
      </c>
      <c r="C36" s="84"/>
      <c r="D36" s="123" t="s">
        <v>154</v>
      </c>
      <c r="E36" s="84"/>
      <c r="F36" s="46" t="s">
        <v>142</v>
      </c>
      <c r="G36" s="3"/>
    </row>
    <row r="37" spans="1:7" ht="22" customHeight="1" x14ac:dyDescent="0.55000000000000004">
      <c r="A37" s="44" t="s">
        <v>155</v>
      </c>
      <c r="B37" s="126" t="s">
        <v>156</v>
      </c>
      <c r="C37" s="86"/>
      <c r="D37" s="134" t="s">
        <v>157</v>
      </c>
      <c r="E37" s="86"/>
      <c r="F37" s="46" t="s">
        <v>142</v>
      </c>
      <c r="G37" s="5"/>
    </row>
    <row r="38" spans="1:7" ht="22" customHeight="1" x14ac:dyDescent="0.55000000000000004">
      <c r="A38" s="44" t="s">
        <v>158</v>
      </c>
      <c r="B38" s="131" t="s">
        <v>159</v>
      </c>
      <c r="C38" s="84"/>
      <c r="D38" s="123" t="s">
        <v>160</v>
      </c>
      <c r="E38" s="84"/>
      <c r="F38" s="46" t="s">
        <v>142</v>
      </c>
      <c r="G38" s="3"/>
    </row>
    <row r="39" spans="1:7" ht="22" customHeight="1" x14ac:dyDescent="0.55000000000000004">
      <c r="A39" s="49" t="s">
        <v>161</v>
      </c>
      <c r="B39" s="127" t="s">
        <v>162</v>
      </c>
      <c r="C39" s="128"/>
      <c r="D39" s="137" t="s">
        <v>21</v>
      </c>
      <c r="E39" s="138"/>
      <c r="F39" s="46" t="s">
        <v>142</v>
      </c>
      <c r="G39" s="5"/>
    </row>
    <row r="40" spans="1:7" ht="22" customHeight="1" x14ac:dyDescent="0.55000000000000004">
      <c r="A40" s="44" t="s">
        <v>163</v>
      </c>
      <c r="B40" s="131" t="s">
        <v>164</v>
      </c>
      <c r="C40" s="84"/>
      <c r="D40" s="123" t="s">
        <v>165</v>
      </c>
      <c r="E40" s="84"/>
      <c r="F40" s="46" t="s">
        <v>142</v>
      </c>
      <c r="G40" s="3"/>
    </row>
    <row r="41" spans="1:7" ht="22" customHeight="1" x14ac:dyDescent="0.55000000000000004">
      <c r="A41" s="44" t="s">
        <v>166</v>
      </c>
      <c r="B41" s="126" t="s">
        <v>167</v>
      </c>
      <c r="C41" s="86"/>
      <c r="D41" s="134" t="s">
        <v>168</v>
      </c>
      <c r="E41" s="86"/>
      <c r="F41" s="46" t="s">
        <v>142</v>
      </c>
      <c r="G41" s="5"/>
    </row>
    <row r="42" spans="1:7" ht="22" customHeight="1" x14ac:dyDescent="0.55000000000000004">
      <c r="A42" s="44" t="s">
        <v>169</v>
      </c>
      <c r="B42" s="131" t="s">
        <v>170</v>
      </c>
      <c r="C42" s="84"/>
      <c r="D42" s="123" t="s">
        <v>171</v>
      </c>
      <c r="E42" s="84"/>
      <c r="F42" s="46" t="s">
        <v>142</v>
      </c>
      <c r="G42" s="3"/>
    </row>
    <row r="43" spans="1:7" ht="22" customHeight="1" x14ac:dyDescent="0.55000000000000004">
      <c r="A43" s="44" t="s">
        <v>172</v>
      </c>
      <c r="B43" s="126" t="s">
        <v>173</v>
      </c>
      <c r="C43" s="86"/>
      <c r="D43" s="134" t="s">
        <v>23</v>
      </c>
      <c r="E43" s="86"/>
      <c r="F43" s="46" t="s">
        <v>142</v>
      </c>
      <c r="G43" s="5"/>
    </row>
  </sheetData>
  <mergeCells count="43">
    <mergeCell ref="A2:G2"/>
    <mergeCell ref="B32:C32"/>
    <mergeCell ref="B41:C41"/>
    <mergeCell ref="A7:C7"/>
    <mergeCell ref="B35:C35"/>
    <mergeCell ref="D35:E35"/>
    <mergeCell ref="A1:G1"/>
    <mergeCell ref="D43:E43"/>
    <mergeCell ref="B34:C34"/>
    <mergeCell ref="B37:C37"/>
    <mergeCell ref="D37:E37"/>
    <mergeCell ref="A9:C9"/>
    <mergeCell ref="B40:C40"/>
    <mergeCell ref="D39:E39"/>
    <mergeCell ref="B33:C33"/>
    <mergeCell ref="D42:E42"/>
    <mergeCell ref="E5:G5"/>
    <mergeCell ref="D33:E33"/>
    <mergeCell ref="A6:C6"/>
    <mergeCell ref="E8:G8"/>
    <mergeCell ref="A12:G12"/>
    <mergeCell ref="D38:E38"/>
    <mergeCell ref="B43:C43"/>
    <mergeCell ref="B39:C39"/>
    <mergeCell ref="A13:G13"/>
    <mergeCell ref="A5:C5"/>
    <mergeCell ref="A8:C8"/>
    <mergeCell ref="B42:C42"/>
    <mergeCell ref="A30:G30"/>
    <mergeCell ref="D32:E32"/>
    <mergeCell ref="D41:E41"/>
    <mergeCell ref="E7:G7"/>
    <mergeCell ref="A10:C10"/>
    <mergeCell ref="B38:C38"/>
    <mergeCell ref="B36:C36"/>
    <mergeCell ref="E10:G10"/>
    <mergeCell ref="D34:E34"/>
    <mergeCell ref="A4:G4"/>
    <mergeCell ref="E9:G9"/>
    <mergeCell ref="D40:E40"/>
    <mergeCell ref="D36:E36"/>
    <mergeCell ref="E6:G6"/>
    <mergeCell ref="A28:G28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42" t="s">
        <v>174</v>
      </c>
      <c r="B1" s="88"/>
      <c r="C1" s="88"/>
      <c r="D1" s="88"/>
      <c r="E1" s="88"/>
      <c r="F1" s="88"/>
      <c r="G1" s="88"/>
    </row>
    <row r="2" spans="1:7" ht="20.05" customHeight="1" x14ac:dyDescent="0.55000000000000004">
      <c r="A2" s="143" t="s">
        <v>175</v>
      </c>
      <c r="B2" s="120"/>
      <c r="C2" s="120"/>
      <c r="D2" s="120"/>
      <c r="E2" s="120"/>
      <c r="F2" s="120"/>
      <c r="G2" s="120"/>
    </row>
    <row r="4" spans="1:7" ht="26.05" customHeight="1" x14ac:dyDescent="0.55000000000000004">
      <c r="A4" s="87" t="s">
        <v>176</v>
      </c>
      <c r="B4" s="88"/>
      <c r="C4" s="88"/>
      <c r="D4" s="88"/>
      <c r="E4" s="88"/>
      <c r="F4" s="88"/>
      <c r="G4" s="88"/>
    </row>
    <row r="5" spans="1:7" ht="18" customHeight="1" x14ac:dyDescent="0.55000000000000004">
      <c r="A5" s="53"/>
      <c r="B5" s="53" t="s">
        <v>177</v>
      </c>
      <c r="C5" s="53" t="s">
        <v>178</v>
      </c>
      <c r="D5" s="53" t="s">
        <v>179</v>
      </c>
      <c r="E5" s="53" t="s">
        <v>180</v>
      </c>
      <c r="F5" s="53" t="s">
        <v>181</v>
      </c>
      <c r="G5" s="53" t="s">
        <v>182</v>
      </c>
    </row>
    <row r="6" spans="1:7" ht="24" customHeight="1" x14ac:dyDescent="0.55000000000000004">
      <c r="A6" s="54" t="s">
        <v>180</v>
      </c>
      <c r="B6" s="54" t="s">
        <v>183</v>
      </c>
      <c r="C6" s="54" t="s">
        <v>184</v>
      </c>
      <c r="D6" s="54" t="s">
        <v>185</v>
      </c>
      <c r="E6" s="54" t="s">
        <v>186</v>
      </c>
      <c r="F6" s="54" t="s">
        <v>54</v>
      </c>
      <c r="G6" s="54" t="s">
        <v>187</v>
      </c>
    </row>
    <row r="7" spans="1:7" ht="24" customHeight="1" x14ac:dyDescent="0.55000000000000004">
      <c r="A7" s="55" t="s">
        <v>181</v>
      </c>
      <c r="B7" s="55" t="s">
        <v>183</v>
      </c>
      <c r="C7" s="55" t="s">
        <v>188</v>
      </c>
      <c r="D7" s="55" t="s">
        <v>189</v>
      </c>
      <c r="E7" s="55" t="s">
        <v>54</v>
      </c>
      <c r="F7" s="55" t="s">
        <v>186</v>
      </c>
      <c r="G7" s="55" t="s">
        <v>190</v>
      </c>
    </row>
    <row r="8" spans="1:7" ht="26.05" customHeight="1" x14ac:dyDescent="0.55000000000000004">
      <c r="A8" s="140" t="s">
        <v>191</v>
      </c>
      <c r="B8" s="141"/>
      <c r="C8" s="141"/>
      <c r="D8" s="141"/>
      <c r="E8" s="141"/>
      <c r="F8" s="141"/>
      <c r="G8" s="141"/>
    </row>
    <row r="9" spans="1:7" ht="18" customHeight="1" x14ac:dyDescent="0.55000000000000004">
      <c r="A9" s="53"/>
      <c r="B9" s="53" t="s">
        <v>177</v>
      </c>
      <c r="C9" s="53" t="s">
        <v>178</v>
      </c>
      <c r="D9" s="53" t="s">
        <v>179</v>
      </c>
      <c r="E9" s="53" t="s">
        <v>180</v>
      </c>
      <c r="F9" s="53" t="s">
        <v>181</v>
      </c>
      <c r="G9" s="53" t="s">
        <v>182</v>
      </c>
    </row>
    <row r="10" spans="1:7" ht="20.05" customHeight="1" x14ac:dyDescent="0.55000000000000004">
      <c r="A10" s="54" t="s">
        <v>117</v>
      </c>
      <c r="B10" s="54" t="s">
        <v>192</v>
      </c>
      <c r="C10" s="54" t="s">
        <v>119</v>
      </c>
      <c r="D10" s="54" t="s">
        <v>193</v>
      </c>
      <c r="E10" s="54" t="s">
        <v>54</v>
      </c>
      <c r="F10" s="54" t="s">
        <v>194</v>
      </c>
      <c r="G10" s="54" t="s">
        <v>195</v>
      </c>
    </row>
    <row r="11" spans="1:7" ht="20.05" customHeight="1" x14ac:dyDescent="0.55000000000000004">
      <c r="A11" s="55" t="s">
        <v>126</v>
      </c>
      <c r="B11" s="55" t="s">
        <v>192</v>
      </c>
      <c r="C11" s="55" t="s">
        <v>119</v>
      </c>
      <c r="D11" s="55" t="s">
        <v>196</v>
      </c>
      <c r="E11" s="55" t="s">
        <v>54</v>
      </c>
      <c r="F11" s="55" t="s">
        <v>197</v>
      </c>
      <c r="G11" s="55" t="s">
        <v>198</v>
      </c>
    </row>
    <row r="12" spans="1:7" ht="20.05" customHeight="1" x14ac:dyDescent="0.55000000000000004">
      <c r="A12" s="54" t="s">
        <v>133</v>
      </c>
      <c r="B12" s="54" t="s">
        <v>192</v>
      </c>
      <c r="C12" s="54" t="s">
        <v>119</v>
      </c>
      <c r="D12" s="54" t="s">
        <v>199</v>
      </c>
      <c r="E12" s="54" t="s">
        <v>54</v>
      </c>
      <c r="F12" s="54" t="s">
        <v>200</v>
      </c>
      <c r="G12" s="54" t="s">
        <v>190</v>
      </c>
    </row>
    <row r="13" spans="1:7" ht="26.05" customHeight="1" x14ac:dyDescent="0.55000000000000004">
      <c r="A13" s="140" t="s">
        <v>201</v>
      </c>
      <c r="B13" s="141"/>
      <c r="C13" s="141"/>
      <c r="D13" s="141"/>
      <c r="E13" s="141"/>
      <c r="F13" s="141"/>
      <c r="G13" s="141"/>
    </row>
    <row r="14" spans="1:7" ht="18" customHeight="1" x14ac:dyDescent="0.55000000000000004">
      <c r="A14" s="53"/>
      <c r="B14" s="53" t="s">
        <v>177</v>
      </c>
      <c r="C14" s="53" t="s">
        <v>178</v>
      </c>
      <c r="D14" s="53" t="s">
        <v>179</v>
      </c>
      <c r="E14" s="53" t="s">
        <v>180</v>
      </c>
      <c r="F14" s="53" t="s">
        <v>181</v>
      </c>
      <c r="G14" s="53" t="s">
        <v>182</v>
      </c>
    </row>
    <row r="15" spans="1:7" ht="18" customHeight="1" x14ac:dyDescent="0.55000000000000004">
      <c r="A15" s="55" t="s">
        <v>97</v>
      </c>
      <c r="B15" s="55" t="s">
        <v>202</v>
      </c>
      <c r="C15" s="55" t="s">
        <v>101</v>
      </c>
      <c r="D15" s="55" t="s">
        <v>203</v>
      </c>
      <c r="E15" s="55" t="s">
        <v>54</v>
      </c>
      <c r="F15" s="55" t="s">
        <v>204</v>
      </c>
      <c r="G15" s="55" t="s">
        <v>205</v>
      </c>
    </row>
    <row r="16" spans="1:7" ht="18" customHeight="1" x14ac:dyDescent="0.55000000000000004">
      <c r="A16" s="54" t="s">
        <v>104</v>
      </c>
      <c r="B16" s="54" t="s">
        <v>202</v>
      </c>
      <c r="C16" s="54" t="s">
        <v>107</v>
      </c>
      <c r="D16" s="54" t="s">
        <v>206</v>
      </c>
      <c r="E16" s="54" t="s">
        <v>54</v>
      </c>
      <c r="F16" s="54" t="s">
        <v>207</v>
      </c>
      <c r="G16" s="54" t="s">
        <v>208</v>
      </c>
    </row>
    <row r="17" spans="1:7" ht="18" customHeight="1" x14ac:dyDescent="0.55000000000000004">
      <c r="A17" s="55" t="s">
        <v>109</v>
      </c>
      <c r="B17" s="55" t="s">
        <v>202</v>
      </c>
      <c r="C17" s="55" t="s">
        <v>111</v>
      </c>
      <c r="D17" s="55" t="s">
        <v>209</v>
      </c>
      <c r="E17" s="55" t="s">
        <v>54</v>
      </c>
      <c r="F17" s="55" t="s">
        <v>210</v>
      </c>
      <c r="G17" s="55" t="s">
        <v>211</v>
      </c>
    </row>
    <row r="18" spans="1:7" ht="18" customHeight="1" x14ac:dyDescent="0.55000000000000004">
      <c r="A18" s="54" t="s">
        <v>113</v>
      </c>
      <c r="B18" s="54" t="s">
        <v>202</v>
      </c>
      <c r="C18" s="54" t="s">
        <v>115</v>
      </c>
      <c r="D18" s="54" t="s">
        <v>212</v>
      </c>
      <c r="E18" s="54" t="s">
        <v>54</v>
      </c>
      <c r="F18" s="54" t="s">
        <v>213</v>
      </c>
      <c r="G18" s="54" t="s">
        <v>214</v>
      </c>
    </row>
    <row r="19" spans="1:7" ht="18" customHeight="1" x14ac:dyDescent="0.55000000000000004">
      <c r="A19" s="55" t="s">
        <v>117</v>
      </c>
      <c r="B19" s="55" t="s">
        <v>202</v>
      </c>
      <c r="C19" s="55" t="s">
        <v>119</v>
      </c>
      <c r="D19" s="55" t="s">
        <v>215</v>
      </c>
      <c r="E19" s="55" t="s">
        <v>54</v>
      </c>
      <c r="F19" s="55" t="s">
        <v>194</v>
      </c>
      <c r="G19" s="55" t="s">
        <v>195</v>
      </c>
    </row>
    <row r="20" spans="1:7" ht="18" customHeight="1" x14ac:dyDescent="0.55000000000000004">
      <c r="A20" s="54" t="s">
        <v>120</v>
      </c>
      <c r="B20" s="54" t="s">
        <v>216</v>
      </c>
      <c r="C20" s="54" t="s">
        <v>101</v>
      </c>
      <c r="D20" s="54" t="s">
        <v>217</v>
      </c>
      <c r="E20" s="54" t="s">
        <v>54</v>
      </c>
      <c r="F20" s="54" t="s">
        <v>218</v>
      </c>
      <c r="G20" s="54" t="s">
        <v>219</v>
      </c>
    </row>
    <row r="21" spans="1:7" ht="18" customHeight="1" x14ac:dyDescent="0.55000000000000004">
      <c r="A21" s="55" t="s">
        <v>124</v>
      </c>
      <c r="B21" s="55" t="s">
        <v>216</v>
      </c>
      <c r="C21" s="55" t="s">
        <v>111</v>
      </c>
      <c r="D21" s="55" t="s">
        <v>220</v>
      </c>
      <c r="E21" s="55" t="s">
        <v>54</v>
      </c>
      <c r="F21" s="55" t="s">
        <v>221</v>
      </c>
      <c r="G21" s="55" t="s">
        <v>222</v>
      </c>
    </row>
    <row r="22" spans="1:7" ht="18" customHeight="1" x14ac:dyDescent="0.55000000000000004">
      <c r="A22" s="54" t="s">
        <v>125</v>
      </c>
      <c r="B22" s="54" t="s">
        <v>216</v>
      </c>
      <c r="C22" s="54" t="s">
        <v>115</v>
      </c>
      <c r="D22" s="54" t="s">
        <v>223</v>
      </c>
      <c r="E22" s="54" t="s">
        <v>54</v>
      </c>
      <c r="F22" s="54" t="s">
        <v>224</v>
      </c>
      <c r="G22" s="54" t="s">
        <v>225</v>
      </c>
    </row>
    <row r="23" spans="1:7" ht="18" customHeight="1" x14ac:dyDescent="0.55000000000000004">
      <c r="A23" s="55" t="s">
        <v>126</v>
      </c>
      <c r="B23" s="55" t="s">
        <v>216</v>
      </c>
      <c r="C23" s="55" t="s">
        <v>119</v>
      </c>
      <c r="D23" s="55" t="s">
        <v>226</v>
      </c>
      <c r="E23" s="55" t="s">
        <v>54</v>
      </c>
      <c r="F23" s="55" t="s">
        <v>197</v>
      </c>
      <c r="G23" s="55" t="s">
        <v>198</v>
      </c>
    </row>
    <row r="24" spans="1:7" ht="18" customHeight="1" x14ac:dyDescent="0.55000000000000004">
      <c r="A24" s="56" t="s">
        <v>127</v>
      </c>
      <c r="B24" s="56" t="s">
        <v>227</v>
      </c>
      <c r="C24" s="56" t="s">
        <v>101</v>
      </c>
      <c r="D24" s="56" t="s">
        <v>228</v>
      </c>
      <c r="E24" s="56" t="s">
        <v>54</v>
      </c>
      <c r="F24" s="56" t="s">
        <v>229</v>
      </c>
      <c r="G24" s="56" t="s">
        <v>230</v>
      </c>
    </row>
    <row r="25" spans="1:7" ht="18" customHeight="1" x14ac:dyDescent="0.55000000000000004">
      <c r="A25" s="56" t="s">
        <v>131</v>
      </c>
      <c r="B25" s="56" t="s">
        <v>227</v>
      </c>
      <c r="C25" s="56" t="s">
        <v>111</v>
      </c>
      <c r="D25" s="56" t="s">
        <v>231</v>
      </c>
      <c r="E25" s="56" t="s">
        <v>54</v>
      </c>
      <c r="F25" s="56" t="s">
        <v>232</v>
      </c>
      <c r="G25" s="56" t="s">
        <v>233</v>
      </c>
    </row>
    <row r="26" spans="1:7" ht="18" customHeight="1" x14ac:dyDescent="0.55000000000000004">
      <c r="A26" s="56" t="s">
        <v>132</v>
      </c>
      <c r="B26" s="56" t="s">
        <v>227</v>
      </c>
      <c r="C26" s="56" t="s">
        <v>115</v>
      </c>
      <c r="D26" s="56" t="s">
        <v>234</v>
      </c>
      <c r="E26" s="56" t="s">
        <v>54</v>
      </c>
      <c r="F26" s="56" t="s">
        <v>235</v>
      </c>
      <c r="G26" s="56" t="s">
        <v>236</v>
      </c>
    </row>
    <row r="27" spans="1:7" ht="18" customHeight="1" x14ac:dyDescent="0.55000000000000004">
      <c r="A27" s="54" t="s">
        <v>133</v>
      </c>
      <c r="B27" s="54" t="s">
        <v>227</v>
      </c>
      <c r="C27" s="54" t="s">
        <v>119</v>
      </c>
      <c r="D27" s="54" t="s">
        <v>237</v>
      </c>
      <c r="E27" s="54" t="s">
        <v>54</v>
      </c>
      <c r="F27" s="54" t="s">
        <v>200</v>
      </c>
      <c r="G27" s="54" t="s">
        <v>190</v>
      </c>
    </row>
    <row r="28" spans="1:7" ht="44.05" customHeight="1" x14ac:dyDescent="0.55000000000000004">
      <c r="A28" s="105" t="s">
        <v>238</v>
      </c>
      <c r="B28" s="106"/>
      <c r="C28" s="106"/>
      <c r="D28" s="106"/>
      <c r="E28" s="106"/>
      <c r="F28" s="106"/>
      <c r="G28" s="106"/>
    </row>
  </sheetData>
  <mergeCells count="6">
    <mergeCell ref="A28:G28"/>
    <mergeCell ref="A13:G13"/>
    <mergeCell ref="A1:G1"/>
    <mergeCell ref="A8:G8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47" t="s">
        <v>239</v>
      </c>
      <c r="B1" s="88"/>
      <c r="C1" s="88"/>
      <c r="D1" s="88"/>
      <c r="E1" s="88"/>
      <c r="F1" s="88"/>
      <c r="G1" s="88"/>
    </row>
    <row r="2" spans="1:7" ht="22" customHeight="1" x14ac:dyDescent="0.55000000000000004">
      <c r="A2" s="145" t="s">
        <v>240</v>
      </c>
      <c r="B2" s="146"/>
      <c r="C2" s="146"/>
      <c r="D2" s="146"/>
      <c r="E2" s="146"/>
      <c r="F2" s="146"/>
      <c r="G2" s="146"/>
    </row>
    <row r="3" spans="1:7" ht="18" customHeight="1" x14ac:dyDescent="0.55000000000000004">
      <c r="A3" s="53" t="s">
        <v>89</v>
      </c>
      <c r="B3" s="53" t="s">
        <v>241</v>
      </c>
      <c r="C3" s="53" t="s">
        <v>242</v>
      </c>
      <c r="D3" s="53" t="s">
        <v>243</v>
      </c>
    </row>
    <row r="4" spans="1:7" ht="64" customHeight="1" x14ac:dyDescent="0.55000000000000004">
      <c r="A4" s="44" t="s">
        <v>244</v>
      </c>
      <c r="B4" s="47" t="s">
        <v>245</v>
      </c>
      <c r="C4" s="57" t="s">
        <v>246</v>
      </c>
      <c r="D4" s="58" t="s">
        <v>247</v>
      </c>
    </row>
    <row r="5" spans="1:7" ht="64" customHeight="1" x14ac:dyDescent="0.55000000000000004">
      <c r="A5" s="49" t="s">
        <v>248</v>
      </c>
      <c r="B5" s="59" t="s">
        <v>249</v>
      </c>
      <c r="C5" s="45" t="s">
        <v>250</v>
      </c>
      <c r="D5" s="60" t="s">
        <v>251</v>
      </c>
    </row>
    <row r="6" spans="1:7" ht="64" customHeight="1" x14ac:dyDescent="0.55000000000000004">
      <c r="A6" s="49" t="s">
        <v>252</v>
      </c>
      <c r="B6" s="61" t="s">
        <v>253</v>
      </c>
      <c r="C6" s="45" t="s">
        <v>254</v>
      </c>
      <c r="D6" s="62" t="s">
        <v>255</v>
      </c>
    </row>
    <row r="7" spans="1:7" ht="72" customHeight="1" x14ac:dyDescent="0.55000000000000004">
      <c r="A7" s="44" t="s">
        <v>256</v>
      </c>
      <c r="B7" s="47" t="s">
        <v>257</v>
      </c>
      <c r="C7" s="57" t="s">
        <v>258</v>
      </c>
      <c r="D7" s="58" t="s">
        <v>259</v>
      </c>
    </row>
    <row r="8" spans="1:7" ht="72" customHeight="1" x14ac:dyDescent="0.55000000000000004">
      <c r="A8" s="44" t="s">
        <v>260</v>
      </c>
      <c r="B8" s="48" t="s">
        <v>261</v>
      </c>
      <c r="C8" s="57" t="s">
        <v>262</v>
      </c>
      <c r="D8" s="63" t="s">
        <v>263</v>
      </c>
    </row>
    <row r="9" spans="1:7" ht="56.05" customHeight="1" x14ac:dyDescent="0.55000000000000004">
      <c r="A9" s="144" t="s">
        <v>264</v>
      </c>
      <c r="B9" s="117"/>
      <c r="C9" s="117"/>
      <c r="D9" s="117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4" t="s">
        <v>265</v>
      </c>
      <c r="B1" s="155"/>
      <c r="C1" s="155"/>
      <c r="D1" s="155"/>
      <c r="E1" s="155"/>
      <c r="F1" s="155"/>
    </row>
    <row r="2" spans="1:6" ht="22" customHeight="1" x14ac:dyDescent="0.55000000000000004">
      <c r="A2" s="150" t="s">
        <v>266</v>
      </c>
      <c r="B2" s="151"/>
      <c r="C2" s="151"/>
      <c r="D2" s="151"/>
      <c r="E2" s="151"/>
      <c r="F2" s="151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6" t="s">
        <v>267</v>
      </c>
      <c r="B4" s="157"/>
      <c r="C4" s="157"/>
      <c r="D4" s="157"/>
      <c r="E4" s="157"/>
      <c r="F4" s="157"/>
    </row>
    <row r="5" spans="1:6" ht="18" customHeight="1" x14ac:dyDescent="0.55000000000000004">
      <c r="A5" s="53"/>
      <c r="B5" s="53" t="s">
        <v>268</v>
      </c>
      <c r="C5" s="53" t="s">
        <v>269</v>
      </c>
      <c r="D5" s="53" t="s">
        <v>59</v>
      </c>
      <c r="E5" s="53" t="s">
        <v>270</v>
      </c>
      <c r="F5" s="53"/>
    </row>
    <row r="6" spans="1:6" ht="40" customHeight="1" x14ac:dyDescent="0.55000000000000004">
      <c r="A6" s="6"/>
      <c r="B6" s="64" t="s">
        <v>271</v>
      </c>
      <c r="C6" s="65" t="s">
        <v>272</v>
      </c>
      <c r="D6" s="66" t="s">
        <v>273</v>
      </c>
      <c r="E6" s="67" t="s">
        <v>274</v>
      </c>
      <c r="F6" s="6"/>
    </row>
    <row r="7" spans="1:6" ht="36" customHeight="1" x14ac:dyDescent="0.55000000000000004">
      <c r="A7" s="6"/>
      <c r="B7" s="64" t="s">
        <v>121</v>
      </c>
      <c r="C7" s="65" t="s">
        <v>275</v>
      </c>
      <c r="D7" s="66" t="s">
        <v>276</v>
      </c>
      <c r="E7" s="67" t="s">
        <v>277</v>
      </c>
      <c r="F7" s="6"/>
    </row>
    <row r="8" spans="1:6" ht="32.049999999999997" customHeight="1" x14ac:dyDescent="0.55000000000000004">
      <c r="A8" s="6"/>
      <c r="B8" s="64" t="s">
        <v>128</v>
      </c>
      <c r="C8" s="65" t="s">
        <v>278</v>
      </c>
      <c r="D8" s="66" t="s">
        <v>279</v>
      </c>
      <c r="E8" s="67" t="s">
        <v>280</v>
      </c>
      <c r="F8" s="6"/>
    </row>
    <row r="9" spans="1:6" ht="32.049999999999997" customHeight="1" x14ac:dyDescent="0.55000000000000004">
      <c r="A9" s="6"/>
      <c r="B9" s="64" t="s">
        <v>281</v>
      </c>
      <c r="C9" s="65" t="s">
        <v>282</v>
      </c>
      <c r="D9" s="66" t="s">
        <v>283</v>
      </c>
      <c r="E9" s="67" t="s">
        <v>284</v>
      </c>
      <c r="F9" s="6"/>
    </row>
    <row r="10" spans="1:6" ht="5.05" customHeight="1" x14ac:dyDescent="0.55000000000000004">
      <c r="A10" s="1"/>
      <c r="B10" s="1"/>
      <c r="C10" s="1"/>
      <c r="D10" s="1"/>
      <c r="E10" s="1"/>
      <c r="F10" s="1"/>
    </row>
    <row r="11" spans="1:6" ht="36" customHeight="1" x14ac:dyDescent="0.55000000000000004">
      <c r="A11" s="152" t="s">
        <v>285</v>
      </c>
      <c r="B11" s="153"/>
      <c r="C11" s="153"/>
      <c r="D11" s="153"/>
      <c r="E11" s="153"/>
      <c r="F11" s="153"/>
    </row>
    <row r="12" spans="1:6" ht="18" customHeight="1" x14ac:dyDescent="0.55000000000000004">
      <c r="A12" s="53"/>
      <c r="B12" s="53" t="s">
        <v>268</v>
      </c>
      <c r="C12" s="53" t="s">
        <v>269</v>
      </c>
      <c r="D12" s="53" t="s">
        <v>59</v>
      </c>
      <c r="E12" s="53" t="s">
        <v>270</v>
      </c>
      <c r="F12" s="53"/>
    </row>
    <row r="13" spans="1:6" ht="28" customHeight="1" x14ac:dyDescent="0.55000000000000004">
      <c r="A13" s="68"/>
      <c r="B13" s="69" t="s">
        <v>286</v>
      </c>
      <c r="C13" s="70" t="s">
        <v>287</v>
      </c>
      <c r="D13" s="71" t="s">
        <v>288</v>
      </c>
      <c r="E13" s="72" t="s">
        <v>289</v>
      </c>
      <c r="F13" s="68"/>
    </row>
    <row r="14" spans="1:6" ht="28" customHeight="1" x14ac:dyDescent="0.55000000000000004">
      <c r="A14" s="68"/>
      <c r="B14" s="69" t="s">
        <v>290</v>
      </c>
      <c r="C14" s="70" t="s">
        <v>291</v>
      </c>
      <c r="D14" s="71" t="s">
        <v>292</v>
      </c>
      <c r="E14" s="72" t="s">
        <v>293</v>
      </c>
      <c r="F14" s="68"/>
    </row>
    <row r="15" spans="1:6" ht="5.05" customHeight="1" x14ac:dyDescent="0.55000000000000004">
      <c r="A15" s="1"/>
      <c r="B15" s="1"/>
      <c r="C15" s="1"/>
      <c r="D15" s="1"/>
      <c r="E15" s="1"/>
      <c r="F15" s="1"/>
    </row>
    <row r="16" spans="1:6" ht="36" customHeight="1" x14ac:dyDescent="0.55000000000000004">
      <c r="A16" s="148" t="s">
        <v>294</v>
      </c>
      <c r="B16" s="149"/>
      <c r="C16" s="149"/>
      <c r="D16" s="149"/>
      <c r="E16" s="149"/>
      <c r="F16" s="149"/>
    </row>
    <row r="17" spans="1:6" ht="18" customHeight="1" x14ac:dyDescent="0.55000000000000004">
      <c r="A17" s="73"/>
      <c r="B17" s="73" t="s">
        <v>268</v>
      </c>
      <c r="C17" s="73" t="s">
        <v>5</v>
      </c>
      <c r="D17" s="73" t="s">
        <v>295</v>
      </c>
      <c r="E17" s="73" t="s">
        <v>296</v>
      </c>
      <c r="F17" s="73"/>
    </row>
    <row r="18" spans="1:6" ht="32.049999999999997" customHeight="1" x14ac:dyDescent="0.55000000000000004">
      <c r="A18" s="52"/>
      <c r="B18" s="74" t="s">
        <v>297</v>
      </c>
      <c r="C18" s="61" t="s">
        <v>140</v>
      </c>
      <c r="D18" s="75" t="s">
        <v>298</v>
      </c>
      <c r="E18" s="76" t="s">
        <v>299</v>
      </c>
      <c r="F18" s="52"/>
    </row>
    <row r="19" spans="1:6" ht="32.049999999999997" customHeight="1" x14ac:dyDescent="0.55000000000000004">
      <c r="A19" s="52"/>
      <c r="B19" s="74" t="s">
        <v>300</v>
      </c>
      <c r="C19" s="61" t="s">
        <v>301</v>
      </c>
      <c r="D19" s="75" t="s">
        <v>302</v>
      </c>
      <c r="E19" s="76" t="s">
        <v>299</v>
      </c>
      <c r="F19" s="52"/>
    </row>
    <row r="20" spans="1:6" ht="32.049999999999997" customHeight="1" x14ac:dyDescent="0.55000000000000004">
      <c r="A20" s="52"/>
      <c r="B20" s="74" t="s">
        <v>303</v>
      </c>
      <c r="C20" s="61" t="s">
        <v>150</v>
      </c>
      <c r="D20" s="75" t="s">
        <v>304</v>
      </c>
      <c r="E20" s="76" t="s">
        <v>299</v>
      </c>
      <c r="F20" s="52"/>
    </row>
    <row r="21" spans="1:6" ht="32.049999999999997" customHeight="1" x14ac:dyDescent="0.55000000000000004">
      <c r="A21" s="68"/>
      <c r="B21" s="77" t="s">
        <v>305</v>
      </c>
      <c r="C21" s="78" t="s">
        <v>306</v>
      </c>
      <c r="D21" s="71" t="s">
        <v>307</v>
      </c>
      <c r="E21" s="79" t="s">
        <v>299</v>
      </c>
      <c r="F21" s="68"/>
    </row>
    <row r="22" spans="1:6" ht="32.049999999999997" customHeight="1" x14ac:dyDescent="0.55000000000000004">
      <c r="A22" s="68"/>
      <c r="B22" s="77" t="s">
        <v>308</v>
      </c>
      <c r="C22" s="78" t="s">
        <v>153</v>
      </c>
      <c r="D22" s="71" t="s">
        <v>309</v>
      </c>
      <c r="E22" s="79" t="s">
        <v>299</v>
      </c>
      <c r="F22" s="68"/>
    </row>
    <row r="23" spans="1:6" ht="32.049999999999997" customHeight="1" x14ac:dyDescent="0.55000000000000004">
      <c r="A23" s="68"/>
      <c r="B23" s="77" t="s">
        <v>310</v>
      </c>
      <c r="C23" s="78" t="s">
        <v>311</v>
      </c>
      <c r="D23" s="71" t="s">
        <v>312</v>
      </c>
      <c r="E23" s="79" t="s">
        <v>299</v>
      </c>
      <c r="F23" s="68"/>
    </row>
    <row r="24" spans="1:6" ht="32.049999999999997" customHeight="1" x14ac:dyDescent="0.55000000000000004">
      <c r="A24" s="51"/>
      <c r="B24" s="80" t="s">
        <v>313</v>
      </c>
      <c r="C24" s="50" t="s">
        <v>162</v>
      </c>
      <c r="D24" s="81" t="s">
        <v>314</v>
      </c>
      <c r="E24" s="82" t="s">
        <v>299</v>
      </c>
      <c r="F24" s="51"/>
    </row>
    <row r="25" spans="1:6" ht="32.049999999999997" customHeight="1" x14ac:dyDescent="0.55000000000000004">
      <c r="A25" s="52"/>
      <c r="B25" s="74" t="s">
        <v>315</v>
      </c>
      <c r="C25" s="61" t="s">
        <v>316</v>
      </c>
      <c r="D25" s="75" t="s">
        <v>165</v>
      </c>
      <c r="E25" s="76" t="s">
        <v>299</v>
      </c>
      <c r="F25" s="52"/>
    </row>
    <row r="26" spans="1:6" ht="32.049999999999997" customHeight="1" x14ac:dyDescent="0.55000000000000004">
      <c r="A26" s="68"/>
      <c r="B26" s="77" t="s">
        <v>317</v>
      </c>
      <c r="C26" s="78" t="s">
        <v>167</v>
      </c>
      <c r="D26" s="71" t="s">
        <v>168</v>
      </c>
      <c r="E26" s="79" t="s">
        <v>299</v>
      </c>
      <c r="F26" s="68"/>
    </row>
    <row r="27" spans="1:6" ht="32.049999999999997" customHeight="1" x14ac:dyDescent="0.55000000000000004">
      <c r="A27" s="68"/>
      <c r="B27" s="77" t="s">
        <v>318</v>
      </c>
      <c r="C27" s="78" t="s">
        <v>173</v>
      </c>
      <c r="D27" s="71" t="s">
        <v>23</v>
      </c>
      <c r="E27" s="79" t="s">
        <v>299</v>
      </c>
      <c r="F27" s="68"/>
    </row>
    <row r="28" spans="1:6" ht="5.05" customHeight="1" x14ac:dyDescent="0.55000000000000004">
      <c r="A28" s="1"/>
      <c r="B28" s="1"/>
      <c r="C28" s="1"/>
      <c r="D28" s="1"/>
      <c r="E28" s="1"/>
      <c r="F28" s="1"/>
    </row>
    <row r="29" spans="1:6" ht="68.05" customHeight="1" x14ac:dyDescent="0.55000000000000004">
      <c r="A29" s="144" t="s">
        <v>319</v>
      </c>
      <c r="B29" s="117"/>
      <c r="C29" s="117"/>
      <c r="D29" s="117"/>
      <c r="E29" s="117"/>
      <c r="F29" s="117"/>
    </row>
  </sheetData>
  <mergeCells count="6">
    <mergeCell ref="A29:F29"/>
    <mergeCell ref="A16:F16"/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2026-04-05T15:15:42Z</dcterms:created>
  <dcterms:modified xsi:type="dcterms:W3CDTF">2026-04-05T15:20:54Z</dcterms:modified>
</cp:coreProperties>
</file>