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4BF2B9AA-E3BB-49CA-974E-E26150234BB3}"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2" l="1"/>
  <c r="D9" i="2"/>
  <c r="D8" i="2"/>
  <c r="D7" i="2"/>
  <c r="E68" i="1"/>
  <c r="C58" i="1"/>
  <c r="C57" i="1"/>
  <c r="F21" i="2"/>
  <c r="E21" i="2"/>
  <c r="C21" i="2"/>
  <c r="B21" i="2"/>
  <c r="E20" i="2"/>
  <c r="D20" i="2"/>
  <c r="C20" i="2"/>
  <c r="B20" i="2"/>
  <c r="E19" i="2"/>
  <c r="C19" i="2"/>
  <c r="B19" i="2"/>
  <c r="E18" i="2"/>
  <c r="C18" i="2"/>
  <c r="B18" i="2"/>
  <c r="F17" i="2"/>
  <c r="E17" i="2"/>
  <c r="C17" i="2"/>
  <c r="B17" i="2"/>
  <c r="E16" i="2"/>
  <c r="D16" i="2"/>
  <c r="C16" i="2"/>
  <c r="B16" i="2"/>
  <c r="E15" i="2"/>
  <c r="C15" i="2"/>
  <c r="B15" i="2"/>
  <c r="E14" i="2"/>
  <c r="C14" i="2"/>
  <c r="B14" i="2"/>
  <c r="D6" i="2"/>
  <c r="G49" i="1"/>
  <c r="G21" i="2" s="1"/>
  <c r="F49" i="1"/>
  <c r="D49" i="1"/>
  <c r="D21" i="2" s="1"/>
  <c r="F48" i="1"/>
  <c r="G48" i="1" s="1"/>
  <c r="G20" i="2" s="1"/>
  <c r="D48" i="1"/>
  <c r="F47" i="1"/>
  <c r="G47" i="1" s="1"/>
  <c r="G19" i="2" s="1"/>
  <c r="D47" i="1"/>
  <c r="D19" i="2" s="1"/>
  <c r="F46" i="1"/>
  <c r="F18" i="2" s="1"/>
  <c r="D46" i="1"/>
  <c r="D18" i="2" s="1"/>
  <c r="F45" i="1"/>
  <c r="G45" i="1" s="1"/>
  <c r="G17" i="2" s="1"/>
  <c r="D45" i="1"/>
  <c r="D17" i="2" s="1"/>
  <c r="G44" i="1"/>
  <c r="G16" i="2" s="1"/>
  <c r="F44" i="1"/>
  <c r="F16" i="2" s="1"/>
  <c r="D44" i="1"/>
  <c r="F43" i="1"/>
  <c r="F15" i="2" s="1"/>
  <c r="D43" i="1"/>
  <c r="D15" i="2" s="1"/>
  <c r="F42" i="1"/>
  <c r="F14" i="2" s="1"/>
  <c r="D42" i="1"/>
  <c r="D14" i="2" s="1"/>
  <c r="E15" i="1"/>
  <c r="D5" i="2" s="1"/>
  <c r="G43" i="1" l="1"/>
  <c r="G15" i="2" s="1"/>
  <c r="F19" i="2"/>
  <c r="G42" i="1"/>
  <c r="F20" i="2"/>
  <c r="G46" i="1"/>
  <c r="G18" i="2" s="1"/>
  <c r="F50" i="1"/>
  <c r="G50" i="1" l="1"/>
  <c r="G14" i="2"/>
  <c r="F22" i="2" l="1"/>
  <c r="C55" i="1"/>
</calcChain>
</file>

<file path=xl/sharedStrings.xml><?xml version="1.0" encoding="utf-8"?>
<sst xmlns="http://schemas.openxmlformats.org/spreadsheetml/2006/main" count="410" uniqueCount="334">
  <si>
    <t>379 – KVK GEÇİCİ MADDE 14/3 | ALTIN HESAPLARININ DÖNÜŞTÜRÜLMESİNDEN DOĞAN KAZANÇ İSTİSNASI | YENİ PARAGRAF (Md.14/3) | YMM TASDİK ÇALIŞMA KÂĞIDI</t>
  </si>
  <si>
    <t>KVK Geçici Md.14/3 (Paragraf 3) | Altın Hesabı → TL Dönüşümü | Altın Fiyat Farkı Kazancı İstisnası | Beyanname 379 | ★ YİAKV MATRAHINDA DÜŞÜLEMEZ</t>
  </si>
  <si>
    <t xml:space="preserve">  370 – 379 PARAGRAF KARŞILAŞTIRMASI:
  370 (Md.14/1-a): Paragraf 1 — Yabancı para VE altın hesabı → TL KKM. Kur farkı değerleme kazancı istisnası.
  379 (Md.14/3): Paragraf 3 — Yalnızca ALTIN HESAPLARI dönüşümüne özgü ayrı hüküm. Altın fiyat farkından doğan kazanç istisnası. Farklı yasal dayanak, farklı kapsam koşulları.
  NOT: Hem 370 hem 379 altın dönüşümünü kapsıyor olabilir — ancak farklı paragraflar. YMM hangi paragrafın uygulanacağını dikkatle belirlemelidir.</t>
  </si>
  <si>
    <t xml:space="preserve">  ★★ YİAKV (KVK Md.32/C) KRİTİK: 379 kapsamındaki altın hesabı dönüşüm kazancı YİAKV matrahından DÜŞÜLEMEZ. (YİAKV Reh. No:607 | E.7 DÜŞÜLEMEZ listesi)</t>
  </si>
  <si>
    <t>A0. KAPSAM VE NİTELİK UYGUNLUK ÖN KONTROLÜ — KVK GEÇİCİ MD.14/3 ÖZEL KOŞULLAR</t>
  </si>
  <si>
    <t>Kontrol Sorusu</t>
  </si>
  <si>
    <t>Yanıt</t>
  </si>
  <si>
    <t>YMM Tasdik Notu</t>
  </si>
  <si>
    <t>A0.1  Kurumun 31/12/2021 tarihli bilançosunda altın hesabı (gram altın, altın mevduatı vb.) bakiyesi var mıydı?</t>
  </si>
  <si>
    <t>EVET</t>
  </si>
  <si>
    <t>KVK Geçici Md.14/3 kapsamı yalnızca 31/12/2021 bilançosunda yer alan altın hesabı bakiyelerini kapsar. Sonradan edinilen altın hesapları kapsam dışıdır.</t>
  </si>
  <si>
    <t>A0.2  ★ Bu altın hesabı yasal süre içinde TL'ye dönüştürüldü mü?</t>
  </si>
  <si>
    <t>Dönüşüm tarihi Cumhurbaşkanı Kararıyla belirlenen yasal süre içinde olmalıdır. Banka belgesiyle teyit zorunludur.</t>
  </si>
  <si>
    <t>A0.3  Dönüşüm esnasında altın fiyat farkından kazanç oluştu mu?</t>
  </si>
  <si>
    <t>Bilanço günü altın fiyatı &lt; Dönüşüm günü altın fiyatı ise kazanç oluşur. Dönüşüm günü fiyatı düşükse (altın değer kaybı) 379 tutarı sıfırdır.</t>
  </si>
  <si>
    <t>A0.4  ★ 370 (Paragraf 1) kapsamında aynı altın hesabı daha önce işlem gördü mü? (Çift uygulama riski)</t>
  </si>
  <si>
    <t>HAYIR</t>
  </si>
  <si>
    <t>Hem 370 hem 379 altın dönüşümünü kapsayabilir. Aynı altın hesabının hem 370 hem 379'a yazılmaması için paragraf analizi zorunludur. Özelge alınması tavsiye edilir.</t>
  </si>
  <si>
    <t>A0.5  Altın hesabı türü belirlendi mi? (Gram altın / Altın mevduatı / Fiziki altın / Diğer)</t>
  </si>
  <si>
    <t>Gram Altın Hesabı</t>
  </si>
  <si>
    <t>Her türün farklı muhasebe işlemi ve belge gereksinimleri olabilir.</t>
  </si>
  <si>
    <t>A0.6  ★ 379 tutarının YİAKV matrahından DÜŞÜLMEDIĞI teyit edildi mi?</t>
  </si>
  <si>
    <t>KVK Geçici Md.14/3 kapsamı kazançlar YİAKV matrahından DÜŞÜLEMEZ. YİAKV E.7'de bu satır kontrol edilmeli.</t>
  </si>
  <si>
    <t>A0.7  YMM Tasdik Raporu gereksinimi değerlendirildi mi? (49 No.lu Tebliğ)</t>
  </si>
  <si>
    <t>&gt;=500.000 TL → YMM raporu.</t>
  </si>
  <si>
    <t>A0.8  Tasdik Uygunluk Sonucu</t>
  </si>
  <si>
    <t>★ A0.2 (yasal süre), A0.4 (370 ile çift uygulama), A0.6 (YİAKV) kritik.</t>
  </si>
  <si>
    <t>A. GENEL BİLGİLER</t>
  </si>
  <si>
    <t>Kurumun Unvanı</t>
  </si>
  <si>
    <t>Tam ticaret unvanı</t>
  </si>
  <si>
    <t>VKN</t>
  </si>
  <si>
    <t>10 haneli VKN</t>
  </si>
  <si>
    <t>Hesap Dönemi</t>
  </si>
  <si>
    <t>01.01.2025 – 31.12.2025</t>
  </si>
  <si>
    <t>KV Oranı (%)</t>
  </si>
  <si>
    <t>2025: %25 | Banka/Finans: %30</t>
  </si>
  <si>
    <t>Dosya Referansı</t>
  </si>
  <si>
    <t>YMM-2025/379-01</t>
  </si>
  <si>
    <t>370 Çalışma Kâğıdı Referansı</t>
  </si>
  <si>
    <t>370 ile çift uygulama riski — paragraf analizi zorunlu</t>
  </si>
  <si>
    <t>B. KVK GEÇİCİ MD.14/3 — KAPSAM KOŞULLARI VE ALTIN HESABI BİLGİLERİ</t>
  </si>
  <si>
    <t xml:space="preserve">  379 Kapsamı: 31/12/2021 bilançosunda yer alan ALTIN HESAPLARININ (gram altın, altın mevduatı, fiziki altın hesabı vb.) yasal süre içinde TL'ye dönüştürülmesinden doğan altın fiyat farkı kazancı istisnası.</t>
  </si>
  <si>
    <t xml:space="preserve">  ALTIN HESABI TÜRLERİ:
  ① GRAM ALTIN HESABI: Bankadaki gram altın cinsinden hesap. Bakiye gram × TCMB/İAB altın fiyatı = TL karşılığı.
  ② ALTIN MEVDUATI: Altın teminatlı TL mevduat hesabı.
  ③ FİZİKİ ALTIN HESABI: Fiziki altın karşılığı açılan hesap (ton, gram, ons cinsinden).
  ④ DİĞER ALTIN HESABI: Banka ürünü altın bağlantılı hesaplar.
  ALTIN FİYAT KAYNAĞI: TCMB resmi altın fiyatı veya İstanbul Altın Borsası (İAB) kapanış fiyatı. Tutarlı kaynak kullanılmalı.</t>
  </si>
  <si>
    <t>Parametre</t>
  </si>
  <si>
    <t>Değer / Tarih</t>
  </si>
  <si>
    <t>Açıklama</t>
  </si>
  <si>
    <t>Kaynak</t>
  </si>
  <si>
    <t>B.1  31/12/2021 Bilançosundaki Altın Hesabı Türü</t>
  </si>
  <si>
    <t>Dönüştürülen altın hesabı türü. Her tür için ayrı belge.</t>
  </si>
  <si>
    <t>Bilanço / Hesap ekstresi</t>
  </si>
  <si>
    <t>B.2  31/12/2021 Altın Hesabı Bakiyesi (Gram / Ons)</t>
  </si>
  <si>
    <t>31/12/2021 tarihi itibarıyla altın miktarı (gram veya ons cinsinden).</t>
  </si>
  <si>
    <t>Bilanço / Banka ekstresi</t>
  </si>
  <si>
    <t>B.3  31/12/2021 Altın Birim Fiyatı (TL/Gram veya TL/Ons)</t>
  </si>
  <si>
    <t>31/12/2021 tarihi TCMB resmi altın alış fiyatı veya İAB kapanış fiyatı.</t>
  </si>
  <si>
    <t>TCMB / İAB</t>
  </si>
  <si>
    <t>B.4  31/12/2021 TL Bilanço Değeri (B.2 × B.3)</t>
  </si>
  <si>
    <t>Formül: Altın Miktarı × Birim Fiyat = Bilanço TL değeri. Bilanço ile mutabık.</t>
  </si>
  <si>
    <t>Hesaplama</t>
  </si>
  <si>
    <t>B.5  ★ Dönüşüm Tarihi (TL'ye Geçiş Tarihi)</t>
  </si>
  <si>
    <t>Yasal süre içinde olduğu banka belgesiyle teyit edilmeli.</t>
  </si>
  <si>
    <t>Banka belgesi</t>
  </si>
  <si>
    <t>B.6  Dönüşüm Günü Altın Birim Fiyatı (TL/Gram veya TL/Ons)</t>
  </si>
  <si>
    <t>Dönüşüm tarihindeki TCMB veya İAB resmi altın fiyatı.</t>
  </si>
  <si>
    <t>B.7  Dönüşüm TL Tutarı (B.2 × B.6)</t>
  </si>
  <si>
    <t>Formül: Altın Miktarı × Dönüşüm Günü Fiyatı.</t>
  </si>
  <si>
    <t>B.8  Dönüşüm 31/12/2021 Bakiyesi İle Sınırlı mı?</t>
  </si>
  <si>
    <t>Dönüşüm tutarı 31/12/2021 bakiyesini aşamaz. Aşan kısım kapsam dışı.</t>
  </si>
  <si>
    <t>KVK Geç.Md.14/3</t>
  </si>
  <si>
    <t>B.9  Altın Fiyat Kaynağı Tutarlılığı</t>
  </si>
  <si>
    <t>TCMB</t>
  </si>
  <si>
    <t>Her iki tarih için aynı fiyat kaynağı kullanılmalı. Kaynağı belgeleyin.</t>
  </si>
  <si>
    <t>Seçilen kaynak</t>
  </si>
  <si>
    <t>C. ALTIN HESABI BAZINDA KAZANİÇ HESABI — PARAGRAF 3 (BEYANNAME 379)</t>
  </si>
  <si>
    <t xml:space="preserve">  Her altın hesabı türü için ayrı satır. Kazanç = MAX(Dönüşüm TL − Bilanço TL, 0). Altın fiyatı yükselmiş → kazanç. Altın fiyatı düşmüş → zarar (sıfırlanır).
  Col 4 (teal çerçeve): Bilanço TL. Col 6 (altın çerçeve): Dönüşüm TL. Col 7: Otomatik kazanç.</t>
  </si>
  <si>
    <t>Altın Hesabı Türü</t>
  </si>
  <si>
    <t>Miktar (Gram/Ons)</t>
  </si>
  <si>
    <t>31/12/2021 Fiyatı (TL)</t>
  </si>
  <si>
    <t>Bilanço TL Değeri</t>
  </si>
  <si>
    <t>Dönüşüm Günü Fiyatı (TL)</t>
  </si>
  <si>
    <t>Dönüşüm TL Tutarı</t>
  </si>
  <si>
    <t>Kazanç (TL)</t>
  </si>
  <si>
    <t>Altın Mevduatı</t>
  </si>
  <si>
    <t>Fiziki Altın Hesabı</t>
  </si>
  <si>
    <t>Diğer Altın Hesabı</t>
  </si>
  <si>
    <t>Ek Altın Hesabı (1)</t>
  </si>
  <si>
    <t>Ek Altın Hesabı (2)</t>
  </si>
  <si>
    <t>Ek Altın Hesabı (3)</t>
  </si>
  <si>
    <t>Ek Altın Hesabı (4)</t>
  </si>
  <si>
    <t>TOPLAM</t>
  </si>
  <si>
    <t>Toplam Altın Fiyat Farkı Kazancı → Beyanname 379</t>
  </si>
  <si>
    <t xml:space="preserve">  ALTIN KAZANÇ MANTIĞI: Dönüşüm Günü Altın Fiyatı &gt; 31/12/2021 Altın Fiyatı → KAZANÇ oluşur.
  Formül: MAX(Dönüşüm TL − Bilanço TL, 0) = MAX([Gram × Dönüşüm Fiyatı] − [Gram × Bilanço Fiyatı], 0).
  Fiyat kaynağı: TCMB veya İAB (tutarlı kaynak — her iki tarih için aynı kaynak kullanılmalı). Negatif fark → 379 tutarı sıfır (altın değer kaybı = zarar).</t>
  </si>
  <si>
    <t>D. ALTIN HESABI DÖNÜŞÜM KAZANCI İSTİSNASI ÖZET — BEYANNAME 379</t>
  </si>
  <si>
    <t>Hesap Kalemi</t>
  </si>
  <si>
    <t>Tutar (TL)</t>
  </si>
  <si>
    <t>YMM Notu</t>
  </si>
  <si>
    <t>D.1  Toplam Altın Fiyat Farkı Kazancı (C Tablosu)</t>
  </si>
  <si>
    <t>C tablosu toplam — tüm altın hesabı türleri</t>
  </si>
  <si>
    <t>TCMB/İAB fiyatlarıyla doğrulanmış</t>
  </si>
  <si>
    <t>D.2  Kapsam Dışı Kazanç (31/12/2021 bakiyesini aşan dönüşüm)</t>
  </si>
  <si>
    <t>Bilanço bakiyesini aşan kısım orantılı ayrıştırmaya tabi</t>
  </si>
  <si>
    <t>Vergiye tabi kısım</t>
  </si>
  <si>
    <t>D.3  ★ NET 379 İSTİSNA TUTARI (D.1 − D.2) → BEYANNAME 379</t>
  </si>
  <si>
    <t>→ Beyanname 379 | Kazancın Bulunması Halinde İndirilecek</t>
  </si>
  <si>
    <t>KVK Geçici Md.14/3</t>
  </si>
  <si>
    <t>D.4  Vergiye Tabi Kalan Altın Fiyat Farkı (Kapsam Dışı)</t>
  </si>
  <si>
    <t>Bu kısım KV matrahında kalır</t>
  </si>
  <si>
    <t>E. 370 (PARAGRAF 1-a) – 379 (PARAGRAF 3) ÇAPRAZ KARŞILAŞTIRMA</t>
  </si>
  <si>
    <t>Özellik</t>
  </si>
  <si>
    <t>370 (Md.14/1-a) — Paragraf 1</t>
  </si>
  <si>
    <t>379 (Md.14/3) — Paragraf 3</t>
  </si>
  <si>
    <t>Dikkat</t>
  </si>
  <si>
    <t>Kapsam</t>
  </si>
  <si>
    <t>Yabancı para VE altın hesabı dönüşümü</t>
  </si>
  <si>
    <t>Yalnızca ALTIN HESAPLARI dönüşümü</t>
  </si>
  <si>
    <t>379 altın'a özgü</t>
  </si>
  <si>
    <t>Yasal Dayanak</t>
  </si>
  <si>
    <t>KVK Geçici Md.14/1-a</t>
  </si>
  <si>
    <t>Farklı paragraflar</t>
  </si>
  <si>
    <t>31/12/2021 Şartı</t>
  </si>
  <si>
    <t>31/12/2021 bilanço bakiyesi zorunlu</t>
  </si>
  <si>
    <t>Her ikisi de şartlı</t>
  </si>
  <si>
    <t>(Dönüşüm Kuru − Bilanço Kuru) × Döviz/Altın</t>
  </si>
  <si>
    <t>(Dönüşüm Fiyatı − Bilanço Fiyatı) × Altın Miktarı</t>
  </si>
  <si>
    <t>Birim: TL/gram</t>
  </si>
  <si>
    <t>Mükerrerlik Riski</t>
  </si>
  <si>
    <t>Aynı altın hesabı hem 370 hem 379 → Mükerrerlik</t>
  </si>
  <si>
    <t>Sadece Paragraf 3 kapsamında ise → 379</t>
  </si>
  <si>
    <t>★ Özelge tavsiye</t>
  </si>
  <si>
    <t>YİAKV</t>
  </si>
  <si>
    <t>DÜŞÜLEMEZ (E.7)</t>
  </si>
  <si>
    <t>Her ikisi E.7'de</t>
  </si>
  <si>
    <t>F.1  TOPLAM İSTİSNA → Beyanname Satır 379 (Kazancın Bulunması Halinde)</t>
  </si>
  <si>
    <t>D.3 — KVK Geçici Md.14/3 | Altın Hesabı Dönüşüm Kazancı</t>
  </si>
  <si>
    <t xml:space="preserve">  ★★ KRİTİK UYARILAR:
(1) YİAKV MATRAHINDA DÜŞÜLEMEZ: 379 asgari KV matrahından çıkarılmaz — YİAKV E.7.
(2) 370 İLE MÜKERRERLİK: Aynı altın hesabının hem 370 (Paragraf 1) hem 379 (Paragraf 3) kapsamında değerlendirilip değerlendirilemeyeceği analiz edilmeli. Özelge alınması tavsiye edilir.
(3) ALTIN FİYAT KAYNAĞI: TCMB veya İAB — her iki tarih için aynı kaynak kullanılmalı.
(4) BEYANNAME: 'Kazancın Bulunması Halinde İndirilecek' — Zarar döneminde uygulanamaz.</t>
  </si>
  <si>
    <t>379 – KVK GEÇİCİ MD.14/3 ALTIN HESABI DÖNÜŞÜM KAZANCI | HESAPLAMALAR VE DENETİM</t>
  </si>
  <si>
    <t>Altın Hesabı → TL Dönüşüm | Paragraf 3 | Beyanname 379 | YİAKV MATRAHINDA DÜŞÜLEMEZ</t>
  </si>
  <si>
    <t>A. TASDİK ÖZETİ</t>
  </si>
  <si>
    <t>A0 Uygunluğu</t>
  </si>
  <si>
    <t>OK ise devam</t>
  </si>
  <si>
    <t>Altın Hesabı Türü (A0.5)</t>
  </si>
  <si>
    <t>Gram/Mevduat/Fiziki/Diğer</t>
  </si>
  <si>
    <t>Toplam Altın Kazancı (D.1)</t>
  </si>
  <si>
    <t>TCMB/İAB fiyatlarıyla hesaplanmış</t>
  </si>
  <si>
    <t>Kapsam Dışı (D.2)</t>
  </si>
  <si>
    <t>Bakiye aşımı varsa ayrıştır</t>
  </si>
  <si>
    <t>379 NET İSTİSNA (D.3)</t>
  </si>
  <si>
    <t>★★ YİAKV'de DÜŞÜLEMEZ</t>
  </si>
  <si>
    <t>370–379 tamamı E.7 (10 kod)</t>
  </si>
  <si>
    <t>Her zaman DÜŞÜLEMEZ</t>
  </si>
  <si>
    <t>B. ALTIN HESABI BAZINDA KAZANÇ ÖZET (VERİ GİRİŞİ C TABLOSUNDAN)</t>
  </si>
  <si>
    <t>Miktar (Gram)</t>
  </si>
  <si>
    <t>31/12/2021 Fiyatı</t>
  </si>
  <si>
    <t>Bilanço TL</t>
  </si>
  <si>
    <t>Dönüşüm Fiyatı</t>
  </si>
  <si>
    <t>Dönüşüm TL</t>
  </si>
  <si>
    <t>Ek (1)</t>
  </si>
  <si>
    <t>Ek (2)</t>
  </si>
  <si>
    <t>Ek (3)</t>
  </si>
  <si>
    <t>Ek (4)</t>
  </si>
  <si>
    <t>Toplam → Beyanname 379</t>
  </si>
  <si>
    <t>C. DENETİM KONTROL LİSTESİ (K1–K13)</t>
  </si>
  <si>
    <t>Kontrol</t>
  </si>
  <si>
    <t>Sonuç</t>
  </si>
  <si>
    <t>K1</t>
  </si>
  <si>
    <t>★ 31/12/2021 bilançosunda altın hesabı bakiyesi var mıydı?</t>
  </si>
  <si>
    <t>Bilanço altın hesapları teyit. Sonradan edinilen altın kapsam dışı.</t>
  </si>
  <si>
    <t>Uygun/Eksik/Risk</t>
  </si>
  <si>
    <t>K2</t>
  </si>
  <si>
    <t>★ Dönüşüm tarihi yasal süre (CB Kararı) içinde mi?</t>
  </si>
  <si>
    <t>Banka belgesi tarihi ≤ Yasal son tarih. B.5 kontrolü.</t>
  </si>
  <si>
    <t>K3</t>
  </si>
  <si>
    <t>Dönüşüm tutarı 31/12/2021 bilanço bakiyesini aşmıyor mu?</t>
  </si>
  <si>
    <t>Aşan kısım kapsam dışı — orantılı ayrıştırma zorunlu.</t>
  </si>
  <si>
    <t>K4</t>
  </si>
  <si>
    <t>★ Altın birim fiyatları yetkili kaynaktan alındı mı? (TCMB veya İAB)</t>
  </si>
  <si>
    <t>Her iki tarih için aynı kaynak — B.9 kaynağı tutarlılığı kontrol.</t>
  </si>
  <si>
    <t>K5</t>
  </si>
  <si>
    <t>Altın kazancı muhasebe kayıtlarıyla mutabık mı?</t>
  </si>
  <si>
    <t>646/679 hesabındaki altın fiyat farkı kazancı ile C tablosu toplamı uyumlu.</t>
  </si>
  <si>
    <t>K6</t>
  </si>
  <si>
    <t>★ 370 ile ÇİFT UYGULAMA riski analiz edildi mi?</t>
  </si>
  <si>
    <t>Aynı altın hesabı hem 370 (Paragraf 1) hem 379 (Paragraf 3) kapsamında değerlendirilemez. Paragraf analizi zorunlu.</t>
  </si>
  <si>
    <t>K7</t>
  </si>
  <si>
    <t>Altın hesabı türü doğru belirlendi mi? (Gram/Mevduat/Fiziki)</t>
  </si>
  <si>
    <t>Her türün farklı belge ve muhasebe gereksinimleri olabilir.</t>
  </si>
  <si>
    <t>K8</t>
  </si>
  <si>
    <t>★★ 379 istisnası YİAKV matrahından DÜŞÜLMEDI mi?</t>
  </si>
  <si>
    <t>370–379 tüm kodlar YİAKV matrahından DÜŞÜLEMEZ. E.7'de kontrol.</t>
  </si>
  <si>
    <t>K9</t>
  </si>
  <si>
    <t>Beyanname 379 'Kazancın Bulunması Halinde' bölümünde mi?</t>
  </si>
  <si>
    <t>Zarar döneminde uygulanamaz.</t>
  </si>
  <si>
    <t>K10</t>
  </si>
  <si>
    <t>Tartışmalı kapsam durumlarında GİB özelgesi alındı mı?</t>
  </si>
  <si>
    <t>370 vs 379 paragraf tercihi tartışmalıysa özelge zorunlu.</t>
  </si>
  <si>
    <t>K11</t>
  </si>
  <si>
    <t>Kısmi dönüşüm varsa orantılı ayrıştırma (D.2) yapıldı mı?</t>
  </si>
  <si>
    <t>31/12/2021 bakiyesinin tamamı dönüştürülmediyse orantılandı.</t>
  </si>
  <si>
    <t>K12</t>
  </si>
  <si>
    <t>Altın fiyat kaynağı tutarlılığı (B.9) belgelendi mi?</t>
  </si>
  <si>
    <t>Her iki tarih için aynı kaynak (TCMB veya İAB) kullanılmış.</t>
  </si>
  <si>
    <t>K13</t>
  </si>
  <si>
    <t>YMM Tasdik Raporu (49 No.lu Tebliğ) değerlendirildi mi?</t>
  </si>
  <si>
    <t>379 – KVK GEÇİCİ MD.14/3 ALTIN HESABI DÖNÜŞÜM KAZANCI | MUHASEBE KAYITLARI</t>
  </si>
  <si>
    <t>Altın Hesabı → TL Kapatma | Altın Fiyat Farkı Kazancı | 370 ile Muhasebe Karşılaştırması</t>
  </si>
  <si>
    <t>KAYIT 1 — DÖNÜŞÜM GÜNÜ: ALTIN HESABI KAPAMA VE TL DÖNÜŞÜMÜ (Md.14/3 — Paragraf 3)</t>
  </si>
  <si>
    <t xml:space="preserve">  Gram Altın: 100 gram × 31/12/2021 fiyatı 1.500 TL/gr = 150.000 TL bilanço. Dönüşüm günü 2.200 TL/gr → 220.000 TL. Kazanç = 70.000 TL.</t>
  </si>
  <si>
    <t>Tarih</t>
  </si>
  <si>
    <t>Hesap</t>
  </si>
  <si>
    <t>Not</t>
  </si>
  <si>
    <t>Dr</t>
  </si>
  <si>
    <t>Kr</t>
  </si>
  <si>
    <t>Ref</t>
  </si>
  <si>
    <t>[Dönüşüm Tarihi]</t>
  </si>
  <si>
    <t>102 Bankalar / 100 Kasa</t>
  </si>
  <si>
    <t>TL dönüşüm tutarı — Gram × Dönüşüm Günü Altın Fiyatı</t>
  </si>
  <si>
    <t>[Dönüşüm TL]</t>
  </si>
  <si>
    <t>—</t>
  </si>
  <si>
    <t>Banka dekontu</t>
  </si>
  <si>
    <t>105 Altın Hesapları / 108 Diğer Hazır Değerler</t>
  </si>
  <si>
    <t>Altın hesabı kapanışı — Gram × 31/12/2021 bilanço değeri</t>
  </si>
  <si>
    <t>[Bilanço TL]</t>
  </si>
  <si>
    <t>Altın hesap kaydı</t>
  </si>
  <si>
    <t>646 Kambiyo Kârları / 679 Diğer Olağandışı Kâr</t>
  </si>
  <si>
    <t>Altın fiyat farkı kazancı (Dönüşüm TL − Bilanço TL) → KVK Geçici Md.14/3 → Beyanname 379</t>
  </si>
  <si>
    <t>[Kazanç]</t>
  </si>
  <si>
    <t>KV 379</t>
  </si>
  <si>
    <t xml:space="preserve">  MUHASEBESİ: 370 kapsamındaki altın dönüşümüyle aynı mekanizma — fark yasal dayanakta (Paragraf 1 vs Paragraf 3).</t>
  </si>
  <si>
    <t>KAYIT 2 — 370 (PARAGRAF 1) ve 379 (PARAGRAF 3) YAN YANA KARŞILAŞTIRMA</t>
  </si>
  <si>
    <t xml:space="preserve">  Aynı altın hesabının hem 370 hem 379'a yazılması mükerrerlik oluşturur. Hangi paragrafın uygulanacağı YMM tarafından belirlenmeli.</t>
  </si>
  <si>
    <t>370</t>
  </si>
  <si>
    <t>[Dönüşüm]</t>
  </si>
  <si>
    <t>646/679</t>
  </si>
  <si>
    <t>Paragraf 1-a: Yab. para VE altın → TL KKM. Kur farkı değerleme → 370</t>
  </si>
  <si>
    <t>[370]</t>
  </si>
  <si>
    <t>KV 370</t>
  </si>
  <si>
    <t>379</t>
  </si>
  <si>
    <t>Paragraf 3: Yalnızca ALTIN HESAPLARI → TL. Altın fiyat farkı kazancı → 379</t>
  </si>
  <si>
    <t>[379]</t>
  </si>
  <si>
    <t xml:space="preserve">  ÖNEMLİ AÇIKLAMA:
370 ve 379 AYNI ALTIN DÖNÜŞÜMÜne uygulanamaz. YMM, aynı hesabın yalnızca bir paragraf kapsamında değerlendirildiğini teyit etmelidir. Tartışmalı durumlarda GİB özelgesi zorunludur.
★★ Her iki kod da YİAKV matrahından DÜŞÜLEMEZ (E.7).</t>
  </si>
  <si>
    <t>379 – KVK GEÇİCİ MD.14/3 ALTIN HESABI DÖNÜŞÜM KAZANCI | DENETÇİ NOTLARI</t>
  </si>
  <si>
    <t>GİB KV Beyan Rehberi Mart 2026 (No:606) | KVK Geçici Md.14/3 | 370 vs 379 Analizi | ★★ YİAKV</t>
  </si>
  <si>
    <t>Kod</t>
  </si>
  <si>
    <t>Konu</t>
  </si>
  <si>
    <t>Mesleki Değerlendirme / Tasdik Standardı</t>
  </si>
  <si>
    <t>Mevzuat / Kaynak</t>
  </si>
  <si>
    <t>N1</t>
  </si>
  <si>
    <t>KVK Geçici Md.14/3 — Altın Hesabı Dönüşüm Kazancı Mekanizması</t>
  </si>
  <si>
    <t>379 (PARAGRAF 3 — ALTIN HESAPLARI DÖNÜŞÜMÜ) TANIMI:
Kurumların 31/12/2021 tarihli bilançolarında yer alan ALTIN HESAPLARINI yasal süre içinde
Türk lirasına dönüştürmeleri halinde, bu dönüşümden kaynaklanan altın fiyat farkı kazancı
KVK Geçici Madde 14/3 kapsamında kurumlar vergisinden istisnadır.
KAPSAM DAHİLİ ALTIN HESAPLARI:
① Gram Altın Hesabı (en yaygın — banka gram altın hesabı)
② Altın Mevduatı (altın teminatlı mevduat)
③ Fiziki Altın Hesabı (fiziki altın karşılığı hesap)
④ Diğer Altın Hesabı türleri
KAZANÇ HESABI:
Kazanç = MAX([Dönüşüm Günü Fiyatı − 31/12/2021 Fiyatı] × Altın Miktarı, 0)
ALTIN FİYAT KAYNAĞI: TCMB resmi altın fiyatı veya İstanbul Altın Borsası (İAB) kapanış fiyatı.
Her iki tarih için aynı kaynak kullanılmalı ve belgelenmelidir.
BEYANNAME: 379 | Kazancın Bulunması Halinde İndirilecek</t>
  </si>
  <si>
    <t>KVK Geçici Md.14/3 | GİB KV Beyan Reh. 2026 (No:606)</t>
  </si>
  <si>
    <t>N2</t>
  </si>
  <si>
    <t>★ 370 ile Paragraf Analizi — Çift Uygulama Riski</t>
  </si>
  <si>
    <t>370 ve 379 KESİŞİM ANALİZİ:
370 (Paragraf 1-a): 'Yabancı para VE altın hesabı → TL KKM'
Hem döviz hem altın dönüşümünü kapsar. Altın dönüşümü de 370 kapsamındadır.
379 (Paragraf 3): 'Altın hesaplarının dönüştürülmesinden doğan kazanç'
Yalnızca altın hesabına özgü ayrı hüküm.
ÇAKIŞMA SORUNU:
Aynı altın hesabı hem 370 kapsamındaki Paragraf 1 hükmüne hem de 379 kapsamındaki
Paragraf 3 hükmüne girebilir. Bu çakışma için birkaç senaryo:
① Paragraf 3 özel hüküm: 'Lex specialis' ilkesiyle 379 uygulanabilir
② Paragraf 1 genel hüküm: 370 kapsamında 31/12/2021 bilanço şartıyla uygulanır
③ Birlikte uygulama yasak: Aynı kazanç için yalnızca biri uygulanabilir
YMM YAKLAŞIMI:
GİB özelgesi alınmadan 370 ve 379'u aynı altın hesabına uygulamayın.
Özelge yolunu tercih edin — tarhiyat riski yüksektir.</t>
  </si>
  <si>
    <t>KVK Geçici Md.14/1-a (370) | KVK Geçici Md.14/3 (379) | Lex Specialis</t>
  </si>
  <si>
    <t>N3</t>
  </si>
  <si>
    <t>★★ YİAKV ile İlişki — 370–379 Tamamı DÜŞÜLEMEZ</t>
  </si>
  <si>
    <t>KVK GEÇİCİ MD.14 KAPSAMININ TAMAMININ YİAKV MATRAHINDA DÜŞÜLEMEZLİĞİ:
Paragraf 1: 370 | 371 | 372 | 373 | 374 → BEŞİ DE DÜŞÜLEMEZ
Paragraf 2: 375 | 376 | 377 | 378 → DÖRDÜ DE DÜŞÜLEMEZ
Paragraf 3: 379 → DÜŞÜLEMEZ
TOPLAM ON KOD: TAMAMINA YİAKV MATRAHINDA DÜŞÜLEMEZ
YİAKV çalışma kâğıdı E.7 (Güncellenmeli — 379 eklenmeli):
'KVK Geçici Md.14 (Tüm Paragraflar 1-3, Tüm Kodlar 370-379)
→ YİAKV'de DÜŞÜLEMEZ ✗ | Beyanname 370/371/372/373/374/375/376/377/378/379'
YMM, 379'un eklenmesiyle E.7'yi yeniden güncellemeli ve onay kontrolü yapmalıdır.</t>
  </si>
  <si>
    <t>KVK Md.32/C | YİAKV Reh. (No:607) | GİB KV Beyan Reh. (No:606)</t>
  </si>
  <si>
    <t>N4</t>
  </si>
  <si>
    <t>Altın Fiyat Kaynağı ve TCMB/İAB Fiyat Referansları</t>
  </si>
  <si>
    <t>ALTIN FİYAT KAYNAKLARI:
① TCMB RESMİ ALTIN FİYATI:
TCMB tarafından ilan edilen resmi altın alış fiyatı.
tcmb.gov.tr → Altın → İlgili tarih bilgileri
Gram ve ons cinsinden fiyatlar mevcuttur.
② İSTANBUL ALTIN BORSASI (İAB) KAPANIS FİYATI:
İAB tarafından ilan edilen günlük kapanış fiyatları.
Özellikle gram altın hesapları için sık kullanılır.
TUTARLILIK KURALI:
31/12/2021 tarihinde İAB kullandıysanız → Dönüşüm tarihinde de İAB kullanın.
31/12/2021 tarihinde TCMB kullandıysanız → Dönüşüm tarihinde de TCMB kullanın.
BİRİM TUTARLILIĞI:
Gram mı, Ons mu? Bakiye ve fiyat birimleri birebir eşleşmeli.
Dönüşüm: Ons → Gram: 1 Ons = 31.1035 Gram</t>
  </si>
  <si>
    <t>TCMB (tcmb.gov.tr) | İAB | KVK Geçici Md.14/3</t>
  </si>
  <si>
    <t>N5</t>
  </si>
  <si>
    <t>49 No.lu Tebliğ + YMM Tasdik Dil Standardı</t>
  </si>
  <si>
    <t>KULLANIN:
'...31/12/2021 tarihli bilançoda kayıtlı [Miktar] gram altın hesabının [Dönüşüm Tarihi]
tarihinde Türk lirasına dönüştürülmesi sonucunda, [Bilanço Günü] [Kaynak] altın fiyatı
[X] TL/gram ile dönüşüm günü [Kaynak] altın fiyatı [Y] TL/gram arasındaki fark nedeniyle
oluşan [Tutar] TL altın fiyat farkı kazancı, KVK Geçici Madde 14/3 kapsamında kurumlar
vergisinden istisna edilmiş ve yurt içi asgari kurumlar vergisi matrahından indirilmemiştir.'
KULLANMAYIN:
'...379 tutarı YİAKV matrahından düşülmüştür.' (YANLIŞ)
'...Aynı altın hesabına hem 370 hem 379 uygulanmıştır.' (Çift uygulama hatası)
KRİTİK RİSKLER:
(1) 379'u YİAKV matrahından düşmek.
(2) Aynı altın hesabını hem 370 hem 379'a yazmak.
(3) TCMB ve İAB fiyatlarını karıştırarak tutarsız hesap yapmak.
(4) YİAKV E.7'yi 379'yu da kapsayacak şekilde güncellemeyip eski metinle bırakmak.</t>
  </si>
  <si>
    <t>49 No.lu Tebliğ | KVK Geçici Md.14/3 | SM-SMMM-YMM K. Md.12</t>
  </si>
  <si>
    <t xml:space="preserve">  GİB KV BEYAN REHBERİ MART 2026 (No:606) KAPANIŞ (379): KVK Geçici Md.14/3 (Paragraf 3) altın hesaplarına özgü ayrı hükümdür. 370 (Paragraf 1) ile potansiyel örtüşme nedeniyle GİB özelgesi tavsiye edilir. YİAKV E.7 güncellenmeli — 379 dahil 10 kod eksiksiz listede. Altın fiyat kaynağı (TCMB/İAB) her iki tarih için tutarlı olmalı. YMM müteselsil sorumluluk: SM-SMMM-YMM Kanunu Md.12.</t>
  </si>
  <si>
    <t>379 – KVK GEÇİCİ MD.14/3 ALTIN HESABI DÖNÜŞÜM KAZANCI | BELGE LİSTESİ | YMM TASDİK</t>
  </si>
  <si>
    <t>GİB KV Beyan Rehberi Mart 2026 (No:606) | TCMB/İAB Altın Fiyatı | 31/12/2021 Bilanço | 370 Özelge</t>
  </si>
  <si>
    <t>KATEGORİ 1 — ZORUNLU BELGELER</t>
  </si>
  <si>
    <t>No</t>
  </si>
  <si>
    <t>Belge</t>
  </si>
  <si>
    <t>Temin</t>
  </si>
  <si>
    <t>1</t>
  </si>
  <si>
    <t>★ 31/12/2021 Kesinleşmiş Bilançosu — Altın Hesabı Bakiyeleri</t>
  </si>
  <si>
    <t>31/12/2021 tarihi itibarıyla altın hesabı (gram, ons veya TL karşılığı) bakiyeleri.
YMM: B.2 (gram miktar) kaynağıdır. Dönüşüm tutarı bu bakiyeyi aşmamalı.</t>
  </si>
  <si>
    <t>Kesinleşmiş Bilanço / Banka altın hesap ekstresi</t>
  </si>
  <si>
    <t>2</t>
  </si>
  <si>
    <t>★ Altın Hesabı Dönüşüm Dekontu (Kapatma Belgesi)</t>
  </si>
  <si>
    <t>Altın hesabının TL'ye dönüştürüldüğünü kanıtlayan banka belgesi.
Gram miktarı, dönüşüm tarihi, uygulanan fiyat ve TL karşılığı görünmeli.
YMM: Dönüşüm tarihi yasal süre içinde mi? B.5 teyidi.</t>
  </si>
  <si>
    <t>Banka şubesi</t>
  </si>
  <si>
    <t>3</t>
  </si>
  <si>
    <t>★ TCMB / İAB Altın Fiyat Tablosu (31/12/2021 ve Dönüşüm Günü)</t>
  </si>
  <si>
    <t>Her iki tarih için seçilen kaynaktan (TCMB veya İAB) resmi altın fiyatları.
Tutarlılık: Aynı kaynak her iki tarih için de kullanılmış olmalı.
Gram veya ons birimi C tablosuyla eşleşmeli.</t>
  </si>
  <si>
    <t>TCMB (tcmb.gov.tr) / İAB web sitesi</t>
  </si>
  <si>
    <t>4</t>
  </si>
  <si>
    <t>Altın Kazancı Hesaplama Tablosu (Bu Çalışma Kâğıdı C Bölümü)</t>
  </si>
  <si>
    <t>Her altın hesabı türü için ayrı hesap. D.3 net 379 tutarı beyanname ile uyumlu.</t>
  </si>
  <si>
    <t>Bu çalışma kâğıdı C ve D bölümleri</t>
  </si>
  <si>
    <t>5</t>
  </si>
  <si>
    <t>KV Beyannamesi Taslağı — 379. Satır</t>
  </si>
  <si>
    <t>'Kazancın Bulunması Halinde' bölümü. ★★ YİAKV matrahından çıkarılmamış.
★ YİAKV E.7 güncellenmiş (379 dahil 10 kod listede).</t>
  </si>
  <si>
    <t>GİB e-Beyanname sistemi</t>
  </si>
  <si>
    <t>KATEGORİ 2 — EK BELGELER</t>
  </si>
  <si>
    <t>6</t>
  </si>
  <si>
    <t>GİB Özelgesi (370 vs 379 Paragraf Analizi — Tavsiye)</t>
  </si>
  <si>
    <t>Aynı altın hesabının hem 370 (Paragraf 1) hem 379 (Paragraf 3) kapsamında
değerlendirilip değerlendirilemeyeceği konusunda GİB özelgesi alınması tavsiye edilir.
Tarhiyat riskini minimize etmek için özelge en güvenli yoldur.</t>
  </si>
  <si>
    <t>GİB özelge başvuru sistemi</t>
  </si>
  <si>
    <t>7</t>
  </si>
  <si>
    <t>Muhasebe Yevmiyesi — Altın Hesap Kapatma ve 646/679 Kazanç Kaydı</t>
  </si>
  <si>
    <t>Dönüşüm günü yevmiye: 102 Dr / 105 Kr / 646-679 Kur Farkı Kazancı Kr.
C tablosu kazancı ile 646/679 tutarı uyumlu olmalı.</t>
  </si>
  <si>
    <t>Yevmiye defteri</t>
  </si>
  <si>
    <t>8</t>
  </si>
  <si>
    <t>Dönüşüm Tarihinin Yasal Süre İçinde Olduğunu Gösteren CB Kararı</t>
  </si>
  <si>
    <t>İlgili Cumhurbaşkanı Kararı — dönüşüm tarihinin yasal son tarih içinde olduğu kontrol.</t>
  </si>
  <si>
    <t>Resmî Gazete / mevzuat.gov.tr</t>
  </si>
  <si>
    <t>KATEGORİ 3 — YMM TASDİK KONTROL SORULARI</t>
  </si>
  <si>
    <t>Beklenen Sonuç</t>
  </si>
  <si>
    <t>YMM Aksiyonu</t>
  </si>
  <si>
    <t>S1</t>
  </si>
  <si>
    <t>Bilanço teyidi zorunlu. Sonraki edinimler kapsam dışı.</t>
  </si>
  <si>
    <t>YMM kontrolü</t>
  </si>
  <si>
    <t>S2</t>
  </si>
  <si>
    <t>Dönüşüm dekontu tarihi ≤ Yasal son tarih.</t>
  </si>
  <si>
    <t>S3</t>
  </si>
  <si>
    <t>★ Altın fiyatları TCMB veya İAB'dan alındı mı? (Her iki tarih, tutarlı kaynak)</t>
  </si>
  <si>
    <t>Aynı kaynak her iki tarih için.</t>
  </si>
  <si>
    <t>S4</t>
  </si>
  <si>
    <t>★ 370 ile çift uygulama riski analiz edildi mi?</t>
  </si>
  <si>
    <t>Aynı altın hesabı hem 370 hem 379'a yazılmamalı. Özelge tavsiye.</t>
  </si>
  <si>
    <t>S5</t>
  </si>
  <si>
    <t>Dönüşüm tutarı bilanço bakiyesini aşmıyor mu?</t>
  </si>
  <si>
    <t>Aşan kısım kapsam dışı — orantılı ayrıştırma.</t>
  </si>
  <si>
    <t>S6</t>
  </si>
  <si>
    <t>Altın kazancı muhasebe 646/679 ile mutabık mı?</t>
  </si>
  <si>
    <t>C tablosu toplam ile yevmiye kaydı uyumlu.</t>
  </si>
  <si>
    <t>S7</t>
  </si>
  <si>
    <t>370–379 tüm kodlar YİAKV E.7'de DÜŞÜLEMEZ.</t>
  </si>
  <si>
    <t>S8</t>
  </si>
  <si>
    <t>★ YİAKV E.7 satırı 379'u kapsayacak şekilde güncellendi mi?</t>
  </si>
  <si>
    <t>10 kodun tamamı E.7'de listelenmeli.</t>
  </si>
  <si>
    <t>S9</t>
  </si>
  <si>
    <t>S10</t>
  </si>
  <si>
    <t xml:space="preserve">  KVK GEÇİCİ MD.14/3 (379) SON NOT:
  GİB KV Beyan Rehberi Mart 2026 (No:606) esas alınmıştır. 379 = Paragraf 3 = Altın hesaplarına özgü hüküm.
  ★ 370 (Paragraf 1) ile potansiyel örtüşme nedeniyle GİB özelgesi tavsiye edilir.
  ★★ 370–379 ON KODUN TAMAMININ YİAKV MATRAHINDA DÜŞÜLEMEZ. E.7 güncellenmeli.
  Altın fiyat kaynağı tutarlılığı (TCMB/İAB) ve 31/12/2021 bilanço şartı zorunludur.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</si>
</sst>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1" x14ac:knownFonts="1">
    <font>
      <sz val="11"/>
      <color theme="1"/>
      <name val="Calibri"/>
      <family val="2"/>
      <scheme val="minor"/>
    </font>
    <font>
      <b/>
      <sz val="9"/>
      <color rgb="FFFFFFFF"/>
      <name val="Arial"/>
      <family val="2"/>
      <charset val="162"/>
    </font>
    <font>
      <b/>
      <sz val="8"/>
      <color rgb="FF7B5E00"/>
      <name val="Arial"/>
      <family val="2"/>
      <charset val="162"/>
    </font>
    <font>
      <b/>
      <sz val="8"/>
      <color rgb="FFFFFFFF"/>
      <name val="Arial"/>
      <family val="2"/>
      <charset val="162"/>
    </font>
    <font>
      <b/>
      <sz val="10"/>
      <color rgb="FFFFFFFF"/>
      <name val="Arial"/>
      <family val="2"/>
      <charset val="162"/>
    </font>
    <font>
      <b/>
      <sz val="9"/>
      <color rgb="FF1F3864"/>
      <name val="Arial"/>
      <family val="2"/>
      <charset val="162"/>
    </font>
    <font>
      <b/>
      <sz val="10"/>
      <color rgb="FF0000FF"/>
      <name val="Arial"/>
      <family val="2"/>
      <charset val="162"/>
    </font>
    <font>
      <i/>
      <sz val="8"/>
      <color rgb="FF555555"/>
      <name val="Arial"/>
      <family val="2"/>
      <charset val="162"/>
    </font>
    <font>
      <b/>
      <sz val="9"/>
      <color rgb="FFC0392B"/>
      <name val="Arial"/>
      <family val="2"/>
      <charset val="162"/>
    </font>
    <font>
      <i/>
      <sz val="8"/>
      <color rgb="FFC0392B"/>
      <name val="Arial"/>
      <family val="2"/>
      <charset val="162"/>
    </font>
    <font>
      <b/>
      <sz val="10"/>
      <color rgb="FF1B5E20"/>
      <name val="Arial"/>
      <family val="2"/>
      <charset val="162"/>
    </font>
    <font>
      <i/>
      <sz val="8"/>
      <color rgb="FF888888"/>
      <name val="Arial"/>
      <family val="2"/>
      <charset val="162"/>
    </font>
    <font>
      <sz val="9"/>
      <color rgb="FF1F3864"/>
      <name val="Arial"/>
      <family val="2"/>
      <charset val="162"/>
    </font>
    <font>
      <sz val="8"/>
      <color rgb="FF7B3F00"/>
      <name val="Arial"/>
      <family val="2"/>
      <charset val="162"/>
    </font>
    <font>
      <i/>
      <sz val="8"/>
      <color rgb="FF006064"/>
      <name val="Arial"/>
      <family val="2"/>
      <charset val="162"/>
    </font>
    <font>
      <b/>
      <sz val="9"/>
      <color rgb="FF7B3F00"/>
      <name val="Arial"/>
      <family val="2"/>
      <charset val="162"/>
    </font>
    <font>
      <b/>
      <sz val="9"/>
      <color rgb="FF006064"/>
      <name val="Arial"/>
      <family val="2"/>
      <charset val="162"/>
    </font>
    <font>
      <b/>
      <sz val="9"/>
      <color rgb="FF1B5E20"/>
      <name val="Arial"/>
      <family val="2"/>
      <charset val="162"/>
    </font>
    <font>
      <b/>
      <sz val="11"/>
      <color rgb="FFFFFFFF"/>
      <name val="Arial"/>
      <family val="2"/>
      <charset val="162"/>
    </font>
    <font>
      <b/>
      <sz val="13"/>
      <color rgb="FFFFFFFF"/>
      <name val="Arial"/>
      <family val="2"/>
      <charset val="162"/>
    </font>
    <font>
      <i/>
      <sz val="8"/>
      <color rgb="FF7B3F00"/>
      <name val="Arial"/>
      <family val="2"/>
      <charset val="162"/>
    </font>
    <font>
      <b/>
      <sz val="13"/>
      <color rgb="FF1B5E20"/>
      <name val="Arial"/>
      <family val="2"/>
      <charset val="162"/>
    </font>
    <font>
      <sz val="8"/>
      <color rgb="FF00574B"/>
      <name val="Arial"/>
      <family val="2"/>
      <charset val="162"/>
    </font>
    <font>
      <sz val="8"/>
      <color rgb="FF006064"/>
      <name val="Arial"/>
      <family val="2"/>
      <charset val="162"/>
    </font>
    <font>
      <b/>
      <sz val="8"/>
      <color rgb="FF1B5E20"/>
      <name val="Arial"/>
      <family val="2"/>
      <charset val="162"/>
    </font>
    <font>
      <b/>
      <sz val="8"/>
      <color rgb="FFC0392B"/>
      <name val="Arial"/>
      <family val="2"/>
      <charset val="162"/>
    </font>
    <font>
      <b/>
      <sz val="14"/>
      <color rgb="FF1B5E20"/>
      <name val="Arial"/>
      <family val="2"/>
      <charset val="162"/>
    </font>
    <font>
      <i/>
      <sz val="8"/>
      <color rgb="FF1B5E20"/>
      <name val="Arial"/>
      <family val="2"/>
      <charset val="162"/>
    </font>
    <font>
      <b/>
      <sz val="12"/>
      <color rgb="FFFFFFFF"/>
      <name val="Arial"/>
      <family val="2"/>
      <charset val="162"/>
    </font>
    <font>
      <b/>
      <sz val="12"/>
      <color rgb="FF1B5E20"/>
      <name val="Arial"/>
      <family val="2"/>
      <charset val="162"/>
    </font>
    <font>
      <b/>
      <sz val="10"/>
      <color rgb="FFE65100"/>
      <name val="Arial"/>
      <family val="2"/>
      <charset val="162"/>
    </font>
    <font>
      <sz val="9"/>
      <color rgb="FF7B3F00"/>
      <name val="Arial"/>
      <family val="2"/>
      <charset val="162"/>
    </font>
    <font>
      <sz val="9"/>
      <color rgb="FF1B5E20"/>
      <name val="Arial"/>
      <family val="2"/>
      <charset val="162"/>
    </font>
    <font>
      <sz val="8"/>
      <color rgb="FF333333"/>
      <name val="Arial"/>
      <family val="2"/>
      <charset val="162"/>
    </font>
    <font>
      <b/>
      <sz val="36"/>
      <color rgb="FFFFFFFF"/>
      <name val="Arial"/>
      <family val="2"/>
      <charset val="162"/>
    </font>
    <font>
      <sz val="8"/>
      <color rgb="FFFFFFFF"/>
      <name val="Arial"/>
      <family val="2"/>
      <charset val="162"/>
    </font>
    <font>
      <sz val="8"/>
      <color rgb="FFC0392B"/>
      <name val="Arial"/>
      <family val="2"/>
      <charset val="162"/>
    </font>
    <font>
      <i/>
      <sz val="8"/>
      <color rgb="FF444444"/>
      <name val="Arial"/>
      <family val="2"/>
      <charset val="162"/>
    </font>
    <font>
      <b/>
      <sz val="9"/>
      <color rgb="FF7B5E00"/>
      <name val="Arial"/>
      <family val="2"/>
      <charset val="162"/>
    </font>
    <font>
      <b/>
      <sz val="9"/>
      <color rgb="FF1565C0"/>
      <name val="Arial"/>
      <family val="2"/>
      <charset val="162"/>
    </font>
    <font>
      <i/>
      <sz val="8"/>
      <color rgb="FF1565C0"/>
      <name val="Arial"/>
      <family val="2"/>
      <charset val="162"/>
    </font>
  </fonts>
  <fills count="26">
    <fill>
      <patternFill patternType="none"/>
    </fill>
    <fill>
      <patternFill patternType="gray125"/>
    </fill>
    <fill>
      <patternFill patternType="solid">
        <fgColor rgb="FF006064"/>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E0F7FA"/>
      </patternFill>
    </fill>
    <fill>
      <patternFill patternType="solid">
        <fgColor rgb="FFFFFF00"/>
      </patternFill>
    </fill>
    <fill>
      <patternFill patternType="solid">
        <fgColor rgb="FFFCE4D6"/>
      </patternFill>
    </fill>
    <fill>
      <patternFill patternType="solid">
        <fgColor rgb="FFC6EFCE"/>
      </patternFill>
    </fill>
    <fill>
      <patternFill patternType="solid">
        <fgColor rgb="FFFFFFFF"/>
      </patternFill>
    </fill>
    <fill>
      <patternFill patternType="solid">
        <fgColor rgb="FFFFF8E1"/>
      </patternFill>
    </fill>
    <fill>
      <patternFill patternType="solid">
        <fgColor rgb="FFFFF3E0"/>
      </patternFill>
    </fill>
    <fill>
      <patternFill patternType="solid">
        <fgColor rgb="FFFFEBEE"/>
      </patternFill>
    </fill>
    <fill>
      <patternFill patternType="solid">
        <fgColor rgb="FF1B5E20"/>
      </patternFill>
    </fill>
    <fill>
      <patternFill patternType="solid">
        <fgColor rgb="FFFFF5F5"/>
      </patternFill>
    </fill>
    <fill>
      <patternFill patternType="solid">
        <fgColor rgb="FFFFD0D0"/>
      </patternFill>
    </fill>
    <fill>
      <patternFill patternType="solid">
        <fgColor rgb="FFF7F7F7"/>
      </patternFill>
    </fill>
    <fill>
      <patternFill patternType="solid">
        <fgColor rgb="FFEBF5EB"/>
      </patternFill>
    </fill>
    <fill>
      <patternFill patternType="solid">
        <fgColor rgb="FFE3F2FD"/>
      </patternFill>
    </fill>
    <fill>
      <patternFill patternType="solid">
        <fgColor rgb="FFEEF4FF"/>
      </patternFill>
    </fill>
    <fill>
      <patternFill patternType="solid">
        <fgColor rgb="FFB71C1C"/>
      </patternFill>
    </fill>
    <fill>
      <patternFill patternType="solid">
        <fgColor rgb="FFFFB0B0"/>
      </patternFill>
    </fill>
  </fills>
  <borders count="7">
    <border>
      <left/>
      <right/>
      <top/>
      <bottom/>
      <diagonal/>
    </border>
    <border>
      <left style="thin">
        <color rgb="FFBBBBBB"/>
      </left>
      <right style="thin">
        <color rgb="FFBBBBBB"/>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style="thin">
        <color rgb="FF006064"/>
      </left>
      <right style="thin">
        <color rgb="FF006064"/>
      </right>
      <top style="thin">
        <color rgb="FF006064"/>
      </top>
      <bottom style="thin">
        <color rgb="FF006064"/>
      </bottom>
      <diagonal/>
    </border>
    <border>
      <left style="thin">
        <color rgb="FF7B3F00"/>
      </left>
      <right style="thin">
        <color rgb="FF7B3F00"/>
      </right>
      <top style="thin">
        <color rgb="FF7B3F00"/>
      </top>
      <bottom style="thin">
        <color rgb="FF7B3F00"/>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67">
    <xf numFmtId="0" fontId="0" fillId="0" borderId="0" xfId="0"/>
    <xf numFmtId="0" fontId="0" fillId="6" borderId="1" xfId="0" applyFill="1" applyBorder="1"/>
    <xf numFmtId="0" fontId="1" fillId="8" borderId="2" xfId="0" applyFont="1" applyFill="1" applyBorder="1" applyAlignment="1">
      <alignment horizontal="center" vertical="center" wrapText="1"/>
    </xf>
    <xf numFmtId="0" fontId="0" fillId="9" borderId="1" xfId="0" applyFill="1" applyBorder="1"/>
    <xf numFmtId="0" fontId="6" fillId="10" borderId="1" xfId="0" applyFont="1" applyFill="1" applyBorder="1" applyAlignment="1">
      <alignment horizontal="center" vertical="center"/>
    </xf>
    <xf numFmtId="0" fontId="0" fillId="12" borderId="1" xfId="0" applyFill="1" applyBorder="1"/>
    <xf numFmtId="0" fontId="10" fillId="12" borderId="1" xfId="0" applyFont="1" applyFill="1" applyBorder="1" applyAlignment="1">
      <alignment horizontal="center" vertical="center"/>
    </xf>
    <xf numFmtId="0" fontId="11" fillId="9" borderId="1" xfId="0" applyFont="1" applyFill="1" applyBorder="1" applyAlignment="1">
      <alignment horizontal="left" vertical="center" wrapText="1"/>
    </xf>
    <xf numFmtId="0" fontId="0" fillId="13" borderId="1" xfId="0" applyFill="1" applyBorder="1"/>
    <xf numFmtId="0" fontId="11" fillId="13" borderId="1" xfId="0" applyFont="1" applyFill="1" applyBorder="1" applyAlignment="1">
      <alignment horizontal="left" vertical="center" wrapText="1"/>
    </xf>
    <xf numFmtId="0" fontId="0" fillId="10" borderId="1" xfId="0" applyFill="1" applyBorder="1" applyAlignment="1">
      <alignment horizontal="center" vertical="center"/>
    </xf>
    <xf numFmtId="0" fontId="1" fillId="2" borderId="2" xfId="0" applyFont="1" applyFill="1" applyBorder="1" applyAlignment="1">
      <alignment horizontal="center" vertical="center" wrapText="1"/>
    </xf>
    <xf numFmtId="0" fontId="15" fillId="14" borderId="1" xfId="0" applyFont="1" applyFill="1" applyBorder="1" applyAlignment="1">
      <alignment horizontal="left" vertical="center"/>
    </xf>
    <xf numFmtId="164" fontId="0" fillId="10" borderId="1" xfId="0" applyNumberFormat="1" applyFill="1" applyBorder="1" applyAlignment="1">
      <alignment horizontal="right" vertical="center"/>
    </xf>
    <xf numFmtId="4" fontId="0" fillId="10" borderId="1" xfId="0" applyNumberFormat="1" applyFill="1" applyBorder="1" applyAlignment="1">
      <alignment horizontal="right" vertical="center"/>
    </xf>
    <xf numFmtId="3" fontId="16" fillId="9" borderId="3" xfId="0" applyNumberFormat="1" applyFont="1" applyFill="1" applyBorder="1" applyAlignment="1">
      <alignment horizontal="right" vertical="center"/>
    </xf>
    <xf numFmtId="3" fontId="15" fillId="14" borderId="4" xfId="0" applyNumberFormat="1" applyFont="1" applyFill="1" applyBorder="1" applyAlignment="1">
      <alignment horizontal="right" vertical="center"/>
    </xf>
    <xf numFmtId="3" fontId="17" fillId="12" borderId="5" xfId="0" applyNumberFormat="1" applyFont="1" applyFill="1" applyBorder="1" applyAlignment="1">
      <alignment horizontal="right" vertical="center"/>
    </xf>
    <xf numFmtId="0" fontId="15" fillId="13" borderId="1" xfId="0" applyFont="1" applyFill="1" applyBorder="1" applyAlignment="1">
      <alignment horizontal="left" vertical="center"/>
    </xf>
    <xf numFmtId="0" fontId="5" fillId="14" borderId="1" xfId="0" applyFont="1" applyFill="1" applyBorder="1" applyAlignment="1">
      <alignment horizontal="left" vertical="center"/>
    </xf>
    <xf numFmtId="0" fontId="5" fillId="13" borderId="1" xfId="0" applyFont="1" applyFill="1" applyBorder="1" applyAlignment="1">
      <alignment horizontal="left" vertical="center"/>
    </xf>
    <xf numFmtId="0" fontId="4" fillId="2" borderId="1" xfId="0" applyFont="1" applyFill="1" applyBorder="1" applyAlignment="1">
      <alignment horizontal="center" vertical="center"/>
    </xf>
    <xf numFmtId="3" fontId="18" fillId="2" borderId="1" xfId="0" applyNumberFormat="1" applyFont="1" applyFill="1" applyBorder="1" applyAlignment="1">
      <alignment horizontal="right" vertical="center"/>
    </xf>
    <xf numFmtId="3" fontId="19" fillId="2" borderId="1" xfId="0" applyNumberFormat="1" applyFont="1" applyFill="1" applyBorder="1" applyAlignment="1">
      <alignment horizontal="right" vertical="center"/>
    </xf>
    <xf numFmtId="3" fontId="10" fillId="9" borderId="1" xfId="0" applyNumberFormat="1" applyFont="1" applyFill="1" applyBorder="1" applyAlignment="1">
      <alignment horizontal="right" vertical="center"/>
    </xf>
    <xf numFmtId="0" fontId="0" fillId="10" borderId="1" xfId="0" applyFill="1" applyBorder="1" applyAlignment="1">
      <alignment horizontal="right" vertical="center"/>
    </xf>
    <xf numFmtId="3" fontId="21" fillId="12" borderId="5"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25" fillId="16" borderId="1" xfId="0" applyFont="1" applyFill="1" applyBorder="1" applyAlignment="1">
      <alignment horizontal="center" vertical="center" wrapText="1"/>
    </xf>
    <xf numFmtId="3" fontId="26" fillId="12" borderId="5" xfId="0" applyNumberFormat="1" applyFont="1" applyFill="1" applyBorder="1" applyAlignment="1">
      <alignment horizontal="right" vertical="center"/>
    </xf>
    <xf numFmtId="3" fontId="10" fillId="9" borderId="1" xfId="0" applyNumberFormat="1" applyFont="1" applyFill="1" applyBorder="1" applyAlignment="1">
      <alignment horizontal="center" vertical="center"/>
    </xf>
    <xf numFmtId="3" fontId="29" fillId="12" borderId="1" xfId="0" applyNumberFormat="1" applyFont="1" applyFill="1" applyBorder="1" applyAlignment="1">
      <alignment horizontal="right" vertical="center"/>
    </xf>
    <xf numFmtId="0" fontId="30" fillId="15" borderId="1" xfId="0" applyFont="1" applyFill="1" applyBorder="1" applyAlignment="1">
      <alignment horizontal="center" vertical="center"/>
    </xf>
    <xf numFmtId="0" fontId="16" fillId="14" borderId="1" xfId="0" applyFont="1" applyFill="1" applyBorder="1" applyAlignment="1">
      <alignment horizontal="left" vertical="center"/>
    </xf>
    <xf numFmtId="164" fontId="12" fillId="14" borderId="1" xfId="0" applyNumberFormat="1" applyFont="1" applyFill="1" applyBorder="1" applyAlignment="1">
      <alignment horizontal="right" vertical="center"/>
    </xf>
    <xf numFmtId="4" fontId="12" fillId="14" borderId="1" xfId="0" applyNumberFormat="1" applyFont="1" applyFill="1" applyBorder="1" applyAlignment="1">
      <alignment horizontal="right" vertical="center"/>
    </xf>
    <xf numFmtId="3" fontId="31" fillId="14" borderId="1" xfId="0" applyNumberFormat="1" applyFont="1" applyFill="1" applyBorder="1" applyAlignment="1">
      <alignment horizontal="right" vertical="center"/>
    </xf>
    <xf numFmtId="3" fontId="32" fillId="12" borderId="1" xfId="0" applyNumberFormat="1" applyFont="1" applyFill="1" applyBorder="1" applyAlignment="1">
      <alignment horizontal="right" vertical="center"/>
    </xf>
    <xf numFmtId="0" fontId="16" fillId="13" borderId="1" xfId="0" applyFont="1" applyFill="1" applyBorder="1" applyAlignment="1">
      <alignment horizontal="left" vertical="center"/>
    </xf>
    <xf numFmtId="164" fontId="12" fillId="13" borderId="1" xfId="0" applyNumberFormat="1" applyFont="1" applyFill="1" applyBorder="1" applyAlignment="1">
      <alignment horizontal="right" vertical="center"/>
    </xf>
    <xf numFmtId="4" fontId="12" fillId="13" borderId="1" xfId="0" applyNumberFormat="1" applyFont="1" applyFill="1" applyBorder="1" applyAlignment="1">
      <alignment horizontal="righ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xf>
    <xf numFmtId="0" fontId="8" fillId="11" borderId="1" xfId="0" applyFont="1" applyFill="1" applyBorder="1" applyAlignment="1">
      <alignment horizontal="left" vertical="top" wrapText="1"/>
    </xf>
    <xf numFmtId="0" fontId="33" fillId="18" borderId="1" xfId="0" applyFont="1" applyFill="1" applyBorder="1" applyAlignment="1">
      <alignment horizontal="left" vertical="top" wrapText="1"/>
    </xf>
    <xf numFmtId="0" fontId="0" fillId="10" borderId="1" xfId="0" applyFill="1" applyBorder="1" applyAlignment="1">
      <alignment horizontal="center" vertical="top"/>
    </xf>
    <xf numFmtId="0" fontId="5" fillId="9" borderId="1" xfId="0" applyFont="1" applyFill="1" applyBorder="1" applyAlignment="1">
      <alignment horizontal="left" vertical="top" wrapText="1"/>
    </xf>
    <xf numFmtId="0" fontId="1" fillId="7" borderId="1" xfId="0" applyFont="1" applyFill="1" applyBorder="1" applyAlignment="1">
      <alignment horizontal="center" vertical="top"/>
    </xf>
    <xf numFmtId="0" fontId="8" fillId="19" borderId="1" xfId="0" applyFont="1" applyFill="1" applyBorder="1" applyAlignment="1">
      <alignment horizontal="left" vertical="top" wrapText="1"/>
    </xf>
    <xf numFmtId="0" fontId="0" fillId="19" borderId="1" xfId="0" applyFill="1" applyBorder="1"/>
    <xf numFmtId="0" fontId="0" fillId="16" borderId="1" xfId="0" applyFill="1" applyBorder="1"/>
    <xf numFmtId="0" fontId="5" fillId="13" borderId="1" xfId="0" applyFont="1" applyFill="1" applyBorder="1" applyAlignment="1">
      <alignment horizontal="left" vertical="top" wrapText="1"/>
    </xf>
    <xf numFmtId="0" fontId="1" fillId="8" borderId="2" xfId="0" applyFont="1" applyFill="1" applyBorder="1" applyAlignment="1">
      <alignment horizontal="center" vertical="center"/>
    </xf>
    <xf numFmtId="0" fontId="12" fillId="9"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4" borderId="1" xfId="0" applyFont="1" applyFill="1" applyBorder="1" applyAlignment="1">
      <alignment horizontal="center" vertical="center" wrapText="1"/>
    </xf>
    <xf numFmtId="0" fontId="33" fillId="20" borderId="1" xfId="0" applyFont="1" applyFill="1" applyBorder="1" applyAlignment="1">
      <alignment horizontal="left" vertical="top" wrapText="1"/>
    </xf>
    <xf numFmtId="0" fontId="37" fillId="9" borderId="1" xfId="0" applyFont="1" applyFill="1" applyBorder="1" applyAlignment="1">
      <alignment horizontal="left" vertical="top" wrapText="1"/>
    </xf>
    <xf numFmtId="0" fontId="37" fillId="11" borderId="1" xfId="0" applyFont="1" applyFill="1" applyBorder="1" applyAlignment="1">
      <alignment horizontal="left" vertical="top" wrapText="1"/>
    </xf>
    <xf numFmtId="0" fontId="8" fillId="16" borderId="1" xfId="0" applyFont="1" applyFill="1" applyBorder="1" applyAlignment="1">
      <alignment horizontal="left" vertical="top" wrapText="1"/>
    </xf>
    <xf numFmtId="0" fontId="37" fillId="16" borderId="1" xfId="0" applyFont="1" applyFill="1" applyBorder="1" applyAlignment="1">
      <alignment horizontal="left" vertical="top" wrapText="1"/>
    </xf>
    <xf numFmtId="0" fontId="37" fillId="13" borderId="1" xfId="0" applyFont="1" applyFill="1" applyBorder="1" applyAlignment="1">
      <alignment horizontal="left" vertical="top" wrapText="1"/>
    </xf>
    <xf numFmtId="0" fontId="5" fillId="12" borderId="1" xfId="0" applyFont="1" applyFill="1" applyBorder="1" applyAlignment="1">
      <alignment horizontal="center" vertical="top"/>
    </xf>
    <xf numFmtId="0" fontId="5" fillId="12" borderId="1" xfId="0" applyFont="1" applyFill="1" applyBorder="1" applyAlignment="1">
      <alignment horizontal="left" vertical="top" wrapText="1"/>
    </xf>
    <xf numFmtId="0" fontId="33" fillId="21" borderId="1" xfId="0" applyFont="1" applyFill="1" applyBorder="1" applyAlignment="1">
      <alignment horizontal="left" vertical="top" wrapText="1"/>
    </xf>
    <xf numFmtId="0" fontId="37" fillId="12" borderId="1" xfId="0" applyFont="1" applyFill="1" applyBorder="1" applyAlignment="1">
      <alignment horizontal="left" vertical="top" wrapText="1"/>
    </xf>
    <xf numFmtId="0" fontId="0" fillId="22" borderId="1" xfId="0" applyFill="1" applyBorder="1"/>
    <xf numFmtId="0" fontId="5" fillId="22" borderId="1" xfId="0" applyFont="1" applyFill="1" applyBorder="1" applyAlignment="1">
      <alignment horizontal="center" vertical="top"/>
    </xf>
    <xf numFmtId="0" fontId="5" fillId="22" borderId="1" xfId="0" applyFont="1" applyFill="1" applyBorder="1" applyAlignment="1">
      <alignment horizontal="left" vertical="top" wrapText="1"/>
    </xf>
    <xf numFmtId="0" fontId="33" fillId="23" borderId="1" xfId="0" applyFont="1" applyFill="1" applyBorder="1" applyAlignment="1">
      <alignment horizontal="left" vertical="top" wrapText="1"/>
    </xf>
    <xf numFmtId="0" fontId="37" fillId="22" borderId="1" xfId="0" applyFont="1" applyFill="1" applyBorder="1" applyAlignment="1">
      <alignment horizontal="left" vertical="top" wrapText="1"/>
    </xf>
    <xf numFmtId="0" fontId="1" fillId="24" borderId="2" xfId="0" applyFont="1" applyFill="1" applyBorder="1" applyAlignment="1">
      <alignment horizontal="center" vertical="center"/>
    </xf>
    <xf numFmtId="0" fontId="39" fillId="16" borderId="1" xfId="0" applyFont="1" applyFill="1" applyBorder="1" applyAlignment="1">
      <alignment horizontal="center" vertical="top"/>
    </xf>
    <xf numFmtId="0" fontId="33" fillId="19" borderId="1" xfId="0" applyFont="1" applyFill="1" applyBorder="1" applyAlignment="1">
      <alignment horizontal="left" vertical="top" wrapText="1"/>
    </xf>
    <xf numFmtId="0" fontId="40" fillId="16" borderId="1" xfId="0" applyFont="1" applyFill="1" applyBorder="1" applyAlignment="1">
      <alignment horizontal="center" vertical="top"/>
    </xf>
    <xf numFmtId="0" fontId="39" fillId="22" borderId="1" xfId="0" applyFont="1" applyFill="1" applyBorder="1" applyAlignment="1">
      <alignment horizontal="center" vertical="top"/>
    </xf>
    <xf numFmtId="0" fontId="39" fillId="22" borderId="1" xfId="0" applyFont="1" applyFill="1" applyBorder="1" applyAlignment="1">
      <alignment horizontal="left" vertical="top" wrapText="1"/>
    </xf>
    <xf numFmtId="0" fontId="40" fillId="22" borderId="1" xfId="0" applyFont="1" applyFill="1" applyBorder="1" applyAlignment="1">
      <alignment horizontal="center" vertical="top"/>
    </xf>
    <xf numFmtId="0" fontId="39" fillId="19" borderId="1" xfId="0" applyFont="1" applyFill="1" applyBorder="1" applyAlignment="1">
      <alignment horizontal="center" vertical="top"/>
    </xf>
    <xf numFmtId="0" fontId="33" fillId="25" borderId="1" xfId="0" applyFont="1" applyFill="1" applyBorder="1" applyAlignment="1">
      <alignment horizontal="left" vertical="top" wrapText="1"/>
    </xf>
    <xf numFmtId="0" fontId="40" fillId="19" borderId="1" xfId="0" applyFont="1" applyFill="1" applyBorder="1" applyAlignment="1">
      <alignment horizontal="center" vertical="top"/>
    </xf>
    <xf numFmtId="0" fontId="4" fillId="2" borderId="2" xfId="0" applyFont="1" applyFill="1" applyBorder="1" applyAlignment="1">
      <alignment horizontal="left" vertical="center"/>
    </xf>
    <xf numFmtId="0" fontId="0" fillId="2" borderId="2" xfId="0" applyFill="1" applyBorder="1"/>
    <xf numFmtId="0" fontId="22" fillId="15" borderId="1" xfId="0" applyFont="1" applyFill="1" applyBorder="1" applyAlignment="1">
      <alignment horizontal="center" vertical="center" wrapText="1"/>
    </xf>
    <xf numFmtId="0" fontId="0" fillId="15" borderId="1" xfId="0" applyFill="1" applyBorder="1"/>
    <xf numFmtId="0" fontId="14" fillId="13" borderId="1" xfId="0" applyFont="1" applyFill="1" applyBorder="1" applyAlignment="1">
      <alignment horizontal="left" vertical="center" wrapText="1"/>
    </xf>
    <xf numFmtId="0" fontId="0" fillId="13" borderId="1" xfId="0" applyFill="1" applyBorder="1"/>
    <xf numFmtId="0" fontId="23" fillId="9" borderId="1" xfId="0" applyFont="1" applyFill="1" applyBorder="1" applyAlignment="1">
      <alignment horizontal="center" vertical="center" wrapText="1"/>
    </xf>
    <xf numFmtId="0" fontId="0" fillId="9" borderId="1" xfId="0" applyFill="1" applyBorder="1"/>
    <xf numFmtId="0" fontId="27" fillId="12" borderId="1" xfId="0" applyFont="1" applyFill="1" applyBorder="1" applyAlignment="1">
      <alignment horizontal="left" vertical="center" wrapText="1"/>
    </xf>
    <xf numFmtId="0" fontId="0" fillId="12" borderId="1" xfId="0" applyFill="1" applyBorder="1"/>
    <xf numFmtId="0" fontId="0" fillId="10" borderId="1" xfId="0" applyFill="1" applyBorder="1"/>
    <xf numFmtId="0" fontId="11" fillId="13" borderId="1"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0" fillId="14" borderId="1" xfId="0" applyFill="1" applyBorder="1"/>
    <xf numFmtId="0" fontId="8" fillId="11" borderId="1" xfId="0" applyFont="1" applyFill="1" applyBorder="1" applyAlignment="1">
      <alignment horizontal="left" vertical="center" wrapText="1"/>
    </xf>
    <xf numFmtId="0" fontId="0" fillId="11" borderId="1" xfId="0" applyFill="1" applyBorder="1"/>
    <xf numFmtId="0" fontId="9" fillId="12" borderId="1" xfId="0" applyFont="1" applyFill="1" applyBorder="1" applyAlignment="1">
      <alignment horizontal="left" vertical="center" wrapText="1"/>
    </xf>
    <xf numFmtId="0" fontId="5" fillId="12" borderId="1" xfId="0" applyFont="1" applyFill="1" applyBorder="1" applyAlignment="1">
      <alignment horizontal="left" vertical="center"/>
    </xf>
    <xf numFmtId="0" fontId="5" fillId="9" borderId="1" xfId="0" applyFont="1" applyFill="1" applyBorder="1" applyAlignment="1">
      <alignment horizontal="left" vertical="center" wrapText="1"/>
    </xf>
    <xf numFmtId="0" fontId="8" fillId="13"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2" borderId="1" xfId="0" applyFill="1" applyBorder="1"/>
    <xf numFmtId="0" fontId="8" fillId="11" borderId="2" xfId="0" applyFont="1" applyFill="1" applyBorder="1" applyAlignment="1">
      <alignment horizontal="left" vertical="center" wrapText="1"/>
    </xf>
    <xf numFmtId="0" fontId="0" fillId="11" borderId="2" xfId="0" applyFill="1" applyBorder="1"/>
    <xf numFmtId="0" fontId="2" fillId="4" borderId="2" xfId="0" applyFont="1" applyFill="1" applyBorder="1" applyAlignment="1">
      <alignment horizontal="left" vertical="center" wrapText="1"/>
    </xf>
    <xf numFmtId="0" fontId="0" fillId="4" borderId="2" xfId="0" applyFill="1" applyBorder="1"/>
    <xf numFmtId="0" fontId="3" fillId="5" borderId="2" xfId="0" applyFont="1" applyFill="1" applyBorder="1" applyAlignment="1">
      <alignment horizontal="left" vertical="center"/>
    </xf>
    <xf numFmtId="0" fontId="0" fillId="5" borderId="2" xfId="0" applyFill="1" applyBorder="1"/>
    <xf numFmtId="0" fontId="10" fillId="12" borderId="1" xfId="0" applyFont="1" applyFill="1" applyBorder="1" applyAlignment="1">
      <alignment horizontal="left" vertical="center"/>
    </xf>
    <xf numFmtId="0" fontId="17" fillId="12" borderId="1" xfId="0" applyFont="1" applyFill="1" applyBorder="1" applyAlignment="1">
      <alignment horizontal="left" vertical="center" wrapText="1"/>
    </xf>
    <xf numFmtId="0" fontId="4" fillId="7" borderId="2" xfId="0" applyFont="1" applyFill="1" applyBorder="1" applyAlignment="1">
      <alignment horizontal="left" vertical="center"/>
    </xf>
    <xf numFmtId="0" fontId="0" fillId="7" borderId="2" xfId="0" applyFill="1" applyBorder="1"/>
    <xf numFmtId="0" fontId="1" fillId="3" borderId="1" xfId="0" applyFont="1" applyFill="1" applyBorder="1" applyAlignment="1">
      <alignment horizontal="left" vertical="center" wrapText="1"/>
    </xf>
    <xf numFmtId="0" fontId="0" fillId="3" borderId="1" xfId="0" applyFill="1" applyBorder="1"/>
    <xf numFmtId="0" fontId="7" fillId="13"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20" fillId="14" borderId="2" xfId="0" applyFont="1" applyFill="1" applyBorder="1" applyAlignment="1">
      <alignment horizontal="left" vertical="center" wrapText="1"/>
    </xf>
    <xf numFmtId="0" fontId="0" fillId="14" borderId="2" xfId="0" applyFill="1" applyBorder="1"/>
    <xf numFmtId="0" fontId="13" fillId="14" borderId="2"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33" fillId="9" borderId="1" xfId="0" applyFont="1" applyFill="1" applyBorder="1" applyAlignment="1">
      <alignment horizontal="left" vertical="top" wrapText="1"/>
    </xf>
    <xf numFmtId="0" fontId="4" fillId="17" borderId="2" xfId="0" applyFont="1" applyFill="1" applyBorder="1" applyAlignment="1">
      <alignment horizontal="left" vertical="center"/>
    </xf>
    <xf numFmtId="0" fontId="0" fillId="17" borderId="2" xfId="0" applyFill="1" applyBorder="1"/>
    <xf numFmtId="0" fontId="8" fillId="11" borderId="1" xfId="0" applyFont="1" applyFill="1" applyBorder="1" applyAlignment="1">
      <alignment horizontal="left" vertical="top" wrapText="1"/>
    </xf>
    <xf numFmtId="0" fontId="33" fillId="18" borderId="1" xfId="0" applyFont="1" applyFill="1" applyBorder="1" applyAlignment="1">
      <alignment horizontal="left" vertical="top" wrapText="1"/>
    </xf>
    <xf numFmtId="0" fontId="0" fillId="18" borderId="1" xfId="0" applyFill="1" applyBorder="1"/>
    <xf numFmtId="0" fontId="5" fillId="13" borderId="1" xfId="0" applyFont="1" applyFill="1" applyBorder="1" applyAlignment="1">
      <alignment horizontal="left" vertical="center"/>
    </xf>
    <xf numFmtId="0" fontId="5" fillId="9" borderId="1" xfId="0" applyFont="1" applyFill="1" applyBorder="1" applyAlignment="1">
      <alignment horizontal="left" vertical="center"/>
    </xf>
    <xf numFmtId="0" fontId="5" fillId="15" borderId="1" xfId="0" applyFont="1" applyFill="1" applyBorder="1" applyAlignment="1">
      <alignment horizontal="left" vertical="center"/>
    </xf>
    <xf numFmtId="0" fontId="5" fillId="9" borderId="1" xfId="0" applyFont="1" applyFill="1" applyBorder="1" applyAlignment="1">
      <alignment horizontal="left" vertical="top" wrapText="1"/>
    </xf>
    <xf numFmtId="0" fontId="28" fillId="2" borderId="2" xfId="0" applyFont="1" applyFill="1" applyBorder="1" applyAlignment="1">
      <alignment horizontal="left" vertical="center"/>
    </xf>
    <xf numFmtId="0" fontId="5" fillId="13" borderId="1" xfId="0" applyFont="1" applyFill="1" applyBorder="1" applyAlignment="1">
      <alignment horizontal="left" vertical="top" wrapText="1"/>
    </xf>
    <xf numFmtId="0" fontId="33" fillId="13" borderId="1" xfId="0" applyFont="1" applyFill="1" applyBorder="1" applyAlignment="1">
      <alignment horizontal="left" vertical="top" wrapText="1"/>
    </xf>
    <xf numFmtId="0" fontId="8" fillId="19" borderId="1" xfId="0" applyFont="1" applyFill="1" applyBorder="1" applyAlignment="1">
      <alignment horizontal="left" vertical="top" wrapText="1"/>
    </xf>
    <xf numFmtId="0" fontId="0" fillId="19" borderId="1" xfId="0" applyFill="1" applyBorder="1"/>
    <xf numFmtId="0" fontId="33" fillId="16" borderId="1" xfId="0" applyFont="1" applyFill="1" applyBorder="1" applyAlignment="1">
      <alignment horizontal="left" vertical="top" wrapText="1"/>
    </xf>
    <xf numFmtId="0" fontId="0" fillId="16" borderId="1" xfId="0" applyFill="1" applyBorder="1"/>
    <xf numFmtId="0" fontId="34" fillId="2" borderId="2" xfId="0" applyFont="1" applyFill="1" applyBorder="1" applyAlignment="1">
      <alignment horizontal="left" vertical="center"/>
    </xf>
    <xf numFmtId="0" fontId="36" fillId="11" borderId="1" xfId="0" applyFont="1" applyFill="1" applyBorder="1" applyAlignment="1">
      <alignment horizontal="left" vertical="center" wrapText="1"/>
    </xf>
    <xf numFmtId="0" fontId="35" fillId="3" borderId="1" xfId="0" applyFont="1" applyFill="1" applyBorder="1" applyAlignment="1">
      <alignment horizontal="left" vertical="center" wrapText="1"/>
    </xf>
    <xf numFmtId="0" fontId="4" fillId="8" borderId="2" xfId="0" applyFont="1" applyFill="1" applyBorder="1" applyAlignment="1">
      <alignment horizontal="left" vertical="center"/>
    </xf>
    <xf numFmtId="0" fontId="0" fillId="8" borderId="2" xfId="0" applyFill="1" applyBorder="1"/>
    <xf numFmtId="0" fontId="13" fillId="9" borderId="1" xfId="0" applyFont="1" applyFill="1" applyBorder="1" applyAlignment="1">
      <alignment horizontal="left" vertical="center" wrapText="1"/>
    </xf>
    <xf numFmtId="0" fontId="38" fillId="4" borderId="2" xfId="0" applyFont="1" applyFill="1" applyBorder="1" applyAlignment="1">
      <alignment horizontal="left" vertical="center" wrapText="1"/>
    </xf>
    <xf numFmtId="0" fontId="4" fillId="3" borderId="2" xfId="0" applyFont="1" applyFill="1" applyBorder="1" applyAlignment="1">
      <alignment horizontal="left" vertical="center"/>
    </xf>
    <xf numFmtId="0" fontId="0" fillId="3" borderId="2" xfId="0" applyFill="1" applyBorder="1"/>
    <xf numFmtId="0" fontId="18" fillId="2" borderId="2" xfId="0" applyFont="1" applyFill="1" applyBorder="1" applyAlignment="1">
      <alignment horizontal="left" vertical="center"/>
    </xf>
    <xf numFmtId="0" fontId="4" fillId="3" borderId="6" xfId="0" applyFont="1" applyFill="1" applyBorder="1" applyAlignment="1">
      <alignment horizontal="left" vertical="center"/>
    </xf>
    <xf numFmtId="0" fontId="0" fillId="3" borderId="6" xfId="0" applyFill="1" applyBorder="1"/>
    <xf numFmtId="0" fontId="4" fillId="2" borderId="6" xfId="0" applyFont="1" applyFill="1" applyBorder="1" applyAlignment="1">
      <alignment horizontal="left" vertical="center"/>
    </xf>
    <xf numFmtId="0" fontId="0" fillId="2" borderId="6" xfId="0" applyFill="1" applyBorder="1"/>
    <xf numFmtId="0" fontId="4" fillId="24" borderId="6" xfId="0" applyFont="1" applyFill="1" applyBorder="1" applyAlignment="1">
      <alignment horizontal="left" vertical="center"/>
    </xf>
    <xf numFmtId="0" fontId="0" fillId="24" borderId="6" xfId="0" applyFill="1" applyBorder="1"/>
    <xf numFmtId="0" fontId="4" fillId="8" borderId="6" xfId="0" applyFont="1" applyFill="1" applyBorder="1" applyAlignment="1">
      <alignment horizontal="left" vertical="center"/>
    </xf>
    <xf numFmtId="0" fontId="0" fillId="8" borderId="6" xfId="0" applyFill="1" applyBorder="1"/>
    <xf numFmtId="0" fontId="4" fillId="17" borderId="6" xfId="0" applyFont="1" applyFill="1" applyBorder="1" applyAlignment="1">
      <alignment horizontal="left" vertical="center"/>
    </xf>
    <xf numFmtId="0" fontId="0" fillId="17" borderId="6"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775E232-BB1E-4CEB-9ACB-7DF579137151}">
  <we:reference id="WA200009404" version="1.0.0.8" store="Omex" storeType="OMEX"/>
  <we:alternateReferences>
    <we:reference id="WA200009404" version="1.0.0.8" store="WA200009404" storeType="OMEX"/>
  </we:alternateReferences>
  <we:properties>
    <we:property name="claude.fileId" value="&quot;14b1b024-3567-4518-a90f-2cbc904dbed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
  <sheetViews>
    <sheetView tabSelected="1" workbookViewId="0">
      <selection activeCell="I8" sqref="I8"/>
    </sheetView>
  </sheetViews>
  <sheetFormatPr defaultRowHeight="14.4" x14ac:dyDescent="0.55000000000000004"/>
  <cols>
    <col min="1" max="1" width="3" customWidth="1"/>
    <col min="2" max="2" width="30" customWidth="1"/>
    <col min="3" max="4" width="18" customWidth="1"/>
    <col min="5" max="5" width="16" customWidth="1"/>
    <col min="6" max="6" width="14" customWidth="1"/>
    <col min="7" max="7" width="24" customWidth="1"/>
  </cols>
  <sheetData>
    <row r="1" spans="1:7" ht="52" customHeight="1" x14ac:dyDescent="0.55000000000000004">
      <c r="A1" s="110" t="s">
        <v>0</v>
      </c>
      <c r="B1" s="111"/>
      <c r="C1" s="111"/>
      <c r="D1" s="111"/>
      <c r="E1" s="111"/>
      <c r="F1" s="111"/>
      <c r="G1" s="111"/>
    </row>
    <row r="2" spans="1:7" ht="22" customHeight="1" x14ac:dyDescent="0.55000000000000004">
      <c r="A2" s="122" t="s">
        <v>1</v>
      </c>
      <c r="B2" s="123"/>
      <c r="C2" s="123"/>
      <c r="D2" s="123"/>
      <c r="E2" s="123"/>
      <c r="F2" s="123"/>
      <c r="G2" s="123"/>
    </row>
    <row r="3" spans="1:7" ht="44.05" customHeight="1" x14ac:dyDescent="0.55000000000000004">
      <c r="A3" s="114" t="s">
        <v>2</v>
      </c>
      <c r="B3" s="115"/>
      <c r="C3" s="115"/>
      <c r="D3" s="115"/>
      <c r="E3" s="115"/>
      <c r="F3" s="115"/>
      <c r="G3" s="115"/>
    </row>
    <row r="4" spans="1:7" ht="22" customHeight="1" x14ac:dyDescent="0.55000000000000004">
      <c r="A4" s="116" t="s">
        <v>3</v>
      </c>
      <c r="B4" s="117"/>
      <c r="C4" s="117"/>
      <c r="D4" s="117"/>
      <c r="E4" s="117"/>
      <c r="F4" s="117"/>
      <c r="G4" s="117"/>
    </row>
    <row r="5" spans="1:7" ht="5.05" customHeight="1" x14ac:dyDescent="0.55000000000000004">
      <c r="A5" s="1"/>
      <c r="B5" s="1"/>
      <c r="C5" s="1"/>
      <c r="D5" s="1"/>
      <c r="E5" s="1"/>
      <c r="F5" s="1"/>
      <c r="G5" s="1"/>
    </row>
    <row r="6" spans="1:7" ht="24" customHeight="1" x14ac:dyDescent="0.55000000000000004">
      <c r="A6" s="120" t="s">
        <v>4</v>
      </c>
      <c r="B6" s="121"/>
      <c r="C6" s="121"/>
      <c r="D6" s="121"/>
      <c r="E6" s="121"/>
      <c r="F6" s="121"/>
      <c r="G6" s="121"/>
    </row>
    <row r="7" spans="1:7" ht="18" customHeight="1" x14ac:dyDescent="0.55000000000000004">
      <c r="A7" s="2"/>
      <c r="B7" s="2" t="s">
        <v>5</v>
      </c>
      <c r="C7" s="2"/>
      <c r="D7" s="2"/>
      <c r="E7" s="2" t="s">
        <v>6</v>
      </c>
      <c r="F7" s="2"/>
      <c r="G7" s="2" t="s">
        <v>7</v>
      </c>
    </row>
    <row r="8" spans="1:7" ht="28" customHeight="1" x14ac:dyDescent="0.55000000000000004">
      <c r="A8" s="100" t="s">
        <v>8</v>
      </c>
      <c r="B8" s="89"/>
      <c r="C8" s="89"/>
      <c r="D8" s="89"/>
      <c r="E8" s="4" t="s">
        <v>9</v>
      </c>
      <c r="F8" s="104" t="s">
        <v>10</v>
      </c>
      <c r="G8" s="89"/>
    </row>
    <row r="9" spans="1:7" ht="28" customHeight="1" x14ac:dyDescent="0.55000000000000004">
      <c r="A9" s="96" t="s">
        <v>11</v>
      </c>
      <c r="B9" s="97"/>
      <c r="C9" s="97"/>
      <c r="D9" s="97"/>
      <c r="E9" s="4" t="s">
        <v>9</v>
      </c>
      <c r="F9" s="102" t="s">
        <v>12</v>
      </c>
      <c r="G9" s="97"/>
    </row>
    <row r="10" spans="1:7" ht="28" customHeight="1" x14ac:dyDescent="0.55000000000000004">
      <c r="A10" s="100" t="s">
        <v>13</v>
      </c>
      <c r="B10" s="89"/>
      <c r="C10" s="89"/>
      <c r="D10" s="89"/>
      <c r="E10" s="4" t="s">
        <v>9</v>
      </c>
      <c r="F10" s="104" t="s">
        <v>14</v>
      </c>
      <c r="G10" s="89"/>
    </row>
    <row r="11" spans="1:7" ht="28" customHeight="1" x14ac:dyDescent="0.55000000000000004">
      <c r="A11" s="96" t="s">
        <v>15</v>
      </c>
      <c r="B11" s="97"/>
      <c r="C11" s="97"/>
      <c r="D11" s="97"/>
      <c r="E11" s="4" t="s">
        <v>16</v>
      </c>
      <c r="F11" s="102" t="s">
        <v>17</v>
      </c>
      <c r="G11" s="97"/>
    </row>
    <row r="12" spans="1:7" ht="28" customHeight="1" x14ac:dyDescent="0.55000000000000004">
      <c r="A12" s="100" t="s">
        <v>18</v>
      </c>
      <c r="B12" s="89"/>
      <c r="C12" s="89"/>
      <c r="D12" s="89"/>
      <c r="E12" s="4" t="s">
        <v>19</v>
      </c>
      <c r="F12" s="104" t="s">
        <v>20</v>
      </c>
      <c r="G12" s="89"/>
    </row>
    <row r="13" spans="1:7" ht="28" customHeight="1" x14ac:dyDescent="0.55000000000000004">
      <c r="A13" s="96" t="s">
        <v>21</v>
      </c>
      <c r="B13" s="97"/>
      <c r="C13" s="97"/>
      <c r="D13" s="97"/>
      <c r="E13" s="4" t="s">
        <v>9</v>
      </c>
      <c r="F13" s="102" t="s">
        <v>22</v>
      </c>
      <c r="G13" s="97"/>
    </row>
    <row r="14" spans="1:7" ht="28" customHeight="1" x14ac:dyDescent="0.55000000000000004">
      <c r="A14" s="100" t="s">
        <v>23</v>
      </c>
      <c r="B14" s="89"/>
      <c r="C14" s="89"/>
      <c r="D14" s="89"/>
      <c r="E14" s="4" t="s">
        <v>9</v>
      </c>
      <c r="F14" s="104" t="s">
        <v>24</v>
      </c>
      <c r="G14" s="89"/>
    </row>
    <row r="15" spans="1:7" ht="24" customHeight="1" x14ac:dyDescent="0.55000000000000004">
      <c r="A15" s="99" t="s">
        <v>25</v>
      </c>
      <c r="B15" s="91"/>
      <c r="C15" s="91"/>
      <c r="D15" s="91"/>
      <c r="E15" s="6" t="str">
        <f>IF(AND(E8="EVET",E9="EVET",E10="EVET",E13="EVET"),"OK - Hesaplanabilir","HATA - Ön koşul eksik")</f>
        <v>OK - Hesaplanabilir</v>
      </c>
      <c r="F15" s="98" t="s">
        <v>26</v>
      </c>
      <c r="G15" s="91"/>
    </row>
    <row r="16" spans="1:7" ht="5.05" customHeight="1" x14ac:dyDescent="0.55000000000000004">
      <c r="A16" s="1"/>
      <c r="B16" s="1"/>
      <c r="C16" s="1"/>
      <c r="D16" s="1"/>
      <c r="E16" s="1"/>
      <c r="F16" s="1"/>
      <c r="G16" s="1"/>
    </row>
    <row r="17" spans="1:7" ht="22" customHeight="1" x14ac:dyDescent="0.55000000000000004">
      <c r="A17" s="82" t="s">
        <v>27</v>
      </c>
      <c r="B17" s="83"/>
      <c r="C17" s="83"/>
      <c r="D17" s="83"/>
      <c r="E17" s="83"/>
      <c r="F17" s="83"/>
      <c r="G17" s="83"/>
    </row>
    <row r="18" spans="1:7" ht="22" customHeight="1" x14ac:dyDescent="0.55000000000000004">
      <c r="A18" s="100" t="s">
        <v>28</v>
      </c>
      <c r="B18" s="89"/>
      <c r="C18" s="92"/>
      <c r="D18" s="92"/>
      <c r="E18" s="92"/>
      <c r="F18" s="7" t="s">
        <v>29</v>
      </c>
      <c r="G18" s="3"/>
    </row>
    <row r="19" spans="1:7" ht="22" customHeight="1" x14ac:dyDescent="0.55000000000000004">
      <c r="A19" s="105" t="s">
        <v>30</v>
      </c>
      <c r="B19" s="87"/>
      <c r="C19" s="92"/>
      <c r="D19" s="92"/>
      <c r="E19" s="92"/>
      <c r="F19" s="9" t="s">
        <v>31</v>
      </c>
      <c r="G19" s="8"/>
    </row>
    <row r="20" spans="1:7" ht="22" customHeight="1" x14ac:dyDescent="0.55000000000000004">
      <c r="A20" s="100" t="s">
        <v>32</v>
      </c>
      <c r="B20" s="89"/>
      <c r="C20" s="92"/>
      <c r="D20" s="92"/>
      <c r="E20" s="92"/>
      <c r="F20" s="7" t="s">
        <v>33</v>
      </c>
      <c r="G20" s="3"/>
    </row>
    <row r="21" spans="1:7" ht="22" customHeight="1" x14ac:dyDescent="0.55000000000000004">
      <c r="A21" s="105" t="s">
        <v>34</v>
      </c>
      <c r="B21" s="87"/>
      <c r="C21" s="92"/>
      <c r="D21" s="92"/>
      <c r="E21" s="92"/>
      <c r="F21" s="9" t="s">
        <v>35</v>
      </c>
      <c r="G21" s="8"/>
    </row>
    <row r="22" spans="1:7" ht="22" customHeight="1" x14ac:dyDescent="0.55000000000000004">
      <c r="A22" s="100" t="s">
        <v>36</v>
      </c>
      <c r="B22" s="89"/>
      <c r="C22" s="92"/>
      <c r="D22" s="92"/>
      <c r="E22" s="92"/>
      <c r="F22" s="7" t="s">
        <v>37</v>
      </c>
      <c r="G22" s="3"/>
    </row>
    <row r="23" spans="1:7" ht="22" customHeight="1" x14ac:dyDescent="0.55000000000000004">
      <c r="A23" s="105" t="s">
        <v>38</v>
      </c>
      <c r="B23" s="87"/>
      <c r="C23" s="92"/>
      <c r="D23" s="92"/>
      <c r="E23" s="92"/>
      <c r="F23" s="9" t="s">
        <v>39</v>
      </c>
      <c r="G23" s="8"/>
    </row>
    <row r="24" spans="1:7" ht="5.05" customHeight="1" x14ac:dyDescent="0.55000000000000004">
      <c r="A24" s="1"/>
      <c r="B24" s="1"/>
      <c r="C24" s="1"/>
      <c r="D24" s="1"/>
      <c r="E24" s="1"/>
      <c r="F24" s="1"/>
      <c r="G24" s="1"/>
    </row>
    <row r="25" spans="1:7" ht="24" customHeight="1" x14ac:dyDescent="0.55000000000000004">
      <c r="A25" s="82" t="s">
        <v>40</v>
      </c>
      <c r="B25" s="83"/>
      <c r="C25" s="83"/>
      <c r="D25" s="83"/>
      <c r="E25" s="83"/>
      <c r="F25" s="83"/>
      <c r="G25" s="83"/>
    </row>
    <row r="26" spans="1:7" ht="24" customHeight="1" x14ac:dyDescent="0.55000000000000004">
      <c r="A26" s="106" t="s">
        <v>41</v>
      </c>
      <c r="B26" s="89"/>
      <c r="C26" s="89"/>
      <c r="D26" s="89"/>
      <c r="E26" s="89"/>
      <c r="F26" s="89"/>
      <c r="G26" s="89"/>
    </row>
    <row r="27" spans="1:7" ht="44.05" customHeight="1" x14ac:dyDescent="0.55000000000000004">
      <c r="A27" s="128" t="s">
        <v>42</v>
      </c>
      <c r="B27" s="127"/>
      <c r="C27" s="127"/>
      <c r="D27" s="127"/>
      <c r="E27" s="127"/>
      <c r="F27" s="127"/>
      <c r="G27" s="127"/>
    </row>
    <row r="28" spans="1:7" ht="18" customHeight="1" x14ac:dyDescent="0.55000000000000004">
      <c r="A28" s="2"/>
      <c r="B28" s="2" t="s">
        <v>43</v>
      </c>
      <c r="C28" s="2"/>
      <c r="D28" s="2" t="s">
        <v>44</v>
      </c>
      <c r="E28" s="2"/>
      <c r="F28" s="2" t="s">
        <v>45</v>
      </c>
      <c r="G28" s="2" t="s">
        <v>46</v>
      </c>
    </row>
    <row r="29" spans="1:7" ht="26.05" customHeight="1" x14ac:dyDescent="0.55000000000000004">
      <c r="A29" s="105" t="s">
        <v>47</v>
      </c>
      <c r="B29" s="87"/>
      <c r="C29" s="4" t="s">
        <v>19</v>
      </c>
      <c r="D29" s="93" t="s">
        <v>48</v>
      </c>
      <c r="E29" s="87"/>
      <c r="F29" s="86" t="s">
        <v>49</v>
      </c>
      <c r="G29" s="87"/>
    </row>
    <row r="30" spans="1:7" ht="26.05" customHeight="1" x14ac:dyDescent="0.55000000000000004">
      <c r="A30" s="108" t="s">
        <v>50</v>
      </c>
      <c r="B30" s="95"/>
      <c r="C30" s="10"/>
      <c r="D30" s="94" t="s">
        <v>51</v>
      </c>
      <c r="E30" s="95"/>
      <c r="F30" s="109" t="s">
        <v>52</v>
      </c>
      <c r="G30" s="95"/>
    </row>
    <row r="31" spans="1:7" ht="26.05" customHeight="1" x14ac:dyDescent="0.55000000000000004">
      <c r="A31" s="105" t="s">
        <v>53</v>
      </c>
      <c r="B31" s="87"/>
      <c r="C31" s="10"/>
      <c r="D31" s="93" t="s">
        <v>54</v>
      </c>
      <c r="E31" s="87"/>
      <c r="F31" s="86" t="s">
        <v>55</v>
      </c>
      <c r="G31" s="87"/>
    </row>
    <row r="32" spans="1:7" ht="26.05" customHeight="1" x14ac:dyDescent="0.55000000000000004">
      <c r="A32" s="108" t="s">
        <v>56</v>
      </c>
      <c r="B32" s="95"/>
      <c r="C32" s="10"/>
      <c r="D32" s="94" t="s">
        <v>57</v>
      </c>
      <c r="E32" s="95"/>
      <c r="F32" s="109" t="s">
        <v>58</v>
      </c>
      <c r="G32" s="95"/>
    </row>
    <row r="33" spans="1:7" ht="26.05" customHeight="1" x14ac:dyDescent="0.55000000000000004">
      <c r="A33" s="101" t="s">
        <v>59</v>
      </c>
      <c r="B33" s="87"/>
      <c r="C33" s="10"/>
      <c r="D33" s="93" t="s">
        <v>60</v>
      </c>
      <c r="E33" s="87"/>
      <c r="F33" s="86" t="s">
        <v>61</v>
      </c>
      <c r="G33" s="87"/>
    </row>
    <row r="34" spans="1:7" ht="26.05" customHeight="1" x14ac:dyDescent="0.55000000000000004">
      <c r="A34" s="108" t="s">
        <v>62</v>
      </c>
      <c r="B34" s="95"/>
      <c r="C34" s="10"/>
      <c r="D34" s="94" t="s">
        <v>63</v>
      </c>
      <c r="E34" s="95"/>
      <c r="F34" s="109" t="s">
        <v>55</v>
      </c>
      <c r="G34" s="95"/>
    </row>
    <row r="35" spans="1:7" ht="26.05" customHeight="1" x14ac:dyDescent="0.55000000000000004">
      <c r="A35" s="105" t="s">
        <v>64</v>
      </c>
      <c r="B35" s="87"/>
      <c r="C35" s="10"/>
      <c r="D35" s="93" t="s">
        <v>65</v>
      </c>
      <c r="E35" s="87"/>
      <c r="F35" s="86" t="s">
        <v>58</v>
      </c>
      <c r="G35" s="87"/>
    </row>
    <row r="36" spans="1:7" ht="26.05" customHeight="1" x14ac:dyDescent="0.55000000000000004">
      <c r="A36" s="108" t="s">
        <v>66</v>
      </c>
      <c r="B36" s="95"/>
      <c r="C36" s="4" t="s">
        <v>9</v>
      </c>
      <c r="D36" s="94" t="s">
        <v>67</v>
      </c>
      <c r="E36" s="95"/>
      <c r="F36" s="109" t="s">
        <v>68</v>
      </c>
      <c r="G36" s="95"/>
    </row>
    <row r="37" spans="1:7" ht="26.05" customHeight="1" x14ac:dyDescent="0.55000000000000004">
      <c r="A37" s="105" t="s">
        <v>69</v>
      </c>
      <c r="B37" s="87"/>
      <c r="C37" s="4" t="s">
        <v>70</v>
      </c>
      <c r="D37" s="93" t="s">
        <v>71</v>
      </c>
      <c r="E37" s="87"/>
      <c r="F37" s="86" t="s">
        <v>72</v>
      </c>
      <c r="G37" s="87"/>
    </row>
    <row r="38" spans="1:7" ht="5.05" customHeight="1" x14ac:dyDescent="0.55000000000000004">
      <c r="A38" s="1"/>
      <c r="B38" s="1"/>
      <c r="C38" s="1"/>
      <c r="D38" s="1"/>
      <c r="E38" s="1"/>
      <c r="F38" s="1"/>
      <c r="G38" s="1"/>
    </row>
    <row r="39" spans="1:7" ht="24" customHeight="1" x14ac:dyDescent="0.55000000000000004">
      <c r="A39" s="82" t="s">
        <v>73</v>
      </c>
      <c r="B39" s="83"/>
      <c r="C39" s="83"/>
      <c r="D39" s="83"/>
      <c r="E39" s="83"/>
      <c r="F39" s="83"/>
      <c r="G39" s="83"/>
    </row>
    <row r="40" spans="1:7" ht="28" customHeight="1" x14ac:dyDescent="0.55000000000000004">
      <c r="A40" s="106" t="s">
        <v>74</v>
      </c>
      <c r="B40" s="89"/>
      <c r="C40" s="89"/>
      <c r="D40" s="89"/>
      <c r="E40" s="89"/>
      <c r="F40" s="89"/>
      <c r="G40" s="89"/>
    </row>
    <row r="41" spans="1:7" ht="18" customHeight="1" x14ac:dyDescent="0.55000000000000004">
      <c r="A41" s="11" t="s">
        <v>75</v>
      </c>
      <c r="B41" s="11" t="s">
        <v>76</v>
      </c>
      <c r="C41" s="11" t="s">
        <v>77</v>
      </c>
      <c r="D41" s="11" t="s">
        <v>78</v>
      </c>
      <c r="E41" s="11" t="s">
        <v>79</v>
      </c>
      <c r="F41" s="11" t="s">
        <v>80</v>
      </c>
      <c r="G41" s="11" t="s">
        <v>81</v>
      </c>
    </row>
    <row r="42" spans="1:7" ht="26.05" customHeight="1" x14ac:dyDescent="0.55000000000000004">
      <c r="A42" s="12" t="s">
        <v>19</v>
      </c>
      <c r="B42" s="13"/>
      <c r="C42" s="14"/>
      <c r="D42" s="15">
        <f t="shared" ref="D42:D49" si="0">IF(B42&gt;0,B42*C42,0)</f>
        <v>0</v>
      </c>
      <c r="E42" s="14"/>
      <c r="F42" s="16">
        <f t="shared" ref="F42:F49" si="1">IF(B42&gt;0,B42*E42,0)</f>
        <v>0</v>
      </c>
      <c r="G42" s="17">
        <f t="shared" ref="G42:G49" si="2">MAX(F42-D42,0)</f>
        <v>0</v>
      </c>
    </row>
    <row r="43" spans="1:7" ht="26.05" customHeight="1" x14ac:dyDescent="0.55000000000000004">
      <c r="A43" s="18" t="s">
        <v>82</v>
      </c>
      <c r="B43" s="13"/>
      <c r="C43" s="14"/>
      <c r="D43" s="15">
        <f t="shared" si="0"/>
        <v>0</v>
      </c>
      <c r="E43" s="14"/>
      <c r="F43" s="16">
        <f t="shared" si="1"/>
        <v>0</v>
      </c>
      <c r="G43" s="17">
        <f t="shared" si="2"/>
        <v>0</v>
      </c>
    </row>
    <row r="44" spans="1:7" ht="26.05" customHeight="1" x14ac:dyDescent="0.55000000000000004">
      <c r="A44" s="12" t="s">
        <v>83</v>
      </c>
      <c r="B44" s="13"/>
      <c r="C44" s="14"/>
      <c r="D44" s="15">
        <f t="shared" si="0"/>
        <v>0</v>
      </c>
      <c r="E44" s="14"/>
      <c r="F44" s="16">
        <f t="shared" si="1"/>
        <v>0</v>
      </c>
      <c r="G44" s="17">
        <f t="shared" si="2"/>
        <v>0</v>
      </c>
    </row>
    <row r="45" spans="1:7" ht="26.05" customHeight="1" x14ac:dyDescent="0.55000000000000004">
      <c r="A45" s="18" t="s">
        <v>84</v>
      </c>
      <c r="B45" s="13"/>
      <c r="C45" s="14"/>
      <c r="D45" s="15">
        <f t="shared" si="0"/>
        <v>0</v>
      </c>
      <c r="E45" s="14"/>
      <c r="F45" s="16">
        <f t="shared" si="1"/>
        <v>0</v>
      </c>
      <c r="G45" s="17">
        <f t="shared" si="2"/>
        <v>0</v>
      </c>
    </row>
    <row r="46" spans="1:7" ht="26.05" customHeight="1" x14ac:dyDescent="0.55000000000000004">
      <c r="A46" s="19" t="s">
        <v>85</v>
      </c>
      <c r="B46" s="13"/>
      <c r="C46" s="14"/>
      <c r="D46" s="15">
        <f t="shared" si="0"/>
        <v>0</v>
      </c>
      <c r="E46" s="14"/>
      <c r="F46" s="16">
        <f t="shared" si="1"/>
        <v>0</v>
      </c>
      <c r="G46" s="17">
        <f t="shared" si="2"/>
        <v>0</v>
      </c>
    </row>
    <row r="47" spans="1:7" ht="26.05" customHeight="1" x14ac:dyDescent="0.55000000000000004">
      <c r="A47" s="20" t="s">
        <v>86</v>
      </c>
      <c r="B47" s="13"/>
      <c r="C47" s="14"/>
      <c r="D47" s="15">
        <f t="shared" si="0"/>
        <v>0</v>
      </c>
      <c r="E47" s="14"/>
      <c r="F47" s="16">
        <f t="shared" si="1"/>
        <v>0</v>
      </c>
      <c r="G47" s="17">
        <f t="shared" si="2"/>
        <v>0</v>
      </c>
    </row>
    <row r="48" spans="1:7" ht="26.05" customHeight="1" x14ac:dyDescent="0.55000000000000004">
      <c r="A48" s="19" t="s">
        <v>87</v>
      </c>
      <c r="B48" s="13"/>
      <c r="C48" s="14"/>
      <c r="D48" s="15">
        <f t="shared" si="0"/>
        <v>0</v>
      </c>
      <c r="E48" s="14"/>
      <c r="F48" s="16">
        <f t="shared" si="1"/>
        <v>0</v>
      </c>
      <c r="G48" s="17">
        <f t="shared" si="2"/>
        <v>0</v>
      </c>
    </row>
    <row r="49" spans="1:7" ht="26.05" customHeight="1" x14ac:dyDescent="0.55000000000000004">
      <c r="A49" s="20" t="s">
        <v>88</v>
      </c>
      <c r="B49" s="13"/>
      <c r="C49" s="14"/>
      <c r="D49" s="15">
        <f t="shared" si="0"/>
        <v>0</v>
      </c>
      <c r="E49" s="14"/>
      <c r="F49" s="16">
        <f t="shared" si="1"/>
        <v>0</v>
      </c>
      <c r="G49" s="17">
        <f t="shared" si="2"/>
        <v>0</v>
      </c>
    </row>
    <row r="50" spans="1:7" ht="30" customHeight="1" x14ac:dyDescent="0.55000000000000004">
      <c r="A50" s="21" t="s">
        <v>89</v>
      </c>
      <c r="B50" s="110" t="s">
        <v>90</v>
      </c>
      <c r="C50" s="111"/>
      <c r="D50" s="111"/>
      <c r="E50" s="111"/>
      <c r="F50" s="22">
        <f>SUM(F42:F49)</f>
        <v>0</v>
      </c>
      <c r="G50" s="23">
        <f>SUM(G42:G49)</f>
        <v>0</v>
      </c>
    </row>
    <row r="51" spans="1:7" ht="36" customHeight="1" x14ac:dyDescent="0.55000000000000004">
      <c r="A51" s="126" t="s">
        <v>91</v>
      </c>
      <c r="B51" s="127"/>
      <c r="C51" s="127"/>
      <c r="D51" s="127"/>
      <c r="E51" s="127"/>
      <c r="F51" s="127"/>
      <c r="G51" s="127"/>
    </row>
    <row r="52" spans="1:7" ht="5.05" customHeight="1" x14ac:dyDescent="0.55000000000000004">
      <c r="A52" s="1"/>
      <c r="B52" s="1"/>
      <c r="C52" s="1"/>
      <c r="D52" s="1"/>
      <c r="E52" s="1"/>
      <c r="F52" s="1"/>
      <c r="G52" s="1"/>
    </row>
    <row r="53" spans="1:7" ht="24" customHeight="1" x14ac:dyDescent="0.55000000000000004">
      <c r="A53" s="82" t="s">
        <v>92</v>
      </c>
      <c r="B53" s="83"/>
      <c r="C53" s="83"/>
      <c r="D53" s="83"/>
      <c r="E53" s="83"/>
      <c r="F53" s="83"/>
      <c r="G53" s="83"/>
    </row>
    <row r="54" spans="1:7" ht="18" customHeight="1" x14ac:dyDescent="0.55000000000000004">
      <c r="A54" s="2"/>
      <c r="B54" s="2" t="s">
        <v>93</v>
      </c>
      <c r="C54" s="2"/>
      <c r="D54" s="2" t="s">
        <v>94</v>
      </c>
      <c r="E54" s="2"/>
      <c r="F54" s="2" t="s">
        <v>45</v>
      </c>
      <c r="G54" s="2" t="s">
        <v>95</v>
      </c>
    </row>
    <row r="55" spans="1:7" ht="28" customHeight="1" x14ac:dyDescent="0.55000000000000004">
      <c r="A55" s="105" t="s">
        <v>96</v>
      </c>
      <c r="B55" s="87"/>
      <c r="C55" s="24">
        <f>G50</f>
        <v>0</v>
      </c>
      <c r="D55" s="93" t="s">
        <v>97</v>
      </c>
      <c r="E55" s="87"/>
      <c r="F55" s="124" t="s">
        <v>98</v>
      </c>
      <c r="G55" s="87"/>
    </row>
    <row r="56" spans="1:7" ht="28" customHeight="1" x14ac:dyDescent="0.55000000000000004">
      <c r="A56" s="100" t="s">
        <v>99</v>
      </c>
      <c r="B56" s="89"/>
      <c r="C56" s="25"/>
      <c r="D56" s="103" t="s">
        <v>100</v>
      </c>
      <c r="E56" s="89"/>
      <c r="F56" s="104" t="s">
        <v>101</v>
      </c>
      <c r="G56" s="89"/>
    </row>
    <row r="57" spans="1:7" ht="28" customHeight="1" x14ac:dyDescent="0.55000000000000004">
      <c r="A57" s="119" t="s">
        <v>102</v>
      </c>
      <c r="B57" s="91"/>
      <c r="C57" s="26">
        <f>C55-C56</f>
        <v>0</v>
      </c>
      <c r="D57" s="125" t="s">
        <v>103</v>
      </c>
      <c r="E57" s="91"/>
      <c r="F57" s="107" t="s">
        <v>104</v>
      </c>
      <c r="G57" s="91"/>
    </row>
    <row r="58" spans="1:7" ht="28" customHeight="1" x14ac:dyDescent="0.55000000000000004">
      <c r="A58" s="100" t="s">
        <v>105</v>
      </c>
      <c r="B58" s="89"/>
      <c r="C58" s="24">
        <f>C56</f>
        <v>0</v>
      </c>
      <c r="D58" s="103" t="s">
        <v>106</v>
      </c>
      <c r="E58" s="89"/>
      <c r="F58" s="104"/>
      <c r="G58" s="89"/>
    </row>
    <row r="59" spans="1:7" ht="5.05" customHeight="1" x14ac:dyDescent="0.55000000000000004">
      <c r="A59" s="1"/>
      <c r="B59" s="1"/>
      <c r="C59" s="1"/>
      <c r="D59" s="1"/>
      <c r="E59" s="1"/>
      <c r="F59" s="1"/>
      <c r="G59" s="1"/>
    </row>
    <row r="60" spans="1:7" ht="22" customHeight="1" x14ac:dyDescent="0.55000000000000004">
      <c r="A60" s="82" t="s">
        <v>107</v>
      </c>
      <c r="B60" s="83"/>
      <c r="C60" s="83"/>
      <c r="D60" s="83"/>
      <c r="E60" s="83"/>
      <c r="F60" s="83"/>
      <c r="G60" s="83"/>
    </row>
    <row r="61" spans="1:7" ht="18" customHeight="1" x14ac:dyDescent="0.55000000000000004">
      <c r="A61" s="2"/>
      <c r="B61" s="2" t="s">
        <v>108</v>
      </c>
      <c r="C61" s="2" t="s">
        <v>109</v>
      </c>
      <c r="D61" s="2"/>
      <c r="E61" s="2" t="s">
        <v>110</v>
      </c>
      <c r="F61" s="2"/>
      <c r="G61" s="2" t="s">
        <v>111</v>
      </c>
    </row>
    <row r="62" spans="1:7" ht="24" customHeight="1" x14ac:dyDescent="0.55000000000000004">
      <c r="A62" s="27" t="s">
        <v>112</v>
      </c>
      <c r="B62" s="3"/>
      <c r="C62" s="84" t="s">
        <v>113</v>
      </c>
      <c r="D62" s="85"/>
      <c r="E62" s="88" t="s">
        <v>114</v>
      </c>
      <c r="F62" s="89"/>
      <c r="G62" s="28" t="s">
        <v>115</v>
      </c>
    </row>
    <row r="63" spans="1:7" ht="24" customHeight="1" x14ac:dyDescent="0.55000000000000004">
      <c r="A63" s="27" t="s">
        <v>116</v>
      </c>
      <c r="B63" s="8"/>
      <c r="C63" s="84" t="s">
        <v>117</v>
      </c>
      <c r="D63" s="85"/>
      <c r="E63" s="88" t="s">
        <v>104</v>
      </c>
      <c r="F63" s="89"/>
      <c r="G63" s="28" t="s">
        <v>118</v>
      </c>
    </row>
    <row r="64" spans="1:7" ht="24" customHeight="1" x14ac:dyDescent="0.55000000000000004">
      <c r="A64" s="27" t="s">
        <v>119</v>
      </c>
      <c r="B64" s="3"/>
      <c r="C64" s="84" t="s">
        <v>120</v>
      </c>
      <c r="D64" s="85"/>
      <c r="E64" s="88" t="s">
        <v>120</v>
      </c>
      <c r="F64" s="89"/>
      <c r="G64" s="28" t="s">
        <v>121</v>
      </c>
    </row>
    <row r="65" spans="1:7" ht="24" customHeight="1" x14ac:dyDescent="0.55000000000000004">
      <c r="A65" s="27" t="s">
        <v>58</v>
      </c>
      <c r="B65" s="8"/>
      <c r="C65" s="84" t="s">
        <v>122</v>
      </c>
      <c r="D65" s="85"/>
      <c r="E65" s="88" t="s">
        <v>123</v>
      </c>
      <c r="F65" s="89"/>
      <c r="G65" s="28" t="s">
        <v>124</v>
      </c>
    </row>
    <row r="66" spans="1:7" ht="24" customHeight="1" x14ac:dyDescent="0.55000000000000004">
      <c r="A66" s="27" t="s">
        <v>125</v>
      </c>
      <c r="B66" s="3"/>
      <c r="C66" s="84" t="s">
        <v>126</v>
      </c>
      <c r="D66" s="85"/>
      <c r="E66" s="88" t="s">
        <v>127</v>
      </c>
      <c r="F66" s="89"/>
      <c r="G66" s="29" t="s">
        <v>128</v>
      </c>
    </row>
    <row r="67" spans="1:7" ht="24" customHeight="1" x14ac:dyDescent="0.55000000000000004">
      <c r="A67" s="27" t="s">
        <v>129</v>
      </c>
      <c r="B67" s="8"/>
      <c r="C67" s="84" t="s">
        <v>130</v>
      </c>
      <c r="D67" s="85"/>
      <c r="E67" s="88" t="s">
        <v>130</v>
      </c>
      <c r="F67" s="89"/>
      <c r="G67" s="28" t="s">
        <v>131</v>
      </c>
    </row>
    <row r="68" spans="1:7" ht="32.049999999999997" customHeight="1" x14ac:dyDescent="0.55000000000000004">
      <c r="A68" s="118" t="s">
        <v>132</v>
      </c>
      <c r="B68" s="91"/>
      <c r="C68" s="91"/>
      <c r="D68" s="91"/>
      <c r="E68" s="30">
        <f>C57</f>
        <v>0</v>
      </c>
      <c r="F68" s="90" t="s">
        <v>133</v>
      </c>
      <c r="G68" s="91"/>
    </row>
    <row r="69" spans="1:7" ht="52" customHeight="1" x14ac:dyDescent="0.55000000000000004">
      <c r="A69" s="112" t="s">
        <v>134</v>
      </c>
      <c r="B69" s="113"/>
      <c r="C69" s="113"/>
      <c r="D69" s="113"/>
      <c r="E69" s="113"/>
      <c r="F69" s="113"/>
      <c r="G69" s="113"/>
    </row>
  </sheetData>
  <mergeCells count="97">
    <mergeCell ref="A2:G2"/>
    <mergeCell ref="F14:G14"/>
    <mergeCell ref="A14:D14"/>
    <mergeCell ref="F11:G11"/>
    <mergeCell ref="F55:G55"/>
    <mergeCell ref="F12:G12"/>
    <mergeCell ref="D32:E32"/>
    <mergeCell ref="F32:G32"/>
    <mergeCell ref="A18:B18"/>
    <mergeCell ref="A51:G51"/>
    <mergeCell ref="F35:G35"/>
    <mergeCell ref="C19:E19"/>
    <mergeCell ref="A20:B20"/>
    <mergeCell ref="F37:G37"/>
    <mergeCell ref="A29:B29"/>
    <mergeCell ref="A27:G27"/>
    <mergeCell ref="F8:G8"/>
    <mergeCell ref="A21:B21"/>
    <mergeCell ref="A57:B57"/>
    <mergeCell ref="A6:G6"/>
    <mergeCell ref="A32:B32"/>
    <mergeCell ref="A23:B23"/>
    <mergeCell ref="A25:G25"/>
    <mergeCell ref="D55:E55"/>
    <mergeCell ref="D30:E30"/>
    <mergeCell ref="A12:D12"/>
    <mergeCell ref="D57:E57"/>
    <mergeCell ref="A31:B31"/>
    <mergeCell ref="A1:G1"/>
    <mergeCell ref="A69:G69"/>
    <mergeCell ref="D37:E37"/>
    <mergeCell ref="F31:G31"/>
    <mergeCell ref="F9:G9"/>
    <mergeCell ref="A3:G3"/>
    <mergeCell ref="D29:E29"/>
    <mergeCell ref="C66:D66"/>
    <mergeCell ref="E66:F66"/>
    <mergeCell ref="A34:B34"/>
    <mergeCell ref="A8:D8"/>
    <mergeCell ref="A4:G4"/>
    <mergeCell ref="A36:B36"/>
    <mergeCell ref="A10:D10"/>
    <mergeCell ref="A68:D68"/>
    <mergeCell ref="A40:G40"/>
    <mergeCell ref="A9:D9"/>
    <mergeCell ref="F30:G30"/>
    <mergeCell ref="B50:E50"/>
    <mergeCell ref="F33:G33"/>
    <mergeCell ref="A37:B37"/>
    <mergeCell ref="A11:D11"/>
    <mergeCell ref="F36:G36"/>
    <mergeCell ref="F10:G10"/>
    <mergeCell ref="D34:E34"/>
    <mergeCell ref="C22:E22"/>
    <mergeCell ref="F34:G34"/>
    <mergeCell ref="E67:F67"/>
    <mergeCell ref="C65:D65"/>
    <mergeCell ref="A60:G60"/>
    <mergeCell ref="A55:B55"/>
    <mergeCell ref="D58:E58"/>
    <mergeCell ref="F58:G58"/>
    <mergeCell ref="A58:B58"/>
    <mergeCell ref="A13:D13"/>
    <mergeCell ref="E64:F64"/>
    <mergeCell ref="F15:G15"/>
    <mergeCell ref="C63:D63"/>
    <mergeCell ref="C23:E23"/>
    <mergeCell ref="A39:G39"/>
    <mergeCell ref="E63:F63"/>
    <mergeCell ref="A15:D15"/>
    <mergeCell ref="A56:B56"/>
    <mergeCell ref="A33:B33"/>
    <mergeCell ref="C18:E18"/>
    <mergeCell ref="F13:G13"/>
    <mergeCell ref="D56:E56"/>
    <mergeCell ref="F56:G56"/>
    <mergeCell ref="A22:B22"/>
    <mergeCell ref="A35:B35"/>
    <mergeCell ref="F68:G68"/>
    <mergeCell ref="C21:E21"/>
    <mergeCell ref="D31:E31"/>
    <mergeCell ref="D36:E36"/>
    <mergeCell ref="C64:D64"/>
    <mergeCell ref="E65:F65"/>
    <mergeCell ref="C67:D67"/>
    <mergeCell ref="D33:E33"/>
    <mergeCell ref="A26:G26"/>
    <mergeCell ref="F57:G57"/>
    <mergeCell ref="D35:E35"/>
    <mergeCell ref="A30:B30"/>
    <mergeCell ref="A17:G17"/>
    <mergeCell ref="C62:D62"/>
    <mergeCell ref="F29:G29"/>
    <mergeCell ref="E62:F62"/>
    <mergeCell ref="A53:G53"/>
    <mergeCell ref="A19:B19"/>
    <mergeCell ref="C20:E20"/>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disablePrompts="1" count="8">
    <dataValidation type="list" sqref="E8:E10" xr:uid="{00000000-0002-0000-0000-000000000000}">
      <formula1>"EVET,HAYIR-İstisna Yok"</formula1>
    </dataValidation>
    <dataValidation type="list" sqref="E11" xr:uid="{00000000-0002-0000-0000-000003000000}">
      <formula1>"HAYIR-Kapsam Net,EVET-Risk Analizi"</formula1>
    </dataValidation>
    <dataValidation type="list" sqref="E12" xr:uid="{00000000-0002-0000-0000-000004000000}">
      <formula1>"Gram Altın Hesabı,Altın Mevduatı,Fiziki Altın Hesabı,Diğer Altın Hesabı"</formula1>
    </dataValidation>
    <dataValidation type="list" sqref="E13" xr:uid="{00000000-0002-0000-0000-000005000000}">
      <formula1>"EVET,HAYIR-KRİTİK HATA"</formula1>
    </dataValidation>
    <dataValidation type="list" sqref="E14" xr:uid="{00000000-0002-0000-0000-000006000000}">
      <formula1>"EVET,Tam Tasdik"</formula1>
    </dataValidation>
    <dataValidation type="list" sqref="C29" xr:uid="{00000000-0002-0000-0000-000007000000}">
      <formula1>"Gram Altın Hesabı,Altın Mevduatı,Fiziki Altın Hesabı,Diğer"</formula1>
    </dataValidation>
    <dataValidation type="list" sqref="C36" xr:uid="{00000000-0002-0000-0000-000008000000}">
      <formula1>"EVET,HAYIR-Risk"</formula1>
    </dataValidation>
    <dataValidation type="list" sqref="C37" xr:uid="{00000000-0002-0000-0000-000009000000}">
      <formula1>"TCMB,İAB (İstanbul Altın Borsası),Diğer Resmi Kaynak"</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
  <sheetViews>
    <sheetView workbookViewId="0"/>
  </sheetViews>
  <sheetFormatPr defaultRowHeight="14.4" x14ac:dyDescent="0.55000000000000004"/>
  <cols>
    <col min="1" max="1" width="4" customWidth="1"/>
    <col min="2" max="2" width="40" customWidth="1"/>
    <col min="3" max="3" width="18" customWidth="1"/>
    <col min="4" max="4" width="16" customWidth="1"/>
    <col min="5" max="5" width="14" customWidth="1"/>
    <col min="6" max="6" width="12" customWidth="1"/>
    <col min="7" max="7" width="20" customWidth="1"/>
  </cols>
  <sheetData>
    <row r="1" spans="1:7" ht="36" customHeight="1" x14ac:dyDescent="0.55000000000000004">
      <c r="A1" s="140" t="s">
        <v>135</v>
      </c>
      <c r="B1" s="83"/>
      <c r="C1" s="83"/>
      <c r="D1" s="83"/>
      <c r="E1" s="83"/>
      <c r="F1" s="83"/>
      <c r="G1" s="83"/>
    </row>
    <row r="2" spans="1:7" ht="20.05" customHeight="1" x14ac:dyDescent="0.55000000000000004">
      <c r="A2" s="122" t="s">
        <v>136</v>
      </c>
      <c r="B2" s="123"/>
      <c r="C2" s="123"/>
      <c r="D2" s="123"/>
      <c r="E2" s="123"/>
      <c r="F2" s="123"/>
      <c r="G2" s="123"/>
    </row>
    <row r="3" spans="1:7" ht="5.05" customHeight="1" x14ac:dyDescent="0.55000000000000004">
      <c r="A3" s="1"/>
      <c r="B3" s="1"/>
      <c r="C3" s="1"/>
      <c r="D3" s="1"/>
      <c r="E3" s="1"/>
      <c r="F3" s="1"/>
      <c r="G3" s="1"/>
    </row>
    <row r="4" spans="1:7" ht="22" customHeight="1" x14ac:dyDescent="0.55000000000000004">
      <c r="A4" s="131" t="s">
        <v>137</v>
      </c>
      <c r="B4" s="132"/>
      <c r="C4" s="132"/>
      <c r="D4" s="132"/>
      <c r="E4" s="132"/>
      <c r="F4" s="132"/>
      <c r="G4" s="132"/>
    </row>
    <row r="5" spans="1:7" ht="22" customHeight="1" x14ac:dyDescent="0.55000000000000004">
      <c r="A5" s="136" t="s">
        <v>138</v>
      </c>
      <c r="B5" s="87"/>
      <c r="C5" s="87"/>
      <c r="D5" s="31" t="str">
        <f>'VERİ GİRİŞİ'!E15</f>
        <v>OK - Hesaplanabilir</v>
      </c>
      <c r="E5" s="124" t="s">
        <v>139</v>
      </c>
      <c r="F5" s="87"/>
      <c r="G5" s="87"/>
    </row>
    <row r="6" spans="1:7" ht="22" customHeight="1" x14ac:dyDescent="0.55000000000000004">
      <c r="A6" s="137" t="s">
        <v>140</v>
      </c>
      <c r="B6" s="89"/>
      <c r="C6" s="89"/>
      <c r="D6" s="31" t="str">
        <f>'VERİ GİRİŞİ'!E12</f>
        <v>Gram Altın Hesabı</v>
      </c>
      <c r="E6" s="104" t="s">
        <v>141</v>
      </c>
      <c r="F6" s="89"/>
      <c r="G6" s="89"/>
    </row>
    <row r="7" spans="1:7" ht="22" customHeight="1" x14ac:dyDescent="0.55000000000000004">
      <c r="A7" s="136" t="s">
        <v>142</v>
      </c>
      <c r="B7" s="87"/>
      <c r="C7" s="87"/>
      <c r="D7" s="31">
        <f>'VERİ GİRİŞİ'!C55</f>
        <v>0</v>
      </c>
      <c r="E7" s="124" t="s">
        <v>143</v>
      </c>
      <c r="F7" s="87"/>
      <c r="G7" s="87"/>
    </row>
    <row r="8" spans="1:7" ht="22" customHeight="1" x14ac:dyDescent="0.55000000000000004">
      <c r="A8" s="137" t="s">
        <v>144</v>
      </c>
      <c r="B8" s="89"/>
      <c r="C8" s="89"/>
      <c r="D8" s="31">
        <f>'VERİ GİRİŞİ'!C56</f>
        <v>0</v>
      </c>
      <c r="E8" s="104" t="s">
        <v>145</v>
      </c>
      <c r="F8" s="89"/>
      <c r="G8" s="89"/>
    </row>
    <row r="9" spans="1:7" ht="22" customHeight="1" x14ac:dyDescent="0.55000000000000004">
      <c r="A9" s="99" t="s">
        <v>146</v>
      </c>
      <c r="B9" s="91"/>
      <c r="C9" s="91"/>
      <c r="D9" s="32">
        <f>'VERİ GİRİŞİ'!C57</f>
        <v>0</v>
      </c>
      <c r="E9" s="107"/>
      <c r="F9" s="91"/>
      <c r="G9" s="91"/>
    </row>
    <row r="10" spans="1:7" ht="22" customHeight="1" x14ac:dyDescent="0.55000000000000004">
      <c r="A10" s="138" t="s">
        <v>147</v>
      </c>
      <c r="B10" s="85"/>
      <c r="C10" s="85"/>
      <c r="D10" s="33" t="s">
        <v>148</v>
      </c>
      <c r="E10" s="129" t="s">
        <v>149</v>
      </c>
      <c r="F10" s="85"/>
      <c r="G10" s="85"/>
    </row>
    <row r="11" spans="1:7" ht="5.05" customHeight="1" x14ac:dyDescent="0.55000000000000004">
      <c r="A11" s="1"/>
      <c r="B11" s="1"/>
      <c r="C11" s="1"/>
      <c r="D11" s="1"/>
      <c r="E11" s="1"/>
      <c r="F11" s="1"/>
      <c r="G11" s="1"/>
    </row>
    <row r="12" spans="1:7" ht="22" customHeight="1" x14ac:dyDescent="0.55000000000000004">
      <c r="A12" s="82" t="s">
        <v>150</v>
      </c>
      <c r="B12" s="83"/>
      <c r="C12" s="83"/>
      <c r="D12" s="83"/>
      <c r="E12" s="83"/>
      <c r="F12" s="83"/>
      <c r="G12" s="83"/>
    </row>
    <row r="13" spans="1:7" ht="18" customHeight="1" x14ac:dyDescent="0.55000000000000004">
      <c r="A13" s="11" t="s">
        <v>75</v>
      </c>
      <c r="B13" s="11" t="s">
        <v>151</v>
      </c>
      <c r="C13" s="11" t="s">
        <v>152</v>
      </c>
      <c r="D13" s="11" t="s">
        <v>153</v>
      </c>
      <c r="E13" s="11" t="s">
        <v>154</v>
      </c>
      <c r="F13" s="11" t="s">
        <v>155</v>
      </c>
      <c r="G13" s="11" t="s">
        <v>81</v>
      </c>
    </row>
    <row r="14" spans="1:7" ht="22" customHeight="1" x14ac:dyDescent="0.55000000000000004">
      <c r="A14" s="34" t="s">
        <v>19</v>
      </c>
      <c r="B14" s="35">
        <f>'VERİ GİRİŞİ'!B42</f>
        <v>0</v>
      </c>
      <c r="C14" s="36">
        <f>'VERİ GİRİŞİ'!C42</f>
        <v>0</v>
      </c>
      <c r="D14" s="37">
        <f>'VERİ GİRİŞİ'!D42</f>
        <v>0</v>
      </c>
      <c r="E14" s="36">
        <f>'VERİ GİRİŞİ'!E42</f>
        <v>0</v>
      </c>
      <c r="F14" s="37">
        <f>'VERİ GİRİŞİ'!F42</f>
        <v>0</v>
      </c>
      <c r="G14" s="38">
        <f>'VERİ GİRİŞİ'!G42</f>
        <v>0</v>
      </c>
    </row>
    <row r="15" spans="1:7" ht="22" customHeight="1" x14ac:dyDescent="0.55000000000000004">
      <c r="A15" s="39" t="s">
        <v>82</v>
      </c>
      <c r="B15" s="40">
        <f>'VERİ GİRİŞİ'!B43</f>
        <v>0</v>
      </c>
      <c r="C15" s="41">
        <f>'VERİ GİRİŞİ'!C43</f>
        <v>0</v>
      </c>
      <c r="D15" s="37">
        <f>'VERİ GİRİŞİ'!D43</f>
        <v>0</v>
      </c>
      <c r="E15" s="41">
        <f>'VERİ GİRİŞİ'!E43</f>
        <v>0</v>
      </c>
      <c r="F15" s="37">
        <f>'VERİ GİRİŞİ'!F43</f>
        <v>0</v>
      </c>
      <c r="G15" s="38">
        <f>'VERİ GİRİŞİ'!G43</f>
        <v>0</v>
      </c>
    </row>
    <row r="16" spans="1:7" ht="22" customHeight="1" x14ac:dyDescent="0.55000000000000004">
      <c r="A16" s="34" t="s">
        <v>83</v>
      </c>
      <c r="B16" s="35">
        <f>'VERİ GİRİŞİ'!B44</f>
        <v>0</v>
      </c>
      <c r="C16" s="36">
        <f>'VERİ GİRİŞİ'!C44</f>
        <v>0</v>
      </c>
      <c r="D16" s="37">
        <f>'VERİ GİRİŞİ'!D44</f>
        <v>0</v>
      </c>
      <c r="E16" s="36">
        <f>'VERİ GİRİŞİ'!E44</f>
        <v>0</v>
      </c>
      <c r="F16" s="37">
        <f>'VERİ GİRİŞİ'!F44</f>
        <v>0</v>
      </c>
      <c r="G16" s="38">
        <f>'VERİ GİRİŞİ'!G44</f>
        <v>0</v>
      </c>
    </row>
    <row r="17" spans="1:7" ht="22" customHeight="1" x14ac:dyDescent="0.55000000000000004">
      <c r="A17" s="39" t="s">
        <v>84</v>
      </c>
      <c r="B17" s="40">
        <f>'VERİ GİRİŞİ'!B45</f>
        <v>0</v>
      </c>
      <c r="C17" s="41">
        <f>'VERİ GİRİŞİ'!C45</f>
        <v>0</v>
      </c>
      <c r="D17" s="37">
        <f>'VERİ GİRİŞİ'!D45</f>
        <v>0</v>
      </c>
      <c r="E17" s="41">
        <f>'VERİ GİRİŞİ'!E45</f>
        <v>0</v>
      </c>
      <c r="F17" s="37">
        <f>'VERİ GİRİŞİ'!F45</f>
        <v>0</v>
      </c>
      <c r="G17" s="38">
        <f>'VERİ GİRİŞİ'!G45</f>
        <v>0</v>
      </c>
    </row>
    <row r="18" spans="1:7" ht="22" customHeight="1" x14ac:dyDescent="0.55000000000000004">
      <c r="A18" s="34" t="s">
        <v>156</v>
      </c>
      <c r="B18" s="35">
        <f>'VERİ GİRİŞİ'!B46</f>
        <v>0</v>
      </c>
      <c r="C18" s="36">
        <f>'VERİ GİRİŞİ'!C46</f>
        <v>0</v>
      </c>
      <c r="D18" s="37">
        <f>'VERİ GİRİŞİ'!D46</f>
        <v>0</v>
      </c>
      <c r="E18" s="36">
        <f>'VERİ GİRİŞİ'!E46</f>
        <v>0</v>
      </c>
      <c r="F18" s="37">
        <f>'VERİ GİRİŞİ'!F46</f>
        <v>0</v>
      </c>
      <c r="G18" s="38">
        <f>'VERİ GİRİŞİ'!G46</f>
        <v>0</v>
      </c>
    </row>
    <row r="19" spans="1:7" ht="22" customHeight="1" x14ac:dyDescent="0.55000000000000004">
      <c r="A19" s="39" t="s">
        <v>157</v>
      </c>
      <c r="B19" s="40">
        <f>'VERİ GİRİŞİ'!B47</f>
        <v>0</v>
      </c>
      <c r="C19" s="41">
        <f>'VERİ GİRİŞİ'!C47</f>
        <v>0</v>
      </c>
      <c r="D19" s="37">
        <f>'VERİ GİRİŞİ'!D47</f>
        <v>0</v>
      </c>
      <c r="E19" s="41">
        <f>'VERİ GİRİŞİ'!E47</f>
        <v>0</v>
      </c>
      <c r="F19" s="37">
        <f>'VERİ GİRİŞİ'!F47</f>
        <v>0</v>
      </c>
      <c r="G19" s="38">
        <f>'VERİ GİRİŞİ'!G47</f>
        <v>0</v>
      </c>
    </row>
    <row r="20" spans="1:7" ht="22" customHeight="1" x14ac:dyDescent="0.55000000000000004">
      <c r="A20" s="34" t="s">
        <v>158</v>
      </c>
      <c r="B20" s="35">
        <f>'VERİ GİRİŞİ'!B48</f>
        <v>0</v>
      </c>
      <c r="C20" s="36">
        <f>'VERİ GİRİŞİ'!C48</f>
        <v>0</v>
      </c>
      <c r="D20" s="37">
        <f>'VERİ GİRİŞİ'!D48</f>
        <v>0</v>
      </c>
      <c r="E20" s="36">
        <f>'VERİ GİRİŞİ'!E48</f>
        <v>0</v>
      </c>
      <c r="F20" s="37">
        <f>'VERİ GİRİŞİ'!F48</f>
        <v>0</v>
      </c>
      <c r="G20" s="38">
        <f>'VERİ GİRİŞİ'!G48</f>
        <v>0</v>
      </c>
    </row>
    <row r="21" spans="1:7" ht="22" customHeight="1" x14ac:dyDescent="0.55000000000000004">
      <c r="A21" s="39" t="s">
        <v>159</v>
      </c>
      <c r="B21" s="40">
        <f>'VERİ GİRİŞİ'!B49</f>
        <v>0</v>
      </c>
      <c r="C21" s="41">
        <f>'VERİ GİRİŞİ'!C49</f>
        <v>0</v>
      </c>
      <c r="D21" s="37">
        <f>'VERİ GİRİŞİ'!D49</f>
        <v>0</v>
      </c>
      <c r="E21" s="41">
        <f>'VERİ GİRİŞİ'!E49</f>
        <v>0</v>
      </c>
      <c r="F21" s="37">
        <f>'VERİ GİRİŞİ'!F49</f>
        <v>0</v>
      </c>
      <c r="G21" s="38">
        <f>'VERİ GİRİŞİ'!G49</f>
        <v>0</v>
      </c>
    </row>
    <row r="22" spans="1:7" ht="28" customHeight="1" x14ac:dyDescent="0.55000000000000004">
      <c r="A22" s="42" t="s">
        <v>89</v>
      </c>
      <c r="B22" s="110" t="s">
        <v>160</v>
      </c>
      <c r="C22" s="111"/>
      <c r="D22" s="111"/>
      <c r="E22" s="111"/>
      <c r="F22" s="22">
        <f>'VERİ GİRİŞİ'!G50</f>
        <v>0</v>
      </c>
      <c r="G22" s="23">
        <f>'VERİ GİRİŞİ'!C57</f>
        <v>0</v>
      </c>
    </row>
    <row r="23" spans="1:7" ht="5.05" customHeight="1" x14ac:dyDescent="0.55000000000000004">
      <c r="A23" s="1"/>
      <c r="B23" s="1"/>
      <c r="C23" s="1"/>
      <c r="D23" s="1"/>
      <c r="E23" s="1"/>
      <c r="F23" s="1"/>
      <c r="G23" s="1"/>
    </row>
    <row r="24" spans="1:7" ht="22" customHeight="1" x14ac:dyDescent="0.55000000000000004">
      <c r="A24" s="82" t="s">
        <v>161</v>
      </c>
      <c r="B24" s="83"/>
      <c r="C24" s="83"/>
      <c r="D24" s="83"/>
      <c r="E24" s="83"/>
      <c r="F24" s="83"/>
      <c r="G24" s="83"/>
    </row>
    <row r="25" spans="1:7" ht="18" customHeight="1" x14ac:dyDescent="0.55000000000000004">
      <c r="A25" s="2"/>
      <c r="B25" s="2" t="s">
        <v>162</v>
      </c>
      <c r="C25" s="2"/>
      <c r="D25" s="2" t="s">
        <v>45</v>
      </c>
      <c r="E25" s="2"/>
      <c r="F25" s="2" t="s">
        <v>163</v>
      </c>
      <c r="G25" s="2"/>
    </row>
    <row r="26" spans="1:7" ht="22" customHeight="1" x14ac:dyDescent="0.55000000000000004">
      <c r="A26" s="43" t="s">
        <v>164</v>
      </c>
      <c r="B26" s="133" t="s">
        <v>165</v>
      </c>
      <c r="C26" s="97"/>
      <c r="D26" s="134" t="s">
        <v>166</v>
      </c>
      <c r="E26" s="135"/>
      <c r="F26" s="46" t="s">
        <v>167</v>
      </c>
      <c r="G26" s="3"/>
    </row>
    <row r="27" spans="1:7" ht="22" customHeight="1" x14ac:dyDescent="0.55000000000000004">
      <c r="A27" s="43" t="s">
        <v>168</v>
      </c>
      <c r="B27" s="133" t="s">
        <v>169</v>
      </c>
      <c r="C27" s="97"/>
      <c r="D27" s="134" t="s">
        <v>170</v>
      </c>
      <c r="E27" s="135"/>
      <c r="F27" s="46" t="s">
        <v>167</v>
      </c>
      <c r="G27" s="8"/>
    </row>
    <row r="28" spans="1:7" ht="22" customHeight="1" x14ac:dyDescent="0.55000000000000004">
      <c r="A28" s="43" t="s">
        <v>171</v>
      </c>
      <c r="B28" s="139" t="s">
        <v>172</v>
      </c>
      <c r="C28" s="89"/>
      <c r="D28" s="130" t="s">
        <v>173</v>
      </c>
      <c r="E28" s="89"/>
      <c r="F28" s="46" t="s">
        <v>167</v>
      </c>
      <c r="G28" s="3"/>
    </row>
    <row r="29" spans="1:7" ht="22" customHeight="1" x14ac:dyDescent="0.55000000000000004">
      <c r="A29" s="43" t="s">
        <v>174</v>
      </c>
      <c r="B29" s="133" t="s">
        <v>175</v>
      </c>
      <c r="C29" s="97"/>
      <c r="D29" s="134" t="s">
        <v>176</v>
      </c>
      <c r="E29" s="135"/>
      <c r="F29" s="46" t="s">
        <v>167</v>
      </c>
      <c r="G29" s="8"/>
    </row>
    <row r="30" spans="1:7" ht="22" customHeight="1" x14ac:dyDescent="0.55000000000000004">
      <c r="A30" s="43" t="s">
        <v>177</v>
      </c>
      <c r="B30" s="139" t="s">
        <v>178</v>
      </c>
      <c r="C30" s="89"/>
      <c r="D30" s="130" t="s">
        <v>179</v>
      </c>
      <c r="E30" s="89"/>
      <c r="F30" s="46" t="s">
        <v>167</v>
      </c>
      <c r="G30" s="3"/>
    </row>
    <row r="31" spans="1:7" ht="22" customHeight="1" x14ac:dyDescent="0.55000000000000004">
      <c r="A31" s="43" t="s">
        <v>180</v>
      </c>
      <c r="B31" s="133" t="s">
        <v>181</v>
      </c>
      <c r="C31" s="97"/>
      <c r="D31" s="134" t="s">
        <v>182</v>
      </c>
      <c r="E31" s="135"/>
      <c r="F31" s="46" t="s">
        <v>167</v>
      </c>
      <c r="G31" s="8"/>
    </row>
    <row r="32" spans="1:7" ht="22" customHeight="1" x14ac:dyDescent="0.55000000000000004">
      <c r="A32" s="43" t="s">
        <v>183</v>
      </c>
      <c r="B32" s="139" t="s">
        <v>184</v>
      </c>
      <c r="C32" s="89"/>
      <c r="D32" s="130" t="s">
        <v>185</v>
      </c>
      <c r="E32" s="89"/>
      <c r="F32" s="46" t="s">
        <v>167</v>
      </c>
      <c r="G32" s="3"/>
    </row>
    <row r="33" spans="1:7" ht="22" customHeight="1" x14ac:dyDescent="0.55000000000000004">
      <c r="A33" s="48" t="s">
        <v>186</v>
      </c>
      <c r="B33" s="143" t="s">
        <v>187</v>
      </c>
      <c r="C33" s="144"/>
      <c r="D33" s="145" t="s">
        <v>188</v>
      </c>
      <c r="E33" s="146"/>
      <c r="F33" s="46" t="s">
        <v>167</v>
      </c>
      <c r="G33" s="8"/>
    </row>
    <row r="34" spans="1:7" ht="22" customHeight="1" x14ac:dyDescent="0.55000000000000004">
      <c r="A34" s="43" t="s">
        <v>189</v>
      </c>
      <c r="B34" s="139" t="s">
        <v>190</v>
      </c>
      <c r="C34" s="89"/>
      <c r="D34" s="130" t="s">
        <v>191</v>
      </c>
      <c r="E34" s="89"/>
      <c r="F34" s="46" t="s">
        <v>167</v>
      </c>
      <c r="G34" s="3"/>
    </row>
    <row r="35" spans="1:7" ht="22" customHeight="1" x14ac:dyDescent="0.55000000000000004">
      <c r="A35" s="43" t="s">
        <v>192</v>
      </c>
      <c r="B35" s="141" t="s">
        <v>193</v>
      </c>
      <c r="C35" s="87"/>
      <c r="D35" s="142" t="s">
        <v>194</v>
      </c>
      <c r="E35" s="87"/>
      <c r="F35" s="46" t="s">
        <v>167</v>
      </c>
      <c r="G35" s="8"/>
    </row>
    <row r="36" spans="1:7" ht="22" customHeight="1" x14ac:dyDescent="0.55000000000000004">
      <c r="A36" s="43" t="s">
        <v>195</v>
      </c>
      <c r="B36" s="139" t="s">
        <v>196</v>
      </c>
      <c r="C36" s="89"/>
      <c r="D36" s="130" t="s">
        <v>197</v>
      </c>
      <c r="E36" s="89"/>
      <c r="F36" s="46" t="s">
        <v>167</v>
      </c>
      <c r="G36" s="3"/>
    </row>
    <row r="37" spans="1:7" ht="22" customHeight="1" x14ac:dyDescent="0.55000000000000004">
      <c r="A37" s="43" t="s">
        <v>198</v>
      </c>
      <c r="B37" s="141" t="s">
        <v>199</v>
      </c>
      <c r="C37" s="87"/>
      <c r="D37" s="142" t="s">
        <v>200</v>
      </c>
      <c r="E37" s="87"/>
      <c r="F37" s="46" t="s">
        <v>167</v>
      </c>
      <c r="G37" s="8"/>
    </row>
    <row r="38" spans="1:7" ht="22" customHeight="1" x14ac:dyDescent="0.55000000000000004">
      <c r="A38" s="43" t="s">
        <v>201</v>
      </c>
      <c r="B38" s="139" t="s">
        <v>202</v>
      </c>
      <c r="C38" s="89"/>
      <c r="D38" s="130" t="s">
        <v>24</v>
      </c>
      <c r="E38" s="89"/>
      <c r="F38" s="46" t="s">
        <v>167</v>
      </c>
      <c r="G38" s="3"/>
    </row>
  </sheetData>
  <mergeCells count="44">
    <mergeCell ref="D38:E38"/>
    <mergeCell ref="B36:C36"/>
    <mergeCell ref="A2:G2"/>
    <mergeCell ref="B32:C32"/>
    <mergeCell ref="B26:C26"/>
    <mergeCell ref="A7:C7"/>
    <mergeCell ref="D26:E26"/>
    <mergeCell ref="B35:C35"/>
    <mergeCell ref="D35:E35"/>
    <mergeCell ref="B38:C38"/>
    <mergeCell ref="A1:G1"/>
    <mergeCell ref="B29:C29"/>
    <mergeCell ref="B34:C34"/>
    <mergeCell ref="B37:C37"/>
    <mergeCell ref="B28:C28"/>
    <mergeCell ref="D37:E37"/>
    <mergeCell ref="A9:C9"/>
    <mergeCell ref="D28:E28"/>
    <mergeCell ref="B30:C30"/>
    <mergeCell ref="D30:E30"/>
    <mergeCell ref="B33:C33"/>
    <mergeCell ref="E5:G5"/>
    <mergeCell ref="D33:E33"/>
    <mergeCell ref="D29:E29"/>
    <mergeCell ref="A6:C6"/>
    <mergeCell ref="D36:E36"/>
    <mergeCell ref="E6:G6"/>
    <mergeCell ref="A5:C5"/>
    <mergeCell ref="A8:C8"/>
    <mergeCell ref="D27:E27"/>
    <mergeCell ref="A24:G24"/>
    <mergeCell ref="D32:E32"/>
    <mergeCell ref="E7:G7"/>
    <mergeCell ref="B22:E22"/>
    <mergeCell ref="A10:C10"/>
    <mergeCell ref="E8:G8"/>
    <mergeCell ref="A12:G12"/>
    <mergeCell ref="E10:G10"/>
    <mergeCell ref="D34:E34"/>
    <mergeCell ref="A4:G4"/>
    <mergeCell ref="E9:G9"/>
    <mergeCell ref="B31:C31"/>
    <mergeCell ref="B27:C27"/>
    <mergeCell ref="D31:E31"/>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47" t="s">
        <v>203</v>
      </c>
      <c r="B1" s="83"/>
      <c r="C1" s="83"/>
      <c r="D1" s="83"/>
      <c r="E1" s="83"/>
      <c r="F1" s="83"/>
      <c r="G1" s="83"/>
    </row>
    <row r="2" spans="1:7" ht="20.05" customHeight="1" x14ac:dyDescent="0.55000000000000004">
      <c r="A2" s="149" t="s">
        <v>204</v>
      </c>
      <c r="B2" s="123"/>
      <c r="C2" s="123"/>
      <c r="D2" s="123"/>
      <c r="E2" s="123"/>
      <c r="F2" s="123"/>
      <c r="G2" s="123"/>
    </row>
    <row r="4" spans="1:7" ht="26.05" customHeight="1" x14ac:dyDescent="0.55000000000000004">
      <c r="A4" s="82" t="s">
        <v>205</v>
      </c>
      <c r="B4" s="83"/>
      <c r="C4" s="83"/>
      <c r="D4" s="83"/>
      <c r="E4" s="83"/>
      <c r="F4" s="83"/>
      <c r="G4" s="83"/>
    </row>
    <row r="5" spans="1:7" ht="24" customHeight="1" x14ac:dyDescent="0.55000000000000004">
      <c r="A5" s="152" t="s">
        <v>206</v>
      </c>
      <c r="B5" s="89"/>
      <c r="C5" s="89"/>
      <c r="D5" s="89"/>
      <c r="E5" s="89"/>
      <c r="F5" s="89"/>
      <c r="G5" s="89"/>
    </row>
    <row r="6" spans="1:7" ht="18" customHeight="1" x14ac:dyDescent="0.55000000000000004">
      <c r="A6" s="53"/>
      <c r="B6" s="53" t="s">
        <v>207</v>
      </c>
      <c r="C6" s="53" t="s">
        <v>208</v>
      </c>
      <c r="D6" s="53" t="s">
        <v>209</v>
      </c>
      <c r="E6" s="53" t="s">
        <v>210</v>
      </c>
      <c r="F6" s="53" t="s">
        <v>211</v>
      </c>
      <c r="G6" s="53" t="s">
        <v>212</v>
      </c>
    </row>
    <row r="7" spans="1:7" ht="26.05" customHeight="1" x14ac:dyDescent="0.55000000000000004">
      <c r="A7" s="54" t="s">
        <v>210</v>
      </c>
      <c r="B7" s="54" t="s">
        <v>213</v>
      </c>
      <c r="C7" s="54" t="s">
        <v>214</v>
      </c>
      <c r="D7" s="54" t="s">
        <v>215</v>
      </c>
      <c r="E7" s="54" t="s">
        <v>216</v>
      </c>
      <c r="F7" s="54" t="s">
        <v>217</v>
      </c>
      <c r="G7" s="54" t="s">
        <v>218</v>
      </c>
    </row>
    <row r="8" spans="1:7" ht="26.05" customHeight="1" x14ac:dyDescent="0.55000000000000004">
      <c r="A8" s="55" t="s">
        <v>211</v>
      </c>
      <c r="B8" s="55" t="s">
        <v>213</v>
      </c>
      <c r="C8" s="55" t="s">
        <v>219</v>
      </c>
      <c r="D8" s="55" t="s">
        <v>220</v>
      </c>
      <c r="E8" s="55" t="s">
        <v>217</v>
      </c>
      <c r="F8" s="55" t="s">
        <v>221</v>
      </c>
      <c r="G8" s="55" t="s">
        <v>222</v>
      </c>
    </row>
    <row r="9" spans="1:7" ht="26.05" customHeight="1" x14ac:dyDescent="0.55000000000000004">
      <c r="A9" s="56" t="s">
        <v>211</v>
      </c>
      <c r="B9" s="56" t="s">
        <v>213</v>
      </c>
      <c r="C9" s="56" t="s">
        <v>223</v>
      </c>
      <c r="D9" s="56" t="s">
        <v>224</v>
      </c>
      <c r="E9" s="56" t="s">
        <v>217</v>
      </c>
      <c r="F9" s="56" t="s">
        <v>225</v>
      </c>
      <c r="G9" s="56" t="s">
        <v>226</v>
      </c>
    </row>
    <row r="10" spans="1:7" ht="22" customHeight="1" x14ac:dyDescent="0.55000000000000004">
      <c r="A10" s="152" t="s">
        <v>227</v>
      </c>
      <c r="B10" s="89"/>
      <c r="C10" s="89"/>
      <c r="D10" s="89"/>
      <c r="E10" s="89"/>
      <c r="F10" s="89"/>
      <c r="G10" s="89"/>
    </row>
    <row r="11" spans="1:7" ht="26.05" customHeight="1" x14ac:dyDescent="0.55000000000000004">
      <c r="A11" s="150" t="s">
        <v>228</v>
      </c>
      <c r="B11" s="151"/>
      <c r="C11" s="151"/>
      <c r="D11" s="151"/>
      <c r="E11" s="151"/>
      <c r="F11" s="151"/>
      <c r="G11" s="151"/>
    </row>
    <row r="12" spans="1:7" ht="24" customHeight="1" x14ac:dyDescent="0.55000000000000004">
      <c r="A12" s="148" t="s">
        <v>229</v>
      </c>
      <c r="B12" s="97"/>
      <c r="C12" s="97"/>
      <c r="D12" s="97"/>
      <c r="E12" s="97"/>
      <c r="F12" s="97"/>
      <c r="G12" s="97"/>
    </row>
    <row r="13" spans="1:7" ht="18" customHeight="1" x14ac:dyDescent="0.55000000000000004">
      <c r="A13" s="53"/>
      <c r="B13" s="53" t="s">
        <v>207</v>
      </c>
      <c r="C13" s="53" t="s">
        <v>208</v>
      </c>
      <c r="D13" s="53" t="s">
        <v>209</v>
      </c>
      <c r="E13" s="53" t="s">
        <v>210</v>
      </c>
      <c r="F13" s="53" t="s">
        <v>211</v>
      </c>
      <c r="G13" s="53" t="s">
        <v>212</v>
      </c>
    </row>
    <row r="14" spans="1:7" ht="26.05" customHeight="1" x14ac:dyDescent="0.55000000000000004">
      <c r="A14" s="54" t="s">
        <v>230</v>
      </c>
      <c r="B14" s="54" t="s">
        <v>231</v>
      </c>
      <c r="C14" s="54" t="s">
        <v>232</v>
      </c>
      <c r="D14" s="54" t="s">
        <v>233</v>
      </c>
      <c r="E14" s="54" t="s">
        <v>217</v>
      </c>
      <c r="F14" s="54" t="s">
        <v>234</v>
      </c>
      <c r="G14" s="54" t="s">
        <v>235</v>
      </c>
    </row>
    <row r="15" spans="1:7" ht="26.05" customHeight="1" x14ac:dyDescent="0.55000000000000004">
      <c r="A15" s="55" t="s">
        <v>236</v>
      </c>
      <c r="B15" s="55" t="s">
        <v>231</v>
      </c>
      <c r="C15" s="55" t="s">
        <v>232</v>
      </c>
      <c r="D15" s="55" t="s">
        <v>237</v>
      </c>
      <c r="E15" s="55" t="s">
        <v>217</v>
      </c>
      <c r="F15" s="55" t="s">
        <v>238</v>
      </c>
      <c r="G15" s="55" t="s">
        <v>226</v>
      </c>
    </row>
    <row r="16" spans="1:7" ht="44.05" customHeight="1" x14ac:dyDescent="0.55000000000000004">
      <c r="A16" s="112" t="s">
        <v>239</v>
      </c>
      <c r="B16" s="113"/>
      <c r="C16" s="113"/>
      <c r="D16" s="113"/>
      <c r="E16" s="113"/>
      <c r="F16" s="113"/>
      <c r="G16" s="113"/>
    </row>
  </sheetData>
  <mergeCells count="8">
    <mergeCell ref="A1:G1"/>
    <mergeCell ref="A12:G12"/>
    <mergeCell ref="A4:G4"/>
    <mergeCell ref="A2:G2"/>
    <mergeCell ref="A16:G16"/>
    <mergeCell ref="A11:G11"/>
    <mergeCell ref="A10:G10"/>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6" customHeight="1" x14ac:dyDescent="0.55000000000000004">
      <c r="A1" s="156" t="s">
        <v>240</v>
      </c>
      <c r="B1" s="83"/>
      <c r="C1" s="83"/>
      <c r="D1" s="83"/>
      <c r="E1" s="83"/>
      <c r="F1" s="83"/>
      <c r="G1" s="83"/>
    </row>
    <row r="2" spans="1:7" ht="22" customHeight="1" x14ac:dyDescent="0.55000000000000004">
      <c r="A2" s="154" t="s">
        <v>241</v>
      </c>
      <c r="B2" s="155"/>
      <c r="C2" s="155"/>
      <c r="D2" s="155"/>
      <c r="E2" s="155"/>
      <c r="F2" s="155"/>
      <c r="G2" s="155"/>
    </row>
    <row r="3" spans="1:7" ht="18" customHeight="1" x14ac:dyDescent="0.55000000000000004">
      <c r="A3" s="53" t="s">
        <v>242</v>
      </c>
      <c r="B3" s="53" t="s">
        <v>243</v>
      </c>
      <c r="C3" s="53" t="s">
        <v>244</v>
      </c>
      <c r="D3" s="53" t="s">
        <v>245</v>
      </c>
    </row>
    <row r="4" spans="1:7" ht="80.05" customHeight="1" x14ac:dyDescent="0.55000000000000004">
      <c r="A4" s="43" t="s">
        <v>246</v>
      </c>
      <c r="B4" s="47" t="s">
        <v>247</v>
      </c>
      <c r="C4" s="57" t="s">
        <v>248</v>
      </c>
      <c r="D4" s="58" t="s">
        <v>249</v>
      </c>
    </row>
    <row r="5" spans="1:7" ht="72" customHeight="1" x14ac:dyDescent="0.55000000000000004">
      <c r="A5" s="48" t="s">
        <v>250</v>
      </c>
      <c r="B5" s="44" t="s">
        <v>251</v>
      </c>
      <c r="C5" s="45" t="s">
        <v>252</v>
      </c>
      <c r="D5" s="59" t="s">
        <v>253</v>
      </c>
    </row>
    <row r="6" spans="1:7" ht="56.05" customHeight="1" x14ac:dyDescent="0.55000000000000004">
      <c r="A6" s="48" t="s">
        <v>254</v>
      </c>
      <c r="B6" s="60" t="s">
        <v>255</v>
      </c>
      <c r="C6" s="45" t="s">
        <v>256</v>
      </c>
      <c r="D6" s="61" t="s">
        <v>257</v>
      </c>
    </row>
    <row r="7" spans="1:7" ht="64" customHeight="1" x14ac:dyDescent="0.55000000000000004">
      <c r="A7" s="43" t="s">
        <v>258</v>
      </c>
      <c r="B7" s="47" t="s">
        <v>259</v>
      </c>
      <c r="C7" s="57" t="s">
        <v>260</v>
      </c>
      <c r="D7" s="58" t="s">
        <v>261</v>
      </c>
    </row>
    <row r="8" spans="1:7" ht="72" customHeight="1" x14ac:dyDescent="0.55000000000000004">
      <c r="A8" s="43" t="s">
        <v>262</v>
      </c>
      <c r="B8" s="52" t="s">
        <v>263</v>
      </c>
      <c r="C8" s="57" t="s">
        <v>264</v>
      </c>
      <c r="D8" s="62" t="s">
        <v>265</v>
      </c>
    </row>
    <row r="9" spans="1:7" ht="44.05" customHeight="1" x14ac:dyDescent="0.55000000000000004">
      <c r="A9" s="153" t="s">
        <v>266</v>
      </c>
      <c r="B9" s="115"/>
      <c r="C9" s="115"/>
      <c r="D9" s="115"/>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1"/>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6" ht="38.049999999999997" customHeight="1" x14ac:dyDescent="0.55000000000000004">
      <c r="A1" s="159" t="s">
        <v>267</v>
      </c>
      <c r="B1" s="160"/>
      <c r="C1" s="160"/>
      <c r="D1" s="160"/>
      <c r="E1" s="160"/>
      <c r="F1" s="160"/>
    </row>
    <row r="2" spans="1:6" ht="22" customHeight="1" x14ac:dyDescent="0.55000000000000004">
      <c r="A2" s="157" t="s">
        <v>268</v>
      </c>
      <c r="B2" s="158"/>
      <c r="C2" s="158"/>
      <c r="D2" s="158"/>
      <c r="E2" s="158"/>
      <c r="F2" s="158"/>
    </row>
    <row r="3" spans="1:6" ht="5.05" customHeight="1" x14ac:dyDescent="0.55000000000000004">
      <c r="A3" s="1"/>
      <c r="B3" s="1"/>
      <c r="C3" s="1"/>
      <c r="D3" s="1"/>
      <c r="E3" s="1"/>
      <c r="F3" s="1"/>
    </row>
    <row r="4" spans="1:6" ht="36" customHeight="1" x14ac:dyDescent="0.55000000000000004">
      <c r="A4" s="165" t="s">
        <v>269</v>
      </c>
      <c r="B4" s="166"/>
      <c r="C4" s="166"/>
      <c r="D4" s="166"/>
      <c r="E4" s="166"/>
      <c r="F4" s="166"/>
    </row>
    <row r="5" spans="1:6" ht="18" customHeight="1" x14ac:dyDescent="0.55000000000000004">
      <c r="A5" s="53"/>
      <c r="B5" s="53" t="s">
        <v>270</v>
      </c>
      <c r="C5" s="53" t="s">
        <v>271</v>
      </c>
      <c r="D5" s="53" t="s">
        <v>45</v>
      </c>
      <c r="E5" s="53" t="s">
        <v>272</v>
      </c>
      <c r="F5" s="53"/>
    </row>
    <row r="6" spans="1:6" ht="40" customHeight="1" x14ac:dyDescent="0.55000000000000004">
      <c r="A6" s="5"/>
      <c r="B6" s="63" t="s">
        <v>273</v>
      </c>
      <c r="C6" s="64" t="s">
        <v>274</v>
      </c>
      <c r="D6" s="65" t="s">
        <v>275</v>
      </c>
      <c r="E6" s="66" t="s">
        <v>276</v>
      </c>
      <c r="F6" s="5"/>
    </row>
    <row r="7" spans="1:6" ht="44.05" customHeight="1" x14ac:dyDescent="0.55000000000000004">
      <c r="A7" s="5"/>
      <c r="B7" s="63" t="s">
        <v>277</v>
      </c>
      <c r="C7" s="64" t="s">
        <v>278</v>
      </c>
      <c r="D7" s="65" t="s">
        <v>279</v>
      </c>
      <c r="E7" s="66" t="s">
        <v>280</v>
      </c>
      <c r="F7" s="5"/>
    </row>
    <row r="8" spans="1:6" ht="44.05" customHeight="1" x14ac:dyDescent="0.55000000000000004">
      <c r="A8" s="5"/>
      <c r="B8" s="63" t="s">
        <v>281</v>
      </c>
      <c r="C8" s="64" t="s">
        <v>282</v>
      </c>
      <c r="D8" s="65" t="s">
        <v>283</v>
      </c>
      <c r="E8" s="66" t="s">
        <v>284</v>
      </c>
      <c r="F8" s="5"/>
    </row>
    <row r="9" spans="1:6" ht="28" customHeight="1" x14ac:dyDescent="0.55000000000000004">
      <c r="A9" s="5"/>
      <c r="B9" s="63" t="s">
        <v>285</v>
      </c>
      <c r="C9" s="64" t="s">
        <v>286</v>
      </c>
      <c r="D9" s="65" t="s">
        <v>287</v>
      </c>
      <c r="E9" s="66" t="s">
        <v>288</v>
      </c>
      <c r="F9" s="5"/>
    </row>
    <row r="10" spans="1:6" ht="32.049999999999997" customHeight="1" x14ac:dyDescent="0.55000000000000004">
      <c r="A10" s="5"/>
      <c r="B10" s="63" t="s">
        <v>289</v>
      </c>
      <c r="C10" s="64" t="s">
        <v>290</v>
      </c>
      <c r="D10" s="65" t="s">
        <v>291</v>
      </c>
      <c r="E10" s="66" t="s">
        <v>292</v>
      </c>
      <c r="F10" s="5"/>
    </row>
    <row r="11" spans="1:6" ht="5.05" customHeight="1" x14ac:dyDescent="0.55000000000000004">
      <c r="A11" s="1"/>
      <c r="B11" s="1"/>
      <c r="C11" s="1"/>
      <c r="D11" s="1"/>
      <c r="E11" s="1"/>
      <c r="F11" s="1"/>
    </row>
    <row r="12" spans="1:6" ht="36" customHeight="1" x14ac:dyDescent="0.55000000000000004">
      <c r="A12" s="163" t="s">
        <v>293</v>
      </c>
      <c r="B12" s="164"/>
      <c r="C12" s="164"/>
      <c r="D12" s="164"/>
      <c r="E12" s="164"/>
      <c r="F12" s="164"/>
    </row>
    <row r="13" spans="1:6" ht="18" customHeight="1" x14ac:dyDescent="0.55000000000000004">
      <c r="A13" s="53"/>
      <c r="B13" s="53" t="s">
        <v>270</v>
      </c>
      <c r="C13" s="53" t="s">
        <v>271</v>
      </c>
      <c r="D13" s="53" t="s">
        <v>45</v>
      </c>
      <c r="E13" s="53" t="s">
        <v>272</v>
      </c>
      <c r="F13" s="53"/>
    </row>
    <row r="14" spans="1:6" ht="40" customHeight="1" x14ac:dyDescent="0.55000000000000004">
      <c r="A14" s="67"/>
      <c r="B14" s="68" t="s">
        <v>294</v>
      </c>
      <c r="C14" s="69" t="s">
        <v>295</v>
      </c>
      <c r="D14" s="70" t="s">
        <v>296</v>
      </c>
      <c r="E14" s="71" t="s">
        <v>297</v>
      </c>
      <c r="F14" s="67"/>
    </row>
    <row r="15" spans="1:6" ht="32.049999999999997" customHeight="1" x14ac:dyDescent="0.55000000000000004">
      <c r="A15" s="67"/>
      <c r="B15" s="68" t="s">
        <v>298</v>
      </c>
      <c r="C15" s="69" t="s">
        <v>299</v>
      </c>
      <c r="D15" s="70" t="s">
        <v>300</v>
      </c>
      <c r="E15" s="71" t="s">
        <v>301</v>
      </c>
      <c r="F15" s="67"/>
    </row>
    <row r="16" spans="1:6" ht="28" customHeight="1" x14ac:dyDescent="0.55000000000000004">
      <c r="A16" s="67"/>
      <c r="B16" s="68" t="s">
        <v>302</v>
      </c>
      <c r="C16" s="69" t="s">
        <v>303</v>
      </c>
      <c r="D16" s="70" t="s">
        <v>304</v>
      </c>
      <c r="E16" s="71" t="s">
        <v>305</v>
      </c>
      <c r="F16" s="67"/>
    </row>
    <row r="17" spans="1:6" ht="5.05" customHeight="1" x14ac:dyDescent="0.55000000000000004">
      <c r="A17" s="1"/>
      <c r="B17" s="1"/>
      <c r="C17" s="1"/>
      <c r="D17" s="1"/>
      <c r="E17" s="1"/>
      <c r="F17" s="1"/>
    </row>
    <row r="18" spans="1:6" ht="36" customHeight="1" x14ac:dyDescent="0.55000000000000004">
      <c r="A18" s="161" t="s">
        <v>306</v>
      </c>
      <c r="B18" s="162"/>
      <c r="C18" s="162"/>
      <c r="D18" s="162"/>
      <c r="E18" s="162"/>
      <c r="F18" s="162"/>
    </row>
    <row r="19" spans="1:6" ht="18" customHeight="1" x14ac:dyDescent="0.55000000000000004">
      <c r="A19" s="72"/>
      <c r="B19" s="72" t="s">
        <v>270</v>
      </c>
      <c r="C19" s="72" t="s">
        <v>5</v>
      </c>
      <c r="D19" s="72" t="s">
        <v>307</v>
      </c>
      <c r="E19" s="72" t="s">
        <v>308</v>
      </c>
      <c r="F19" s="72"/>
    </row>
    <row r="20" spans="1:6" ht="32.049999999999997" customHeight="1" x14ac:dyDescent="0.55000000000000004">
      <c r="A20" s="51"/>
      <c r="B20" s="73" t="s">
        <v>309</v>
      </c>
      <c r="C20" s="60" t="s">
        <v>165</v>
      </c>
      <c r="D20" s="74" t="s">
        <v>310</v>
      </c>
      <c r="E20" s="75" t="s">
        <v>311</v>
      </c>
      <c r="F20" s="51"/>
    </row>
    <row r="21" spans="1:6" ht="32.049999999999997" customHeight="1" x14ac:dyDescent="0.55000000000000004">
      <c r="A21" s="51"/>
      <c r="B21" s="73" t="s">
        <v>312</v>
      </c>
      <c r="C21" s="60" t="s">
        <v>169</v>
      </c>
      <c r="D21" s="74" t="s">
        <v>313</v>
      </c>
      <c r="E21" s="75" t="s">
        <v>311</v>
      </c>
      <c r="F21" s="51"/>
    </row>
    <row r="22" spans="1:6" ht="32.049999999999997" customHeight="1" x14ac:dyDescent="0.55000000000000004">
      <c r="A22" s="51"/>
      <c r="B22" s="73" t="s">
        <v>314</v>
      </c>
      <c r="C22" s="60" t="s">
        <v>315</v>
      </c>
      <c r="D22" s="74" t="s">
        <v>316</v>
      </c>
      <c r="E22" s="75" t="s">
        <v>311</v>
      </c>
      <c r="F22" s="51"/>
    </row>
    <row r="23" spans="1:6" ht="32.049999999999997" customHeight="1" x14ac:dyDescent="0.55000000000000004">
      <c r="A23" s="51"/>
      <c r="B23" s="73" t="s">
        <v>317</v>
      </c>
      <c r="C23" s="60" t="s">
        <v>318</v>
      </c>
      <c r="D23" s="74" t="s">
        <v>319</v>
      </c>
      <c r="E23" s="75" t="s">
        <v>311</v>
      </c>
      <c r="F23" s="51"/>
    </row>
    <row r="24" spans="1:6" ht="32.049999999999997" customHeight="1" x14ac:dyDescent="0.55000000000000004">
      <c r="A24" s="67"/>
      <c r="B24" s="76" t="s">
        <v>320</v>
      </c>
      <c r="C24" s="77" t="s">
        <v>321</v>
      </c>
      <c r="D24" s="70" t="s">
        <v>322</v>
      </c>
      <c r="E24" s="78" t="s">
        <v>311</v>
      </c>
      <c r="F24" s="67"/>
    </row>
    <row r="25" spans="1:6" ht="32.049999999999997" customHeight="1" x14ac:dyDescent="0.55000000000000004">
      <c r="A25" s="67"/>
      <c r="B25" s="76" t="s">
        <v>323</v>
      </c>
      <c r="C25" s="77" t="s">
        <v>324</v>
      </c>
      <c r="D25" s="70" t="s">
        <v>325</v>
      </c>
      <c r="E25" s="78" t="s">
        <v>311</v>
      </c>
      <c r="F25" s="67"/>
    </row>
    <row r="26" spans="1:6" ht="32.049999999999997" customHeight="1" x14ac:dyDescent="0.55000000000000004">
      <c r="A26" s="50"/>
      <c r="B26" s="79" t="s">
        <v>326</v>
      </c>
      <c r="C26" s="49" t="s">
        <v>187</v>
      </c>
      <c r="D26" s="80" t="s">
        <v>327</v>
      </c>
      <c r="E26" s="81" t="s">
        <v>311</v>
      </c>
      <c r="F26" s="50"/>
    </row>
    <row r="27" spans="1:6" ht="32.049999999999997" customHeight="1" x14ac:dyDescent="0.55000000000000004">
      <c r="A27" s="51"/>
      <c r="B27" s="73" t="s">
        <v>328</v>
      </c>
      <c r="C27" s="60" t="s">
        <v>329</v>
      </c>
      <c r="D27" s="74" t="s">
        <v>330</v>
      </c>
      <c r="E27" s="75" t="s">
        <v>311</v>
      </c>
      <c r="F27" s="51"/>
    </row>
    <row r="28" spans="1:6" ht="32.049999999999997" customHeight="1" x14ac:dyDescent="0.55000000000000004">
      <c r="A28" s="67"/>
      <c r="B28" s="76" t="s">
        <v>331</v>
      </c>
      <c r="C28" s="77" t="s">
        <v>190</v>
      </c>
      <c r="D28" s="70" t="s">
        <v>191</v>
      </c>
      <c r="E28" s="78" t="s">
        <v>311</v>
      </c>
      <c r="F28" s="67"/>
    </row>
    <row r="29" spans="1:6" ht="32.049999999999997" customHeight="1" x14ac:dyDescent="0.55000000000000004">
      <c r="A29" s="67"/>
      <c r="B29" s="76" t="s">
        <v>332</v>
      </c>
      <c r="C29" s="77" t="s">
        <v>202</v>
      </c>
      <c r="D29" s="70" t="s">
        <v>24</v>
      </c>
      <c r="E29" s="78" t="s">
        <v>311</v>
      </c>
      <c r="F29" s="67"/>
    </row>
    <row r="30" spans="1:6" ht="5.05" customHeight="1" x14ac:dyDescent="0.55000000000000004">
      <c r="A30" s="1"/>
      <c r="B30" s="1"/>
      <c r="C30" s="1"/>
      <c r="D30" s="1"/>
      <c r="E30" s="1"/>
      <c r="F30" s="1"/>
    </row>
    <row r="31" spans="1:6" ht="56.05" customHeight="1" x14ac:dyDescent="0.55000000000000004">
      <c r="A31" s="153" t="s">
        <v>333</v>
      </c>
      <c r="B31" s="115"/>
      <c r="C31" s="115"/>
      <c r="D31" s="115"/>
      <c r="E31" s="115"/>
      <c r="F31" s="115"/>
    </row>
  </sheetData>
  <mergeCells count="6">
    <mergeCell ref="A2:F2"/>
    <mergeCell ref="A1:F1"/>
    <mergeCell ref="A31:F31"/>
    <mergeCell ref="A18:F18"/>
    <mergeCell ref="A12:F12"/>
    <mergeCell ref="A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2026-04-05T14:41:03Z</dcterms:created>
  <dcterms:modified xsi:type="dcterms:W3CDTF">2026-04-05T14:48:50Z</dcterms:modified>
</cp:coreProperties>
</file>