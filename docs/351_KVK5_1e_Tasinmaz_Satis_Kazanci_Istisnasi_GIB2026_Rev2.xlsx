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itimatglobal365-my.sharepoint.com/personal/aydindede_itimatglobal_com/Documents/Desktop/GEM/son standart/"/>
    </mc:Choice>
  </mc:AlternateContent>
  <xr:revisionPtr revIDLastSave="0" documentId="8_{277C29AD-1C41-427E-B327-9185CCFB1555}" xr6:coauthVersionLast="47" xr6:coauthVersionMax="47" xr10:uidLastSave="{00000000-0000-0000-0000-000000000000}"/>
  <bookViews>
    <workbookView xWindow="-96" yWindow="-96" windowWidth="23232" windowHeight="12552" xr2:uid="{00000000-000D-0000-FFFF-FFFF00000000}"/>
  </bookViews>
  <sheets>
    <sheet name="VERİ GİRİŞİ" sheetId="1" r:id="rId1"/>
    <sheet name="HESAPLAMALAR &amp; KONTROL" sheetId="2" r:id="rId2"/>
    <sheet name="MUHASEBE KAYITLARI" sheetId="3" r:id="rId3"/>
    <sheet name="DENETCİ NOTLARI" sheetId="4" r:id="rId4"/>
    <sheet name="BELGE LISTESI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9" i="1" l="1"/>
  <c r="C68" i="1"/>
  <c r="D11" i="2" s="1"/>
  <c r="D12" i="2"/>
  <c r="D10" i="2"/>
  <c r="D9" i="2"/>
  <c r="D8" i="2"/>
  <c r="D7" i="2"/>
  <c r="D6" i="2"/>
  <c r="D5" i="2"/>
  <c r="C73" i="1"/>
  <c r="C67" i="1"/>
  <c r="C66" i="1"/>
  <c r="C64" i="1"/>
  <c r="C63" i="1"/>
  <c r="C62" i="1"/>
  <c r="C61" i="1"/>
  <c r="C48" i="1"/>
  <c r="C47" i="1"/>
  <c r="C46" i="1"/>
  <c r="C45" i="1"/>
  <c r="E20" i="1"/>
</calcChain>
</file>

<file path=xl/sharedStrings.xml><?xml version="1.0" encoding="utf-8"?>
<sst xmlns="http://schemas.openxmlformats.org/spreadsheetml/2006/main" count="522" uniqueCount="429">
  <si>
    <t>351 – TAŞINMAZ SATIŞ KAZANCI İSTİSNASI | KVK Md.5/1-e | GİB REHBERİ MART 2026 (YAYIN NO:601) | YMM TASDİK ÇALIŞMA KÂĞIDI</t>
  </si>
  <si>
    <t>KVK Md.5/1-e | 3 Dönemli Oran (%75/%50/%25) | 15/7/2023 Sonrası Aktifler: İstisna Yok | 2 Yıl Aktifinde | 549 Fon (5 Yıl) | Taşınmaz Ticareti Yasağı | KDVK Geçici Md.43 | Beyanname Satır 351</t>
  </si>
  <si>
    <t xml:space="preserve">  GİB REHBERİ MART 2026 (YAYIN NO:601) — TAŞINMAZ SATIŞ KAZANCI İSTİSNA ORAN DEĞİŞİM TABLOSU</t>
  </si>
  <si>
    <t>%75</t>
  </si>
  <si>
    <t>5/12/2017 ÖNCESİ yapılan taşınmaz satışları</t>
  </si>
  <si>
    <t>%50</t>
  </si>
  <si>
    <t>5/12/2017'den itibaren (bu tarih dahil) → 15/7/2023'e kadar</t>
  </si>
  <si>
    <t>%25</t>
  </si>
  <si>
    <t>15/7/2023 ÖNCESİ aktife giren taşınmazlar → 15/7/2023 SONRASI satışlarda (KVK Geçici Md.16)</t>
  </si>
  <si>
    <t>YOK</t>
  </si>
  <si>
    <t>15/7/2023 SONRASI aktife giren taşınmazlar → İSTİSNA TAMAMEN KALDIRILDI (7456 s.K.)</t>
  </si>
  <si>
    <t xml:space="preserve">  ★ GYO / GKO / YATIRIM FONU — ÖZEL DURUM UYARISI (7524 s.K. Md.32 — 1/1/2025+):
Gayrimenkul Yatırım Ortaklıkları ve Fonlarının taşınmaz satış kazançları ağırlıklı olarak KVK 5/1-d (fon/ortaklık kazancı istisnası) kapsamında değerlendirilir. 5/1-d istisnasından yararlanabilmek için 1/1/2025'ten itibaren taşınmaz gelirlerinin en az %50'sinin KV beyan ayını izleyen 2. ayın sonuna kadar dağıtılması zorunludur. Dağıtım şartı sağlanmazsa TÜM kazançlar (taşınmaz dahil) için istisna ortadan kalkar. GYO'nun faaliyetine tahsis ettiği taşınmazlar (ofis, depo vb.) 5/1-e kapsamında olabilir — ayrı analiz gerekir.</t>
  </si>
  <si>
    <t>A0. KAPSAM VE NİTELİK UYGUNLUK ÖN KONTROLÜ — GİB Rehberi Mart 2026</t>
  </si>
  <si>
    <t>Kontrol Sorusu</t>
  </si>
  <si>
    <t>Yanıt</t>
  </si>
  <si>
    <t>YMM Tasdik Notu</t>
  </si>
  <si>
    <t>A0.1  ★ Aktife giriş tarihi ve satış tarihine göre oran hangi dilime giriyor?</t>
  </si>
  <si>
    <t>15/7/2023 ÖNCESİ aktife — Sonrası satış → %25</t>
  </si>
  <si>
    <t>KRİTİK: Aktife giriş + satış tarihi birlikte değerlendirilmeli. 15/7/2023 sonrası aktife girenler kapsam dışı.</t>
  </si>
  <si>
    <t>A0.2  ★ 2 Tam Yıl (730 Gün) Aktifinde Bulundurma şartı sağlandı mı?</t>
  </si>
  <si>
    <t>EVET</t>
  </si>
  <si>
    <t>Tapuya tescil / cins tashih tarihi esas — aktife kayıt tarihi değil. Devir/bölünmede önceki kurum süresi de sayılır.</t>
  </si>
  <si>
    <t>A0.3  ★ Taşınmaz ticareti / kiralamasıyla FIILEN ve/veya ana sözleşmede UĞRAŞILMIYOR mu?</t>
  </si>
  <si>
    <t>Ana sözleşmede taşınmaz ticareti → Kapsam dışı. Fiili çok sayıda alım-satım → Karine. Holding taşınmazı → İstisna uygulanabilir.
★ GYO/GKO İSE: Portföy taşınmazlarının satışı taşınmaz ticareti kapsamında değerlendirilebilir → 5/1-e istisnası yerine 5/1-d analizi yapın. 5/1-d için %50 dağıtım şartı (7524 s.K. Md.32 — 1/1/2025+) kontrol edin. (KV Beyan Rehberi 2026 — Yayın No:606)</t>
  </si>
  <si>
    <t>A0.4  Satış bedeli satışı izleyen 2. takvim yılı sonuna kadar tahsil edilecek mi?</t>
  </si>
  <si>
    <t>Nakit veya Altın/DT/HB/BİST hisseleriyle tahsil mümkün (2 yıl içinde nakde çevrilmeli). Tahsil edilmezse → Vergi ziyaı.</t>
  </si>
  <si>
    <t>A0.5  ★ İstisna edilen kazanç süresi içinde 549 Özel Fonlar hesabına alınacak mı?</t>
  </si>
  <si>
    <t>Satışı izleyen hesap döneminin başından KV beyan süresine kadar 549'a alınmalı. 5 yıl tutulacak.</t>
  </si>
  <si>
    <t>A0.6  KDV istisnası (KDVK 17/4-r / Geçici Md.43) değerlendirildi mi?</t>
  </si>
  <si>
    <t>15/7/2023 itibariyle KDV istisnası kaldırıldı. Geçici Md.43: 15/7/2023 ÖNCESİ aktife girenler için devam.</t>
  </si>
  <si>
    <t>A0.7  YİAKV matrahında 351 istisnasının etkisi analiz edildi mi?</t>
  </si>
  <si>
    <t>KVK 5/1-e taşınmaz istisnası YİAKV (KVK 32/C) matrahından DÜŞÜLEMEZ — matrahta kalır.</t>
  </si>
  <si>
    <t>A0.8  YMM Tasdik Raporu gereksinimi değerlendirildi mi? (49 No.lu Tebliğ)</t>
  </si>
  <si>
    <t>&gt;=500.000 TL → YMM raporu. KV beyannamesi ile birlikte veya 2 ay içinde elektronik. Tam tasdik → Ayrıca rapor yok.</t>
  </si>
  <si>
    <t>A0.9  Tasdik Uygunluk Sonucu</t>
  </si>
  <si>
    <t>★ A0.2 (2 yıl), A0.3 (ticaret yasağı), A0.5 (549 fon) kritik.</t>
  </si>
  <si>
    <t>A. GENEL BİLGİLER</t>
  </si>
  <si>
    <t>Kurumun Unvanı</t>
  </si>
  <si>
    <t>Tam ticaret unvanı</t>
  </si>
  <si>
    <t>VKN</t>
  </si>
  <si>
    <t>10 haneli VKN</t>
  </si>
  <si>
    <t>Hesap Dönemi</t>
  </si>
  <si>
    <t>Örn: 01.01.2025 – 31.12.2025</t>
  </si>
  <si>
    <t>KV Oranı (%)</t>
  </si>
  <si>
    <t>2025: %25</t>
  </si>
  <si>
    <t>B. TAŞINMAZ KİMLİĞİ VE NİTELİK KONTROLÜ</t>
  </si>
  <si>
    <t xml:space="preserve">  Aktife giriş ve satış tarihleri istisna oranını belirler. Üç kritik tarih: 5/12/2017 | 15/7/2023.</t>
  </si>
  <si>
    <t>Parametre</t>
  </si>
  <si>
    <t>Değer / Seçim</t>
  </si>
  <si>
    <t>Açıklama</t>
  </si>
  <si>
    <t>GİB Rehberi</t>
  </si>
  <si>
    <t>B.1  Taşınmaz Türü</t>
  </si>
  <si>
    <t>Bina/Fabrika/Depo</t>
  </si>
  <si>
    <t>Türk Medeni Kanunu kapsamında taşınmaz</t>
  </si>
  <si>
    <t>GİB Rehberi Md.6</t>
  </si>
  <si>
    <t>B.2  Tapu Ada/Parsel No</t>
  </si>
  <si>
    <t>Tapu belgesiyle uyumlu olmalı</t>
  </si>
  <si>
    <t>Tapu belgesi</t>
  </si>
  <si>
    <t>B.3  Aktife Giriş Türü</t>
  </si>
  <si>
    <t>Satın Alma (Tapuya Tescil)</t>
  </si>
  <si>
    <t>Süre başlangıcı giriş türüne bağlı</t>
  </si>
  <si>
    <t>GİB Rehberi Md.14-18</t>
  </si>
  <si>
    <t>B.4  ★ Aktife Alınma Tarihi (Tapuya Tescil / Cins Tashih)</t>
  </si>
  <si>
    <t>Tapuya tescil/cins tashih tarihi esas. Aktife KAYIT tarihi değil.</t>
  </si>
  <si>
    <t>GİB Rehberi Md.13,14</t>
  </si>
  <si>
    <t>B.5  Satış / Elden Çıkarma Tarihi</t>
  </si>
  <si>
    <t>Satış vaadi değil — tapuya tescil tarihi esas.</t>
  </si>
  <si>
    <t>GİB Rehberi Md.26</t>
  </si>
  <si>
    <t>B.6  Satış Bedeli (TL)</t>
  </si>
  <si>
    <t>Yabancı para ise satış günü TCMB kuru × Miktar.</t>
  </si>
  <si>
    <t>GİB Rehberi Md.29, Örnek 6</t>
  </si>
  <si>
    <t>B.7  Satış Bedeli Döviz Cinsinden mi?</t>
  </si>
  <si>
    <t>HAYIR</t>
  </si>
  <si>
    <t>EVET ise kur farkları istisna kazancını/fon tutarını etkilemez.</t>
  </si>
  <si>
    <t>GİB Rehberi Md.30</t>
  </si>
  <si>
    <t>B.8  Taşınmaz Defter Değeri (Net — Amortisman Düşülmüş, TL)</t>
  </si>
  <si>
    <t>Birikmiş amortisman düşüldükten sonraki değer.</t>
  </si>
  <si>
    <t>252/253 hesap kartı</t>
  </si>
  <si>
    <t>B.9  Satış Giderleri (Tapu Harcı, Komisyon, Noter vb., TL)</t>
  </si>
  <si>
    <t>KVK 5/3: Giderlerin vergiye tabi kısma isabet eden payı gider yazılabilir.</t>
  </si>
  <si>
    <t>KVK 5/3</t>
  </si>
  <si>
    <t xml:space="preserve">  AKTİFE GİRİŞ TARİHİ ÖZEL DURUMLAR (GİB Rehberi Md.14-18):
① Satın alma → Tapuya TESCİL tarihi (aktife kayıt tarihi değil). ② Bina inşası → Cins TASHİH tarihi (YKİ tek başına yeterli değil).
③ Finansal kiralama → Mülkiyet TESCİL tarihi (kiralama dönemi sayılmaz). ④ Devir/bölünme → Önceki kurumda geçen süreler de sayılır.</t>
  </si>
  <si>
    <t>C. 2 TAM YIL (730 GÜN) AKTİFİNDE BULUNDURMA — SÜRE HESABI</t>
  </si>
  <si>
    <t>Hesap Kalemi</t>
  </si>
  <si>
    <t>Değer / Tarih</t>
  </si>
  <si>
    <t>C.1  Aktife Alınma Tarihi</t>
  </si>
  <si>
    <t>B.4'ten otomatik — Tapuya tescil / cins tashih tarihi</t>
  </si>
  <si>
    <t>GİB Md.13-18</t>
  </si>
  <si>
    <t>C.2  Satış / Elden Çıkarma Tarihi</t>
  </si>
  <si>
    <t>B.5'ten otomatik</t>
  </si>
  <si>
    <t>GİB Md.5</t>
  </si>
  <si>
    <t>C.3  Elde Tutma Süresi (Gün)</t>
  </si>
  <si>
    <t>Otomatik: B.5 − B.4 | 730 gün eşiği</t>
  </si>
  <si>
    <t>C.4  ★ 2 Tam Yıl (730 Gün) Şartı</t>
  </si>
  <si>
    <t>Otomatik değerlendirme</t>
  </si>
  <si>
    <t>730 gün</t>
  </si>
  <si>
    <t>D. İSTİSNA ORANI BELİRLEME — TARİH DİLİMİNE GÖRE (GİB Rehberi Md.2-3)</t>
  </si>
  <si>
    <t>Dönem / Durum</t>
  </si>
  <si>
    <t>İstisna Oranı</t>
  </si>
  <si>
    <t>Yasal Dayanak</t>
  </si>
  <si>
    <t>Durumu</t>
  </si>
  <si>
    <t>5/12/2017 ÖNCESİ yapılan satışlar</t>
  </si>
  <si>
    <t>KVK 5/1-e — Eski</t>
  </si>
  <si>
    <t>Eski Dönem</t>
  </si>
  <si>
    <t>5/12/2017 sonrası satış + 15/7/2023 öncesi aktife giriş VE satış</t>
  </si>
  <si>
    <t>KVK 5/1-e</t>
  </si>
  <si>
    <t>Orta Dönem</t>
  </si>
  <si>
    <t>15/7/2023 ÖNCESİ aktife girmiş + 15/7/2023 SONRASI satış</t>
  </si>
  <si>
    <t>KVK Geçici Md.16 — 7456 s.K.</t>
  </si>
  <si>
    <t>GÜNCEL</t>
  </si>
  <si>
    <t>15/7/2023 SONRASI aktife girmiş (herhangi bir tarihte satış)</t>
  </si>
  <si>
    <t>7456 s.K. — İstisna Kaldırıldı</t>
  </si>
  <si>
    <t>İSTİSNA YOK</t>
  </si>
  <si>
    <t>D.1  Bu satış için geçerli olan istisna oranı:</t>
  </si>
  <si>
    <t>(Yukarıdan seçin)</t>
  </si>
  <si>
    <t>Aktife giriş + satış tarihine göre yukarıdaki tablodan seçin → E bölümündeki hesapta kullanılacak</t>
  </si>
  <si>
    <t>E. SATIŞ KAZANCI VE İSTİSNA HESABI</t>
  </si>
  <si>
    <t xml:space="preserve">  KAZANÇ = Satış Bedeli − Defter Değeri − Satış Giderleri | DÖVİZLİ SATIŞTA KUR FARKLARI İSTİSNA TUTARINI ETKİLEMEZ (GİB Rehberi Md.30, Örnek 6)</t>
  </si>
  <si>
    <t>Tutar (TL)</t>
  </si>
  <si>
    <t>YMM Notu</t>
  </si>
  <si>
    <t>E.1  Satış Bedeli</t>
  </si>
  <si>
    <t>B.6'dan otomatik</t>
  </si>
  <si>
    <t>Fiili satış bedeli esas (GİB Md.29)</t>
  </si>
  <si>
    <t>E.2  Defterdeki Kayıtlı Değer (Net — Amortisman Düşülmüş)</t>
  </si>
  <si>
    <t>B.8'den otomatik</t>
  </si>
  <si>
    <t>Birikmiş amortisman düşülmüş</t>
  </si>
  <si>
    <t>E.3  Satış Giderleri</t>
  </si>
  <si>
    <t>B.9'dan otomatik</t>
  </si>
  <si>
    <t>Tapu harcı, komisyon, noter vb.</t>
  </si>
  <si>
    <t>E.4  SATIŞ KAZANCI (E.1 − E.2 − E.3)</t>
  </si>
  <si>
    <t>Negatifse 0 — istisna yok</t>
  </si>
  <si>
    <t>Brüt satış kazancı</t>
  </si>
  <si>
    <t>E.5  Seçilen İstisna Oranı (D.1'den)</t>
  </si>
  <si>
    <t>D.1 seçiminden manuel olarak giriniz (0.75, 0.50, 0.25 veya 0)</t>
  </si>
  <si>
    <t>GİB Rehberi D bölümü</t>
  </si>
  <si>
    <t>E.6  ★ İSTİSNA TUTARI (E.4 × Oran)</t>
  </si>
  <si>
    <t>→ Beyanname 351</t>
  </si>
  <si>
    <t>Satış kazancı × Seçilen oran</t>
  </si>
  <si>
    <t>E.7  Vergiye Tabi Kısım (E.4 − E.6)</t>
  </si>
  <si>
    <t>KV matrahına dahil</t>
  </si>
  <si>
    <t>KVK 5/3 gider ayrışımı</t>
  </si>
  <si>
    <t>E.8  549 FONA ALINACAK TUTAR (= E.6)</t>
  </si>
  <si>
    <t>İstisna edilen kazanç = Fon tutarı</t>
  </si>
  <si>
    <t xml:space="preserve">  ★ DÖVİZLİ SATIŞ — GİB Rehberi Md.30, Örnek 6: 3.000.000 USD × 39 TL = 117.000.000 TL Satış | Maliyet 17.000.000 TL | Kazanç 100.000.000 TL | İstisna %25 = 25.000.000 TL | Fon 25.000.000 TL. Döviz kur farkları / alacak değerleme farkları istisna tutarını VE fon tutarını DEĞİŞTİRMEZ.</t>
  </si>
  <si>
    <t>F. 549 ÖZEL FONLAR HESABI TAKİBİ — 5 YIL ZORUNLU SÜRE (GİB Rehberi Md.19-22)</t>
  </si>
  <si>
    <t>Fon Kalemi</t>
  </si>
  <si>
    <t>Tutar / Tarih</t>
  </si>
  <si>
    <t>F.1  Fona Alınacak Tutar (= E.8)</t>
  </si>
  <si>
    <t>Otomatik</t>
  </si>
  <si>
    <t>İstisna tutarı = Fon tutarı</t>
  </si>
  <si>
    <t>F.2  Fona Alınma Son Tarihi</t>
  </si>
  <si>
    <t>Satışı izleyen hesap döneminin başından KV beyan süresine kadar</t>
  </si>
  <si>
    <t>GG.AA.YYYY — genellikle 30 Nisan</t>
  </si>
  <si>
    <t>F.3  Fon Hesabına Alındı mı?</t>
  </si>
  <si>
    <t>EVET,HAYIR-İstisna Geçersiz</t>
  </si>
  <si>
    <t>549 hesabına kayıt yoksa istisna tamamen geçersiz</t>
  </si>
  <si>
    <t>F.4  5 Yıl Tutma Süresi Sonu</t>
  </si>
  <si>
    <t>Satış yılından itibaren 5. yıl sonu</t>
  </si>
  <si>
    <t>GG.AA.YYYY</t>
  </si>
  <si>
    <t>F.5  Fon Hesabından Erken Çekim Riski</t>
  </si>
  <si>
    <t>Yok</t>
  </si>
  <si>
    <t>Yok,Var-Risk,Tasfiye-Risk</t>
  </si>
  <si>
    <t>Tasfiye = Otomatik çekim → Vergi ziyaı. İflas erteleme = İstisna yok.</t>
  </si>
  <si>
    <t>F.6  Satış Bedeli Tahsil Durumu (2. Takvim Yılı Sonu)</t>
  </si>
  <si>
    <t>Satışı izleyen ikinci takvim yılı sonuna kadar tahsil</t>
  </si>
  <si>
    <t>GG.AA.YYYY — Tahsil edilmezse vergi ziyaı</t>
  </si>
  <si>
    <t>F.7  Tahsil Aracı Türü (GİB Md.25)</t>
  </si>
  <si>
    <t>Nakit</t>
  </si>
  <si>
    <t>Nakit,Altın (2 Yıl İçinde Nakde),Devlet Tahvili (2 Yıl İçinde Nakde),Hazine Bonosu (2 Yıl İçinde Nakde),BİST Hisse Senedi (2 Yıl İçinde Nakde)</t>
  </si>
  <si>
    <t>Nakit veya belirtilen araçlar. 2 yıl içinde nakde çevrilmeli.</t>
  </si>
  <si>
    <t>G. KDV BOYUTU — KDVK Md.17/4-r ve GEÇİCİ Md.43 (15/7/2023 SINIRI KRİTİK)</t>
  </si>
  <si>
    <t xml:space="preserve">  7456 s.K.: 15/7/2023 itibariyle KDV istisnası KALDIRILDI. Geçici Md.43: 15/7/2023 ÖNCESİ aktifine giren taşınmazlar için KDV istisnası DEVAM EDER.</t>
  </si>
  <si>
    <t>KDV Kontrol</t>
  </si>
  <si>
    <t>Değerlendirme</t>
  </si>
  <si>
    <t>G.1  Satıcı KDV Mükellefi mi?</t>
  </si>
  <si>
    <t>KDV mükellefiyeti yoksa bu bölüm uygulanmaz.</t>
  </si>
  <si>
    <t>KDVK</t>
  </si>
  <si>
    <t>G.2  ★ 15/7/2023 ÖNCESİ aktife giren taşınmaz mı? (KDV istisnası için kritik)</t>
  </si>
  <si>
    <t>HAYIR ise: 15/7/2023 sonrası aktife girmiş → KDV istisnası YOKTUR.</t>
  </si>
  <si>
    <t>KDVK Geçici Md.43</t>
  </si>
  <si>
    <t>G.3  KDV İstisnası Uygulanacak mı?</t>
  </si>
  <si>
    <t>G.1=EVET ve G.2=EVET ise KDV istisnası uygulanır.</t>
  </si>
  <si>
    <t>H. BEYANNAME SATIR 351 — TAŞINMAZ SATIŞ KAZANCI İSTİSNASI</t>
  </si>
  <si>
    <t>H.1  TOPLAM İSTİSNA → Beyanname Satır 351 (Kazancın Bulunması Halinde)</t>
  </si>
  <si>
    <t>E.6 — %25/%50/%75 × Satış Kazancı</t>
  </si>
  <si>
    <t xml:space="preserve">  KRİTİK UYARILAR: (1) 351 — 'KAZANCIN BULUNMASI HALİNDE İNDİRİLECEK' — dönemde zarar varsa istisna uygulanamaz.
(2) 15/7/2023 SONRASI aktife giren taşınmazlarda: İstisna tamamen kaldırıldı — beyanname 351 doldurulmaz.
(3) Satış vaadi sözleşmesiyle tahsil edilenler istisnaya konu edilemez — tapu tescili zorunlu (GİB Md.26).
(4) Grup şirketleri: Nakit girişi olmaksızın satış veya ayni sermaye devri → İstisna uygulanmaz (GİB Md.27-28).
(5) YİAKV (KVK 32/C) matrahından bu istisna DÜŞÜLEMEZ — matrahta kalır.
(6) GYO/GKO/FON: Portföy taşınmaz satışları genellikle 5/1-d kapsamındadır. 5/1-d için 1/1/2025+ dağıtım şartı (%50) karşılanmalıdır. GYO'nun kendi faaliyetlerine tahsis ettiği taşınmaz (örn. ofis binası) ise 5/1-e kapsamında ayrıca değerlendirilebilir. (KV Beyan Rehberi 2026 — Yayın No:606 | 7524 s.K. Md.32)</t>
  </si>
  <si>
    <t>351 – TAŞINMAZ SATIŞ KAZANCI İSTİSNASI | HESAPLAMALAR VE DENETİM KONTROLLERİ</t>
  </si>
  <si>
    <t>GİB Rehberi Mart 2026 (Yayın No:601) | 3 Tarih Dilimi | %75/%50/%25/İstisna Yok | KDV Geçici Md.43 | 549 Fon | 2 Yıl Aktif | Beyanname 351</t>
  </si>
  <si>
    <t>A. TASDİK ÖZETİ — VERİ GİRİŞİNDEN OTOMATİK</t>
  </si>
  <si>
    <t>A0 Uygunluk</t>
  </si>
  <si>
    <t>OK ise devam</t>
  </si>
  <si>
    <t>2 Yıl Şartı (C.4)</t>
  </si>
  <si>
    <t>730 gün EVET</t>
  </si>
  <si>
    <t>Elde Tutma (Gün)</t>
  </si>
  <si>
    <t>730 eşiği</t>
  </si>
  <si>
    <t>Oran (D.1)</t>
  </si>
  <si>
    <t>Seçilen oran</t>
  </si>
  <si>
    <t>Satış Kazancı (E.4)</t>
  </si>
  <si>
    <t>Brüt kazanç</t>
  </si>
  <si>
    <t>351 İSTİSNA (E.6)</t>
  </si>
  <si>
    <t>549 Fon (F.1)</t>
  </si>
  <si>
    <t>5 yıl tutulacak</t>
  </si>
  <si>
    <t>KDV İstisnası (G.3)</t>
  </si>
  <si>
    <t>15/7/2023 sınırı</t>
  </si>
  <si>
    <t>B. DÖNEMSEL İSTİSNA ORANI TABLOSU (GİB Rehberi Mart 2026 Md.2-3)</t>
  </si>
  <si>
    <t>Aktife Giriş Tarihi</t>
  </si>
  <si>
    <t>Satış Tarihi</t>
  </si>
  <si>
    <t>Taşınmaz Oranı</t>
  </si>
  <si>
    <t>Not</t>
  </si>
  <si>
    <t>Herhangi</t>
  </si>
  <si>
    <t>5/12/2017 Öncesi</t>
  </si>
  <si>
    <t>15/7/2023 Öncesi</t>
  </si>
  <si>
    <t>5/12/2017–15/7/2023</t>
  </si>
  <si>
    <t>Geçiş (GÜNCEL)</t>
  </si>
  <si>
    <t>15/7/2023 Sonrası</t>
  </si>
  <si>
    <t>KVK Geçici Md.16</t>
  </si>
  <si>
    <t>7456 s.K. — Kaldırıldı</t>
  </si>
  <si>
    <t>C. DENETİM KONTROL LİSTESİ (K1–K14) — TAŞINMAZ SATIŞI</t>
  </si>
  <si>
    <t>Kontrol</t>
  </si>
  <si>
    <t>Açıklama / GİB Rehberi</t>
  </si>
  <si>
    <t>Sonuç</t>
  </si>
  <si>
    <t>K1</t>
  </si>
  <si>
    <t>★ İstisna oranı doğru tarih dilimine yerleştirildi mi? (%75/%50/%25/YOK)</t>
  </si>
  <si>
    <t>GİB Md.2-3: Aktife giriş + satış tarihine göre 4 dilim. En sık yapılan hata.</t>
  </si>
  <si>
    <t>Uygun/Eksik/Risk</t>
  </si>
  <si>
    <t>K2</t>
  </si>
  <si>
    <t>★ 15/7/2023 sonrası aktife giren taşınmazda istisna uygulanmadı mı?</t>
  </si>
  <si>
    <t>7456 s.K.: Bu tarihten sonra aktife giren → İstisna tamamen kaldırıldı. Beyanname 351 doldurulmaz.</t>
  </si>
  <si>
    <t>K3</t>
  </si>
  <si>
    <t>★ Aktife alınma tarihi tapuya tescil / cins tashih tarihi mi?</t>
  </si>
  <si>
    <t>GİB Md.13-18: Aktife kayıt tarihi değil. Bina → Cins tashih. Finansal kiralama → Mülkiyet tescil.</t>
  </si>
  <si>
    <t>K4</t>
  </si>
  <si>
    <t>★ 2 Tam Yıl (730 gün) şartı sağlandı mı? C.4 EVET veriyor mu?</t>
  </si>
  <si>
    <t>730 gün. 1 gün eksik → İstisna yok. Devir/bölünmede önceki süre sayılır.</t>
  </si>
  <si>
    <t>K5</t>
  </si>
  <si>
    <t>★ Taşınmaz ticareti / kiralaması yasağı kontrol edildi mi?
★ GYO/GKO İSE: Portföy taşınmaz satışı → 5/1-d analizi. 7524 s.K. Md.32 kapsamı %50 dağıtım şartı kontrol edildi mi? Dağıtım şartı sağlanmazsa 5/1-d istisnası tamamen kalkabilir.</t>
  </si>
  <si>
    <t>GİB Md.10: Ana sözleşme + fiili faaliyet. Çok sayıda alım-satım → Karine. Holding → İstisna uygulanabilir.</t>
  </si>
  <si>
    <t>K6</t>
  </si>
  <si>
    <t>Satış bedeli fiili satış bedeli mi? Transfer fiyatlandırması?</t>
  </si>
  <si>
    <t>GİB Md.29: Fiili satış bedeli esas. KVK Md.13: İlişkili kişi satışında emsal bedel zorunlu.</t>
  </si>
  <si>
    <t>K7</t>
  </si>
  <si>
    <t>Grup şirketleri arası satışta nakit girişi var mı? Ayni sermaye devri yok mu?</t>
  </si>
  <si>
    <t>GİB Md.27-28: Nakit girişi olmayan satış veya ayni sermaye devri → İstisna uygulanmaz.</t>
  </si>
  <si>
    <t>K8</t>
  </si>
  <si>
    <t>Satış vaadi sözleşmesiyle değil — tapuya tescil yapıldı mı?</t>
  </si>
  <si>
    <t>GİB Md.26: Satış vaadi yeterli değil — tapuya tescil zorunlu.</t>
  </si>
  <si>
    <t>K9</t>
  </si>
  <si>
    <t>★ Satış bedeli 2. takvim yılı sonuna kadar tahsil edilecek mi?</t>
  </si>
  <si>
    <t>Nakit veya Altın/DT/HB/BİST hisseleri (2 yıl içinde nakde). Tahsil edilmezse → Vergi ziyaı.</t>
  </si>
  <si>
    <t>K10</t>
  </si>
  <si>
    <t>★ İstisna tutarı (E.6) süresi içinde 549 hesabına alındı mı?</t>
  </si>
  <si>
    <t>Satışı izleyen dönem KV beyan süresi içinde. Fon kaydı yoksa istisna tamamen geçersiz.</t>
  </si>
  <si>
    <t>K11</t>
  </si>
  <si>
    <t>5 Yıl Fon Tutma kontrolü — Tasfiye / erken çekim riski?</t>
  </si>
  <si>
    <t>GİB Md.20-22: Tasfiye = Otomatik çekim. İflas erteleme = İstisna yok. Sermayeye ilave mümkün.</t>
  </si>
  <si>
    <t>K12</t>
  </si>
  <si>
    <t>KDV Geçici Md.43 istisnası doğru uygulandı mı?</t>
  </si>
  <si>
    <t>15/7/2023 öncesi aktife giren → KDV istisnası devam. Sonrası → KDV istisnası yok.</t>
  </si>
  <si>
    <t>K13</t>
  </si>
  <si>
    <t>Dövizli satışta kur farkları istisna tutarını etkilemedi mi?</t>
  </si>
  <si>
    <t>GİB Md.30, Örnek 6: Kur farkları / alacak değerleme farkları istisna ve fon tutarını değiştirmez.</t>
  </si>
  <si>
    <t>K14</t>
  </si>
  <si>
    <t>Beyanname 351 'Kazancın Bulunması Halinde' bölümünde mi? YMM raporu?</t>
  </si>
  <si>
    <t>351 → 'Kazancın Bulunması Halinde'. Zarar varsa istisna uygulanamaz. &gt;=500.000 TL → YMM raporu.</t>
  </si>
  <si>
    <t>K15</t>
  </si>
  <si>
    <t>★ GYO/GKO/Fon ise: 5/1-d kapsamı ve %50 dağıtım şartı analizi yapıldı mı?</t>
  </si>
  <si>
    <t>GYO/GKO portföy taşınmaz satışı → 5/1-d. 5/1-e genellikle uygulanmaz.
5/1-d istisnası için 7524 s.K. Md.32 kapsamı %50 dağıtım şartı (1/1/2025+) analiz edilmeli.</t>
  </si>
  <si>
    <t>351 – TAŞINMAZ SATIŞ KAZANCI İSTİSNASI | MUHASEBE KAYITLARI</t>
  </si>
  <si>
    <t>GİB Rehberi Mart 2026 | %25/%50/%75 Dönemsel Oran | 549 Fon | KDV Geçici Md.43 | Dövizli Satış</t>
  </si>
  <si>
    <t xml:space="preserve">  NOT: Aşağıdaki kayıtlar örnek niteliğindedir. Şirkete özgü muhasebe politikasına ve aktifin döneme göre uyarlanmalıdır.</t>
  </si>
  <si>
    <t>KAYIT 1 — TAŞINMAZ SATIŞ KAYDI (GİB Rehberi Md.29 — Fiili Satış Bedeli Esas)</t>
  </si>
  <si>
    <t>Tarih</t>
  </si>
  <si>
    <t>Hesap</t>
  </si>
  <si>
    <t>Dr</t>
  </si>
  <si>
    <t>Kr</t>
  </si>
  <si>
    <t>Ref</t>
  </si>
  <si>
    <t>[Satış Tarihi]</t>
  </si>
  <si>
    <t>102 Bankalar / 120 Alıcılar</t>
  </si>
  <si>
    <t>Satış bedeli tahsilatı (Nakit / Altın / DT / HB / BİST — 2 yıl içinde nakde)</t>
  </si>
  <si>
    <t>[Satış Bedeli]</t>
  </si>
  <si>
    <t>—</t>
  </si>
  <si>
    <t>Tapu+Banka</t>
  </si>
  <si>
    <t>257 Birikmiş Amortismanlar</t>
  </si>
  <si>
    <t>Birikmiş amortismanın kapatılması</t>
  </si>
  <si>
    <t>[Birikmiş Amor.]</t>
  </si>
  <si>
    <t>257 kartı</t>
  </si>
  <si>
    <t>252/253 Binalar / Arazi ve Arsalar</t>
  </si>
  <si>
    <t>Taşınmazın net defter değeriyle aktiften çıkışı</t>
  </si>
  <si>
    <t>[Defter Değeri]</t>
  </si>
  <si>
    <t>252/253 kartı</t>
  </si>
  <si>
    <t>679 Diğer Olağandışı Kâr ve Gelirler</t>
  </si>
  <si>
    <t>Satış kazancı (E.4) — KVK 5/1-e | %25/%50/%75 → Beyanname 351</t>
  </si>
  <si>
    <t>[E.4 TL]</t>
  </si>
  <si>
    <t>KV 351</t>
  </si>
  <si>
    <t xml:space="preserve">  ★ KDV NOTU: 15/7/2023 ÖNCESİ aktife giren → KDVK Geçici Md.43 KDV istisnası DEVAM. 15/7/2023 SONRASI aktife giren → Genel hükümler çerçevesinde KDV HESAPLANIR.</t>
  </si>
  <si>
    <t xml:space="preserve">  ★ DÖVİZLİ SATIŞ (GİB Md.30, Örnek 6): Kazanç = TCMB kuru × Miktar − Maliyet. Sonradan oluşan kur farkları istisna tutarını ve fon tutarını ETKİLEMEZ.</t>
  </si>
  <si>
    <t>KAYIT 2 — 549 ÖZEL FONLAR HESABINA ALMA (Satışı İzleyen Dönem KV Beyan Süresine Kadar — GİB Md.19)</t>
  </si>
  <si>
    <t>[KV Beyan]</t>
  </si>
  <si>
    <t>İstisna edilen satış kazancının gelir hesabından çıkarılması</t>
  </si>
  <si>
    <t>[İstisna E.6]</t>
  </si>
  <si>
    <t>E.6 tutarı</t>
  </si>
  <si>
    <t>549 Özel Fonlar</t>
  </si>
  <si>
    <t>KVK 5/1-e İstisna | %25/%50/%75 | 5 yıl tutulacak (Taşınmaz Satış Kazancı İstisnası)</t>
  </si>
  <si>
    <t>5 Yıl</t>
  </si>
  <si>
    <t xml:space="preserve">  5 YIL KURALI (GİB Md.19-22): 5 yıl içinde işletmeden çekilemez. Sermayeye ilave mümkün. Tasfiye = Otomatik çekim → Vergi ziyaı. İflas erteleme = İstisna yok.</t>
  </si>
  <si>
    <t xml:space="preserve">  ★ GYO/GKO MUHASEBE NOTU (7524 s.K. Md.32 — 1/1/2025+): Portföy taşınmaz satışları ağırlıklı olarak KVK 5/1-d kapsamındadır. 5/1-d istisnası için taşınmaz gelirlerinin %50'si dağıtılmalıdır. Dağıtım şartı sağlanamıyorsa tüm kazançlar vergiye tabidir. GYO'nun kendi faaliyetlerine tahsis ettiği taşınmaz satışında 5/1-e ve bu çalışma kâğıdı kullanılabilir. (KV Beyan Rehberi Mart 2026 — Yayın No:606)</t>
  </si>
  <si>
    <t>351 – TAŞINMAZ SATIŞ KAZANCI İSTİSNASI | DENETÇİ NOTLARI</t>
  </si>
  <si>
    <t>GİB Rehberi Mart 2026 (Yayın No:601) | 7456 s.K. | KVK Geçici Md.16 | KDVK Geçici Md.43 | YMM Tasdik Standardı</t>
  </si>
  <si>
    <t>Kod</t>
  </si>
  <si>
    <t>Konu</t>
  </si>
  <si>
    <t>Mesleki Değerlendirme / GİB Rehberi Mart 2026</t>
  </si>
  <si>
    <t>Mevzuat / Kaynak</t>
  </si>
  <si>
    <t>N1</t>
  </si>
  <si>
    <t>KVK 5/1-e — İstisna Oranları ve 3 Dönemli Yapı (GİB Rehberi Md.2-3)</t>
  </si>
  <si>
    <t>TAŞINMAZ SATIŞ KAZANCI İSTİSNA ORANLARI (GİB Rehberi Mart 2026):
DÖNEM 1 — 5/12/2017 ÖNCESİ: Satıştan doğan kazancın %75'i istisna.
DÖNEM 2 — 5/12/2017'den itibaren (dahil) → 15/7/2023'e kadar: %50 istisna.
DÖNEM 3 — 7456 s.K. ile değişiklik (15/7/2023):
  → 15/7/2023 ÖNCESİ aktifine alınan taşınmazların SONRAKI SATIŞLARI: %25 (KVK Geçici Md.16)
  → 15/7/2023 SONRASI aktifine alınan taşınmazlar: İSTİSNA TAMAMEN KALDIRILDI.
KDV İSTİSNASI (GİB Rehberi Bölüm A-II):
  → 15/7/2023 itibariyle genel KDV istisnası kaldırıldı (7456 s.K., KDVK 17/4-r).
  → KDVK Geçici Md.43: 15/7/2023 ÖNCESİ aktife giren taşınmazlar için KDV istisnası DEVAM EDER.
BEYANNAME: 351 | Kazancın Bulunması Halinde | YİAKV matrahından DÜŞÜLEMEZ.</t>
  </si>
  <si>
    <t>KVK 5/1-e | KVK Geçici Md.16 | 7456 s.K. | KDVK Geçici Md.43 | GİB Rehberi Mart 2026</t>
  </si>
  <si>
    <t>N2</t>
  </si>
  <si>
    <t>★ Aktife Alınma Tarihi — En Kritik Kontrol (GİB Rehberi Md.13-18)</t>
  </si>
  <si>
    <t>GİB Rehberi Md.13-18 AKTİFE GİRİŞ TARİHİ KURALI:
① Satın alma: Tapuya TESCİL tarihi esas — aktife kayıt tarihi değil.
② Bina inşası: CİNS TASHİH / TESCİL tarihi esas — yapı kullanma izni yeterli değil.
③ İnşa halindeki bina (tamamlanmamış) satışı: Sadece arsa kısmına istisna uygulanır.
④ Finansal kiralama: Mülkiyetin kuruma geçtiği TESCİL tarihi — kiralama dönemi sayılmaz.
⑤ Sat-Kirala-Geri Al: 7456 s.K. öncesinde finansal kiralama aktifindeki süreler sayılırdı; bu uygulama kaldırıldı.
⑥ Devir/bölünme: Devralınan kurumun aktifinde geçen süreler dikkate alınır (GİB Md.15).
⑦ Satış vaadi sözleşmesi: Yeterli değil — tapuya tescil zorunlu (GİB Md.26).</t>
  </si>
  <si>
    <t>GİB Rehberi Md.13-18,26 | KVK 5/1-e</t>
  </si>
  <si>
    <t>N3</t>
  </si>
  <si>
    <t>Dövizli Satış ve Kur Farkları (GİB Rehberi Md.30, Örnek 6)</t>
  </si>
  <si>
    <t>GİB Rehberi Md.30 — DÖVİZLİ SATIŞ KURALI:
İstisna kapsamındaki taşınmazın satışından kaynaklanan alacaklar için alınan:
  • Faiz ve komisyon gelirleri
  • Döviz cinsinden belirlenen satış bedelinde ortaya çıkan KUR FARKLARI
istisna kazancın tespitinde dikkate ALINAMAZ — fon tutarını da DEĞİŞTİRMEZ.
ÖRNEK 6 (GİB Rehberi Mart 2026):
  Satış: 3.000.000 USD × 39 TL = 117.000.000 TL | Maliyet: 17.000.000 TL
  Kazanç: 100.000.000 TL | İstisna %25 = 25.000.000 TL | Fon: 25.000.000 TL
  Döviz/alacak değerlemesi → İstisna ve fon tutarı değişmez.</t>
  </si>
  <si>
    <t>GİB Rehberi Md.30, Örnek 6 | KVK 5/1-e</t>
  </si>
  <si>
    <t>N4</t>
  </si>
  <si>
    <t>Fon Hesabı, Tahsil Şartı ve Grup Şirketleri (GİB Rehberi Md.19-28)</t>
  </si>
  <si>
    <t>FON HESABI (GİB Md.19-22):
  • Satışı izleyen hesap döneminin başından KV beyan süresine kadar 549'a alınmalı.
  • 5 yıl tutma zorunlu. Sermayeye ilave mümkün. Fon çekilirse o dönem gelir sayılır.
  • Tasfiye → Otomatik çekim = Vergi ziyaı. İflas erteleme → İstisna yok.
SATIŞ BEDELİ TAHSİLİ (GİB Md.25):
  • Satışı izleyen 2. takvim yılı sonuna kadar tahsil zorunlu.
  • Kabul: Nakit + Altın, Devlet tahvili, Hazine bonosu, BİST hisse senetleri (2 yıl içinde nakde).
GRUP ŞİRKETLERİ (GİB Md.27-28):
  • Nakit girişi olmaksızın satış → İstisna uygulanmaz.
  • Ayni sermaye olarak bağlı ortaklığa taşınmaz devri → İstisna yok.</t>
  </si>
  <si>
    <t>GİB Rehberi Md.19-28 | KVK 5/1-e</t>
  </si>
  <si>
    <t>N5</t>
  </si>
  <si>
    <t>49 No.lu Tebliğ + YMM Tasdik Dil Standardı (GİB Rehberi Bölüm C)</t>
  </si>
  <si>
    <t>49 No.lu Tebliğ: &gt;=500.000 TL → YMM raporu. KV beyannamesi ile birlikte veya 2 ay içinde elektronik gönderim. Tam tasdik → ayrıca rapor yok.
KULLANIN (Güncel — %25):
'...15/7/2023 tarihinden önce kurum aktifinde kayıtlı bulunan taşınmazın [tarih] tarihinde
  satışından doğan kazancın KVK Geçici Madde 16 kapsamında %25'i olan [tutar] TL
  kurumlar vergisinden istisna edilmiş, söz konusu kazanç [tarih] tarihine kadar
  549 Özel Fonlar hesabına alınmıştır.'
KULLANMAYIN:
'...%50 istisna uygulanmıştır' (15/7/2023 öncesi aktif + sonrası satış → %25)
'...15/7/2023 sonrası aktife giren taşınmaza istisna uygulanmıştır' (Kaldırıldı)
'...kur farkı istisnayı artırdı' (Kur farkları istisna tutarını etkilemez)
KRİTİK RİSK ALANLARI:
(1) Yanlış tarih dilimine yanlış oran. (2) 15/7/2023 sonrası aktif taşınmazda istisna uygulamak.
(3) Aktife alınma tarihi hatası (tescil yerine kayıt tarihi). (4) Fon hesabı zamanlaması hatası.</t>
  </si>
  <si>
    <t>49 No.lu Tebliğ | GİB Rehberi Mart 2026 Bölüm C | SM-SMMM-YMM K. Md.12</t>
  </si>
  <si>
    <t>N6</t>
  </si>
  <si>
    <t>★ GYO/GKO Taşınmaz Satışı — 5/1-d Dağıtım Şartı ve 5/1-e Ayrımı</t>
  </si>
  <si>
    <t>GYO/GKO TAŞINMAZ SATIŞINDA KAPSAM ANALİZİ:
Gayrimenkul Yatırım Ortaklıkları ve Fonlarının taşınmaz satış kazançları:
① PORTFÖY TAŞINMAZLARI → 5/1-d (GYO/Fon Kazancı İstisnası):
   GYO'nun asıl faaliyeti taşınmaz yatırımı/kiralama olduğundan portföy taşınmazları
   'taşınmaz ticaretiyle uğraşan kurumlar' kapsamında değerlendirilebilir → 5/1-e UYGULANMAZ.
   Bu taşınmazlar için 5/1-d kapsamında istisna analizi yapılmalıdır.
② GYO'NUN FAALIYETINE TAHSİS ETTİĞİ TAŞINMAZLAR → 5/1-e OLABİLİR:
   GYO'nun kendi kullanımına tahsis ettiği taşınmaz (yönetim ofisi, depo vb.)
   → 5/1-e kapsamında değerlendirilebilir → Bu çalışma kâğıdı kullanılır.
★ 5/1-d DAĞITIM ŞARTI (7524 s.K. Md.32 — 1/1/2025 tarihinden itibaren):
   GYO/GKO/Fon taşınmaz gelirlerinin en az %50'sini KV beyan ayını izleyen
   2. ayın sonuna kadar kar payı olarak dağıtmak zorundadır.
   ✓ Dağıtım şartı SAĞLANIYORSA → 5/1-d kapsamında taşınmaz dışı kazançlar da istisna.
   ✗ Dağıtım şartı SAĞLANAMIYORSA → TÜM kazançlar için istisna kalkar.
YMM TASDIK NOTU: GYO/GKO mükellefi için 5/1-d kapsamı ve dağıtım şartı analizi
tasdik dosyasında ayrıca belgelenmelidir. Portföy taşınmazı satışına 5/1-e istisnası
uygulamak ciddi hata riski oluşturur.</t>
  </si>
  <si>
    <t>KVK Md.5/1-d, 5/1-e
7524 s.K. Md.32 (1/1/2025+)
KV Beyan Rehberi Mart 2026
(Yayın No:606)
GİB Rehberi Md.9-10</t>
  </si>
  <si>
    <t xml:space="preserve">  GİB REHBERİ MART 2026 KAPANIŞ: Kritik güncellemeler: (1) %25 yeni oran — 15/7/2023 öncesi aktif / sonraki satış. (2) 15/7/2023 sonrası aktifler: İstisna tamamen kaldırıldı. (3) KDV Geçici Md.43 sınırı. (4) Dövizli satış kur farkı kuralı. YMM müteselsil sorumluluk: SM-SMMM-YMM K. Md.12.</t>
  </si>
  <si>
    <t>351 – TAŞINMAZ SATIŞ KAZANCI İSTİSNASI | BELGE LİSTESİ | YMM TASDİK</t>
  </si>
  <si>
    <t>GİB Rehberi Mart 2026 (Yayın No:601) | %75/%50/%25/YOK | 549 Fon | KDV Geçici Md.43 | 49 No.lu Tebliğ</t>
  </si>
  <si>
    <t>KATEGORİ 1 — ZORUNLU BELGELER</t>
  </si>
  <si>
    <t>No</t>
  </si>
  <si>
    <t>Belge / Bilgi</t>
  </si>
  <si>
    <t>Açıklama / YMM Kontrol</t>
  </si>
  <si>
    <t>Temin Yeri</t>
  </si>
  <si>
    <t>1</t>
  </si>
  <si>
    <t>★ Tapu Belgesi / Güncel Tapu Kaydı</t>
  </si>
  <si>
    <t>Mülkiyetin kuruma ait olduğunu gösteren güncel tapu. Ada/parsel/tescil tarihi görünmeli.
YMM: Tescil tarihi → aktife alınma tarihi için birincil delil.</t>
  </si>
  <si>
    <t>Tapu Sicil Müdürlüğü / e-Devlet</t>
  </si>
  <si>
    <t>2</t>
  </si>
  <si>
    <t>★ Aktife Giriş Tarihi İspat Belgesi (2 Yıl Kontrolü — GİB Md.13-18)</t>
  </si>
  <si>
    <t>Satın alma → Tapuya tescil belgesi.
Bina inşası → Cins tashih belgesi (yapı ruhsatı + YKİ tek başına yeterli değil).
Finansal kiralama → Mülkiyet tescil belgesi.</t>
  </si>
  <si>
    <t>Tapu, Cins Tashih, Yapı Ruhsatı</t>
  </si>
  <si>
    <t>3</t>
  </si>
  <si>
    <t>★ İstisna Oranı Belirleme Belgesi (Tarih Dilimi — GİB Md.2-3)</t>
  </si>
  <si>
    <t>Aktife giriş tarihi + satış tarihi → Hangi dilim: %75/%50/%25/İstisna Yok.
Bu çalışma kâğıdı D bölümü hesabı ile birlikte dosyada yer almalı.</t>
  </si>
  <si>
    <t>Bu çalışma kâğıdı D bölümü</t>
  </si>
  <si>
    <t>4</t>
  </si>
  <si>
    <t>Satış Sözleşmesi ve Tapu Devir Belgesi</t>
  </si>
  <si>
    <t>Satış bedeli, tarih, alıcı bilgileri açık olmalı. Satış vaadi yeterli değil (GİB Md.26).</t>
  </si>
  <si>
    <t>Satış sözleşmesi + Tapu devir belgesi</t>
  </si>
  <si>
    <t>5</t>
  </si>
  <si>
    <t>Ana Sözleşme — Taşınmaz Ticareti/Kiralaması Kontrol (GİB Md.10)</t>
  </si>
  <si>
    <t>Ana sözleşmede taşınmaz alım-satımı veya kiralaması var mı? Kontrol zorunlu.</t>
  </si>
  <si>
    <t>Şirket ana sözleşmesi / MERSİS</t>
  </si>
  <si>
    <t>6</t>
  </si>
  <si>
    <t>Satış Kazancı Hesaplama Tablosu (E.4 — GİB Md.29)</t>
  </si>
  <si>
    <t>E.4 = Satış Bedeli − Defter Değeri − Satış Giderleri. Dövizli satış: TCMB kuru × Miktar.</t>
  </si>
  <si>
    <t>Muhasebe programı — 252/253 kartı</t>
  </si>
  <si>
    <t>7</t>
  </si>
  <si>
    <t>★ 549 Fon Hesabına Alınma Belgesi (Muhasebe Kaydı — GİB Md.19)</t>
  </si>
  <si>
    <t>İstisna tutarının (E.6) 549 hesabına kaydedildiğini gösteren yevmiye. Zamanlama kritik.</t>
  </si>
  <si>
    <t>Yevmiye defteri / 549 hesap ekstresi</t>
  </si>
  <si>
    <t>8</t>
  </si>
  <si>
    <t>KV Beyannamesi Taslağı — 351. Satır</t>
  </si>
  <si>
    <t>351 tutarının E.6 ile birebir uyumlu. 'Kazancın Bulunması Halinde' bölümünde.</t>
  </si>
  <si>
    <t>GİB e-Beyanname sistemi</t>
  </si>
  <si>
    <t>KATEGORİ 2 — EK BELGELER</t>
  </si>
  <si>
    <t>9</t>
  </si>
  <si>
    <t>Dövizli Satış: TCMB Kuru + Kur Farkı Ayrıştırma (GİB Md.30, Örnek 6)</t>
  </si>
  <si>
    <t>Satış günü TCMB kuru belgesi. Kur farkları istisna tutarını ETKİLEMEZ — ayrı hesaplanır.</t>
  </si>
  <si>
    <t>TCMB web sitesi / Banka dekontu</t>
  </si>
  <si>
    <t>10</t>
  </si>
  <si>
    <t>Nakit Dışı Tahsil: Altın/DT/HB/BİST Hisse Belgesi (GİB Md.25)</t>
  </si>
  <si>
    <t>2 yıl içinde nakde çevrildiğine dair belge.</t>
  </si>
  <si>
    <t>Banka dekontu / Broker hesap ekstresi</t>
  </si>
  <si>
    <t>11</t>
  </si>
  <si>
    <t>KDV İstisnası: 15/7/2023 Öncesi Aktif Teyidi (KDVK Geçici Md.43)</t>
  </si>
  <si>
    <t>15/7/2023 öncesi aktife giriş tarihi teyit belgesi → KDV istisnası devam. Sonrası → KDV yok.</t>
  </si>
  <si>
    <t>Tapu tescil belgesi</t>
  </si>
  <si>
    <t>12</t>
  </si>
  <si>
    <t>Taşınmaz Ticareti Yapılmadığının Beyanı + Geçmiş Dönem Satış Listesi</t>
  </si>
  <si>
    <t>Son 3-5 yıldaki taşınmaz alım-satım listesi. Çok sayıda satış → Karine riski.</t>
  </si>
  <si>
    <t>Tapu sicil sorgusu / Muhasebe kayıtları</t>
  </si>
  <si>
    <t>KATEGORİ 3 — YMM TASDİK KONTROL SORULARI</t>
  </si>
  <si>
    <t>Beklenen Sonuç</t>
  </si>
  <si>
    <t>YMM Aksiyonu</t>
  </si>
  <si>
    <t>S1</t>
  </si>
  <si>
    <t>★ İstisna oranı doğru dilime yerleştirildi mi?</t>
  </si>
  <si>
    <t>GİB Md.2-3: %75/%50/%25/YOK. Aktife giriş + satış tarihi.</t>
  </si>
  <si>
    <t>YMM kontrolü</t>
  </si>
  <si>
    <t>S2</t>
  </si>
  <si>
    <t>★ 15/7/2023 sonrası aktifler için istisna uygulanmadı mı?</t>
  </si>
  <si>
    <t>7456 s.K.: Sonrası aktife giren → İstisna tamamen kaldırıldı.</t>
  </si>
  <si>
    <t>S3</t>
  </si>
  <si>
    <t>★ Aktife alınma tarihi tescil / cins tashih tarihi mi?</t>
  </si>
  <si>
    <t>GİB Md.13-18: Aktife kayıt tarihi değil.</t>
  </si>
  <si>
    <t>S4</t>
  </si>
  <si>
    <t>★ 2 Tam Yıl (730 gün) şartı sağlandı mı?</t>
  </si>
  <si>
    <t>730 gün. 1 gün eksik → İstisna yok.</t>
  </si>
  <si>
    <t>S5</t>
  </si>
  <si>
    <t>★ Taşınmaz ticareti yasağı kontrol edildi mi?</t>
  </si>
  <si>
    <t>GİB Md.10: Ana sözleşme + fiili faaliyet.</t>
  </si>
  <si>
    <t>S6</t>
  </si>
  <si>
    <t>Nakit veya Altın/DT/HB/BİST (2 yıl içinde nakde).</t>
  </si>
  <si>
    <t>S7</t>
  </si>
  <si>
    <t>★ İstisna tutarı süresi içinde 549 hesabına alındı mı?</t>
  </si>
  <si>
    <t>Satışı izleyen dönem KV beyan süresi içinde.</t>
  </si>
  <si>
    <t>S8</t>
  </si>
  <si>
    <t>15/7/2023 öncesi aktif → KDV istisnası devam.</t>
  </si>
  <si>
    <t>S9</t>
  </si>
  <si>
    <t>GİB Md.30, Örnek 6: Kur farkları etkilemez.</t>
  </si>
  <si>
    <t>S10</t>
  </si>
  <si>
    <t>YMM Tasdik Raporu (49 No.lu Tebliğ) değerlendirildi mi?</t>
  </si>
  <si>
    <t>&gt;=500.000 TL → YMM raporu.</t>
  </si>
  <si>
    <t>13</t>
  </si>
  <si>
    <t>★ GYO/GKO ise: 5/1-d Kapsam Analiz Belgesi + %50 Dağıtım Şartı Teyidi</t>
  </si>
  <si>
    <t>GYO/GKO taşınmaz satışında 5/1-e yerine 5/1-d kapsamı analizi.
7524 s.K. Md.32: %50 dağıtım şartı sağlanıp sağlanmadığı belgelenmeli.
Portföy taşınmazı → 5/1-d. Faaliyete tahsis → 5/1-e olabilir.</t>
  </si>
  <si>
    <t>YMM Analiz Notu + Kar Dağıtım Belgesi</t>
  </si>
  <si>
    <t>SON NOT: GİB Rehberi Mart 2026 (Yayın No:601). Kritik güncellemeler: (1) %25 — 15/7/2023 öncesi aktif / sonraki satış. (2) 15/7/2023 sonrası aktifler: İstisna tamamen kaldırıldı. (3) KDV Geçici Md.43 sınırı. (4) Dövizli satış: Kur farkları istisna ve fon tutarını etkilemez. YMM müteselsil sorumluluk: SM-SMMM-YMM Kanunu Md.12.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</si>
</sst>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4" x14ac:knownFonts="1">
    <font>
      <sz val="11"/>
      <color theme="1"/>
      <name val="Calibri"/>
      <family val="2"/>
      <scheme val="minor"/>
    </font>
    <font>
      <b/>
      <sz val="9"/>
      <color rgb="FFFFFFFF"/>
      <name val="Arial"/>
    </font>
    <font>
      <b/>
      <sz val="8"/>
      <color rgb="FF7B5E00"/>
      <name val="Arial"/>
    </font>
    <font>
      <b/>
      <sz val="10"/>
      <color rgb="FFFFFFFF"/>
      <name val="Arial"/>
    </font>
    <font>
      <b/>
      <sz val="9"/>
      <color rgb="FF1B5E20"/>
      <name val="Arial"/>
    </font>
    <font>
      <b/>
      <sz val="9"/>
      <color rgb="FF1565C0"/>
      <name val="Arial"/>
    </font>
    <font>
      <b/>
      <sz val="9"/>
      <color rgb="FFE65100"/>
      <name val="Arial"/>
    </font>
    <font>
      <b/>
      <sz val="9"/>
      <color rgb="FFB71C1C"/>
      <name val="Arial"/>
    </font>
    <font>
      <b/>
      <sz val="9"/>
      <color rgb="FFC0392B"/>
      <name val="Arial"/>
    </font>
    <font>
      <b/>
      <sz val="10"/>
      <color rgb="FF0000FF"/>
      <name val="Arial"/>
    </font>
    <font>
      <i/>
      <sz val="8"/>
      <color rgb="FFC0392B"/>
      <name val="Arial"/>
    </font>
    <font>
      <b/>
      <sz val="9"/>
      <color rgb="FF1F3864"/>
      <name val="Arial"/>
    </font>
    <font>
      <i/>
      <sz val="8"/>
      <color rgb="FF555555"/>
      <name val="Arial"/>
    </font>
    <font>
      <b/>
      <sz val="10"/>
      <color rgb="FF1B5E20"/>
      <name val="Arial"/>
    </font>
    <font>
      <i/>
      <sz val="8"/>
      <color rgb="FF888888"/>
      <name val="Arial"/>
    </font>
    <font>
      <sz val="9"/>
      <color rgb="FFC0392B"/>
      <name val="Arial"/>
    </font>
    <font>
      <i/>
      <sz val="8"/>
      <color rgb="FF5D4037"/>
      <name val="Arial"/>
    </font>
    <font>
      <i/>
      <sz val="8"/>
      <color rgb="FF333333"/>
      <name val="Arial"/>
    </font>
    <font>
      <b/>
      <sz val="12"/>
      <color rgb="FF1B5E20"/>
      <name val="Arial"/>
    </font>
    <font>
      <i/>
      <sz val="8"/>
      <color rgb="FF444444"/>
      <name val="Arial"/>
    </font>
    <font>
      <b/>
      <sz val="12"/>
      <color rgb="FF1565C0"/>
      <name val="Arial"/>
    </font>
    <font>
      <b/>
      <sz val="12"/>
      <color rgb="FFE65100"/>
      <name val="Arial"/>
    </font>
    <font>
      <b/>
      <sz val="12"/>
      <color rgb="FFFFFFFF"/>
      <name val="Arial"/>
    </font>
    <font>
      <sz val="9"/>
      <color rgb="FF1A5276"/>
      <name val="Arial"/>
    </font>
    <font>
      <b/>
      <sz val="13"/>
      <color rgb="FF1B5E20"/>
      <name val="Arial"/>
    </font>
    <font>
      <b/>
      <sz val="10"/>
      <color rgb="FF1F3864"/>
      <name val="Arial"/>
    </font>
    <font>
      <i/>
      <sz val="8"/>
      <color rgb="FF7D3C98"/>
      <name val="Arial"/>
    </font>
    <font>
      <b/>
      <sz val="11"/>
      <color rgb="FFFFFFFF"/>
      <name val="Arial"/>
    </font>
    <font>
      <b/>
      <sz val="14"/>
      <color rgb="FF1B5E20"/>
      <name val="Arial"/>
    </font>
    <font>
      <i/>
      <sz val="8"/>
      <color rgb="FF1B5E20"/>
      <name val="Arial"/>
    </font>
    <font>
      <sz val="9"/>
      <color rgb="FF1B5E20"/>
      <name val="Arial"/>
    </font>
    <font>
      <sz val="9"/>
      <color rgb="FF1F3864"/>
      <name val="Arial"/>
    </font>
    <font>
      <b/>
      <sz val="11"/>
      <color rgb="FF1B5E20"/>
      <name val="Arial"/>
    </font>
    <font>
      <sz val="9"/>
      <color rgb="FF1565C0"/>
      <name val="Arial"/>
    </font>
    <font>
      <b/>
      <sz val="11"/>
      <color rgb="FF1565C0"/>
      <name val="Arial"/>
    </font>
    <font>
      <sz val="9"/>
      <color rgb="FFE65100"/>
      <name val="Arial"/>
    </font>
    <font>
      <b/>
      <sz val="11"/>
      <color rgb="FFE65100"/>
      <name val="Arial"/>
    </font>
    <font>
      <sz val="9"/>
      <color rgb="FFB71C1C"/>
      <name val="Arial"/>
    </font>
    <font>
      <sz val="8"/>
      <color rgb="FF333333"/>
      <name val="Arial"/>
    </font>
    <font>
      <b/>
      <sz val="36"/>
      <color rgb="FFFFFFFF"/>
      <name val="Arial"/>
    </font>
    <font>
      <sz val="8"/>
      <color rgb="FFC0392B"/>
      <name val="Arial"/>
    </font>
    <font>
      <sz val="8"/>
      <color rgb="FF7B5E00"/>
      <name val="Arial"/>
    </font>
    <font>
      <sz val="8"/>
      <color rgb="FF1B5E20"/>
      <name val="Arial"/>
    </font>
    <font>
      <b/>
      <sz val="9"/>
      <color rgb="FF7B5E00"/>
      <name val="Arial"/>
    </font>
    <font>
      <i/>
      <sz val="8"/>
      <color rgb="FF1565C0"/>
      <name val="Arial"/>
    </font>
    <font>
      <b/>
      <sz val="8"/>
      <color rgb="FFFFFFFF"/>
      <name val="Arial"/>
    </font>
    <font>
      <i/>
      <sz val="8"/>
      <color rgb="FFB71C1C"/>
      <name val="Arial"/>
    </font>
    <font>
      <b/>
      <sz val="9"/>
      <color rgb="FFFFFFFF"/>
      <name val="Arial"/>
    </font>
    <font>
      <b/>
      <sz val="9"/>
      <color rgb="FFB71C1C"/>
      <name val="Arial"/>
    </font>
    <font>
      <sz val="8"/>
      <color rgb="FFB71C1C"/>
      <name val="Arial"/>
    </font>
    <font>
      <b/>
      <sz val="8"/>
      <color rgb="FF7B0A2A"/>
      <name val="Arial"/>
    </font>
    <font>
      <sz val="8"/>
      <color rgb="FF333333"/>
      <name val="Arial"/>
    </font>
    <font>
      <i/>
      <sz val="8"/>
      <color rgb="FF444444"/>
      <name val="Arial"/>
    </font>
    <font>
      <b/>
      <sz val="9"/>
      <color rgb="FF1B5E20"/>
      <name val="Arial"/>
    </font>
  </fonts>
  <fills count="34">
    <fill>
      <patternFill patternType="none"/>
    </fill>
    <fill>
      <patternFill patternType="gray125"/>
    </fill>
    <fill>
      <patternFill patternType="solid">
        <fgColor rgb="FF5D4037"/>
      </patternFill>
    </fill>
    <fill>
      <patternFill patternType="solid">
        <fgColor rgb="FF2C3E50"/>
      </patternFill>
    </fill>
    <fill>
      <patternFill patternType="solid">
        <fgColor rgb="FFFFF9C4"/>
      </patternFill>
    </fill>
    <fill>
      <patternFill patternType="solid">
        <fgColor rgb="FF1B5E20"/>
      </patternFill>
    </fill>
    <fill>
      <patternFill patternType="solid">
        <fgColor rgb="FFE8F5E9"/>
      </patternFill>
    </fill>
    <fill>
      <patternFill patternType="solid">
        <fgColor rgb="FF1565C0"/>
      </patternFill>
    </fill>
    <fill>
      <patternFill patternType="solid">
        <fgColor rgb="FFEEF4FF"/>
      </patternFill>
    </fill>
    <fill>
      <patternFill patternType="solid">
        <fgColor rgb="FFE65100"/>
      </patternFill>
    </fill>
    <fill>
      <patternFill patternType="solid">
        <fgColor rgb="FFFFF3E0"/>
      </patternFill>
    </fill>
    <fill>
      <patternFill patternType="solid">
        <fgColor rgb="FFB71C1C"/>
      </patternFill>
    </fill>
    <fill>
      <patternFill patternType="solid">
        <fgColor rgb="FFFFEBEE"/>
      </patternFill>
    </fill>
    <fill>
      <patternFill patternType="solid">
        <fgColor rgb="FFEBEBEB"/>
      </patternFill>
    </fill>
    <fill>
      <patternFill patternType="solid">
        <fgColor rgb="FFC0392B"/>
      </patternFill>
    </fill>
    <fill>
      <patternFill patternType="solid">
        <fgColor rgb="FFFCE4D6"/>
      </patternFill>
    </fill>
    <fill>
      <patternFill patternType="solid">
        <fgColor rgb="FFFFFF00"/>
      </patternFill>
    </fill>
    <fill>
      <patternFill patternType="solid">
        <fgColor rgb="FFFFFFFF"/>
      </patternFill>
    </fill>
    <fill>
      <patternFill patternType="solid">
        <fgColor rgb="FFC6EFCE"/>
      </patternFill>
    </fill>
    <fill>
      <patternFill patternType="solid">
        <fgColor rgb="FF7D3C98"/>
      </patternFill>
    </fill>
    <fill>
      <patternFill patternType="solid">
        <fgColor rgb="FFFFF5F5"/>
      </patternFill>
    </fill>
    <fill>
      <patternFill patternType="solid">
        <fgColor rgb="FFF7F7F7"/>
      </patternFill>
    </fill>
    <fill>
      <patternFill patternType="solid">
        <fgColor rgb="FFEBF5EB"/>
      </patternFill>
    </fill>
    <fill>
      <patternFill patternType="solid">
        <fgColor rgb="FFE3F2FD"/>
      </patternFill>
    </fill>
    <fill>
      <patternFill patternType="solid">
        <fgColor rgb="FFFFD0D0"/>
      </patternFill>
    </fill>
    <fill>
      <patternFill patternType="solid">
        <fgColor rgb="FF7B0A2A"/>
      </patternFill>
    </fill>
    <fill>
      <patternFill patternType="solid">
        <fgColor rgb="FF5D4037"/>
      </patternFill>
    </fill>
    <fill>
      <patternFill patternType="solid">
        <fgColor rgb="FFFCE4D6"/>
      </patternFill>
    </fill>
    <fill>
      <patternFill patternType="solid">
        <fgColor rgb="FFFFFF00"/>
      </patternFill>
    </fill>
    <fill>
      <patternFill patternType="solid">
        <fgColor rgb="FFFFF3E0"/>
      </patternFill>
    </fill>
    <fill>
      <patternFill patternType="solid">
        <fgColor rgb="FFFFF5F5"/>
      </patternFill>
    </fill>
    <fill>
      <patternFill patternType="solid">
        <fgColor rgb="FFC6EFCE"/>
      </patternFill>
    </fill>
    <fill>
      <patternFill patternType="solid">
        <fgColor rgb="FFEBF5EB"/>
      </patternFill>
    </fill>
    <fill>
      <patternFill patternType="solid">
        <fgColor rgb="FFC6EFCE"/>
        <bgColor indexed="64"/>
      </patternFill>
    </fill>
  </fills>
  <borders count="17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009900"/>
      </left>
      <right style="thin">
        <color rgb="FF009900"/>
      </right>
      <top style="thin">
        <color rgb="FF009900"/>
      </top>
      <bottom style="thin">
        <color rgb="FF009900"/>
      </bottom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  <border>
      <left/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/>
      <top style="thin">
        <color rgb="FFBBBBBB"/>
      </top>
      <bottom style="thin">
        <color rgb="FFBBBBBB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888888"/>
      </top>
      <bottom style="thin">
        <color rgb="FF888888"/>
      </bottom>
      <diagonal/>
    </border>
    <border>
      <left/>
      <right style="thin">
        <color rgb="FF888888"/>
      </right>
      <top style="thin">
        <color rgb="FF888888"/>
      </top>
      <bottom style="thin">
        <color rgb="FF888888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/>
      <top style="thin">
        <color rgb="FFBBBBBB"/>
      </top>
      <bottom style="thin">
        <color rgb="FF999999"/>
      </bottom>
      <diagonal/>
    </border>
    <border>
      <left/>
      <right style="thin">
        <color rgb="FF009900"/>
      </right>
      <top style="thin">
        <color rgb="FFBBBBBB"/>
      </top>
      <bottom style="thin">
        <color rgb="FF999999"/>
      </bottom>
      <diagonal/>
    </border>
    <border>
      <left style="thin">
        <color rgb="FFBBBBBB"/>
      </left>
      <right/>
      <top style="thin">
        <color rgb="FF999999"/>
      </top>
      <bottom style="thin">
        <color rgb="FF999999"/>
      </bottom>
      <diagonal/>
    </border>
    <border>
      <left/>
      <right style="thin">
        <color rgb="FF009900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97">
    <xf numFmtId="0" fontId="0" fillId="0" borderId="0" xfId="0"/>
    <xf numFmtId="0" fontId="3" fillId="5" borderId="1" xfId="0" applyFont="1" applyFill="1" applyBorder="1" applyAlignment="1">
      <alignment horizontal="center" vertical="center"/>
    </xf>
    <xf numFmtId="0" fontId="0" fillId="6" borderId="1" xfId="0" applyFill="1" applyBorder="1"/>
    <xf numFmtId="0" fontId="3" fillId="7" borderId="1" xfId="0" applyFont="1" applyFill="1" applyBorder="1" applyAlignment="1">
      <alignment horizontal="center" vertical="center"/>
    </xf>
    <xf numFmtId="0" fontId="0" fillId="8" borderId="1" xfId="0" applyFill="1" applyBorder="1"/>
    <xf numFmtId="0" fontId="3" fillId="9" borderId="1" xfId="0" applyFont="1" applyFill="1" applyBorder="1" applyAlignment="1">
      <alignment horizontal="center" vertical="center"/>
    </xf>
    <xf numFmtId="0" fontId="0" fillId="10" borderId="1" xfId="0" applyFill="1" applyBorder="1"/>
    <xf numFmtId="0" fontId="3" fillId="11" borderId="1" xfId="0" applyFont="1" applyFill="1" applyBorder="1" applyAlignment="1">
      <alignment horizontal="center" vertical="center"/>
    </xf>
    <xf numFmtId="0" fontId="0" fillId="12" borderId="1" xfId="0" applyFill="1" applyBorder="1"/>
    <xf numFmtId="0" fontId="0" fillId="13" borderId="1" xfId="0" applyFill="1" applyBorder="1"/>
    <xf numFmtId="0" fontId="1" fillId="7" borderId="2" xfId="0" applyFont="1" applyFill="1" applyBorder="1" applyAlignment="1">
      <alignment horizontal="center" vertical="center"/>
    </xf>
    <xf numFmtId="0" fontId="9" fillId="16" borderId="1" xfId="0" applyFont="1" applyFill="1" applyBorder="1" applyAlignment="1">
      <alignment horizontal="center" vertical="center"/>
    </xf>
    <xf numFmtId="0" fontId="0" fillId="17" borderId="1" xfId="0" applyFill="1" applyBorder="1"/>
    <xf numFmtId="0" fontId="0" fillId="18" borderId="1" xfId="0" applyFill="1" applyBorder="1"/>
    <xf numFmtId="0" fontId="13" fillId="18" borderId="1" xfId="0" applyFont="1" applyFill="1" applyBorder="1" applyAlignment="1">
      <alignment horizontal="center" vertical="center"/>
    </xf>
    <xf numFmtId="0" fontId="14" fillId="8" borderId="1" xfId="0" applyFont="1" applyFill="1" applyBorder="1" applyAlignment="1">
      <alignment horizontal="left" vertical="center" wrapText="1"/>
    </xf>
    <xf numFmtId="0" fontId="14" fillId="17" borderId="1" xfId="0" applyFont="1" applyFill="1" applyBorder="1" applyAlignment="1">
      <alignment horizontal="left" vertical="center" wrapText="1"/>
    </xf>
    <xf numFmtId="0" fontId="0" fillId="16" borderId="1" xfId="0" applyFill="1" applyBorder="1" applyAlignment="1">
      <alignment horizontal="center" vertical="center"/>
    </xf>
    <xf numFmtId="0" fontId="18" fillId="18" borderId="3" xfId="0" applyFont="1" applyFill="1" applyBorder="1" applyAlignment="1">
      <alignment horizontal="center" vertical="center"/>
    </xf>
    <xf numFmtId="0" fontId="18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20" fillId="8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21" fillId="10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22" fillId="11" borderId="1" xfId="0" applyFont="1" applyFill="1" applyBorder="1" applyAlignment="1">
      <alignment horizontal="center" vertical="center"/>
    </xf>
    <xf numFmtId="0" fontId="24" fillId="18" borderId="3" xfId="0" applyFont="1" applyFill="1" applyBorder="1" applyAlignment="1">
      <alignment horizontal="center" vertical="center"/>
    </xf>
    <xf numFmtId="0" fontId="25" fillId="16" borderId="1" xfId="0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center" vertical="center"/>
    </xf>
    <xf numFmtId="0" fontId="18" fillId="18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0" fontId="30" fillId="18" borderId="1" xfId="0" applyFont="1" applyFill="1" applyBorder="1" applyAlignment="1">
      <alignment horizontal="center" vertical="center"/>
    </xf>
    <xf numFmtId="0" fontId="31" fillId="18" borderId="1" xfId="0" applyFont="1" applyFill="1" applyBorder="1" applyAlignment="1">
      <alignment horizontal="center" vertical="center"/>
    </xf>
    <xf numFmtId="0" fontId="32" fillId="18" borderId="1" xfId="0" applyFont="1" applyFill="1" applyBorder="1" applyAlignment="1">
      <alignment horizontal="center" vertical="center"/>
    </xf>
    <xf numFmtId="0" fontId="19" fillId="18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33" fillId="8" borderId="1" xfId="0" applyFont="1" applyFill="1" applyBorder="1" applyAlignment="1">
      <alignment horizontal="center" vertical="center"/>
    </xf>
    <xf numFmtId="0" fontId="31" fillId="8" borderId="1" xfId="0" applyFont="1" applyFill="1" applyBorder="1" applyAlignment="1">
      <alignment horizontal="center" vertical="center"/>
    </xf>
    <xf numFmtId="0" fontId="34" fillId="8" borderId="1" xfId="0" applyFont="1" applyFill="1" applyBorder="1" applyAlignment="1">
      <alignment horizontal="center" vertical="center"/>
    </xf>
    <xf numFmtId="0" fontId="19" fillId="8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35" fillId="10" borderId="1" xfId="0" applyFont="1" applyFill="1" applyBorder="1" applyAlignment="1">
      <alignment horizontal="center" vertical="center"/>
    </xf>
    <xf numFmtId="0" fontId="31" fillId="10" borderId="1" xfId="0" applyFont="1" applyFill="1" applyBorder="1" applyAlignment="1">
      <alignment horizontal="center" vertical="center"/>
    </xf>
    <xf numFmtId="0" fontId="36" fillId="10" borderId="1" xfId="0" applyFont="1" applyFill="1" applyBorder="1" applyAlignment="1">
      <alignment horizontal="center" vertical="center"/>
    </xf>
    <xf numFmtId="0" fontId="19" fillId="10" borderId="1" xfId="0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 wrapText="1"/>
    </xf>
    <xf numFmtId="0" fontId="37" fillId="12" borderId="1" xfId="0" applyFont="1" applyFill="1" applyBorder="1" applyAlignment="1">
      <alignment horizontal="center" vertical="center"/>
    </xf>
    <xf numFmtId="0" fontId="31" fillId="12" borderId="1" xfId="0" applyFont="1" applyFill="1" applyBorder="1" applyAlignment="1">
      <alignment horizontal="center" vertical="center"/>
    </xf>
    <xf numFmtId="0" fontId="27" fillId="11" borderId="1" xfId="0" applyFont="1" applyFill="1" applyBorder="1" applyAlignment="1">
      <alignment horizontal="center" vertical="center"/>
    </xf>
    <xf numFmtId="0" fontId="19" fillId="1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top"/>
    </xf>
    <xf numFmtId="0" fontId="38" fillId="20" borderId="1" xfId="0" applyFont="1" applyFill="1" applyBorder="1" applyAlignment="1">
      <alignment horizontal="left" vertical="top" wrapText="1"/>
    </xf>
    <xf numFmtId="0" fontId="0" fillId="16" borderId="1" xfId="0" applyFill="1" applyBorder="1" applyAlignment="1">
      <alignment horizontal="center" vertical="top"/>
    </xf>
    <xf numFmtId="0" fontId="11" fillId="8" borderId="1" xfId="0" applyFont="1" applyFill="1" applyBorder="1" applyAlignment="1">
      <alignment horizontal="left" vertical="top" wrapText="1"/>
    </xf>
    <xf numFmtId="0" fontId="38" fillId="8" borderId="1" xfId="0" applyFont="1" applyFill="1" applyBorder="1" applyAlignment="1">
      <alignment horizontal="left" vertical="top" wrapText="1"/>
    </xf>
    <xf numFmtId="0" fontId="11" fillId="17" borderId="1" xfId="0" applyFont="1" applyFill="1" applyBorder="1" applyAlignment="1">
      <alignment horizontal="left" vertical="top" wrapText="1"/>
    </xf>
    <xf numFmtId="0" fontId="31" fillId="8" borderId="1" xfId="0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horizontal="center" vertical="center" wrapText="1"/>
    </xf>
    <xf numFmtId="0" fontId="38" fillId="21" borderId="1" xfId="0" applyFont="1" applyFill="1" applyBorder="1" applyAlignment="1">
      <alignment horizontal="left" vertical="top" wrapText="1"/>
    </xf>
    <xf numFmtId="0" fontId="19" fillId="8" borderId="1" xfId="0" applyFont="1" applyFill="1" applyBorder="1" applyAlignment="1">
      <alignment horizontal="left" vertical="top" wrapText="1"/>
    </xf>
    <xf numFmtId="0" fontId="19" fillId="17" borderId="1" xfId="0" applyFont="1" applyFill="1" applyBorder="1" applyAlignment="1">
      <alignment horizontal="left" vertical="top" wrapText="1"/>
    </xf>
    <xf numFmtId="0" fontId="11" fillId="18" borderId="1" xfId="0" applyFont="1" applyFill="1" applyBorder="1" applyAlignment="1">
      <alignment horizontal="center" vertical="top"/>
    </xf>
    <xf numFmtId="0" fontId="11" fillId="18" borderId="1" xfId="0" applyFont="1" applyFill="1" applyBorder="1" applyAlignment="1">
      <alignment horizontal="left" vertical="top" wrapText="1"/>
    </xf>
    <xf numFmtId="0" fontId="38" fillId="22" borderId="1" xfId="0" applyFont="1" applyFill="1" applyBorder="1" applyAlignment="1">
      <alignment horizontal="left" vertical="top" wrapText="1"/>
    </xf>
    <xf numFmtId="0" fontId="19" fillId="18" borderId="1" xfId="0" applyFont="1" applyFill="1" applyBorder="1" applyAlignment="1">
      <alignment horizontal="left" vertical="top" wrapText="1"/>
    </xf>
    <xf numFmtId="0" fontId="0" fillId="23" borderId="1" xfId="0" applyFill="1" applyBorder="1"/>
    <xf numFmtId="0" fontId="11" fillId="23" borderId="1" xfId="0" applyFont="1" applyFill="1" applyBorder="1" applyAlignment="1">
      <alignment horizontal="center" vertical="top"/>
    </xf>
    <xf numFmtId="0" fontId="11" fillId="23" borderId="1" xfId="0" applyFont="1" applyFill="1" applyBorder="1" applyAlignment="1">
      <alignment horizontal="left" vertical="top" wrapText="1"/>
    </xf>
    <xf numFmtId="0" fontId="19" fillId="23" borderId="1" xfId="0" applyFont="1" applyFill="1" applyBorder="1" applyAlignment="1">
      <alignment horizontal="left" vertical="top" wrapText="1"/>
    </xf>
    <xf numFmtId="0" fontId="1" fillId="11" borderId="2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top"/>
    </xf>
    <xf numFmtId="0" fontId="8" fillId="12" borderId="1" xfId="0" applyFont="1" applyFill="1" applyBorder="1" applyAlignment="1">
      <alignment horizontal="left" vertical="top" wrapText="1"/>
    </xf>
    <xf numFmtId="0" fontId="38" fillId="24" borderId="1" xfId="0" applyFont="1" applyFill="1" applyBorder="1" applyAlignment="1">
      <alignment horizontal="left" vertical="top" wrapText="1"/>
    </xf>
    <xf numFmtId="0" fontId="44" fillId="12" borderId="1" xfId="0" applyFont="1" applyFill="1" applyBorder="1" applyAlignment="1">
      <alignment horizontal="center" vertical="top"/>
    </xf>
    <xf numFmtId="0" fontId="5" fillId="23" borderId="1" xfId="0" applyFont="1" applyFill="1" applyBorder="1" applyAlignment="1">
      <alignment horizontal="center" vertical="top"/>
    </xf>
    <xf numFmtId="0" fontId="5" fillId="23" borderId="1" xfId="0" applyFont="1" applyFill="1" applyBorder="1" applyAlignment="1">
      <alignment horizontal="left" vertical="top" wrapText="1"/>
    </xf>
    <xf numFmtId="0" fontId="44" fillId="23" borderId="1" xfId="0" applyFont="1" applyFill="1" applyBorder="1" applyAlignment="1">
      <alignment horizontal="center" vertical="top"/>
    </xf>
    <xf numFmtId="0" fontId="11" fillId="8" borderId="1" xfId="0" applyFont="1" applyFill="1" applyBorder="1" applyAlignment="1">
      <alignment horizontal="left" vertical="center" wrapText="1"/>
    </xf>
    <xf numFmtId="0" fontId="12" fillId="8" borderId="1" xfId="0" applyFont="1" applyFill="1" applyBorder="1" applyAlignment="1">
      <alignment horizontal="left" vertical="center" wrapText="1"/>
    </xf>
    <xf numFmtId="0" fontId="11" fillId="17" borderId="1" xfId="0" applyFont="1" applyFill="1" applyBorder="1" applyAlignment="1">
      <alignment horizontal="left" vertical="center" wrapText="1"/>
    </xf>
    <xf numFmtId="0" fontId="10" fillId="16" borderId="1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vertical="center"/>
    </xf>
    <xf numFmtId="0" fontId="3" fillId="14" borderId="2" xfId="0" applyFont="1" applyFill="1" applyBorder="1" applyAlignment="1">
      <alignment horizontal="left" vertical="center"/>
    </xf>
    <xf numFmtId="0" fontId="8" fillId="15" borderId="2" xfId="0" applyFont="1" applyFill="1" applyBorder="1" applyAlignment="1">
      <alignment horizontal="left" vertical="center" wrapText="1"/>
    </xf>
    <xf numFmtId="0" fontId="29" fillId="18" borderId="1" xfId="0" applyFont="1" applyFill="1" applyBorder="1" applyAlignment="1">
      <alignment horizontal="left" vertical="center" wrapText="1"/>
    </xf>
    <xf numFmtId="0" fontId="10" fillId="18" borderId="1" xfId="0" applyFont="1" applyFill="1" applyBorder="1" applyAlignment="1">
      <alignment horizontal="left" vertical="center" wrapText="1"/>
    </xf>
    <xf numFmtId="0" fontId="11" fillId="18" borderId="1" xfId="0" applyFont="1" applyFill="1" applyBorder="1" applyAlignment="1">
      <alignment horizontal="left" vertical="center"/>
    </xf>
    <xf numFmtId="0" fontId="26" fillId="17" borderId="1" xfId="0" applyFont="1" applyFill="1" applyBorder="1" applyAlignment="1">
      <alignment horizontal="left" vertical="center" wrapText="1"/>
    </xf>
    <xf numFmtId="0" fontId="14" fillId="18" borderId="1" xfId="0" applyFont="1" applyFill="1" applyBorder="1" applyAlignment="1">
      <alignment horizontal="left" vertical="center" wrapText="1"/>
    </xf>
    <xf numFmtId="0" fontId="16" fillId="18" borderId="1" xfId="0" applyFont="1" applyFill="1" applyBorder="1" applyAlignment="1">
      <alignment horizontal="left" vertical="center" wrapText="1"/>
    </xf>
    <xf numFmtId="0" fontId="23" fillId="8" borderId="1" xfId="0" applyFont="1" applyFill="1" applyBorder="1" applyAlignment="1">
      <alignment horizontal="left" vertical="center" wrapText="1"/>
    </xf>
    <xf numFmtId="0" fontId="17" fillId="8" borderId="2" xfId="0" applyFont="1" applyFill="1" applyBorder="1" applyAlignment="1">
      <alignment horizontal="left" vertical="center" wrapText="1"/>
    </xf>
    <xf numFmtId="0" fontId="4" fillId="18" borderId="1" xfId="0" applyFont="1" applyFill="1" applyBorder="1" applyAlignment="1">
      <alignment horizontal="left" vertical="center" wrapText="1"/>
    </xf>
    <xf numFmtId="0" fontId="11" fillId="16" borderId="1" xfId="0" applyFont="1" applyFill="1" applyBorder="1" applyAlignment="1">
      <alignment horizontal="left" vertical="center"/>
    </xf>
    <xf numFmtId="0" fontId="12" fillId="18" borderId="1" xfId="0" applyFont="1" applyFill="1" applyBorder="1" applyAlignment="1">
      <alignment horizontal="left" vertical="center" wrapText="1"/>
    </xf>
    <xf numFmtId="0" fontId="15" fillId="15" borderId="1" xfId="0" applyFont="1" applyFill="1" applyBorder="1" applyAlignment="1">
      <alignment horizontal="left" vertical="center" wrapText="1"/>
    </xf>
    <xf numFmtId="0" fontId="43" fillId="4" borderId="2" xfId="0" applyFont="1" applyFill="1" applyBorder="1" applyAlignment="1">
      <alignment horizontal="left" vertical="center" wrapText="1"/>
    </xf>
    <xf numFmtId="0" fontId="0" fillId="0" borderId="6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47" fillId="26" borderId="11" xfId="0" applyFont="1" applyFill="1" applyBorder="1" applyAlignment="1">
      <alignment horizontal="center" vertical="top"/>
    </xf>
    <xf numFmtId="0" fontId="48" fillId="27" borderId="11" xfId="0" applyFont="1" applyFill="1" applyBorder="1" applyAlignment="1">
      <alignment horizontal="left" vertical="top" wrapText="1"/>
    </xf>
    <xf numFmtId="0" fontId="0" fillId="28" borderId="11" xfId="0" applyFill="1" applyBorder="1" applyAlignment="1">
      <alignment horizontal="center" vertical="top"/>
    </xf>
    <xf numFmtId="0" fontId="0" fillId="27" borderId="11" xfId="0" applyFill="1" applyBorder="1"/>
    <xf numFmtId="0" fontId="47" fillId="25" borderId="11" xfId="0" applyFont="1" applyFill="1" applyBorder="1" applyAlignment="1">
      <alignment horizontal="center" vertical="top"/>
    </xf>
    <xf numFmtId="0" fontId="51" fillId="30" borderId="11" xfId="0" applyFont="1" applyFill="1" applyBorder="1" applyAlignment="1">
      <alignment horizontal="left" vertical="top" wrapText="1"/>
    </xf>
    <xf numFmtId="0" fontId="52" fillId="27" borderId="11" xfId="0" applyFont="1" applyFill="1" applyBorder="1" applyAlignment="1">
      <alignment horizontal="left" vertical="top" wrapText="1"/>
    </xf>
    <xf numFmtId="0" fontId="1" fillId="7" borderId="2" xfId="0" applyFont="1" applyFill="1" applyBorder="1" applyAlignment="1">
      <alignment horizontal="center" vertical="center"/>
    </xf>
    <xf numFmtId="0" fontId="7" fillId="12" borderId="1" xfId="0" applyFont="1" applyFill="1" applyBorder="1" applyAlignment="1">
      <alignment horizontal="left" vertical="center" wrapText="1"/>
    </xf>
    <xf numFmtId="0" fontId="0" fillId="0" borderId="6" xfId="0" applyBorder="1"/>
    <xf numFmtId="0" fontId="0" fillId="0" borderId="5" xfId="0" applyBorder="1"/>
    <xf numFmtId="0" fontId="11" fillId="17" borderId="1" xfId="0" applyFont="1" applyFill="1" applyBorder="1" applyAlignment="1">
      <alignment horizontal="left" vertical="center" wrapText="1"/>
    </xf>
    <xf numFmtId="0" fontId="10" fillId="15" borderId="1" xfId="0" applyFont="1" applyFill="1" applyBorder="1" applyAlignment="1">
      <alignment horizontal="left" vertical="center" wrapText="1"/>
    </xf>
    <xf numFmtId="0" fontId="11" fillId="8" borderId="1" xfId="0" applyFont="1" applyFill="1" applyBorder="1" applyAlignment="1">
      <alignment horizontal="left" vertical="center" wrapText="1"/>
    </xf>
    <xf numFmtId="0" fontId="14" fillId="17" borderId="1" xfId="0" applyFont="1" applyFill="1" applyBorder="1" applyAlignment="1">
      <alignment horizontal="left" vertical="center" wrapText="1"/>
    </xf>
    <xf numFmtId="0" fontId="26" fillId="17" borderId="1" xfId="0" applyFont="1" applyFill="1" applyBorder="1" applyAlignment="1">
      <alignment horizontal="left" vertical="center" wrapText="1"/>
    </xf>
    <xf numFmtId="0" fontId="19" fillId="12" borderId="1" xfId="0" applyFont="1" applyFill="1" applyBorder="1" applyAlignment="1">
      <alignment horizontal="left" vertical="center" wrapText="1"/>
    </xf>
    <xf numFmtId="0" fontId="7" fillId="12" borderId="1" xfId="0" applyFont="1" applyFill="1" applyBorder="1" applyAlignment="1">
      <alignment horizontal="center" vertical="center"/>
    </xf>
    <xf numFmtId="0" fontId="0" fillId="12" borderId="1" xfId="0" applyFill="1" applyBorder="1"/>
    <xf numFmtId="0" fontId="4" fillId="18" borderId="1" xfId="0" applyFont="1" applyFill="1" applyBorder="1" applyAlignment="1">
      <alignment horizontal="left" vertical="center" wrapText="1"/>
    </xf>
    <xf numFmtId="0" fontId="14" fillId="18" borderId="1" xfId="0" applyFont="1" applyFill="1" applyBorder="1" applyAlignment="1">
      <alignment horizontal="left" vertical="center" wrapText="1"/>
    </xf>
    <xf numFmtId="0" fontId="12" fillId="18" borderId="1" xfId="0" applyFont="1" applyFill="1" applyBorder="1" applyAlignment="1">
      <alignment horizontal="left" vertical="center" wrapText="1"/>
    </xf>
    <xf numFmtId="0" fontId="0" fillId="13" borderId="1" xfId="0" applyFill="1" applyBorder="1"/>
    <xf numFmtId="0" fontId="14" fillId="8" borderId="1" xfId="0" applyFont="1" applyFill="1" applyBorder="1" applyAlignment="1">
      <alignment horizontal="left" vertical="center" wrapText="1"/>
    </xf>
    <xf numFmtId="0" fontId="8" fillId="15" borderId="1" xfId="0" applyFont="1" applyFill="1" applyBorder="1" applyAlignment="1">
      <alignment horizontal="left" vertical="center" wrapText="1"/>
    </xf>
    <xf numFmtId="0" fontId="0" fillId="16" borderId="1" xfId="0" applyFill="1" applyBorder="1"/>
    <xf numFmtId="0" fontId="0" fillId="17" borderId="1" xfId="0" applyFill="1" applyBorder="1"/>
    <xf numFmtId="0" fontId="6" fillId="10" borderId="1" xfId="0" applyFont="1" applyFill="1" applyBorder="1" applyAlignment="1">
      <alignment horizontal="left" vertical="center" wrapText="1"/>
    </xf>
    <xf numFmtId="0" fontId="12" fillId="8" borderId="1" xfId="0" applyFont="1" applyFill="1" applyBorder="1" applyAlignment="1">
      <alignment horizontal="left" vertical="center" wrapText="1"/>
    </xf>
    <xf numFmtId="0" fontId="8" fillId="8" borderId="1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left" vertical="center" wrapText="1"/>
    </xf>
    <xf numFmtId="0" fontId="0" fillId="0" borderId="7" xfId="0" applyBorder="1"/>
    <xf numFmtId="0" fontId="0" fillId="0" borderId="8" xfId="0" applyBorder="1"/>
    <xf numFmtId="0" fontId="0" fillId="0" borderId="0" xfId="0"/>
    <xf numFmtId="0" fontId="45" fillId="25" borderId="11" xfId="0" applyFont="1" applyFill="1" applyBorder="1" applyAlignment="1">
      <alignment horizontal="left" vertical="center" wrapText="1"/>
    </xf>
    <xf numFmtId="0" fontId="0" fillId="25" borderId="11" xfId="0" applyFill="1" applyBorder="1"/>
    <xf numFmtId="0" fontId="16" fillId="17" borderId="1" xfId="0" applyFont="1" applyFill="1" applyBorder="1" applyAlignment="1">
      <alignment horizontal="left" vertical="center" wrapText="1"/>
    </xf>
    <xf numFmtId="0" fontId="12" fillId="17" borderId="1" xfId="0" applyFont="1" applyFill="1" applyBorder="1" applyAlignment="1">
      <alignment horizontal="left" vertical="center" wrapText="1"/>
    </xf>
    <xf numFmtId="0" fontId="16" fillId="8" borderId="1" xfId="0" applyFont="1" applyFill="1" applyBorder="1" applyAlignment="1">
      <alignment horizontal="left" vertical="center" wrapText="1"/>
    </xf>
    <xf numFmtId="0" fontId="26" fillId="8" borderId="1" xfId="0" applyFont="1" applyFill="1" applyBorder="1" applyAlignment="1">
      <alignment horizontal="left" vertical="center" wrapText="1"/>
    </xf>
    <xf numFmtId="0" fontId="19" fillId="8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27" fillId="2" borderId="2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19" fillId="6" borderId="1" xfId="0" applyFont="1" applyFill="1" applyBorder="1" applyAlignment="1">
      <alignment horizontal="left" vertical="center" wrapText="1"/>
    </xf>
    <xf numFmtId="0" fontId="0" fillId="16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 wrapText="1"/>
    </xf>
    <xf numFmtId="0" fontId="46" fillId="15" borderId="1" xfId="0" applyFont="1" applyFill="1" applyBorder="1" applyAlignment="1">
      <alignment horizontal="left" vertical="center" wrapText="1"/>
    </xf>
    <xf numFmtId="0" fontId="19" fillId="10" borderId="1" xfId="0" applyFont="1" applyFill="1" applyBorder="1" applyAlignment="1">
      <alignment horizontal="left" vertical="center" wrapText="1"/>
    </xf>
    <xf numFmtId="0" fontId="3" fillId="19" borderId="2" xfId="0" applyFont="1" applyFill="1" applyBorder="1" applyAlignment="1">
      <alignment horizontal="left" vertical="center"/>
    </xf>
    <xf numFmtId="0" fontId="8" fillId="15" borderId="1" xfId="0" applyFont="1" applyFill="1" applyBorder="1" applyAlignment="1">
      <alignment horizontal="left" vertical="top" wrapText="1"/>
    </xf>
    <xf numFmtId="0" fontId="0" fillId="18" borderId="1" xfId="0" applyFill="1" applyBorder="1"/>
    <xf numFmtId="0" fontId="38" fillId="8" borderId="1" xfId="0" applyFont="1" applyFill="1" applyBorder="1" applyAlignment="1">
      <alignment horizontal="left" vertical="top" wrapText="1"/>
    </xf>
    <xf numFmtId="0" fontId="3" fillId="5" borderId="2" xfId="0" applyFont="1" applyFill="1" applyBorder="1" applyAlignment="1">
      <alignment horizontal="left" vertical="center"/>
    </xf>
    <xf numFmtId="0" fontId="11" fillId="8" borderId="1" xfId="0" applyFont="1" applyFill="1" applyBorder="1" applyAlignment="1">
      <alignment horizontal="left" vertical="center"/>
    </xf>
    <xf numFmtId="0" fontId="46" fillId="15" borderId="1" xfId="0" applyFont="1" applyFill="1" applyBorder="1" applyAlignment="1">
      <alignment horizontal="left" vertical="top" wrapText="1"/>
    </xf>
    <xf numFmtId="0" fontId="38" fillId="20" borderId="1" xfId="0" applyFont="1" applyFill="1" applyBorder="1" applyAlignment="1">
      <alignment horizontal="left" vertical="top" wrapText="1"/>
    </xf>
    <xf numFmtId="0" fontId="11" fillId="17" borderId="1" xfId="0" applyFont="1" applyFill="1" applyBorder="1" applyAlignment="1">
      <alignment horizontal="left" vertical="center"/>
    </xf>
    <xf numFmtId="0" fontId="0" fillId="10" borderId="1" xfId="0" applyFill="1" applyBorder="1"/>
    <xf numFmtId="0" fontId="0" fillId="8" borderId="1" xfId="0" applyFill="1" applyBorder="1"/>
    <xf numFmtId="0" fontId="11" fillId="18" borderId="1" xfId="0" applyFont="1" applyFill="1" applyBorder="1" applyAlignment="1">
      <alignment horizontal="left" vertical="center"/>
    </xf>
    <xf numFmtId="0" fontId="22" fillId="2" borderId="2" xfId="0" applyFont="1" applyFill="1" applyBorder="1" applyAlignment="1">
      <alignment horizontal="left" vertical="center"/>
    </xf>
    <xf numFmtId="0" fontId="11" fillId="17" borderId="1" xfId="0" applyFont="1" applyFill="1" applyBorder="1" applyAlignment="1">
      <alignment horizontal="left" vertical="top" wrapText="1"/>
    </xf>
    <xf numFmtId="0" fontId="49" fillId="0" borderId="11" xfId="0" applyFont="1" applyBorder="1" applyAlignment="1">
      <alignment horizontal="left" vertical="top" wrapText="1"/>
    </xf>
    <xf numFmtId="0" fontId="11" fillId="8" borderId="1" xfId="0" applyFont="1" applyFill="1" applyBorder="1" applyAlignment="1">
      <alignment horizontal="left" vertical="top" wrapText="1"/>
    </xf>
    <xf numFmtId="0" fontId="38" fillId="17" borderId="1" xfId="0" applyFont="1" applyFill="1" applyBorder="1" applyAlignment="1">
      <alignment horizontal="left" vertical="top" wrapText="1"/>
    </xf>
    <xf numFmtId="0" fontId="39" fillId="2" borderId="2" xfId="0" applyFont="1" applyFill="1" applyBorder="1" applyAlignment="1">
      <alignment horizontal="left" vertical="center"/>
    </xf>
    <xf numFmtId="0" fontId="50" fillId="29" borderId="11" xfId="0" applyFont="1" applyFill="1" applyBorder="1" applyAlignment="1">
      <alignment horizontal="left" vertical="center" wrapText="1"/>
    </xf>
    <xf numFmtId="0" fontId="0" fillId="29" borderId="11" xfId="0" applyFill="1" applyBorder="1"/>
    <xf numFmtId="0" fontId="40" fillId="15" borderId="1" xfId="0" applyFont="1" applyFill="1" applyBorder="1" applyAlignment="1">
      <alignment horizontal="left" vertical="center" wrapText="1"/>
    </xf>
    <xf numFmtId="0" fontId="42" fillId="18" borderId="1" xfId="0" applyFont="1" applyFill="1" applyBorder="1" applyAlignment="1">
      <alignment horizontal="left" vertical="center" wrapText="1"/>
    </xf>
    <xf numFmtId="0" fontId="41" fillId="4" borderId="1" xfId="0" applyFont="1" applyFill="1" applyBorder="1" applyAlignment="1">
      <alignment horizontal="left" vertical="center" wrapText="1"/>
    </xf>
    <xf numFmtId="0" fontId="43" fillId="4" borderId="2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left" vertical="center"/>
    </xf>
    <xf numFmtId="0" fontId="3" fillId="3" borderId="4" xfId="0" applyFont="1" applyFill="1" applyBorder="1" applyAlignment="1">
      <alignment horizontal="left" vertical="center"/>
    </xf>
    <xf numFmtId="0" fontId="0" fillId="0" borderId="9" xfId="0" applyBorder="1"/>
    <xf numFmtId="0" fontId="0" fillId="0" borderId="10" xfId="0" applyBorder="1"/>
    <xf numFmtId="0" fontId="3" fillId="2" borderId="4" xfId="0" applyFont="1" applyFill="1" applyBorder="1" applyAlignment="1">
      <alignment horizontal="left" vertical="center"/>
    </xf>
    <xf numFmtId="0" fontId="3" fillId="11" borderId="4" xfId="0" applyFont="1" applyFill="1" applyBorder="1" applyAlignment="1">
      <alignment horizontal="left" vertical="center"/>
    </xf>
    <xf numFmtId="0" fontId="0" fillId="31" borderId="12" xfId="0" applyFill="1" applyBorder="1"/>
    <xf numFmtId="0" fontId="53" fillId="31" borderId="12" xfId="0" applyFont="1" applyFill="1" applyBorder="1" applyAlignment="1">
      <alignment horizontal="center" vertical="top"/>
    </xf>
    <xf numFmtId="0" fontId="48" fillId="31" borderId="12" xfId="0" applyFont="1" applyFill="1" applyBorder="1" applyAlignment="1">
      <alignment horizontal="left" vertical="top" wrapText="1"/>
    </xf>
    <xf numFmtId="0" fontId="49" fillId="32" borderId="12" xfId="0" applyFont="1" applyFill="1" applyBorder="1" applyAlignment="1">
      <alignment horizontal="left" vertical="top" wrapText="1"/>
    </xf>
    <xf numFmtId="0" fontId="52" fillId="31" borderId="12" xfId="0" applyFont="1" applyFill="1" applyBorder="1" applyAlignment="1">
      <alignment horizontal="left" vertical="top" wrapText="1"/>
    </xf>
    <xf numFmtId="0" fontId="3" fillId="5" borderId="4" xfId="0" applyFont="1" applyFill="1" applyBorder="1" applyAlignment="1">
      <alignment horizontal="left" vertical="center"/>
    </xf>
    <xf numFmtId="0" fontId="3" fillId="7" borderId="4" xfId="0" applyFont="1" applyFill="1" applyBorder="1" applyAlignment="1">
      <alignment horizontal="left" vertical="center"/>
    </xf>
    <xf numFmtId="0" fontId="4" fillId="18" borderId="13" xfId="0" applyFont="1" applyFill="1" applyBorder="1" applyAlignment="1">
      <alignment horizontal="left" vertical="center" wrapText="1"/>
    </xf>
    <xf numFmtId="0" fontId="4" fillId="18" borderId="14" xfId="0" applyFont="1" applyFill="1" applyBorder="1" applyAlignment="1">
      <alignment horizontal="left" vertical="center" wrapText="1"/>
    </xf>
    <xf numFmtId="0" fontId="13" fillId="18" borderId="15" xfId="0" applyFont="1" applyFill="1" applyBorder="1" applyAlignment="1">
      <alignment horizontal="left" vertical="center"/>
    </xf>
    <xf numFmtId="0" fontId="13" fillId="18" borderId="7" xfId="0" applyFont="1" applyFill="1" applyBorder="1" applyAlignment="1">
      <alignment horizontal="left" vertical="center"/>
    </xf>
    <xf numFmtId="0" fontId="13" fillId="18" borderId="16" xfId="0" applyFont="1" applyFill="1" applyBorder="1" applyAlignment="1">
      <alignment horizontal="left" vertical="center"/>
    </xf>
    <xf numFmtId="0" fontId="24" fillId="33" borderId="3" xfId="0" applyFont="1" applyFill="1" applyBorder="1" applyAlignment="1">
      <alignment horizontal="center" vertical="center"/>
    </xf>
    <xf numFmtId="0" fontId="28" fillId="33" borderId="3" xfId="0" applyFont="1" applyFill="1" applyBorder="1" applyAlignment="1">
      <alignment horizontal="center" vertical="center"/>
    </xf>
  </cellXfs>
  <cellStyles count="1">
    <cellStyle name="Normal" xfId="0" builtinId="0"/>
  </cellStyles>
  <dxfs count="8">
    <dxf>
      <font>
        <b/>
        <sz val="10"/>
        <color rgb="FFC0392B"/>
        <name val="Arial"/>
      </font>
      <fill>
        <patternFill patternType="solid">
          <fgColor rgb="FFFCE4D6"/>
          <bgColor rgb="FFFCE4D6"/>
        </patternFill>
      </fill>
    </dxf>
    <dxf>
      <font>
        <b/>
        <sz val="10"/>
        <color rgb="FF1B5E20"/>
        <name val="Arial"/>
      </font>
      <fill>
        <patternFill patternType="solid">
          <fgColor rgb="FFC6EFCE"/>
          <bgColor rgb="FFC6EFCE"/>
        </patternFill>
      </fill>
    </dxf>
    <dxf>
      <font>
        <b/>
        <sz val="10"/>
        <color rgb="FFC0392B"/>
        <name val="Arial"/>
      </font>
      <fill>
        <patternFill patternType="solid">
          <fgColor rgb="FFFCE4D6"/>
          <bgColor rgb="FFFCE4D6"/>
        </patternFill>
      </fill>
    </dxf>
    <dxf>
      <font>
        <b/>
        <sz val="10"/>
        <color rgb="FF1B5E20"/>
        <name val="Arial"/>
      </font>
      <fill>
        <patternFill patternType="solid">
          <fgColor rgb="FFC6EFCE"/>
          <bgColor rgb="FFC6EFCE"/>
        </patternFill>
      </fill>
    </dxf>
    <dxf>
      <font>
        <b/>
        <sz val="10"/>
        <color rgb="FFC0392B"/>
        <name val="Arial"/>
      </font>
      <fill>
        <patternFill patternType="solid">
          <fgColor rgb="FFFCE4D6"/>
          <bgColor rgb="FFFCE4D6"/>
        </patternFill>
      </fill>
    </dxf>
    <dxf>
      <font>
        <b/>
        <sz val="10"/>
        <color rgb="FF1B5E20"/>
        <name val="Arial"/>
      </font>
      <fill>
        <patternFill patternType="solid">
          <fgColor rgb="FFC6EFCE"/>
          <bgColor rgb="FFC6EFCE"/>
        </patternFill>
      </fill>
    </dxf>
    <dxf>
      <font>
        <b/>
        <sz val="10"/>
        <color rgb="FFC0392B"/>
        <name val="Arial"/>
      </font>
      <fill>
        <patternFill patternType="solid">
          <fgColor rgb="FFFCE4D6"/>
          <bgColor rgb="FFFCE4D6"/>
        </patternFill>
      </fill>
    </dxf>
    <dxf>
      <font>
        <b/>
        <sz val="10"/>
        <color rgb="FF1B5E20"/>
        <name val="Arial"/>
      </font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96CE42B-F76A-4E3B-91A7-FF2CA4045EA9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e3893681-3127-486c-9a9d-f8a87558c84f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0"/>
  <sheetViews>
    <sheetView tabSelected="1" topLeftCell="C10" workbookViewId="0">
      <selection activeCell="J12" sqref="J12"/>
    </sheetView>
  </sheetViews>
  <sheetFormatPr defaultRowHeight="14.4" x14ac:dyDescent="0.55000000000000004"/>
  <cols>
    <col min="1" max="1" width="3" customWidth="1"/>
    <col min="2" max="2" width="34" customWidth="1"/>
    <col min="3" max="3" width="18" customWidth="1"/>
    <col min="4" max="4" width="20" customWidth="1"/>
    <col min="5" max="5" width="16" customWidth="1"/>
    <col min="6" max="6" width="12" customWidth="1"/>
    <col min="7" max="7" width="24" customWidth="1"/>
  </cols>
  <sheetData>
    <row r="1" spans="1:7" ht="52" customHeight="1" x14ac:dyDescent="0.55000000000000004">
      <c r="A1" s="143" t="s">
        <v>0</v>
      </c>
      <c r="B1" s="111"/>
      <c r="C1" s="111"/>
      <c r="D1" s="111"/>
      <c r="E1" s="111"/>
      <c r="F1" s="111"/>
      <c r="G1" s="112"/>
    </row>
    <row r="2" spans="1:7" ht="22" customHeight="1" x14ac:dyDescent="0.55000000000000004">
      <c r="A2" s="150" t="s">
        <v>1</v>
      </c>
      <c r="B2" s="111"/>
      <c r="C2" s="111"/>
      <c r="D2" s="111"/>
      <c r="E2" s="111"/>
      <c r="F2" s="111"/>
      <c r="G2" s="112"/>
    </row>
    <row r="3" spans="1:7" ht="16" customHeight="1" x14ac:dyDescent="0.55000000000000004">
      <c r="A3" s="146" t="s">
        <v>2</v>
      </c>
      <c r="B3" s="111"/>
      <c r="C3" s="111"/>
      <c r="D3" s="111"/>
      <c r="E3" s="111"/>
      <c r="F3" s="111"/>
      <c r="G3" s="112"/>
    </row>
    <row r="4" spans="1:7" ht="24" customHeight="1" x14ac:dyDescent="0.55000000000000004">
      <c r="A4" s="1" t="s">
        <v>3</v>
      </c>
      <c r="B4" s="145" t="s">
        <v>4</v>
      </c>
      <c r="C4" s="111"/>
      <c r="D4" s="111"/>
      <c r="E4" s="111"/>
      <c r="F4" s="112"/>
      <c r="G4" s="2"/>
    </row>
    <row r="5" spans="1:7" ht="24" customHeight="1" x14ac:dyDescent="0.55000000000000004">
      <c r="A5" s="3" t="s">
        <v>5</v>
      </c>
      <c r="B5" s="132" t="s">
        <v>6</v>
      </c>
      <c r="C5" s="111"/>
      <c r="D5" s="111"/>
      <c r="E5" s="111"/>
      <c r="F5" s="112"/>
      <c r="G5" s="4"/>
    </row>
    <row r="6" spans="1:7" ht="24" customHeight="1" x14ac:dyDescent="0.55000000000000004">
      <c r="A6" s="5" t="s">
        <v>7</v>
      </c>
      <c r="B6" s="129" t="s">
        <v>8</v>
      </c>
      <c r="C6" s="111"/>
      <c r="D6" s="111"/>
      <c r="E6" s="111"/>
      <c r="F6" s="112"/>
      <c r="G6" s="6"/>
    </row>
    <row r="7" spans="1:7" ht="24" customHeight="1" x14ac:dyDescent="0.55000000000000004">
      <c r="A7" s="7" t="s">
        <v>9</v>
      </c>
      <c r="B7" s="110" t="s">
        <v>10</v>
      </c>
      <c r="C7" s="111"/>
      <c r="D7" s="111"/>
      <c r="E7" s="111"/>
      <c r="F7" s="112"/>
      <c r="G7" s="8"/>
    </row>
    <row r="8" spans="1:7" ht="44.05" customHeight="1" x14ac:dyDescent="0.55000000000000004">
      <c r="A8" s="136" t="s">
        <v>11</v>
      </c>
      <c r="B8" s="137"/>
      <c r="C8" s="137"/>
      <c r="D8" s="137"/>
      <c r="E8" s="137"/>
      <c r="F8" s="137"/>
      <c r="G8" s="137"/>
    </row>
    <row r="9" spans="1:7" ht="24" customHeight="1" x14ac:dyDescent="0.55000000000000004">
      <c r="A9" s="124"/>
      <c r="B9" s="124"/>
      <c r="C9" s="124"/>
      <c r="D9" s="124"/>
      <c r="E9" s="124"/>
      <c r="F9" s="124"/>
      <c r="G9" s="124"/>
    </row>
    <row r="10" spans="1:7" ht="18" customHeight="1" x14ac:dyDescent="0.55000000000000004">
      <c r="A10" s="83" t="s">
        <v>12</v>
      </c>
      <c r="B10" s="100"/>
      <c r="C10" s="100"/>
      <c r="D10" s="100"/>
      <c r="E10" s="100"/>
      <c r="F10" s="100"/>
      <c r="G10" s="101"/>
    </row>
    <row r="11" spans="1:7" ht="26.05" customHeight="1" x14ac:dyDescent="0.55000000000000004">
      <c r="A11" s="109"/>
      <c r="B11" s="109" t="s">
        <v>13</v>
      </c>
      <c r="C11" s="109"/>
      <c r="D11" s="109"/>
      <c r="E11" s="10" t="s">
        <v>14</v>
      </c>
      <c r="F11" s="109"/>
      <c r="G11" s="109" t="s">
        <v>15</v>
      </c>
    </row>
    <row r="12" spans="1:7" ht="26.05" customHeight="1" x14ac:dyDescent="0.55000000000000004">
      <c r="A12" s="126" t="s">
        <v>16</v>
      </c>
      <c r="B12" s="111"/>
      <c r="C12" s="111"/>
      <c r="D12" s="112"/>
      <c r="E12" s="11" t="s">
        <v>17</v>
      </c>
      <c r="F12" s="114" t="s">
        <v>18</v>
      </c>
      <c r="G12" s="112"/>
    </row>
    <row r="13" spans="1:7" ht="26.05" customHeight="1" x14ac:dyDescent="0.55000000000000004">
      <c r="A13" s="126" t="s">
        <v>19</v>
      </c>
      <c r="B13" s="111"/>
      <c r="C13" s="111"/>
      <c r="D13" s="112"/>
      <c r="E13" s="11" t="s">
        <v>20</v>
      </c>
      <c r="F13" s="114" t="s">
        <v>21</v>
      </c>
      <c r="G13" s="112"/>
    </row>
    <row r="14" spans="1:7" ht="54" customHeight="1" x14ac:dyDescent="0.55000000000000004">
      <c r="A14" s="126" t="s">
        <v>22</v>
      </c>
      <c r="B14" s="111"/>
      <c r="C14" s="111"/>
      <c r="D14" s="112"/>
      <c r="E14" s="11" t="s">
        <v>20</v>
      </c>
      <c r="F14" s="151" t="s">
        <v>23</v>
      </c>
      <c r="G14" s="112"/>
    </row>
    <row r="15" spans="1:7" ht="26.05" customHeight="1" x14ac:dyDescent="0.55000000000000004">
      <c r="A15" s="115" t="s">
        <v>24</v>
      </c>
      <c r="B15" s="111"/>
      <c r="C15" s="111"/>
      <c r="D15" s="112"/>
      <c r="E15" s="11" t="s">
        <v>20</v>
      </c>
      <c r="F15" s="130" t="s">
        <v>25</v>
      </c>
      <c r="G15" s="112"/>
    </row>
    <row r="16" spans="1:7" ht="26.05" customHeight="1" x14ac:dyDescent="0.55000000000000004">
      <c r="A16" s="126" t="s">
        <v>26</v>
      </c>
      <c r="B16" s="111"/>
      <c r="C16" s="111"/>
      <c r="D16" s="112"/>
      <c r="E16" s="11" t="s">
        <v>20</v>
      </c>
      <c r="F16" s="114" t="s">
        <v>27</v>
      </c>
      <c r="G16" s="112"/>
    </row>
    <row r="17" spans="1:7" ht="26.05" customHeight="1" x14ac:dyDescent="0.55000000000000004">
      <c r="A17" s="115" t="s">
        <v>28</v>
      </c>
      <c r="B17" s="111"/>
      <c r="C17" s="111"/>
      <c r="D17" s="112"/>
      <c r="E17" s="11" t="s">
        <v>20</v>
      </c>
      <c r="F17" s="130" t="s">
        <v>29</v>
      </c>
      <c r="G17" s="112"/>
    </row>
    <row r="18" spans="1:7" ht="26.05" customHeight="1" x14ac:dyDescent="0.55000000000000004">
      <c r="A18" s="113" t="s">
        <v>30</v>
      </c>
      <c r="B18" s="111"/>
      <c r="C18" s="111"/>
      <c r="D18" s="112"/>
      <c r="E18" s="11" t="s">
        <v>20</v>
      </c>
      <c r="F18" s="139" t="s">
        <v>31</v>
      </c>
      <c r="G18" s="112"/>
    </row>
    <row r="19" spans="1:7" ht="22" customHeight="1" x14ac:dyDescent="0.55000000000000004">
      <c r="A19" s="115" t="s">
        <v>32</v>
      </c>
      <c r="B19" s="111"/>
      <c r="C19" s="111"/>
      <c r="D19" s="112"/>
      <c r="E19" s="11" t="s">
        <v>20</v>
      </c>
      <c r="F19" s="130" t="s">
        <v>33</v>
      </c>
      <c r="G19" s="112"/>
    </row>
    <row r="20" spans="1:7" ht="5.05" customHeight="1" x14ac:dyDescent="0.55000000000000004">
      <c r="A20" s="87" t="s">
        <v>34</v>
      </c>
      <c r="B20" s="98"/>
      <c r="C20" s="98"/>
      <c r="D20" s="99"/>
      <c r="E20" s="14" t="str">
        <f>IF(AND(E12="EVET",E13="EVET",E15="EVET"),"OK - Hesaplanabilir","HATA - Ön koşul eksik")</f>
        <v>HATA - Ön koşul eksik</v>
      </c>
      <c r="F20" s="86" t="s">
        <v>35</v>
      </c>
      <c r="G20" s="99"/>
    </row>
    <row r="21" spans="1:7" x14ac:dyDescent="0.55000000000000004">
      <c r="A21" s="9"/>
      <c r="B21" s="9"/>
      <c r="C21" s="9"/>
      <c r="D21" s="9"/>
      <c r="E21" s="9"/>
      <c r="F21" s="9"/>
      <c r="G21" s="9"/>
    </row>
    <row r="23" spans="1:7" ht="22" customHeight="1" x14ac:dyDescent="0.55000000000000004">
      <c r="A23" s="135"/>
      <c r="B23" s="135"/>
      <c r="C23" s="135"/>
      <c r="D23" s="135"/>
      <c r="E23" s="135"/>
      <c r="F23" s="135"/>
      <c r="G23" s="135"/>
    </row>
    <row r="24" spans="1:7" ht="22" customHeight="1" x14ac:dyDescent="0.55000000000000004">
      <c r="A24" s="147" t="s">
        <v>36</v>
      </c>
      <c r="B24" s="133"/>
      <c r="C24" s="133"/>
      <c r="D24" s="133"/>
      <c r="E24" s="133"/>
      <c r="F24" s="100"/>
      <c r="G24" s="101"/>
    </row>
    <row r="25" spans="1:7" ht="22" customHeight="1" x14ac:dyDescent="0.55000000000000004">
      <c r="A25" s="115" t="s">
        <v>37</v>
      </c>
      <c r="B25" s="112"/>
      <c r="C25" s="127"/>
      <c r="D25" s="111"/>
      <c r="E25" s="112"/>
      <c r="F25" s="15" t="s">
        <v>38</v>
      </c>
      <c r="G25" s="4"/>
    </row>
    <row r="26" spans="1:7" ht="22" customHeight="1" x14ac:dyDescent="0.55000000000000004">
      <c r="A26" s="113" t="s">
        <v>39</v>
      </c>
      <c r="B26" s="112"/>
      <c r="C26" s="127"/>
      <c r="D26" s="111"/>
      <c r="E26" s="112"/>
      <c r="F26" s="16" t="s">
        <v>40</v>
      </c>
      <c r="G26" s="12"/>
    </row>
    <row r="27" spans="1:7" ht="22" customHeight="1" x14ac:dyDescent="0.55000000000000004">
      <c r="A27" s="115" t="s">
        <v>41</v>
      </c>
      <c r="B27" s="112"/>
      <c r="C27" s="127"/>
      <c r="D27" s="111"/>
      <c r="E27" s="112"/>
      <c r="F27" s="15" t="s">
        <v>42</v>
      </c>
      <c r="G27" s="4"/>
    </row>
    <row r="28" spans="1:7" ht="24" customHeight="1" x14ac:dyDescent="0.55000000000000004">
      <c r="A28" s="113" t="s">
        <v>43</v>
      </c>
      <c r="B28" s="112"/>
      <c r="C28" s="127"/>
      <c r="D28" s="111"/>
      <c r="E28" s="112"/>
      <c r="F28" s="116" t="s">
        <v>44</v>
      </c>
      <c r="G28" s="128"/>
    </row>
    <row r="29" spans="1:7" ht="22" customHeight="1" x14ac:dyDescent="0.55000000000000004">
      <c r="A29" s="147" t="s">
        <v>45</v>
      </c>
      <c r="B29" s="133"/>
      <c r="C29" s="133"/>
      <c r="D29" s="133"/>
      <c r="E29" s="133"/>
      <c r="F29" s="133"/>
      <c r="G29" s="134"/>
    </row>
    <row r="30" spans="1:7" ht="18" customHeight="1" x14ac:dyDescent="0.55000000000000004">
      <c r="A30" s="96" t="s">
        <v>46</v>
      </c>
      <c r="B30" s="98"/>
      <c r="C30" s="98"/>
      <c r="D30" s="98"/>
      <c r="E30" s="98"/>
      <c r="F30" s="98"/>
      <c r="G30" s="99"/>
    </row>
    <row r="31" spans="1:7" ht="26.05" customHeight="1" x14ac:dyDescent="0.55000000000000004">
      <c r="A31" s="109"/>
      <c r="B31" s="109" t="s">
        <v>47</v>
      </c>
      <c r="C31" s="10"/>
      <c r="D31" s="109" t="s">
        <v>48</v>
      </c>
      <c r="E31" s="109"/>
      <c r="F31" s="109" t="s">
        <v>49</v>
      </c>
      <c r="G31" s="109" t="s">
        <v>50</v>
      </c>
    </row>
    <row r="32" spans="1:7" ht="26.05" customHeight="1" x14ac:dyDescent="0.55000000000000004">
      <c r="A32" s="113" t="s">
        <v>51</v>
      </c>
      <c r="B32" s="112"/>
      <c r="C32" s="11" t="s">
        <v>52</v>
      </c>
      <c r="D32" s="116" t="s">
        <v>53</v>
      </c>
      <c r="E32" s="112"/>
      <c r="F32" s="138" t="s">
        <v>54</v>
      </c>
      <c r="G32" s="112"/>
    </row>
    <row r="33" spans="1:7" ht="26.05" customHeight="1" x14ac:dyDescent="0.55000000000000004">
      <c r="A33" s="115" t="s">
        <v>55</v>
      </c>
      <c r="B33" s="112"/>
      <c r="C33" s="17"/>
      <c r="D33" s="125" t="s">
        <v>56</v>
      </c>
      <c r="E33" s="112"/>
      <c r="F33" s="140" t="s">
        <v>57</v>
      </c>
      <c r="G33" s="112"/>
    </row>
    <row r="34" spans="1:7" ht="26.05" customHeight="1" x14ac:dyDescent="0.55000000000000004">
      <c r="A34" s="113" t="s">
        <v>58</v>
      </c>
      <c r="B34" s="112"/>
      <c r="C34" s="11" t="s">
        <v>59</v>
      </c>
      <c r="D34" s="116" t="s">
        <v>60</v>
      </c>
      <c r="E34" s="112"/>
      <c r="F34" s="138" t="s">
        <v>61</v>
      </c>
      <c r="G34" s="112"/>
    </row>
    <row r="35" spans="1:7" ht="26.05" customHeight="1" x14ac:dyDescent="0.55000000000000004">
      <c r="A35" s="131" t="s">
        <v>62</v>
      </c>
      <c r="B35" s="112"/>
      <c r="C35" s="17"/>
      <c r="D35" s="125" t="s">
        <v>63</v>
      </c>
      <c r="E35" s="112"/>
      <c r="F35" s="140" t="s">
        <v>64</v>
      </c>
      <c r="G35" s="112"/>
    </row>
    <row r="36" spans="1:7" ht="26.05" customHeight="1" x14ac:dyDescent="0.55000000000000004">
      <c r="A36" s="113" t="s">
        <v>65</v>
      </c>
      <c r="B36" s="112"/>
      <c r="C36" s="17"/>
      <c r="D36" s="116" t="s">
        <v>66</v>
      </c>
      <c r="E36" s="112"/>
      <c r="F36" s="138" t="s">
        <v>67</v>
      </c>
      <c r="G36" s="112"/>
    </row>
    <row r="37" spans="1:7" ht="26.05" customHeight="1" x14ac:dyDescent="0.55000000000000004">
      <c r="A37" s="115" t="s">
        <v>68</v>
      </c>
      <c r="B37" s="112"/>
      <c r="C37" s="17"/>
      <c r="D37" s="125" t="s">
        <v>69</v>
      </c>
      <c r="E37" s="112"/>
      <c r="F37" s="140" t="s">
        <v>70</v>
      </c>
      <c r="G37" s="112"/>
    </row>
    <row r="38" spans="1:7" ht="26.05" customHeight="1" x14ac:dyDescent="0.55000000000000004">
      <c r="A38" s="113" t="s">
        <v>71</v>
      </c>
      <c r="B38" s="112"/>
      <c r="C38" s="11" t="s">
        <v>72</v>
      </c>
      <c r="D38" s="116" t="s">
        <v>73</v>
      </c>
      <c r="E38" s="112"/>
      <c r="F38" s="138" t="s">
        <v>74</v>
      </c>
      <c r="G38" s="112"/>
    </row>
    <row r="39" spans="1:7" ht="26.05" customHeight="1" x14ac:dyDescent="0.55000000000000004">
      <c r="A39" s="115" t="s">
        <v>75</v>
      </c>
      <c r="B39" s="112"/>
      <c r="C39" s="17"/>
      <c r="D39" s="125" t="s">
        <v>76</v>
      </c>
      <c r="E39" s="112"/>
      <c r="F39" s="140" t="s">
        <v>77</v>
      </c>
      <c r="G39" s="112"/>
    </row>
    <row r="40" spans="1:7" ht="36" customHeight="1" x14ac:dyDescent="0.55000000000000004">
      <c r="A40" s="113" t="s">
        <v>78</v>
      </c>
      <c r="B40" s="112"/>
      <c r="C40" s="149"/>
      <c r="D40" s="116" t="s">
        <v>79</v>
      </c>
      <c r="E40" s="112"/>
      <c r="F40" s="138" t="s">
        <v>80</v>
      </c>
      <c r="G40" s="112"/>
    </row>
    <row r="41" spans="1:7" ht="5.05" customHeight="1" x14ac:dyDescent="0.55000000000000004">
      <c r="A41" s="92" t="s">
        <v>81</v>
      </c>
      <c r="B41" s="100"/>
      <c r="C41" s="100"/>
      <c r="D41" s="100"/>
      <c r="E41" s="100"/>
      <c r="F41" s="100"/>
      <c r="G41" s="101"/>
    </row>
    <row r="42" spans="1:7" ht="24" customHeight="1" x14ac:dyDescent="0.55000000000000004">
      <c r="A42" s="124"/>
      <c r="B42" s="124"/>
      <c r="C42" s="124"/>
      <c r="D42" s="124"/>
      <c r="E42" s="124"/>
      <c r="F42" s="124"/>
      <c r="G42" s="124"/>
    </row>
    <row r="43" spans="1:7" ht="18" customHeight="1" x14ac:dyDescent="0.55000000000000004">
      <c r="A43" s="82" t="s">
        <v>82</v>
      </c>
      <c r="B43" s="100"/>
      <c r="C43" s="100"/>
      <c r="D43" s="100"/>
      <c r="E43" s="100"/>
      <c r="F43" s="100"/>
      <c r="G43" s="101"/>
    </row>
    <row r="44" spans="1:7" ht="24" customHeight="1" x14ac:dyDescent="0.55000000000000004">
      <c r="A44" s="109"/>
      <c r="B44" s="109" t="s">
        <v>83</v>
      </c>
      <c r="C44" s="10"/>
      <c r="D44" s="109" t="s">
        <v>84</v>
      </c>
      <c r="E44" s="109"/>
      <c r="F44" s="109" t="s">
        <v>49</v>
      </c>
      <c r="G44" s="109" t="s">
        <v>50</v>
      </c>
    </row>
    <row r="45" spans="1:7" ht="24" customHeight="1" x14ac:dyDescent="0.55000000000000004">
      <c r="A45" s="115" t="s">
        <v>85</v>
      </c>
      <c r="B45" s="112"/>
      <c r="C45" s="14">
        <f>C35</f>
        <v>0</v>
      </c>
      <c r="D45" s="125" t="s">
        <v>86</v>
      </c>
      <c r="E45" s="112"/>
      <c r="F45" s="140" t="s">
        <v>87</v>
      </c>
      <c r="G45" s="112"/>
    </row>
    <row r="46" spans="1:7" ht="24" customHeight="1" x14ac:dyDescent="0.55000000000000004">
      <c r="A46" s="113" t="s">
        <v>88</v>
      </c>
      <c r="B46" s="112"/>
      <c r="C46" s="14">
        <f>C36</f>
        <v>0</v>
      </c>
      <c r="D46" s="116" t="s">
        <v>89</v>
      </c>
      <c r="E46" s="112"/>
      <c r="F46" s="138" t="s">
        <v>90</v>
      </c>
      <c r="G46" s="112"/>
    </row>
    <row r="47" spans="1:7" ht="24" customHeight="1" x14ac:dyDescent="0.55000000000000004">
      <c r="A47" s="115" t="s">
        <v>91</v>
      </c>
      <c r="B47" s="112"/>
      <c r="C47" s="14">
        <f>IF(AND(C45&gt;0,C46&gt;0),C46-C45,0)</f>
        <v>0</v>
      </c>
      <c r="D47" s="125" t="s">
        <v>92</v>
      </c>
      <c r="E47" s="112"/>
      <c r="F47" s="140"/>
      <c r="G47" s="112"/>
    </row>
    <row r="48" spans="1:7" ht="5.05" customHeight="1" x14ac:dyDescent="0.55000000000000004">
      <c r="A48" s="93" t="s">
        <v>93</v>
      </c>
      <c r="B48" s="99"/>
      <c r="C48" s="18" t="str">
        <f>IF(C47&gt;=730,"EVET — 2 Yıl Sağlandı","HAYIR — Süre Yetersiz")</f>
        <v>HAYIR — Süre Yetersiz</v>
      </c>
      <c r="D48" s="89" t="s">
        <v>94</v>
      </c>
      <c r="E48" s="99"/>
      <c r="F48" s="90" t="s">
        <v>95</v>
      </c>
      <c r="G48" s="99"/>
    </row>
    <row r="49" spans="1:7" ht="24" customHeight="1" x14ac:dyDescent="0.55000000000000004">
      <c r="A49" s="124"/>
      <c r="B49" s="124"/>
      <c r="C49" s="124"/>
      <c r="D49" s="124"/>
      <c r="E49" s="124"/>
      <c r="F49" s="124"/>
      <c r="G49" s="124"/>
    </row>
    <row r="50" spans="1:7" ht="18" customHeight="1" x14ac:dyDescent="0.55000000000000004">
      <c r="A50" s="82" t="s">
        <v>96</v>
      </c>
      <c r="B50" s="100"/>
      <c r="C50" s="100"/>
      <c r="D50" s="100"/>
      <c r="E50" s="100"/>
      <c r="F50" s="100"/>
      <c r="G50" s="101"/>
    </row>
    <row r="51" spans="1:7" ht="26.05" customHeight="1" x14ac:dyDescent="0.55000000000000004">
      <c r="A51" s="109"/>
      <c r="B51" s="109" t="s">
        <v>97</v>
      </c>
      <c r="C51" s="10"/>
      <c r="D51" s="109" t="s">
        <v>98</v>
      </c>
      <c r="E51" s="109"/>
      <c r="F51" s="10" t="s">
        <v>99</v>
      </c>
      <c r="G51" s="10" t="s">
        <v>100</v>
      </c>
    </row>
    <row r="52" spans="1:7" ht="26.05" customHeight="1" x14ac:dyDescent="0.55000000000000004">
      <c r="A52" s="145" t="s">
        <v>101</v>
      </c>
      <c r="B52" s="112"/>
      <c r="C52" s="19" t="s">
        <v>3</v>
      </c>
      <c r="D52" s="148" t="s">
        <v>102</v>
      </c>
      <c r="E52" s="112"/>
      <c r="F52" s="20" t="s">
        <v>103</v>
      </c>
      <c r="G52" s="2"/>
    </row>
    <row r="53" spans="1:7" ht="26.05" customHeight="1" x14ac:dyDescent="0.55000000000000004">
      <c r="A53" s="132" t="s">
        <v>104</v>
      </c>
      <c r="B53" s="112"/>
      <c r="C53" s="21" t="s">
        <v>5</v>
      </c>
      <c r="D53" s="142" t="s">
        <v>105</v>
      </c>
      <c r="E53" s="112"/>
      <c r="F53" s="22" t="s">
        <v>106</v>
      </c>
      <c r="G53" s="4"/>
    </row>
    <row r="54" spans="1:7" ht="26.05" customHeight="1" x14ac:dyDescent="0.55000000000000004">
      <c r="A54" s="129" t="s">
        <v>107</v>
      </c>
      <c r="B54" s="112"/>
      <c r="C54" s="23" t="s">
        <v>7</v>
      </c>
      <c r="D54" s="152" t="s">
        <v>108</v>
      </c>
      <c r="E54" s="112"/>
      <c r="F54" s="24" t="s">
        <v>109</v>
      </c>
      <c r="G54" s="6"/>
    </row>
    <row r="55" spans="1:7" ht="22" customHeight="1" x14ac:dyDescent="0.55000000000000004">
      <c r="A55" s="110" t="s">
        <v>110</v>
      </c>
      <c r="B55" s="112"/>
      <c r="C55" s="25" t="s">
        <v>9</v>
      </c>
      <c r="D55" s="118" t="s">
        <v>111</v>
      </c>
      <c r="E55" s="112"/>
      <c r="F55" s="119" t="s">
        <v>112</v>
      </c>
      <c r="G55" s="120"/>
    </row>
    <row r="56" spans="1:7" ht="5.05" customHeight="1" x14ac:dyDescent="0.55000000000000004">
      <c r="A56" s="94" t="s">
        <v>113</v>
      </c>
      <c r="B56" s="99"/>
      <c r="C56" s="11" t="s">
        <v>114</v>
      </c>
      <c r="D56" s="80" t="s">
        <v>115</v>
      </c>
      <c r="E56" s="98"/>
      <c r="F56" s="98"/>
      <c r="G56" s="99"/>
    </row>
    <row r="57" spans="1:7" ht="24" customHeight="1" x14ac:dyDescent="0.55000000000000004">
      <c r="A57" s="124"/>
      <c r="B57" s="124"/>
      <c r="C57" s="124"/>
      <c r="D57" s="124"/>
      <c r="E57" s="124"/>
      <c r="F57" s="124"/>
      <c r="G57" s="124"/>
    </row>
    <row r="58" spans="1:7" ht="24" customHeight="1" x14ac:dyDescent="0.55000000000000004">
      <c r="A58" s="147" t="s">
        <v>116</v>
      </c>
      <c r="B58" s="133"/>
      <c r="C58" s="133"/>
      <c r="D58" s="133"/>
      <c r="E58" s="133"/>
      <c r="F58" s="133"/>
      <c r="G58" s="134"/>
    </row>
    <row r="59" spans="1:7" ht="18" customHeight="1" x14ac:dyDescent="0.55000000000000004">
      <c r="A59" s="91" t="s">
        <v>117</v>
      </c>
      <c r="B59" s="98"/>
      <c r="C59" s="98"/>
      <c r="D59" s="98"/>
      <c r="E59" s="98"/>
      <c r="F59" s="98"/>
      <c r="G59" s="99"/>
    </row>
    <row r="60" spans="1:7" ht="26.05" customHeight="1" x14ac:dyDescent="0.55000000000000004">
      <c r="A60" s="109"/>
      <c r="B60" s="109" t="s">
        <v>83</v>
      </c>
      <c r="C60" s="10"/>
      <c r="D60" s="109" t="s">
        <v>118</v>
      </c>
      <c r="E60" s="109"/>
      <c r="F60" s="109" t="s">
        <v>49</v>
      </c>
      <c r="G60" s="109" t="s">
        <v>119</v>
      </c>
    </row>
    <row r="61" spans="1:7" ht="26.05" customHeight="1" x14ac:dyDescent="0.55000000000000004">
      <c r="A61" s="115" t="s">
        <v>120</v>
      </c>
      <c r="B61" s="112"/>
      <c r="C61" s="14">
        <f>C37</f>
        <v>0</v>
      </c>
      <c r="D61" s="125" t="s">
        <v>121</v>
      </c>
      <c r="E61" s="112"/>
      <c r="F61" s="130" t="s">
        <v>122</v>
      </c>
      <c r="G61" s="112"/>
    </row>
    <row r="62" spans="1:7" ht="26.05" customHeight="1" x14ac:dyDescent="0.55000000000000004">
      <c r="A62" s="113" t="s">
        <v>123</v>
      </c>
      <c r="B62" s="112"/>
      <c r="C62" s="14">
        <f>C39</f>
        <v>0</v>
      </c>
      <c r="D62" s="116" t="s">
        <v>124</v>
      </c>
      <c r="E62" s="112"/>
      <c r="F62" s="139" t="s">
        <v>125</v>
      </c>
      <c r="G62" s="112"/>
    </row>
    <row r="63" spans="1:7" ht="26.05" customHeight="1" x14ac:dyDescent="0.55000000000000004">
      <c r="A63" s="115" t="s">
        <v>126</v>
      </c>
      <c r="B63" s="112"/>
      <c r="C63" s="14">
        <f>C40</f>
        <v>0</v>
      </c>
      <c r="D63" s="125" t="s">
        <v>127</v>
      </c>
      <c r="E63" s="112"/>
      <c r="F63" s="130" t="s">
        <v>128</v>
      </c>
      <c r="G63" s="112"/>
    </row>
    <row r="64" spans="1:7" ht="26.05" customHeight="1" x14ac:dyDescent="0.55000000000000004">
      <c r="A64" s="113" t="s">
        <v>129</v>
      </c>
      <c r="B64" s="112"/>
      <c r="C64" s="14">
        <f>IF(C61-C62-C63&gt;0,C61-C62-C63,0)</f>
        <v>0</v>
      </c>
      <c r="D64" s="116" t="s">
        <v>130</v>
      </c>
      <c r="E64" s="112"/>
      <c r="F64" s="139" t="s">
        <v>131</v>
      </c>
      <c r="G64" s="112"/>
    </row>
    <row r="65" spans="1:7" ht="26.05" customHeight="1" x14ac:dyDescent="0.55000000000000004">
      <c r="A65" s="115" t="s">
        <v>132</v>
      </c>
      <c r="B65" s="112"/>
      <c r="C65" s="17"/>
      <c r="D65" s="125" t="s">
        <v>133</v>
      </c>
      <c r="E65" s="112"/>
      <c r="F65" s="130" t="s">
        <v>134</v>
      </c>
      <c r="G65" s="112"/>
    </row>
    <row r="66" spans="1:7" ht="26.05" customHeight="1" x14ac:dyDescent="0.55000000000000004">
      <c r="A66" s="121" t="s">
        <v>135</v>
      </c>
      <c r="B66" s="112"/>
      <c r="C66" s="26">
        <f>C65*C64</f>
        <v>0</v>
      </c>
      <c r="D66" s="122" t="s">
        <v>136</v>
      </c>
      <c r="E66" s="112"/>
      <c r="F66" s="123" t="s">
        <v>137</v>
      </c>
      <c r="G66" s="112"/>
    </row>
    <row r="67" spans="1:7" ht="26.05" customHeight="1" x14ac:dyDescent="0.55000000000000004">
      <c r="A67" s="115" t="s">
        <v>138</v>
      </c>
      <c r="B67" s="112"/>
      <c r="C67" s="14">
        <f>MAX(0,C64-C66)</f>
        <v>0</v>
      </c>
      <c r="D67" s="125" t="s">
        <v>139</v>
      </c>
      <c r="E67" s="112"/>
      <c r="F67" s="130" t="s">
        <v>140</v>
      </c>
      <c r="G67" s="112"/>
    </row>
    <row r="68" spans="1:7" ht="36" customHeight="1" x14ac:dyDescent="0.55000000000000004">
      <c r="A68" s="190" t="s">
        <v>141</v>
      </c>
      <c r="B68" s="191"/>
      <c r="C68" s="195">
        <f>C66</f>
        <v>0</v>
      </c>
      <c r="D68" s="89" t="s">
        <v>142</v>
      </c>
      <c r="E68" s="99"/>
      <c r="F68" s="95"/>
      <c r="G68" s="99"/>
    </row>
    <row r="69" spans="1:7" ht="5.05" customHeight="1" x14ac:dyDescent="0.55000000000000004">
      <c r="A69" s="81" t="s">
        <v>143</v>
      </c>
      <c r="B69" s="100"/>
      <c r="C69" s="100"/>
      <c r="D69" s="100"/>
      <c r="E69" s="100"/>
      <c r="F69" s="100"/>
      <c r="G69" s="101"/>
    </row>
    <row r="70" spans="1:7" ht="24" customHeight="1" x14ac:dyDescent="0.55000000000000004">
      <c r="A70" s="124"/>
      <c r="B70" s="124"/>
      <c r="C70" s="124"/>
      <c r="D70" s="124"/>
      <c r="E70" s="124"/>
      <c r="F70" s="124"/>
      <c r="G70" s="124"/>
    </row>
    <row r="71" spans="1:7" ht="18" customHeight="1" x14ac:dyDescent="0.55000000000000004">
      <c r="A71" s="82" t="s">
        <v>144</v>
      </c>
      <c r="B71" s="100"/>
      <c r="C71" s="100"/>
      <c r="D71" s="100"/>
      <c r="E71" s="100"/>
      <c r="F71" s="100"/>
      <c r="G71" s="101"/>
    </row>
    <row r="72" spans="1:7" ht="26.05" customHeight="1" x14ac:dyDescent="0.55000000000000004">
      <c r="A72" s="109"/>
      <c r="B72" s="109" t="s">
        <v>145</v>
      </c>
      <c r="C72" s="10"/>
      <c r="D72" s="109" t="s">
        <v>146</v>
      </c>
      <c r="E72" s="109"/>
      <c r="F72" s="109" t="s">
        <v>49</v>
      </c>
      <c r="G72" s="109" t="s">
        <v>119</v>
      </c>
    </row>
    <row r="73" spans="1:7" ht="26.05" customHeight="1" x14ac:dyDescent="0.55000000000000004">
      <c r="A73" s="115" t="s">
        <v>147</v>
      </c>
      <c r="B73" s="112"/>
      <c r="C73" s="14">
        <f>C66</f>
        <v>0</v>
      </c>
      <c r="D73" s="125" t="s">
        <v>148</v>
      </c>
      <c r="E73" s="112"/>
      <c r="F73" s="130" t="s">
        <v>149</v>
      </c>
      <c r="G73" s="112"/>
    </row>
    <row r="74" spans="1:7" ht="26.05" customHeight="1" x14ac:dyDescent="0.55000000000000004">
      <c r="A74" s="113" t="s">
        <v>150</v>
      </c>
      <c r="B74" s="112"/>
      <c r="C74" s="17"/>
      <c r="D74" s="116" t="s">
        <v>151</v>
      </c>
      <c r="E74" s="112"/>
      <c r="F74" s="139" t="s">
        <v>152</v>
      </c>
      <c r="G74" s="112"/>
    </row>
    <row r="75" spans="1:7" ht="26.05" customHeight="1" x14ac:dyDescent="0.55000000000000004">
      <c r="A75" s="115" t="s">
        <v>153</v>
      </c>
      <c r="B75" s="112"/>
      <c r="C75" s="27" t="s">
        <v>20</v>
      </c>
      <c r="D75" s="125" t="s">
        <v>154</v>
      </c>
      <c r="E75" s="112"/>
      <c r="F75" s="130" t="s">
        <v>155</v>
      </c>
      <c r="G75" s="112"/>
    </row>
    <row r="76" spans="1:7" ht="26.05" customHeight="1" x14ac:dyDescent="0.55000000000000004">
      <c r="A76" s="113" t="s">
        <v>156</v>
      </c>
      <c r="B76" s="112"/>
      <c r="C76" s="17"/>
      <c r="D76" s="116" t="s">
        <v>157</v>
      </c>
      <c r="E76" s="112"/>
      <c r="F76" s="139" t="s">
        <v>158</v>
      </c>
      <c r="G76" s="112"/>
    </row>
    <row r="77" spans="1:7" ht="26.05" customHeight="1" x14ac:dyDescent="0.55000000000000004">
      <c r="A77" s="115" t="s">
        <v>159</v>
      </c>
      <c r="B77" s="112"/>
      <c r="C77" s="27" t="s">
        <v>160</v>
      </c>
      <c r="D77" s="125" t="s">
        <v>161</v>
      </c>
      <c r="E77" s="112"/>
      <c r="F77" s="130" t="s">
        <v>162</v>
      </c>
      <c r="G77" s="112"/>
    </row>
    <row r="78" spans="1:7" ht="26.05" customHeight="1" x14ac:dyDescent="0.55000000000000004">
      <c r="A78" s="113" t="s">
        <v>163</v>
      </c>
      <c r="B78" s="112"/>
      <c r="C78" s="17"/>
      <c r="D78" s="116" t="s">
        <v>164</v>
      </c>
      <c r="E78" s="112"/>
      <c r="F78" s="139" t="s">
        <v>165</v>
      </c>
      <c r="G78" s="112"/>
    </row>
    <row r="79" spans="1:7" ht="5.05" customHeight="1" x14ac:dyDescent="0.55000000000000004">
      <c r="A79" s="77" t="s">
        <v>166</v>
      </c>
      <c r="B79" s="99"/>
      <c r="C79" s="27" t="s">
        <v>167</v>
      </c>
      <c r="D79" s="15" t="s">
        <v>168</v>
      </c>
      <c r="E79" s="99"/>
      <c r="F79" s="78" t="s">
        <v>169</v>
      </c>
      <c r="G79" s="99"/>
    </row>
    <row r="80" spans="1:7" ht="24" customHeight="1" x14ac:dyDescent="0.55000000000000004">
      <c r="A80" s="124"/>
      <c r="B80" s="124"/>
      <c r="C80" s="124"/>
      <c r="D80" s="124"/>
      <c r="E80" s="124"/>
      <c r="F80" s="124"/>
      <c r="G80" s="124"/>
    </row>
    <row r="81" spans="1:7" ht="24" customHeight="1" x14ac:dyDescent="0.55000000000000004">
      <c r="A81" s="153" t="s">
        <v>170</v>
      </c>
      <c r="B81" s="133"/>
      <c r="C81" s="133"/>
      <c r="D81" s="133"/>
      <c r="E81" s="133"/>
      <c r="F81" s="133"/>
      <c r="G81" s="134"/>
    </row>
    <row r="82" spans="1:7" ht="18" customHeight="1" x14ac:dyDescent="0.55000000000000004">
      <c r="A82" s="96" t="s">
        <v>171</v>
      </c>
      <c r="B82" s="98"/>
      <c r="C82" s="98"/>
      <c r="D82" s="98"/>
      <c r="E82" s="98"/>
      <c r="F82" s="98"/>
      <c r="G82" s="99"/>
    </row>
    <row r="83" spans="1:7" ht="26.05" customHeight="1" x14ac:dyDescent="0.55000000000000004">
      <c r="A83" s="109"/>
      <c r="B83" s="109" t="s">
        <v>172</v>
      </c>
      <c r="C83" s="10"/>
      <c r="D83" s="109" t="s">
        <v>173</v>
      </c>
      <c r="E83" s="109"/>
      <c r="F83" s="109" t="s">
        <v>49</v>
      </c>
      <c r="G83" s="109" t="s">
        <v>50</v>
      </c>
    </row>
    <row r="84" spans="1:7" ht="26.05" customHeight="1" x14ac:dyDescent="0.55000000000000004">
      <c r="A84" s="113" t="s">
        <v>174</v>
      </c>
      <c r="B84" s="112"/>
      <c r="C84" s="11" t="s">
        <v>20</v>
      </c>
      <c r="D84" s="116" t="s">
        <v>175</v>
      </c>
      <c r="E84" s="112"/>
      <c r="F84" s="117" t="s">
        <v>176</v>
      </c>
      <c r="G84" s="112"/>
    </row>
    <row r="85" spans="1:7" ht="26.05" customHeight="1" x14ac:dyDescent="0.55000000000000004">
      <c r="A85" s="131" t="s">
        <v>177</v>
      </c>
      <c r="B85" s="112"/>
      <c r="C85" s="11" t="s">
        <v>20</v>
      </c>
      <c r="D85" s="125" t="s">
        <v>178</v>
      </c>
      <c r="E85" s="112"/>
      <c r="F85" s="141" t="s">
        <v>179</v>
      </c>
      <c r="G85" s="112"/>
    </row>
    <row r="86" spans="1:7" ht="5.05" customHeight="1" x14ac:dyDescent="0.55000000000000004">
      <c r="A86" s="79" t="s">
        <v>180</v>
      </c>
      <c r="B86" s="99"/>
      <c r="C86" s="11" t="s">
        <v>20</v>
      </c>
      <c r="D86" s="16" t="s">
        <v>181</v>
      </c>
      <c r="E86" s="99"/>
      <c r="F86" s="88" t="s">
        <v>179</v>
      </c>
      <c r="G86" s="99"/>
    </row>
    <row r="87" spans="1:7" ht="26.05" customHeight="1" x14ac:dyDescent="0.55000000000000004">
      <c r="A87" s="124"/>
      <c r="B87" s="124"/>
      <c r="C87" s="124"/>
      <c r="D87" s="124"/>
      <c r="E87" s="124"/>
      <c r="F87" s="124"/>
      <c r="G87" s="124"/>
    </row>
    <row r="88" spans="1:7" ht="30" customHeight="1" x14ac:dyDescent="0.55000000000000004">
      <c r="A88" s="144" t="s">
        <v>182</v>
      </c>
      <c r="B88" s="133"/>
      <c r="C88" s="133"/>
      <c r="D88" s="133"/>
      <c r="E88" s="100"/>
      <c r="F88" s="133"/>
      <c r="G88" s="134"/>
    </row>
    <row r="89" spans="1:7" ht="44.05" customHeight="1" x14ac:dyDescent="0.55000000000000004">
      <c r="A89" s="192" t="s">
        <v>183</v>
      </c>
      <c r="B89" s="193"/>
      <c r="C89" s="193"/>
      <c r="D89" s="194"/>
      <c r="E89" s="196">
        <f>C66</f>
        <v>0</v>
      </c>
      <c r="F89" s="85" t="s">
        <v>184</v>
      </c>
      <c r="G89" s="99"/>
    </row>
    <row r="90" spans="1:7" ht="56.05" customHeight="1" x14ac:dyDescent="0.55000000000000004">
      <c r="A90" s="84" t="s">
        <v>185</v>
      </c>
      <c r="B90" s="100"/>
      <c r="C90" s="100"/>
      <c r="D90" s="100"/>
      <c r="E90" s="100"/>
      <c r="F90" s="100"/>
      <c r="G90" s="101"/>
    </row>
  </sheetData>
  <mergeCells count="154">
    <mergeCell ref="A89:D89"/>
    <mergeCell ref="F67:G67"/>
    <mergeCell ref="F37:G37"/>
    <mergeCell ref="A18:D18"/>
    <mergeCell ref="D74:E74"/>
    <mergeCell ref="A72:B72"/>
    <mergeCell ref="F60:G60"/>
    <mergeCell ref="A44:B44"/>
    <mergeCell ref="A31:B31"/>
    <mergeCell ref="D44:E44"/>
    <mergeCell ref="F44:G44"/>
    <mergeCell ref="A68:B68"/>
    <mergeCell ref="A2:G2"/>
    <mergeCell ref="D85:E85"/>
    <mergeCell ref="F14:G14"/>
    <mergeCell ref="D54:E54"/>
    <mergeCell ref="A67:B67"/>
    <mergeCell ref="A14:D14"/>
    <mergeCell ref="F11:G11"/>
    <mergeCell ref="A24:B24"/>
    <mergeCell ref="F78:G78"/>
    <mergeCell ref="A60:B60"/>
    <mergeCell ref="F65:G65"/>
    <mergeCell ref="D46:E46"/>
    <mergeCell ref="A29:G29"/>
    <mergeCell ref="A81:G81"/>
    <mergeCell ref="F12:G12"/>
    <mergeCell ref="C27:E27"/>
    <mergeCell ref="A25:B25"/>
    <mergeCell ref="A84:B84"/>
    <mergeCell ref="D32:E32"/>
    <mergeCell ref="A66:B66"/>
    <mergeCell ref="F32:G32"/>
    <mergeCell ref="F35:G35"/>
    <mergeCell ref="A70:G70"/>
    <mergeCell ref="F38:G38"/>
    <mergeCell ref="A1:G1"/>
    <mergeCell ref="F47:G47"/>
    <mergeCell ref="F62:G62"/>
    <mergeCell ref="A88:D88"/>
    <mergeCell ref="D37:E37"/>
    <mergeCell ref="F31:G31"/>
    <mergeCell ref="F46:G46"/>
    <mergeCell ref="C24:E24"/>
    <mergeCell ref="D39:E39"/>
    <mergeCell ref="F61:G61"/>
    <mergeCell ref="F39:G39"/>
    <mergeCell ref="A80:G80"/>
    <mergeCell ref="A52:B52"/>
    <mergeCell ref="A3:G3"/>
    <mergeCell ref="A63:B63"/>
    <mergeCell ref="B5:F5"/>
    <mergeCell ref="D38:E38"/>
    <mergeCell ref="C26:E26"/>
    <mergeCell ref="A57:G57"/>
    <mergeCell ref="A77:B77"/>
    <mergeCell ref="A34:B34"/>
    <mergeCell ref="F64:G64"/>
    <mergeCell ref="B4:F4"/>
    <mergeCell ref="F73:G73"/>
    <mergeCell ref="A11:D11"/>
    <mergeCell ref="D66:E66"/>
    <mergeCell ref="A49:G49"/>
    <mergeCell ref="F17:G17"/>
    <mergeCell ref="F66:G66"/>
    <mergeCell ref="D75:E75"/>
    <mergeCell ref="D53:E53"/>
    <mergeCell ref="F75:G75"/>
    <mergeCell ref="A26:B26"/>
    <mergeCell ref="D47:E47"/>
    <mergeCell ref="D63:E63"/>
    <mergeCell ref="A36:B36"/>
    <mergeCell ref="D65:E65"/>
    <mergeCell ref="A58:G58"/>
    <mergeCell ref="D52:E52"/>
    <mergeCell ref="A40:G40"/>
    <mergeCell ref="A65:B65"/>
    <mergeCell ref="A75:B75"/>
    <mergeCell ref="F36:G36"/>
    <mergeCell ref="A55:B55"/>
    <mergeCell ref="A32:B32"/>
    <mergeCell ref="A38:B38"/>
    <mergeCell ref="A12:D12"/>
    <mergeCell ref="D67:E67"/>
    <mergeCell ref="F13:G13"/>
    <mergeCell ref="A53:B53"/>
    <mergeCell ref="A35:B35"/>
    <mergeCell ref="A62:B62"/>
    <mergeCell ref="B6:F6"/>
    <mergeCell ref="D64:E64"/>
    <mergeCell ref="D33:E33"/>
    <mergeCell ref="D73:E73"/>
    <mergeCell ref="D51:E51"/>
    <mergeCell ref="F88:G88"/>
    <mergeCell ref="C25:E25"/>
    <mergeCell ref="A39:B39"/>
    <mergeCell ref="D35:E35"/>
    <mergeCell ref="A23:G23"/>
    <mergeCell ref="A17:D17"/>
    <mergeCell ref="A8:G8"/>
    <mergeCell ref="D34:E34"/>
    <mergeCell ref="F19:G19"/>
    <mergeCell ref="F34:G34"/>
    <mergeCell ref="A45:B45"/>
    <mergeCell ref="F63:G63"/>
    <mergeCell ref="A19:D19"/>
    <mergeCell ref="A61:B61"/>
    <mergeCell ref="D72:E72"/>
    <mergeCell ref="D78:E78"/>
    <mergeCell ref="F72:G72"/>
    <mergeCell ref="A33:B33"/>
    <mergeCell ref="A76:B76"/>
    <mergeCell ref="A85:B85"/>
    <mergeCell ref="A87:G87"/>
    <mergeCell ref="D62:E62"/>
    <mergeCell ref="A16:D16"/>
    <mergeCell ref="F74:G74"/>
    <mergeCell ref="F83:G83"/>
    <mergeCell ref="D76:E76"/>
    <mergeCell ref="F18:G18"/>
    <mergeCell ref="F33:G33"/>
    <mergeCell ref="A37:B37"/>
    <mergeCell ref="F45:G45"/>
    <mergeCell ref="A46:B46"/>
    <mergeCell ref="F76:G76"/>
    <mergeCell ref="F85:G85"/>
    <mergeCell ref="A83:B83"/>
    <mergeCell ref="A78:B78"/>
    <mergeCell ref="D83:E83"/>
    <mergeCell ref="F77:G77"/>
    <mergeCell ref="A47:B47"/>
    <mergeCell ref="D60:E60"/>
    <mergeCell ref="B7:F7"/>
    <mergeCell ref="A64:B64"/>
    <mergeCell ref="F16:G16"/>
    <mergeCell ref="A73:B73"/>
    <mergeCell ref="A51:B51"/>
    <mergeCell ref="D84:E84"/>
    <mergeCell ref="F84:G84"/>
    <mergeCell ref="D55:G55"/>
    <mergeCell ref="D36:E36"/>
    <mergeCell ref="D31:E31"/>
    <mergeCell ref="A42:G42"/>
    <mergeCell ref="D45:E45"/>
    <mergeCell ref="A13:D13"/>
    <mergeCell ref="A28:G28"/>
    <mergeCell ref="D77:E77"/>
    <mergeCell ref="A54:B54"/>
    <mergeCell ref="A9:G9"/>
    <mergeCell ref="F15:G15"/>
    <mergeCell ref="A15:D15"/>
    <mergeCell ref="D61:E61"/>
    <mergeCell ref="A74:B74"/>
    <mergeCell ref="A27:B27"/>
  </mergeCells>
  <conditionalFormatting sqref="C47">
    <cfRule type="containsText" dxfId="7" priority="3" operator="containsText" text="EVET">
      <formula>NOT(ISERROR(SEARCH("EVET",C47)))</formula>
    </cfRule>
    <cfRule type="containsText" dxfId="6" priority="4" operator="containsText" text="HAYIR">
      <formula>NOT(ISERROR(SEARCH("HAYIR",C47)))</formula>
    </cfRule>
  </conditionalFormatting>
  <conditionalFormatting sqref="E19">
    <cfRule type="containsText" dxfId="5" priority="1" operator="containsText" text="OK">
      <formula>NOT(ISERROR(SEARCH("OK",E19)))</formula>
    </cfRule>
    <cfRule type="containsText" dxfId="4" priority="2" operator="containsText" text="HATA">
      <formula>NOT(ISERROR(SEARCH("HATA",E19)))</formula>
    </cfRule>
  </conditionalFormatting>
  <dataValidations count="14">
    <dataValidation type="list" sqref="E11" xr:uid="{00000000-0002-0000-0000-000000000000}">
      <formula1>"5/12/2017 Öncesi → %75,5/12/2017-15/7/2023 Arası → %50,15/7/2023 ÖNCESİ aktife — Sonrası satış → %25,15/7/2023 SONRASI aktife → İSTİSNA YOK"</formula1>
    </dataValidation>
    <dataValidation type="list" sqref="E12:E13" xr:uid="{00000000-0002-0000-0000-000001000000}">
      <formula1>"EVET,HAYIR-İstisna Yok"</formula1>
    </dataValidation>
    <dataValidation type="list" sqref="E14" xr:uid="{00000000-0002-0000-0000-000002000000}">
      <formula1>"EVET,HAYIR-Risk"</formula1>
    </dataValidation>
    <dataValidation type="list" sqref="E15" xr:uid="{00000000-0002-0000-0000-000003000000}">
      <formula1>"EVET,HAYIR-İstisna Geçersiz"</formula1>
    </dataValidation>
    <dataValidation type="list" sqref="E16" xr:uid="{00000000-0002-0000-0000-000004000000}">
      <formula1>"EVET,Uygulanmıyor"</formula1>
    </dataValidation>
    <dataValidation type="list" sqref="E17" xr:uid="{00000000-0002-0000-0000-000005000000}">
      <formula1>"EVET,Hayır-Risk"</formula1>
    </dataValidation>
    <dataValidation type="list" sqref="E18" xr:uid="{00000000-0002-0000-0000-000006000000}">
      <formula1>"EVET,Tam Tasdik"</formula1>
    </dataValidation>
    <dataValidation type="list" sqref="C31" xr:uid="{00000000-0002-0000-0000-000007000000}">
      <formula1>"Arsa/Arazi,Bağımsız Bölüm/Daire,Bina/Fabrika/Depo,Tarla,Diğer"</formula1>
    </dataValidation>
    <dataValidation type="list" sqref="C33" xr:uid="{00000000-0002-0000-0000-000008000000}">
      <formula1>"Satın Alma (Tapuya Tescil),Bina İnşaatı (Cins Tashih),Finansal Kiralama (Mülkiyet Tescil),Devir/Bölünme (Önceki Kurum Tarihi),Kamulaştırma Karşılığı,Diğer"</formula1>
    </dataValidation>
    <dataValidation type="list" sqref="C37" xr:uid="{00000000-0002-0000-0000-000009000000}">
      <formula1>"EVET,HAYIR"</formula1>
    </dataValidation>
    <dataValidation type="list" sqref="C55" xr:uid="{00000000-0002-0000-0000-00000A000000}">
      <formula1>"(Yukarıdan seçin),%75,%50,%25,YOK — İstisna Kaldırıldı"</formula1>
    </dataValidation>
    <dataValidation type="list" sqref="C83" xr:uid="{00000000-0002-0000-0000-00000B000000}">
      <formula1>"EVET,HAYIR-Uygulanmaz"</formula1>
    </dataValidation>
    <dataValidation type="list" sqref="C84" xr:uid="{00000000-0002-0000-0000-00000C000000}">
      <formula1>"EVET,HAYIR-KDV İstisnası Yok"</formula1>
    </dataValidation>
    <dataValidation type="list" sqref="C85" xr:uid="{00000000-0002-0000-0000-00000D000000}">
      <formula1>"EVET,HAYIR-KDV Hesaplanır"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7"/>
  <sheetViews>
    <sheetView workbookViewId="0"/>
  </sheetViews>
  <sheetFormatPr defaultRowHeight="14.4" x14ac:dyDescent="0.55000000000000004"/>
  <cols>
    <col min="1" max="1" width="4" customWidth="1"/>
    <col min="2" max="2" width="40" customWidth="1"/>
    <col min="3" max="3" width="18" customWidth="1"/>
    <col min="4" max="4" width="16" customWidth="1"/>
    <col min="5" max="5" width="14" customWidth="1"/>
    <col min="6" max="6" width="12" customWidth="1"/>
    <col min="7" max="7" width="20" customWidth="1"/>
  </cols>
  <sheetData>
    <row r="1" spans="1:7" ht="36" customHeight="1" x14ac:dyDescent="0.55000000000000004">
      <c r="A1" s="165" t="s">
        <v>186</v>
      </c>
      <c r="B1" s="133"/>
      <c r="C1" s="133"/>
      <c r="D1" s="133"/>
      <c r="E1" s="133"/>
      <c r="F1" s="133"/>
      <c r="G1" s="134"/>
    </row>
    <row r="2" spans="1:7" ht="20.05" customHeight="1" x14ac:dyDescent="0.55000000000000004">
      <c r="A2" s="150" t="s">
        <v>187</v>
      </c>
      <c r="B2" s="111"/>
      <c r="C2" s="111"/>
      <c r="D2" s="111"/>
      <c r="E2" s="111"/>
      <c r="F2" s="111"/>
      <c r="G2" s="112"/>
    </row>
    <row r="3" spans="1:7" ht="5.05" customHeight="1" x14ac:dyDescent="0.55000000000000004">
      <c r="A3" s="9"/>
      <c r="B3" s="9"/>
      <c r="C3" s="9"/>
      <c r="D3" s="9"/>
      <c r="E3" s="9"/>
      <c r="F3" s="9"/>
      <c r="G3" s="9"/>
    </row>
    <row r="4" spans="1:7" ht="22" customHeight="1" x14ac:dyDescent="0.55000000000000004">
      <c r="A4" s="157" t="s">
        <v>188</v>
      </c>
      <c r="B4" s="133"/>
      <c r="C4" s="133"/>
      <c r="D4" s="133"/>
      <c r="E4" s="133"/>
      <c r="F4" s="133"/>
      <c r="G4" s="134"/>
    </row>
    <row r="5" spans="1:7" ht="22" customHeight="1" x14ac:dyDescent="0.55000000000000004">
      <c r="A5" s="161" t="s">
        <v>189</v>
      </c>
      <c r="B5" s="111"/>
      <c r="C5" s="112"/>
      <c r="D5" s="28" t="str">
        <f>'VERİ GİRİŞİ'!E20</f>
        <v>HATA - Ön koşul eksik</v>
      </c>
      <c r="E5" s="139" t="s">
        <v>190</v>
      </c>
      <c r="F5" s="111"/>
      <c r="G5" s="112"/>
    </row>
    <row r="6" spans="1:7" ht="22" customHeight="1" x14ac:dyDescent="0.55000000000000004">
      <c r="A6" s="158" t="s">
        <v>191</v>
      </c>
      <c r="B6" s="111"/>
      <c r="C6" s="112"/>
      <c r="D6" s="28" t="str">
        <f>'VERİ GİRİŞİ'!C48</f>
        <v>HAYIR — Süre Yetersiz</v>
      </c>
      <c r="E6" s="130" t="s">
        <v>192</v>
      </c>
      <c r="F6" s="111"/>
      <c r="G6" s="112"/>
    </row>
    <row r="7" spans="1:7" ht="22" customHeight="1" x14ac:dyDescent="0.55000000000000004">
      <c r="A7" s="161" t="s">
        <v>193</v>
      </c>
      <c r="B7" s="111"/>
      <c r="C7" s="112"/>
      <c r="D7" s="28">
        <f>'VERİ GİRİŞİ'!C47</f>
        <v>0</v>
      </c>
      <c r="E7" s="139" t="s">
        <v>194</v>
      </c>
      <c r="F7" s="111"/>
      <c r="G7" s="112"/>
    </row>
    <row r="8" spans="1:7" ht="22" customHeight="1" x14ac:dyDescent="0.55000000000000004">
      <c r="A8" s="158" t="s">
        <v>195</v>
      </c>
      <c r="B8" s="111"/>
      <c r="C8" s="112"/>
      <c r="D8" s="28" t="str">
        <f>'VERİ GİRİŞİ'!C56</f>
        <v>(Yukarıdan seçin)</v>
      </c>
      <c r="E8" s="130" t="s">
        <v>196</v>
      </c>
      <c r="F8" s="111"/>
      <c r="G8" s="112"/>
    </row>
    <row r="9" spans="1:7" ht="22" customHeight="1" x14ac:dyDescent="0.55000000000000004">
      <c r="A9" s="161" t="s">
        <v>197</v>
      </c>
      <c r="B9" s="111"/>
      <c r="C9" s="112"/>
      <c r="D9" s="28">
        <f>'VERİ GİRİŞİ'!C64</f>
        <v>0</v>
      </c>
      <c r="E9" s="139" t="s">
        <v>198</v>
      </c>
      <c r="F9" s="111"/>
      <c r="G9" s="112"/>
    </row>
    <row r="10" spans="1:7" ht="22" customHeight="1" x14ac:dyDescent="0.55000000000000004">
      <c r="A10" s="164" t="s">
        <v>199</v>
      </c>
      <c r="B10" s="111"/>
      <c r="C10" s="112"/>
      <c r="D10" s="29">
        <f>'VERİ GİRİŞİ'!C66</f>
        <v>0</v>
      </c>
      <c r="E10" s="123"/>
      <c r="F10" s="111"/>
      <c r="G10" s="112"/>
    </row>
    <row r="11" spans="1:7" ht="22" customHeight="1" x14ac:dyDescent="0.55000000000000004">
      <c r="A11" s="161" t="s">
        <v>200</v>
      </c>
      <c r="B11" s="111"/>
      <c r="C11" s="112"/>
      <c r="D11" s="28">
        <f>'VERİ GİRİŞİ'!C68</f>
        <v>0</v>
      </c>
      <c r="E11" s="139" t="s">
        <v>201</v>
      </c>
      <c r="F11" s="111"/>
      <c r="G11" s="112"/>
    </row>
    <row r="12" spans="1:7" ht="22" customHeight="1" x14ac:dyDescent="0.55000000000000004">
      <c r="A12" s="158" t="s">
        <v>202</v>
      </c>
      <c r="B12" s="111"/>
      <c r="C12" s="112"/>
      <c r="D12" s="28" t="str">
        <f>'VERİ GİRİŞİ'!C86</f>
        <v>EVET</v>
      </c>
      <c r="E12" s="130" t="s">
        <v>203</v>
      </c>
      <c r="F12" s="111"/>
      <c r="G12" s="112"/>
    </row>
    <row r="13" spans="1:7" ht="5.05" customHeight="1" x14ac:dyDescent="0.55000000000000004">
      <c r="A13" s="9"/>
      <c r="B13" s="9"/>
      <c r="C13" s="9"/>
      <c r="D13" s="9"/>
      <c r="E13" s="9"/>
      <c r="F13" s="9"/>
      <c r="G13" s="9"/>
    </row>
    <row r="14" spans="1:7" ht="22" customHeight="1" x14ac:dyDescent="0.55000000000000004">
      <c r="A14" s="147" t="s">
        <v>204</v>
      </c>
      <c r="B14" s="133"/>
      <c r="C14" s="133"/>
      <c r="D14" s="133"/>
      <c r="E14" s="133"/>
      <c r="F14" s="133"/>
      <c r="G14" s="134"/>
    </row>
    <row r="15" spans="1:7" ht="18" customHeight="1" x14ac:dyDescent="0.55000000000000004">
      <c r="A15" s="10"/>
      <c r="B15" s="10" t="s">
        <v>97</v>
      </c>
      <c r="C15" s="10" t="s">
        <v>205</v>
      </c>
      <c r="D15" s="10" t="s">
        <v>206</v>
      </c>
      <c r="E15" s="10" t="s">
        <v>207</v>
      </c>
      <c r="F15" s="10" t="s">
        <v>99</v>
      </c>
      <c r="G15" s="10" t="s">
        <v>208</v>
      </c>
    </row>
    <row r="16" spans="1:7" ht="26.05" customHeight="1" x14ac:dyDescent="0.55000000000000004">
      <c r="A16" s="30" t="s">
        <v>103</v>
      </c>
      <c r="B16" s="31" t="s">
        <v>209</v>
      </c>
      <c r="C16" s="32" t="s">
        <v>210</v>
      </c>
      <c r="D16" s="33" t="s">
        <v>3</v>
      </c>
      <c r="E16" s="34" t="s">
        <v>102</v>
      </c>
      <c r="F16" s="155"/>
      <c r="G16" s="112"/>
    </row>
    <row r="17" spans="1:7" ht="26.05" customHeight="1" x14ac:dyDescent="0.55000000000000004">
      <c r="A17" s="35" t="s">
        <v>106</v>
      </c>
      <c r="B17" s="36" t="s">
        <v>211</v>
      </c>
      <c r="C17" s="37" t="s">
        <v>212</v>
      </c>
      <c r="D17" s="38" t="s">
        <v>5</v>
      </c>
      <c r="E17" s="39" t="s">
        <v>105</v>
      </c>
      <c r="F17" s="163"/>
      <c r="G17" s="112"/>
    </row>
    <row r="18" spans="1:7" ht="26.05" customHeight="1" x14ac:dyDescent="0.55000000000000004">
      <c r="A18" s="40" t="s">
        <v>213</v>
      </c>
      <c r="B18" s="41" t="s">
        <v>211</v>
      </c>
      <c r="C18" s="42" t="s">
        <v>214</v>
      </c>
      <c r="D18" s="43" t="s">
        <v>7</v>
      </c>
      <c r="E18" s="44" t="s">
        <v>215</v>
      </c>
      <c r="F18" s="162"/>
      <c r="G18" s="112"/>
    </row>
    <row r="19" spans="1:7" ht="26.05" customHeight="1" x14ac:dyDescent="0.55000000000000004">
      <c r="A19" s="45" t="s">
        <v>112</v>
      </c>
      <c r="B19" s="46" t="s">
        <v>214</v>
      </c>
      <c r="C19" s="47" t="s">
        <v>209</v>
      </c>
      <c r="D19" s="48" t="s">
        <v>9</v>
      </c>
      <c r="E19" s="49" t="s">
        <v>216</v>
      </c>
      <c r="F19" s="120"/>
      <c r="G19" s="112"/>
    </row>
    <row r="20" spans="1:7" ht="5.05" customHeight="1" x14ac:dyDescent="0.55000000000000004">
      <c r="A20" s="9"/>
      <c r="B20" s="9"/>
      <c r="C20" s="9"/>
      <c r="D20" s="9"/>
      <c r="E20" s="9"/>
      <c r="F20" s="9"/>
      <c r="G20" s="9"/>
    </row>
    <row r="21" spans="1:7" ht="22" customHeight="1" x14ac:dyDescent="0.55000000000000004">
      <c r="A21" s="147" t="s">
        <v>217</v>
      </c>
      <c r="B21" s="133"/>
      <c r="C21" s="133"/>
      <c r="D21" s="133"/>
      <c r="E21" s="133"/>
      <c r="F21" s="133"/>
      <c r="G21" s="134"/>
    </row>
    <row r="22" spans="1:7" ht="18" customHeight="1" x14ac:dyDescent="0.55000000000000004">
      <c r="A22" s="10"/>
      <c r="B22" s="10" t="s">
        <v>218</v>
      </c>
      <c r="C22" s="10"/>
      <c r="D22" s="10" t="s">
        <v>219</v>
      </c>
      <c r="E22" s="10"/>
      <c r="F22" s="10" t="s">
        <v>220</v>
      </c>
      <c r="G22" s="10"/>
    </row>
    <row r="23" spans="1:7" ht="22" customHeight="1" x14ac:dyDescent="0.55000000000000004">
      <c r="A23" s="50" t="s">
        <v>221</v>
      </c>
      <c r="B23" s="154" t="s">
        <v>222</v>
      </c>
      <c r="C23" s="112"/>
      <c r="D23" s="160" t="s">
        <v>223</v>
      </c>
      <c r="E23" s="112"/>
      <c r="F23" s="52" t="s">
        <v>224</v>
      </c>
      <c r="G23" s="12"/>
    </row>
    <row r="24" spans="1:7" ht="22" customHeight="1" x14ac:dyDescent="0.55000000000000004">
      <c r="A24" s="50" t="s">
        <v>225</v>
      </c>
      <c r="B24" s="154" t="s">
        <v>226</v>
      </c>
      <c r="C24" s="112"/>
      <c r="D24" s="160" t="s">
        <v>227</v>
      </c>
      <c r="E24" s="112"/>
      <c r="F24" s="52" t="s">
        <v>224</v>
      </c>
      <c r="G24" s="4"/>
    </row>
    <row r="25" spans="1:7" ht="22" customHeight="1" x14ac:dyDescent="0.55000000000000004">
      <c r="A25" s="50" t="s">
        <v>228</v>
      </c>
      <c r="B25" s="154" t="s">
        <v>229</v>
      </c>
      <c r="C25" s="112"/>
      <c r="D25" s="160" t="s">
        <v>230</v>
      </c>
      <c r="E25" s="112"/>
      <c r="F25" s="52" t="s">
        <v>224</v>
      </c>
      <c r="G25" s="12"/>
    </row>
    <row r="26" spans="1:7" ht="22" customHeight="1" x14ac:dyDescent="0.55000000000000004">
      <c r="A26" s="50" t="s">
        <v>231</v>
      </c>
      <c r="B26" s="154" t="s">
        <v>232</v>
      </c>
      <c r="C26" s="112"/>
      <c r="D26" s="160" t="s">
        <v>233</v>
      </c>
      <c r="E26" s="112"/>
      <c r="F26" s="52" t="s">
        <v>224</v>
      </c>
      <c r="G26" s="4"/>
    </row>
    <row r="27" spans="1:7" ht="44.05" customHeight="1" x14ac:dyDescent="0.55000000000000004">
      <c r="A27" s="50" t="s">
        <v>234</v>
      </c>
      <c r="B27" s="159" t="s">
        <v>235</v>
      </c>
      <c r="C27" s="112"/>
      <c r="D27" s="160" t="s">
        <v>236</v>
      </c>
      <c r="E27" s="112"/>
      <c r="F27" s="52" t="s">
        <v>224</v>
      </c>
      <c r="G27" s="12"/>
    </row>
    <row r="28" spans="1:7" ht="22" customHeight="1" x14ac:dyDescent="0.55000000000000004">
      <c r="A28" s="50" t="s">
        <v>237</v>
      </c>
      <c r="B28" s="168" t="s">
        <v>238</v>
      </c>
      <c r="C28" s="112"/>
      <c r="D28" s="156" t="s">
        <v>239</v>
      </c>
      <c r="E28" s="112"/>
      <c r="F28" s="52" t="s">
        <v>224</v>
      </c>
      <c r="G28" s="4"/>
    </row>
    <row r="29" spans="1:7" ht="22" customHeight="1" x14ac:dyDescent="0.55000000000000004">
      <c r="A29" s="50" t="s">
        <v>240</v>
      </c>
      <c r="B29" s="166" t="s">
        <v>241</v>
      </c>
      <c r="C29" s="112"/>
      <c r="D29" s="169" t="s">
        <v>242</v>
      </c>
      <c r="E29" s="112"/>
      <c r="F29" s="52" t="s">
        <v>224</v>
      </c>
      <c r="G29" s="12"/>
    </row>
    <row r="30" spans="1:7" ht="22" customHeight="1" x14ac:dyDescent="0.55000000000000004">
      <c r="A30" s="50" t="s">
        <v>243</v>
      </c>
      <c r="B30" s="168" t="s">
        <v>244</v>
      </c>
      <c r="C30" s="112"/>
      <c r="D30" s="156" t="s">
        <v>245</v>
      </c>
      <c r="E30" s="112"/>
      <c r="F30" s="52" t="s">
        <v>224</v>
      </c>
      <c r="G30" s="4"/>
    </row>
    <row r="31" spans="1:7" ht="22" customHeight="1" x14ac:dyDescent="0.55000000000000004">
      <c r="A31" s="50" t="s">
        <v>246</v>
      </c>
      <c r="B31" s="154" t="s">
        <v>247</v>
      </c>
      <c r="C31" s="112"/>
      <c r="D31" s="160" t="s">
        <v>248</v>
      </c>
      <c r="E31" s="112"/>
      <c r="F31" s="52" t="s">
        <v>224</v>
      </c>
      <c r="G31" s="12"/>
    </row>
    <row r="32" spans="1:7" ht="22" customHeight="1" x14ac:dyDescent="0.55000000000000004">
      <c r="A32" s="50" t="s">
        <v>249</v>
      </c>
      <c r="B32" s="154" t="s">
        <v>250</v>
      </c>
      <c r="C32" s="112"/>
      <c r="D32" s="160" t="s">
        <v>251</v>
      </c>
      <c r="E32" s="112"/>
      <c r="F32" s="52" t="s">
        <v>224</v>
      </c>
      <c r="G32" s="4"/>
    </row>
    <row r="33" spans="1:7" ht="22" customHeight="1" x14ac:dyDescent="0.55000000000000004">
      <c r="A33" s="50" t="s">
        <v>252</v>
      </c>
      <c r="B33" s="166" t="s">
        <v>253</v>
      </c>
      <c r="C33" s="112"/>
      <c r="D33" s="169" t="s">
        <v>254</v>
      </c>
      <c r="E33" s="112"/>
      <c r="F33" s="52" t="s">
        <v>224</v>
      </c>
      <c r="G33" s="12"/>
    </row>
    <row r="34" spans="1:7" ht="22" customHeight="1" x14ac:dyDescent="0.55000000000000004">
      <c r="A34" s="50" t="s">
        <v>255</v>
      </c>
      <c r="B34" s="168" t="s">
        <v>256</v>
      </c>
      <c r="C34" s="112"/>
      <c r="D34" s="156" t="s">
        <v>257</v>
      </c>
      <c r="E34" s="112"/>
      <c r="F34" s="52" t="s">
        <v>224</v>
      </c>
      <c r="G34" s="4"/>
    </row>
    <row r="35" spans="1:7" ht="22" customHeight="1" x14ac:dyDescent="0.55000000000000004">
      <c r="A35" s="50" t="s">
        <v>258</v>
      </c>
      <c r="B35" s="166" t="s">
        <v>259</v>
      </c>
      <c r="C35" s="112"/>
      <c r="D35" s="169" t="s">
        <v>260</v>
      </c>
      <c r="E35" s="112"/>
      <c r="F35" s="52" t="s">
        <v>224</v>
      </c>
      <c r="G35" s="12"/>
    </row>
    <row r="36" spans="1:7" ht="22" customHeight="1" x14ac:dyDescent="0.55000000000000004">
      <c r="A36" s="50" t="s">
        <v>261</v>
      </c>
      <c r="B36" s="168" t="s">
        <v>262</v>
      </c>
      <c r="C36" s="112"/>
      <c r="D36" s="156" t="s">
        <v>263</v>
      </c>
      <c r="E36" s="112"/>
      <c r="F36" s="52" t="s">
        <v>224</v>
      </c>
      <c r="G36" s="4"/>
    </row>
    <row r="37" spans="1:7" ht="26.05" customHeight="1" x14ac:dyDescent="0.55000000000000004">
      <c r="A37" s="102" t="s">
        <v>264</v>
      </c>
      <c r="B37" s="103" t="s">
        <v>265</v>
      </c>
      <c r="C37" s="167" t="s">
        <v>266</v>
      </c>
      <c r="D37" s="135"/>
      <c r="E37" s="135"/>
      <c r="F37" s="104" t="s">
        <v>224</v>
      </c>
      <c r="G37" s="105"/>
    </row>
  </sheetData>
  <mergeCells count="54">
    <mergeCell ref="B36:C36"/>
    <mergeCell ref="A2:G2"/>
    <mergeCell ref="B32:C32"/>
    <mergeCell ref="B26:C26"/>
    <mergeCell ref="A7:C7"/>
    <mergeCell ref="D26:E26"/>
    <mergeCell ref="B35:C35"/>
    <mergeCell ref="D35:E35"/>
    <mergeCell ref="A1:G1"/>
    <mergeCell ref="B29:C29"/>
    <mergeCell ref="C37:E37"/>
    <mergeCell ref="B34:C34"/>
    <mergeCell ref="B28:C28"/>
    <mergeCell ref="A9:C9"/>
    <mergeCell ref="D28:E28"/>
    <mergeCell ref="E12:G12"/>
    <mergeCell ref="D25:E25"/>
    <mergeCell ref="B24:C24"/>
    <mergeCell ref="B30:C30"/>
    <mergeCell ref="A11:C11"/>
    <mergeCell ref="D24:E24"/>
    <mergeCell ref="D30:E30"/>
    <mergeCell ref="B33:C33"/>
    <mergeCell ref="E5:G5"/>
    <mergeCell ref="D36:E36"/>
    <mergeCell ref="D31:E31"/>
    <mergeCell ref="E6:G6"/>
    <mergeCell ref="E11:G11"/>
    <mergeCell ref="A5:C5"/>
    <mergeCell ref="A8:C8"/>
    <mergeCell ref="D27:E27"/>
    <mergeCell ref="F18:G18"/>
    <mergeCell ref="B23:C23"/>
    <mergeCell ref="D32:E32"/>
    <mergeCell ref="E7:G7"/>
    <mergeCell ref="F17:G17"/>
    <mergeCell ref="A10:C10"/>
    <mergeCell ref="A21:G21"/>
    <mergeCell ref="D29:E29"/>
    <mergeCell ref="D33:E33"/>
    <mergeCell ref="A4:G4"/>
    <mergeCell ref="E9:G9"/>
    <mergeCell ref="B31:C31"/>
    <mergeCell ref="A12:C12"/>
    <mergeCell ref="B27:C27"/>
    <mergeCell ref="A6:C6"/>
    <mergeCell ref="E8:G8"/>
    <mergeCell ref="D23:E23"/>
    <mergeCell ref="E10:G10"/>
    <mergeCell ref="A14:G14"/>
    <mergeCell ref="B25:C25"/>
    <mergeCell ref="F16:G16"/>
    <mergeCell ref="D34:E34"/>
    <mergeCell ref="F19:G19"/>
  </mergeCells>
  <conditionalFormatting sqref="D5">
    <cfRule type="containsText" dxfId="3" priority="1" operator="containsText" text="OK">
      <formula>NOT(ISERROR(SEARCH("OK",D5)))</formula>
    </cfRule>
    <cfRule type="containsText" dxfId="2" priority="2" operator="containsText" text="HATA">
      <formula>NOT(ISERROR(SEARCH("HATA",D5)))</formula>
    </cfRule>
  </conditionalFormatting>
  <conditionalFormatting sqref="D6">
    <cfRule type="containsText" dxfId="1" priority="3" operator="containsText" text="EVET">
      <formula>NOT(ISERROR(SEARCH("EVET",D6)))</formula>
    </cfRule>
    <cfRule type="containsText" dxfId="0" priority="4" operator="containsText" text="HAYIR">
      <formula>NOT(ISERROR(SEARCH("HAYIR",D6)))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7"/>
  <sheetViews>
    <sheetView workbookViewId="0"/>
  </sheetViews>
  <sheetFormatPr defaultRowHeight="14.4" x14ac:dyDescent="0.55000000000000004"/>
  <cols>
    <col min="1" max="1" width="4" customWidth="1"/>
    <col min="2" max="2" width="10" customWidth="1"/>
    <col min="3" max="3" width="28" customWidth="1"/>
    <col min="4" max="4" width="22" customWidth="1"/>
    <col min="5" max="6" width="14" customWidth="1"/>
    <col min="7" max="7" width="20" customWidth="1"/>
  </cols>
  <sheetData>
    <row r="1" spans="1:7" ht="28" customHeight="1" x14ac:dyDescent="0.55000000000000004">
      <c r="A1" s="170" t="s">
        <v>267</v>
      </c>
      <c r="B1" s="133"/>
      <c r="C1" s="133"/>
      <c r="D1" s="133"/>
      <c r="E1" s="133"/>
      <c r="F1" s="133"/>
      <c r="G1" s="134"/>
    </row>
    <row r="2" spans="1:7" ht="20.05" customHeight="1" x14ac:dyDescent="0.55000000000000004">
      <c r="A2" s="150" t="s">
        <v>268</v>
      </c>
      <c r="B2" s="111"/>
      <c r="C2" s="111"/>
      <c r="D2" s="111"/>
      <c r="E2" s="111"/>
      <c r="F2" s="111"/>
      <c r="G2" s="112"/>
    </row>
    <row r="3" spans="1:7" ht="22" customHeight="1" x14ac:dyDescent="0.55000000000000004">
      <c r="A3" s="173" t="s">
        <v>269</v>
      </c>
      <c r="B3" s="111"/>
      <c r="C3" s="111"/>
      <c r="D3" s="111"/>
      <c r="E3" s="111"/>
      <c r="F3" s="111"/>
      <c r="G3" s="112"/>
    </row>
    <row r="4" spans="1:7" ht="26.05" customHeight="1" x14ac:dyDescent="0.55000000000000004">
      <c r="A4" s="147" t="s">
        <v>270</v>
      </c>
      <c r="B4" s="133"/>
      <c r="C4" s="133"/>
      <c r="D4" s="133"/>
      <c r="E4" s="133"/>
      <c r="F4" s="133"/>
      <c r="G4" s="134"/>
    </row>
    <row r="5" spans="1:7" ht="18" customHeight="1" x14ac:dyDescent="0.55000000000000004">
      <c r="A5" s="10"/>
      <c r="B5" s="10" t="s">
        <v>271</v>
      </c>
      <c r="C5" s="10" t="s">
        <v>272</v>
      </c>
      <c r="D5" s="10" t="s">
        <v>208</v>
      </c>
      <c r="E5" s="10" t="s">
        <v>273</v>
      </c>
      <c r="F5" s="10" t="s">
        <v>274</v>
      </c>
      <c r="G5" s="10" t="s">
        <v>275</v>
      </c>
    </row>
    <row r="6" spans="1:7" ht="26.05" customHeight="1" x14ac:dyDescent="0.55000000000000004">
      <c r="A6" s="56" t="s">
        <v>273</v>
      </c>
      <c r="B6" s="56" t="s">
        <v>276</v>
      </c>
      <c r="C6" s="56" t="s">
        <v>277</v>
      </c>
      <c r="D6" s="56" t="s">
        <v>278</v>
      </c>
      <c r="E6" s="56" t="s">
        <v>279</v>
      </c>
      <c r="F6" s="56" t="s">
        <v>280</v>
      </c>
      <c r="G6" s="56" t="s">
        <v>281</v>
      </c>
    </row>
    <row r="7" spans="1:7" ht="26.05" customHeight="1" x14ac:dyDescent="0.55000000000000004">
      <c r="A7" s="57" t="s">
        <v>274</v>
      </c>
      <c r="B7" s="57" t="s">
        <v>276</v>
      </c>
      <c r="C7" s="57" t="s">
        <v>282</v>
      </c>
      <c r="D7" s="57" t="s">
        <v>283</v>
      </c>
      <c r="E7" s="57" t="s">
        <v>280</v>
      </c>
      <c r="F7" s="57" t="s">
        <v>284</v>
      </c>
      <c r="G7" s="57" t="s">
        <v>285</v>
      </c>
    </row>
    <row r="8" spans="1:7" ht="26.05" customHeight="1" x14ac:dyDescent="0.55000000000000004">
      <c r="A8" s="56" t="s">
        <v>274</v>
      </c>
      <c r="B8" s="56" t="s">
        <v>276</v>
      </c>
      <c r="C8" s="56" t="s">
        <v>286</v>
      </c>
      <c r="D8" s="56" t="s">
        <v>287</v>
      </c>
      <c r="E8" s="56" t="s">
        <v>280</v>
      </c>
      <c r="F8" s="56" t="s">
        <v>288</v>
      </c>
      <c r="G8" s="56" t="s">
        <v>289</v>
      </c>
    </row>
    <row r="9" spans="1:7" ht="26.05" customHeight="1" x14ac:dyDescent="0.55000000000000004">
      <c r="A9" s="57" t="s">
        <v>274</v>
      </c>
      <c r="B9" s="57" t="s">
        <v>276</v>
      </c>
      <c r="C9" s="57" t="s">
        <v>290</v>
      </c>
      <c r="D9" s="57" t="s">
        <v>291</v>
      </c>
      <c r="E9" s="57" t="s">
        <v>280</v>
      </c>
      <c r="F9" s="57" t="s">
        <v>292</v>
      </c>
      <c r="G9" s="57" t="s">
        <v>293</v>
      </c>
    </row>
    <row r="10" spans="1:7" ht="24" customHeight="1" x14ac:dyDescent="0.55000000000000004">
      <c r="A10" s="173" t="s">
        <v>294</v>
      </c>
      <c r="B10" s="111"/>
      <c r="C10" s="111"/>
      <c r="D10" s="111"/>
      <c r="E10" s="111"/>
      <c r="F10" s="111"/>
      <c r="G10" s="112"/>
    </row>
    <row r="11" spans="1:7" ht="22" customHeight="1" x14ac:dyDescent="0.55000000000000004">
      <c r="A11" s="175" t="s">
        <v>295</v>
      </c>
      <c r="B11" s="111"/>
      <c r="C11" s="111"/>
      <c r="D11" s="111"/>
      <c r="E11" s="111"/>
      <c r="F11" s="111"/>
      <c r="G11" s="112"/>
    </row>
    <row r="12" spans="1:7" ht="26.05" customHeight="1" x14ac:dyDescent="0.55000000000000004">
      <c r="A12" s="147" t="s">
        <v>296</v>
      </c>
      <c r="B12" s="133"/>
      <c r="C12" s="133"/>
      <c r="D12" s="133"/>
      <c r="E12" s="133"/>
      <c r="F12" s="133"/>
      <c r="G12" s="134"/>
    </row>
    <row r="13" spans="1:7" ht="18" customHeight="1" x14ac:dyDescent="0.55000000000000004">
      <c r="A13" s="10"/>
      <c r="B13" s="10" t="s">
        <v>271</v>
      </c>
      <c r="C13" s="10" t="s">
        <v>272</v>
      </c>
      <c r="D13" s="10" t="s">
        <v>208</v>
      </c>
      <c r="E13" s="10" t="s">
        <v>273</v>
      </c>
      <c r="F13" s="10" t="s">
        <v>274</v>
      </c>
      <c r="G13" s="10" t="s">
        <v>275</v>
      </c>
    </row>
    <row r="14" spans="1:7" ht="26.05" customHeight="1" x14ac:dyDescent="0.55000000000000004">
      <c r="A14" s="56" t="s">
        <v>273</v>
      </c>
      <c r="B14" s="56" t="s">
        <v>297</v>
      </c>
      <c r="C14" s="56" t="s">
        <v>290</v>
      </c>
      <c r="D14" s="56" t="s">
        <v>298</v>
      </c>
      <c r="E14" s="56" t="s">
        <v>299</v>
      </c>
      <c r="F14" s="56" t="s">
        <v>280</v>
      </c>
      <c r="G14" s="56" t="s">
        <v>300</v>
      </c>
    </row>
    <row r="15" spans="1:7" ht="26.05" customHeight="1" x14ac:dyDescent="0.55000000000000004">
      <c r="A15" s="57" t="s">
        <v>274</v>
      </c>
      <c r="B15" s="57" t="s">
        <v>297</v>
      </c>
      <c r="C15" s="57" t="s">
        <v>301</v>
      </c>
      <c r="D15" s="57" t="s">
        <v>302</v>
      </c>
      <c r="E15" s="57" t="s">
        <v>280</v>
      </c>
      <c r="F15" s="57" t="s">
        <v>299</v>
      </c>
      <c r="G15" s="57" t="s">
        <v>303</v>
      </c>
    </row>
    <row r="16" spans="1:7" ht="24" customHeight="1" x14ac:dyDescent="0.55000000000000004">
      <c r="A16" s="174" t="s">
        <v>304</v>
      </c>
      <c r="B16" s="111"/>
      <c r="C16" s="111"/>
      <c r="D16" s="111"/>
      <c r="E16" s="111"/>
      <c r="F16" s="111"/>
      <c r="G16" s="112"/>
    </row>
    <row r="17" spans="1:7" ht="36" customHeight="1" x14ac:dyDescent="0.55000000000000004">
      <c r="A17" s="171" t="s">
        <v>305</v>
      </c>
      <c r="B17" s="172"/>
      <c r="C17" s="172"/>
      <c r="D17" s="172"/>
      <c r="E17" s="172"/>
      <c r="F17" s="172"/>
      <c r="G17" s="172"/>
    </row>
  </sheetData>
  <mergeCells count="9">
    <mergeCell ref="A1:G1"/>
    <mergeCell ref="A17:G17"/>
    <mergeCell ref="A3:G3"/>
    <mergeCell ref="A12:G12"/>
    <mergeCell ref="A4:G4"/>
    <mergeCell ref="A16:G16"/>
    <mergeCell ref="A2:G2"/>
    <mergeCell ref="A11:G11"/>
    <mergeCell ref="A10:G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"/>
  <sheetViews>
    <sheetView workbookViewId="0"/>
  </sheetViews>
  <sheetFormatPr defaultRowHeight="14.4" x14ac:dyDescent="0.55000000000000004"/>
  <cols>
    <col min="1" max="1" width="4" customWidth="1"/>
    <col min="2" max="2" width="24" customWidth="1"/>
    <col min="3" max="3" width="50" customWidth="1"/>
    <col min="4" max="4" width="22" customWidth="1"/>
  </cols>
  <sheetData>
    <row r="1" spans="1:7" ht="36" customHeight="1" x14ac:dyDescent="0.55000000000000004">
      <c r="A1" s="144" t="s">
        <v>306</v>
      </c>
      <c r="B1" s="133"/>
      <c r="C1" s="133"/>
      <c r="D1" s="133"/>
      <c r="E1" s="133"/>
      <c r="F1" s="133"/>
      <c r="G1" s="134"/>
    </row>
    <row r="2" spans="1:7" ht="22" customHeight="1" x14ac:dyDescent="0.55000000000000004">
      <c r="A2" s="177" t="s">
        <v>307</v>
      </c>
      <c r="B2" s="133"/>
      <c r="C2" s="133"/>
      <c r="D2" s="133"/>
      <c r="E2" s="133"/>
      <c r="F2" s="133"/>
      <c r="G2" s="134"/>
    </row>
    <row r="3" spans="1:7" ht="18" customHeight="1" x14ac:dyDescent="0.55000000000000004">
      <c r="A3" s="10" t="s">
        <v>308</v>
      </c>
      <c r="B3" s="10" t="s">
        <v>309</v>
      </c>
      <c r="C3" s="10" t="s">
        <v>310</v>
      </c>
      <c r="D3" s="10" t="s">
        <v>311</v>
      </c>
    </row>
    <row r="4" spans="1:7" ht="80.05" customHeight="1" x14ac:dyDescent="0.55000000000000004">
      <c r="A4" s="50" t="s">
        <v>312</v>
      </c>
      <c r="B4" s="53" t="s">
        <v>313</v>
      </c>
      <c r="C4" s="58" t="s">
        <v>314</v>
      </c>
      <c r="D4" s="59" t="s">
        <v>315</v>
      </c>
    </row>
    <row r="5" spans="1:7" ht="72" customHeight="1" x14ac:dyDescent="0.55000000000000004">
      <c r="A5" s="50" t="s">
        <v>316</v>
      </c>
      <c r="B5" s="55" t="s">
        <v>317</v>
      </c>
      <c r="C5" s="51" t="s">
        <v>318</v>
      </c>
      <c r="D5" s="60" t="s">
        <v>319</v>
      </c>
    </row>
    <row r="6" spans="1:7" ht="64" customHeight="1" x14ac:dyDescent="0.55000000000000004">
      <c r="A6" s="50" t="s">
        <v>320</v>
      </c>
      <c r="B6" s="53" t="s">
        <v>321</v>
      </c>
      <c r="C6" s="58" t="s">
        <v>322</v>
      </c>
      <c r="D6" s="59" t="s">
        <v>323</v>
      </c>
    </row>
    <row r="7" spans="1:7" ht="64" customHeight="1" x14ac:dyDescent="0.55000000000000004">
      <c r="A7" s="50" t="s">
        <v>324</v>
      </c>
      <c r="B7" s="55" t="s">
        <v>325</v>
      </c>
      <c r="C7" s="51" t="s">
        <v>326</v>
      </c>
      <c r="D7" s="60" t="s">
        <v>327</v>
      </c>
    </row>
    <row r="8" spans="1:7" ht="80.05" customHeight="1" x14ac:dyDescent="0.55000000000000004">
      <c r="A8" s="50" t="s">
        <v>328</v>
      </c>
      <c r="B8" s="53" t="s">
        <v>329</v>
      </c>
      <c r="C8" s="58" t="s">
        <v>330</v>
      </c>
      <c r="D8" s="59" t="s">
        <v>331</v>
      </c>
    </row>
    <row r="9" spans="1:7" ht="140.05000000000001" customHeight="1" x14ac:dyDescent="0.55000000000000004">
      <c r="A9" s="106" t="s">
        <v>332</v>
      </c>
      <c r="B9" s="103" t="s">
        <v>333</v>
      </c>
      <c r="C9" s="107" t="s">
        <v>334</v>
      </c>
      <c r="D9" s="108" t="s">
        <v>335</v>
      </c>
    </row>
    <row r="10" spans="1:7" ht="36" customHeight="1" x14ac:dyDescent="0.55000000000000004">
      <c r="A10" s="176" t="s">
        <v>336</v>
      </c>
      <c r="B10" s="133"/>
      <c r="C10" s="133"/>
      <c r="D10" s="134"/>
    </row>
  </sheetData>
  <mergeCells count="3">
    <mergeCell ref="A1:G1"/>
    <mergeCell ref="A10:D10"/>
    <mergeCell ref="A2:G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6"/>
  <sheetViews>
    <sheetView workbookViewId="0"/>
  </sheetViews>
  <sheetFormatPr defaultRowHeight="14.4" x14ac:dyDescent="0.55000000000000004"/>
  <cols>
    <col min="1" max="1" width="3" customWidth="1"/>
    <col min="2" max="2" width="8" customWidth="1"/>
    <col min="3" max="3" width="40" customWidth="1"/>
    <col min="4" max="4" width="34" customWidth="1"/>
    <col min="5" max="5" width="22" customWidth="1"/>
    <col min="6" max="6" width="3" customWidth="1"/>
  </cols>
  <sheetData>
    <row r="1" spans="1:6" ht="38.049999999999997" customHeight="1" x14ac:dyDescent="0.55000000000000004">
      <c r="A1" s="181" t="s">
        <v>337</v>
      </c>
      <c r="B1" s="179"/>
      <c r="C1" s="179"/>
      <c r="D1" s="179"/>
      <c r="E1" s="179"/>
      <c r="F1" s="180"/>
    </row>
    <row r="2" spans="1:6" ht="22" customHeight="1" x14ac:dyDescent="0.55000000000000004">
      <c r="A2" s="178" t="s">
        <v>338</v>
      </c>
      <c r="B2" s="179"/>
      <c r="C2" s="179"/>
      <c r="D2" s="179"/>
      <c r="E2" s="179"/>
      <c r="F2" s="180"/>
    </row>
    <row r="3" spans="1:6" ht="5.05" customHeight="1" x14ac:dyDescent="0.55000000000000004">
      <c r="A3" s="9"/>
      <c r="B3" s="9"/>
      <c r="C3" s="9"/>
      <c r="D3" s="9"/>
      <c r="E3" s="9"/>
      <c r="F3" s="9"/>
    </row>
    <row r="4" spans="1:6" ht="36" customHeight="1" x14ac:dyDescent="0.55000000000000004">
      <c r="A4" s="188" t="s">
        <v>339</v>
      </c>
      <c r="B4" s="179"/>
      <c r="C4" s="179"/>
      <c r="D4" s="179"/>
      <c r="E4" s="179"/>
      <c r="F4" s="180"/>
    </row>
    <row r="5" spans="1:6" ht="18" customHeight="1" x14ac:dyDescent="0.55000000000000004">
      <c r="A5" s="10"/>
      <c r="B5" s="10" t="s">
        <v>340</v>
      </c>
      <c r="C5" s="10" t="s">
        <v>341</v>
      </c>
      <c r="D5" s="10" t="s">
        <v>342</v>
      </c>
      <c r="E5" s="10" t="s">
        <v>343</v>
      </c>
      <c r="F5" s="10"/>
    </row>
    <row r="6" spans="1:6" ht="44.05" customHeight="1" x14ac:dyDescent="0.55000000000000004">
      <c r="A6" s="13"/>
      <c r="B6" s="61" t="s">
        <v>344</v>
      </c>
      <c r="C6" s="62" t="s">
        <v>345</v>
      </c>
      <c r="D6" s="63" t="s">
        <v>346</v>
      </c>
      <c r="E6" s="64" t="s">
        <v>347</v>
      </c>
      <c r="F6" s="13"/>
    </row>
    <row r="7" spans="1:6" ht="44.05" customHeight="1" x14ac:dyDescent="0.55000000000000004">
      <c r="A7" s="13"/>
      <c r="B7" s="61" t="s">
        <v>348</v>
      </c>
      <c r="C7" s="62" t="s">
        <v>349</v>
      </c>
      <c r="D7" s="63" t="s">
        <v>350</v>
      </c>
      <c r="E7" s="64" t="s">
        <v>351</v>
      </c>
      <c r="F7" s="13"/>
    </row>
    <row r="8" spans="1:6" ht="40" customHeight="1" x14ac:dyDescent="0.55000000000000004">
      <c r="A8" s="13"/>
      <c r="B8" s="61" t="s">
        <v>352</v>
      </c>
      <c r="C8" s="62" t="s">
        <v>353</v>
      </c>
      <c r="D8" s="63" t="s">
        <v>354</v>
      </c>
      <c r="E8" s="64" t="s">
        <v>355</v>
      </c>
      <c r="F8" s="13"/>
    </row>
    <row r="9" spans="1:6" ht="36" customHeight="1" x14ac:dyDescent="0.55000000000000004">
      <c r="A9" s="13"/>
      <c r="B9" s="61" t="s">
        <v>356</v>
      </c>
      <c r="C9" s="62" t="s">
        <v>357</v>
      </c>
      <c r="D9" s="63" t="s">
        <v>358</v>
      </c>
      <c r="E9" s="64" t="s">
        <v>359</v>
      </c>
      <c r="F9" s="13"/>
    </row>
    <row r="10" spans="1:6" ht="36" customHeight="1" x14ac:dyDescent="0.55000000000000004">
      <c r="A10" s="13"/>
      <c r="B10" s="61" t="s">
        <v>360</v>
      </c>
      <c r="C10" s="62" t="s">
        <v>361</v>
      </c>
      <c r="D10" s="63" t="s">
        <v>362</v>
      </c>
      <c r="E10" s="64" t="s">
        <v>363</v>
      </c>
      <c r="F10" s="13"/>
    </row>
    <row r="11" spans="1:6" ht="36" customHeight="1" x14ac:dyDescent="0.55000000000000004">
      <c r="A11" s="13"/>
      <c r="B11" s="61" t="s">
        <v>364</v>
      </c>
      <c r="C11" s="62" t="s">
        <v>365</v>
      </c>
      <c r="D11" s="63" t="s">
        <v>366</v>
      </c>
      <c r="E11" s="64" t="s">
        <v>367</v>
      </c>
      <c r="F11" s="13"/>
    </row>
    <row r="12" spans="1:6" ht="40" customHeight="1" x14ac:dyDescent="0.55000000000000004">
      <c r="A12" s="13"/>
      <c r="B12" s="61" t="s">
        <v>368</v>
      </c>
      <c r="C12" s="62" t="s">
        <v>369</v>
      </c>
      <c r="D12" s="63" t="s">
        <v>370</v>
      </c>
      <c r="E12" s="64" t="s">
        <v>371</v>
      </c>
      <c r="F12" s="13"/>
    </row>
    <row r="13" spans="1:6" ht="36" customHeight="1" x14ac:dyDescent="0.55000000000000004">
      <c r="A13" s="13"/>
      <c r="B13" s="61" t="s">
        <v>372</v>
      </c>
      <c r="C13" s="62" t="s">
        <v>373</v>
      </c>
      <c r="D13" s="63" t="s">
        <v>374</v>
      </c>
      <c r="E13" s="64" t="s">
        <v>375</v>
      </c>
      <c r="F13" s="13"/>
    </row>
    <row r="14" spans="1:6" ht="5.05" customHeight="1" x14ac:dyDescent="0.55000000000000004">
      <c r="A14" s="9"/>
      <c r="B14" s="9"/>
      <c r="C14" s="9"/>
      <c r="D14" s="9"/>
      <c r="E14" s="9"/>
      <c r="F14" s="9"/>
    </row>
    <row r="15" spans="1:6" ht="36" customHeight="1" x14ac:dyDescent="0.55000000000000004">
      <c r="A15" s="189" t="s">
        <v>376</v>
      </c>
      <c r="B15" s="179"/>
      <c r="C15" s="179"/>
      <c r="D15" s="179"/>
      <c r="E15" s="179"/>
      <c r="F15" s="180"/>
    </row>
    <row r="16" spans="1:6" ht="18" customHeight="1" x14ac:dyDescent="0.55000000000000004">
      <c r="A16" s="10"/>
      <c r="B16" s="10" t="s">
        <v>340</v>
      </c>
      <c r="C16" s="10" t="s">
        <v>341</v>
      </c>
      <c r="D16" s="10" t="s">
        <v>342</v>
      </c>
      <c r="E16" s="10" t="s">
        <v>343</v>
      </c>
      <c r="F16" s="10"/>
    </row>
    <row r="17" spans="1:6" ht="40" customHeight="1" x14ac:dyDescent="0.55000000000000004">
      <c r="A17" s="65"/>
      <c r="B17" s="66" t="s">
        <v>377</v>
      </c>
      <c r="C17" s="67" t="s">
        <v>378</v>
      </c>
      <c r="D17" s="54" t="s">
        <v>379</v>
      </c>
      <c r="E17" s="68" t="s">
        <v>380</v>
      </c>
      <c r="F17" s="65"/>
    </row>
    <row r="18" spans="1:6" ht="36" customHeight="1" x14ac:dyDescent="0.55000000000000004">
      <c r="A18" s="65"/>
      <c r="B18" s="66" t="s">
        <v>381</v>
      </c>
      <c r="C18" s="67" t="s">
        <v>382</v>
      </c>
      <c r="D18" s="54" t="s">
        <v>383</v>
      </c>
      <c r="E18" s="68" t="s">
        <v>384</v>
      </c>
      <c r="F18" s="65"/>
    </row>
    <row r="19" spans="1:6" ht="36" customHeight="1" x14ac:dyDescent="0.55000000000000004">
      <c r="A19" s="65"/>
      <c r="B19" s="66" t="s">
        <v>385</v>
      </c>
      <c r="C19" s="67" t="s">
        <v>386</v>
      </c>
      <c r="D19" s="54" t="s">
        <v>387</v>
      </c>
      <c r="E19" s="68" t="s">
        <v>388</v>
      </c>
      <c r="F19" s="65"/>
    </row>
    <row r="20" spans="1:6" ht="36" customHeight="1" x14ac:dyDescent="0.55000000000000004">
      <c r="A20" s="65"/>
      <c r="B20" s="66" t="s">
        <v>389</v>
      </c>
      <c r="C20" s="67" t="s">
        <v>390</v>
      </c>
      <c r="D20" s="54" t="s">
        <v>391</v>
      </c>
      <c r="E20" s="68" t="s">
        <v>392</v>
      </c>
      <c r="F20" s="65"/>
    </row>
    <row r="21" spans="1:6" ht="5.05" customHeight="1" x14ac:dyDescent="0.55000000000000004">
      <c r="A21" s="9"/>
      <c r="B21" s="9"/>
      <c r="C21" s="9"/>
      <c r="D21" s="9"/>
      <c r="E21" s="9"/>
      <c r="F21" s="9"/>
    </row>
    <row r="22" spans="1:6" ht="36" customHeight="1" x14ac:dyDescent="0.55000000000000004">
      <c r="A22" s="182" t="s">
        <v>393</v>
      </c>
      <c r="B22" s="179"/>
      <c r="C22" s="179"/>
      <c r="D22" s="179"/>
      <c r="E22" s="179"/>
      <c r="F22" s="180"/>
    </row>
    <row r="23" spans="1:6" ht="18" customHeight="1" x14ac:dyDescent="0.55000000000000004">
      <c r="A23" s="69"/>
      <c r="B23" s="69" t="s">
        <v>340</v>
      </c>
      <c r="C23" s="69" t="s">
        <v>13</v>
      </c>
      <c r="D23" s="69" t="s">
        <v>394</v>
      </c>
      <c r="E23" s="69" t="s">
        <v>395</v>
      </c>
      <c r="F23" s="69"/>
    </row>
    <row r="24" spans="1:6" ht="40" customHeight="1" x14ac:dyDescent="0.55000000000000004">
      <c r="A24" s="8"/>
      <c r="B24" s="70" t="s">
        <v>396</v>
      </c>
      <c r="C24" s="71" t="s">
        <v>397</v>
      </c>
      <c r="D24" s="72" t="s">
        <v>398</v>
      </c>
      <c r="E24" s="73" t="s">
        <v>399</v>
      </c>
      <c r="F24" s="8"/>
    </row>
    <row r="25" spans="1:6" ht="40" customHeight="1" x14ac:dyDescent="0.55000000000000004">
      <c r="A25" s="8"/>
      <c r="B25" s="70" t="s">
        <v>400</v>
      </c>
      <c r="C25" s="71" t="s">
        <v>401</v>
      </c>
      <c r="D25" s="72" t="s">
        <v>402</v>
      </c>
      <c r="E25" s="73" t="s">
        <v>399</v>
      </c>
      <c r="F25" s="8"/>
    </row>
    <row r="26" spans="1:6" ht="40" customHeight="1" x14ac:dyDescent="0.55000000000000004">
      <c r="A26" s="8"/>
      <c r="B26" s="70" t="s">
        <v>403</v>
      </c>
      <c r="C26" s="71" t="s">
        <v>404</v>
      </c>
      <c r="D26" s="72" t="s">
        <v>405</v>
      </c>
      <c r="E26" s="73" t="s">
        <v>399</v>
      </c>
      <c r="F26" s="8"/>
    </row>
    <row r="27" spans="1:6" ht="40" customHeight="1" x14ac:dyDescent="0.55000000000000004">
      <c r="A27" s="8"/>
      <c r="B27" s="70" t="s">
        <v>406</v>
      </c>
      <c r="C27" s="71" t="s">
        <v>407</v>
      </c>
      <c r="D27" s="72" t="s">
        <v>408</v>
      </c>
      <c r="E27" s="73" t="s">
        <v>399</v>
      </c>
      <c r="F27" s="8"/>
    </row>
    <row r="28" spans="1:6" ht="40" customHeight="1" x14ac:dyDescent="0.55000000000000004">
      <c r="A28" s="8"/>
      <c r="B28" s="70" t="s">
        <v>409</v>
      </c>
      <c r="C28" s="71" t="s">
        <v>410</v>
      </c>
      <c r="D28" s="72" t="s">
        <v>411</v>
      </c>
      <c r="E28" s="73" t="s">
        <v>399</v>
      </c>
      <c r="F28" s="8"/>
    </row>
    <row r="29" spans="1:6" ht="40" customHeight="1" x14ac:dyDescent="0.55000000000000004">
      <c r="A29" s="8"/>
      <c r="B29" s="70" t="s">
        <v>412</v>
      </c>
      <c r="C29" s="71" t="s">
        <v>247</v>
      </c>
      <c r="D29" s="72" t="s">
        <v>413</v>
      </c>
      <c r="E29" s="73" t="s">
        <v>399</v>
      </c>
      <c r="F29" s="8"/>
    </row>
    <row r="30" spans="1:6" ht="40" customHeight="1" x14ac:dyDescent="0.55000000000000004">
      <c r="A30" s="8"/>
      <c r="B30" s="70" t="s">
        <v>414</v>
      </c>
      <c r="C30" s="71" t="s">
        <v>415</v>
      </c>
      <c r="D30" s="72" t="s">
        <v>416</v>
      </c>
      <c r="E30" s="73" t="s">
        <v>399</v>
      </c>
      <c r="F30" s="8"/>
    </row>
    <row r="31" spans="1:6" ht="40" customHeight="1" x14ac:dyDescent="0.55000000000000004">
      <c r="A31" s="65"/>
      <c r="B31" s="74" t="s">
        <v>417</v>
      </c>
      <c r="C31" s="75" t="s">
        <v>256</v>
      </c>
      <c r="D31" s="54" t="s">
        <v>418</v>
      </c>
      <c r="E31" s="76" t="s">
        <v>399</v>
      </c>
      <c r="F31" s="65"/>
    </row>
    <row r="32" spans="1:6" ht="40" customHeight="1" x14ac:dyDescent="0.55000000000000004">
      <c r="A32" s="65"/>
      <c r="B32" s="74" t="s">
        <v>419</v>
      </c>
      <c r="C32" s="75" t="s">
        <v>259</v>
      </c>
      <c r="D32" s="54" t="s">
        <v>420</v>
      </c>
      <c r="E32" s="76" t="s">
        <v>399</v>
      </c>
      <c r="F32" s="65"/>
    </row>
    <row r="33" spans="1:6" ht="40" customHeight="1" x14ac:dyDescent="0.55000000000000004">
      <c r="A33" s="65"/>
      <c r="B33" s="74" t="s">
        <v>421</v>
      </c>
      <c r="C33" s="75" t="s">
        <v>422</v>
      </c>
      <c r="D33" s="54" t="s">
        <v>423</v>
      </c>
      <c r="E33" s="76" t="s">
        <v>399</v>
      </c>
      <c r="F33" s="65"/>
    </row>
    <row r="34" spans="1:6" ht="5.05" customHeight="1" x14ac:dyDescent="0.55000000000000004">
      <c r="A34" s="9"/>
      <c r="B34" s="9"/>
      <c r="C34" s="9"/>
      <c r="D34" s="9"/>
      <c r="E34" s="9"/>
      <c r="F34" s="9"/>
    </row>
    <row r="35" spans="1:6" ht="44.05" customHeight="1" x14ac:dyDescent="0.55000000000000004">
      <c r="A35" s="183"/>
      <c r="B35" s="184" t="s">
        <v>424</v>
      </c>
      <c r="C35" s="185" t="s">
        <v>425</v>
      </c>
      <c r="D35" s="186" t="s">
        <v>426</v>
      </c>
      <c r="E35" s="187" t="s">
        <v>427</v>
      </c>
      <c r="F35" s="183"/>
    </row>
    <row r="36" spans="1:6" ht="409.5" x14ac:dyDescent="0.55000000000000004">
      <c r="A36" s="97" t="s">
        <v>428</v>
      </c>
      <c r="B36" s="100"/>
      <c r="C36" s="100"/>
      <c r="D36" s="100"/>
      <c r="E36" s="100"/>
      <c r="F36" s="101"/>
    </row>
  </sheetData>
  <mergeCells count="6">
    <mergeCell ref="A2:F2"/>
    <mergeCell ref="A1:F1"/>
    <mergeCell ref="A22:F22"/>
    <mergeCell ref="A35:F35"/>
    <mergeCell ref="A4:F4"/>
    <mergeCell ref="A15:F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5</vt:i4>
      </vt:variant>
    </vt:vector>
  </HeadingPairs>
  <TitlesOfParts>
    <vt:vector size="5" baseType="lpstr">
      <vt:lpstr>VERİ GİRİŞİ</vt:lpstr>
      <vt:lpstr>HESAPLAMALAR &amp; KONTROL</vt:lpstr>
      <vt:lpstr>MUHASEBE KAYITLARI</vt:lpstr>
      <vt:lpstr>DENETCİ NOTLARI</vt:lpstr>
      <vt:lpstr>BELGE LISTESI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Aydın DEDE</cp:lastModifiedBy>
  <dcterms:created xsi:type="dcterms:W3CDTF">2026-04-05T09:23:44Z</dcterms:created>
  <dcterms:modified xsi:type="dcterms:W3CDTF">2026-04-05T10:29:58Z</dcterms:modified>
</cp:coreProperties>
</file>