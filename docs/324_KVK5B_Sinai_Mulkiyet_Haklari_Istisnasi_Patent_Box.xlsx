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F1A90B11-DE10-4F23-A71C-CAA472740D6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C23" i="2"/>
  <c r="D14" i="2"/>
  <c r="D13" i="2"/>
  <c r="D12" i="2"/>
  <c r="D11" i="2"/>
  <c r="D10" i="2"/>
  <c r="D9" i="2"/>
  <c r="D8" i="2"/>
  <c r="C82" i="1"/>
  <c r="C81" i="1"/>
  <c r="C80" i="1"/>
  <c r="C79" i="1"/>
  <c r="C74" i="1"/>
  <c r="C73" i="1"/>
  <c r="C72" i="1"/>
  <c r="C71" i="1"/>
  <c r="C69" i="1"/>
  <c r="C62" i="1"/>
  <c r="C61" i="1"/>
  <c r="C60" i="1"/>
  <c r="C59" i="1"/>
  <c r="C52" i="1"/>
  <c r="C51" i="1"/>
  <c r="C50" i="1"/>
  <c r="C49" i="1"/>
  <c r="C41" i="1"/>
  <c r="C40" i="1"/>
  <c r="C39" i="1"/>
  <c r="C36" i="1"/>
  <c r="C35" i="1"/>
  <c r="C22" i="2"/>
  <c r="C21" i="2"/>
  <c r="C19" i="2"/>
  <c r="D7" i="2"/>
  <c r="D6" i="2"/>
  <c r="E15" i="1"/>
  <c r="D5" i="2" s="1"/>
</calcChain>
</file>

<file path=xl/sharedStrings.xml><?xml version="1.0" encoding="utf-8"?>
<sst xmlns="http://schemas.openxmlformats.org/spreadsheetml/2006/main" count="508" uniqueCount="409">
  <si>
    <t>324 – SINAİ MÜLKİYET HAKLARINDA İSTİSNA (K.V.K. Mad. 5/B) | PATENT BOX / IP BOX | %50 İSTİSNA (NEXUS ORANLI) | YMM TASDİK ÇALIŞMA KÂĞIDI | BEYANNAME SATIR 324</t>
  </si>
  <si>
    <t>KVK Md. 5/B | %50 İstisna (NEXUS Oranıyla Ağırlıklandırılmış) | Patent / Faydalı Model Belgesi | Türkiye'de Ar-Ge Şartı | NEXUS = (TR Ar-Ge Harcaması × 1.3) / Toplam Ar-Ge Harcaması (max 1) | Beyanname Satır 324 — Kazancın Bulunması Halinde</t>
  </si>
  <si>
    <t xml:space="preserve">  ★ 324'ÜN SETTEKİ ÖZGÜN KONUMU — 3 TEMEL FARK:
  (1) %50 İSTİSNA: Setimizin geri kalanı %100 tam istisna; 324'te istisna %50 ile sınırlıdır.
  (2) NEXUS ORANI: İstisna tutarı Türkiye'deki nitelikli Ar-Ge harcaması / Toplam Ar-Ge harcaması
  oranına göre ağırlıklandırılır — setimizin tek formüllü istisna hesabı.
  (3) ÇOKLU KAZANÇ TÜRÜ: Satış/Devir + Lisans/Kira + İmalat Katkısı — her biri ayrı hesaplanır.
  KVK 5/B: 5/1 bentleri değil, 5/A değil — üçüncü özel madde kategorisi.</t>
  </si>
  <si>
    <t xml:space="preserve">  NEXUS FORMÜLÜ: İstisna Tutarı = Buluş Kazancı × min[(NARGe × 1.3) / TARGe, 1] × %50
  NARGe = Nitelikli Ar-Ge Harcaması (Türkiye'de, ilişkili kuruluş dışı)
  TARGe = Toplam Ar-Ge Harcaması (Türkiye + Yurt Dışı tümü)
  Oran 1'i aşamaz — NEXUS %100 ise istisna doğrudan buluş kazancının %50'sidir.</t>
  </si>
  <si>
    <t>A0. KAPSAM VE NİTELİK UYGUNLUK ÖN KONTROLÜ</t>
  </si>
  <si>
    <t>Kontrol Sorusu</t>
  </si>
  <si>
    <t>Yanıt</t>
  </si>
  <si>
    <t>YMM Tasdik Notu</t>
  </si>
  <si>
    <t>A0.1  ★ Buluş için PATENT veya FAYDALI MODEL belgesi alındı mı?</t>
  </si>
  <si>
    <t>EVET</t>
  </si>
  <si>
    <t>KRİTİK: 5/B istisnası yalnızca patent veya faydalı model belgesi alınmış buluşlara uygulanır. Tescilsiz buluş, marka, tasarım → Kapsam dışı. TPMK (Türkiye) veya yabancı ülke patent ofisi tarafından verilmiş belge kabul edilir.</t>
  </si>
  <si>
    <t>A0.2  ★ Buluş Türkiye'de gerçekleştirilen Ar-Ge/tasarım faaliyeti sonucunda mı ortaya çıktı?</t>
  </si>
  <si>
    <t>KRİTİK: NEXUS yaklaşımı gereği buluşun Türkiye'de Ar-Ge faaliyetiyle bağlantısı olmalı. Tamamen yurt dışından satın alınan buluş → NEXUS oranı sıfır olabilir.</t>
  </si>
  <si>
    <t>A0.3  ★ İstisnanın %50 oranında uygulandığı teyit edildi mi? (%100 değil!)</t>
  </si>
  <si>
    <t>EVET — %50 İstisna</t>
  </si>
  <si>
    <t>KRİTİK: KVK 5/B istisnası %50 oranındadır — setimizin diğer dosyaları gibi %100 değildir. Yanlışlıkla %100 uygulanması tarhiyat riski doğurur.</t>
  </si>
  <si>
    <t>A0.4  NEXUS oranı hesaplandı mı? Nitelikli / Toplam Ar-Ge harcaması ayrıştırıldı mı?</t>
  </si>
  <si>
    <t>NEXUS = min[(NARGe × 1.3) / TARGe, 1]. Nitelikli Ar-Ge: Türkiye'de yapılan, ilişkili kuruluşlara ödenen harcamalar hariç. C bölümünde NEXUS hesabı zorunludur.</t>
  </si>
  <si>
    <t>A0.5  Buluştan elde edilen kazanç türü belirlendi mi? (Satış/Devir / Lisans / İmalat)</t>
  </si>
  <si>
    <t>Satış/Devir</t>
  </si>
  <si>
    <t>Her kazanç türü için ayrı hesaplama yapılır. İmalat katkısında marj analizi gerekir.</t>
  </si>
  <si>
    <t>A0.6  Patent/faydalı model belgesi hâlâ GEÇERLİ mi? Süre ve temdit kontrolü yapıldı mı?</t>
  </si>
  <si>
    <t>Belge geçerlilik süresi: Patent 20 yıl, Faydalı model 10 yıl. Süresi dolan veya terkin edilen belge kapsamındaki gelir istisna dışıdır.</t>
  </si>
  <si>
    <t>A0.7  YMM Tasdik Raporu gereksinimi değerlendirildi mi? (49 No.lu Tebliğ)</t>
  </si>
  <si>
    <t>49 No.lu Tebliğ (30.12.2025): &gt;=500.000 TL veya &gt;=1.000.000 TL → YMM raporu.</t>
  </si>
  <si>
    <t>A0.8  Tasdik Uygunluk Sonucu</t>
  </si>
  <si>
    <t>★ A0.1 (Patent), A0.3 (%50 oranı), A0.4 (NEXUS) kritik.</t>
  </si>
  <si>
    <t>A. GENEL BİLGİLER VE PATENT/FAYDALI MODEL BELGE BİLGİSİ</t>
  </si>
  <si>
    <t>Kurumun Unvanı</t>
  </si>
  <si>
    <t>Patent/faydalı model sahibi kurum</t>
  </si>
  <si>
    <t>VKN</t>
  </si>
  <si>
    <t>10 haneli VKN</t>
  </si>
  <si>
    <t>Buluşun Adı/Konusu</t>
  </si>
  <si>
    <t>Patent belgesi veya başvuruya konu buluşun açıklayıcı adı</t>
  </si>
  <si>
    <t>Patent/Faydalı Model Belge No</t>
  </si>
  <si>
    <t>TPMK veya yabancı ülke patent ofisi belge numarası</t>
  </si>
  <si>
    <t>Belgeyi Veren Otorite</t>
  </si>
  <si>
    <t>TPMK / EPO / USPTO / Diğer Ülke Patent Ofisi</t>
  </si>
  <si>
    <t>Belge Türü</t>
  </si>
  <si>
    <t>Patent veya Faydalı Model (hak süresi farklı)</t>
  </si>
  <si>
    <t>Belge Geçerlilik Süresi Başlangıcı</t>
  </si>
  <si>
    <t>GG.AA.YYYY — Belge tescil/verilme tarihi</t>
  </si>
  <si>
    <t>Belge Geçerlilik Süresi Bitişi</t>
  </si>
  <si>
    <t>GG.AA.YYYY — Patent: 20 yıl | Faydalı model: 10 yıl</t>
  </si>
  <si>
    <t>Ar-Ge Faaliyetinin Yürütüldüğü Yer</t>
  </si>
  <si>
    <t>Ar-Ge Merkezi / TGB / Üniversite Laboratuvarı / Diğer</t>
  </si>
  <si>
    <t>Hesap Dönemi</t>
  </si>
  <si>
    <t>Örn: 01.01.2025 – 31.12.2025</t>
  </si>
  <si>
    <t>B. NEXUS ORANI HESABI — 5/B'NİN KALBİ</t>
  </si>
  <si>
    <t xml:space="preserve">  NEXUS FORMÜLÜ: Oran = min[(NARGe × 1.3) / TARGe, 1]
  NARGe = Nitelikli Ar-Ge Harcaması: Türkiye'de kurum tarafından yapılan + ilişkili kuruluş DIŞI taraflara ödenen harcamalar.
  TARGe = Toplam Ar-Ge Harcaması: Nitelikli + İlişkili kuruluşlara ödenen + Satın alınan buluş bedeli.
  ×1.3 katsayısı: Türkiye'deki Ar-Ge'yi teşvik amacıyla uygulanır.</t>
  </si>
  <si>
    <t>Harcama Kalemi</t>
  </si>
  <si>
    <t>Tutar (TL)</t>
  </si>
  <si>
    <t>Açıklama</t>
  </si>
  <si>
    <t>YMM Notu</t>
  </si>
  <si>
    <t>B.1  Kurum Tarafından Türkiye'de Yapılan Ar-Ge/Tasarım Harcaması</t>
  </si>
  <si>
    <t>Kendi bünyesinde gerçekleştirilen — personel, malzeme, amortisman</t>
  </si>
  <si>
    <t>NARGe bileşeni 1</t>
  </si>
  <si>
    <t>B.2  İlişkili OLMAYAN Yurt İçi Taraflara Ödenen Ar-Ge Harcaması</t>
  </si>
  <si>
    <t>Üniversite, bağımsız araştırma kurumları — ilişkisiz kuruluşlar</t>
  </si>
  <si>
    <t>NARGe bileşeni 2</t>
  </si>
  <si>
    <t>B.3  İlişkili OLMAYAN Yurt Dışı Taraflara Ödenen Ar-Ge Harcaması</t>
  </si>
  <si>
    <t>Yabancı bağımsız araştırma kuruluşları — ilişkisiz</t>
  </si>
  <si>
    <t>NARGe bileşeni 3</t>
  </si>
  <si>
    <t>B.4  NARGe — NİTELİKLİ AR-GE HARCAMASI (B.1 + B.2 + B.3)</t>
  </si>
  <si>
    <t>Nitelikli Ar-Ge: Türkiye + ilişkisiz yurt dışı</t>
  </si>
  <si>
    <t>NARGe = Nexus payı</t>
  </si>
  <si>
    <t>B.5  NARGe × 1.3 (Teşvik Katsayısı)</t>
  </si>
  <si>
    <t>Teşvik katsayısı — TARGe'yi aşamaz</t>
  </si>
  <si>
    <t>Formülde kullanılır</t>
  </si>
  <si>
    <t>B.6  İlişkili Kuruluşlara Ödenen Ar-Ge Harcaması (Sayılmaz Ama TARGe'ye Girer)</t>
  </si>
  <si>
    <t>Grup şirketlerine ödenen — NARGe'ye dahil EDİLMEZ</t>
  </si>
  <si>
    <t>TARGe bileşeni</t>
  </si>
  <si>
    <t>B.7  Satın Alınan Buluş / IP Bedeli (Sayılmaz Ama TARGe'ye Girer)</t>
  </si>
  <si>
    <t>Hazır patent/faydalı model alımı — NARGe'ye dahil EDİLMEZ</t>
  </si>
  <si>
    <t>B.8  TARGe — TOPLAM AR-GE HARCAMASI (B.4 + B.6 + B.7)</t>
  </si>
  <si>
    <t>Tüm Ar-Ge harcamaları toplamı — NEXUS paydası</t>
  </si>
  <si>
    <t>TARGe = Nexus paydası</t>
  </si>
  <si>
    <t>B.9  NEXUS ORANI = min(B.5 / B.8, 1)</t>
  </si>
  <si>
    <t>0 ile 1 arasında — maksimum %100</t>
  </si>
  <si>
    <t>★ İstisna hesabında kullanılan oran</t>
  </si>
  <si>
    <t>B.10  NEXUS ORANI (%)</t>
  </si>
  <si>
    <t>Yüzde cinsinden — anlaşılırlık için</t>
  </si>
  <si>
    <t>B.9'un %'si</t>
  </si>
  <si>
    <t>C. KAZANÇ TÜRÜ 1 — SATIŞ / DEVİR / TEMLİK KAZANCI</t>
  </si>
  <si>
    <t xml:space="preserve">  Patent veya faydalı modelin üçüncü bir kişiye satışı, devri veya temliki. İstisna = Satış Kazancı × NEXUS Oranı × %50.</t>
  </si>
  <si>
    <t>Hesap Kalemi</t>
  </si>
  <si>
    <t>Yöntem</t>
  </si>
  <si>
    <t>C.1  Patent/Faydalı Model Satış Bedeli</t>
  </si>
  <si>
    <t>Alıcıya devir bedeli</t>
  </si>
  <si>
    <t>Sözleşme bedeli</t>
  </si>
  <si>
    <t>C.2  Belgeli Hakkın Net Kayıtlı Değeri (260 hesabı − 268 birikmiş itfa)</t>
  </si>
  <si>
    <t>Aktiften çıkarılan net değer</t>
  </si>
  <si>
    <t>260/268 hesap kartı</t>
  </si>
  <si>
    <t>C.3  Satış Giderleri</t>
  </si>
  <si>
    <t>Devir noter, harç, acente giderleri</t>
  </si>
  <si>
    <t>C.4  SATIŞ KAZANCI = C.1 − C.2 − C.3</t>
  </si>
  <si>
    <t>Otomatik</t>
  </si>
  <si>
    <t>C.5  NEXUS Oranı</t>
  </si>
  <si>
    <t>B.9'dan otomatik</t>
  </si>
  <si>
    <t>Ağırlıklandırma</t>
  </si>
  <si>
    <t>C.6  İstisna Matrahı = C.4 × C.5</t>
  </si>
  <si>
    <t>C.7  SATIŞ/DEVİR İSTİSNA TUTARI (%50)</t>
  </si>
  <si>
    <t>%50 İstisna — Beyanname 324'e dahil</t>
  </si>
  <si>
    <t>→ F bölümü toplamına</t>
  </si>
  <si>
    <t>D. KAZANÇ TÜRÜ 2 — LİSANS / KİRA / ROYALTY GELİRİ</t>
  </si>
  <si>
    <t xml:space="preserve">  Patent veya faydalı modelin kiralanması veya lisans verilmesinden elde edilen royalty. İstisna = Royalty Geliri × NEXUS Oranı × %50. Lisans sözleşmesi Bakanlıkça onaylanmış veya serbest piyasa koşullarında olmalıdır.</t>
  </si>
  <si>
    <t>D.1  Dönem Royalty / Lisans Gelirleri (Brüt)</t>
  </si>
  <si>
    <t>Lisans sözleşmesindeki dönem geliri</t>
  </si>
  <si>
    <t>D.2  Lisansa İlişkin Doğrudan Giderler (Koruma/Tescil/Hukuki)</t>
  </si>
  <si>
    <t>D.3  LİSANS NET GELİRİ = D.1 − D.2</t>
  </si>
  <si>
    <t>D.4  NEXUS Oranı</t>
  </si>
  <si>
    <t>D.5  İstisna Matrahı = D.3 × D.4</t>
  </si>
  <si>
    <t>D.6  LİSANS/ROYALTY İSTİSNA TUTARI (%50)</t>
  </si>
  <si>
    <t>%50 İstisna</t>
  </si>
  <si>
    <t>E. KAZANÇ TÜRÜ 3 — İMALAT KATKI PAYI (Buluşun Üretimde Kullanılması)</t>
  </si>
  <si>
    <t xml:space="preserve">  Buluşun üretime dahil edilmesiyle elde edilen kazanç payı — en karmaşık hesaplama. Buluş katkısı = İlgili ürünün toplam satış kazancı × Buluşun katkı oranı. Katkı oranı: Karşılaştırılabilir ürün analizi veya maliyet tabanlı marj hesabı ile belirlenir.</t>
  </si>
  <si>
    <t>E.1  Buluşu İçeren Ürün(ler)in Dönem Satış Hasılatı</t>
  </si>
  <si>
    <t>Sadece buluşu kapsayan ürünler</t>
  </si>
  <si>
    <t>Satış kayıtları</t>
  </si>
  <si>
    <t>E.2  İlgili Ürün(ler)in Toplam Maliyeti</t>
  </si>
  <si>
    <t>Üretim + Satış maliyeti</t>
  </si>
  <si>
    <t>Maliyet kartı</t>
  </si>
  <si>
    <t>E.3  İlgili Ürün(ler)in Brüt Kazancı = E.1 − E.2</t>
  </si>
  <si>
    <t>E.4  Buluşun Kazanca Katkı Oranı (%)</t>
  </si>
  <si>
    <t>Emsal analizi veya maliyet tabanlı hesap — belgelenmeli</t>
  </si>
  <si>
    <t>GİB özelgesi önerilir</t>
  </si>
  <si>
    <t>E.5  İMALAT KATKI KAZANCI = E.3 × E.4/100</t>
  </si>
  <si>
    <t>E.6  NEXUS Oranı</t>
  </si>
  <si>
    <t>E.7  İstisna Matrahı = E.5 × E.6</t>
  </si>
  <si>
    <t>E.8  İMALAT KATKI İSTİSNA TUTARI (%50)</t>
  </si>
  <si>
    <t>→ F bölümü</t>
  </si>
  <si>
    <t>F. BEYANNAME 324 — KVK 5/B SINAİ MÜLKİYET HAKLARI İSTİSNASI TOPLAMI</t>
  </si>
  <si>
    <t xml:space="preserve">  Beyanname 324 = C.7 (Satış/Devir İstisnası) + D.6 (Lisans/Royalty İstisnası) + E.8 (İmalat Katkı İstisnası). Yalnızca ilgili kazanç türleri dahil edilir.</t>
  </si>
  <si>
    <t>İstisna Kalemi</t>
  </si>
  <si>
    <t>F.1  Satış/Devir İstisna Tutarı</t>
  </si>
  <si>
    <t>C.7'den</t>
  </si>
  <si>
    <t>F.2  Lisans/Royalty İstisna Tutarı</t>
  </si>
  <si>
    <t>D.6'dan</t>
  </si>
  <si>
    <t>F.3  İmalat Katkı İstisna Tutarı</t>
  </si>
  <si>
    <t>E.8'den</t>
  </si>
  <si>
    <t>F.4  TOPLAM 324 İSTİSNASI = F.1 + F.2 + F.3</t>
  </si>
  <si>
    <t>%50 × NEXUS × Toplam Buluş Kazancı</t>
  </si>
  <si>
    <t xml:space="preserve">  ★ %50 ORANI UYARISI: Beyanname 324 satırına yazılan tutar zaten %50 uygulanmış tutardır. Buluş kazancının tamamı değil, NEXUS oranıyla ağırlıklandırılmış %50'si 324 satırına yazılır. Kalan %50 + NEXUS dışı kısım normal kurumlar vergisine tabi kalır.</t>
  </si>
  <si>
    <t>324 – KVK 5/B SINAİ MÜLKİYET HAKLARI İSTİSNASI | HESAPLAMALAR VE DENETİM</t>
  </si>
  <si>
    <t>KVK Md. 5/B | %50 İstisna (NEXUS Oranlı) | Patent / Faydalı Model | Beyanname 324 | Kazancın Bulunması Halinde | NEXUS = (NARGe × 1.3) / TARGe max 1 | Satış + Lisans + İmalat | KVK 5/A (323) ve KVK 5/1 ile Karşılaştırma</t>
  </si>
  <si>
    <t>A. TASDİK ÖZETİ — VERİ GİRİŞİNDEN OTOMATİK</t>
  </si>
  <si>
    <t>A0 Tasdik Uygunluğu</t>
  </si>
  <si>
    <t>OK ise devam</t>
  </si>
  <si>
    <t>Patent/FMB Durumu (A0.1)</t>
  </si>
  <si>
    <t>EVET zorunlu</t>
  </si>
  <si>
    <t>İstisna Oranı (A0.3)</t>
  </si>
  <si>
    <t>NARGe (B.4)</t>
  </si>
  <si>
    <t>Nitelikli Ar-Ge harcaması</t>
  </si>
  <si>
    <t>TARGe (B.8)</t>
  </si>
  <si>
    <t>Toplam Ar-Ge harcaması</t>
  </si>
  <si>
    <t>NEXUS Oranı % (B.10)</t>
  </si>
  <si>
    <t>0-100 arası — ağırlıklandırma</t>
  </si>
  <si>
    <t>Satış/Devir İstisnası (C.7)</t>
  </si>
  <si>
    <t>Varsa hesaplı</t>
  </si>
  <si>
    <t>Lisans/Royalty İstisnası (D.6)</t>
  </si>
  <si>
    <t>İmalat Katkı İstisnası (E.8)</t>
  </si>
  <si>
    <t>324 TOPLAM İSTİSNA (F.4)</t>
  </si>
  <si>
    <t>B. NEXUS ORANI VİZÜEL GÖSTERGESİ VE SENARYO ANALİZİ</t>
  </si>
  <si>
    <t xml:space="preserve">  NEXUS oranı istisna büyüklüğünü doğrudan belirler. Türkiye'deki Ar-Ge ne kadar yüksekse NEXUS o kadar büyük, istisna o kadar avantajlı.</t>
  </si>
  <si>
    <t>Senaryo</t>
  </si>
  <si>
    <t>NEXUS Oranı</t>
  </si>
  <si>
    <t>İstisna Tutarı (Buluş Kaz.×NEXUS×%50)</t>
  </si>
  <si>
    <t>Tam Türkiye Ar-Ge (Optimum)</t>
  </si>
  <si>
    <t>İdeal senaryo</t>
  </si>
  <si>
    <t>Karma (%80 TR Ar-Ge)</t>
  </si>
  <si>
    <t>Karma senaryo</t>
  </si>
  <si>
    <t>Düşük TR Ar-Ge (%30)</t>
  </si>
  <si>
    <t>Düşük TR bağlantısı</t>
  </si>
  <si>
    <t>Sıfır TR Ar-Ge (Sadece Satın Alınan IP)</t>
  </si>
  <si>
    <t>★ Satın alınan IP istisnasız</t>
  </si>
  <si>
    <t>GERÇEK NEXUS (Veri Girişinden)</t>
  </si>
  <si>
    <t>Fiili hesap</t>
  </si>
  <si>
    <t>C. KVK 5/B (324) vs KVK 5/A (323) vs KVK 5/1 — MADDE YAPISI</t>
  </si>
  <si>
    <t>Kriter</t>
  </si>
  <si>
    <t>324 — KVK 5/B</t>
  </si>
  <si>
    <t>323 — KVK 5/A-3</t>
  </si>
  <si>
    <t>Tipik KVK 5/1</t>
  </si>
  <si>
    <t>KVK Maddesi</t>
  </si>
  <si>
    <t>5/B (Ayrı Madde)</t>
  </si>
  <si>
    <t>5/A (Ayrı Madde)</t>
  </si>
  <si>
    <t>5/1 (Alt bentler)</t>
  </si>
  <si>
    <t>İstisna Oranı</t>
  </si>
  <si>
    <t>★ %50 (NEXUS Oranıyla)</t>
  </si>
  <si>
    <t>★ %100</t>
  </si>
  <si>
    <t>50%–100% (bende göre)</t>
  </si>
  <si>
    <t>Formül Gereksinimi</t>
  </si>
  <si>
    <t>★ NEXUS Hesabı Zorunlu</t>
  </si>
  <si>
    <t>Hayır</t>
  </si>
  <si>
    <t>Temel Şart</t>
  </si>
  <si>
    <t>Patent/FMB + TR Ar-Ge</t>
  </si>
  <si>
    <t>SPK Lisansı + Yabancı Fon</t>
  </si>
  <si>
    <t>Bent bazında</t>
  </si>
  <si>
    <t>Kapsam</t>
  </si>
  <si>
    <t>Buluş Satış+Lisans+İmalat</t>
  </si>
  <si>
    <t>Yabancı Fon Yönetimi</t>
  </si>
  <si>
    <t>Çeşitli</t>
  </si>
  <si>
    <t>Beyanname</t>
  </si>
  <si>
    <t>324</t>
  </si>
  <si>
    <t>323</t>
  </si>
  <si>
    <t>301-322/325+</t>
  </si>
  <si>
    <t>İstisna Mekanizması</t>
  </si>
  <si>
    <t>NEXUS × %50 × Kazanç</t>
  </si>
  <si>
    <t>Doğrudan %100</t>
  </si>
  <si>
    <t>Doğrudan</t>
  </si>
  <si>
    <t>D. DENETİM KONTROL LİSTESİ (K1–K14)</t>
  </si>
  <si>
    <t>Kontrol</t>
  </si>
  <si>
    <t>Sonuç</t>
  </si>
  <si>
    <t>K1</t>
  </si>
  <si>
    <t>★ Patent veya faydalı model belgesi var mı? Geçerlilik süresi kontrolü yapıldı mı?</t>
  </si>
  <si>
    <t>Belge numarası, veren otorite, geçerlilik süresi teyit edilmeli. Süresi dolan belge → Kapsam dışı.</t>
  </si>
  <si>
    <t>Uygun/Eksik/Risk</t>
  </si>
  <si>
    <t>K2</t>
  </si>
  <si>
    <t>★ İstisna oranı %50 mi uygulandı? (%100 değil!)</t>
  </si>
  <si>
    <t>Setimizin geri kalanından farklı — 5/B %50 tam istisna değil, %50 istisna.</t>
  </si>
  <si>
    <t>K3</t>
  </si>
  <si>
    <t>★ NEXUS oranı doğru hesaplandı mı? NARGe ve TARGe ayrıştırıldı mı?</t>
  </si>
  <si>
    <t>B bölümü NEXUS formülü: (NARGe × 1.3) / TARGe max 1. İlişkili kuruluş ayrımı kritik.</t>
  </si>
  <si>
    <t>K4</t>
  </si>
  <si>
    <t>★ Buluş Türkiye'de gerçekleştirilen Ar-Ge faaliyetiyle bağlantılı mı?</t>
  </si>
  <si>
    <t>NEXUS oranının sıfır veya düşük çıkması istisna avantajını sınırlar.</t>
  </si>
  <si>
    <t>K5</t>
  </si>
  <si>
    <t>Kazanç türleri (Satış/Lisans/İmalat) doğru ayrıştırıldı mı? Her biri ayrı hesaplandı mı?</t>
  </si>
  <si>
    <t>C, D, E bölümleri — her kazanç türü için ayrı NEXUS × %50 hesabı.</t>
  </si>
  <si>
    <t>K6</t>
  </si>
  <si>
    <t>İmalat katkı oranı (E.4) belgelendi mi? Emsal analizi yapıldı mı?</t>
  </si>
  <si>
    <t>E.4 en tartışmalı kalem — GİB özelgesi alınması tavsiye edilir.</t>
  </si>
  <si>
    <t>K7</t>
  </si>
  <si>
    <t>Transfer fiyatlandırması analizi yapıldı mı? (Lisans ücreti emsal uygunluğu)</t>
  </si>
  <si>
    <t>Lisans ücreti emsale uygun olmalı — KVK Md.13. D bölümü royalty için gerekli.</t>
  </si>
  <si>
    <t>K8</t>
  </si>
  <si>
    <t>İlişkili kuruluşlara ödenen Ar-Ge harcamaları NARGe'ye dahil edilmedi mi?</t>
  </si>
  <si>
    <t>B.4 = B.1 + B.2 + B.3 — B.6 (ilişkili kuruluş) ve B.7 (satın alınan IP) dışarıda.</t>
  </si>
  <si>
    <t>K9</t>
  </si>
  <si>
    <t>Patent belgesinin kapsadığı buluşla 324 kazancının bağlantısı belgelendi mi?</t>
  </si>
  <si>
    <t>Kazanç, patent belgesindeki buluştan kaynaklanmalı — sözleşme ve teknik belgelerle.</t>
  </si>
  <si>
    <t>K10</t>
  </si>
  <si>
    <t>Birden fazla patent varsa her biri için ayrı NEXUS ve kazanç hesabı yapıldı mı?</t>
  </si>
  <si>
    <t>Her buluş için ayrı B, C, D, E bölümü veya yardımcı tablo.</t>
  </si>
  <si>
    <t>K11</t>
  </si>
  <si>
    <t>324 'Kazancın Bulunması Halinde' bölümünde mi?</t>
  </si>
  <si>
    <t>'Zarar Olsa Dahi' değil — dönem zararında uygulanamaz.</t>
  </si>
  <si>
    <t>K12</t>
  </si>
  <si>
    <t>Beyanname 324 = F.4 uyumlu mu?</t>
  </si>
  <si>
    <t>C.7 + D.6 + E.8 toplamı F.4'e eşit olmalı.</t>
  </si>
  <si>
    <t>K13</t>
  </si>
  <si>
    <t>Ar-Ge harcamaları muhasebe belgesiyle kanıtlanıyor mu?</t>
  </si>
  <si>
    <t>Ar-Ge merkezi/TGB/üniversite fatura ve kayıtları — NARGe'nin dayanağı.</t>
  </si>
  <si>
    <t>K14</t>
  </si>
  <si>
    <t>YMM Tasdik Raporu (49 No.lu Tebliğ) değerlendirildi mi?</t>
  </si>
  <si>
    <t>&gt;=500.000 TL → YMM raporu. Tam tasdik → ayrıca rapor yok.</t>
  </si>
  <si>
    <t>324 – KVK 5/B SINAİ MÜLKİYET HAKLARI | MUHASEBE KAYITLARI</t>
  </si>
  <si>
    <t>KVK Md. 5/B | %50 İstisna | Patent/FMB | Satış+Lisans+İmalat | Beyanname 324</t>
  </si>
  <si>
    <t>KAYIT 1 — PATENT/FAYDALI MODEL SATIŞI / DEVRİ (Kazanç Türü 1)</t>
  </si>
  <si>
    <t>Tarih</t>
  </si>
  <si>
    <t>Hesap</t>
  </si>
  <si>
    <t>Not</t>
  </si>
  <si>
    <t>Dr</t>
  </si>
  <si>
    <t>Kr</t>
  </si>
  <si>
    <t>Ref</t>
  </si>
  <si>
    <t>[Devir]</t>
  </si>
  <si>
    <t>102 Bankalar</t>
  </si>
  <si>
    <t>Patent/FMB satış bedeli tahsilatı</t>
  </si>
  <si>
    <t>[C.1 TL]</t>
  </si>
  <si>
    <t>—</t>
  </si>
  <si>
    <t>Devir sözleşmesi+TPMK</t>
  </si>
  <si>
    <t>260 Haklar (Patent/FMB)</t>
  </si>
  <si>
    <t>Belgeli hakkın net kayıtlı değeriyle aktiften çıkış</t>
  </si>
  <si>
    <t>[C.2 TL]</t>
  </si>
  <si>
    <t>260 kartı+268</t>
  </si>
  <si>
    <t>268 Birikmiş İtfa Payları</t>
  </si>
  <si>
    <t>Birikmiş itfa kapatma</t>
  </si>
  <si>
    <t>[İtfa]</t>
  </si>
  <si>
    <t>268 kartı</t>
  </si>
  <si>
    <t>679 Diğer Olağandışı Kâr</t>
  </si>
  <si>
    <t>Patent satış kazancı — C.4 tutarı</t>
  </si>
  <si>
    <t>[C.4]</t>
  </si>
  <si>
    <t>KV 324 (C.7 istisna)</t>
  </si>
  <si>
    <t xml:space="preserve">  ★ MUHASEBE NOT: Patent bedeli 260 hesabında kayıtlıysa aktiften çıkış 260'tan yapılır. Ar-Ge aşamasında 263'e kaydedilmiş ve 267'ye aktarılmışsa 267 hesabı kullanılır. İtfa payı yıllık %20'yi (patent ömrüne göre) aşamaz — 268 bakiyesi teyit edilmeli.</t>
  </si>
  <si>
    <t>KAYIT 2 — LİSANS / ROYALTY GELİRİ TAHAKKUKU (Kazanç Türü 2)</t>
  </si>
  <si>
    <t>[Dönem]</t>
  </si>
  <si>
    <t>120 Alacaklar — Royalty</t>
  </si>
  <si>
    <t>Lisans sözleşmesi dönemsel royalty tahakkuku</t>
  </si>
  <si>
    <t>[D.1 TL]</t>
  </si>
  <si>
    <t>Lisans sözleşmesi</t>
  </si>
  <si>
    <t>640 Faaliyet Gelirleri / 600 Hizmet Geliri (ROYALTY — 5/B İSTİSNA)</t>
  </si>
  <si>
    <t>Royalty geliri — KVK 5/B 324 istisna kapsamında</t>
  </si>
  <si>
    <t>[D.1]</t>
  </si>
  <si>
    <t>KV 324 (D.6 istisna)</t>
  </si>
  <si>
    <t xml:space="preserve">  ROYALTY TAHAKKUKU — YÜZEYSELLİK ENGELİ: Lisans sözleşmesi emsal oranına göre hazırlanmalıdır (KVK Md.13 riski). Aynı gruptaki lisans alana uygulanan oran piyasa oranıyla karşılaştırılmalı.</t>
  </si>
  <si>
    <t>KAYIT 3 — İMALAT KATKI PAYI HESAPLAMA VE MUHASEBE NOTU (Kazanç Türü 3)</t>
  </si>
  <si>
    <t xml:space="preserve">  İmalat katkısı için ayrı bir muhasebe kaydı yapılmaz — kazanç yıl sonu KV hesabında belirlenir. E.5 İmalat Katkı Kazancı = E.3 Brüt Kazanç × E.4 Katkı Oranı. Katkı oranı (E.4) emsal analizi veya maliyet tabanlı yöntemle belirlenir ve YMM dosyasında belgelenir. Bu kalem için GİB özelgesi alınması YMM müteselsil sorumluluğu açısından şiddetle önerilir.</t>
  </si>
  <si>
    <t>KAYIT 4 — AR-GE HARCAMALARININ MUHASEBE KAYDI (NEXUS Dayanağı)</t>
  </si>
  <si>
    <t>630 Araştırma-Geliştirme Giderleri / 750 Ar-Ge Giderleri</t>
  </si>
  <si>
    <t>NARGe — Türkiye'deki kendi bünyesinde Ar-Ge harcaması</t>
  </si>
  <si>
    <t>[B.1 TL]</t>
  </si>
  <si>
    <t>Ar-Ge merkezi kayıtları</t>
  </si>
  <si>
    <t>630/750 Ar-Ge Giderleri — Dış Ar-Ge (İlişkisiz)</t>
  </si>
  <si>
    <t>NARGe — İlişkisiz kuruluşlara ödenen Ar-Ge harcaması</t>
  </si>
  <si>
    <t>[B.2+B.3]</t>
  </si>
  <si>
    <t>Fatura+Sözleşme</t>
  </si>
  <si>
    <t>630/750 Ar-Ge Giderleri — Dış Ar-Ge (İlişkili)</t>
  </si>
  <si>
    <t>TARGe — İlişkili kuruluşlara ödenen — NARGe'ye dahil edilmez</t>
  </si>
  <si>
    <t>[B.6]</t>
  </si>
  <si>
    <t>Grup şirket faturası</t>
  </si>
  <si>
    <t>102 Bankalar / 320 Borçlar</t>
  </si>
  <si>
    <t>Ar-Ge harcaması ödemeleri</t>
  </si>
  <si>
    <t>[Toplam]</t>
  </si>
  <si>
    <t xml:space="preserve">  NEXUS DAYANAKLARININÖNEMİ: B.1 (kendi bünyesinde) + B.2 (dış/ilişkisiz yurt içi) + B.3 (dış/ilişkisiz yurt dışı) = NARGe. Bu kalemlerin muhasebe kayıtları ve faturalarla belgelenmesi NEXUS oranının geçerliliği için zorunludur.</t>
  </si>
  <si>
    <t>324 – KVK 5/B SINAİ MÜLKİYET HAKLARI İSTİSNASI | DENETÇİ NOTLARI</t>
  </si>
  <si>
    <t>KVK Md.5/B | %50 İstisna (NEXUS Oranıyla) | Patent / Faydalı Model | NEXUS Formülü | 3 Kazanç Türü | Transfer Fiyatlandırması | KVK 5/A-323 Karşılaştırma</t>
  </si>
  <si>
    <t>Kod</t>
  </si>
  <si>
    <t>Konu</t>
  </si>
  <si>
    <t>Mesleki Değerlendirme</t>
  </si>
  <si>
    <t>Mevzuat</t>
  </si>
  <si>
    <t>N1</t>
  </si>
  <si>
    <t>KVK 5/B — Yasal Çerçeve, %50 Oranı ve NEXUS Yaklaşımı</t>
  </si>
  <si>
    <t>KVK MADDE 5/B — SINAİ MÜLKİYET HAKLARINDA İSTİSNA:
KAPSAM: Türkiye'de gerçekleştirilen Ar-Ge/tasarım faaliyetleri sonucu ortaya çıkan ve
patent veya faydalı model belgesiyle tescil edilmiş buluşlardan elde edilen kazançlar.
İSTİSNA ORANI: %50 (setimizin geri kalanından farklı — diğerleri %100)
NEXUS YAKLAŞIMI:
İstisna Tutarı = Buluş Kazancı × min[(NARGe × 1.3) / TARGe, 1] × %50
NARGe: Türkiye'de kendi + ilişkisiz taraflara ödenen Ar-Ge harcaması
TARGe: Toplam Ar-Ge (NARGe + ilişkili kuruluş ödemeleri + satın alınan IP)
×1.3: Türkiye Ar-Ge'sini teşvik eden katsayı
KAZANÇ TÜRLERİ:
① Satış/Devir/Temlik kazancı (C bölümü)
② Lisans/Kira/Royalty geliri (D bölümü)
③ Buluşun üretimde kullanılmasından imalat katkı payı (E bölümü)
BEYANNAME: 324. Satır | 'Kazancın Bulunması Halinde' | %50</t>
  </si>
  <si>
    <t>KVK Md. 5/B | 2 Seri No.lu KVK GT | SMK</t>
  </si>
  <si>
    <t>N2</t>
  </si>
  <si>
    <t>NEXUS — İlişkili Kuruluş Ayrımı ve Kritik Hatalar</t>
  </si>
  <si>
    <t>NEXUS HESABINDA EN KRİTİK NOKTA — İLİŞKİLİ/İLİŞKİSİZ AYRIMI:
NARGe'YE DAHİL:
✓ Kurumun kendi bünyesinde Türkiye'de yaptığı Ar-Ge (B.1)
✓ İlişkili OLMAYAN Türkiye'deki araştırma kurumlarına ödenen (B.2)
✓ İlişkili OLMAYAN yabancı araştırma kurumlarına ödenen (B.3)
NARGe'YE DAHİL DEĞİL (TARGe'ye girer):
✗ İlişkili kuruluşlara (grup şirketi) ödenen Ar-Ge (B.6)
✗ Satın alınan patent/buluş bedeli (B.7)
TIPIK HATALAR:
(1) Grup şirketine ödenen Ar-Ge'yi NARGe'ye dahil etmek
(2) ×1.3 katsayısını uygulamadan NEXUS hesaplamak
(3) NEXUS oranı &gt;1 çıktığında 1 ile sınırlandırmamak
(4) Satın alınan IP için NEXUS =0 olduğunu gözden kaçırmak</t>
  </si>
  <si>
    <t>KVK Md. 5/B | OECD Aksiyon 5 (NEXUS)</t>
  </si>
  <si>
    <t>N3</t>
  </si>
  <si>
    <t>İmalat Katkı Oranı ve Transfer Fiyatlandırması</t>
  </si>
  <si>
    <t>İMALAT KATKI ORANI (E.4) — EN TARTIŞMALI KALEM:
Buluşun kazanca katkı oranı iki yöntemden biriyle belirlenir:
① Maliyet tabanlı: Buluşa özgü ek maliyet / Toplam ürün maliyeti
② Emsal tabanlı: Buluşsuz emsal ürün marjı ile karşılaştırma
GİB özelgesi alınması YMM müteselsil sorumluluğu açısından zorunludur.
TRANSFER FİYATLANDIRMASI:
Lisans royalty oranı emsale uygun olmalı (KVK Md.13).
OECD TP kılavuzunda IP transferi — maliyet katkı payı yöntemi veya TNMM.
İlişkili kişiye lisans → TP formu ve belge zorunlu.
49 No.lu Tebliğ + YMM KULLANSIN:
'...TPMK tarafından verilen [belge no] sayılı patent/faydalı model belgesi
  kapsamındaki buluştan elde edilen [satış/lisans/imalat katkı] kazancının
  %50'si KVK Md.5/B kapsamında NEXUS oranı uygulanarak istisnaya tabi tutulmuştur'
'NEXUS oranı: NARGe × 1.3 / TARGe = [değer]'</t>
  </si>
  <si>
    <t>KVK Md.5/B | Md.13 | OECD TP | SMK</t>
  </si>
  <si>
    <t xml:space="preserve">  KDV, DAMGA VERGİSİ VE AR-GE DESTEKLERI: Patent satışı/lisansında KDV (mal devri mi, hizmet mi?) boyutu ayrıca incelenmeli. TUBITAK, KOSGEB, Kalkınma Ajansı Ar-Ge destekleri — hibe/destek — TARGe hesabında destek almış harcamaların dikkate alınıp alınmayacağı tartışmalı. Ar-Ge Kanunu (5746 s.K.) desteğiyle 5/B istisnasının birlikte kullanımı için GİB özelgesi alınması önerilir. YMM müteselsil sorumluluk: SM-SMMM-YMM K. Md.12.</t>
  </si>
  <si>
    <t>324 – KVK 5/B SINAİ MÜLKİYET HAKLARI İSTİSNASI | BELGE LİSTESİ | YMM TASDİK</t>
  </si>
  <si>
    <t>KVK Md. 5/B | %50 İstisna | NEXUS Oranı | Patent / Faydalı Model | Beyanname 324 | Ar-Ge Harcama Kayıtları | Transfer Fiyatlandırması | 49 No.lu Tebliğ</t>
  </si>
  <si>
    <t>KATEGORİ 1 — ZORUNLU BELGELER (PATENT + NEXUS + KAZANÇ TÜRÜ)</t>
  </si>
  <si>
    <t xml:space="preserve">  3 Kritik: Patent/FMB Belgesi + NEXUS Harcama Kanıtları + Kazanç Türü Sözleşmesi</t>
  </si>
  <si>
    <t>No</t>
  </si>
  <si>
    <t>Belge</t>
  </si>
  <si>
    <t>Detay</t>
  </si>
  <si>
    <t>Temin</t>
  </si>
  <si>
    <t>1</t>
  </si>
  <si>
    <t>★ Patent veya Faydalı Model Belgesi (TPMK veya Yabancı Ülke)</t>
  </si>
  <si>
    <t>Belge numarası, kapsam, geçerlilik tarihi içermelidir.
Süresi dolan belge kapsam dışı.</t>
  </si>
  <si>
    <t>TPMK veya ilgili ülke patent ofisi — belge aslı/onaylı</t>
  </si>
  <si>
    <t>2</t>
  </si>
  <si>
    <t>★ NEXUS Ar-Ge Harcama Ayrıştırma Tablosu (NARGe / TARGe)</t>
  </si>
  <si>
    <t>B.1 (kendi), B.2 (ilişkisiz yurt içi), B.3 (ilişkisiz yurt dışı), B.6 (ilişkili), B.7 (satın alınan).
Her kalem fatura ve sözleşmeyle belgelenmeli.</t>
  </si>
  <si>
    <t>Muhasebe kayıtları + Ar-Ge merkezi raporları</t>
  </si>
  <si>
    <t>3</t>
  </si>
  <si>
    <t>Ar-Ge Faaliyeti Kanıt Belgesi (Proje Raporu / Ar-Ge Merkezi Belgesi)</t>
  </si>
  <si>
    <t>Buluşun Türkiye'de Ar-Ge faaliyetiyle bağlantısını gösteren proje raporu.
Ar-Ge merkezi, TGB, üniversite belgesi varsa eklenmeli.</t>
  </si>
  <si>
    <t>Ar-Ge merkezi kayıtları / TGB tescil belgesi</t>
  </si>
  <si>
    <t>4</t>
  </si>
  <si>
    <t>Kazanç Türü Sözleşmesi</t>
  </si>
  <si>
    <t>Satış/Devir: Devir sözleşmesi + TPMK devir tescil belgesi.
Lisans/Royalty: Lisans sözleşmesi + sözleşme bedeli teyidi.
İmalat: Ürün maliyet kartı + katkı oranı analizi.</t>
  </si>
  <si>
    <t>İlgili sözleşme türü</t>
  </si>
  <si>
    <t>5</t>
  </si>
  <si>
    <t>NEXUS Hesaplama Raporu (B Bölümü)</t>
  </si>
  <si>
    <t>NEXUS = min[(NARGe × 1.3) / TARGe, 1] formülünü ve bileşenlerini gösteren ayrıntılı tablo.
YMM tasdik dosyasının teknik özüdür.</t>
  </si>
  <si>
    <t>B bölümü + Muhasebe ekstresi</t>
  </si>
  <si>
    <t>6</t>
  </si>
  <si>
    <t>KV Beyannamesi Taslağı — 324. Satır</t>
  </si>
  <si>
    <t>F.4 = C.7 + D.6 + E.8 ile uyumlu. 'Kazancın Bulunması Halinde' bölümünde.</t>
  </si>
  <si>
    <t>GİB e-Beyanname sistemi</t>
  </si>
  <si>
    <t>KATEGORİ 2 — TRANSFER FİYATLANDIRMASI, İMALAT KATKI VE EK BELGELER</t>
  </si>
  <si>
    <t>7</t>
  </si>
  <si>
    <t>Transfer Fiyatlandırması Dokümantasyonu (Lisans İşlemi İçin)</t>
  </si>
  <si>
    <t>Lisans royalty oranının emsale uygunluk analizi.
KVK Md.13 kapsamında TP formu ve karşılaştırılabilir analiz.</t>
  </si>
  <si>
    <t>TP Analiz Raporu</t>
  </si>
  <si>
    <t>8</t>
  </si>
  <si>
    <t>İmalat Katkı Oranı Analizi (E.4 İçin)</t>
  </si>
  <si>
    <t>Buluşun ürün kazancına katkı oranını belirleyen emsal veya maliyet analizi.
GİB özelgesi alınması tavsiye edilir.</t>
  </si>
  <si>
    <t>Bağımsız uzman raporu veya GİB özelgesi</t>
  </si>
  <si>
    <t>9</t>
  </si>
  <si>
    <t>GİB Özelgesi (İmalat Katkısı ve Tartışmalı Konular İçin)</t>
  </si>
  <si>
    <t>İmalat katkı oranı, 5746 ile 5/B etkileşimi, hibe/destek etkisi gibi tartışmalı konularda.</t>
  </si>
  <si>
    <t>GİB özelge sistemi</t>
  </si>
  <si>
    <t>KATEGORİ 3 — YMM TASDİK KONTROL SORULARI</t>
  </si>
  <si>
    <t>Beklenen Sonuç</t>
  </si>
  <si>
    <t>YMM Aksiyonu</t>
  </si>
  <si>
    <t>S1</t>
  </si>
  <si>
    <t>★ Patent/FMB belgesi mevcut ve geçerli mi?</t>
  </si>
  <si>
    <t>Belge no, geçerlilik tarihi teyit edilmeli.</t>
  </si>
  <si>
    <t>YMM kontrolü</t>
  </si>
  <si>
    <t>S2</t>
  </si>
  <si>
    <t>Setimizin en kritik %50 uyarısı.</t>
  </si>
  <si>
    <t>S3</t>
  </si>
  <si>
    <t>★ NEXUS oranı (NARGe × 1.3 / TARGe) doğru hesaplandı mı?</t>
  </si>
  <si>
    <t>İlişkili/ilişkisiz ayrımı. Max 1 sınırı.</t>
  </si>
  <si>
    <t>S4</t>
  </si>
  <si>
    <t>★ İlişkili kuruluşlara ödenen Ar-Ge NARGe'den çıkarıldı mı?</t>
  </si>
  <si>
    <t>B.6 TARGe'ye dahil ama NARGe'ye değil.</t>
  </si>
  <si>
    <t>S5</t>
  </si>
  <si>
    <t>Kazanç türleri (C/D/E) ayrı hesaplandı mı?</t>
  </si>
  <si>
    <t>Satış, lisans, imalat — her biri ayrı NEXUS × %50.</t>
  </si>
  <si>
    <t>S6</t>
  </si>
  <si>
    <t>İmalat katkı oranı (E.4) belgelendi mi?</t>
  </si>
  <si>
    <t>Emsal veya maliyet tabanlı analiz — GİB özelgesi.</t>
  </si>
  <si>
    <t>S7</t>
  </si>
  <si>
    <t>Transfer fiyatlandırması analizi yapıldı mı?</t>
  </si>
  <si>
    <t>Lisans royalty emsal uygunluğu — KVK Md.13.</t>
  </si>
  <si>
    <t>S8</t>
  </si>
  <si>
    <t>'Zarar Olsa Dahi' değil.</t>
  </si>
  <si>
    <t>S9</t>
  </si>
  <si>
    <t>324 = F.4 uyumlu mu?</t>
  </si>
  <si>
    <t>C.7 + D.6 + E.8 toplamı.</t>
  </si>
  <si>
    <t>S10</t>
  </si>
  <si>
    <t>&gt;=500.000 TL → YMM raporu.</t>
  </si>
  <si>
    <t>SON NOT: 49 No.lu Tebliğ: &gt;=500.000 TL → YMM raporu. Tam tasdik → ayrıca rapor yok. 324'ün setin EN KARMAŞIK DOSYASI olmasının 3 nedeni: (1) %50 İSTİSNA — diğerleri %100. (2) NEXUS ORANI FORMÜLÜ — setimizin tek formüllü istisna hesabı. (3) 3 AYRI KAZANÇ TÜRÜ — Satış+Lisans+İmalat, her biri ayrı hesap ve belge. KVK 5/B, 5/A (323) ve 5/1'den farklı üçüncü özel madde kategorisidir. İmalat katkısı için GİB özelgesi, lisans için TP analizi zorunludur.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</si>
</sst>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C0392B"/>
      <name val="Arial"/>
    </font>
    <font>
      <sz val="8"/>
      <color rgb="FF004D4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sz val="9"/>
      <color rgb="FF1565C0"/>
      <name val="Arial"/>
    </font>
    <font>
      <b/>
      <sz val="10"/>
      <color rgb="FF1F3864"/>
      <name val="Arial"/>
    </font>
    <font>
      <b/>
      <sz val="9"/>
      <color rgb="FF1B5E20"/>
      <name val="Arial"/>
    </font>
    <font>
      <b/>
      <sz val="12"/>
      <color rgb="FF1B5E20"/>
      <name val="Arial"/>
    </font>
    <font>
      <b/>
      <sz val="9"/>
      <color rgb="FF7B5E00"/>
      <name val="Arial"/>
    </font>
    <font>
      <b/>
      <sz val="11"/>
      <color rgb="FF7B5E00"/>
      <name val="Arial"/>
    </font>
    <font>
      <sz val="9"/>
      <color rgb="FF1A5276"/>
      <name val="Arial"/>
    </font>
    <font>
      <sz val="9"/>
      <color rgb="FF880E4F"/>
      <name val="Arial"/>
    </font>
    <font>
      <sz val="9"/>
      <color rgb="FFE65100"/>
      <name val="Arial"/>
    </font>
    <font>
      <b/>
      <sz val="10"/>
      <color rgb="FF7B5E00"/>
      <name val="Arial"/>
    </font>
    <font>
      <b/>
      <sz val="11"/>
      <color rgb="FFFFFFFF"/>
      <name val="Arial"/>
    </font>
    <font>
      <b/>
      <sz val="11"/>
      <color rgb="FF1B5E20"/>
      <name val="Arial"/>
    </font>
    <font>
      <b/>
      <sz val="14"/>
      <color rgb="FF1B5E20"/>
      <name val="Arial"/>
    </font>
    <font>
      <b/>
      <sz val="12"/>
      <color rgb="FFFFFFFF"/>
      <name val="Arial"/>
    </font>
    <font>
      <sz val="8"/>
      <color rgb="FF333333"/>
      <name val="Arial"/>
    </font>
    <font>
      <sz val="9"/>
      <color rgb="FF004D40"/>
      <name val="Arial"/>
    </font>
    <font>
      <sz val="9"/>
      <color rgb="FF311B92"/>
      <name val="Arial"/>
    </font>
    <font>
      <sz val="9"/>
      <color rgb="FF555555"/>
      <name val="Arial"/>
    </font>
    <font>
      <b/>
      <sz val="9"/>
      <color rgb="FF004D40"/>
      <name val="Arial"/>
    </font>
    <font>
      <b/>
      <sz val="36"/>
      <color rgb="FFFFFFFF"/>
      <name val="Arial"/>
    </font>
    <font>
      <sz val="9"/>
      <color rgb="FF1F3864"/>
      <name val="Arial"/>
    </font>
    <font>
      <sz val="8"/>
      <color rgb="FF1F3864"/>
      <name val="Arial"/>
    </font>
    <font>
      <sz val="8"/>
      <color rgb="FF7B5E00"/>
      <name val="Arial"/>
    </font>
    <font>
      <i/>
      <sz val="8"/>
      <color rgb="FF444444"/>
      <name val="Arial"/>
    </font>
    <font>
      <sz val="9"/>
      <color rgb="FFFFFFFF"/>
      <name val="Arial"/>
    </font>
    <font>
      <b/>
      <sz val="9"/>
      <color rgb="FF1565C0"/>
      <name val="Arial"/>
    </font>
    <font>
      <i/>
      <sz val="8"/>
      <color rgb="FF1565C0"/>
      <name val="Arial"/>
    </font>
  </fonts>
  <fills count="28">
    <fill>
      <patternFill patternType="none"/>
    </fill>
    <fill>
      <patternFill patternType="gray125"/>
    </fill>
    <fill>
      <patternFill patternType="solid">
        <fgColor rgb="FF004D40"/>
      </patternFill>
    </fill>
    <fill>
      <patternFill patternType="solid">
        <fgColor rgb="FF2E4057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rgb="FFF0F0F0"/>
      </patternFill>
    </fill>
    <fill>
      <patternFill patternType="solid">
        <fgColor rgb="FFC0392B"/>
      </patternFill>
    </fill>
    <fill>
      <patternFill patternType="solid">
        <fgColor rgb="FF2E5FA3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EEF4FF"/>
      </patternFill>
    </fill>
    <fill>
      <patternFill patternType="solid">
        <fgColor rgb="FFC6EFCE"/>
      </patternFill>
    </fill>
    <fill>
      <patternFill patternType="solid">
        <fgColor rgb="FF1565C0"/>
      </patternFill>
    </fill>
    <fill>
      <patternFill patternType="solid">
        <fgColor rgb="FFFFF9C4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E65100"/>
      </patternFill>
    </fill>
    <fill>
      <patternFill patternType="solid">
        <fgColor rgb="FFEDE7F6"/>
      </patternFill>
    </fill>
    <fill>
      <patternFill patternType="solid">
        <fgColor rgb="FFFFF3E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7D3C98"/>
      </patternFill>
    </fill>
    <fill>
      <patternFill patternType="solid">
        <fgColor rgb="FFF3E5F5"/>
      </patternFill>
    </fill>
    <fill>
      <patternFill patternType="solid">
        <fgColor rgb="FFE8F4F8"/>
      </patternFill>
    </fill>
    <fill>
      <patternFill patternType="solid">
        <fgColor rgb="FFD0EAF0"/>
      </patternFill>
    </fill>
    <fill>
      <patternFill patternType="solid">
        <fgColor rgb="FFE3F2FD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6" borderId="1" xfId="0" applyFill="1" applyBorder="1"/>
    <xf numFmtId="0" fontId="1" fillId="8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10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0" fontId="24" fillId="12" borderId="3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26" fillId="20" borderId="1" xfId="0" applyFont="1" applyFill="1" applyBorder="1" applyAlignment="1">
      <alignment horizontal="left" vertical="top" wrapText="1"/>
    </xf>
    <xf numFmtId="0" fontId="0" fillId="9" borderId="1" xfId="0" applyFill="1" applyBorder="1" applyAlignment="1">
      <alignment horizontal="center" vertical="top"/>
    </xf>
    <xf numFmtId="0" fontId="8" fillId="10" borderId="1" xfId="0" applyFont="1" applyFill="1" applyBorder="1" applyAlignment="1">
      <alignment horizontal="left" vertical="top" wrapText="1"/>
    </xf>
    <xf numFmtId="0" fontId="8" fillId="11" borderId="1" xfId="0" applyFont="1" applyFill="1" applyBorder="1" applyAlignment="1">
      <alignment horizontal="left" vertical="top" wrapText="1"/>
    </xf>
    <xf numFmtId="0" fontId="26" fillId="11" borderId="1" xfId="0" applyFont="1" applyFill="1" applyBorder="1" applyAlignment="1">
      <alignment horizontal="left" vertical="top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6" fillId="21" borderId="1" xfId="0" applyFont="1" applyFill="1" applyBorder="1" applyAlignment="1">
      <alignment horizontal="left" vertical="top" wrapText="1"/>
    </xf>
    <xf numFmtId="0" fontId="35" fillId="11" borderId="1" xfId="0" applyFont="1" applyFill="1" applyBorder="1" applyAlignment="1">
      <alignment horizontal="left" vertical="top" wrapText="1"/>
    </xf>
    <xf numFmtId="0" fontId="35" fillId="10" borderId="1" xfId="0" applyFont="1" applyFill="1" applyBorder="1" applyAlignment="1">
      <alignment horizontal="left" vertical="top" wrapText="1"/>
    </xf>
    <xf numFmtId="0" fontId="8" fillId="12" borderId="1" xfId="0" applyFont="1" applyFill="1" applyBorder="1" applyAlignment="1">
      <alignment horizontal="center" vertical="top"/>
    </xf>
    <xf numFmtId="0" fontId="8" fillId="12" borderId="1" xfId="0" applyFont="1" applyFill="1" applyBorder="1" applyAlignment="1">
      <alignment horizontal="left" vertical="top" wrapText="1"/>
    </xf>
    <xf numFmtId="0" fontId="26" fillId="22" borderId="1" xfId="0" applyFont="1" applyFill="1" applyBorder="1" applyAlignment="1">
      <alignment horizontal="left" vertical="top" wrapText="1"/>
    </xf>
    <xf numFmtId="0" fontId="35" fillId="12" borderId="1" xfId="0" applyFont="1" applyFill="1" applyBorder="1" applyAlignment="1">
      <alignment horizontal="left" vertical="top" wrapText="1"/>
    </xf>
    <xf numFmtId="0" fontId="0" fillId="18" borderId="1" xfId="0" applyFill="1" applyBorder="1"/>
    <xf numFmtId="0" fontId="8" fillId="18" borderId="1" xfId="0" applyFont="1" applyFill="1" applyBorder="1" applyAlignment="1">
      <alignment horizontal="center" vertical="top"/>
    </xf>
    <xf numFmtId="0" fontId="8" fillId="18" borderId="1" xfId="0" applyFont="1" applyFill="1" applyBorder="1" applyAlignment="1">
      <alignment horizontal="left" vertical="top" wrapText="1"/>
    </xf>
    <xf numFmtId="0" fontId="26" fillId="24" borderId="1" xfId="0" applyFont="1" applyFill="1" applyBorder="1" applyAlignment="1">
      <alignment horizontal="left" vertical="top" wrapText="1"/>
    </xf>
    <xf numFmtId="0" fontId="35" fillId="18" borderId="1" xfId="0" applyFont="1" applyFill="1" applyBorder="1" applyAlignment="1">
      <alignment horizontal="left" vertical="top" wrapText="1"/>
    </xf>
    <xf numFmtId="0" fontId="1" fillId="13" borderId="2" xfId="0" applyFont="1" applyFill="1" applyBorder="1" applyAlignment="1">
      <alignment horizontal="center" vertical="center"/>
    </xf>
    <xf numFmtId="0" fontId="0" fillId="25" borderId="1" xfId="0" applyFill="1" applyBorder="1"/>
    <xf numFmtId="0" fontId="37" fillId="25" borderId="1" xfId="0" applyFont="1" applyFill="1" applyBorder="1" applyAlignment="1">
      <alignment horizontal="center" vertical="top"/>
    </xf>
    <xf numFmtId="0" fontId="37" fillId="25" borderId="1" xfId="0" applyFont="1" applyFill="1" applyBorder="1" applyAlignment="1">
      <alignment horizontal="left" vertical="top" wrapText="1"/>
    </xf>
    <xf numFmtId="0" fontId="26" fillId="26" borderId="1" xfId="0" applyFont="1" applyFill="1" applyBorder="1" applyAlignment="1">
      <alignment horizontal="left" vertical="top" wrapText="1"/>
    </xf>
    <xf numFmtId="0" fontId="38" fillId="25" borderId="1" xfId="0" applyFont="1" applyFill="1" applyBorder="1" applyAlignment="1">
      <alignment horizontal="center" vertical="top"/>
    </xf>
    <xf numFmtId="0" fontId="0" fillId="27" borderId="1" xfId="0" applyFill="1" applyBorder="1"/>
    <xf numFmtId="0" fontId="37" fillId="27" borderId="1" xfId="0" applyFont="1" applyFill="1" applyBorder="1" applyAlignment="1">
      <alignment horizontal="center" vertical="top"/>
    </xf>
    <xf numFmtId="0" fontId="37" fillId="27" borderId="1" xfId="0" applyFont="1" applyFill="1" applyBorder="1" applyAlignment="1">
      <alignment horizontal="left" vertical="top" wrapText="1"/>
    </xf>
    <xf numFmtId="0" fontId="38" fillId="27" borderId="1" xfId="0" applyFont="1" applyFill="1" applyBorder="1" applyAlignment="1">
      <alignment horizontal="center" vertical="top"/>
    </xf>
    <xf numFmtId="0" fontId="11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8" fillId="10" borderId="1" xfId="0" applyFont="1" applyFill="1" applyBorder="1" applyAlignment="1">
      <alignment horizontal="left" vertical="center" wrapText="1"/>
    </xf>
    <xf numFmtId="0" fontId="0" fillId="10" borderId="1" xfId="0" applyFill="1" applyBorder="1"/>
    <xf numFmtId="0" fontId="11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16" fillId="14" borderId="1" xfId="0" applyFont="1" applyFill="1" applyBorder="1" applyAlignment="1">
      <alignment horizontal="left" vertical="center" wrapText="1"/>
    </xf>
    <xf numFmtId="0" fontId="0" fillId="14" borderId="1" xfId="0" applyFill="1" applyBorder="1"/>
    <xf numFmtId="0" fontId="7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8" fillId="12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7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0" fillId="11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4" fillId="15" borderId="2" xfId="0" applyFont="1" applyFill="1" applyBorder="1" applyAlignment="1">
      <alignment horizontal="left" vertical="center"/>
    </xf>
    <xf numFmtId="0" fontId="0" fillId="15" borderId="2" xfId="0" applyFill="1" applyBorder="1"/>
    <xf numFmtId="0" fontId="4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14" fillId="14" borderId="1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left" vertical="center"/>
    </xf>
    <xf numFmtId="0" fontId="0" fillId="13" borderId="2" xfId="0" applyFill="1" applyBorder="1"/>
    <xf numFmtId="0" fontId="4" fillId="17" borderId="2" xfId="0" applyFont="1" applyFill="1" applyBorder="1" applyAlignment="1">
      <alignment horizontal="left" vertical="center"/>
    </xf>
    <xf numFmtId="0" fontId="0" fillId="17" borderId="2" xfId="0" applyFill="1" applyBorder="1"/>
    <xf numFmtId="0" fontId="9" fillId="14" borderId="1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left" vertical="center"/>
    </xf>
    <xf numFmtId="0" fontId="0" fillId="16" borderId="2" xfId="0" applyFill="1" applyBorder="1"/>
    <xf numFmtId="0" fontId="22" fillId="2" borderId="2" xfId="0" applyFont="1" applyFill="1" applyBorder="1" applyAlignment="1">
      <alignment horizontal="left" vertical="center"/>
    </xf>
    <xf numFmtId="0" fontId="26" fillId="10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left" vertical="center"/>
    </xf>
    <xf numFmtId="0" fontId="26" fillId="11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26" fillId="1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29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center"/>
    </xf>
    <xf numFmtId="0" fontId="16" fillId="14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25" fillId="2" borderId="2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left" vertical="top" wrapText="1"/>
    </xf>
    <xf numFmtId="0" fontId="0" fillId="20" borderId="1" xfId="0" applyFill="1" applyBorder="1"/>
    <xf numFmtId="0" fontId="26" fillId="10" borderId="1" xfId="0" applyFont="1" applyFill="1" applyBorder="1" applyAlignment="1">
      <alignment horizontal="left" vertical="center" wrapText="1"/>
    </xf>
    <xf numFmtId="0" fontId="29" fillId="19" borderId="1" xfId="0" applyFont="1" applyFill="1" applyBorder="1" applyAlignment="1">
      <alignment horizontal="center" vertical="center" wrapText="1"/>
    </xf>
    <xf numFmtId="0" fontId="0" fillId="19" borderId="1" xfId="0" applyFill="1" applyBorder="1"/>
    <xf numFmtId="0" fontId="8" fillId="11" borderId="1" xfId="0" applyFont="1" applyFill="1" applyBorder="1" applyAlignment="1">
      <alignment horizontal="left" vertical="top" wrapText="1"/>
    </xf>
    <xf numFmtId="0" fontId="14" fillId="12" borderId="1" xfId="0" applyFont="1" applyFill="1" applyBorder="1" applyAlignment="1">
      <alignment horizontal="left" vertical="center"/>
    </xf>
    <xf numFmtId="0" fontId="26" fillId="11" borderId="1" xfId="0" applyFont="1" applyFill="1" applyBorder="1" applyAlignment="1">
      <alignment horizontal="left" vertical="center" wrapText="1"/>
    </xf>
    <xf numFmtId="0" fontId="29" fillId="11" borderId="1" xfId="0" applyFont="1" applyFill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left" vertical="center" wrapText="1"/>
    </xf>
    <xf numFmtId="0" fontId="31" fillId="2" borderId="2" xfId="0" applyFont="1" applyFill="1" applyBorder="1" applyAlignment="1">
      <alignment horizontal="left" vertical="center"/>
    </xf>
    <xf numFmtId="0" fontId="33" fillId="12" borderId="1" xfId="0" applyFont="1" applyFill="1" applyBorder="1" applyAlignment="1">
      <alignment horizontal="left" vertical="center" wrapText="1"/>
    </xf>
    <xf numFmtId="0" fontId="33" fillId="11" borderId="1" xfId="0" applyFont="1" applyFill="1" applyBorder="1" applyAlignment="1">
      <alignment horizontal="left" vertical="center" wrapText="1"/>
    </xf>
    <xf numFmtId="0" fontId="34" fillId="14" borderId="1" xfId="0" applyFont="1" applyFill="1" applyBorder="1" applyAlignment="1">
      <alignment horizontal="left" vertical="center" wrapText="1"/>
    </xf>
    <xf numFmtId="0" fontId="22" fillId="2" borderId="4" xfId="0" applyFont="1" applyFill="1" applyBorder="1" applyAlignment="1">
      <alignment horizontal="left" vertical="center"/>
    </xf>
    <xf numFmtId="0" fontId="0" fillId="2" borderId="4" xfId="0" applyFill="1" applyBorder="1"/>
    <xf numFmtId="0" fontId="16" fillId="14" borderId="2" xfId="0" applyFont="1" applyFill="1" applyBorder="1" applyAlignment="1">
      <alignment horizontal="left" vertical="center" wrapText="1"/>
    </xf>
    <xf numFmtId="0" fontId="0" fillId="14" borderId="2" xfId="0" applyFill="1" applyBorder="1"/>
    <xf numFmtId="0" fontId="4" fillId="3" borderId="4" xfId="0" applyFont="1" applyFill="1" applyBorder="1" applyAlignment="1">
      <alignment horizontal="left" vertical="center"/>
    </xf>
    <xf numFmtId="0" fontId="0" fillId="3" borderId="4" xfId="0" applyFill="1" applyBorder="1"/>
    <xf numFmtId="0" fontId="36" fillId="3" borderId="1" xfId="0" applyFont="1" applyFill="1" applyBorder="1" applyAlignment="1">
      <alignment horizontal="left" vertical="center" wrapText="1"/>
    </xf>
    <xf numFmtId="0" fontId="4" fillId="23" borderId="2" xfId="0" applyFont="1" applyFill="1" applyBorder="1" applyAlignment="1">
      <alignment horizontal="left" vertical="center"/>
    </xf>
    <xf numFmtId="0" fontId="0" fillId="23" borderId="2" xfId="0" applyFill="1" applyBorder="1"/>
    <xf numFmtId="0" fontId="4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209CA4-2A48-4455-94C7-3D4ABD81FF0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ebea879-ebd9-4d4b-843c-6e746875683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3" width="18" customWidth="1"/>
    <col min="4" max="4" width="22" customWidth="1"/>
    <col min="5" max="5" width="16" customWidth="1"/>
    <col min="6" max="6" width="12" customWidth="1"/>
    <col min="7" max="7" width="26" customWidth="1"/>
  </cols>
  <sheetData>
    <row r="1" spans="1:7" ht="48" customHeight="1" x14ac:dyDescent="0.55000000000000004">
      <c r="A1" s="90" t="s">
        <v>0</v>
      </c>
      <c r="B1" s="91"/>
      <c r="C1" s="91"/>
      <c r="D1" s="91"/>
      <c r="E1" s="91"/>
      <c r="F1" s="91"/>
      <c r="G1" s="91"/>
    </row>
    <row r="2" spans="1:7" ht="20.05" customHeight="1" x14ac:dyDescent="0.55000000000000004">
      <c r="A2" s="102" t="s">
        <v>1</v>
      </c>
      <c r="B2" s="103"/>
      <c r="C2" s="103"/>
      <c r="D2" s="103"/>
      <c r="E2" s="103"/>
      <c r="F2" s="103"/>
      <c r="G2" s="103"/>
    </row>
    <row r="3" spans="1:7" ht="52" customHeight="1" x14ac:dyDescent="0.55000000000000004">
      <c r="A3" s="94" t="s">
        <v>2</v>
      </c>
      <c r="B3" s="84"/>
      <c r="C3" s="84"/>
      <c r="D3" s="84"/>
      <c r="E3" s="84"/>
      <c r="F3" s="84"/>
      <c r="G3" s="84"/>
    </row>
    <row r="4" spans="1:7" ht="40" customHeight="1" x14ac:dyDescent="0.55000000000000004">
      <c r="A4" s="96" t="s">
        <v>3</v>
      </c>
      <c r="B4" s="97"/>
      <c r="C4" s="97"/>
      <c r="D4" s="97"/>
      <c r="E4" s="97"/>
      <c r="F4" s="97"/>
      <c r="G4" s="97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100" t="s">
        <v>4</v>
      </c>
      <c r="B6" s="101"/>
      <c r="C6" s="101"/>
      <c r="D6" s="101"/>
      <c r="E6" s="101"/>
      <c r="F6" s="101"/>
      <c r="G6" s="101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6" t="s">
        <v>8</v>
      </c>
      <c r="B8" s="84"/>
      <c r="C8" s="84"/>
      <c r="D8" s="84"/>
      <c r="E8" s="3" t="s">
        <v>9</v>
      </c>
      <c r="F8" s="85" t="s">
        <v>10</v>
      </c>
      <c r="G8" s="84"/>
    </row>
    <row r="9" spans="1:7" ht="28" customHeight="1" x14ac:dyDescent="0.55000000000000004">
      <c r="A9" s="86" t="s">
        <v>11</v>
      </c>
      <c r="B9" s="84"/>
      <c r="C9" s="84"/>
      <c r="D9" s="84"/>
      <c r="E9" s="3" t="s">
        <v>9</v>
      </c>
      <c r="F9" s="85" t="s">
        <v>12</v>
      </c>
      <c r="G9" s="84"/>
    </row>
    <row r="10" spans="1:7" ht="28" customHeight="1" x14ac:dyDescent="0.55000000000000004">
      <c r="A10" s="86" t="s">
        <v>13</v>
      </c>
      <c r="B10" s="84"/>
      <c r="C10" s="84"/>
      <c r="D10" s="84"/>
      <c r="E10" s="3" t="s">
        <v>14</v>
      </c>
      <c r="F10" s="85" t="s">
        <v>15</v>
      </c>
      <c r="G10" s="84"/>
    </row>
    <row r="11" spans="1:7" ht="28" customHeight="1" x14ac:dyDescent="0.55000000000000004">
      <c r="A11" s="65" t="s">
        <v>16</v>
      </c>
      <c r="B11" s="66"/>
      <c r="C11" s="66"/>
      <c r="D11" s="66"/>
      <c r="E11" s="3" t="s">
        <v>9</v>
      </c>
      <c r="F11" s="80" t="s">
        <v>17</v>
      </c>
      <c r="G11" s="66"/>
    </row>
    <row r="12" spans="1:7" ht="28" customHeight="1" x14ac:dyDescent="0.55000000000000004">
      <c r="A12" s="82" t="s">
        <v>18</v>
      </c>
      <c r="B12" s="62"/>
      <c r="C12" s="62"/>
      <c r="D12" s="62"/>
      <c r="E12" s="3" t="s">
        <v>19</v>
      </c>
      <c r="F12" s="68" t="s">
        <v>20</v>
      </c>
      <c r="G12" s="62"/>
    </row>
    <row r="13" spans="1:7" ht="28" customHeight="1" x14ac:dyDescent="0.55000000000000004">
      <c r="A13" s="65" t="s">
        <v>21</v>
      </c>
      <c r="B13" s="66"/>
      <c r="C13" s="66"/>
      <c r="D13" s="66"/>
      <c r="E13" s="3" t="s">
        <v>9</v>
      </c>
      <c r="F13" s="80" t="s">
        <v>22</v>
      </c>
      <c r="G13" s="66"/>
    </row>
    <row r="14" spans="1:7" ht="28" customHeight="1" x14ac:dyDescent="0.55000000000000004">
      <c r="A14" s="82" t="s">
        <v>23</v>
      </c>
      <c r="B14" s="62"/>
      <c r="C14" s="62"/>
      <c r="D14" s="62"/>
      <c r="E14" s="3" t="s">
        <v>9</v>
      </c>
      <c r="F14" s="68" t="s">
        <v>24</v>
      </c>
      <c r="G14" s="62"/>
    </row>
    <row r="15" spans="1:7" ht="22" customHeight="1" x14ac:dyDescent="0.55000000000000004">
      <c r="A15" s="74" t="s">
        <v>25</v>
      </c>
      <c r="B15" s="73"/>
      <c r="C15" s="73"/>
      <c r="D15" s="73"/>
      <c r="E15" s="7" t="str">
        <f>IF(AND(E8="EVET",E9="EVET",E10="EVET — %50 İstisna",E11="EVET",E13="EVET",E14="EVET"),"OK - Hesaplanabilir","HATA - Ön koşul eksik")</f>
        <v>OK - Hesaplanabilir</v>
      </c>
      <c r="F15" s="72" t="s">
        <v>26</v>
      </c>
      <c r="G15" s="73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63" t="s">
        <v>27</v>
      </c>
      <c r="B17" s="64"/>
      <c r="C17" s="64"/>
      <c r="D17" s="64"/>
      <c r="E17" s="64"/>
      <c r="F17" s="64"/>
      <c r="G17" s="64"/>
    </row>
    <row r="18" spans="1:7" ht="22" customHeight="1" x14ac:dyDescent="0.55000000000000004">
      <c r="A18" s="82" t="s">
        <v>28</v>
      </c>
      <c r="B18" s="62"/>
      <c r="C18" s="69"/>
      <c r="D18" s="69"/>
      <c r="E18" s="69"/>
      <c r="F18" s="61" t="s">
        <v>29</v>
      </c>
      <c r="G18" s="62"/>
    </row>
    <row r="19" spans="1:7" ht="22" customHeight="1" x14ac:dyDescent="0.55000000000000004">
      <c r="A19" s="65" t="s">
        <v>30</v>
      </c>
      <c r="B19" s="66"/>
      <c r="C19" s="69"/>
      <c r="D19" s="69"/>
      <c r="E19" s="69"/>
      <c r="F19" s="67" t="s">
        <v>31</v>
      </c>
      <c r="G19" s="66"/>
    </row>
    <row r="20" spans="1:7" ht="22" customHeight="1" x14ac:dyDescent="0.55000000000000004">
      <c r="A20" s="82" t="s">
        <v>32</v>
      </c>
      <c r="B20" s="62"/>
      <c r="C20" s="69"/>
      <c r="D20" s="69"/>
      <c r="E20" s="69"/>
      <c r="F20" s="61" t="s">
        <v>33</v>
      </c>
      <c r="G20" s="62"/>
    </row>
    <row r="21" spans="1:7" ht="22" customHeight="1" x14ac:dyDescent="0.55000000000000004">
      <c r="A21" s="65" t="s">
        <v>34</v>
      </c>
      <c r="B21" s="66"/>
      <c r="C21" s="69"/>
      <c r="D21" s="69"/>
      <c r="E21" s="69"/>
      <c r="F21" s="67" t="s">
        <v>35</v>
      </c>
      <c r="G21" s="66"/>
    </row>
    <row r="22" spans="1:7" ht="22" customHeight="1" x14ac:dyDescent="0.55000000000000004">
      <c r="A22" s="82" t="s">
        <v>36</v>
      </c>
      <c r="B22" s="62"/>
      <c r="C22" s="69"/>
      <c r="D22" s="69"/>
      <c r="E22" s="69"/>
      <c r="F22" s="61" t="s">
        <v>37</v>
      </c>
      <c r="G22" s="62"/>
    </row>
    <row r="23" spans="1:7" ht="22" customHeight="1" x14ac:dyDescent="0.55000000000000004">
      <c r="A23" s="65" t="s">
        <v>38</v>
      </c>
      <c r="B23" s="66"/>
      <c r="C23" s="69"/>
      <c r="D23" s="69"/>
      <c r="E23" s="69"/>
      <c r="F23" s="67" t="s">
        <v>39</v>
      </c>
      <c r="G23" s="66"/>
    </row>
    <row r="24" spans="1:7" ht="22" customHeight="1" x14ac:dyDescent="0.55000000000000004">
      <c r="A24" s="82" t="s">
        <v>40</v>
      </c>
      <c r="B24" s="62"/>
      <c r="C24" s="69"/>
      <c r="D24" s="69"/>
      <c r="E24" s="69"/>
      <c r="F24" s="61" t="s">
        <v>41</v>
      </c>
      <c r="G24" s="62"/>
    </row>
    <row r="25" spans="1:7" ht="22" customHeight="1" x14ac:dyDescent="0.55000000000000004">
      <c r="A25" s="65" t="s">
        <v>42</v>
      </c>
      <c r="B25" s="66"/>
      <c r="C25" s="69"/>
      <c r="D25" s="69"/>
      <c r="E25" s="69"/>
      <c r="F25" s="67" t="s">
        <v>43</v>
      </c>
      <c r="G25" s="66"/>
    </row>
    <row r="26" spans="1:7" ht="22" customHeight="1" x14ac:dyDescent="0.55000000000000004">
      <c r="A26" s="82" t="s">
        <v>44</v>
      </c>
      <c r="B26" s="62"/>
      <c r="C26" s="69"/>
      <c r="D26" s="69"/>
      <c r="E26" s="69"/>
      <c r="F26" s="61" t="s">
        <v>45</v>
      </c>
      <c r="G26" s="62"/>
    </row>
    <row r="27" spans="1:7" ht="22" customHeight="1" x14ac:dyDescent="0.55000000000000004">
      <c r="A27" s="65" t="s">
        <v>46</v>
      </c>
      <c r="B27" s="66"/>
      <c r="C27" s="69"/>
      <c r="D27" s="69"/>
      <c r="E27" s="69"/>
      <c r="F27" s="67" t="s">
        <v>47</v>
      </c>
      <c r="G27" s="66"/>
    </row>
    <row r="28" spans="1:7" ht="5.05" customHeight="1" x14ac:dyDescent="0.55000000000000004">
      <c r="A28" s="1"/>
      <c r="B28" s="1"/>
      <c r="C28" s="1"/>
      <c r="D28" s="1"/>
      <c r="E28" s="1"/>
      <c r="F28" s="1"/>
      <c r="G28" s="1"/>
    </row>
    <row r="29" spans="1:7" ht="26.05" customHeight="1" x14ac:dyDescent="0.55000000000000004">
      <c r="A29" s="105" t="s">
        <v>48</v>
      </c>
      <c r="B29" s="106"/>
      <c r="C29" s="106"/>
      <c r="D29" s="106"/>
      <c r="E29" s="106"/>
      <c r="F29" s="106"/>
      <c r="G29" s="106"/>
    </row>
    <row r="30" spans="1:7" ht="48" customHeight="1" x14ac:dyDescent="0.55000000000000004">
      <c r="A30" s="75" t="s">
        <v>49</v>
      </c>
      <c r="B30" s="62"/>
      <c r="C30" s="62"/>
      <c r="D30" s="62"/>
      <c r="E30" s="62"/>
      <c r="F30" s="62"/>
      <c r="G30" s="62"/>
    </row>
    <row r="31" spans="1:7" ht="18" customHeight="1" x14ac:dyDescent="0.55000000000000004">
      <c r="A31" s="2"/>
      <c r="B31" s="2" t="s">
        <v>50</v>
      </c>
      <c r="C31" s="2"/>
      <c r="D31" s="2" t="s">
        <v>51</v>
      </c>
      <c r="E31" s="2"/>
      <c r="F31" s="2" t="s">
        <v>52</v>
      </c>
      <c r="G31" s="2" t="s">
        <v>53</v>
      </c>
    </row>
    <row r="32" spans="1:7" ht="26.05" customHeight="1" x14ac:dyDescent="0.55000000000000004">
      <c r="A32" s="82" t="s">
        <v>54</v>
      </c>
      <c r="B32" s="62"/>
      <c r="C32" s="8"/>
      <c r="D32" s="61" t="s">
        <v>55</v>
      </c>
      <c r="E32" s="62"/>
      <c r="F32" s="68" t="s">
        <v>56</v>
      </c>
      <c r="G32" s="62"/>
    </row>
    <row r="33" spans="1:7" ht="26.05" customHeight="1" x14ac:dyDescent="0.55000000000000004">
      <c r="A33" s="65" t="s">
        <v>57</v>
      </c>
      <c r="B33" s="66"/>
      <c r="C33" s="9"/>
      <c r="D33" s="67" t="s">
        <v>58</v>
      </c>
      <c r="E33" s="66"/>
      <c r="F33" s="80" t="s">
        <v>59</v>
      </c>
      <c r="G33" s="66"/>
    </row>
    <row r="34" spans="1:7" ht="26.05" customHeight="1" x14ac:dyDescent="0.55000000000000004">
      <c r="A34" s="82" t="s">
        <v>60</v>
      </c>
      <c r="B34" s="62"/>
      <c r="C34" s="8"/>
      <c r="D34" s="61" t="s">
        <v>61</v>
      </c>
      <c r="E34" s="62"/>
      <c r="F34" s="68" t="s">
        <v>62</v>
      </c>
      <c r="G34" s="62"/>
    </row>
    <row r="35" spans="1:7" ht="26.05" customHeight="1" x14ac:dyDescent="0.55000000000000004">
      <c r="A35" s="76" t="s">
        <v>63</v>
      </c>
      <c r="B35" s="73"/>
      <c r="C35" s="10">
        <f>C32+C33+C34</f>
        <v>0</v>
      </c>
      <c r="D35" s="79" t="s">
        <v>64</v>
      </c>
      <c r="E35" s="73"/>
      <c r="F35" s="72" t="s">
        <v>65</v>
      </c>
      <c r="G35" s="73"/>
    </row>
    <row r="36" spans="1:7" ht="26.05" customHeight="1" x14ac:dyDescent="0.55000000000000004">
      <c r="A36" s="82" t="s">
        <v>66</v>
      </c>
      <c r="B36" s="62"/>
      <c r="C36" s="8">
        <f>C35*1.3</f>
        <v>0</v>
      </c>
      <c r="D36" s="61" t="s">
        <v>67</v>
      </c>
      <c r="E36" s="62"/>
      <c r="F36" s="68" t="s">
        <v>68</v>
      </c>
      <c r="G36" s="62"/>
    </row>
    <row r="37" spans="1:7" ht="26.05" customHeight="1" x14ac:dyDescent="0.55000000000000004">
      <c r="A37" s="65" t="s">
        <v>69</v>
      </c>
      <c r="B37" s="66"/>
      <c r="C37" s="9"/>
      <c r="D37" s="67" t="s">
        <v>70</v>
      </c>
      <c r="E37" s="66"/>
      <c r="F37" s="80" t="s">
        <v>71</v>
      </c>
      <c r="G37" s="66"/>
    </row>
    <row r="38" spans="1:7" ht="26.05" customHeight="1" x14ac:dyDescent="0.55000000000000004">
      <c r="A38" s="82" t="s">
        <v>72</v>
      </c>
      <c r="B38" s="62"/>
      <c r="C38" s="8"/>
      <c r="D38" s="61" t="s">
        <v>73</v>
      </c>
      <c r="E38" s="62"/>
      <c r="F38" s="68" t="s">
        <v>71</v>
      </c>
      <c r="G38" s="62"/>
    </row>
    <row r="39" spans="1:7" ht="26.05" customHeight="1" x14ac:dyDescent="0.55000000000000004">
      <c r="A39" s="83" t="s">
        <v>74</v>
      </c>
      <c r="B39" s="84"/>
      <c r="C39" s="10">
        <f>C35+C37+C38</f>
        <v>0</v>
      </c>
      <c r="D39" s="93" t="s">
        <v>75</v>
      </c>
      <c r="E39" s="84"/>
      <c r="F39" s="85" t="s">
        <v>76</v>
      </c>
      <c r="G39" s="84"/>
    </row>
    <row r="40" spans="1:7" ht="26.05" customHeight="1" x14ac:dyDescent="0.55000000000000004">
      <c r="A40" s="104" t="s">
        <v>77</v>
      </c>
      <c r="B40" s="71"/>
      <c r="C40" s="10">
        <f>IF(C39&gt;0,MIN(C36/C39,1),1)</f>
        <v>1</v>
      </c>
      <c r="D40" s="77" t="s">
        <v>78</v>
      </c>
      <c r="E40" s="71"/>
      <c r="F40" s="78" t="s">
        <v>79</v>
      </c>
      <c r="G40" s="71"/>
    </row>
    <row r="41" spans="1:7" ht="26.05" customHeight="1" x14ac:dyDescent="0.55000000000000004">
      <c r="A41" s="70" t="s">
        <v>80</v>
      </c>
      <c r="B41" s="71"/>
      <c r="C41" s="11">
        <f>C40*100</f>
        <v>100</v>
      </c>
      <c r="D41" s="77" t="s">
        <v>81</v>
      </c>
      <c r="E41" s="71"/>
      <c r="F41" s="109" t="s">
        <v>82</v>
      </c>
      <c r="G41" s="71"/>
    </row>
    <row r="42" spans="1:7" ht="5.05" customHeight="1" x14ac:dyDescent="0.55000000000000004">
      <c r="A42" s="1"/>
      <c r="B42" s="1"/>
      <c r="C42" s="1"/>
      <c r="D42" s="1"/>
      <c r="E42" s="1"/>
      <c r="F42" s="1"/>
      <c r="G42" s="1"/>
    </row>
    <row r="43" spans="1:7" ht="24" customHeight="1" x14ac:dyDescent="0.55000000000000004">
      <c r="A43" s="98" t="s">
        <v>83</v>
      </c>
      <c r="B43" s="99"/>
      <c r="C43" s="99"/>
      <c r="D43" s="99"/>
      <c r="E43" s="99"/>
      <c r="F43" s="99"/>
      <c r="G43" s="99"/>
    </row>
    <row r="44" spans="1:7" ht="24" customHeight="1" x14ac:dyDescent="0.55000000000000004">
      <c r="A44" s="87" t="s">
        <v>84</v>
      </c>
      <c r="B44" s="62"/>
      <c r="C44" s="62"/>
      <c r="D44" s="62"/>
      <c r="E44" s="62"/>
      <c r="F44" s="62"/>
      <c r="G44" s="62"/>
    </row>
    <row r="45" spans="1:7" ht="18" customHeight="1" x14ac:dyDescent="0.55000000000000004">
      <c r="A45" s="2"/>
      <c r="B45" s="2" t="s">
        <v>85</v>
      </c>
      <c r="C45" s="2"/>
      <c r="D45" s="2" t="s">
        <v>51</v>
      </c>
      <c r="E45" s="2"/>
      <c r="F45" s="2" t="s">
        <v>52</v>
      </c>
      <c r="G45" s="2" t="s">
        <v>86</v>
      </c>
    </row>
    <row r="46" spans="1:7" ht="26.05" customHeight="1" x14ac:dyDescent="0.55000000000000004">
      <c r="A46" s="82" t="s">
        <v>87</v>
      </c>
      <c r="B46" s="62"/>
      <c r="C46" s="12"/>
      <c r="D46" s="61" t="s">
        <v>88</v>
      </c>
      <c r="E46" s="62"/>
      <c r="F46" s="68" t="s">
        <v>89</v>
      </c>
      <c r="G46" s="62"/>
    </row>
    <row r="47" spans="1:7" ht="26.05" customHeight="1" x14ac:dyDescent="0.55000000000000004">
      <c r="A47" s="65" t="s">
        <v>90</v>
      </c>
      <c r="B47" s="66"/>
      <c r="C47" s="12"/>
      <c r="D47" s="67" t="s">
        <v>91</v>
      </c>
      <c r="E47" s="66"/>
      <c r="F47" s="80" t="s">
        <v>92</v>
      </c>
      <c r="G47" s="66"/>
    </row>
    <row r="48" spans="1:7" ht="26.05" customHeight="1" x14ac:dyDescent="0.55000000000000004">
      <c r="A48" s="82" t="s">
        <v>93</v>
      </c>
      <c r="B48" s="62"/>
      <c r="C48" s="12"/>
      <c r="D48" s="61" t="s">
        <v>94</v>
      </c>
      <c r="E48" s="62"/>
      <c r="F48" s="68"/>
      <c r="G48" s="62"/>
    </row>
    <row r="49" spans="1:7" ht="26.05" customHeight="1" x14ac:dyDescent="0.55000000000000004">
      <c r="A49" s="76" t="s">
        <v>95</v>
      </c>
      <c r="B49" s="73"/>
      <c r="C49" s="10">
        <f>C46-C47-C48</f>
        <v>0</v>
      </c>
      <c r="D49" s="79" t="s">
        <v>96</v>
      </c>
      <c r="E49" s="73"/>
      <c r="F49" s="81"/>
      <c r="G49" s="73"/>
    </row>
    <row r="50" spans="1:7" ht="26.05" customHeight="1" x14ac:dyDescent="0.55000000000000004">
      <c r="A50" s="82" t="s">
        <v>97</v>
      </c>
      <c r="B50" s="62"/>
      <c r="C50" s="7">
        <f>C40</f>
        <v>1</v>
      </c>
      <c r="D50" s="61" t="s">
        <v>98</v>
      </c>
      <c r="E50" s="62"/>
      <c r="F50" s="68" t="s">
        <v>99</v>
      </c>
      <c r="G50" s="62"/>
    </row>
    <row r="51" spans="1:7" ht="26.05" customHeight="1" x14ac:dyDescent="0.55000000000000004">
      <c r="A51" s="65" t="s">
        <v>100</v>
      </c>
      <c r="B51" s="66"/>
      <c r="C51" s="7">
        <f>MAX(0,C49)*C40</f>
        <v>0</v>
      </c>
      <c r="D51" s="67" t="s">
        <v>96</v>
      </c>
      <c r="E51" s="66"/>
      <c r="F51" s="80"/>
      <c r="G51" s="66"/>
    </row>
    <row r="52" spans="1:7" ht="26.05" customHeight="1" x14ac:dyDescent="0.55000000000000004">
      <c r="A52" s="76" t="s">
        <v>101</v>
      </c>
      <c r="B52" s="73"/>
      <c r="C52" s="10">
        <f>C51*0.5</f>
        <v>0</v>
      </c>
      <c r="D52" s="79" t="s">
        <v>102</v>
      </c>
      <c r="E52" s="73"/>
      <c r="F52" s="81" t="s">
        <v>103</v>
      </c>
      <c r="G52" s="73"/>
    </row>
    <row r="53" spans="1:7" ht="5.05" customHeight="1" x14ac:dyDescent="0.55000000000000004">
      <c r="A53" s="1"/>
      <c r="B53" s="1"/>
      <c r="C53" s="1"/>
      <c r="D53" s="1"/>
      <c r="E53" s="1"/>
      <c r="F53" s="1"/>
      <c r="G53" s="1"/>
    </row>
    <row r="54" spans="1:7" ht="24" customHeight="1" x14ac:dyDescent="0.55000000000000004">
      <c r="A54" s="110" t="s">
        <v>104</v>
      </c>
      <c r="B54" s="111"/>
      <c r="C54" s="111"/>
      <c r="D54" s="111"/>
      <c r="E54" s="111"/>
      <c r="F54" s="111"/>
      <c r="G54" s="111"/>
    </row>
    <row r="55" spans="1:7" ht="32.049999999999997" customHeight="1" x14ac:dyDescent="0.55000000000000004">
      <c r="A55" s="95" t="s">
        <v>105</v>
      </c>
      <c r="B55" s="62"/>
      <c r="C55" s="62"/>
      <c r="D55" s="62"/>
      <c r="E55" s="62"/>
      <c r="F55" s="62"/>
      <c r="G55" s="62"/>
    </row>
    <row r="56" spans="1:7" ht="18" customHeight="1" x14ac:dyDescent="0.55000000000000004">
      <c r="A56" s="2"/>
      <c r="B56" s="2" t="s">
        <v>85</v>
      </c>
      <c r="C56" s="2"/>
      <c r="D56" s="2" t="s">
        <v>51</v>
      </c>
      <c r="E56" s="2"/>
      <c r="F56" s="2" t="s">
        <v>52</v>
      </c>
      <c r="G56" s="2"/>
    </row>
    <row r="57" spans="1:7" ht="26.05" customHeight="1" x14ac:dyDescent="0.55000000000000004">
      <c r="A57" s="65" t="s">
        <v>106</v>
      </c>
      <c r="B57" s="66"/>
      <c r="C57" s="12"/>
      <c r="D57" s="67" t="s">
        <v>107</v>
      </c>
      <c r="E57" s="66"/>
      <c r="F57" s="66"/>
      <c r="G57" s="66"/>
    </row>
    <row r="58" spans="1:7" ht="26.05" customHeight="1" x14ac:dyDescent="0.55000000000000004">
      <c r="A58" s="82" t="s">
        <v>108</v>
      </c>
      <c r="B58" s="62"/>
      <c r="C58" s="12"/>
      <c r="D58" s="61"/>
      <c r="E58" s="62"/>
      <c r="F58" s="62"/>
      <c r="G58" s="62"/>
    </row>
    <row r="59" spans="1:7" ht="26.05" customHeight="1" x14ac:dyDescent="0.55000000000000004">
      <c r="A59" s="76" t="s">
        <v>109</v>
      </c>
      <c r="B59" s="73"/>
      <c r="C59" s="10">
        <f>C57-C58</f>
        <v>0</v>
      </c>
      <c r="D59" s="79" t="s">
        <v>96</v>
      </c>
      <c r="E59" s="73"/>
      <c r="F59" s="73"/>
      <c r="G59" s="73"/>
    </row>
    <row r="60" spans="1:7" ht="26.05" customHeight="1" x14ac:dyDescent="0.55000000000000004">
      <c r="A60" s="82" t="s">
        <v>110</v>
      </c>
      <c r="B60" s="62"/>
      <c r="C60" s="7">
        <f>C40</f>
        <v>1</v>
      </c>
      <c r="D60" s="61" t="s">
        <v>98</v>
      </c>
      <c r="E60" s="62"/>
      <c r="F60" s="62"/>
      <c r="G60" s="62"/>
    </row>
    <row r="61" spans="1:7" ht="26.05" customHeight="1" x14ac:dyDescent="0.55000000000000004">
      <c r="A61" s="65" t="s">
        <v>111</v>
      </c>
      <c r="B61" s="66"/>
      <c r="C61" s="7">
        <f>MAX(0,C59)*C40</f>
        <v>0</v>
      </c>
      <c r="D61" s="67" t="s">
        <v>96</v>
      </c>
      <c r="E61" s="66"/>
      <c r="F61" s="66"/>
      <c r="G61" s="66"/>
    </row>
    <row r="62" spans="1:7" ht="26.05" customHeight="1" x14ac:dyDescent="0.55000000000000004">
      <c r="A62" s="76" t="s">
        <v>112</v>
      </c>
      <c r="B62" s="73"/>
      <c r="C62" s="10">
        <f>C61*0.5</f>
        <v>0</v>
      </c>
      <c r="D62" s="79" t="s">
        <v>113</v>
      </c>
      <c r="E62" s="73"/>
      <c r="F62" s="73"/>
      <c r="G62" s="73"/>
    </row>
    <row r="63" spans="1:7" ht="5.05" customHeight="1" x14ac:dyDescent="0.55000000000000004">
      <c r="A63" s="1"/>
      <c r="B63" s="1"/>
      <c r="C63" s="1"/>
      <c r="D63" s="1"/>
      <c r="E63" s="1"/>
      <c r="F63" s="1"/>
      <c r="G63" s="1"/>
    </row>
    <row r="64" spans="1:7" ht="24" customHeight="1" x14ac:dyDescent="0.55000000000000004">
      <c r="A64" s="107" t="s">
        <v>114</v>
      </c>
      <c r="B64" s="108"/>
      <c r="C64" s="108"/>
      <c r="D64" s="108"/>
      <c r="E64" s="108"/>
      <c r="F64" s="108"/>
      <c r="G64" s="108"/>
    </row>
    <row r="65" spans="1:7" ht="36" customHeight="1" x14ac:dyDescent="0.55000000000000004">
      <c r="A65" s="92" t="s">
        <v>115</v>
      </c>
      <c r="B65" s="62"/>
      <c r="C65" s="62"/>
      <c r="D65" s="62"/>
      <c r="E65" s="62"/>
      <c r="F65" s="62"/>
      <c r="G65" s="62"/>
    </row>
    <row r="66" spans="1:7" ht="18" customHeight="1" x14ac:dyDescent="0.55000000000000004">
      <c r="A66" s="2"/>
      <c r="B66" s="2" t="s">
        <v>85</v>
      </c>
      <c r="C66" s="2"/>
      <c r="D66" s="2" t="s">
        <v>51</v>
      </c>
      <c r="E66" s="2"/>
      <c r="F66" s="2" t="s">
        <v>52</v>
      </c>
      <c r="G66" s="2"/>
    </row>
    <row r="67" spans="1:7" ht="26.05" customHeight="1" x14ac:dyDescent="0.55000000000000004">
      <c r="A67" s="65" t="s">
        <v>116</v>
      </c>
      <c r="B67" s="66"/>
      <c r="C67" s="13"/>
      <c r="D67" s="67" t="s">
        <v>117</v>
      </c>
      <c r="E67" s="66"/>
      <c r="F67" s="80" t="s">
        <v>118</v>
      </c>
      <c r="G67" s="66"/>
    </row>
    <row r="68" spans="1:7" ht="26.05" customHeight="1" x14ac:dyDescent="0.55000000000000004">
      <c r="A68" s="82" t="s">
        <v>119</v>
      </c>
      <c r="B68" s="62"/>
      <c r="C68" s="13"/>
      <c r="D68" s="61" t="s">
        <v>120</v>
      </c>
      <c r="E68" s="62"/>
      <c r="F68" s="68" t="s">
        <v>121</v>
      </c>
      <c r="G68" s="62"/>
    </row>
    <row r="69" spans="1:7" ht="26.05" customHeight="1" x14ac:dyDescent="0.55000000000000004">
      <c r="A69" s="76" t="s">
        <v>122</v>
      </c>
      <c r="B69" s="73"/>
      <c r="C69" s="10">
        <f>C67-C68</f>
        <v>0</v>
      </c>
      <c r="D69" s="79" t="s">
        <v>96</v>
      </c>
      <c r="E69" s="73"/>
      <c r="F69" s="81"/>
      <c r="G69" s="73"/>
    </row>
    <row r="70" spans="1:7" ht="26.05" customHeight="1" x14ac:dyDescent="0.55000000000000004">
      <c r="A70" s="70" t="s">
        <v>123</v>
      </c>
      <c r="B70" s="71"/>
      <c r="C70" s="14"/>
      <c r="D70" s="77" t="s">
        <v>124</v>
      </c>
      <c r="E70" s="71"/>
      <c r="F70" s="78" t="s">
        <v>125</v>
      </c>
      <c r="G70" s="71"/>
    </row>
    <row r="71" spans="1:7" ht="26.05" customHeight="1" x14ac:dyDescent="0.55000000000000004">
      <c r="A71" s="76" t="s">
        <v>126</v>
      </c>
      <c r="B71" s="73"/>
      <c r="C71" s="10">
        <f>C69*(C70/100)</f>
        <v>0</v>
      </c>
      <c r="D71" s="79" t="s">
        <v>96</v>
      </c>
      <c r="E71" s="73"/>
      <c r="F71" s="81"/>
      <c r="G71" s="73"/>
    </row>
    <row r="72" spans="1:7" ht="26.05" customHeight="1" x14ac:dyDescent="0.55000000000000004">
      <c r="A72" s="82" t="s">
        <v>127</v>
      </c>
      <c r="B72" s="62"/>
      <c r="C72" s="7">
        <f>C40</f>
        <v>1</v>
      </c>
      <c r="D72" s="61" t="s">
        <v>98</v>
      </c>
      <c r="E72" s="62"/>
      <c r="F72" s="68"/>
      <c r="G72" s="62"/>
    </row>
    <row r="73" spans="1:7" ht="26.05" customHeight="1" x14ac:dyDescent="0.55000000000000004">
      <c r="A73" s="65" t="s">
        <v>128</v>
      </c>
      <c r="B73" s="66"/>
      <c r="C73" s="7">
        <f>MAX(0,C71)*C40</f>
        <v>0</v>
      </c>
      <c r="D73" s="67" t="s">
        <v>96</v>
      </c>
      <c r="E73" s="66"/>
      <c r="F73" s="80"/>
      <c r="G73" s="66"/>
    </row>
    <row r="74" spans="1:7" ht="26.05" customHeight="1" x14ac:dyDescent="0.55000000000000004">
      <c r="A74" s="76" t="s">
        <v>129</v>
      </c>
      <c r="B74" s="73"/>
      <c r="C74" s="10">
        <f>C73*0.5</f>
        <v>0</v>
      </c>
      <c r="D74" s="79" t="s">
        <v>113</v>
      </c>
      <c r="E74" s="73"/>
      <c r="F74" s="81" t="s">
        <v>130</v>
      </c>
      <c r="G74" s="73"/>
    </row>
    <row r="75" spans="1:7" ht="5.05" customHeight="1" x14ac:dyDescent="0.55000000000000004">
      <c r="A75" s="1"/>
      <c r="B75" s="1"/>
      <c r="C75" s="1"/>
      <c r="D75" s="1"/>
      <c r="E75" s="1"/>
      <c r="F75" s="1"/>
      <c r="G75" s="1"/>
    </row>
    <row r="76" spans="1:7" ht="26.05" customHeight="1" x14ac:dyDescent="0.55000000000000004">
      <c r="A76" s="112" t="s">
        <v>131</v>
      </c>
      <c r="B76" s="64"/>
      <c r="C76" s="64"/>
      <c r="D76" s="64"/>
      <c r="E76" s="64"/>
      <c r="F76" s="64"/>
      <c r="G76" s="64"/>
    </row>
    <row r="77" spans="1:7" ht="24" customHeight="1" x14ac:dyDescent="0.55000000000000004">
      <c r="A77" s="87" t="s">
        <v>132</v>
      </c>
      <c r="B77" s="62"/>
      <c r="C77" s="62"/>
      <c r="D77" s="62"/>
      <c r="E77" s="62"/>
      <c r="F77" s="62"/>
      <c r="G77" s="62"/>
    </row>
    <row r="78" spans="1:7" ht="18" customHeight="1" x14ac:dyDescent="0.55000000000000004">
      <c r="A78" s="2"/>
      <c r="B78" s="2" t="s">
        <v>133</v>
      </c>
      <c r="C78" s="2"/>
      <c r="D78" s="2" t="s">
        <v>51</v>
      </c>
      <c r="E78" s="2"/>
      <c r="F78" s="2" t="s">
        <v>52</v>
      </c>
      <c r="G78" s="2"/>
    </row>
    <row r="79" spans="1:7" ht="28" customHeight="1" x14ac:dyDescent="0.55000000000000004">
      <c r="A79" s="65" t="s">
        <v>134</v>
      </c>
      <c r="B79" s="66"/>
      <c r="C79" s="15">
        <f>C52</f>
        <v>0</v>
      </c>
      <c r="D79" s="67" t="s">
        <v>135</v>
      </c>
      <c r="E79" s="66"/>
      <c r="F79" s="66"/>
      <c r="G79" s="66"/>
    </row>
    <row r="80" spans="1:7" ht="28" customHeight="1" x14ac:dyDescent="0.55000000000000004">
      <c r="A80" s="82" t="s">
        <v>136</v>
      </c>
      <c r="B80" s="62"/>
      <c r="C80" s="15">
        <f>C62</f>
        <v>0</v>
      </c>
      <c r="D80" s="61" t="s">
        <v>137</v>
      </c>
      <c r="E80" s="62"/>
      <c r="F80" s="62"/>
      <c r="G80" s="62"/>
    </row>
    <row r="81" spans="1:7" ht="28" customHeight="1" x14ac:dyDescent="0.55000000000000004">
      <c r="A81" s="65" t="s">
        <v>138</v>
      </c>
      <c r="B81" s="66"/>
      <c r="C81" s="15">
        <f>C74</f>
        <v>0</v>
      </c>
      <c r="D81" s="67" t="s">
        <v>139</v>
      </c>
      <c r="E81" s="66"/>
      <c r="F81" s="66"/>
      <c r="G81" s="66"/>
    </row>
    <row r="82" spans="1:7" ht="28" customHeight="1" x14ac:dyDescent="0.55000000000000004">
      <c r="A82" s="76" t="s">
        <v>140</v>
      </c>
      <c r="B82" s="73"/>
      <c r="C82" s="16">
        <f>C79+C80+C81</f>
        <v>0</v>
      </c>
      <c r="D82" s="79" t="s">
        <v>141</v>
      </c>
      <c r="E82" s="73"/>
      <c r="F82" s="73"/>
      <c r="G82" s="73"/>
    </row>
    <row r="83" spans="1:7" ht="44.05" customHeight="1" x14ac:dyDescent="0.55000000000000004">
      <c r="A83" s="88" t="s">
        <v>142</v>
      </c>
      <c r="B83" s="89"/>
      <c r="C83" s="89"/>
      <c r="D83" s="89"/>
      <c r="E83" s="89"/>
      <c r="F83" s="89"/>
      <c r="G83" s="89"/>
    </row>
  </sheetData>
  <mergeCells count="168">
    <mergeCell ref="D82:E82"/>
    <mergeCell ref="F82:G82"/>
    <mergeCell ref="F60:G60"/>
    <mergeCell ref="D50:E50"/>
    <mergeCell ref="A76:G76"/>
    <mergeCell ref="A58:B58"/>
    <mergeCell ref="A2:G2"/>
    <mergeCell ref="F14:G14"/>
    <mergeCell ref="A40:B40"/>
    <mergeCell ref="A67:B67"/>
    <mergeCell ref="A14:D14"/>
    <mergeCell ref="D69:E69"/>
    <mergeCell ref="F11:G11"/>
    <mergeCell ref="A24:B24"/>
    <mergeCell ref="F69:G69"/>
    <mergeCell ref="A60:B60"/>
    <mergeCell ref="D59:E59"/>
    <mergeCell ref="D46:E46"/>
    <mergeCell ref="A29:G29"/>
    <mergeCell ref="D40:E40"/>
    <mergeCell ref="F40:G40"/>
    <mergeCell ref="F59:G59"/>
    <mergeCell ref="A44:G44"/>
    <mergeCell ref="F12:G12"/>
    <mergeCell ref="F24:G24"/>
    <mergeCell ref="C27:E27"/>
    <mergeCell ref="A25:B25"/>
    <mergeCell ref="D57:E57"/>
    <mergeCell ref="F51:G51"/>
    <mergeCell ref="D32:E32"/>
    <mergeCell ref="F8:G8"/>
    <mergeCell ref="A21:B21"/>
    <mergeCell ref="A57:B57"/>
    <mergeCell ref="A6:G6"/>
    <mergeCell ref="A32:B32"/>
    <mergeCell ref="F22:G22"/>
    <mergeCell ref="A23:B23"/>
    <mergeCell ref="A38:B38"/>
    <mergeCell ref="A12:D12"/>
    <mergeCell ref="F49:G49"/>
    <mergeCell ref="F32:G32"/>
    <mergeCell ref="D41:E41"/>
    <mergeCell ref="A18:B18"/>
    <mergeCell ref="F26:G26"/>
    <mergeCell ref="F41:G41"/>
    <mergeCell ref="F35:G35"/>
    <mergeCell ref="A50:B50"/>
    <mergeCell ref="C19:E19"/>
    <mergeCell ref="F38:G38"/>
    <mergeCell ref="A47:B47"/>
    <mergeCell ref="A54:G54"/>
    <mergeCell ref="F27:G27"/>
    <mergeCell ref="F52:G52"/>
    <mergeCell ref="A20:B20"/>
    <mergeCell ref="A1:G1"/>
    <mergeCell ref="F47:G47"/>
    <mergeCell ref="F62:G62"/>
    <mergeCell ref="A71:B71"/>
    <mergeCell ref="D37:E37"/>
    <mergeCell ref="F46:G46"/>
    <mergeCell ref="A65:G65"/>
    <mergeCell ref="F9:G9"/>
    <mergeCell ref="C24:E24"/>
    <mergeCell ref="D39:E39"/>
    <mergeCell ref="F61:G61"/>
    <mergeCell ref="F39:G39"/>
    <mergeCell ref="F48:G48"/>
    <mergeCell ref="A52:B52"/>
    <mergeCell ref="A3:G3"/>
    <mergeCell ref="A55:G55"/>
    <mergeCell ref="D38:E38"/>
    <mergeCell ref="C26:E26"/>
    <mergeCell ref="A34:B34"/>
    <mergeCell ref="A8:D8"/>
    <mergeCell ref="A49:B49"/>
    <mergeCell ref="A4:G4"/>
    <mergeCell ref="A36:B36"/>
    <mergeCell ref="A43:G43"/>
    <mergeCell ref="A83:G83"/>
    <mergeCell ref="F20:G20"/>
    <mergeCell ref="F18:G18"/>
    <mergeCell ref="F33:G33"/>
    <mergeCell ref="A37:B37"/>
    <mergeCell ref="A46:B46"/>
    <mergeCell ref="A11:D11"/>
    <mergeCell ref="A26:B26"/>
    <mergeCell ref="D47:E47"/>
    <mergeCell ref="D79:E79"/>
    <mergeCell ref="F73:G73"/>
    <mergeCell ref="D81:E81"/>
    <mergeCell ref="A69:B69"/>
    <mergeCell ref="F21:G21"/>
    <mergeCell ref="D52:E52"/>
    <mergeCell ref="D49:E49"/>
    <mergeCell ref="F36:G36"/>
    <mergeCell ref="A80:B80"/>
    <mergeCell ref="F50:G50"/>
    <mergeCell ref="D67:E67"/>
    <mergeCell ref="A82:B82"/>
    <mergeCell ref="D80:E80"/>
    <mergeCell ref="A64:G64"/>
    <mergeCell ref="D58:E58"/>
    <mergeCell ref="F10:G10"/>
    <mergeCell ref="D34:E34"/>
    <mergeCell ref="F19:G19"/>
    <mergeCell ref="C22:E22"/>
    <mergeCell ref="F34:G34"/>
    <mergeCell ref="A79:B79"/>
    <mergeCell ref="A61:B61"/>
    <mergeCell ref="F74:G74"/>
    <mergeCell ref="A9:D9"/>
    <mergeCell ref="A77:G77"/>
    <mergeCell ref="A10:D10"/>
    <mergeCell ref="F58:G58"/>
    <mergeCell ref="F67:G67"/>
    <mergeCell ref="F37:G37"/>
    <mergeCell ref="D74:E74"/>
    <mergeCell ref="A72:B72"/>
    <mergeCell ref="D68:E68"/>
    <mergeCell ref="F81:G81"/>
    <mergeCell ref="C18:E18"/>
    <mergeCell ref="D62:E62"/>
    <mergeCell ref="F13:G13"/>
    <mergeCell ref="D71:E71"/>
    <mergeCell ref="F71:G71"/>
    <mergeCell ref="A22:B22"/>
    <mergeCell ref="A35:B35"/>
    <mergeCell ref="A62:B62"/>
    <mergeCell ref="D33:E33"/>
    <mergeCell ref="A19:B19"/>
    <mergeCell ref="A68:B68"/>
    <mergeCell ref="D73:E73"/>
    <mergeCell ref="D51:E51"/>
    <mergeCell ref="C20:E20"/>
    <mergeCell ref="F57:G57"/>
    <mergeCell ref="A39:B39"/>
    <mergeCell ref="D35:E35"/>
    <mergeCell ref="C25:E25"/>
    <mergeCell ref="A48:B48"/>
    <mergeCell ref="A59:B59"/>
    <mergeCell ref="A81:B81"/>
    <mergeCell ref="A13:D13"/>
    <mergeCell ref="F15:G15"/>
    <mergeCell ref="A41:B41"/>
    <mergeCell ref="C23:E23"/>
    <mergeCell ref="F80:G80"/>
    <mergeCell ref="A15:D15"/>
    <mergeCell ref="A30:G30"/>
    <mergeCell ref="D61:E61"/>
    <mergeCell ref="A74:B74"/>
    <mergeCell ref="D70:E70"/>
    <mergeCell ref="A27:B27"/>
    <mergeCell ref="D48:E48"/>
    <mergeCell ref="F70:G70"/>
    <mergeCell ref="F79:G79"/>
    <mergeCell ref="D72:E72"/>
    <mergeCell ref="F72:G72"/>
    <mergeCell ref="A33:B33"/>
    <mergeCell ref="F23:G23"/>
    <mergeCell ref="D60:E60"/>
    <mergeCell ref="A17:G17"/>
    <mergeCell ref="A73:B73"/>
    <mergeCell ref="A51:B51"/>
    <mergeCell ref="F25:G25"/>
    <mergeCell ref="F68:G68"/>
    <mergeCell ref="C21:E21"/>
    <mergeCell ref="D36:E36"/>
    <mergeCell ref="A70:B70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5">
    <dataValidation type="list" sqref="E8" xr:uid="{00000000-0002-0000-0000-000000000000}">
      <formula1>"EVET,HAYIR-Kapsam Dışı"</formula1>
    </dataValidation>
    <dataValidation type="list" sqref="E9 E13 E11" xr:uid="{00000000-0002-0000-0000-000001000000}">
      <formula1>"EVET,HAYIR-Risk"</formula1>
    </dataValidation>
    <dataValidation type="list" sqref="E10" xr:uid="{00000000-0002-0000-0000-000002000000}">
      <formula1>"EVET — %50 İstisna,HAYIR-Risk"</formula1>
    </dataValidation>
    <dataValidation type="list" sqref="E12" xr:uid="{00000000-0002-0000-0000-000004000000}">
      <formula1>"Satış/Devir,Lisans/Kira,İmalat Katkısı,Karma (Birden Fazla)"</formula1>
    </dataValidation>
    <dataValidation type="list" sqref="E14" xr:uid="{00000000-0002-0000-0000-000006000000}">
      <formula1>"EVET,Tam Tasdik"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workbookViewId="0"/>
  </sheetViews>
  <sheetFormatPr defaultRowHeight="14.4" x14ac:dyDescent="0.55000000000000004"/>
  <cols>
    <col min="1" max="1" width="4" customWidth="1"/>
    <col min="2" max="2" width="36" customWidth="1"/>
    <col min="3" max="4" width="16" customWidth="1"/>
    <col min="5" max="5" width="14" customWidth="1"/>
    <col min="6" max="6" width="12" customWidth="1"/>
    <col min="7" max="7" width="20" customWidth="1"/>
  </cols>
  <sheetData>
    <row r="1" spans="1:7" ht="36" customHeight="1" x14ac:dyDescent="0.55000000000000004">
      <c r="A1" s="124" t="s">
        <v>143</v>
      </c>
      <c r="B1" s="64"/>
      <c r="C1" s="64"/>
      <c r="D1" s="64"/>
      <c r="E1" s="64"/>
      <c r="F1" s="64"/>
      <c r="G1" s="64"/>
    </row>
    <row r="2" spans="1:7" ht="20.05" customHeight="1" x14ac:dyDescent="0.55000000000000004">
      <c r="A2" s="102" t="s">
        <v>144</v>
      </c>
      <c r="B2" s="103"/>
      <c r="C2" s="103"/>
      <c r="D2" s="103"/>
      <c r="E2" s="103"/>
      <c r="F2" s="103"/>
      <c r="G2" s="103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98" t="s">
        <v>145</v>
      </c>
      <c r="B4" s="99"/>
      <c r="C4" s="99"/>
      <c r="D4" s="99"/>
      <c r="E4" s="99"/>
      <c r="F4" s="99"/>
      <c r="G4" s="99"/>
    </row>
    <row r="5" spans="1:7" ht="22" customHeight="1" x14ac:dyDescent="0.55000000000000004">
      <c r="A5" s="114" t="s">
        <v>146</v>
      </c>
      <c r="B5" s="66"/>
      <c r="C5" s="66"/>
      <c r="D5" s="17" t="str">
        <f>'VERİ GİRİŞİ'!E15</f>
        <v>OK - Hesaplanabilir</v>
      </c>
      <c r="E5" s="80" t="s">
        <v>147</v>
      </c>
      <c r="F5" s="66"/>
      <c r="G5" s="66"/>
    </row>
    <row r="6" spans="1:7" ht="22" customHeight="1" x14ac:dyDescent="0.55000000000000004">
      <c r="A6" s="123" t="s">
        <v>148</v>
      </c>
      <c r="B6" s="62"/>
      <c r="C6" s="62"/>
      <c r="D6" s="17" t="str">
        <f>'VERİ GİRİŞİ'!E8</f>
        <v>EVET</v>
      </c>
      <c r="E6" s="68" t="s">
        <v>149</v>
      </c>
      <c r="F6" s="62"/>
      <c r="G6" s="62"/>
    </row>
    <row r="7" spans="1:7" ht="22" customHeight="1" x14ac:dyDescent="0.55000000000000004">
      <c r="A7" s="114" t="s">
        <v>150</v>
      </c>
      <c r="B7" s="66"/>
      <c r="C7" s="66"/>
      <c r="D7" s="17" t="str">
        <f>'VERİ GİRİŞİ'!E10</f>
        <v>EVET — %50 İstisna</v>
      </c>
      <c r="E7" s="80" t="s">
        <v>14</v>
      </c>
      <c r="F7" s="66"/>
      <c r="G7" s="66"/>
    </row>
    <row r="8" spans="1:7" ht="22" customHeight="1" x14ac:dyDescent="0.55000000000000004">
      <c r="A8" s="123" t="s">
        <v>151</v>
      </c>
      <c r="B8" s="62"/>
      <c r="C8" s="62"/>
      <c r="D8" s="17">
        <f>'VERİ GİRİŞİ'!C35</f>
        <v>0</v>
      </c>
      <c r="E8" s="68" t="s">
        <v>152</v>
      </c>
      <c r="F8" s="62"/>
      <c r="G8" s="62"/>
    </row>
    <row r="9" spans="1:7" ht="22" customHeight="1" x14ac:dyDescent="0.55000000000000004">
      <c r="A9" s="114" t="s">
        <v>153</v>
      </c>
      <c r="B9" s="66"/>
      <c r="C9" s="66"/>
      <c r="D9" s="17">
        <f>'VERİ GİRİŞİ'!C39</f>
        <v>0</v>
      </c>
      <c r="E9" s="80" t="s">
        <v>154</v>
      </c>
      <c r="F9" s="66"/>
      <c r="G9" s="66"/>
    </row>
    <row r="10" spans="1:7" ht="22" customHeight="1" x14ac:dyDescent="0.55000000000000004">
      <c r="A10" s="123" t="s">
        <v>155</v>
      </c>
      <c r="B10" s="62"/>
      <c r="C10" s="62"/>
      <c r="D10" s="17">
        <f>'VERİ GİRİŞİ'!C41</f>
        <v>100</v>
      </c>
      <c r="E10" s="68" t="s">
        <v>156</v>
      </c>
      <c r="F10" s="62"/>
      <c r="G10" s="62"/>
    </row>
    <row r="11" spans="1:7" ht="22" customHeight="1" x14ac:dyDescent="0.55000000000000004">
      <c r="A11" s="114" t="s">
        <v>157</v>
      </c>
      <c r="B11" s="66"/>
      <c r="C11" s="66"/>
      <c r="D11" s="17">
        <f>'VERİ GİRİŞİ'!C52</f>
        <v>0</v>
      </c>
      <c r="E11" s="80" t="s">
        <v>158</v>
      </c>
      <c r="F11" s="66"/>
      <c r="G11" s="66"/>
    </row>
    <row r="12" spans="1:7" ht="22" customHeight="1" x14ac:dyDescent="0.55000000000000004">
      <c r="A12" s="123" t="s">
        <v>159</v>
      </c>
      <c r="B12" s="62"/>
      <c r="C12" s="62"/>
      <c r="D12" s="17">
        <f>'VERİ GİRİŞİ'!C62</f>
        <v>0</v>
      </c>
      <c r="E12" s="68" t="s">
        <v>158</v>
      </c>
      <c r="F12" s="62"/>
      <c r="G12" s="62"/>
    </row>
    <row r="13" spans="1:7" ht="22" customHeight="1" x14ac:dyDescent="0.55000000000000004">
      <c r="A13" s="114" t="s">
        <v>160</v>
      </c>
      <c r="B13" s="66"/>
      <c r="C13" s="66"/>
      <c r="D13" s="17">
        <f>'VERİ GİRİŞİ'!C74</f>
        <v>0</v>
      </c>
      <c r="E13" s="80" t="s">
        <v>158</v>
      </c>
      <c r="F13" s="66"/>
      <c r="G13" s="66"/>
    </row>
    <row r="14" spans="1:7" ht="22" customHeight="1" x14ac:dyDescent="0.55000000000000004">
      <c r="A14" s="74" t="s">
        <v>161</v>
      </c>
      <c r="B14" s="73"/>
      <c r="C14" s="73"/>
      <c r="D14" s="15">
        <f>'VERİ GİRİŞİ'!C82</f>
        <v>0</v>
      </c>
      <c r="E14" s="81"/>
      <c r="F14" s="73"/>
      <c r="G14" s="73"/>
    </row>
    <row r="15" spans="1:7" ht="5.05" customHeight="1" x14ac:dyDescent="0.55000000000000004">
      <c r="A15" s="1"/>
      <c r="B15" s="1"/>
      <c r="C15" s="1"/>
      <c r="D15" s="1"/>
      <c r="E15" s="1"/>
      <c r="F15" s="1"/>
      <c r="G15" s="1"/>
    </row>
    <row r="16" spans="1:7" ht="22" customHeight="1" x14ac:dyDescent="0.55000000000000004">
      <c r="A16" s="105" t="s">
        <v>162</v>
      </c>
      <c r="B16" s="106"/>
      <c r="C16" s="106"/>
      <c r="D16" s="106"/>
      <c r="E16" s="106"/>
      <c r="F16" s="106"/>
      <c r="G16" s="106"/>
    </row>
    <row r="17" spans="1:8" ht="24" customHeight="1" x14ac:dyDescent="0.55000000000000004">
      <c r="A17" s="87" t="s">
        <v>163</v>
      </c>
      <c r="B17" s="62"/>
      <c r="C17" s="62"/>
      <c r="D17" s="62"/>
      <c r="E17" s="62"/>
      <c r="F17" s="62"/>
      <c r="G17" s="62"/>
    </row>
    <row r="18" spans="1:8" ht="18" customHeight="1" x14ac:dyDescent="0.55000000000000004">
      <c r="A18" s="2"/>
      <c r="B18" s="2" t="s">
        <v>164</v>
      </c>
      <c r="C18" s="2"/>
      <c r="D18" s="2" t="s">
        <v>165</v>
      </c>
      <c r="E18" s="2"/>
      <c r="F18" s="2" t="s">
        <v>166</v>
      </c>
      <c r="G18" s="2"/>
    </row>
    <row r="19" spans="1:8" ht="26.05" customHeight="1" x14ac:dyDescent="0.55000000000000004">
      <c r="A19" s="122" t="s">
        <v>167</v>
      </c>
      <c r="B19" s="71"/>
      <c r="C19" s="18">
        <f>1</f>
        <v>1</v>
      </c>
      <c r="D19" s="134"/>
      <c r="E19" s="71"/>
      <c r="F19" s="71"/>
      <c r="G19" s="19" t="s">
        <v>168</v>
      </c>
    </row>
    <row r="20" spans="1:8" ht="26.05" customHeight="1" x14ac:dyDescent="0.55000000000000004">
      <c r="A20" s="123" t="s">
        <v>169</v>
      </c>
      <c r="B20" s="62"/>
      <c r="C20" s="8">
        <v>0.8</v>
      </c>
      <c r="D20" s="132"/>
      <c r="E20" s="62"/>
      <c r="F20" s="62"/>
      <c r="G20" s="20" t="s">
        <v>170</v>
      </c>
    </row>
    <row r="21" spans="1:8" ht="26.05" customHeight="1" x14ac:dyDescent="0.55000000000000004">
      <c r="A21" s="114" t="s">
        <v>171</v>
      </c>
      <c r="B21" s="66"/>
      <c r="C21" s="9">
        <f>0.3</f>
        <v>0.3</v>
      </c>
      <c r="D21" s="127"/>
      <c r="E21" s="66"/>
      <c r="F21" s="66"/>
      <c r="G21" s="21" t="s">
        <v>172</v>
      </c>
    </row>
    <row r="22" spans="1:8" ht="26.05" customHeight="1" x14ac:dyDescent="0.55000000000000004">
      <c r="A22" s="121" t="s">
        <v>173</v>
      </c>
      <c r="B22" s="62"/>
      <c r="C22" s="8">
        <f>0</f>
        <v>0</v>
      </c>
      <c r="D22" s="132"/>
      <c r="E22" s="62"/>
      <c r="F22" s="62"/>
      <c r="G22" s="22" t="s">
        <v>174</v>
      </c>
    </row>
    <row r="23" spans="1:8" ht="26.05" customHeight="1" x14ac:dyDescent="0.55000000000000004">
      <c r="A23" s="131" t="s">
        <v>175</v>
      </c>
      <c r="B23" s="73"/>
      <c r="C23" s="7">
        <f>'VERİ GİRİŞİ'!C40</f>
        <v>1</v>
      </c>
      <c r="D23" s="117">
        <f>'VERİ GİRİŞİ'!C82</f>
        <v>0</v>
      </c>
      <c r="E23" s="73"/>
      <c r="F23" s="73"/>
      <c r="G23" s="23" t="s">
        <v>176</v>
      </c>
    </row>
    <row r="24" spans="1:8" ht="5.05" customHeight="1" x14ac:dyDescent="0.55000000000000004">
      <c r="A24" s="1"/>
      <c r="B24" s="1"/>
      <c r="C24" s="1"/>
      <c r="D24" s="1"/>
      <c r="E24" s="1"/>
      <c r="F24" s="1"/>
      <c r="G24" s="1"/>
    </row>
    <row r="25" spans="1:8" ht="22" customHeight="1" x14ac:dyDescent="0.55000000000000004">
      <c r="A25" s="63" t="s">
        <v>177</v>
      </c>
      <c r="B25" s="64"/>
      <c r="C25" s="64"/>
      <c r="D25" s="64"/>
      <c r="E25" s="64"/>
      <c r="F25" s="64"/>
      <c r="G25" s="64"/>
    </row>
    <row r="26" spans="1:8" ht="18" customHeight="1" x14ac:dyDescent="0.55000000000000004">
      <c r="A26" s="2"/>
      <c r="B26" s="2" t="s">
        <v>178</v>
      </c>
      <c r="C26" s="2"/>
      <c r="D26" s="2" t="s">
        <v>179</v>
      </c>
      <c r="E26" s="2"/>
      <c r="F26" s="2" t="s">
        <v>180</v>
      </c>
      <c r="G26" s="2"/>
      <c r="H26" s="2" t="s">
        <v>181</v>
      </c>
    </row>
    <row r="27" spans="1:8" ht="22" customHeight="1" x14ac:dyDescent="0.55000000000000004">
      <c r="A27" s="114" t="s">
        <v>182</v>
      </c>
      <c r="B27" s="66"/>
      <c r="C27" s="24" t="s">
        <v>183</v>
      </c>
      <c r="D27" s="25" t="s">
        <v>184</v>
      </c>
      <c r="E27" s="119" t="s">
        <v>185</v>
      </c>
      <c r="F27" s="66"/>
      <c r="G27" s="4"/>
    </row>
    <row r="28" spans="1:8" ht="22" customHeight="1" x14ac:dyDescent="0.55000000000000004">
      <c r="A28" s="118" t="s">
        <v>186</v>
      </c>
      <c r="B28" s="84"/>
      <c r="C28" s="26" t="s">
        <v>187</v>
      </c>
      <c r="D28" s="27" t="s">
        <v>188</v>
      </c>
      <c r="E28" s="128" t="s">
        <v>189</v>
      </c>
      <c r="F28" s="129"/>
      <c r="G28" s="5"/>
    </row>
    <row r="29" spans="1:8" ht="22" customHeight="1" x14ac:dyDescent="0.55000000000000004">
      <c r="A29" s="118" t="s">
        <v>190</v>
      </c>
      <c r="B29" s="84"/>
      <c r="C29" s="26" t="s">
        <v>191</v>
      </c>
      <c r="D29" s="27" t="s">
        <v>192</v>
      </c>
      <c r="E29" s="128" t="s">
        <v>192</v>
      </c>
      <c r="F29" s="129"/>
      <c r="G29" s="4"/>
    </row>
    <row r="30" spans="1:8" ht="22" customHeight="1" x14ac:dyDescent="0.55000000000000004">
      <c r="A30" s="123" t="s">
        <v>193</v>
      </c>
      <c r="B30" s="62"/>
      <c r="C30" s="28" t="s">
        <v>194</v>
      </c>
      <c r="D30" s="29" t="s">
        <v>195</v>
      </c>
      <c r="E30" s="133" t="s">
        <v>196</v>
      </c>
      <c r="F30" s="62"/>
      <c r="G30" s="5"/>
    </row>
    <row r="31" spans="1:8" ht="22" customHeight="1" x14ac:dyDescent="0.55000000000000004">
      <c r="A31" s="114" t="s">
        <v>197</v>
      </c>
      <c r="B31" s="66"/>
      <c r="C31" s="24" t="s">
        <v>198</v>
      </c>
      <c r="D31" s="25" t="s">
        <v>199</v>
      </c>
      <c r="E31" s="119" t="s">
        <v>200</v>
      </c>
      <c r="F31" s="66"/>
      <c r="G31" s="4"/>
    </row>
    <row r="32" spans="1:8" ht="22" customHeight="1" x14ac:dyDescent="0.55000000000000004">
      <c r="A32" s="123" t="s">
        <v>201</v>
      </c>
      <c r="B32" s="62"/>
      <c r="C32" s="28" t="s">
        <v>202</v>
      </c>
      <c r="D32" s="29" t="s">
        <v>203</v>
      </c>
      <c r="E32" s="133" t="s">
        <v>204</v>
      </c>
      <c r="F32" s="62"/>
      <c r="G32" s="5"/>
    </row>
    <row r="33" spans="1:7" ht="22" customHeight="1" x14ac:dyDescent="0.55000000000000004">
      <c r="A33" s="118" t="s">
        <v>205</v>
      </c>
      <c r="B33" s="84"/>
      <c r="C33" s="26" t="s">
        <v>206</v>
      </c>
      <c r="D33" s="27" t="s">
        <v>207</v>
      </c>
      <c r="E33" s="128" t="s">
        <v>208</v>
      </c>
      <c r="F33" s="129"/>
      <c r="G33" s="4"/>
    </row>
    <row r="34" spans="1:7" ht="5.05" customHeight="1" x14ac:dyDescent="0.55000000000000004">
      <c r="A34" s="1"/>
      <c r="B34" s="1"/>
      <c r="C34" s="1"/>
      <c r="D34" s="1"/>
      <c r="E34" s="1"/>
      <c r="F34" s="1"/>
      <c r="G34" s="1"/>
    </row>
    <row r="35" spans="1:7" ht="22" customHeight="1" x14ac:dyDescent="0.55000000000000004">
      <c r="A35" s="63" t="s">
        <v>209</v>
      </c>
      <c r="B35" s="64"/>
      <c r="C35" s="64"/>
      <c r="D35" s="64"/>
      <c r="E35" s="64"/>
      <c r="F35" s="64"/>
      <c r="G35" s="64"/>
    </row>
    <row r="36" spans="1:7" ht="18" customHeight="1" x14ac:dyDescent="0.55000000000000004">
      <c r="A36" s="2"/>
      <c r="B36" s="2" t="s">
        <v>210</v>
      </c>
      <c r="C36" s="2"/>
      <c r="D36" s="2" t="s">
        <v>52</v>
      </c>
      <c r="E36" s="2"/>
      <c r="F36" s="2" t="s">
        <v>211</v>
      </c>
      <c r="G36" s="2"/>
    </row>
    <row r="37" spans="1:7" ht="22" customHeight="1" x14ac:dyDescent="0.55000000000000004">
      <c r="A37" s="30" t="s">
        <v>212</v>
      </c>
      <c r="B37" s="116" t="s">
        <v>213</v>
      </c>
      <c r="C37" s="84"/>
      <c r="D37" s="125" t="s">
        <v>214</v>
      </c>
      <c r="E37" s="126"/>
      <c r="F37" s="32" t="s">
        <v>215</v>
      </c>
      <c r="G37" s="4"/>
    </row>
    <row r="38" spans="1:7" ht="22" customHeight="1" x14ac:dyDescent="0.55000000000000004">
      <c r="A38" s="30" t="s">
        <v>216</v>
      </c>
      <c r="B38" s="116" t="s">
        <v>217</v>
      </c>
      <c r="C38" s="84"/>
      <c r="D38" s="125" t="s">
        <v>218</v>
      </c>
      <c r="E38" s="126"/>
      <c r="F38" s="32" t="s">
        <v>215</v>
      </c>
      <c r="G38" s="5"/>
    </row>
    <row r="39" spans="1:7" ht="22" customHeight="1" x14ac:dyDescent="0.55000000000000004">
      <c r="A39" s="30" t="s">
        <v>219</v>
      </c>
      <c r="B39" s="116" t="s">
        <v>220</v>
      </c>
      <c r="C39" s="84"/>
      <c r="D39" s="125" t="s">
        <v>221</v>
      </c>
      <c r="E39" s="126"/>
      <c r="F39" s="32" t="s">
        <v>215</v>
      </c>
      <c r="G39" s="4"/>
    </row>
    <row r="40" spans="1:7" ht="22" customHeight="1" x14ac:dyDescent="0.55000000000000004">
      <c r="A40" s="30" t="s">
        <v>222</v>
      </c>
      <c r="B40" s="116" t="s">
        <v>223</v>
      </c>
      <c r="C40" s="84"/>
      <c r="D40" s="125" t="s">
        <v>224</v>
      </c>
      <c r="E40" s="126"/>
      <c r="F40" s="32" t="s">
        <v>215</v>
      </c>
      <c r="G40" s="5"/>
    </row>
    <row r="41" spans="1:7" ht="22" customHeight="1" x14ac:dyDescent="0.55000000000000004">
      <c r="A41" s="30" t="s">
        <v>225</v>
      </c>
      <c r="B41" s="120" t="s">
        <v>226</v>
      </c>
      <c r="C41" s="66"/>
      <c r="D41" s="113" t="s">
        <v>227</v>
      </c>
      <c r="E41" s="66"/>
      <c r="F41" s="32" t="s">
        <v>215</v>
      </c>
      <c r="G41" s="4"/>
    </row>
    <row r="42" spans="1:7" ht="22" customHeight="1" x14ac:dyDescent="0.55000000000000004">
      <c r="A42" s="30" t="s">
        <v>228</v>
      </c>
      <c r="B42" s="130" t="s">
        <v>229</v>
      </c>
      <c r="C42" s="62"/>
      <c r="D42" s="115" t="s">
        <v>230</v>
      </c>
      <c r="E42" s="62"/>
      <c r="F42" s="32" t="s">
        <v>215</v>
      </c>
      <c r="G42" s="5"/>
    </row>
    <row r="43" spans="1:7" ht="22" customHeight="1" x14ac:dyDescent="0.55000000000000004">
      <c r="A43" s="30" t="s">
        <v>231</v>
      </c>
      <c r="B43" s="120" t="s">
        <v>232</v>
      </c>
      <c r="C43" s="66"/>
      <c r="D43" s="113" t="s">
        <v>233</v>
      </c>
      <c r="E43" s="66"/>
      <c r="F43" s="32" t="s">
        <v>215</v>
      </c>
      <c r="G43" s="4"/>
    </row>
    <row r="44" spans="1:7" ht="22" customHeight="1" x14ac:dyDescent="0.55000000000000004">
      <c r="A44" s="30" t="s">
        <v>234</v>
      </c>
      <c r="B44" s="130" t="s">
        <v>235</v>
      </c>
      <c r="C44" s="62"/>
      <c r="D44" s="115" t="s">
        <v>236</v>
      </c>
      <c r="E44" s="62"/>
      <c r="F44" s="32" t="s">
        <v>215</v>
      </c>
      <c r="G44" s="5"/>
    </row>
    <row r="45" spans="1:7" ht="22" customHeight="1" x14ac:dyDescent="0.55000000000000004">
      <c r="A45" s="30" t="s">
        <v>237</v>
      </c>
      <c r="B45" s="120" t="s">
        <v>238</v>
      </c>
      <c r="C45" s="66"/>
      <c r="D45" s="113" t="s">
        <v>239</v>
      </c>
      <c r="E45" s="66"/>
      <c r="F45" s="32" t="s">
        <v>215</v>
      </c>
      <c r="G45" s="4"/>
    </row>
    <row r="46" spans="1:7" ht="22" customHeight="1" x14ac:dyDescent="0.55000000000000004">
      <c r="A46" s="30" t="s">
        <v>240</v>
      </c>
      <c r="B46" s="130" t="s">
        <v>241</v>
      </c>
      <c r="C46" s="62"/>
      <c r="D46" s="115" t="s">
        <v>242</v>
      </c>
      <c r="E46" s="62"/>
      <c r="F46" s="32" t="s">
        <v>215</v>
      </c>
      <c r="G46" s="5"/>
    </row>
    <row r="47" spans="1:7" ht="22" customHeight="1" x14ac:dyDescent="0.55000000000000004">
      <c r="A47" s="30" t="s">
        <v>243</v>
      </c>
      <c r="B47" s="120" t="s">
        <v>244</v>
      </c>
      <c r="C47" s="66"/>
      <c r="D47" s="113" t="s">
        <v>245</v>
      </c>
      <c r="E47" s="66"/>
      <c r="F47" s="32" t="s">
        <v>215</v>
      </c>
      <c r="G47" s="4"/>
    </row>
    <row r="48" spans="1:7" ht="22" customHeight="1" x14ac:dyDescent="0.55000000000000004">
      <c r="A48" s="30" t="s">
        <v>246</v>
      </c>
      <c r="B48" s="130" t="s">
        <v>247</v>
      </c>
      <c r="C48" s="62"/>
      <c r="D48" s="115" t="s">
        <v>248</v>
      </c>
      <c r="E48" s="62"/>
      <c r="F48" s="32" t="s">
        <v>215</v>
      </c>
      <c r="G48" s="5"/>
    </row>
    <row r="49" spans="1:7" ht="22" customHeight="1" x14ac:dyDescent="0.55000000000000004">
      <c r="A49" s="30" t="s">
        <v>249</v>
      </c>
      <c r="B49" s="120" t="s">
        <v>250</v>
      </c>
      <c r="C49" s="66"/>
      <c r="D49" s="113" t="s">
        <v>251</v>
      </c>
      <c r="E49" s="66"/>
      <c r="F49" s="32" t="s">
        <v>215</v>
      </c>
      <c r="G49" s="4"/>
    </row>
    <row r="50" spans="1:7" ht="22" customHeight="1" x14ac:dyDescent="0.55000000000000004">
      <c r="A50" s="30" t="s">
        <v>252</v>
      </c>
      <c r="B50" s="130" t="s">
        <v>253</v>
      </c>
      <c r="C50" s="62"/>
      <c r="D50" s="115" t="s">
        <v>254</v>
      </c>
      <c r="E50" s="62"/>
      <c r="F50" s="32" t="s">
        <v>215</v>
      </c>
      <c r="G50" s="5"/>
    </row>
  </sheetData>
  <mergeCells count="79">
    <mergeCell ref="B50:C50"/>
    <mergeCell ref="D50:E50"/>
    <mergeCell ref="A31:B31"/>
    <mergeCell ref="D44:E44"/>
    <mergeCell ref="A2:G2"/>
    <mergeCell ref="B47:C47"/>
    <mergeCell ref="E33:F33"/>
    <mergeCell ref="B46:C46"/>
    <mergeCell ref="D46:E46"/>
    <mergeCell ref="D40:E40"/>
    <mergeCell ref="B39:C39"/>
    <mergeCell ref="A8:C8"/>
    <mergeCell ref="E28:F28"/>
    <mergeCell ref="D41:E41"/>
    <mergeCell ref="A10:C10"/>
    <mergeCell ref="E30:F30"/>
    <mergeCell ref="D43:E43"/>
    <mergeCell ref="A9:C9"/>
    <mergeCell ref="A20:B20"/>
    <mergeCell ref="D19:F19"/>
    <mergeCell ref="D49:E49"/>
    <mergeCell ref="B42:C42"/>
    <mergeCell ref="E31:F31"/>
    <mergeCell ref="A21:B21"/>
    <mergeCell ref="B44:C44"/>
    <mergeCell ref="A32:B32"/>
    <mergeCell ref="A23:B23"/>
    <mergeCell ref="A25:G25"/>
    <mergeCell ref="E32:F32"/>
    <mergeCell ref="D22:F22"/>
    <mergeCell ref="B45:C45"/>
    <mergeCell ref="B48:C48"/>
    <mergeCell ref="A29:B29"/>
    <mergeCell ref="D42:E42"/>
    <mergeCell ref="A1:G1"/>
    <mergeCell ref="B37:C37"/>
    <mergeCell ref="D37:E37"/>
    <mergeCell ref="D39:E39"/>
    <mergeCell ref="E8:G8"/>
    <mergeCell ref="D38:E38"/>
    <mergeCell ref="D21:F21"/>
    <mergeCell ref="A7:C7"/>
    <mergeCell ref="E10:G10"/>
    <mergeCell ref="A4:G4"/>
    <mergeCell ref="E9:G9"/>
    <mergeCell ref="E11:G11"/>
    <mergeCell ref="E29:F29"/>
    <mergeCell ref="E12:G12"/>
    <mergeCell ref="A16:G16"/>
    <mergeCell ref="D20:F20"/>
    <mergeCell ref="E6:G6"/>
    <mergeCell ref="A5:C5"/>
    <mergeCell ref="A14:C14"/>
    <mergeCell ref="D47:E47"/>
    <mergeCell ref="A13:C13"/>
    <mergeCell ref="B43:C43"/>
    <mergeCell ref="E14:G14"/>
    <mergeCell ref="A11:C11"/>
    <mergeCell ref="E5:G5"/>
    <mergeCell ref="B49:C49"/>
    <mergeCell ref="A22:B22"/>
    <mergeCell ref="A19:B19"/>
    <mergeCell ref="A6:C6"/>
    <mergeCell ref="A28:B28"/>
    <mergeCell ref="B41:C41"/>
    <mergeCell ref="A30:B30"/>
    <mergeCell ref="A12:C12"/>
    <mergeCell ref="D48:E48"/>
    <mergeCell ref="E7:G7"/>
    <mergeCell ref="B38:C38"/>
    <mergeCell ref="D23:F23"/>
    <mergeCell ref="A33:B33"/>
    <mergeCell ref="E27:F27"/>
    <mergeCell ref="B40:C40"/>
    <mergeCell ref="E13:G13"/>
    <mergeCell ref="A17:G17"/>
    <mergeCell ref="A35:G35"/>
    <mergeCell ref="D45:E45"/>
    <mergeCell ref="A27:B27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28" customHeight="1" x14ac:dyDescent="0.55000000000000004">
      <c r="A1" s="135" t="s">
        <v>255</v>
      </c>
      <c r="B1" s="64"/>
      <c r="C1" s="64"/>
      <c r="D1" s="64"/>
      <c r="E1" s="64"/>
      <c r="F1" s="64"/>
      <c r="G1" s="64"/>
    </row>
    <row r="2" spans="1:7" ht="20.05" customHeight="1" x14ac:dyDescent="0.55000000000000004">
      <c r="A2" s="102" t="s">
        <v>256</v>
      </c>
      <c r="B2" s="103"/>
      <c r="C2" s="103"/>
      <c r="D2" s="103"/>
      <c r="E2" s="103"/>
      <c r="F2" s="103"/>
      <c r="G2" s="103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6.05" customHeight="1" x14ac:dyDescent="0.55000000000000004">
      <c r="A4" s="98" t="s">
        <v>257</v>
      </c>
      <c r="B4" s="99"/>
      <c r="C4" s="99"/>
      <c r="D4" s="99"/>
      <c r="E4" s="99"/>
      <c r="F4" s="99"/>
      <c r="G4" s="99"/>
    </row>
    <row r="5" spans="1:7" ht="18" customHeight="1" x14ac:dyDescent="0.55000000000000004">
      <c r="A5" s="2"/>
      <c r="B5" s="2" t="s">
        <v>258</v>
      </c>
      <c r="C5" s="2" t="s">
        <v>259</v>
      </c>
      <c r="D5" s="2" t="s">
        <v>260</v>
      </c>
      <c r="E5" s="2" t="s">
        <v>261</v>
      </c>
      <c r="F5" s="2" t="s">
        <v>262</v>
      </c>
      <c r="G5" s="2" t="s">
        <v>263</v>
      </c>
    </row>
    <row r="6" spans="1:7" ht="26.05" customHeight="1" x14ac:dyDescent="0.55000000000000004">
      <c r="A6" s="36" t="s">
        <v>261</v>
      </c>
      <c r="B6" s="36" t="s">
        <v>264</v>
      </c>
      <c r="C6" s="36" t="s">
        <v>265</v>
      </c>
      <c r="D6" s="36" t="s">
        <v>266</v>
      </c>
      <c r="E6" s="36" t="s">
        <v>267</v>
      </c>
      <c r="F6" s="36" t="s">
        <v>268</v>
      </c>
      <c r="G6" s="36" t="s">
        <v>269</v>
      </c>
    </row>
    <row r="7" spans="1:7" ht="26.05" customHeight="1" x14ac:dyDescent="0.55000000000000004">
      <c r="A7" s="37" t="s">
        <v>262</v>
      </c>
      <c r="B7" s="37" t="s">
        <v>264</v>
      </c>
      <c r="C7" s="37" t="s">
        <v>270</v>
      </c>
      <c r="D7" s="37" t="s">
        <v>271</v>
      </c>
      <c r="E7" s="37" t="s">
        <v>268</v>
      </c>
      <c r="F7" s="37" t="s">
        <v>272</v>
      </c>
      <c r="G7" s="37" t="s">
        <v>273</v>
      </c>
    </row>
    <row r="8" spans="1:7" ht="26.05" customHeight="1" x14ac:dyDescent="0.55000000000000004">
      <c r="A8" s="36" t="s">
        <v>262</v>
      </c>
      <c r="B8" s="36" t="s">
        <v>264</v>
      </c>
      <c r="C8" s="36" t="s">
        <v>274</v>
      </c>
      <c r="D8" s="36" t="s">
        <v>275</v>
      </c>
      <c r="E8" s="36" t="s">
        <v>268</v>
      </c>
      <c r="F8" s="36" t="s">
        <v>276</v>
      </c>
      <c r="G8" s="36" t="s">
        <v>277</v>
      </c>
    </row>
    <row r="9" spans="1:7" ht="26.05" customHeight="1" x14ac:dyDescent="0.55000000000000004">
      <c r="A9" s="37" t="s">
        <v>262</v>
      </c>
      <c r="B9" s="37" t="s">
        <v>264</v>
      </c>
      <c r="C9" s="37" t="s">
        <v>278</v>
      </c>
      <c r="D9" s="37" t="s">
        <v>279</v>
      </c>
      <c r="E9" s="37" t="s">
        <v>268</v>
      </c>
      <c r="F9" s="37" t="s">
        <v>280</v>
      </c>
      <c r="G9" s="37" t="s">
        <v>281</v>
      </c>
    </row>
    <row r="10" spans="1:7" ht="28" customHeight="1" x14ac:dyDescent="0.55000000000000004">
      <c r="A10" s="136" t="s">
        <v>282</v>
      </c>
      <c r="B10" s="73"/>
      <c r="C10" s="73"/>
      <c r="D10" s="73"/>
      <c r="E10" s="73"/>
      <c r="F10" s="73"/>
      <c r="G10" s="73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6.05" customHeight="1" x14ac:dyDescent="0.55000000000000004">
      <c r="A12" s="110" t="s">
        <v>283</v>
      </c>
      <c r="B12" s="111"/>
      <c r="C12" s="111"/>
      <c r="D12" s="111"/>
      <c r="E12" s="111"/>
      <c r="F12" s="111"/>
      <c r="G12" s="111"/>
    </row>
    <row r="13" spans="1:7" ht="18" customHeight="1" x14ac:dyDescent="0.55000000000000004">
      <c r="A13" s="2"/>
      <c r="B13" s="2" t="s">
        <v>258</v>
      </c>
      <c r="C13" s="2" t="s">
        <v>259</v>
      </c>
      <c r="D13" s="2" t="s">
        <v>260</v>
      </c>
      <c r="E13" s="2" t="s">
        <v>261</v>
      </c>
      <c r="F13" s="2" t="s">
        <v>262</v>
      </c>
      <c r="G13" s="2" t="s">
        <v>263</v>
      </c>
    </row>
    <row r="14" spans="1:7" ht="26.05" customHeight="1" x14ac:dyDescent="0.55000000000000004">
      <c r="A14" s="36" t="s">
        <v>261</v>
      </c>
      <c r="B14" s="36" t="s">
        <v>284</v>
      </c>
      <c r="C14" s="36" t="s">
        <v>285</v>
      </c>
      <c r="D14" s="36" t="s">
        <v>286</v>
      </c>
      <c r="E14" s="36" t="s">
        <v>287</v>
      </c>
      <c r="F14" s="36" t="s">
        <v>268</v>
      </c>
      <c r="G14" s="36" t="s">
        <v>288</v>
      </c>
    </row>
    <row r="15" spans="1:7" ht="26.05" customHeight="1" x14ac:dyDescent="0.55000000000000004">
      <c r="A15" s="37" t="s">
        <v>262</v>
      </c>
      <c r="B15" s="37" t="s">
        <v>284</v>
      </c>
      <c r="C15" s="37" t="s">
        <v>289</v>
      </c>
      <c r="D15" s="37" t="s">
        <v>290</v>
      </c>
      <c r="E15" s="37" t="s">
        <v>268</v>
      </c>
      <c r="F15" s="37" t="s">
        <v>291</v>
      </c>
      <c r="G15" s="37" t="s">
        <v>292</v>
      </c>
    </row>
    <row r="16" spans="1:7" ht="28" customHeight="1" x14ac:dyDescent="0.55000000000000004">
      <c r="A16" s="137" t="s">
        <v>293</v>
      </c>
      <c r="B16" s="62"/>
      <c r="C16" s="62"/>
      <c r="D16" s="62"/>
      <c r="E16" s="62"/>
      <c r="F16" s="62"/>
      <c r="G16" s="62"/>
    </row>
    <row r="17" spans="1:7" ht="5.05" customHeight="1" x14ac:dyDescent="0.55000000000000004">
      <c r="A17" s="1"/>
      <c r="B17" s="1"/>
      <c r="C17" s="1"/>
      <c r="D17" s="1"/>
      <c r="E17" s="1"/>
      <c r="F17" s="1"/>
      <c r="G17" s="1"/>
    </row>
    <row r="18" spans="1:7" ht="26.05" customHeight="1" x14ac:dyDescent="0.55000000000000004">
      <c r="A18" s="107" t="s">
        <v>294</v>
      </c>
      <c r="B18" s="108"/>
      <c r="C18" s="108"/>
      <c r="D18" s="108"/>
      <c r="E18" s="108"/>
      <c r="F18" s="108"/>
      <c r="G18" s="108"/>
    </row>
    <row r="19" spans="1:7" ht="44.05" customHeight="1" x14ac:dyDescent="0.55000000000000004">
      <c r="A19" s="138" t="s">
        <v>295</v>
      </c>
      <c r="B19" s="71"/>
      <c r="C19" s="71"/>
      <c r="D19" s="71"/>
      <c r="E19" s="71"/>
      <c r="F19" s="71"/>
      <c r="G19" s="71"/>
    </row>
    <row r="20" spans="1:7" ht="5.05" customHeight="1" x14ac:dyDescent="0.55000000000000004">
      <c r="A20" s="1"/>
      <c r="B20" s="1"/>
      <c r="C20" s="1"/>
      <c r="D20" s="1"/>
      <c r="E20" s="1"/>
      <c r="F20" s="1"/>
      <c r="G20" s="1"/>
    </row>
    <row r="21" spans="1:7" ht="26.05" customHeight="1" x14ac:dyDescent="0.55000000000000004">
      <c r="A21" s="105" t="s">
        <v>296</v>
      </c>
      <c r="B21" s="106"/>
      <c r="C21" s="106"/>
      <c r="D21" s="106"/>
      <c r="E21" s="106"/>
      <c r="F21" s="106"/>
      <c r="G21" s="106"/>
    </row>
    <row r="22" spans="1:7" ht="18" customHeight="1" x14ac:dyDescent="0.55000000000000004">
      <c r="A22" s="2"/>
      <c r="B22" s="2" t="s">
        <v>258</v>
      </c>
      <c r="C22" s="2" t="s">
        <v>259</v>
      </c>
      <c r="D22" s="2" t="s">
        <v>260</v>
      </c>
      <c r="E22" s="2" t="s">
        <v>261</v>
      </c>
      <c r="F22" s="2" t="s">
        <v>262</v>
      </c>
      <c r="G22" s="2" t="s">
        <v>263</v>
      </c>
    </row>
    <row r="23" spans="1:7" ht="26.05" customHeight="1" x14ac:dyDescent="0.55000000000000004">
      <c r="A23" s="36" t="s">
        <v>261</v>
      </c>
      <c r="B23" s="36" t="s">
        <v>284</v>
      </c>
      <c r="C23" s="36" t="s">
        <v>297</v>
      </c>
      <c r="D23" s="36" t="s">
        <v>298</v>
      </c>
      <c r="E23" s="36" t="s">
        <v>299</v>
      </c>
      <c r="F23" s="36" t="s">
        <v>268</v>
      </c>
      <c r="G23" s="36" t="s">
        <v>300</v>
      </c>
    </row>
    <row r="24" spans="1:7" ht="26.05" customHeight="1" x14ac:dyDescent="0.55000000000000004">
      <c r="A24" s="37" t="s">
        <v>261</v>
      </c>
      <c r="B24" s="37" t="s">
        <v>284</v>
      </c>
      <c r="C24" s="37" t="s">
        <v>301</v>
      </c>
      <c r="D24" s="37" t="s">
        <v>302</v>
      </c>
      <c r="E24" s="37" t="s">
        <v>303</v>
      </c>
      <c r="F24" s="37" t="s">
        <v>268</v>
      </c>
      <c r="G24" s="37" t="s">
        <v>304</v>
      </c>
    </row>
    <row r="25" spans="1:7" ht="26.05" customHeight="1" x14ac:dyDescent="0.55000000000000004">
      <c r="A25" s="36" t="s">
        <v>261</v>
      </c>
      <c r="B25" s="36" t="s">
        <v>284</v>
      </c>
      <c r="C25" s="36" t="s">
        <v>305</v>
      </c>
      <c r="D25" s="36" t="s">
        <v>306</v>
      </c>
      <c r="E25" s="36" t="s">
        <v>307</v>
      </c>
      <c r="F25" s="36" t="s">
        <v>268</v>
      </c>
      <c r="G25" s="36" t="s">
        <v>308</v>
      </c>
    </row>
    <row r="26" spans="1:7" ht="24" customHeight="1" x14ac:dyDescent="0.55000000000000004">
      <c r="A26" s="37" t="s">
        <v>262</v>
      </c>
      <c r="B26" s="37" t="s">
        <v>284</v>
      </c>
      <c r="C26" s="37" t="s">
        <v>309</v>
      </c>
      <c r="D26" s="37" t="s">
        <v>310</v>
      </c>
      <c r="E26" s="37" t="s">
        <v>268</v>
      </c>
      <c r="F26" s="37" t="s">
        <v>311</v>
      </c>
      <c r="G26" s="38"/>
    </row>
    <row r="27" spans="1:7" ht="32.049999999999997" customHeight="1" x14ac:dyDescent="0.55000000000000004">
      <c r="A27" s="136" t="s">
        <v>312</v>
      </c>
      <c r="B27" s="73"/>
      <c r="C27" s="73"/>
      <c r="D27" s="73"/>
      <c r="E27" s="73"/>
      <c r="F27" s="73"/>
      <c r="G27" s="73"/>
    </row>
  </sheetData>
  <mergeCells count="10">
    <mergeCell ref="A1:G1"/>
    <mergeCell ref="A18:G18"/>
    <mergeCell ref="A27:G27"/>
    <mergeCell ref="A21:G21"/>
    <mergeCell ref="A12:G12"/>
    <mergeCell ref="A4:G4"/>
    <mergeCell ref="A2:G2"/>
    <mergeCell ref="A16:G16"/>
    <mergeCell ref="A19:G19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4.4" x14ac:dyDescent="0.55000000000000004"/>
  <cols>
    <col min="1" max="1" width="4" customWidth="1"/>
    <col min="2" max="2" width="22" customWidth="1"/>
    <col min="3" max="3" width="48" customWidth="1"/>
    <col min="4" max="4" width="22" customWidth="1"/>
  </cols>
  <sheetData>
    <row r="1" spans="1:4" ht="36" customHeight="1" x14ac:dyDescent="0.55000000000000004">
      <c r="A1" s="139" t="s">
        <v>313</v>
      </c>
      <c r="B1" s="140"/>
      <c r="C1" s="140"/>
      <c r="D1" s="140"/>
    </row>
    <row r="2" spans="1:4" ht="20.05" customHeight="1" x14ac:dyDescent="0.55000000000000004">
      <c r="A2" s="143" t="s">
        <v>314</v>
      </c>
      <c r="B2" s="144"/>
      <c r="C2" s="144"/>
      <c r="D2" s="144"/>
    </row>
    <row r="3" spans="1:4" ht="5.05" customHeight="1" x14ac:dyDescent="0.55000000000000004">
      <c r="A3" s="1"/>
      <c r="B3" s="1"/>
      <c r="C3" s="1"/>
      <c r="D3" s="1"/>
    </row>
    <row r="4" spans="1:4" ht="18" customHeight="1" x14ac:dyDescent="0.55000000000000004">
      <c r="A4" s="2" t="s">
        <v>315</v>
      </c>
      <c r="B4" s="2" t="s">
        <v>316</v>
      </c>
      <c r="C4" s="2" t="s">
        <v>317</v>
      </c>
      <c r="D4" s="2" t="s">
        <v>318</v>
      </c>
    </row>
    <row r="5" spans="1:4" ht="72" customHeight="1" x14ac:dyDescent="0.55000000000000004">
      <c r="A5" s="30" t="s">
        <v>319</v>
      </c>
      <c r="B5" s="34" t="s">
        <v>320</v>
      </c>
      <c r="C5" s="39" t="s">
        <v>321</v>
      </c>
      <c r="D5" s="40" t="s">
        <v>322</v>
      </c>
    </row>
    <row r="6" spans="1:4" ht="72" customHeight="1" x14ac:dyDescent="0.55000000000000004">
      <c r="A6" s="30" t="s">
        <v>323</v>
      </c>
      <c r="B6" s="33" t="s">
        <v>324</v>
      </c>
      <c r="C6" s="31" t="s">
        <v>325</v>
      </c>
      <c r="D6" s="41" t="s">
        <v>326</v>
      </c>
    </row>
    <row r="7" spans="1:4" ht="72" customHeight="1" x14ac:dyDescent="0.55000000000000004">
      <c r="A7" s="30" t="s">
        <v>327</v>
      </c>
      <c r="B7" s="34" t="s">
        <v>328</v>
      </c>
      <c r="C7" s="39" t="s">
        <v>329</v>
      </c>
      <c r="D7" s="40" t="s">
        <v>330</v>
      </c>
    </row>
    <row r="8" spans="1:4" ht="5.05" customHeight="1" x14ac:dyDescent="0.55000000000000004">
      <c r="A8" s="1"/>
      <c r="B8" s="1"/>
      <c r="C8" s="1"/>
      <c r="D8" s="1"/>
    </row>
    <row r="9" spans="1:4" ht="40" customHeight="1" x14ac:dyDescent="0.55000000000000004">
      <c r="A9" s="141" t="s">
        <v>331</v>
      </c>
      <c r="B9" s="142"/>
      <c r="C9" s="142"/>
      <c r="D9" s="142"/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38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48" t="s">
        <v>332</v>
      </c>
      <c r="B1" s="140"/>
      <c r="C1" s="140"/>
      <c r="D1" s="140"/>
      <c r="E1" s="140"/>
      <c r="F1" s="140"/>
    </row>
    <row r="2" spans="1:6" ht="20.05" customHeight="1" x14ac:dyDescent="0.55000000000000004">
      <c r="A2" s="145" t="s">
        <v>333</v>
      </c>
      <c r="B2" s="103"/>
      <c r="C2" s="103"/>
      <c r="D2" s="103"/>
      <c r="E2" s="103"/>
      <c r="F2" s="103"/>
    </row>
    <row r="3" spans="1:6" ht="5.05" customHeight="1" x14ac:dyDescent="0.55000000000000004">
      <c r="A3" s="1"/>
      <c r="B3" s="1"/>
      <c r="C3" s="1"/>
      <c r="D3" s="1"/>
      <c r="E3" s="1"/>
      <c r="F3" s="1"/>
    </row>
    <row r="4" spans="1:6" ht="26.05" customHeight="1" x14ac:dyDescent="0.55000000000000004">
      <c r="A4" s="98" t="s">
        <v>334</v>
      </c>
      <c r="B4" s="99"/>
      <c r="C4" s="99"/>
      <c r="D4" s="99"/>
      <c r="E4" s="99"/>
      <c r="F4" s="99"/>
    </row>
    <row r="5" spans="1:6" ht="22" customHeight="1" x14ac:dyDescent="0.55000000000000004">
      <c r="A5" s="94" t="s">
        <v>335</v>
      </c>
      <c r="B5" s="84"/>
      <c r="C5" s="84"/>
      <c r="D5" s="84"/>
      <c r="E5" s="84"/>
      <c r="F5" s="84"/>
    </row>
    <row r="6" spans="1:6" ht="18" customHeight="1" x14ac:dyDescent="0.55000000000000004">
      <c r="A6" s="2"/>
      <c r="B6" s="2" t="s">
        <v>336</v>
      </c>
      <c r="C6" s="2" t="s">
        <v>337</v>
      </c>
      <c r="D6" s="2" t="s">
        <v>338</v>
      </c>
      <c r="E6" s="2" t="s">
        <v>339</v>
      </c>
      <c r="F6" s="2"/>
    </row>
    <row r="7" spans="1:6" ht="44.05" customHeight="1" x14ac:dyDescent="0.55000000000000004">
      <c r="A7" s="6"/>
      <c r="B7" s="42" t="s">
        <v>340</v>
      </c>
      <c r="C7" s="43" t="s">
        <v>341</v>
      </c>
      <c r="D7" s="44" t="s">
        <v>342</v>
      </c>
      <c r="E7" s="45" t="s">
        <v>343</v>
      </c>
      <c r="F7" s="6"/>
    </row>
    <row r="8" spans="1:6" ht="48" customHeight="1" x14ac:dyDescent="0.55000000000000004">
      <c r="A8" s="6"/>
      <c r="B8" s="42" t="s">
        <v>344</v>
      </c>
      <c r="C8" s="43" t="s">
        <v>345</v>
      </c>
      <c r="D8" s="44" t="s">
        <v>346</v>
      </c>
      <c r="E8" s="45" t="s">
        <v>347</v>
      </c>
      <c r="F8" s="6"/>
    </row>
    <row r="9" spans="1:6" ht="44.05" customHeight="1" x14ac:dyDescent="0.55000000000000004">
      <c r="A9" s="6"/>
      <c r="B9" s="42" t="s">
        <v>348</v>
      </c>
      <c r="C9" s="43" t="s">
        <v>349</v>
      </c>
      <c r="D9" s="44" t="s">
        <v>350</v>
      </c>
      <c r="E9" s="45" t="s">
        <v>351</v>
      </c>
      <c r="F9" s="6"/>
    </row>
    <row r="10" spans="1:6" ht="44.05" customHeight="1" x14ac:dyDescent="0.55000000000000004">
      <c r="A10" s="6"/>
      <c r="B10" s="42" t="s">
        <v>352</v>
      </c>
      <c r="C10" s="43" t="s">
        <v>353</v>
      </c>
      <c r="D10" s="44" t="s">
        <v>354</v>
      </c>
      <c r="E10" s="45" t="s">
        <v>355</v>
      </c>
      <c r="F10" s="6"/>
    </row>
    <row r="11" spans="1:6" ht="44.05" customHeight="1" x14ac:dyDescent="0.55000000000000004">
      <c r="A11" s="6"/>
      <c r="B11" s="42" t="s">
        <v>356</v>
      </c>
      <c r="C11" s="43" t="s">
        <v>357</v>
      </c>
      <c r="D11" s="44" t="s">
        <v>358</v>
      </c>
      <c r="E11" s="45" t="s">
        <v>359</v>
      </c>
      <c r="F11" s="6"/>
    </row>
    <row r="12" spans="1:6" ht="36" customHeight="1" x14ac:dyDescent="0.55000000000000004">
      <c r="A12" s="6"/>
      <c r="B12" s="42" t="s">
        <v>360</v>
      </c>
      <c r="C12" s="43" t="s">
        <v>361</v>
      </c>
      <c r="D12" s="44" t="s">
        <v>362</v>
      </c>
      <c r="E12" s="45" t="s">
        <v>363</v>
      </c>
      <c r="F12" s="6"/>
    </row>
    <row r="13" spans="1:6" ht="5.05" customHeight="1" x14ac:dyDescent="0.55000000000000004">
      <c r="A13" s="1"/>
      <c r="B13" s="1"/>
      <c r="C13" s="1"/>
      <c r="D13" s="1"/>
      <c r="E13" s="1"/>
      <c r="F13" s="1"/>
    </row>
    <row r="14" spans="1:6" ht="26.05" customHeight="1" x14ac:dyDescent="0.55000000000000004">
      <c r="A14" s="146" t="s">
        <v>364</v>
      </c>
      <c r="B14" s="147"/>
      <c r="C14" s="147"/>
      <c r="D14" s="147"/>
      <c r="E14" s="147"/>
      <c r="F14" s="147"/>
    </row>
    <row r="15" spans="1:6" ht="18" customHeight="1" x14ac:dyDescent="0.55000000000000004">
      <c r="A15" s="2"/>
      <c r="B15" s="2" t="s">
        <v>336</v>
      </c>
      <c r="C15" s="2" t="s">
        <v>337</v>
      </c>
      <c r="D15" s="2" t="s">
        <v>338</v>
      </c>
      <c r="E15" s="2" t="s">
        <v>339</v>
      </c>
      <c r="F15" s="2"/>
    </row>
    <row r="16" spans="1:6" ht="40" customHeight="1" x14ac:dyDescent="0.55000000000000004">
      <c r="A16" s="46"/>
      <c r="B16" s="47" t="s">
        <v>365</v>
      </c>
      <c r="C16" s="48" t="s">
        <v>366</v>
      </c>
      <c r="D16" s="49" t="s">
        <v>367</v>
      </c>
      <c r="E16" s="50" t="s">
        <v>368</v>
      </c>
      <c r="F16" s="46"/>
    </row>
    <row r="17" spans="1:6" ht="40" customHeight="1" x14ac:dyDescent="0.55000000000000004">
      <c r="A17" s="46"/>
      <c r="B17" s="47" t="s">
        <v>369</v>
      </c>
      <c r="C17" s="48" t="s">
        <v>370</v>
      </c>
      <c r="D17" s="49" t="s">
        <v>371</v>
      </c>
      <c r="E17" s="50" t="s">
        <v>372</v>
      </c>
      <c r="F17" s="46"/>
    </row>
    <row r="18" spans="1:6" ht="36" customHeight="1" x14ac:dyDescent="0.55000000000000004">
      <c r="A18" s="46"/>
      <c r="B18" s="47" t="s">
        <v>373</v>
      </c>
      <c r="C18" s="48" t="s">
        <v>374</v>
      </c>
      <c r="D18" s="49" t="s">
        <v>375</v>
      </c>
      <c r="E18" s="50" t="s">
        <v>376</v>
      </c>
      <c r="F18" s="46"/>
    </row>
    <row r="19" spans="1:6" ht="5.05" customHeight="1" x14ac:dyDescent="0.55000000000000004">
      <c r="A19" s="1"/>
      <c r="B19" s="1"/>
      <c r="C19" s="1"/>
      <c r="D19" s="1"/>
      <c r="E19" s="1"/>
      <c r="F19" s="1"/>
    </row>
    <row r="20" spans="1:6" ht="26.05" customHeight="1" x14ac:dyDescent="0.55000000000000004">
      <c r="A20" s="105" t="s">
        <v>377</v>
      </c>
      <c r="B20" s="106"/>
      <c r="C20" s="106"/>
      <c r="D20" s="106"/>
      <c r="E20" s="106"/>
      <c r="F20" s="106"/>
    </row>
    <row r="21" spans="1:6" ht="18" customHeight="1" x14ac:dyDescent="0.55000000000000004">
      <c r="A21" s="51"/>
      <c r="B21" s="51" t="s">
        <v>336</v>
      </c>
      <c r="C21" s="51" t="s">
        <v>5</v>
      </c>
      <c r="D21" s="51" t="s">
        <v>378</v>
      </c>
      <c r="E21" s="51" t="s">
        <v>379</v>
      </c>
      <c r="F21" s="51"/>
    </row>
    <row r="22" spans="1:6" ht="44.05" customHeight="1" x14ac:dyDescent="0.55000000000000004">
      <c r="A22" s="52"/>
      <c r="B22" s="53" t="s">
        <v>380</v>
      </c>
      <c r="C22" s="54" t="s">
        <v>381</v>
      </c>
      <c r="D22" s="55" t="s">
        <v>382</v>
      </c>
      <c r="E22" s="56" t="s">
        <v>383</v>
      </c>
      <c r="F22" s="52"/>
    </row>
    <row r="23" spans="1:6" ht="44.05" customHeight="1" x14ac:dyDescent="0.55000000000000004">
      <c r="A23" s="52"/>
      <c r="B23" s="53" t="s">
        <v>384</v>
      </c>
      <c r="C23" s="54" t="s">
        <v>217</v>
      </c>
      <c r="D23" s="55" t="s">
        <v>385</v>
      </c>
      <c r="E23" s="56" t="s">
        <v>383</v>
      </c>
      <c r="F23" s="52"/>
    </row>
    <row r="24" spans="1:6" ht="44.05" customHeight="1" x14ac:dyDescent="0.55000000000000004">
      <c r="A24" s="52"/>
      <c r="B24" s="53" t="s">
        <v>386</v>
      </c>
      <c r="C24" s="54" t="s">
        <v>387</v>
      </c>
      <c r="D24" s="55" t="s">
        <v>388</v>
      </c>
      <c r="E24" s="56" t="s">
        <v>383</v>
      </c>
      <c r="F24" s="52"/>
    </row>
    <row r="25" spans="1:6" ht="44.05" customHeight="1" x14ac:dyDescent="0.55000000000000004">
      <c r="A25" s="52"/>
      <c r="B25" s="53" t="s">
        <v>389</v>
      </c>
      <c r="C25" s="54" t="s">
        <v>390</v>
      </c>
      <c r="D25" s="55" t="s">
        <v>391</v>
      </c>
      <c r="E25" s="56" t="s">
        <v>383</v>
      </c>
      <c r="F25" s="52"/>
    </row>
    <row r="26" spans="1:6" ht="44.05" customHeight="1" x14ac:dyDescent="0.55000000000000004">
      <c r="A26" s="57"/>
      <c r="B26" s="58" t="s">
        <v>392</v>
      </c>
      <c r="C26" s="59" t="s">
        <v>393</v>
      </c>
      <c r="D26" s="35" t="s">
        <v>394</v>
      </c>
      <c r="E26" s="60" t="s">
        <v>383</v>
      </c>
      <c r="F26" s="57"/>
    </row>
    <row r="27" spans="1:6" ht="44.05" customHeight="1" x14ac:dyDescent="0.55000000000000004">
      <c r="A27" s="57"/>
      <c r="B27" s="58" t="s">
        <v>395</v>
      </c>
      <c r="C27" s="59" t="s">
        <v>396</v>
      </c>
      <c r="D27" s="35" t="s">
        <v>397</v>
      </c>
      <c r="E27" s="60" t="s">
        <v>383</v>
      </c>
      <c r="F27" s="57"/>
    </row>
    <row r="28" spans="1:6" ht="44.05" customHeight="1" x14ac:dyDescent="0.55000000000000004">
      <c r="A28" s="57"/>
      <c r="B28" s="58" t="s">
        <v>398</v>
      </c>
      <c r="C28" s="59" t="s">
        <v>399</v>
      </c>
      <c r="D28" s="35" t="s">
        <v>400</v>
      </c>
      <c r="E28" s="60" t="s">
        <v>383</v>
      </c>
      <c r="F28" s="57"/>
    </row>
    <row r="29" spans="1:6" ht="44.05" customHeight="1" x14ac:dyDescent="0.55000000000000004">
      <c r="A29" s="57"/>
      <c r="B29" s="58" t="s">
        <v>401</v>
      </c>
      <c r="C29" s="59" t="s">
        <v>244</v>
      </c>
      <c r="D29" s="35" t="s">
        <v>402</v>
      </c>
      <c r="E29" s="60" t="s">
        <v>383</v>
      </c>
      <c r="F29" s="57"/>
    </row>
    <row r="30" spans="1:6" ht="44.05" customHeight="1" x14ac:dyDescent="0.55000000000000004">
      <c r="A30" s="57"/>
      <c r="B30" s="58" t="s">
        <v>403</v>
      </c>
      <c r="C30" s="59" t="s">
        <v>404</v>
      </c>
      <c r="D30" s="35" t="s">
        <v>405</v>
      </c>
      <c r="E30" s="60" t="s">
        <v>383</v>
      </c>
      <c r="F30" s="57"/>
    </row>
    <row r="31" spans="1:6" ht="44.05" customHeight="1" x14ac:dyDescent="0.55000000000000004">
      <c r="A31" s="57"/>
      <c r="B31" s="58" t="s">
        <v>406</v>
      </c>
      <c r="C31" s="59" t="s">
        <v>253</v>
      </c>
      <c r="D31" s="35" t="s">
        <v>407</v>
      </c>
      <c r="E31" s="60" t="s">
        <v>383</v>
      </c>
      <c r="F31" s="57"/>
    </row>
    <row r="32" spans="1:6" ht="5.05" customHeight="1" x14ac:dyDescent="0.55000000000000004">
      <c r="A32" s="1"/>
      <c r="B32" s="1"/>
      <c r="C32" s="1"/>
      <c r="D32" s="1"/>
      <c r="E32" s="1"/>
      <c r="F32" s="1"/>
    </row>
    <row r="33" spans="1:6" ht="56.05" customHeight="1" x14ac:dyDescent="0.55000000000000004">
      <c r="A33" s="141" t="s">
        <v>408</v>
      </c>
      <c r="B33" s="142"/>
      <c r="C33" s="142"/>
      <c r="D33" s="142"/>
      <c r="E33" s="142"/>
      <c r="F33" s="142"/>
    </row>
  </sheetData>
  <mergeCells count="7">
    <mergeCell ref="A2:F2"/>
    <mergeCell ref="A33:F33"/>
    <mergeCell ref="A14:F14"/>
    <mergeCell ref="A1:F1"/>
    <mergeCell ref="A5:F5"/>
    <mergeCell ref="A4:F4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2026-04-04T19:50:34Z</dcterms:created>
  <dcterms:modified xsi:type="dcterms:W3CDTF">2026-04-04T19:55:41Z</dcterms:modified>
</cp:coreProperties>
</file>