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timatglobal365-my.sharepoint.com/personal/aydindede_itimatglobal_com/Documents/Desktop/GEM/son standart/"/>
    </mc:Choice>
  </mc:AlternateContent>
  <xr:revisionPtr revIDLastSave="0" documentId="8_{AA9586B3-DBFB-499D-B188-198192B25AA5}" xr6:coauthVersionLast="47" xr6:coauthVersionMax="47" xr10:uidLastSave="{00000000-0000-0000-0000-000000000000}"/>
  <bookViews>
    <workbookView xWindow="-96" yWindow="-96" windowWidth="23232" windowHeight="12552" activeTab="1" xr2:uid="{00000000-000D-0000-FFFF-FFFF00000000}"/>
  </bookViews>
  <sheets>
    <sheet name="VERİ GİRİŞİ" sheetId="1" r:id="rId1"/>
    <sheet name="YİAKV HESAPLAMA" sheetId="2" r:id="rId2"/>
    <sheet name="İSTİSNA &amp; İNDİRİM MATRİSİ" sheetId="3" r:id="rId3"/>
    <sheet name="DENETÇİ NOTLARI" sheetId="4" r:id="rId4"/>
    <sheet name="BELGE LİSTESİ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6" i="1" l="1"/>
  <c r="D26" i="2" s="1"/>
  <c r="E75" i="1"/>
  <c r="E74" i="1"/>
  <c r="E73" i="1"/>
  <c r="E77" i="1" s="1"/>
  <c r="C49" i="1"/>
  <c r="C32" i="1"/>
  <c r="D24" i="1"/>
  <c r="D39" i="2"/>
  <c r="D38" i="2"/>
  <c r="D37" i="2"/>
  <c r="D30" i="2"/>
  <c r="D25" i="2"/>
  <c r="D24" i="2"/>
  <c r="D23" i="2"/>
  <c r="D20" i="2"/>
  <c r="D19" i="2"/>
  <c r="D18" i="2"/>
  <c r="D17" i="2"/>
  <c r="D16" i="2"/>
  <c r="D15" i="2"/>
  <c r="D14" i="2"/>
  <c r="D13" i="2"/>
  <c r="D12" i="2"/>
  <c r="D11" i="2"/>
  <c r="D10" i="2"/>
  <c r="D9" i="2"/>
  <c r="D7" i="2"/>
  <c r="D6" i="2"/>
  <c r="D8" i="2" s="1"/>
  <c r="D21" i="2" s="1"/>
  <c r="D22" i="2" s="1"/>
  <c r="D27" i="2" s="1"/>
  <c r="D31" i="2" s="1"/>
  <c r="A2" i="2"/>
  <c r="D33" i="2" l="1"/>
  <c r="D32" i="2"/>
  <c r="D40" i="2" s="1"/>
  <c r="E32" i="2"/>
</calcChain>
</file>

<file path=xl/sharedStrings.xml><?xml version="1.0" encoding="utf-8"?>
<sst xmlns="http://schemas.openxmlformats.org/spreadsheetml/2006/main" count="635" uniqueCount="457">
  <si>
    <t>YİAKV HESAPLAMA VE DENETİM TABLOSU | KVK Md.32/C | 7524 SAYILI KANUN | GİB REHBERİ NİSAN 2026</t>
  </si>
  <si>
    <t>I. YİAKV HESAPLAMA TABLOSU — GİB REHBERİ NİSAN 2026</t>
  </si>
  <si>
    <t>No</t>
  </si>
  <si>
    <t>Hesap Kalemi</t>
  </si>
  <si>
    <t>Referans</t>
  </si>
  <si>
    <t>Tutar (TL)</t>
  </si>
  <si>
    <t>Etki</t>
  </si>
  <si>
    <t>Formül / Açıklama</t>
  </si>
  <si>
    <t>YMM Denetim Notu</t>
  </si>
  <si>
    <t>Ticari Bilanço Kârı / Zararı</t>
  </si>
  <si>
    <t>VERİ GİRİŞİ C.1</t>
  </si>
  <si>
    <t>+</t>
  </si>
  <si>
    <t>Mizan/Bilanço</t>
  </si>
  <si>
    <t>KVK 32/C Formül Başlangıcı</t>
  </si>
  <si>
    <t>(+) Kanunen Kabul Edilmeyen Giderler</t>
  </si>
  <si>
    <t>VERİ GİRİŞİ C.2</t>
  </si>
  <si>
    <t>KKEG toplamı</t>
  </si>
  <si>
    <t>BSMV, gecikme faizi vb.</t>
  </si>
  <si>
    <t>TİCARİ KAZANÇ TABANI (1+2)</t>
  </si>
  <si>
    <t>Auto</t>
  </si>
  <si>
    <t>=</t>
  </si>
  <si>
    <t>(1)+(2)</t>
  </si>
  <si>
    <t>Sıfırdan büyükse YİAKV hesaplanır</t>
  </si>
  <si>
    <t>(-) İştirak Kazançları (KVK 5/1-a)</t>
  </si>
  <si>
    <t>VERİ GİRİŞİ D.1</t>
  </si>
  <si>
    <t>−</t>
  </si>
  <si>
    <t>Düşülür</t>
  </si>
  <si>
    <t>Beyanname 301</t>
  </si>
  <si>
    <t>(-) Emisyon Primi (KVK 5/1-ç)</t>
  </si>
  <si>
    <t>VERİ GİRİŞİ D.2</t>
  </si>
  <si>
    <t>Beyanname 302</t>
  </si>
  <si>
    <t>(-) Yat.Fon/Ort. — Taşınmaz HARİÇ (KVK 5/1-d)</t>
  </si>
  <si>
    <t>VERİ GİRİŞİ D.3</t>
  </si>
  <si>
    <t>GYO taşınmaz DÜŞÜLEMEZ</t>
  </si>
  <si>
    <t>(-) Risturn (KVK 5/1-i)</t>
  </si>
  <si>
    <t>VERİ GİRİŞİ D.4</t>
  </si>
  <si>
    <t>Beyanname 309</t>
  </si>
  <si>
    <t>(-) Sat-Kirala-Geri Al (KVK 5/1-j)</t>
  </si>
  <si>
    <t>VERİ GİRİŞİ D.5</t>
  </si>
  <si>
    <t>Beyanname 310-312</t>
  </si>
  <si>
    <t>(-) Varlık Kiralama (Sukuk) (KVK 5/1-k)</t>
  </si>
  <si>
    <t>VERİ GİRİŞİ D.6</t>
  </si>
  <si>
    <t>Beyanname 313-315</t>
  </si>
  <si>
    <t>(-) TUGS Gemi Sicili (4490 s.K. Md.12)</t>
  </si>
  <si>
    <t>VERİ GİRİŞİ D.7</t>
  </si>
  <si>
    <t>Beyanname 315</t>
  </si>
  <si>
    <t>(-) Serbest Bölge Kazanç İstisnası (3218 s.K.)</t>
  </si>
  <si>
    <t>VERİ GİRİŞİ D.8</t>
  </si>
  <si>
    <t>SB faaliyet kazancı</t>
  </si>
  <si>
    <t>(-) Teknokent Kazanç İstisnası (4691 s.K. Geçici Md.2)</t>
  </si>
  <si>
    <t>VERİ GİRİŞİ D.9</t>
  </si>
  <si>
    <t>TGB girişimci</t>
  </si>
  <si>
    <t>(-) Ar-Ge ve Tasarım İndirimi (5746; 6550 Geçici Md.1/c)</t>
  </si>
  <si>
    <t>VERİ GİRİŞİ D.10</t>
  </si>
  <si>
    <t>İndirilir</t>
  </si>
  <si>
    <t>Ar-Ge/Tasarım Merkezi</t>
  </si>
  <si>
    <t>(-) Girişim Sermayesi Fonu İndirimi (KVK 10/1-g)</t>
  </si>
  <si>
    <t>VERİ GİRİŞİ D.11</t>
  </si>
  <si>
    <t>GS Fonu</t>
  </si>
  <si>
    <t>(-) Engelliler Korumalı İşyeri İndirimi (KVK 10/1-h)</t>
  </si>
  <si>
    <t>VERİ GİRİŞİ D.12</t>
  </si>
  <si>
    <t>5378 s.K.</t>
  </si>
  <si>
    <t>ASGARİ VERGİ MATRAHI</t>
  </si>
  <si>
    <t>(3)−İzin Verilen İstisna/İndirimler</t>
  </si>
  <si>
    <t>GİB Rehberi Bölüm 3.1</t>
  </si>
  <si>
    <t>HAM ASGARİ VERGİ  (×%10)</t>
  </si>
  <si>
    <t>×%10</t>
  </si>
  <si>
    <t>Matrah × %10</t>
  </si>
  <si>
    <t>Negatif matrahta 0</t>
  </si>
  <si>
    <t>(-) İhracat 5 Puan — Alınmayan Vergi (KVK 32/6)</t>
  </si>
  <si>
    <t>VERİ GİRİŞİ F.1</t>
  </si>
  <si>
    <t>Vergiden düşer</t>
  </si>
  <si>
    <t>İhracat matrahı × %5</t>
  </si>
  <si>
    <t>(-) Üretim 1 Puan — Alınmayan Vergi (KVK 32/7)</t>
  </si>
  <si>
    <t>VERİ GİRİŞİ F.2</t>
  </si>
  <si>
    <t>Üretim matrahı × %1</t>
  </si>
  <si>
    <t>(-) Halka Arz 2 Puan — Alınmayan Vergi (KVK 32/8)</t>
  </si>
  <si>
    <t>VERİ GİRİŞİ F.3</t>
  </si>
  <si>
    <t>≥%20 BİST halka arz</t>
  </si>
  <si>
    <t>(-) Eski YTB 32/A Alınmayan Vergi (02.08.2024 ÖNCESİ)</t>
  </si>
  <si>
    <t>VERİ GİRİŞİ F.4</t>
  </si>
  <si>
    <t>YENİ YTB DÜŞÜLEMEZ</t>
  </si>
  <si>
    <t>NİHAİ ASGARİ KURUMLAR VERGİSİ BARAJI</t>
  </si>
  <si>
    <t>Ham Asgari − İndirim Oranı Avantajları</t>
  </si>
  <si>
    <t>GİB Rehberi Md.2.6/2.7</t>
  </si>
  <si>
    <t>II. KARŞILAŞTIRMA VE ÖDENECEK VERGİ TESPİTİ</t>
  </si>
  <si>
    <t>A</t>
  </si>
  <si>
    <t>Genel Hükümlere Göre Hesaplanan KV</t>
  </si>
  <si>
    <t>Beyanname Hesaplanan KV</t>
  </si>
  <si>
    <t>B</t>
  </si>
  <si>
    <t>Nihai Asgari Kurumlar Vergisi Baraji</t>
  </si>
  <si>
    <t>Hesaplama Tablosu No.22</t>
  </si>
  <si>
    <t>→</t>
  </si>
  <si>
    <t>ÖDENECEK VERGİ = MAX (A, B)</t>
  </si>
  <si>
    <t>Δ</t>
  </si>
  <si>
    <t>YİAKV EK VERGİ YÜKÜ (Fark)</t>
  </si>
  <si>
    <t>0 → YİAKV ek yük yok | Pozitif → Bu tutar ilave vergi ödenir</t>
  </si>
  <si>
    <t>III. TEVKİFAT VE GEÇİCİ VERGİ MAHSUBU (GİB Rehberi Md.2.8)</t>
  </si>
  <si>
    <t>Kalem</t>
  </si>
  <si>
    <t>Açıklama</t>
  </si>
  <si>
    <t>Tevkif Suretiyle Ödenen KV</t>
  </si>
  <si>
    <t>Ödenen Geçici Vergiler</t>
  </si>
  <si>
    <t>TOPLAM MAHSUP</t>
  </si>
  <si>
    <t>NİHAİ ÖDENECEK YİAKV (Mahsup Sonrası)</t>
  </si>
  <si>
    <t>IV. YMM DENETİM KONTROL LİSTESİ (K1–K14)</t>
  </si>
  <si>
    <t>Kontrol</t>
  </si>
  <si>
    <t>Sonuç</t>
  </si>
  <si>
    <t>K1</t>
  </si>
  <si>
    <t>★ Mükellef YİAKV kapsamında mı? (3 muafiyet hali kontrol edildi mi?)</t>
  </si>
  <si>
    <t>KV muaf | Yeni şirket | Hasılat esaslı — VERİ GİRİŞİ B bölümü.</t>
  </si>
  <si>
    <t>Uygun / Eksik / Risk</t>
  </si>
  <si>
    <t>K2</t>
  </si>
  <si>
    <t>★ Ticari bilanço kârı doğru mu? Enflasyon düzeltmesi dikkate alındı mı?</t>
  </si>
  <si>
    <t>VUK Mük.Md.298 / Geçici Md.33.</t>
  </si>
  <si>
    <t>K3</t>
  </si>
  <si>
    <t>★ Matrahtan düşülemeyen istisnalar matrahta bırakıldı mı? (5/1-e, KKM, Ürün Senedi vb.)</t>
  </si>
  <si>
    <t>GİB Rehberi Bölüm 3.3 tablosu. KVK Geçici Md.14: TÜM 16 KOD (370–385, Paragraf 1-4) YİAKV matrahından DÜŞÜLEMEZ — VERİ GİRİŞİ E.7 satırı kontrol edilmeli. ÇVÖA istisnaları (386): YİAKV etkisi ayrıca analiz edilmeli.</t>
  </si>
  <si>
    <t>K4</t>
  </si>
  <si>
    <t>★ GYZ YİAKV matrahından düşülmedi mi?</t>
  </si>
  <si>
    <t>GYZ sadece genel KV matrahını etkiler — Danıştay 3.D.</t>
  </si>
  <si>
    <t>K5</t>
  </si>
  <si>
    <t>GYO/Fon taşınmaz gelir ayrıştırması (5/1-d) yapıldı mı?
★ YENİ: %50 dağıtım şartı analizi de yapıldı mı?
Dağıtım şartı karşılanmıyorsa taşınmaz dışı kazanç da düşülemez.</t>
  </si>
  <si>
    <t>Taşınmaz gelirleri matrahta kalmalı.</t>
  </si>
  <si>
    <t>K6</t>
  </si>
  <si>
    <t>TMS-VUK değerleme farkları, kıdem tazm. karşılık iptali kapsam dışı tutuldu mu?</t>
  </si>
  <si>
    <t>GİB Rehberi Md.3.2.</t>
  </si>
  <si>
    <t>K7</t>
  </si>
  <si>
    <t>İhracat/Üretim/Halka Arz alınmayan vergi doğru hesaplandı mı?</t>
  </si>
  <si>
    <t>Matrah oranlaması + puan uygulaması.</t>
  </si>
  <si>
    <t>K8</t>
  </si>
  <si>
    <t>YTB tarihi 02.08.2024 öncesi/sonrası ayrıştırması yapıldı mı?</t>
  </si>
  <si>
    <t>Eski → Düşülür. Yeni → Düşülemez.</t>
  </si>
  <si>
    <t>K9</t>
  </si>
  <si>
    <t>Ödenecek vergi MAX(Genel KV, Nihai Asgari Vergi) ile belirlendi mi?</t>
  </si>
  <si>
    <t>Her iki hesabın büyüğü ödenir.</t>
  </si>
  <si>
    <t>K10</t>
  </si>
  <si>
    <t>Tevkifat ve geçici vergiler doğru mahsup edildi mi?</t>
  </si>
  <si>
    <t>Asgari vergiden mahsup edilebilir.</t>
  </si>
  <si>
    <t>K11</t>
  </si>
  <si>
    <t>Tasfiye/Birleşme/Devir beyannamelerinde de YİAKV hesaplandı mı?</t>
  </si>
  <si>
    <t>GİB Rehberi Md.2.9.</t>
  </si>
  <si>
    <t>K12</t>
  </si>
  <si>
    <t>GİB Rehberi Md.2.10 | %5 Vergi İndirimi:
★ 1/1/2026+ KV beyannamelerinde üst limit: 12.000.000 TL
(332 Seri No.lu GV GT | Yayın No:589)</t>
  </si>
  <si>
    <t>GİB Rehberi Md.2.10.</t>
  </si>
  <si>
    <t>K13</t>
  </si>
  <si>
    <t>Beyanname 350 'Diğer indirimler' satırındaki kapsam dışı tutarlar analiz edildi mi?</t>
  </si>
  <si>
    <t>ÇVÖA, değerleme farkı vb. — GİB Rehberi Md.3.2.</t>
  </si>
  <si>
    <t>K14</t>
  </si>
  <si>
    <t>YMM Tasdik Raporu (49 No.lu Tebliğ) değerlendirildi mi?</t>
  </si>
  <si>
    <t>&gt;=500.000 TL → YMM raporu.</t>
  </si>
  <si>
    <t>YURT İÇİ ASGARİ KURUMLAR VERGİSİ (YİAKV) ÇALIŞMA KÂĞIDI | KVK Md.32/C | 7524 SAYILI KANUN | YMM TASDİK KÂĞIDI</t>
  </si>
  <si>
    <t>VERİ GİRİŞİ SAYFASI — Sarı alanları doldurun. Hesaplamalar YİAKV HESAPLAMA sayfasına otomatik yansır.</t>
  </si>
  <si>
    <t>KAPSAM: 2025 yılı ve izleyen dönemler | Geçici vergi dahil | GİB Rehberleri: No:607 (YİAKV) | No:606 (KV Beyan) | No:605 (KV Oran) | No:589 (%5 İndirim)</t>
  </si>
  <si>
    <t>A. MÜKELLEF BİLGİLERİ</t>
  </si>
  <si>
    <t>Mükellef Unvanı</t>
  </si>
  <si>
    <t>Tam ticaret unvanı — beyannamedeki ile aynı</t>
  </si>
  <si>
    <t>Vergi Kimlik Numarası</t>
  </si>
  <si>
    <t>10 haneli VKN</t>
  </si>
  <si>
    <t>Hesap Dönemi</t>
  </si>
  <si>
    <t>Örn: 01.01.2025 – 31.12.2025</t>
  </si>
  <si>
    <t>Kuruluş Tarihi</t>
  </si>
  <si>
    <t>GG.AA.YYYY — Yeni şirket 3 hesap dönemi muafiyet kontrolü için</t>
  </si>
  <si>
    <t>Faaliyet Konusu</t>
  </si>
  <si>
    <t>İmalat / İhracat / Hizmet / Karma</t>
  </si>
  <si>
    <t>Dosya Referansı</t>
  </si>
  <si>
    <t>YMM-2025/AV-01</t>
  </si>
  <si>
    <t>YMM Adı Soyadı</t>
  </si>
  <si>
    <t>Tasdiki yapan YMM</t>
  </si>
  <si>
    <t>Tasdik Tarihi</t>
  </si>
  <si>
    <t>GG.AA.YYYY</t>
  </si>
  <si>
    <t>B. YİAKV MÜKELLEFİYET ÖN KONTROL</t>
  </si>
  <si>
    <t>Mükellefin YİAKV kapsamında olup olmadığını belirleyin — GİB Rehberi Bölüm 1.2</t>
  </si>
  <si>
    <t>Kontrol Sorusu</t>
  </si>
  <si>
    <t>Yanıt</t>
  </si>
  <si>
    <t>B.1  ★ Mükellef kurumlar vergisinden muaf mı?</t>
  </si>
  <si>
    <t>HAYIR</t>
  </si>
  <si>
    <t>Muaf kurumlar YİAKV kapsamı dışındadır.</t>
  </si>
  <si>
    <t>B.2  ★ İlk defa faaliyete başlayan şirket mi? (3 hesap dönemi muafiyet)</t>
  </si>
  <si>
    <t>2025'te kurulduysa 2025-26-27 muaf. 2024'te → 2025-26. 2023'te → 2025.</t>
  </si>
  <si>
    <t>B.3  Birleşme/devir/tür değişikliği/bölünme yoluyla mı kuruldu?</t>
  </si>
  <si>
    <t>Bu yollarla kurulan şirket 'ilk defa' sayılmaz.</t>
  </si>
  <si>
    <t>B.4  Hasılat esasına göre vergilendirilen kurum mu? (GVK Md.113)</t>
  </si>
  <si>
    <t>Hasılat esaslı mükellefler kapsam dışı.</t>
  </si>
  <si>
    <t>B.5  02.08.2024 öncesi alınmış YTB var mı?</t>
  </si>
  <si>
    <t>Eski YTB → 32/A alınmayan vergi asgari vergiden düşülür.</t>
  </si>
  <si>
    <t>B.6  02.08.2024 sonrası alınan YTB var mı?</t>
  </si>
  <si>
    <t>Yeni YTB alınmayan vergi asgari vergiden DÜŞÜLEMEZ.</t>
  </si>
  <si>
    <t>B.7  YİAKV UYGULAMA SONUCU</t>
  </si>
  <si>
    <t>Kapsam içiyse → YİAKV HESAPLAMA sayfasına geçin.</t>
  </si>
  <si>
    <t>C. TEMEL MALİ VERİLER</t>
  </si>
  <si>
    <t>UYARI: Enflasyon düzeltmesi uygulandıysa düzeltilmiş bilanço değerleri kullanılmalıdır (VUK Mük.Md.298/Geçici Md.33).</t>
  </si>
  <si>
    <t>Kaynak / YMM Notu</t>
  </si>
  <si>
    <t>C.1  Ticari Bilanço Kârı (+) / Zararı (-)</t>
  </si>
  <si>
    <t>Mizan / Bilanço</t>
  </si>
  <si>
    <t>Enflasyon düzeltmesi dahil — formülün başlangıç noktası</t>
  </si>
  <si>
    <t>C.2  Kanunen Kabul Edilmeyen Giderler (KKEG)</t>
  </si>
  <si>
    <t>Muavin Defter</t>
  </si>
  <si>
    <t>BSMV, gecikme faizi, özel gider vb. — eksiksiz liste</t>
  </si>
  <si>
    <t>C.3  Geçmiş Yıl Zararları (GYZ) — BİLGİ AMAÇLI</t>
  </si>
  <si>
    <t>Beyanname</t>
  </si>
  <si>
    <t>YİAKV matrahından DÜŞÜLEMEZ — Danıştay 3.D. E:2024/5700</t>
  </si>
  <si>
    <t>C.4  TİCARİ KAZANÇ TABANI = C.1 + C.2  (YİAKV için — GİB Rehberi Md.2.4)</t>
  </si>
  <si>
    <t>Bu tutar &gt; 0 ise YİAKV hesaplanır | ≤ 0 ise YİAKV hesaplanmaz</t>
  </si>
  <si>
    <t>D. YİAKV MATRAHTAN DÜŞÜLEBİLECEK İSTİSNA VE İNDİRİMLER (GİB Rehberi Bölüm 3.1)</t>
  </si>
  <si>
    <t>Beyannamede kullandığınız tutarı girin. Yalnızca bu kalemler YİAKV matrahından düşülür.</t>
  </si>
  <si>
    <t>İstisna / İndirim Kalemi</t>
  </si>
  <si>
    <t>Kullanılan Tutar (TL)</t>
  </si>
  <si>
    <t>YMM Kontrol Notu</t>
  </si>
  <si>
    <t>D.1  İştirak Kazançları İstisnası (KVK 5/1-a)</t>
  </si>
  <si>
    <t>Yurt içi iştirak kâr payları.
★ YENİ (7524 s.K. Md.32): 5/1-d fon/ort. %50 dağıtım şartını
SAĞLIYORSA → bu fondan alınan kâr payı 5/1-a istisnasına KONU EDİLEMEZ.
Dağıtım şartı SAĞLANAMIYORSA → 5/1-a kapsamında istisna uygulanabilir.
(KV Beyan Rehberi 2026 — Yayın No:606)</t>
  </si>
  <si>
    <t>D.2  Emisyon Primi Kazancı (KVK 5/1-ç)</t>
  </si>
  <si>
    <t>Hisse ihraç primleri</t>
  </si>
  <si>
    <t>D.3  Yat.Fon/Ort. — Taşınmaz HARİÇ Kazancı (KVK 5/1-d)
     ★ KOŞULLU: %50 Dağıtım Şartı (7524 s.K. Md.32 — 1/1/2025+)</t>
  </si>
  <si>
    <t>Beyanname 305-308</t>
  </si>
  <si>
    <t>★ 1/1/2025'ten itibaren KOŞULLU:
✓ Dağıtım şartı SAĞLANIYORSA: Taşınmaz dışı kazanç düşülür.
✗ Dağıtım şartı SAĞLANAMIYORSA: Tüm kazanç (taşınmaz dahil) DÜŞÜLEMEZ.
Dağıtım: KV beyan ayını izleyen 2. ayın sonu. Beyanname 305-308.
GYO taşınmaz gelirleri her durumda DÜŞÜLEMEZ (E.3 bölümü).</t>
  </si>
  <si>
    <t>D.4  Risturn Kazancı (KVK 5/1-i)</t>
  </si>
  <si>
    <t>Kooperatif risturnları</t>
  </si>
  <si>
    <t>D.5  Sat-Kirala-Geri Al İstisnası (KVK 5/1-j)</t>
  </si>
  <si>
    <t>SKG</t>
  </si>
  <si>
    <t>D.6  Varlık Kiralama (Sukuk) İstisnası (KVK 5/1-k)</t>
  </si>
  <si>
    <t>VKŞ — Sukuk</t>
  </si>
  <si>
    <t>D.7  TUGS — Türk Uluslararası Gemi Sicili (4490 s.K. Md.12)</t>
  </si>
  <si>
    <t>TUGS kayıtlı gemi işletme/devir</t>
  </si>
  <si>
    <t>D.8  Serbest Bölge Kazanç İstisnası (3218 s.K. Geçici Md.)</t>
  </si>
  <si>
    <t>Beyanname 350</t>
  </si>
  <si>
    <t>SB faaliyet lisanslı kazanç</t>
  </si>
  <si>
    <t>D.9  Teknokent Kazanç İstisnası (4691 s.K. Geçici Md.2)</t>
  </si>
  <si>
    <t>TGB girişimci yazılım/Ar-Ge</t>
  </si>
  <si>
    <t>D.10  Ar-Ge ve Tasarım İndirimi (5746 s.K. Md.3/3A; 6550 Geçici Md.1/c)</t>
  </si>
  <si>
    <t>Beyanname 283/284</t>
  </si>
  <si>
    <t>Ar-Ge/Tasarım Merkezi + Araştırma Altyapıları</t>
  </si>
  <si>
    <t>D.11  Girişim Sermayesi Fonu İndirimi (KVK Md.10/1-g)</t>
  </si>
  <si>
    <t>Beyanname 285</t>
  </si>
  <si>
    <t>Sınır: %10 ve %20 uyumu kontrol</t>
  </si>
  <si>
    <t>D.12  Engelliler — Korumalı İşyeri İndirimi (KVK Md.10/1-h)</t>
  </si>
  <si>
    <t>Beyanname 286</t>
  </si>
  <si>
    <t>5378 s.K. kapsamı</t>
  </si>
  <si>
    <t>D.13  TOPLAM MATRAHTAN DÜŞÜLEBİLECEK</t>
  </si>
  <si>
    <t>E. YİAKV MATRAHTAN DÜŞÜLEMEYEN İSTİSNA/İNDİRİMLER — BİLGİ AMAÇLI (GİB Rehberi Bölüm 3.3)</t>
  </si>
  <si>
    <t>Bu kalemler genel KV matrahından düşülmekle birlikte YİAKV matrahını ETKİLEMEZ — matrahta kalır.</t>
  </si>
  <si>
    <t>Tutar (TL) Ref.</t>
  </si>
  <si>
    <t>Beyanname / YMM Notu</t>
  </si>
  <si>
    <t>E.1   Yurt Dışı İştirak/Şube/İnşaat Kazançları (KVK 5/1-b,c,g,h)</t>
  </si>
  <si>
    <t>YİAKV'de DÜŞÜLEMEZ ✗</t>
  </si>
  <si>
    <t>303/304/322</t>
  </si>
  <si>
    <t>E.2   Taşınmaz / İştirak Hissesi / Fon Satış Kazancı (KVK 5/1-e)</t>
  </si>
  <si>
    <t>351-359</t>
  </si>
  <si>
    <t>E.3   GYO/Fon — Taşınmaz Gelirleri (KVK 5/1-d — Taşınmaz Kısmı)</t>
  </si>
  <si>
    <t>305-308</t>
  </si>
  <si>
    <t>E.4   Banka Borçlu Taşınmaz/İştirak Satış (KVK 5/1-f)</t>
  </si>
  <si>
    <t>321</t>
  </si>
  <si>
    <t>E.5   Eğitim/Öğretim Kazanç İstisnası (KVK 5/1-ı)</t>
  </si>
  <si>
    <t>339</t>
  </si>
  <si>
    <t>E.6   Yabancı Fon Yönetici Şirketi (KVK 5/A-3) + Patent Box (KVK 5/B)</t>
  </si>
  <si>
    <t>323/324</t>
  </si>
  <si>
    <t>E.7   KKM İstisnalar — Tüm Kodlar (KVK Geçici Md.14 Paragraf 1, 2, 3 ve 4)
Paragraf 1 (Aktif — 5 kod): 370 Kur farkı değerleme | 371 Kur farkı tazminat | 372 Dönem sonu tahakkuk | 373 Vade kâr payı/faiz | 374 Vade diğer kazançlar
Paragraf 2 (Pasif/Borç — 4 kod): 375 Borç kur farkı | 376 Dönem sonu tahakkuk | 377 Vade kâr payı/faiz | 378 Vade diğer kazançlar
Paragraf 3 (Altın Hesabı — 4 kod): 379 Altın dönüşüm kazancı | 380 Dönem sonu tahakkuk | 381 Vade kâr payı/faiz | 382 Vade diğer kazançlar
Paragraf 4 (3 kod): 383 Dönem sonu tahakkuk | 384 Kâr payı ve faiz | 385 Vade sonu kazanç</t>
  </si>
  <si>
    <t>370/371/372/373/374/375/376/377/378/379/380/381/382/383/384/385</t>
  </si>
  <si>
    <t>E.8   Ürün Senedi Kazanç İstisnası (GVK Geçici Md.76 / 5300 s.K.)</t>
  </si>
  <si>
    <t>349</t>
  </si>
  <si>
    <t>E.9   Araştırma Altyapıları Ar-Ge (6550 s.K. Geçici Md.1/a)</t>
  </si>
  <si>
    <t>350</t>
  </si>
  <si>
    <t>E.10  Nakdi Sermaye Artışı Faiz İndirimi (KVK 10/1-ı)</t>
  </si>
  <si>
    <t>283</t>
  </si>
  <si>
    <t>E.11  Bağış ve Sponsorluk — Tümü (KVK 10/1-b,c,ç,d,e,f)</t>
  </si>
  <si>
    <t>260-270</t>
  </si>
  <si>
    <t>E.12  Yurt Dışı Yazılım/Müh./Eğ./Sağ. İndirimi (KVK 10/1-ğ)</t>
  </si>
  <si>
    <t>280</t>
  </si>
  <si>
    <t>E.13  Yatırım İndirimi + Teknogirişim/Teknokent Sermaye Desteği</t>
  </si>
  <si>
    <t>Geçici/286-287</t>
  </si>
  <si>
    <t>E.14  İstanbul Finans Merkezi İndirimi (KVK 10/1-i)</t>
  </si>
  <si>
    <t>290</t>
  </si>
  <si>
    <t>E.15  ÇVÖA Kapsamı İstisnaları (Uluslararası Anlaşmalar)</t>
  </si>
  <si>
    <t>Diğer</t>
  </si>
  <si>
    <t>F. VERGİ ORANI İNDİRİMLERİ — ASGARİ VERGİDEN (MATRAHTAN DEĞİL) DÜŞÜLECEK TUTARLAR</t>
  </si>
  <si>
    <t>Bu kalemlerdeki tutarlar HAM asgari vergiden (%10) düşülür — YİAKV matrahından değil (GİB Rehberi Md.2.6).</t>
  </si>
  <si>
    <t>İndirim Kalemi</t>
  </si>
  <si>
    <t>İlgili Matrah / Kazanç (TL)</t>
  </si>
  <si>
    <t>Alınmayan Vergi (TL)</t>
  </si>
  <si>
    <t>F.1  İhracat 5 Puan İndirim — Alınmayan Vergi (KVK 32/6)</t>
  </si>
  <si>
    <t>İndirimli orana tabi ihracat matrahı → × %5</t>
  </si>
  <si>
    <t>F.2  Üretim 1 Puan İndirim — Alınmayan Vergi (KVK 32/7)</t>
  </si>
  <si>
    <t>İndirimli orana tabi üretim matrahı → × %1</t>
  </si>
  <si>
    <t>F.3  Halka Arz 2 Puan İndirim — Alınmayan Vergi (KVK 32/8)</t>
  </si>
  <si>
    <t>≥%20 halka arz matrahı → × %2</t>
  </si>
  <si>
    <t>F.4  02.08.2024 ÖNCESİ YTB — KVK 32/A Alınmayan Vergi</t>
  </si>
  <si>
    <t>Yatırıma katkı kaynaklı alınmayan vergi tutarı</t>
  </si>
  <si>
    <t>F.5  TOPLAM ASGARİ VERGİDEN DÜŞÜLECEKLER</t>
  </si>
  <si>
    <t xml:space="preserve">  ★ UYARI: 02.08.2024 SONRASI alınan YTB kaynaklı alınmayan vergi asgari vergiden DÜŞÜLEMEZ (GİB Rehberi Md.2.6).</t>
  </si>
  <si>
    <t>G. GENEL KURUMLAR VERGİSİ (BEYANNAME VERİLERİ)</t>
  </si>
  <si>
    <t>Kaynak</t>
  </si>
  <si>
    <t>G.1  Hesaplanan Kurumlar Vergisi (Genel Hüküm)</t>
  </si>
  <si>
    <t>Beyanname 'Hesaplanan KV' satırı</t>
  </si>
  <si>
    <t>G.2  Tevkif Suretiyle Ödenen Kurumlar Vergisi</t>
  </si>
  <si>
    <t>Beyanname tevkifat satırı</t>
  </si>
  <si>
    <t>G.3  Ödenen Geçici Vergiler</t>
  </si>
  <si>
    <t>Cari dönem geçici vergi mahsup tutarı</t>
  </si>
  <si>
    <t>YİAKV İSTİSNA VE İNDİRİM MATRİSİ — GİB REHBERİ NİSAN 2026 | KV BEYAN REHBERİ MART 2026 (No:606)</t>
  </si>
  <si>
    <t>HIZLI BAŞVURU — Hangi istisnalar YİAKV matrahından düşülür/düşülemez?</t>
  </si>
  <si>
    <t>Sıra</t>
  </si>
  <si>
    <t>İstisna / İndirim (Kanun Maddesi)</t>
  </si>
  <si>
    <t>Genel KV</t>
  </si>
  <si>
    <t>YİAKV Matrahı</t>
  </si>
  <si>
    <t>İştirak Kazançları (KVK 5/1-a)</t>
  </si>
  <si>
    <t>Düşülür ✓</t>
  </si>
  <si>
    <t>301</t>
  </si>
  <si>
    <t>Emisyon Primi (KVK 5/1-ç)</t>
  </si>
  <si>
    <t>302</t>
  </si>
  <si>
    <t>Yat.Fon/Ort. — Taşınmaz HARİÇ (KVK 5/1-d)</t>
  </si>
  <si>
    <t>KOŞULLU ★ (1/1/2025+)
✓ %50 Dağıtım SAĞLANIYORSA:
  Taşınmaz Dışı → Düşülür
✗ Dağıtım SAĞLANAMIYORSA:
  TÜM KAZANÇ DÜŞÜLEMEZ
(7524 s.K. Md.32 | KV Beyan Reh. No:606)</t>
  </si>
  <si>
    <t>Risturn (KVK 5/1-i)</t>
  </si>
  <si>
    <t>309</t>
  </si>
  <si>
    <t>Sat-Kirala-Geri Al (KVK 5/1-j)</t>
  </si>
  <si>
    <t>310-312</t>
  </si>
  <si>
    <t>Varlık Kiralama/Sukuk (KVK 5/1-k)</t>
  </si>
  <si>
    <t>313-315</t>
  </si>
  <si>
    <t>TUGS Gemi Sicili (4490 s.K. Md.12)</t>
  </si>
  <si>
    <t>315</t>
  </si>
  <si>
    <t>Serbest Bölge Kazanç İstisnası (3218 s.K.)</t>
  </si>
  <si>
    <t>Teknokent Kazanç İstisnası (4691 s.K. Geçici Md.2)</t>
  </si>
  <si>
    <t>Ar-Ge ve Tasarım İndirimi (5746 s.K.; 6550 Geçici Md.1/c)</t>
  </si>
  <si>
    <t>İndirilir ✓</t>
  </si>
  <si>
    <t>283/284</t>
  </si>
  <si>
    <t>Girişim Sermayesi Fonu (KVK 10/1-g)</t>
  </si>
  <si>
    <t>285</t>
  </si>
  <si>
    <t>Engelliler Korumalı İşyeri (KVK 10/1-h)</t>
  </si>
  <si>
    <t>286</t>
  </si>
  <si>
    <t>— İZİN VERİLENLER (Üstte) — DÜŞÜLEMEYENLER (Altta) —</t>
  </si>
  <si>
    <t>Yurt Dışı İştirak/Şube/İnşaat Kaz. (KVK 5/1-b,c,g,h)</t>
  </si>
  <si>
    <t>DÜŞÜLEMEZ ✗</t>
  </si>
  <si>
    <t>GYO/Fon — Taşınmaz Gelirleri (KVK 5/1-d taşınmaz kısım)</t>
  </si>
  <si>
    <t>Taşınmaz/İştirak/Fon Satış Kazancı (KVK 5/1-e)</t>
  </si>
  <si>
    <t>Banka Borçlu Taşınmaz/İştirak Satışı (KVK 5/1-f)</t>
  </si>
  <si>
    <t>Eğitim/Öğretim Kazanç İstisnası (KVK 5/1-ı)</t>
  </si>
  <si>
    <t>Yabancı Fon Yönetici Şirketi (KVK 5/A) + Patent Box (KVK 5/B)</t>
  </si>
  <si>
    <t>KKM İstisnalar — Tüm Kodlar (KVK Geçici Md.14)
P1: 370/371/372/373/374 (Aktif) | P2: 375/376/377/378 (Pasif)
P3: 379/380/381/382 (Altın) | P4: 383/384/385</t>
  </si>
  <si>
    <t>370–385</t>
  </si>
  <si>
    <t>Ürün Senedi Kazancı (GVK Geçici Md.76 / 5300 s.K.)</t>
  </si>
  <si>
    <t>Araştırma Altyapıları Ar-Ge (6550 s.K. Geçici Md.1/a)</t>
  </si>
  <si>
    <t>Sponsorluk + Bağış/Yardımlar — Tümü (KVK 10/1-b,c,ç,d,e,f)</t>
  </si>
  <si>
    <t>Yurt Dışı Yazılım/Müh./Eğ./Sağ. İndirimi (KVK 10/1-ğ)</t>
  </si>
  <si>
    <t>Nakdi Sermaye Artışı Faiz İndirimi (KVK 10/1-ı)</t>
  </si>
  <si>
    <t>İstanbul Finans Merkezi İndirimi (KVK 10/1-i)</t>
  </si>
  <si>
    <t>Yatırım İndirimi + Teknogirişim/Teknokent Serm.Desteği</t>
  </si>
  <si>
    <t>Geçici</t>
  </si>
  <si>
    <t>ÇVÖA İstisnaları (Uluslararası Anlaşmalar)</t>
  </si>
  <si>
    <t>— ÖZEL: İNDİRİM ORANI KAYNAKLIYLAR (Asgari Vergiden Düşülür) —</t>
  </si>
  <si>
    <t>İhracat 5 Puan / Üretim 1 Puan / Halka Arz 2 Puan (KVK 32/6-7-8)</t>
  </si>
  <si>
    <t>Mat. indirim</t>
  </si>
  <si>
    <t>★ ASGARİ VERGİDEN DÜŞÜLÜR</t>
  </si>
  <si>
    <t>KVK 32</t>
  </si>
  <si>
    <t>02.08.2024 ÖNCESİ YTB — KVK 32/A Alınmayan Vergi</t>
  </si>
  <si>
    <t>KVK 32/A</t>
  </si>
  <si>
    <t>02.08.2024 SONRASI YTB — KVK 32/A Alınmayan Vergi</t>
  </si>
  <si>
    <t>✗ ASGARİ VERGİDEN DE DÜŞÜLEMEZ</t>
  </si>
  <si>
    <t xml:space="preserve">  ★ 5/1-d KOŞULLU DÜZENLEME (7524 s.K. Md.32 — 1/1/2025+): GYO/fon ve ortaklıklar taşınmaz gelirlerinin %50'sini dağıtmazsa hem taşınmaz hem taşınmaz dışı kazançlar için istisna yoktur. Bu durumda D.3 ve E.3 satırlarının ikisi de DÜŞÜLEMEZ olur. 5/1-d dağıtım şartı sağlandığında alınan kar payları 5/1-a istisnasına konu edilemez. (KV Beyan Rehberi Mart 2026 — Yayın No:606)</t>
  </si>
  <si>
    <t>YİAKV DENETÇİ NOTLARI VE YMM TASDİK STANDARDI | KVK Md.32/C</t>
  </si>
  <si>
    <t>GİB Rehberleri: Yayın No:607 (YİAKV Nis.2026) | No:606 (KV Beyan Mar.2026) | No:605 (KV Oran Mar.2026) | No:589 (%5 İndirim Şub.2026) | 7524 Sayılı Kanun</t>
  </si>
  <si>
    <t>Kod</t>
  </si>
  <si>
    <t>Konu</t>
  </si>
  <si>
    <t>Mesleki Değerlendirme / Tasdik Standardı</t>
  </si>
  <si>
    <t>Mevzuat / Kaynak</t>
  </si>
  <si>
    <t>N1</t>
  </si>
  <si>
    <t>YİAKV — Temel Kural, Formül ve Yürürlük</t>
  </si>
  <si>
    <t>YİAKV TEMEL KURALI (KVK Md.32/C — 7524 Sayılı Kanun Md.36):
Hesaplanan KV &lt; Ticari Bilanço Kârı + KKEG × %10 ise aradaki fark YİAKV olarak ödenir.
HESAPLAMA FORMÜLÜ:
① Ticari Bilanço Kârı/Zararı + KKEG = Kazanç Tabanı
② Kazanç Tabanı − İzin Verilen İstisna/İndirimler = Asgari Vergi Matrahı
③ Asgari Vergi Matrahı × %10 = Ham Asgari Vergi
④ Ham Asgari Vergi − İndirim Oranı Kaynaklı Alınmayan Vergiler = Nihai Asgari Vergi
⑤ MAX(Genel KV, Nihai Asgari Vergi) = Ödenecek KV
YÜRÜRLÜK: 2025 yılı I. Geçici Vergi döneminden itibaren.
MUAFİYETLER: KV muafları | İlk 3 hesap dönemi | Hasılat esaslı mükellefler.
Birleşme/devir/tür değiş./bölünme yoluyla kurulanlar muafiyet kapsamı dışı.</t>
  </si>
  <si>
    <t>KVK Md.32/C | 7524 s.K. Md.36 | GİB Rehberi Nisan 2026</t>
  </si>
  <si>
    <t>N2</t>
  </si>
  <si>
    <t>Matrahtan Düşülemeyen İstisnalar — En Sık Yapılan Hatalar</t>
  </si>
  <si>
    <t>YİAKV MATRAHINDA KALACAK (DÜŞÜLEMEZ) İSTİSNA VE İNDİRİMLER:
① KVK 5/1-e: Taşınmaz/İştirak/Fon Satış Kazancı (351-359)
② KVK 5/1-b,c,g,h: Yurt dışı iştirak/şube/inşaat kazançları
③ KVK 5/A: Yabancı fon yönetici şirketi (323) | KVK 5/B: Patent Box (324)
④ KVK Geçici Md.14 TÜM ON ALTI KOD — DÜŞÜLEMEZ:
   Paragraf 1 (Aktif): 370 Kur farkı değerleme | 371 Kur farkı tazminat |
   372 Dönem sonu faiz/kâr payı tahakkuku | 373 Vade sonu faiz/kâr payı |
   374 Vade sonu diğer kazançlar
   Paragraf 2 (Pasif/Borç): 375 Borç kur farkı | 376 Dönem sonu tahakkuk |
   377 Vade sonu faiz/kâr payı | 378 Vade sonu diğer kazançlar
   Paragraf 3 (Altın Hesabı): 379 Altın dönüşüm kazancı | 380 Dönem sonu tahakkuk |
   381 Vade sonu faiz/kâr payı | 382 Vade sonu diğer kazançlar
   Paragraf 4: 383 Dönem sonu tahakkuk | 384 Kâr payı ve faiz | 385 Vade sonu kazanç
⑤ GVK Geçici Md.76: Ürün senedi kazancı (349)
⑥ KVK 10/1-ı: Nakdi sermaye artışı faiz indirimi
⑦ KVK 10/1-b,c,ç,d,e,f: Tüm bağış ve sponsorluklar
⑧ Yatırım indirimi (devreden dahil)
⑨ ÇVÖA kapsamı istisnaları (386 — Beyanname ayrı satır)
YMM NOT: Bu istisnaları yanlışlıkla matrahtan düşmek YİAKV'nin EN SIK YAPILAN HATASIDIR.
★ KVK Geçici Md.14 için: Tüm 16 kod birden E.7 satırında — herhangi birini düşmek hata.
★ ÇVÖA istisnaları (386): YİAKV etkisi anlaşma/gelir türüne göre ayrıca analiz edilmeli.</t>
  </si>
  <si>
    <t>KVK Md.32/C | GİB Rehberi Bölüm 3.3</t>
  </si>
  <si>
    <t>N3</t>
  </si>
  <si>
    <t>GYZ, Enflasyon Düzeltmesi, TMS-VUK Farkları</t>
  </si>
  <si>
    <t>GEÇMİŞ YIL ZARARLARI (GYZ):
GYZ YİAKV matrahından düşülemez. GYZ sadece genel KV matrahını etkiler.
(Danıştay 3.D. E:2024/5700 doğrultusunda)
ENFLASYON DÜZELTMESİ:
VUK Mük.Md.298 / Geçici Md.33 uygulandığında düzeltilmiş değerler kullanılır.
TMS/TFRS ile VUK ARASINDA DEĞERLEME FARKLARI:
Bu farklar istisna/indirim niteliğinde değil — YİAKV kapsamı dışı (GİB Rehberi Md.3.2).
Özellikle: Örtülü sermaye kur farkı geliri, kıdem tazm. karşılık iptali,
GVK Mük.121 vergi indirimi hakkı gelir kaydı — YİAKV kapsamı dışı.
ÇVÖA İSTİSNALARI:
Türkiye'nin vergi alma hakkı olmadığı ÇVÖA kazançları YİAKV matrahına dahil edilmez.</t>
  </si>
  <si>
    <t>VUK Mük.Md.298 | GİB Rehberi Md.2.5, 3.2 | Danıştay 3.D.</t>
  </si>
  <si>
    <t>N4</t>
  </si>
  <si>
    <t>İndirim Oranı Kaynaklı Alınmayan Vergiler</t>
  </si>
  <si>
    <t>HAM ASGARİ VERGİDEN DÜŞÜLECEK TUTARLAR:
İHRACAT 5 PUAN:
İhracat matrahı = KV matrahı × (İhracat kazancı / Ticari bilanço kârı)
Alınmayan vergi = İhracat matrahı × %5
ÜRETİM 1 PUAN (Sanayi Sicil + Fiili Üretim):
Üretim matrahı = KV matrahı × (Üretim kazancı / Ticari bilanço kârı)
Alınmayan vergi = Üretim matrahı × %1
HALKA ARZ 2 PUAN (≥%20 BİST): Alınmayan vergi = İlgili matrah × %2
YTB — KVK 32/A:
02.08.2024 ÖNCESİ YTB → Alınmayan vergi asgari vergiden DÜŞÜLÜR
02.08.2024 SONRASI YTB → ASGARİ VERGİDEN DE DÜŞÜLEMEZ
Yatırım tutarında bu tarihten sonraki revize artışlar dahil edilmez.</t>
  </si>
  <si>
    <t>KVK 32/6-7-8 | KVK 32/A | GİB Rehberi Md.2.6-2.7</t>
  </si>
  <si>
    <t>N5</t>
  </si>
  <si>
    <t>YMM Tasdik Dil Standardı</t>
  </si>
  <si>
    <t>YİAKV YOK — KULLANIN:
'...KVK Md.32/C kapsamında yapılan hesaplamada [mükellef]'in [dönem] dönemine
  ait ticari bilanço kârına KKEG eklenmesiyle bulunan [X] TL üzerinden %10 oranında
  hesaplanan [Y] TL nihai asgari kurumlar vergisi, genel hükümlere göre hesaplanan
  [Z] TL kurumlar vergisinin altında kaldığından, yurt içi asgari kurumlar vergisi
  nedeniyle ilave vergi yükü doğmamıştır.'
YİAKV DEVREYE GİRDİ — KULLANIN:
'...hesaplanan [Z] TL kurumlar vergisi, nihai asgari vergi baraji [Y] TL'nin altında
  kaldığından; aradaki [Y-Z] TL fark tutar yurt içi asgari kurumlar vergisi olarak
  tahakkuk ettirilmiştir.'
KULLANMAYIN:
'...GYZ asgari vergiden düşülmüştür...' | '...5/1-e istisnası matrahtan indirilmiştir...'
'...yeni YTB alınmayan vergi mahsup edilmiştir...' (02.08.2024+ YTB düşülemez)</t>
  </si>
  <si>
    <t>49 No.lu Tebliğ | KVK Md.32/C | SM-SMMM-YMM K. Md.12</t>
  </si>
  <si>
    <t>N6</t>
  </si>
  <si>
    <t>★ GYO/Fon 5/1-d Dağıtım Şartı + 5/1-a Bağlantısı + %5 İndirim Limiti + YİD/KÖİ Oranı</t>
  </si>
  <si>
    <t>★ 5/1-d DAĞITIM ŞARTI (7524 s.K. Md.32 — 1/1/2025 tarihinden itibaren):
GYO/GKO/fon ve ortaklıklar (emeklilik fonları HARİÇ) istisna kazançlarından yararlanabilmek
için taşınmaz gelirlerinin en az %50'sini, elde edildiği KV beyan ayını izleyen 2. ayın
sonuna kadar kar payı olarak DAĞITMAK ZORUNDADIR.
SONUÇLAR:
✓ Dağıtım şartı SAĞLANIYORSA: Taşınmaz dışı kazançlar (D.3) YİAKV matrahından düşülür.
✗ Dağıtım şartı SAĞLANAMIYORSA: Hem taşınmaz HEM taşınmaz dışı kazançların tamamı için
   istisna KALKAR → YİAKV matrahından HİÇBİR TUTAR düşülemez.
★ 5/1-a İŞTİRAK KAZANCI VE 5/1-d BAĞLANTISI (KV Beyan Rehberi 2026 — Yayın No:606):
• 5/1-d %50 dağıtım şartını SAĞLAYAN fon/ort.'dan alınan kâr payı
   → 5/1-a (İştirak Kazançları) istisnasına KONU EDİLEMEZ (D.1).
• 5/1-d dağıtım şartını SAĞLAYAMAYAN fon/ort.'dan alınan kâr payı
   → 5/1-a kapsamında istisna uygulanabilir.
★ %5 VERGİ İNDİRİMİ ÜST LİMİTİ (Yayın No:589 — Şubat 2026):
1/1/2026'dan itibaren verilecek KV beyannamelerinde hesaplanan %5 indirim tutarı
12.000.000 TL'yi aşamaz (332 Seri No.lu GV GT). Dar mükellefler de yararlanabilir.
★ YAP-İŞLET-DEVRET / KAMU-ÖZEL İŞBİRLİĞİ ŞİRKETLERİ (Yayın No:605):
3996 s.K. (YİD) ve 6428 s.K. (KÖİ) kapsamındaki şirketler 2025 yılı ve izleyen
dönemlerde %30 KV oranına tabidir. Bu mükelleflerin dosyalarında oran %30 girilmeli.</t>
  </si>
  <si>
    <t>7524 s.K. Md.32 | KVK Md.5/1-a, 5/1-d
KV Beyan Rehberi Mart 2026 (No:606)
KV Oran Rehberi Mart 2026 (No:605)
%5 Vergi İndirimi Reh. Şubat 2026 (No:589)
332 Seri No.lu GV Genel Tebliği</t>
  </si>
  <si>
    <t xml:space="preserve">  49 No.lu Tebliğ: &gt;=500.000 TL → YMM raporu. Tam tasdik → ayrıca rapor yok. YİAKV 2025 ve sonrası tüm KV tasdiklerinde DENETİM ODAĞI haline gelmiştir. Bu çalışma kâğıdı her KV tasdik dosyasında bulunmalıdır. YMM müteselsil sorumluluk: SM-SMMM-YMM K. Md.12.</t>
  </si>
  <si>
    <t>YİAKV TASDİK DOSYASI BELGE LİSTESİ | KVK Md.32/C | GİB REHBERİ NİSAN 2026</t>
  </si>
  <si>
    <t>KATEGORİ 1 — ZORUNLU ANA BELGELER</t>
  </si>
  <si>
    <t>Belge / Bilgi</t>
  </si>
  <si>
    <t>Açıklama / YMM Kontrol</t>
  </si>
  <si>
    <t>Temin Yeri</t>
  </si>
  <si>
    <t>1</t>
  </si>
  <si>
    <t>★ Kurumlar Vergisi Beyannamesi (e-Beyanname çıktısı)</t>
  </si>
  <si>
    <t>Hesaplanan KV, matrah ve istisna satırları — YİAKV hesaplamasıyla uyum.</t>
  </si>
  <si>
    <t>GİB e-Beyanname sistemi</t>
  </si>
  <si>
    <t>2</t>
  </si>
  <si>
    <t>★ Kesinleşmiş Mizan ve Bilanço (Enflasyon Düzeltmeli — Uygulanıyorsa)</t>
  </si>
  <si>
    <t>Ticari bilanço kârı/zararının kaynağı. Düzeltme uygulandıysa düzeltilmiş bilanço zorunlu.</t>
  </si>
  <si>
    <t>Muhasebe programı</t>
  </si>
  <si>
    <t>3</t>
  </si>
  <si>
    <t>★ KKEG Dökümü (Kanunen Kabul Edilmeyen Giderler Listesi)</t>
  </si>
  <si>
    <t>BSMV, gecikme faizi, özel gider, tüm KKEG kalemleri — eksiksiz liste.</t>
  </si>
  <si>
    <t>Muhasebe ekstresi — 689/770</t>
  </si>
  <si>
    <t>4</t>
  </si>
  <si>
    <t>★ YİAKV Hesaplama Tablosu (Bu Çalışma Kâğıdı — YİAKV HESAPLAMA Sayfası)</t>
  </si>
  <si>
    <t>GİB Rehberi Nisan 2026 formülüne uygun tam hesaplama. Her satır için referans belirtilmeli.</t>
  </si>
  <si>
    <t>Bu dosya — YİAKV HESAPLAMA</t>
  </si>
  <si>
    <t>5</t>
  </si>
  <si>
    <t>★ İstisna/İndirim Ayrıştırma Analizi (Bu Dosya — İSTİSNA &amp; İNDİRİM MATRİSİ)</t>
  </si>
  <si>
    <t>Hangi istisnaların YİAKV matrahından düşüldüğü — kalem kalem teyit.</t>
  </si>
  <si>
    <t>Bu dosya — Matris Sayfası</t>
  </si>
  <si>
    <t>KATEGORİ 2 — MUAFİYET VE ÖZEL DURUM BELGELERİ</t>
  </si>
  <si>
    <t>6</t>
  </si>
  <si>
    <t>Kuruluş Belgesi / Ticaret Sicil Gazetesi (Yeni Şirket Muafiyet Kontrolü)</t>
  </si>
  <si>
    <t>3 hesap dönemi muafiyeti. Birleşme/devir/bölünme ile kurulma kontrolü.</t>
  </si>
  <si>
    <t>Ticaret Sicil Gazetesi</t>
  </si>
  <si>
    <t>7</t>
  </si>
  <si>
    <t>Yatırım Teşvik Belgesi (YTB) + 02.08.2024 Tarih Analizi</t>
  </si>
  <si>
    <t>Eski YTB → Asgari vergiden düşülür. Yeni YTB → Düşülemez. Revize geçmişi incelenmeli.</t>
  </si>
  <si>
    <t>Sanayi ve Teknoloji Bakanlığı</t>
  </si>
  <si>
    <t>8</t>
  </si>
  <si>
    <t>Sanayi Sicil Belgesi + Fiili Üretim Kanıtı (1 Puan İçin)</t>
  </si>
  <si>
    <t>Aktif sanayi sicil belgesi + fiili üretim belgesi.</t>
  </si>
  <si>
    <t>Sanayi Sicil Belgesi — güncel</t>
  </si>
  <si>
    <t>9</t>
  </si>
  <si>
    <t>Ar-Ge/Tasarım Merkezi Belgesi + Dönem Harcama Listesi</t>
  </si>
  <si>
    <t>Sanayi Bakanlığı onaylı merkez belgesi. Harcama listesi D.10 ile uyumlu.</t>
  </si>
  <si>
    <t>Ar-Ge/Tasarım Merkezi Belgesi</t>
  </si>
  <si>
    <t>10</t>
  </si>
  <si>
    <t>TGB Kiracı Belgesi / SB Faaliyet Lisansı (Teknokent / SB İstisnası İçin)</t>
  </si>
  <si>
    <t>TGB kiracı teyidi (4691) veya SB faaliyet lisansı (3218).</t>
  </si>
  <si>
    <t>TGB Yönetici / SB Bölge Müd.</t>
  </si>
  <si>
    <t>KATEGORİ 3 — YMM TASDİK KONTROL SORULARI</t>
  </si>
  <si>
    <t>Beklenen Sonuç</t>
  </si>
  <si>
    <t>YMM Aksiyonu</t>
  </si>
  <si>
    <t>S1</t>
  </si>
  <si>
    <t>★ Mükellef YİAKV kapsamında mı? 3 muafiyet hali kontrol edildi mi?</t>
  </si>
  <si>
    <t>KV muaf | Yeni şirket | Hasılat esaslı.</t>
  </si>
  <si>
    <t>YMM kontrolü</t>
  </si>
  <si>
    <t>S2</t>
  </si>
  <si>
    <t>★ Matrahtan düşülemeyen istisnalar matrahta bırakıldı mı?</t>
  </si>
  <si>
    <t>5/1-e, KKM, Ürün Senedi, Patent Box vb.</t>
  </si>
  <si>
    <t>S3</t>
  </si>
  <si>
    <t>★ GYZ asgari vergi matrahından düşülmedi mi?</t>
  </si>
  <si>
    <t>GYZ sadece genel KV matrahını etkiler.</t>
  </si>
  <si>
    <t>S4</t>
  </si>
  <si>
    <t>Enflasyon düzeltmesi uygulandıysa düzeltilmiş değerler kullanıldı mı?</t>
  </si>
  <si>
    <t>VUK Mük.Md.298/Geçici Md.33.</t>
  </si>
  <si>
    <t>S5</t>
  </si>
  <si>
    <t>GYO/Fon taşınmaz gelir ayrıştırması yapıldı mı? (5/1-d)</t>
  </si>
  <si>
    <t>S6</t>
  </si>
  <si>
    <t>TMS-VUK değerleme farkları vb. kapsam dışı tutarlar temizlendi mi?</t>
  </si>
  <si>
    <t>S7</t>
  </si>
  <si>
    <t>S8</t>
  </si>
  <si>
    <t>S9</t>
  </si>
  <si>
    <t>S10</t>
  </si>
  <si>
    <t>SON NOT: GİB Rehberi Nisan 2026 (Yayın No:607) esas alınarak hazırlanmıştır. YİAKV, 2025 yılı I. Geçici Vergi döneminden itibaren uygulanmaktadır. Temel kural: Ödenecek KV = MAX(Genel KV, Nihai Asgari Vergi). Kritik hatalar: GYZ'yi matrahtan düşmek | 5/1-e ve KKM istisnasını yanlış sınıflandırmak | Yeni YTB alınmayan vergiyi asgari vergiden düşmek. Bu çalışma kâğıdı her KV tasdik dosyasında yer almalıdır. YMM müteselsil sorumluluk: SM-SMMM-YMM Kanunu Md.12.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</si>
</sst>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  <charset val="162"/>
    </font>
    <font>
      <sz val="9"/>
      <color rgb="FF1F3864"/>
      <name val="Arial"/>
      <family val="2"/>
      <charset val="162"/>
    </font>
    <font>
      <b/>
      <sz val="9"/>
      <color rgb="FF1F3864"/>
      <name val="Arial"/>
      <family val="2"/>
      <charset val="162"/>
    </font>
    <font>
      <i/>
      <sz val="8"/>
      <color rgb="FF888888"/>
      <name val="Arial"/>
      <family val="2"/>
      <charset val="162"/>
    </font>
    <font>
      <sz val="9"/>
      <color rgb="FFC0392B"/>
      <name val="Arial"/>
      <family val="2"/>
      <charset val="162"/>
    </font>
    <font>
      <b/>
      <sz val="9"/>
      <color rgb="FFFFFFFF"/>
      <name val="Arial"/>
      <family val="2"/>
      <charset val="162"/>
    </font>
    <font>
      <b/>
      <sz val="9"/>
      <color rgb="FFC0392B"/>
      <name val="Arial"/>
      <family val="2"/>
      <charset val="162"/>
    </font>
    <font>
      <b/>
      <sz val="10"/>
      <color rgb="FF0000FF"/>
      <name val="Arial"/>
      <family val="2"/>
      <charset val="162"/>
    </font>
    <font>
      <i/>
      <sz val="8"/>
      <color rgb="FFC0392B"/>
      <name val="Arial"/>
      <family val="2"/>
      <charset val="162"/>
    </font>
    <font>
      <i/>
      <sz val="8"/>
      <color rgb="FF555555"/>
      <name val="Arial"/>
      <family val="2"/>
      <charset val="162"/>
    </font>
    <font>
      <b/>
      <sz val="10"/>
      <color rgb="FF1B5E20"/>
      <name val="Arial"/>
      <family val="2"/>
      <charset val="162"/>
    </font>
    <font>
      <i/>
      <sz val="8"/>
      <color rgb="FF1B5E20"/>
      <name val="Arial"/>
      <family val="2"/>
      <charset val="162"/>
    </font>
    <font>
      <b/>
      <sz val="9"/>
      <color rgb="FF7B5E00"/>
      <name val="Arial"/>
      <family val="2"/>
      <charset val="162"/>
    </font>
    <font>
      <b/>
      <sz val="12"/>
      <color rgb="FF7B5E00"/>
      <name val="Arial"/>
      <family val="2"/>
      <charset val="162"/>
    </font>
    <font>
      <b/>
      <i/>
      <sz val="8"/>
      <color rgb="FFC0392B"/>
      <name val="Arial"/>
      <family val="2"/>
      <charset val="162"/>
    </font>
    <font>
      <sz val="9"/>
      <color rgb="FF1B5E20"/>
      <name val="Arial"/>
      <family val="2"/>
      <charset val="162"/>
    </font>
    <font>
      <b/>
      <sz val="9"/>
      <color rgb="FF1B5E20"/>
      <name val="Arial"/>
      <family val="2"/>
      <charset val="162"/>
    </font>
    <font>
      <i/>
      <sz val="8"/>
      <color rgb="FF444444"/>
      <name val="Arial"/>
      <family val="2"/>
      <charset val="162"/>
    </font>
    <font>
      <b/>
      <sz val="12"/>
      <color rgb="FF1B5E20"/>
      <name val="Arial"/>
      <family val="2"/>
      <charset val="162"/>
    </font>
    <font>
      <b/>
      <sz val="8"/>
      <color rgb="FFC0392B"/>
      <name val="Arial"/>
      <family val="2"/>
      <charset val="162"/>
    </font>
    <font>
      <sz val="9"/>
      <color rgb="FFE65100"/>
      <name val="Arial"/>
      <family val="2"/>
      <charset val="162"/>
    </font>
    <font>
      <b/>
      <sz val="9"/>
      <color rgb="FFE65100"/>
      <name val="Arial"/>
      <family val="2"/>
      <charset val="162"/>
    </font>
    <font>
      <b/>
      <sz val="10"/>
      <color rgb="FF7B5E00"/>
      <name val="Arial"/>
      <family val="2"/>
      <charset val="162"/>
    </font>
    <font>
      <b/>
      <sz val="11"/>
      <color rgb="FFFFFFFF"/>
      <name val="Arial"/>
      <family val="2"/>
      <charset val="162"/>
    </font>
    <font>
      <b/>
      <sz val="10"/>
      <color rgb="FF1F3864"/>
      <name val="Arial"/>
      <family val="2"/>
      <charset val="162"/>
    </font>
    <font>
      <sz val="9"/>
      <color rgb="FF7B5E00"/>
      <name val="Arial"/>
      <family val="2"/>
      <charset val="162"/>
    </font>
    <font>
      <b/>
      <sz val="10"/>
      <color rgb="FFC0392B"/>
      <name val="Arial"/>
      <family val="2"/>
      <charset val="162"/>
    </font>
    <font>
      <b/>
      <sz val="9"/>
      <color rgb="FF006064"/>
      <name val="Arial"/>
      <family val="2"/>
      <charset val="162"/>
    </font>
    <font>
      <b/>
      <sz val="11"/>
      <color rgb="FF006064"/>
      <name val="Arial"/>
      <family val="2"/>
      <charset val="162"/>
    </font>
    <font>
      <b/>
      <sz val="10"/>
      <color rgb="FFE65100"/>
      <name val="Arial"/>
      <family val="2"/>
      <charset val="162"/>
    </font>
    <font>
      <b/>
      <sz val="13"/>
      <color rgb="FF1B5E20"/>
      <name val="Arial"/>
      <family val="2"/>
      <charset val="162"/>
    </font>
    <font>
      <b/>
      <sz val="11"/>
      <color rgb="FF004D6D"/>
      <name val="Arial"/>
      <family val="2"/>
      <charset val="162"/>
    </font>
    <font>
      <b/>
      <sz val="14"/>
      <color rgb="FFFFFFFF"/>
      <name val="Arial"/>
      <family val="2"/>
      <charset val="162"/>
    </font>
    <font>
      <b/>
      <sz val="14"/>
      <color rgb="FF1B5E20"/>
      <name val="Arial"/>
      <family val="2"/>
      <charset val="162"/>
    </font>
    <font>
      <b/>
      <sz val="13"/>
      <color rgb="FFFFFFFF"/>
      <name val="Arial"/>
      <family val="2"/>
      <charset val="162"/>
    </font>
    <font>
      <b/>
      <sz val="14"/>
      <color rgb="FFC0392B"/>
      <name val="Arial"/>
      <family val="2"/>
      <charset val="162"/>
    </font>
    <font>
      <sz val="8"/>
      <color rgb="FF333333"/>
      <name val="Arial"/>
      <family val="2"/>
      <charset val="162"/>
    </font>
    <font>
      <b/>
      <sz val="8"/>
      <color rgb="FF1B5E20"/>
      <name val="Arial"/>
      <family val="2"/>
      <charset val="162"/>
    </font>
    <font>
      <b/>
      <sz val="8"/>
      <color rgb="FFE65100"/>
      <name val="Arial"/>
      <family val="2"/>
      <charset val="162"/>
    </font>
    <font>
      <b/>
      <sz val="9"/>
      <color rgb="FFB71C1C"/>
      <name val="Arial"/>
      <family val="2"/>
      <charset val="162"/>
    </font>
    <font>
      <i/>
      <sz val="8"/>
      <color rgb="FFB71C1C"/>
      <name val="Arial"/>
      <family val="2"/>
      <charset val="162"/>
    </font>
    <font>
      <b/>
      <sz val="9"/>
      <color rgb="FFFFFFFF"/>
      <name val="Arial"/>
      <family val="2"/>
      <charset val="162"/>
    </font>
    <font>
      <b/>
      <sz val="9"/>
      <color rgb="FFB71C1C"/>
      <name val="Arial"/>
      <family val="2"/>
      <charset val="162"/>
    </font>
    <font>
      <sz val="8"/>
      <color rgb="FF333333"/>
      <name val="Arial"/>
      <family val="2"/>
      <charset val="162"/>
    </font>
    <font>
      <i/>
      <sz val="8"/>
      <color rgb="FF444444"/>
      <name val="Arial"/>
      <family val="2"/>
      <charset val="162"/>
    </font>
    <font>
      <i/>
      <sz val="8"/>
      <color rgb="FFB71C1C"/>
      <name val="Arial"/>
      <family val="2"/>
      <charset val="162"/>
    </font>
    <font>
      <b/>
      <sz val="8"/>
      <color rgb="FFB71C1C"/>
      <name val="Arial"/>
      <family val="2"/>
      <charset val="162"/>
    </font>
    <font>
      <b/>
      <sz val="8"/>
      <color rgb="FF7B0A2A"/>
      <name val="Arial"/>
      <family val="2"/>
      <charset val="162"/>
    </font>
  </fonts>
  <fills count="35">
    <fill>
      <patternFill patternType="none"/>
    </fill>
    <fill>
      <patternFill patternType="gray125"/>
    </fill>
    <fill>
      <patternFill patternType="solid">
        <fgColor rgb="FF0D3B5E"/>
      </patternFill>
    </fill>
    <fill>
      <patternFill patternType="solid">
        <fgColor rgb="FF2C3E50"/>
      </patternFill>
    </fill>
    <fill>
      <patternFill patternType="solid">
        <fgColor rgb="FFEEF4FF"/>
      </patternFill>
    </fill>
    <fill>
      <patternFill patternType="solid">
        <fgColor rgb="FFEBEBEB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C0392B"/>
      </patternFill>
    </fill>
    <fill>
      <patternFill patternType="solid">
        <fgColor rgb="FFFCE4D6"/>
      </patternFill>
    </fill>
    <fill>
      <patternFill patternType="solid">
        <fgColor rgb="FF1565C0"/>
      </patternFill>
    </fill>
    <fill>
      <patternFill patternType="solid">
        <fgColor rgb="FFC6EFCE"/>
      </patternFill>
    </fill>
    <fill>
      <patternFill patternType="solid">
        <fgColor rgb="FFFFF9C4"/>
      </patternFill>
    </fill>
    <fill>
      <patternFill patternType="solid">
        <fgColor rgb="FF1B5E20"/>
      </patternFill>
    </fill>
    <fill>
      <patternFill patternType="solid">
        <fgColor rgb="FFE8F5E9"/>
      </patternFill>
    </fill>
    <fill>
      <patternFill patternType="solid">
        <fgColor rgb="FFEBF5EB"/>
      </patternFill>
    </fill>
    <fill>
      <patternFill patternType="solid">
        <fgColor rgb="FFB71C1C"/>
      </patternFill>
    </fill>
    <fill>
      <patternFill patternType="solid">
        <fgColor rgb="FFFFEBEE"/>
      </patternFill>
    </fill>
    <fill>
      <patternFill patternType="solid">
        <fgColor rgb="FFFFE0E0"/>
      </patternFill>
    </fill>
    <fill>
      <patternFill patternType="solid">
        <fgColor rgb="FFFFCDD2"/>
      </patternFill>
    </fill>
    <fill>
      <patternFill patternType="solid">
        <fgColor rgb="FFE65100"/>
      </patternFill>
    </fill>
    <fill>
      <patternFill patternType="solid">
        <fgColor rgb="FFFFF3E0"/>
      </patternFill>
    </fill>
    <fill>
      <patternFill patternType="solid">
        <fgColor rgb="FFE0F7FA"/>
      </patternFill>
    </fill>
    <fill>
      <patternFill patternType="solid">
        <fgColor rgb="FFFFF8E1"/>
      </patternFill>
    </fill>
    <fill>
      <patternFill patternType="solid">
        <fgColor rgb="FF004D6D"/>
      </patternFill>
    </fill>
    <fill>
      <patternFill patternType="solid">
        <fgColor rgb="FFFFF5F5"/>
      </patternFill>
    </fill>
    <fill>
      <patternFill patternType="solid">
        <fgColor rgb="FFF1F8E9"/>
      </patternFill>
    </fill>
    <fill>
      <patternFill patternType="solid">
        <fgColor rgb="FFFFE0B2"/>
      </patternFill>
    </fill>
    <fill>
      <patternFill patternType="solid">
        <fgColor rgb="FFF7F7F7"/>
      </patternFill>
    </fill>
    <fill>
      <patternFill patternType="solid">
        <fgColor rgb="FFE3F2FD"/>
      </patternFill>
    </fill>
    <fill>
      <patternFill patternType="solid">
        <fgColor rgb="FFFFF9C4"/>
        <bgColor indexed="64"/>
      </patternFill>
    </fill>
    <fill>
      <patternFill patternType="solid">
        <fgColor rgb="FF7B0A2A"/>
      </patternFill>
    </fill>
    <fill>
      <patternFill patternType="solid">
        <fgColor rgb="FFFCE4D6"/>
      </patternFill>
    </fill>
    <fill>
      <patternFill patternType="solid">
        <fgColor rgb="FFFFF5F5"/>
      </patternFill>
    </fill>
    <fill>
      <patternFill patternType="solid">
        <fgColor rgb="FFFFF3E0"/>
      </patternFill>
    </fill>
  </fills>
  <borders count="1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009900"/>
      </left>
      <right style="thin">
        <color rgb="FF009900"/>
      </right>
      <top style="thin">
        <color rgb="FF009900"/>
      </top>
      <bottom style="thin">
        <color rgb="FF009900"/>
      </bottom>
      <diagonal/>
    </border>
    <border>
      <left style="thin">
        <color rgb="FFC0392B"/>
      </left>
      <right style="thin">
        <color rgb="FFC0392B"/>
      </right>
      <top style="thin">
        <color rgb="FFC0392B"/>
      </top>
      <bottom style="thin">
        <color rgb="FFC0392B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888888"/>
      </top>
      <bottom style="thin">
        <color rgb="FF888888"/>
      </bottom>
      <diagonal/>
    </border>
    <border>
      <left/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85">
    <xf numFmtId="0" fontId="0" fillId="0" borderId="0" xfId="0"/>
    <xf numFmtId="0" fontId="2" fillId="4" borderId="1" xfId="0" applyFont="1" applyFill="1" applyBorder="1" applyAlignment="1">
      <alignment horizontal="left" vertical="center" wrapText="1"/>
    </xf>
    <xf numFmtId="0" fontId="0" fillId="4" borderId="1" xfId="0" applyFill="1" applyBorder="1"/>
    <xf numFmtId="0" fontId="0" fillId="5" borderId="1" xfId="0" applyFill="1" applyBorder="1"/>
    <xf numFmtId="0" fontId="4" fillId="4" borderId="1" xfId="0" applyFont="1" applyFill="1" applyBorder="1" applyAlignment="1">
      <alignment horizontal="left" vertical="center" wrapText="1"/>
    </xf>
    <xf numFmtId="0" fontId="0" fillId="7" borderId="1" xfId="0" applyFill="1" applyBorder="1"/>
    <xf numFmtId="0" fontId="4" fillId="7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6" fillId="10" borderId="2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0" fillId="11" borderId="1" xfId="0" applyFill="1" applyBorder="1"/>
    <xf numFmtId="0" fontId="11" fillId="11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/>
    </xf>
    <xf numFmtId="0" fontId="9" fillId="7" borderId="1" xfId="0" applyFont="1" applyFill="1" applyBorder="1" applyAlignment="1">
      <alignment horizontal="left" vertical="center" wrapText="1"/>
    </xf>
    <xf numFmtId="0" fontId="0" fillId="12" borderId="1" xfId="0" applyFill="1" applyBorder="1"/>
    <xf numFmtId="0" fontId="14" fillId="12" borderId="1" xfId="0" applyFont="1" applyFill="1" applyBorder="1" applyAlignment="1">
      <alignment horizontal="center" vertical="center"/>
    </xf>
    <xf numFmtId="0" fontId="0" fillId="15" borderId="1" xfId="0" applyFill="1" applyBorder="1"/>
    <xf numFmtId="0" fontId="18" fillId="15" borderId="1" xfId="0" applyFont="1" applyFill="1" applyBorder="1" applyAlignment="1">
      <alignment horizontal="left" vertical="center" wrapText="1"/>
    </xf>
    <xf numFmtId="0" fontId="12" fillId="15" borderId="1" xfId="0" applyFont="1" applyFill="1" applyBorder="1" applyAlignment="1">
      <alignment horizontal="left" vertical="center" wrapText="1"/>
    </xf>
    <xf numFmtId="0" fontId="17" fillId="11" borderId="1" xfId="0" applyFont="1" applyFill="1" applyBorder="1" applyAlignment="1">
      <alignment horizontal="left" vertical="center" wrapText="1"/>
    </xf>
    <xf numFmtId="0" fontId="18" fillId="11" borderId="1" xfId="0" applyFont="1" applyFill="1" applyBorder="1" applyAlignment="1">
      <alignment horizontal="left" vertical="center" wrapText="1"/>
    </xf>
    <xf numFmtId="0" fontId="19" fillId="11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left" vertical="center" wrapText="1"/>
    </xf>
    <xf numFmtId="0" fontId="0" fillId="17" borderId="1" xfId="0" applyFill="1" applyBorder="1"/>
    <xf numFmtId="0" fontId="0" fillId="18" borderId="1" xfId="0" applyFill="1" applyBorder="1" applyAlignment="1">
      <alignment horizontal="center" vertical="center"/>
    </xf>
    <xf numFmtId="0" fontId="20" fillId="17" borderId="1" xfId="0" applyFont="1" applyFill="1" applyBorder="1" applyAlignment="1">
      <alignment horizontal="center" vertical="center"/>
    </xf>
    <xf numFmtId="0" fontId="18" fillId="17" borderId="1" xfId="0" applyFont="1" applyFill="1" applyBorder="1" applyAlignment="1">
      <alignment horizontal="center" vertical="center"/>
    </xf>
    <xf numFmtId="0" fontId="0" fillId="19" borderId="1" xfId="0" applyFill="1" applyBorder="1"/>
    <xf numFmtId="0" fontId="20" fillId="19" borderId="1" xfId="0" applyFont="1" applyFill="1" applyBorder="1" applyAlignment="1">
      <alignment horizontal="center" vertical="center"/>
    </xf>
    <xf numFmtId="0" fontId="18" fillId="19" borderId="1" xfId="0" applyFont="1" applyFill="1" applyBorder="1" applyAlignment="1">
      <alignment horizontal="center" vertical="center"/>
    </xf>
    <xf numFmtId="0" fontId="21" fillId="21" borderId="1" xfId="0" applyFont="1" applyFill="1" applyBorder="1" applyAlignment="1">
      <alignment horizontal="left" vertical="center" wrapText="1"/>
    </xf>
    <xf numFmtId="0" fontId="23" fillId="12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left" vertical="center" wrapText="1"/>
    </xf>
    <xf numFmtId="0" fontId="26" fillId="12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left" vertical="center" wrapText="1"/>
    </xf>
    <xf numFmtId="0" fontId="10" fillId="12" borderId="1" xfId="0" applyFont="1" applyFill="1" applyBorder="1" applyAlignment="1">
      <alignment horizontal="left" vertical="center" wrapText="1"/>
    </xf>
    <xf numFmtId="0" fontId="6" fillId="13" borderId="1" xfId="0" applyFont="1" applyFill="1" applyBorder="1" applyAlignment="1">
      <alignment horizontal="center" vertical="center"/>
    </xf>
    <xf numFmtId="0" fontId="16" fillId="15" borderId="1" xfId="0" applyFont="1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27" fillId="15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/>
    </xf>
    <xf numFmtId="0" fontId="28" fillId="22" borderId="1" xfId="0" applyFont="1" applyFill="1" applyBorder="1" applyAlignment="1">
      <alignment horizontal="left" vertical="center" wrapText="1"/>
    </xf>
    <xf numFmtId="0" fontId="4" fillId="22" borderId="1" xfId="0" applyFont="1" applyFill="1" applyBorder="1" applyAlignment="1">
      <alignment horizontal="center" vertical="center" wrapText="1"/>
    </xf>
    <xf numFmtId="0" fontId="29" fillId="11" borderId="3" xfId="0" applyFont="1" applyFill="1" applyBorder="1" applyAlignment="1">
      <alignment horizontal="center" vertical="center"/>
    </xf>
    <xf numFmtId="0" fontId="11" fillId="22" borderId="1" xfId="0" applyFont="1" applyFill="1" applyBorder="1" applyAlignment="1">
      <alignment horizontal="center" vertical="center"/>
    </xf>
    <xf numFmtId="0" fontId="18" fillId="22" borderId="1" xfId="0" applyFont="1" applyFill="1" applyBorder="1" applyAlignment="1">
      <alignment horizontal="left" vertical="center" wrapText="1"/>
    </xf>
    <xf numFmtId="0" fontId="10" fillId="22" borderId="1" xfId="0" applyFont="1" applyFill="1" applyBorder="1" applyAlignment="1">
      <alignment horizontal="left" vertical="center" wrapText="1"/>
    </xf>
    <xf numFmtId="0" fontId="27" fillId="12" borderId="1" xfId="0" applyFont="1" applyFill="1" applyBorder="1" applyAlignment="1">
      <alignment horizontal="center" vertical="center"/>
    </xf>
    <xf numFmtId="0" fontId="6" fillId="20" borderId="1" xfId="0" applyFont="1" applyFill="1" applyBorder="1" applyAlignment="1">
      <alignment horizontal="center" vertical="center"/>
    </xf>
    <xf numFmtId="0" fontId="21" fillId="23" borderId="1" xfId="0" applyFont="1" applyFill="1" applyBorder="1" applyAlignment="1">
      <alignment horizontal="left" vertical="center" wrapText="1"/>
    </xf>
    <xf numFmtId="0" fontId="4" fillId="23" borderId="1" xfId="0" applyFont="1" applyFill="1" applyBorder="1" applyAlignment="1">
      <alignment horizontal="center" vertical="center" wrapText="1"/>
    </xf>
    <xf numFmtId="0" fontId="30" fillId="4" borderId="1" xfId="0" applyFont="1" applyFill="1" applyBorder="1" applyAlignment="1">
      <alignment horizontal="center" vertical="center"/>
    </xf>
    <xf numFmtId="0" fontId="27" fillId="23" borderId="1" xfId="0" applyFont="1" applyFill="1" applyBorder="1" applyAlignment="1">
      <alignment horizontal="center" vertical="center"/>
    </xf>
    <xf numFmtId="0" fontId="18" fillId="23" borderId="1" xfId="0" applyFont="1" applyFill="1" applyBorder="1" applyAlignment="1">
      <alignment horizontal="left" vertical="center" wrapText="1"/>
    </xf>
    <xf numFmtId="0" fontId="10" fillId="23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31" fillId="11" borderId="3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left" vertical="center" wrapText="1"/>
    </xf>
    <xf numFmtId="0" fontId="24" fillId="24" borderId="1" xfId="0" applyFont="1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2" borderId="1" xfId="0" applyFont="1" applyFill="1" applyBorder="1" applyAlignment="1">
      <alignment horizontal="center" vertical="center"/>
    </xf>
    <xf numFmtId="0" fontId="34" fillId="11" borderId="3" xfId="0" applyFont="1" applyFill="1" applyBorder="1" applyAlignment="1">
      <alignment horizontal="center" vertical="center"/>
    </xf>
    <xf numFmtId="0" fontId="35" fillId="16" borderId="1" xfId="0" applyFont="1" applyFill="1" applyBorder="1" applyAlignment="1">
      <alignment horizontal="center" vertical="center"/>
    </xf>
    <xf numFmtId="0" fontId="36" fillId="9" borderId="4" xfId="0" applyFont="1" applyFill="1" applyBorder="1" applyAlignment="1">
      <alignment horizontal="center" vertical="center"/>
    </xf>
    <xf numFmtId="0" fontId="19" fillId="11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top"/>
    </xf>
    <xf numFmtId="0" fontId="37" fillId="25" borderId="1" xfId="0" applyFont="1" applyFill="1" applyBorder="1" applyAlignment="1">
      <alignment horizontal="left" vertical="top" wrapText="1"/>
    </xf>
    <xf numFmtId="0" fontId="0" fillId="6" borderId="1" xfId="0" applyFill="1" applyBorder="1" applyAlignment="1">
      <alignment horizontal="center" vertical="top"/>
    </xf>
    <xf numFmtId="0" fontId="3" fillId="4" borderId="1" xfId="0" applyFont="1" applyFill="1" applyBorder="1" applyAlignment="1">
      <alignment horizontal="left" vertical="top" wrapText="1"/>
    </xf>
    <xf numFmtId="0" fontId="37" fillId="4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6" fillId="2" borderId="2" xfId="0" applyFont="1" applyFill="1" applyBorder="1" applyAlignment="1">
      <alignment horizontal="center" vertical="center"/>
    </xf>
    <xf numFmtId="0" fontId="16" fillId="26" borderId="1" xfId="0" applyFont="1" applyFill="1" applyBorder="1" applyAlignment="1">
      <alignment horizontal="left" vertical="center" wrapText="1"/>
    </xf>
    <xf numFmtId="0" fontId="38" fillId="26" borderId="1" xfId="0" applyFont="1" applyFill="1" applyBorder="1" applyAlignment="1">
      <alignment horizontal="center" vertical="center"/>
    </xf>
    <xf numFmtId="0" fontId="38" fillId="11" borderId="1" xfId="0" applyFont="1" applyFill="1" applyBorder="1" applyAlignment="1">
      <alignment horizontal="center" vertical="center" wrapText="1"/>
    </xf>
    <xf numFmtId="0" fontId="18" fillId="26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0" fontId="38" fillId="17" borderId="1" xfId="0" applyFont="1" applyFill="1" applyBorder="1" applyAlignment="1">
      <alignment horizontal="center" vertical="center"/>
    </xf>
    <xf numFmtId="0" fontId="20" fillId="17" borderId="1" xfId="0" applyFont="1" applyFill="1" applyBorder="1" applyAlignment="1">
      <alignment horizontal="center" vertical="center" wrapText="1"/>
    </xf>
    <xf numFmtId="0" fontId="20" fillId="21" borderId="1" xfId="0" applyFont="1" applyFill="1" applyBorder="1" applyAlignment="1">
      <alignment horizontal="center" vertical="center"/>
    </xf>
    <xf numFmtId="0" fontId="39" fillId="27" borderId="1" xfId="0" applyFont="1" applyFill="1" applyBorder="1" applyAlignment="1">
      <alignment horizontal="center" vertical="center" wrapText="1"/>
    </xf>
    <xf numFmtId="0" fontId="18" fillId="21" borderId="1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center" vertical="center"/>
    </xf>
    <xf numFmtId="0" fontId="37" fillId="28" borderId="1" xfId="0" applyFont="1" applyFill="1" applyBorder="1" applyAlignment="1">
      <alignment horizontal="left" vertical="top" wrapText="1"/>
    </xf>
    <xf numFmtId="0" fontId="18" fillId="4" borderId="1" xfId="0" applyFont="1" applyFill="1" applyBorder="1" applyAlignment="1">
      <alignment horizontal="left" vertical="top" wrapText="1"/>
    </xf>
    <xf numFmtId="0" fontId="18" fillId="7" borderId="1" xfId="0" applyFont="1" applyFill="1" applyBorder="1" applyAlignment="1">
      <alignment horizontal="left" vertical="top" wrapText="1"/>
    </xf>
    <xf numFmtId="0" fontId="3" fillId="11" borderId="1" xfId="0" applyFont="1" applyFill="1" applyBorder="1" applyAlignment="1">
      <alignment horizontal="center" vertical="top"/>
    </xf>
    <xf numFmtId="0" fontId="3" fillId="11" borderId="1" xfId="0" applyFont="1" applyFill="1" applyBorder="1" applyAlignment="1">
      <alignment horizontal="left" vertical="top" wrapText="1"/>
    </xf>
    <xf numFmtId="0" fontId="37" fillId="15" borderId="1" xfId="0" applyFont="1" applyFill="1" applyBorder="1" applyAlignment="1">
      <alignment horizontal="left" vertical="top" wrapText="1"/>
    </xf>
    <xf numFmtId="0" fontId="18" fillId="11" borderId="1" xfId="0" applyFont="1" applyFill="1" applyBorder="1" applyAlignment="1">
      <alignment horizontal="left" vertical="top" wrapText="1"/>
    </xf>
    <xf numFmtId="0" fontId="0" fillId="29" borderId="1" xfId="0" applyFill="1" applyBorder="1"/>
    <xf numFmtId="0" fontId="3" fillId="29" borderId="1" xfId="0" applyFont="1" applyFill="1" applyBorder="1" applyAlignment="1">
      <alignment horizontal="center" vertical="top"/>
    </xf>
    <xf numFmtId="0" fontId="3" fillId="29" borderId="1" xfId="0" applyFont="1" applyFill="1" applyBorder="1" applyAlignment="1">
      <alignment horizontal="left" vertical="top" wrapText="1"/>
    </xf>
    <xf numFmtId="0" fontId="18" fillId="29" borderId="1" xfId="0" applyFont="1" applyFill="1" applyBorder="1" applyAlignment="1">
      <alignment horizontal="left" vertical="top" wrapText="1"/>
    </xf>
    <xf numFmtId="0" fontId="6" fillId="16" borderId="2" xfId="0" applyFont="1" applyFill="1" applyBorder="1" applyAlignment="1">
      <alignment horizontal="center" vertical="center"/>
    </xf>
    <xf numFmtId="0" fontId="40" fillId="17" borderId="1" xfId="0" applyFont="1" applyFill="1" applyBorder="1" applyAlignment="1">
      <alignment horizontal="center" vertical="top"/>
    </xf>
    <xf numFmtId="0" fontId="7" fillId="17" borderId="1" xfId="0" applyFont="1" applyFill="1" applyBorder="1" applyAlignment="1">
      <alignment horizontal="left" vertical="top" wrapText="1"/>
    </xf>
    <xf numFmtId="0" fontId="37" fillId="19" borderId="1" xfId="0" applyFont="1" applyFill="1" applyBorder="1" applyAlignment="1">
      <alignment horizontal="left" vertical="top" wrapText="1"/>
    </xf>
    <xf numFmtId="0" fontId="41" fillId="17" borderId="1" xfId="0" applyFont="1" applyFill="1" applyBorder="1" applyAlignment="1">
      <alignment horizontal="center" vertical="top"/>
    </xf>
    <xf numFmtId="0" fontId="40" fillId="17" borderId="1" xfId="0" applyFont="1" applyFill="1" applyBorder="1" applyAlignment="1">
      <alignment horizontal="left" vertical="top" wrapText="1"/>
    </xf>
    <xf numFmtId="0" fontId="23" fillId="30" borderId="1" xfId="0" applyFont="1" applyFill="1" applyBorder="1" applyAlignment="1">
      <alignment horizontal="center" vertical="center"/>
    </xf>
    <xf numFmtId="0" fontId="42" fillId="31" borderId="12" xfId="0" applyFont="1" applyFill="1" applyBorder="1" applyAlignment="1">
      <alignment horizontal="center" vertical="top"/>
    </xf>
    <xf numFmtId="0" fontId="43" fillId="32" borderId="12" xfId="0" applyFont="1" applyFill="1" applyBorder="1" applyAlignment="1">
      <alignment horizontal="left" vertical="top" wrapText="1"/>
    </xf>
    <xf numFmtId="0" fontId="44" fillId="33" borderId="12" xfId="0" applyFont="1" applyFill="1" applyBorder="1" applyAlignment="1">
      <alignment horizontal="left" vertical="top" wrapText="1"/>
    </xf>
    <xf numFmtId="0" fontId="45" fillId="32" borderId="12" xfId="0" applyFont="1" applyFill="1" applyBorder="1" applyAlignment="1">
      <alignment horizontal="left" vertical="top" wrapText="1"/>
    </xf>
    <xf numFmtId="0" fontId="46" fillId="15" borderId="1" xfId="0" applyFont="1" applyFill="1" applyBorder="1" applyAlignment="1">
      <alignment horizontal="left" vertical="center" wrapText="1"/>
    </xf>
    <xf numFmtId="0" fontId="47" fillId="11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top" wrapText="1"/>
    </xf>
    <xf numFmtId="0" fontId="0" fillId="0" borderId="6" xfId="0" applyBorder="1"/>
    <xf numFmtId="0" fontId="3" fillId="4" borderId="1" xfId="0" applyFont="1" applyFill="1" applyBorder="1" applyAlignment="1">
      <alignment horizontal="left" vertical="top" wrapText="1"/>
    </xf>
    <xf numFmtId="0" fontId="1" fillId="10" borderId="12" xfId="0" applyFont="1" applyFill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10" fillId="7" borderId="1" xfId="0" applyFont="1" applyFill="1" applyBorder="1" applyAlignment="1">
      <alignment horizontal="left" vertical="center" wrapText="1"/>
    </xf>
    <xf numFmtId="0" fontId="0" fillId="0" borderId="7" xfId="0" applyBorder="1"/>
    <xf numFmtId="0" fontId="24" fillId="2" borderId="12" xfId="0" applyFont="1" applyFill="1" applyBorder="1" applyAlignment="1">
      <alignment horizontal="left" vertical="center"/>
    </xf>
    <xf numFmtId="0" fontId="0" fillId="11" borderId="1" xfId="0" applyFill="1" applyBorder="1"/>
    <xf numFmtId="0" fontId="37" fillId="25" borderId="1" xfId="0" applyFont="1" applyFill="1" applyBorder="1" applyAlignment="1">
      <alignment horizontal="left" vertical="top" wrapText="1"/>
    </xf>
    <xf numFmtId="0" fontId="24" fillId="24" borderId="12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7" fillId="4" borderId="1" xfId="0" applyFont="1" applyFill="1" applyBorder="1" applyAlignment="1">
      <alignment horizontal="left" vertical="top" wrapText="1"/>
    </xf>
    <xf numFmtId="0" fontId="37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11" fillId="11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0" fillId="4" borderId="1" xfId="0" applyFill="1" applyBorder="1"/>
    <xf numFmtId="0" fontId="0" fillId="7" borderId="1" xfId="0" applyFill="1" applyBorder="1"/>
    <xf numFmtId="0" fontId="3" fillId="7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left" vertical="center" wrapText="1"/>
    </xf>
    <xf numFmtId="0" fontId="27" fillId="9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1" fillId="11" borderId="1" xfId="0" applyFont="1" applyFill="1" applyBorder="1" applyAlignment="1">
      <alignment horizontal="left" vertical="center"/>
    </xf>
    <xf numFmtId="0" fontId="17" fillId="11" borderId="1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left" vertical="center"/>
    </xf>
    <xf numFmtId="0" fontId="5" fillId="17" borderId="1" xfId="0" applyFont="1" applyFill="1" applyBorder="1" applyAlignment="1">
      <alignment horizontal="left" vertical="center" wrapText="1"/>
    </xf>
    <xf numFmtId="0" fontId="22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17" fillId="15" borderId="1" xfId="0" applyFont="1" applyFill="1" applyBorder="1" applyAlignment="1">
      <alignment horizontal="left" vertical="center" wrapText="1"/>
    </xf>
    <xf numFmtId="0" fontId="22" fillId="4" borderId="1" xfId="0" applyFont="1" applyFill="1" applyBorder="1" applyAlignment="1">
      <alignment horizontal="left" vertical="center" wrapText="1"/>
    </xf>
    <xf numFmtId="0" fontId="0" fillId="6" borderId="1" xfId="0" applyFill="1" applyBorder="1"/>
    <xf numFmtId="0" fontId="4" fillId="4" borderId="1" xfId="0" applyFont="1" applyFill="1" applyBorder="1" applyAlignment="1">
      <alignment horizontal="left" vertical="center" wrapText="1"/>
    </xf>
    <xf numFmtId="0" fontId="17" fillId="11" borderId="1" xfId="0" applyFont="1" applyFill="1" applyBorder="1" applyAlignment="1">
      <alignment horizontal="left" vertical="center" wrapText="1"/>
    </xf>
    <xf numFmtId="0" fontId="1" fillId="8" borderId="12" xfId="0" applyFont="1" applyFill="1" applyBorder="1" applyAlignment="1">
      <alignment horizontal="left" vertical="center"/>
    </xf>
    <xf numFmtId="0" fontId="1" fillId="16" borderId="12" xfId="0" applyFont="1" applyFill="1" applyBorder="1" applyAlignment="1">
      <alignment horizontal="left" vertical="center"/>
    </xf>
    <xf numFmtId="0" fontId="1" fillId="20" borderId="12" xfId="0" applyFont="1" applyFill="1" applyBorder="1" applyAlignment="1">
      <alignment horizontal="left" vertical="center"/>
    </xf>
    <xf numFmtId="0" fontId="43" fillId="15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5" fillId="19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6" fillId="14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left" vertical="center"/>
    </xf>
    <xf numFmtId="0" fontId="9" fillId="9" borderId="1" xfId="0" applyFont="1" applyFill="1" applyBorder="1" applyAlignment="1">
      <alignment horizontal="left" vertical="center" wrapText="1"/>
    </xf>
    <xf numFmtId="0" fontId="13" fillId="12" borderId="1" xfId="0" applyFont="1" applyFill="1" applyBorder="1" applyAlignment="1">
      <alignment horizontal="left" vertical="center"/>
    </xf>
    <xf numFmtId="0" fontId="15" fillId="12" borderId="1" xfId="0" applyFont="1" applyFill="1" applyBorder="1" applyAlignment="1">
      <alignment horizontal="left" vertical="center" wrapText="1"/>
    </xf>
    <xf numFmtId="0" fontId="21" fillId="21" borderId="1" xfId="0" applyFont="1" applyFill="1" applyBorder="1" applyAlignment="1">
      <alignment horizontal="left" vertical="center" wrapText="1"/>
    </xf>
    <xf numFmtId="0" fontId="1" fillId="13" borderId="12" xfId="0" applyFont="1" applyFill="1" applyBorder="1" applyAlignment="1">
      <alignment horizontal="left" vertical="center"/>
    </xf>
    <xf numFmtId="0" fontId="20" fillId="9" borderId="12" xfId="0" applyFont="1" applyFill="1" applyBorder="1" applyAlignment="1">
      <alignment horizontal="left" vertical="center" wrapText="1"/>
    </xf>
    <xf numFmtId="0" fontId="12" fillId="11" borderId="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/>
    </xf>
    <xf numFmtId="0" fontId="6" fillId="13" borderId="12" xfId="0" applyFont="1" applyFill="1" applyBorder="1" applyAlignment="1">
      <alignment horizontal="center" vertical="center"/>
    </xf>
    <xf numFmtId="0" fontId="6" fillId="20" borderId="12" xfId="0" applyFont="1" applyFill="1" applyBorder="1" applyAlignment="1">
      <alignment horizontal="center" vertical="center"/>
    </xf>
    <xf numFmtId="0" fontId="48" fillId="34" borderId="12" xfId="0" applyFont="1" applyFill="1" applyBorder="1" applyAlignment="1">
      <alignment horizontal="left" vertical="center" wrapText="1"/>
    </xf>
    <xf numFmtId="0" fontId="13" fillId="12" borderId="12" xfId="0" applyFont="1" applyFill="1" applyBorder="1" applyAlignment="1">
      <alignment horizontal="left" vertical="center" wrapText="1"/>
    </xf>
    <xf numFmtId="0" fontId="1" fillId="10" borderId="5" xfId="0" applyFont="1" applyFill="1" applyBorder="1" applyAlignment="1">
      <alignment horizontal="left" vertical="center"/>
    </xf>
    <xf numFmtId="0" fontId="0" fillId="0" borderId="10" xfId="0" applyBorder="1"/>
    <xf numFmtId="0" fontId="0" fillId="0" borderId="11" xfId="0" applyBorder="1"/>
    <xf numFmtId="0" fontId="1" fillId="16" borderId="5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13" borderId="5" xfId="0" applyFont="1" applyFill="1" applyBorder="1" applyAlignment="1">
      <alignment horizontal="left" vertical="center"/>
    </xf>
  </cellXfs>
  <cellStyles count="1">
    <cellStyle name="Normal" xfId="0" builtinId="0"/>
  </cellStyles>
  <dxfs count="4"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BBB806C-6148-4E3E-A7D4-6E0E75697579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83f4f561-647f-42cb-b22c-9d0af967c91d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4"/>
  <sheetViews>
    <sheetView topLeftCell="A48" workbookViewId="0">
      <selection sqref="A1:F1"/>
    </sheetView>
  </sheetViews>
  <sheetFormatPr defaultRowHeight="14.4" x14ac:dyDescent="0.55000000000000004"/>
  <cols>
    <col min="1" max="1" width="3" customWidth="1"/>
    <col min="2" max="2" width="34" customWidth="1"/>
    <col min="3" max="4" width="22" customWidth="1"/>
    <col min="5" max="5" width="18" customWidth="1"/>
    <col min="6" max="6" width="28" customWidth="1"/>
  </cols>
  <sheetData>
    <row r="1" spans="1:6" ht="52" customHeight="1" x14ac:dyDescent="0.55000000000000004">
      <c r="A1" s="138" t="s">
        <v>150</v>
      </c>
      <c r="B1" s="126"/>
      <c r="C1" s="126"/>
      <c r="D1" s="126"/>
      <c r="E1" s="126"/>
      <c r="F1" s="120"/>
    </row>
    <row r="2" spans="1:6" ht="26.05" customHeight="1" x14ac:dyDescent="0.55000000000000004">
      <c r="A2" s="164" t="s">
        <v>151</v>
      </c>
      <c r="B2" s="126"/>
      <c r="C2" s="126"/>
      <c r="D2" s="126"/>
      <c r="E2" s="126"/>
      <c r="F2" s="120"/>
    </row>
    <row r="3" spans="1:6" ht="22" customHeight="1" x14ac:dyDescent="0.55000000000000004">
      <c r="A3" s="152" t="s">
        <v>152</v>
      </c>
      <c r="B3" s="126"/>
      <c r="C3" s="126"/>
      <c r="D3" s="126"/>
      <c r="E3" s="126"/>
      <c r="F3" s="120"/>
    </row>
    <row r="4" spans="1:6" ht="5.05" customHeight="1" x14ac:dyDescent="0.55000000000000004">
      <c r="A4" s="3"/>
      <c r="B4" s="3"/>
      <c r="C4" s="3"/>
      <c r="D4" s="3"/>
      <c r="E4" s="3"/>
      <c r="F4" s="3"/>
    </row>
    <row r="5" spans="1:6" ht="24" customHeight="1" x14ac:dyDescent="0.55000000000000004">
      <c r="A5" s="148" t="s">
        <v>153</v>
      </c>
      <c r="B5" s="123"/>
      <c r="C5" s="123"/>
      <c r="D5" s="123"/>
      <c r="E5" s="123"/>
      <c r="F5" s="124"/>
    </row>
    <row r="6" spans="1:6" ht="22" customHeight="1" x14ac:dyDescent="0.55000000000000004">
      <c r="A6" s="133" t="s">
        <v>154</v>
      </c>
      <c r="B6" s="120"/>
      <c r="C6" s="155"/>
      <c r="D6" s="126"/>
      <c r="E6" s="120"/>
      <c r="F6" s="156" t="s">
        <v>155</v>
      </c>
    </row>
    <row r="7" spans="1:6" ht="22" customHeight="1" x14ac:dyDescent="0.55000000000000004">
      <c r="A7" s="141" t="s">
        <v>156</v>
      </c>
      <c r="B7" s="120"/>
      <c r="C7" s="155"/>
      <c r="D7" s="126"/>
      <c r="E7" s="120"/>
      <c r="F7" s="151" t="s">
        <v>157</v>
      </c>
    </row>
    <row r="8" spans="1:6" ht="22" customHeight="1" x14ac:dyDescent="0.55000000000000004">
      <c r="A8" s="133" t="s">
        <v>158</v>
      </c>
      <c r="B8" s="120"/>
      <c r="C8" s="155"/>
      <c r="D8" s="126"/>
      <c r="E8" s="120"/>
      <c r="F8" s="156" t="s">
        <v>159</v>
      </c>
    </row>
    <row r="9" spans="1:6" ht="22" customHeight="1" x14ac:dyDescent="0.55000000000000004">
      <c r="A9" s="141" t="s">
        <v>160</v>
      </c>
      <c r="B9" s="120"/>
      <c r="C9" s="155"/>
      <c r="D9" s="126"/>
      <c r="E9" s="120"/>
      <c r="F9" s="151" t="s">
        <v>161</v>
      </c>
    </row>
    <row r="10" spans="1:6" ht="22" customHeight="1" x14ac:dyDescent="0.55000000000000004">
      <c r="A10" s="133" t="s">
        <v>162</v>
      </c>
      <c r="B10" s="120"/>
      <c r="C10" s="155"/>
      <c r="D10" s="126"/>
      <c r="E10" s="120"/>
      <c r="F10" s="156" t="s">
        <v>163</v>
      </c>
    </row>
    <row r="11" spans="1:6" ht="22" customHeight="1" x14ac:dyDescent="0.55000000000000004">
      <c r="A11" s="141" t="s">
        <v>164</v>
      </c>
      <c r="B11" s="120"/>
      <c r="C11" s="155"/>
      <c r="D11" s="126"/>
      <c r="E11" s="120"/>
      <c r="F11" s="151" t="s">
        <v>165</v>
      </c>
    </row>
    <row r="12" spans="1:6" ht="22" customHeight="1" x14ac:dyDescent="0.55000000000000004">
      <c r="A12" s="133" t="s">
        <v>166</v>
      </c>
      <c r="B12" s="120"/>
      <c r="C12" s="155"/>
      <c r="D12" s="126"/>
      <c r="E12" s="120"/>
      <c r="F12" s="156" t="s">
        <v>167</v>
      </c>
    </row>
    <row r="13" spans="1:6" ht="22" customHeight="1" x14ac:dyDescent="0.55000000000000004">
      <c r="A13" s="141" t="s">
        <v>168</v>
      </c>
      <c r="B13" s="120"/>
      <c r="C13" s="155"/>
      <c r="D13" s="126"/>
      <c r="E13" s="120"/>
      <c r="F13" s="151" t="s">
        <v>169</v>
      </c>
    </row>
    <row r="14" spans="1:6" ht="5.05" customHeight="1" x14ac:dyDescent="0.55000000000000004">
      <c r="A14" s="3"/>
      <c r="B14" s="3"/>
      <c r="C14" s="3"/>
      <c r="D14" s="3"/>
      <c r="E14" s="3"/>
      <c r="F14" s="3"/>
    </row>
    <row r="15" spans="1:6" ht="24" customHeight="1" x14ac:dyDescent="0.55000000000000004">
      <c r="A15" s="158" t="s">
        <v>170</v>
      </c>
      <c r="B15" s="123"/>
      <c r="C15" s="123"/>
      <c r="D15" s="123"/>
      <c r="E15" s="123"/>
      <c r="F15" s="124"/>
    </row>
    <row r="16" spans="1:6" ht="22" customHeight="1" x14ac:dyDescent="0.55000000000000004">
      <c r="A16" s="162" t="s">
        <v>171</v>
      </c>
      <c r="B16" s="126"/>
      <c r="C16" s="126"/>
      <c r="D16" s="126"/>
      <c r="E16" s="126"/>
      <c r="F16" s="120"/>
    </row>
    <row r="17" spans="1:6" ht="18" customHeight="1" x14ac:dyDescent="0.55000000000000004">
      <c r="A17" s="8"/>
      <c r="B17" s="8" t="s">
        <v>172</v>
      </c>
      <c r="C17" s="8"/>
      <c r="D17" s="8"/>
      <c r="E17" s="8" t="s">
        <v>173</v>
      </c>
      <c r="F17" s="8" t="s">
        <v>99</v>
      </c>
    </row>
    <row r="18" spans="1:6" ht="26.05" customHeight="1" x14ac:dyDescent="0.55000000000000004">
      <c r="A18" s="143" t="s">
        <v>174</v>
      </c>
      <c r="B18" s="126"/>
      <c r="C18" s="120"/>
      <c r="D18" s="9" t="s">
        <v>175</v>
      </c>
      <c r="E18" s="167" t="s">
        <v>176</v>
      </c>
      <c r="F18" s="120"/>
    </row>
    <row r="19" spans="1:6" ht="26.05" customHeight="1" x14ac:dyDescent="0.55000000000000004">
      <c r="A19" s="143" t="s">
        <v>177</v>
      </c>
      <c r="B19" s="126"/>
      <c r="C19" s="120"/>
      <c r="D19" s="9" t="s">
        <v>175</v>
      </c>
      <c r="E19" s="167" t="s">
        <v>178</v>
      </c>
      <c r="F19" s="120"/>
    </row>
    <row r="20" spans="1:6" ht="26.05" customHeight="1" x14ac:dyDescent="0.55000000000000004">
      <c r="A20" s="133" t="s">
        <v>179</v>
      </c>
      <c r="B20" s="126"/>
      <c r="C20" s="120"/>
      <c r="D20" s="9" t="s">
        <v>175</v>
      </c>
      <c r="E20" s="132" t="s">
        <v>180</v>
      </c>
      <c r="F20" s="120"/>
    </row>
    <row r="21" spans="1:6" ht="26.05" customHeight="1" x14ac:dyDescent="0.55000000000000004">
      <c r="A21" s="141" t="s">
        <v>181</v>
      </c>
      <c r="B21" s="126"/>
      <c r="C21" s="120"/>
      <c r="D21" s="9" t="s">
        <v>175</v>
      </c>
      <c r="E21" s="125" t="s">
        <v>182</v>
      </c>
      <c r="F21" s="120"/>
    </row>
    <row r="22" spans="1:6" ht="26.05" customHeight="1" x14ac:dyDescent="0.55000000000000004">
      <c r="A22" s="133" t="s">
        <v>183</v>
      </c>
      <c r="B22" s="126"/>
      <c r="C22" s="120"/>
      <c r="D22" s="9" t="s">
        <v>175</v>
      </c>
      <c r="E22" s="132" t="s">
        <v>184</v>
      </c>
      <c r="F22" s="120"/>
    </row>
    <row r="23" spans="1:6" ht="26.05" customHeight="1" x14ac:dyDescent="0.55000000000000004">
      <c r="A23" s="141" t="s">
        <v>185</v>
      </c>
      <c r="B23" s="126"/>
      <c r="C23" s="120"/>
      <c r="D23" s="9" t="s">
        <v>175</v>
      </c>
      <c r="E23" s="125" t="s">
        <v>186</v>
      </c>
      <c r="F23" s="120"/>
    </row>
    <row r="24" spans="1:6" ht="24" customHeight="1" x14ac:dyDescent="0.55000000000000004">
      <c r="A24" s="166" t="s">
        <v>187</v>
      </c>
      <c r="B24" s="126"/>
      <c r="C24" s="120"/>
      <c r="D24" s="13" t="str">
        <f>IF(OR(D18="EVET-YİAKV Uygulanmaz",D19="EVET-YİAKV Uygulanmaz",D21="EVET-YİAKV Uygulanmaz"),"KAPSAM DIŞI","KAPSAM İÇİ — YİAKV Hesaplanacak")</f>
        <v>KAPSAM İÇİ — YİAKV Hesaplanacak</v>
      </c>
      <c r="E24" s="173" t="s">
        <v>188</v>
      </c>
      <c r="F24" s="120"/>
    </row>
    <row r="25" spans="1:6" ht="5.05" customHeight="1" x14ac:dyDescent="0.55000000000000004">
      <c r="A25" s="3"/>
      <c r="B25" s="3"/>
      <c r="C25" s="3"/>
      <c r="D25" s="3"/>
      <c r="E25" s="3"/>
      <c r="F25" s="3"/>
    </row>
    <row r="26" spans="1:6" ht="24" customHeight="1" x14ac:dyDescent="0.55000000000000004">
      <c r="A26" s="148" t="s">
        <v>189</v>
      </c>
      <c r="B26" s="123"/>
      <c r="C26" s="123"/>
      <c r="D26" s="123"/>
      <c r="E26" s="123"/>
      <c r="F26" s="124"/>
    </row>
    <row r="27" spans="1:6" ht="22" customHeight="1" x14ac:dyDescent="0.55000000000000004">
      <c r="A27" s="162" t="s">
        <v>190</v>
      </c>
      <c r="B27" s="126"/>
      <c r="C27" s="126"/>
      <c r="D27" s="126"/>
      <c r="E27" s="126"/>
      <c r="F27" s="120"/>
    </row>
    <row r="28" spans="1:6" ht="18" customHeight="1" x14ac:dyDescent="0.55000000000000004">
      <c r="A28" s="8"/>
      <c r="B28" s="8" t="s">
        <v>98</v>
      </c>
      <c r="C28" s="8"/>
      <c r="D28" s="8" t="s">
        <v>5</v>
      </c>
      <c r="E28" s="8"/>
      <c r="F28" s="8" t="s">
        <v>191</v>
      </c>
    </row>
    <row r="29" spans="1:6" ht="26.05" customHeight="1" x14ac:dyDescent="0.55000000000000004">
      <c r="A29" s="141" t="s">
        <v>192</v>
      </c>
      <c r="B29" s="120"/>
      <c r="C29" s="15"/>
      <c r="D29" s="6" t="s">
        <v>193</v>
      </c>
      <c r="E29" s="11" t="s">
        <v>194</v>
      </c>
      <c r="F29" s="5"/>
    </row>
    <row r="30" spans="1:6" ht="26.05" customHeight="1" x14ac:dyDescent="0.55000000000000004">
      <c r="A30" s="133" t="s">
        <v>195</v>
      </c>
      <c r="B30" s="120"/>
      <c r="C30" s="15"/>
      <c r="D30" s="4" t="s">
        <v>196</v>
      </c>
      <c r="E30" s="10" t="s">
        <v>197</v>
      </c>
      <c r="F30" s="2"/>
    </row>
    <row r="31" spans="1:6" ht="26.05" customHeight="1" x14ac:dyDescent="0.55000000000000004">
      <c r="A31" s="141" t="s">
        <v>198</v>
      </c>
      <c r="B31" s="120"/>
      <c r="C31" s="15"/>
      <c r="D31" s="6" t="s">
        <v>199</v>
      </c>
      <c r="E31" s="16" t="s">
        <v>200</v>
      </c>
      <c r="F31" s="5"/>
    </row>
    <row r="32" spans="1:6" ht="26.05" customHeight="1" x14ac:dyDescent="0.55000000000000004">
      <c r="A32" s="168" t="s">
        <v>201</v>
      </c>
      <c r="B32" s="120"/>
      <c r="C32" s="18">
        <f>C29+C30</f>
        <v>0</v>
      </c>
      <c r="D32" s="169" t="s">
        <v>202</v>
      </c>
      <c r="E32" s="126"/>
      <c r="F32" s="120"/>
    </row>
    <row r="33" spans="1:6" ht="5.05" customHeight="1" x14ac:dyDescent="0.55000000000000004">
      <c r="A33" s="3"/>
      <c r="B33" s="3"/>
      <c r="C33" s="3"/>
      <c r="D33" s="3"/>
      <c r="E33" s="3"/>
      <c r="F33" s="3"/>
    </row>
    <row r="34" spans="1:6" ht="24" customHeight="1" x14ac:dyDescent="0.55000000000000004">
      <c r="A34" s="171" t="s">
        <v>203</v>
      </c>
      <c r="B34" s="123"/>
      <c r="C34" s="123"/>
      <c r="D34" s="123"/>
      <c r="E34" s="123"/>
      <c r="F34" s="124"/>
    </row>
    <row r="35" spans="1:6" ht="22" customHeight="1" x14ac:dyDescent="0.55000000000000004">
      <c r="A35" s="165" t="s">
        <v>204</v>
      </c>
      <c r="B35" s="126"/>
      <c r="C35" s="126"/>
      <c r="D35" s="126"/>
      <c r="E35" s="126"/>
      <c r="F35" s="120"/>
    </row>
    <row r="36" spans="1:6" ht="18" customHeight="1" x14ac:dyDescent="0.55000000000000004">
      <c r="A36" s="8"/>
      <c r="B36" s="8" t="s">
        <v>205</v>
      </c>
      <c r="C36" s="8"/>
      <c r="D36" s="8" t="s">
        <v>206</v>
      </c>
      <c r="E36" s="8"/>
      <c r="F36" s="8" t="s">
        <v>207</v>
      </c>
    </row>
    <row r="37" spans="1:6" ht="48" customHeight="1" x14ac:dyDescent="0.55000000000000004">
      <c r="A37" s="153" t="s">
        <v>208</v>
      </c>
      <c r="B37" s="120"/>
      <c r="C37" s="15"/>
      <c r="D37" s="20" t="s">
        <v>27</v>
      </c>
      <c r="E37" s="117" t="s">
        <v>209</v>
      </c>
      <c r="F37" s="19"/>
    </row>
    <row r="38" spans="1:6" ht="26.05" customHeight="1" x14ac:dyDescent="0.55000000000000004">
      <c r="A38" s="157" t="s">
        <v>210</v>
      </c>
      <c r="B38" s="120"/>
      <c r="C38" s="15"/>
      <c r="D38" s="23" t="s">
        <v>30</v>
      </c>
      <c r="E38" s="14" t="s">
        <v>211</v>
      </c>
      <c r="F38" s="12"/>
    </row>
    <row r="39" spans="1:6" ht="54" customHeight="1" x14ac:dyDescent="0.55000000000000004">
      <c r="A39" s="161" t="s">
        <v>212</v>
      </c>
      <c r="B39" s="120"/>
      <c r="C39" s="15"/>
      <c r="D39" s="20" t="s">
        <v>213</v>
      </c>
      <c r="E39" s="117" t="s">
        <v>214</v>
      </c>
      <c r="F39" s="19"/>
    </row>
    <row r="40" spans="1:6" ht="26.05" customHeight="1" x14ac:dyDescent="0.55000000000000004">
      <c r="A40" s="157" t="s">
        <v>215</v>
      </c>
      <c r="B40" s="120"/>
      <c r="C40" s="15"/>
      <c r="D40" s="23" t="s">
        <v>36</v>
      </c>
      <c r="E40" s="14" t="s">
        <v>216</v>
      </c>
      <c r="F40" s="12"/>
    </row>
    <row r="41" spans="1:6" ht="26.05" customHeight="1" x14ac:dyDescent="0.55000000000000004">
      <c r="A41" s="153" t="s">
        <v>217</v>
      </c>
      <c r="B41" s="120"/>
      <c r="C41" s="15"/>
      <c r="D41" s="20" t="s">
        <v>39</v>
      </c>
      <c r="E41" s="21" t="s">
        <v>218</v>
      </c>
      <c r="F41" s="19"/>
    </row>
    <row r="42" spans="1:6" ht="26.05" customHeight="1" x14ac:dyDescent="0.55000000000000004">
      <c r="A42" s="157" t="s">
        <v>219</v>
      </c>
      <c r="B42" s="120"/>
      <c r="C42" s="15"/>
      <c r="D42" s="23" t="s">
        <v>42</v>
      </c>
      <c r="E42" s="14" t="s">
        <v>220</v>
      </c>
      <c r="F42" s="12"/>
    </row>
    <row r="43" spans="1:6" ht="26.05" customHeight="1" x14ac:dyDescent="0.55000000000000004">
      <c r="A43" s="153" t="s">
        <v>221</v>
      </c>
      <c r="B43" s="120"/>
      <c r="C43" s="15"/>
      <c r="D43" s="20" t="s">
        <v>45</v>
      </c>
      <c r="E43" s="21" t="s">
        <v>222</v>
      </c>
      <c r="F43" s="19"/>
    </row>
    <row r="44" spans="1:6" ht="26.05" customHeight="1" x14ac:dyDescent="0.55000000000000004">
      <c r="A44" s="157" t="s">
        <v>223</v>
      </c>
      <c r="B44" s="120"/>
      <c r="C44" s="15"/>
      <c r="D44" s="23" t="s">
        <v>224</v>
      </c>
      <c r="E44" s="14" t="s">
        <v>225</v>
      </c>
      <c r="F44" s="12"/>
    </row>
    <row r="45" spans="1:6" ht="26.05" customHeight="1" x14ac:dyDescent="0.55000000000000004">
      <c r="A45" s="153" t="s">
        <v>226</v>
      </c>
      <c r="B45" s="120"/>
      <c r="C45" s="15"/>
      <c r="D45" s="20" t="s">
        <v>224</v>
      </c>
      <c r="E45" s="21" t="s">
        <v>227</v>
      </c>
      <c r="F45" s="19"/>
    </row>
    <row r="46" spans="1:6" ht="26.05" customHeight="1" x14ac:dyDescent="0.55000000000000004">
      <c r="A46" s="157" t="s">
        <v>228</v>
      </c>
      <c r="B46" s="120"/>
      <c r="C46" s="15"/>
      <c r="D46" s="23" t="s">
        <v>229</v>
      </c>
      <c r="E46" s="14" t="s">
        <v>230</v>
      </c>
      <c r="F46" s="12"/>
    </row>
    <row r="47" spans="1:6" ht="26.05" customHeight="1" x14ac:dyDescent="0.55000000000000004">
      <c r="A47" s="153" t="s">
        <v>231</v>
      </c>
      <c r="B47" s="120"/>
      <c r="C47" s="15"/>
      <c r="D47" s="20" t="s">
        <v>232</v>
      </c>
      <c r="E47" s="21" t="s">
        <v>233</v>
      </c>
      <c r="F47" s="19"/>
    </row>
    <row r="48" spans="1:6" ht="26.05" customHeight="1" x14ac:dyDescent="0.55000000000000004">
      <c r="A48" s="157" t="s">
        <v>234</v>
      </c>
      <c r="B48" s="120"/>
      <c r="C48" s="15"/>
      <c r="D48" s="23" t="s">
        <v>235</v>
      </c>
      <c r="E48" s="14" t="s">
        <v>236</v>
      </c>
      <c r="F48" s="12"/>
    </row>
    <row r="49" spans="1:6" ht="26.05" customHeight="1" x14ac:dyDescent="0.55000000000000004">
      <c r="A49" s="147" t="s">
        <v>237</v>
      </c>
      <c r="B49" s="120"/>
      <c r="C49" s="24">
        <f>SUM(C37:C48)</f>
        <v>0</v>
      </c>
      <c r="D49" s="12"/>
      <c r="E49" s="12"/>
      <c r="F49" s="12"/>
    </row>
    <row r="50" spans="1:6" ht="5.05" customHeight="1" x14ac:dyDescent="0.55000000000000004">
      <c r="A50" s="3"/>
      <c r="B50" s="3"/>
      <c r="C50" s="3"/>
      <c r="D50" s="3"/>
      <c r="E50" s="3"/>
      <c r="F50" s="3"/>
    </row>
    <row r="51" spans="1:6" ht="24" customHeight="1" x14ac:dyDescent="0.55000000000000004">
      <c r="A51" s="159" t="s">
        <v>238</v>
      </c>
      <c r="B51" s="123"/>
      <c r="C51" s="123"/>
      <c r="D51" s="123"/>
      <c r="E51" s="123"/>
      <c r="F51" s="124"/>
    </row>
    <row r="52" spans="1:6" ht="22" customHeight="1" x14ac:dyDescent="0.55000000000000004">
      <c r="A52" s="149" t="s">
        <v>239</v>
      </c>
      <c r="B52" s="126"/>
      <c r="C52" s="126"/>
      <c r="D52" s="126"/>
      <c r="E52" s="126"/>
      <c r="F52" s="120"/>
    </row>
    <row r="53" spans="1:6" ht="18" customHeight="1" x14ac:dyDescent="0.55000000000000004">
      <c r="A53" s="8"/>
      <c r="B53" s="8" t="s">
        <v>205</v>
      </c>
      <c r="C53" s="8"/>
      <c r="D53" s="8" t="s">
        <v>240</v>
      </c>
      <c r="E53" s="8"/>
      <c r="F53" s="8" t="s">
        <v>241</v>
      </c>
    </row>
    <row r="54" spans="1:6" ht="24" customHeight="1" x14ac:dyDescent="0.55000000000000004">
      <c r="A54" s="149" t="s">
        <v>242</v>
      </c>
      <c r="B54" s="120"/>
      <c r="C54" s="27"/>
      <c r="D54" s="28" t="s">
        <v>243</v>
      </c>
      <c r="E54" s="29" t="s">
        <v>244</v>
      </c>
      <c r="F54" s="26"/>
    </row>
    <row r="55" spans="1:6" ht="24" customHeight="1" x14ac:dyDescent="0.55000000000000004">
      <c r="A55" s="163" t="s">
        <v>245</v>
      </c>
      <c r="B55" s="120"/>
      <c r="C55" s="27"/>
      <c r="D55" s="31" t="s">
        <v>243</v>
      </c>
      <c r="E55" s="32" t="s">
        <v>246</v>
      </c>
      <c r="F55" s="30"/>
    </row>
    <row r="56" spans="1:6" ht="24" customHeight="1" x14ac:dyDescent="0.55000000000000004">
      <c r="A56" s="149" t="s">
        <v>247</v>
      </c>
      <c r="B56" s="120"/>
      <c r="C56" s="27"/>
      <c r="D56" s="28" t="s">
        <v>243</v>
      </c>
      <c r="E56" s="29" t="s">
        <v>248</v>
      </c>
      <c r="F56" s="26"/>
    </row>
    <row r="57" spans="1:6" ht="24" customHeight="1" x14ac:dyDescent="0.55000000000000004">
      <c r="A57" s="163" t="s">
        <v>249</v>
      </c>
      <c r="B57" s="120"/>
      <c r="C57" s="27"/>
      <c r="D57" s="31" t="s">
        <v>243</v>
      </c>
      <c r="E57" s="32" t="s">
        <v>250</v>
      </c>
      <c r="F57" s="30"/>
    </row>
    <row r="58" spans="1:6" ht="24" customHeight="1" x14ac:dyDescent="0.55000000000000004">
      <c r="A58" s="149" t="s">
        <v>251</v>
      </c>
      <c r="B58" s="120"/>
      <c r="C58" s="27"/>
      <c r="D58" s="28" t="s">
        <v>243</v>
      </c>
      <c r="E58" s="29" t="s">
        <v>252</v>
      </c>
      <c r="F58" s="26"/>
    </row>
    <row r="59" spans="1:6" ht="24" customHeight="1" x14ac:dyDescent="0.55000000000000004">
      <c r="A59" s="163" t="s">
        <v>253</v>
      </c>
      <c r="B59" s="120"/>
      <c r="C59" s="27"/>
      <c r="D59" s="31" t="s">
        <v>243</v>
      </c>
      <c r="E59" s="32" t="s">
        <v>254</v>
      </c>
      <c r="F59" s="30"/>
    </row>
    <row r="60" spans="1:6" ht="60" customHeight="1" x14ac:dyDescent="0.55000000000000004">
      <c r="A60" s="149" t="s">
        <v>255</v>
      </c>
      <c r="B60" s="120"/>
      <c r="C60" s="27"/>
      <c r="D60" s="28" t="s">
        <v>243</v>
      </c>
      <c r="E60" s="29" t="s">
        <v>256</v>
      </c>
      <c r="F60" s="26"/>
    </row>
    <row r="61" spans="1:6" ht="24" customHeight="1" x14ac:dyDescent="0.55000000000000004">
      <c r="A61" s="163" t="s">
        <v>257</v>
      </c>
      <c r="B61" s="120"/>
      <c r="C61" s="27"/>
      <c r="D61" s="31" t="s">
        <v>243</v>
      </c>
      <c r="E61" s="32" t="s">
        <v>258</v>
      </c>
      <c r="F61" s="30"/>
    </row>
    <row r="62" spans="1:6" ht="24" customHeight="1" x14ac:dyDescent="0.55000000000000004">
      <c r="A62" s="149" t="s">
        <v>259</v>
      </c>
      <c r="B62" s="120"/>
      <c r="C62" s="27"/>
      <c r="D62" s="28" t="s">
        <v>243</v>
      </c>
      <c r="E62" s="29" t="s">
        <v>260</v>
      </c>
      <c r="F62" s="26"/>
    </row>
    <row r="63" spans="1:6" ht="24" customHeight="1" x14ac:dyDescent="0.55000000000000004">
      <c r="A63" s="163" t="s">
        <v>261</v>
      </c>
      <c r="B63" s="120"/>
      <c r="C63" s="27"/>
      <c r="D63" s="31" t="s">
        <v>243</v>
      </c>
      <c r="E63" s="32" t="s">
        <v>262</v>
      </c>
      <c r="F63" s="30"/>
    </row>
    <row r="64" spans="1:6" ht="24" customHeight="1" x14ac:dyDescent="0.55000000000000004">
      <c r="A64" s="149" t="s">
        <v>263</v>
      </c>
      <c r="B64" s="120"/>
      <c r="C64" s="27"/>
      <c r="D64" s="28" t="s">
        <v>243</v>
      </c>
      <c r="E64" s="29" t="s">
        <v>264</v>
      </c>
      <c r="F64" s="26"/>
    </row>
    <row r="65" spans="1:6" ht="24" customHeight="1" x14ac:dyDescent="0.55000000000000004">
      <c r="A65" s="163" t="s">
        <v>265</v>
      </c>
      <c r="B65" s="120"/>
      <c r="C65" s="27"/>
      <c r="D65" s="31" t="s">
        <v>243</v>
      </c>
      <c r="E65" s="32" t="s">
        <v>266</v>
      </c>
      <c r="F65" s="30"/>
    </row>
    <row r="66" spans="1:6" ht="24" customHeight="1" x14ac:dyDescent="0.55000000000000004">
      <c r="A66" s="149" t="s">
        <v>267</v>
      </c>
      <c r="B66" s="120"/>
      <c r="C66" s="27"/>
      <c r="D66" s="28" t="s">
        <v>243</v>
      </c>
      <c r="E66" s="29" t="s">
        <v>268</v>
      </c>
      <c r="F66" s="26"/>
    </row>
    <row r="67" spans="1:6" ht="24" customHeight="1" x14ac:dyDescent="0.55000000000000004">
      <c r="A67" s="163" t="s">
        <v>269</v>
      </c>
      <c r="B67" s="120"/>
      <c r="C67" s="27"/>
      <c r="D67" s="31" t="s">
        <v>243</v>
      </c>
      <c r="E67" s="32" t="s">
        <v>270</v>
      </c>
      <c r="F67" s="30"/>
    </row>
    <row r="68" spans="1:6" ht="24" customHeight="1" x14ac:dyDescent="0.55000000000000004">
      <c r="A68" s="149" t="s">
        <v>271</v>
      </c>
      <c r="B68" s="120"/>
      <c r="C68" s="27"/>
      <c r="D68" s="28" t="s">
        <v>243</v>
      </c>
      <c r="E68" s="29" t="s">
        <v>272</v>
      </c>
      <c r="F68" s="26"/>
    </row>
    <row r="69" spans="1:6" ht="5.05" customHeight="1" x14ac:dyDescent="0.55000000000000004">
      <c r="A69" s="3"/>
      <c r="B69" s="3"/>
      <c r="C69" s="3"/>
      <c r="D69" s="3"/>
      <c r="E69" s="3"/>
      <c r="F69" s="3"/>
    </row>
    <row r="70" spans="1:6" ht="24" customHeight="1" x14ac:dyDescent="0.55000000000000004">
      <c r="A70" s="160" t="s">
        <v>273</v>
      </c>
      <c r="B70" s="123"/>
      <c r="C70" s="123"/>
      <c r="D70" s="123"/>
      <c r="E70" s="123"/>
      <c r="F70" s="124"/>
    </row>
    <row r="71" spans="1:6" ht="22" customHeight="1" x14ac:dyDescent="0.55000000000000004">
      <c r="A71" s="170" t="s">
        <v>274</v>
      </c>
      <c r="B71" s="126"/>
      <c r="C71" s="126"/>
      <c r="D71" s="126"/>
      <c r="E71" s="126"/>
      <c r="F71" s="120"/>
    </row>
    <row r="72" spans="1:6" ht="18" customHeight="1" x14ac:dyDescent="0.55000000000000004">
      <c r="A72" s="8"/>
      <c r="B72" s="8" t="s">
        <v>275</v>
      </c>
      <c r="C72" s="8"/>
      <c r="D72" s="8" t="s">
        <v>276</v>
      </c>
      <c r="E72" s="8"/>
      <c r="F72" s="8" t="s">
        <v>277</v>
      </c>
    </row>
    <row r="73" spans="1:6" ht="26.05" customHeight="1" x14ac:dyDescent="0.55000000000000004">
      <c r="A73" s="150" t="s">
        <v>278</v>
      </c>
      <c r="B73" s="120"/>
      <c r="C73" s="15"/>
      <c r="D73" s="6" t="s">
        <v>279</v>
      </c>
      <c r="E73" s="34">
        <f>C73*5%</f>
        <v>0</v>
      </c>
      <c r="F73" s="5"/>
    </row>
    <row r="74" spans="1:6" ht="26.05" customHeight="1" x14ac:dyDescent="0.55000000000000004">
      <c r="A74" s="154" t="s">
        <v>280</v>
      </c>
      <c r="B74" s="120"/>
      <c r="C74" s="15"/>
      <c r="D74" s="4" t="s">
        <v>281</v>
      </c>
      <c r="E74" s="34">
        <f>C74*1%</f>
        <v>0</v>
      </c>
      <c r="F74" s="2"/>
    </row>
    <row r="75" spans="1:6" ht="26.05" customHeight="1" x14ac:dyDescent="0.55000000000000004">
      <c r="A75" s="150" t="s">
        <v>282</v>
      </c>
      <c r="B75" s="120"/>
      <c r="C75" s="15"/>
      <c r="D75" s="6" t="s">
        <v>283</v>
      </c>
      <c r="E75" s="34">
        <f>C75*2%</f>
        <v>0</v>
      </c>
      <c r="F75" s="5"/>
    </row>
    <row r="76" spans="1:6" ht="26.05" customHeight="1" x14ac:dyDescent="0.55000000000000004">
      <c r="A76" s="154" t="s">
        <v>284</v>
      </c>
      <c r="B76" s="120"/>
      <c r="C76" s="15"/>
      <c r="D76" s="4" t="s">
        <v>285</v>
      </c>
      <c r="E76" s="112">
        <f>C76</f>
        <v>0</v>
      </c>
      <c r="F76" s="2"/>
    </row>
    <row r="77" spans="1:6" ht="26.05" customHeight="1" x14ac:dyDescent="0.55000000000000004">
      <c r="A77" s="168" t="s">
        <v>286</v>
      </c>
      <c r="B77" s="120"/>
      <c r="C77" s="17"/>
      <c r="D77" s="17"/>
      <c r="E77" s="18">
        <f>SUM(E73:E76)</f>
        <v>0</v>
      </c>
      <c r="F77" s="17"/>
    </row>
    <row r="78" spans="1:6" ht="22" customHeight="1" x14ac:dyDescent="0.55000000000000004">
      <c r="A78" s="172" t="s">
        <v>287</v>
      </c>
      <c r="B78" s="123"/>
      <c r="C78" s="123"/>
      <c r="D78" s="123"/>
      <c r="E78" s="123"/>
      <c r="F78" s="124"/>
    </row>
    <row r="79" spans="1:6" ht="5.05" customHeight="1" x14ac:dyDescent="0.55000000000000004">
      <c r="A79" s="3"/>
      <c r="B79" s="3"/>
      <c r="C79" s="3"/>
      <c r="D79" s="3"/>
      <c r="E79" s="3"/>
      <c r="F79" s="3"/>
    </row>
    <row r="80" spans="1:6" ht="22" customHeight="1" x14ac:dyDescent="0.55000000000000004">
      <c r="A80" s="122" t="s">
        <v>288</v>
      </c>
      <c r="B80" s="123"/>
      <c r="C80" s="123"/>
      <c r="D80" s="123"/>
      <c r="E80" s="123"/>
      <c r="F80" s="124"/>
    </row>
    <row r="81" spans="1:6" ht="18" customHeight="1" x14ac:dyDescent="0.55000000000000004">
      <c r="A81" s="8"/>
      <c r="B81" s="8" t="s">
        <v>98</v>
      </c>
      <c r="C81" s="8"/>
      <c r="D81" s="8" t="s">
        <v>5</v>
      </c>
      <c r="E81" s="8"/>
      <c r="F81" s="8" t="s">
        <v>289</v>
      </c>
    </row>
    <row r="82" spans="1:6" ht="24" customHeight="1" x14ac:dyDescent="0.55000000000000004">
      <c r="A82" s="133" t="s">
        <v>290</v>
      </c>
      <c r="B82" s="120"/>
      <c r="C82" s="15"/>
      <c r="D82" s="4" t="s">
        <v>291</v>
      </c>
      <c r="E82" s="2"/>
      <c r="F82" s="2"/>
    </row>
    <row r="83" spans="1:6" ht="24" customHeight="1" x14ac:dyDescent="0.55000000000000004">
      <c r="A83" s="141" t="s">
        <v>292</v>
      </c>
      <c r="B83" s="120"/>
      <c r="C83" s="15"/>
      <c r="D83" s="6" t="s">
        <v>293</v>
      </c>
      <c r="E83" s="5"/>
      <c r="F83" s="5"/>
    </row>
    <row r="84" spans="1:6" ht="24" customHeight="1" x14ac:dyDescent="0.55000000000000004">
      <c r="A84" s="133" t="s">
        <v>294</v>
      </c>
      <c r="B84" s="120"/>
      <c r="C84" s="15"/>
      <c r="D84" s="4" t="s">
        <v>295</v>
      </c>
      <c r="E84" s="2"/>
      <c r="F84" s="2"/>
    </row>
  </sheetData>
  <mergeCells count="95">
    <mergeCell ref="A84:B84"/>
    <mergeCell ref="A66:B66"/>
    <mergeCell ref="F10"/>
    <mergeCell ref="A52:F52"/>
    <mergeCell ref="A19:C19"/>
    <mergeCell ref="A47:B47"/>
    <mergeCell ref="A29:B29"/>
    <mergeCell ref="A13:B13"/>
    <mergeCell ref="A44:B44"/>
    <mergeCell ref="A31:B31"/>
    <mergeCell ref="A58:B58"/>
    <mergeCell ref="E21:F21"/>
    <mergeCell ref="A1:F1"/>
    <mergeCell ref="A40:B40"/>
    <mergeCell ref="A78:F78"/>
    <mergeCell ref="A67:B67"/>
    <mergeCell ref="A82:B82"/>
    <mergeCell ref="E24:F24"/>
    <mergeCell ref="A60:B60"/>
    <mergeCell ref="A80:F80"/>
    <mergeCell ref="A6:B6"/>
    <mergeCell ref="E19:F19"/>
    <mergeCell ref="C8:E8"/>
    <mergeCell ref="F7"/>
    <mergeCell ref="F8"/>
    <mergeCell ref="A77:B77"/>
    <mergeCell ref="A83:B83"/>
    <mergeCell ref="F13"/>
    <mergeCell ref="C10:E10"/>
    <mergeCell ref="D32:F32"/>
    <mergeCell ref="A49:B49"/>
    <mergeCell ref="A18:C18"/>
    <mergeCell ref="A26:F26"/>
    <mergeCell ref="A71:F71"/>
    <mergeCell ref="C11:E11"/>
    <mergeCell ref="E20:F20"/>
    <mergeCell ref="A65:B65"/>
    <mergeCell ref="A22:C22"/>
    <mergeCell ref="A75:B75"/>
    <mergeCell ref="A20:C20"/>
    <mergeCell ref="A55:B55"/>
    <mergeCell ref="A2:F2"/>
    <mergeCell ref="A37:B37"/>
    <mergeCell ref="F11"/>
    <mergeCell ref="A46:B46"/>
    <mergeCell ref="A35:F35"/>
    <mergeCell ref="C13:E13"/>
    <mergeCell ref="A8:B8"/>
    <mergeCell ref="A24:C24"/>
    <mergeCell ref="A10:B10"/>
    <mergeCell ref="E18:F18"/>
    <mergeCell ref="C9:E9"/>
    <mergeCell ref="F6"/>
    <mergeCell ref="A12:B12"/>
    <mergeCell ref="A32:B32"/>
    <mergeCell ref="A34:F34"/>
    <mergeCell ref="C6:E6"/>
    <mergeCell ref="A74:B74"/>
    <mergeCell ref="A56:B56"/>
    <mergeCell ref="C7:E7"/>
    <mergeCell ref="A76:B76"/>
    <mergeCell ref="F12"/>
    <mergeCell ref="A42:B42"/>
    <mergeCell ref="A15:F15"/>
    <mergeCell ref="A62:B62"/>
    <mergeCell ref="A51:F51"/>
    <mergeCell ref="A68:B68"/>
    <mergeCell ref="A70:F70"/>
    <mergeCell ref="E22:F22"/>
    <mergeCell ref="A9:B9"/>
    <mergeCell ref="A39:B39"/>
    <mergeCell ref="A16:F16"/>
    <mergeCell ref="A48:B48"/>
    <mergeCell ref="A3:F3"/>
    <mergeCell ref="A54:B54"/>
    <mergeCell ref="A7:B7"/>
    <mergeCell ref="A23:C23"/>
    <mergeCell ref="A41:B41"/>
    <mergeCell ref="A5:F5"/>
    <mergeCell ref="A30:B30"/>
    <mergeCell ref="A11:B11"/>
    <mergeCell ref="A27:F27"/>
    <mergeCell ref="A45:B45"/>
    <mergeCell ref="C12:E12"/>
    <mergeCell ref="A38:B38"/>
    <mergeCell ref="A43:B43"/>
    <mergeCell ref="A64:B64"/>
    <mergeCell ref="A73:B73"/>
    <mergeCell ref="F9"/>
    <mergeCell ref="E23:F23"/>
    <mergeCell ref="A21:C21"/>
    <mergeCell ref="A59:B59"/>
    <mergeCell ref="A61:B61"/>
    <mergeCell ref="A63:B63"/>
    <mergeCell ref="A57:B57"/>
  </mergeCells>
  <conditionalFormatting sqref="D24">
    <cfRule type="containsText" dxfId="3" priority="1" operator="containsText" text="KAPSAM İÇİ">
      <formula>NOT(ISERROR(SEARCH("KAPSAM İÇİ",D24)))</formula>
    </cfRule>
    <cfRule type="containsText" dxfId="2" priority="2" operator="containsText" text="KAPSAM DIŞI">
      <formula>NOT(ISERROR(SEARCH("KAPSAM DIŞI",D24)))</formula>
    </cfRule>
  </conditionalFormatting>
  <dataValidations count="4">
    <dataValidation type="list" sqref="D18:D19 D21" xr:uid="{00000000-0002-0000-0000-000000000000}">
      <formula1>"HAYIR,EVET-YİAKV Uygulanmaz"</formula1>
    </dataValidation>
    <dataValidation type="list" sqref="D20" xr:uid="{00000000-0002-0000-0000-000001000000}">
      <formula1>"HAYIR,EVET-Muafiyet Yok"</formula1>
    </dataValidation>
    <dataValidation type="list" sqref="D22" xr:uid="{00000000-0002-0000-0000-000002000000}">
      <formula1>"HAYIR,EVET-İndirim Uygulanır"</formula1>
    </dataValidation>
    <dataValidation type="list" sqref="D23" xr:uid="{00000000-0002-0000-0000-000003000000}">
      <formula1>"HAYIR,EVET-İndirim Yok"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7"/>
  <sheetViews>
    <sheetView tabSelected="1" topLeftCell="A27" workbookViewId="0">
      <selection activeCell="B48" sqref="B48:C48"/>
    </sheetView>
  </sheetViews>
  <sheetFormatPr defaultRowHeight="14.4" x14ac:dyDescent="0.55000000000000004"/>
  <cols>
    <col min="1" max="1" width="4" customWidth="1"/>
    <col min="2" max="2" width="44" customWidth="1"/>
    <col min="3" max="3" width="20" customWidth="1"/>
    <col min="4" max="4" width="18" customWidth="1"/>
    <col min="5" max="6" width="14" customWidth="1"/>
    <col min="7" max="7" width="22" customWidth="1"/>
  </cols>
  <sheetData>
    <row r="1" spans="1:7" ht="44.05" customHeight="1" x14ac:dyDescent="0.55000000000000004">
      <c r="A1" s="138" t="s">
        <v>0</v>
      </c>
      <c r="B1" s="126"/>
      <c r="C1" s="126"/>
      <c r="D1" s="126"/>
      <c r="E1" s="126"/>
      <c r="F1" s="126"/>
      <c r="G1" s="120"/>
    </row>
    <row r="2" spans="1:7" ht="24" customHeight="1" x14ac:dyDescent="0.55000000000000004">
      <c r="A2" s="145" t="str">
        <f>'VERİ GİRİŞİ'!C6&amp;"   |   Hesap Dönemi: "&amp;'VERİ GİRİŞİ'!C8&amp;"   |   Dosya Ref: "&amp;'VERİ GİRİŞİ'!C11</f>
        <v xml:space="preserve">   |   Hesap Dönemi:    |   Dosya Ref: </v>
      </c>
      <c r="B2" s="126"/>
      <c r="C2" s="126"/>
      <c r="D2" s="126"/>
      <c r="E2" s="126"/>
      <c r="F2" s="126"/>
      <c r="G2" s="120"/>
    </row>
    <row r="3" spans="1:7" ht="5.05" customHeight="1" x14ac:dyDescent="0.55000000000000004">
      <c r="A3" s="3"/>
      <c r="B3" s="3"/>
      <c r="C3" s="3"/>
      <c r="D3" s="3"/>
      <c r="E3" s="3"/>
      <c r="F3" s="3"/>
      <c r="G3" s="3"/>
    </row>
    <row r="4" spans="1:7" ht="26.05" customHeight="1" x14ac:dyDescent="0.55000000000000004">
      <c r="A4" s="127" t="s">
        <v>1</v>
      </c>
      <c r="B4" s="123"/>
      <c r="C4" s="123"/>
      <c r="D4" s="123"/>
      <c r="E4" s="123"/>
      <c r="F4" s="123"/>
      <c r="G4" s="124"/>
    </row>
    <row r="5" spans="1:7" ht="18" customHeight="1" x14ac:dyDescent="0.55000000000000004">
      <c r="A5" s="8" t="s">
        <v>2</v>
      </c>
      <c r="B5" s="8" t="s">
        <v>3</v>
      </c>
      <c r="C5" s="8" t="s">
        <v>4</v>
      </c>
      <c r="D5" s="8" t="s">
        <v>5</v>
      </c>
      <c r="E5" s="8" t="s">
        <v>6</v>
      </c>
      <c r="F5" s="8" t="s">
        <v>7</v>
      </c>
      <c r="G5" s="8" t="s">
        <v>8</v>
      </c>
    </row>
    <row r="6" spans="1:7" ht="26.05" customHeight="1" x14ac:dyDescent="0.55000000000000004">
      <c r="A6" s="35">
        <v>1</v>
      </c>
      <c r="B6" s="1" t="s">
        <v>9</v>
      </c>
      <c r="C6" s="36" t="s">
        <v>10</v>
      </c>
      <c r="D6" s="37">
        <f>'VERİ GİRİŞİ'!C29</f>
        <v>0</v>
      </c>
      <c r="E6" s="38" t="s">
        <v>11</v>
      </c>
      <c r="F6" s="39" t="s">
        <v>12</v>
      </c>
      <c r="G6" s="10" t="s">
        <v>13</v>
      </c>
    </row>
    <row r="7" spans="1:7" ht="26.05" customHeight="1" x14ac:dyDescent="0.55000000000000004">
      <c r="A7" s="35">
        <v>2</v>
      </c>
      <c r="B7" s="1" t="s">
        <v>14</v>
      </c>
      <c r="C7" s="36" t="s">
        <v>15</v>
      </c>
      <c r="D7" s="37">
        <f>'VERİ GİRİŞİ'!C30</f>
        <v>0</v>
      </c>
      <c r="E7" s="38" t="s">
        <v>11</v>
      </c>
      <c r="F7" s="39" t="s">
        <v>16</v>
      </c>
      <c r="G7" s="10" t="s">
        <v>17</v>
      </c>
    </row>
    <row r="8" spans="1:7" ht="26.05" customHeight="1" x14ac:dyDescent="0.55000000000000004">
      <c r="A8" s="35">
        <v>3</v>
      </c>
      <c r="B8" s="40" t="s">
        <v>18</v>
      </c>
      <c r="C8" s="41" t="s">
        <v>19</v>
      </c>
      <c r="D8" s="34">
        <f>D6+D7</f>
        <v>0</v>
      </c>
      <c r="E8" s="42" t="s">
        <v>20</v>
      </c>
      <c r="F8" s="43" t="s">
        <v>21</v>
      </c>
      <c r="G8" s="44" t="s">
        <v>22</v>
      </c>
    </row>
    <row r="9" spans="1:7" ht="26.05" customHeight="1" x14ac:dyDescent="0.55000000000000004">
      <c r="A9" s="45">
        <v>4</v>
      </c>
      <c r="B9" s="46" t="s">
        <v>23</v>
      </c>
      <c r="C9" s="47" t="s">
        <v>24</v>
      </c>
      <c r="D9" s="38">
        <f>-'VERİ GİRİŞİ'!C37</f>
        <v>0</v>
      </c>
      <c r="E9" s="48" t="s">
        <v>25</v>
      </c>
      <c r="F9" s="20" t="s">
        <v>26</v>
      </c>
      <c r="G9" s="49" t="s">
        <v>27</v>
      </c>
    </row>
    <row r="10" spans="1:7" ht="26.05" customHeight="1" x14ac:dyDescent="0.55000000000000004">
      <c r="A10" s="45">
        <v>5</v>
      </c>
      <c r="B10" s="46" t="s">
        <v>28</v>
      </c>
      <c r="C10" s="47" t="s">
        <v>29</v>
      </c>
      <c r="D10" s="38">
        <f>-'VERİ GİRİŞİ'!C38</f>
        <v>0</v>
      </c>
      <c r="E10" s="48" t="s">
        <v>25</v>
      </c>
      <c r="F10" s="20" t="s">
        <v>26</v>
      </c>
      <c r="G10" s="49" t="s">
        <v>30</v>
      </c>
    </row>
    <row r="11" spans="1:7" ht="26.05" customHeight="1" x14ac:dyDescent="0.55000000000000004">
      <c r="A11" s="45">
        <v>6</v>
      </c>
      <c r="B11" s="46" t="s">
        <v>31</v>
      </c>
      <c r="C11" s="47" t="s">
        <v>32</v>
      </c>
      <c r="D11" s="38">
        <f>-'VERİ GİRİŞİ'!C39</f>
        <v>0</v>
      </c>
      <c r="E11" s="48" t="s">
        <v>25</v>
      </c>
      <c r="F11" s="20" t="s">
        <v>26</v>
      </c>
      <c r="G11" s="49" t="s">
        <v>33</v>
      </c>
    </row>
    <row r="12" spans="1:7" ht="26.05" customHeight="1" x14ac:dyDescent="0.55000000000000004">
      <c r="A12" s="45">
        <v>7</v>
      </c>
      <c r="B12" s="46" t="s">
        <v>34</v>
      </c>
      <c r="C12" s="47" t="s">
        <v>35</v>
      </c>
      <c r="D12" s="38">
        <f>-'VERİ GİRİŞİ'!C40</f>
        <v>0</v>
      </c>
      <c r="E12" s="48" t="s">
        <v>25</v>
      </c>
      <c r="F12" s="20" t="s">
        <v>26</v>
      </c>
      <c r="G12" s="49" t="s">
        <v>36</v>
      </c>
    </row>
    <row r="13" spans="1:7" ht="26.05" customHeight="1" x14ac:dyDescent="0.55000000000000004">
      <c r="A13" s="45">
        <v>8</v>
      </c>
      <c r="B13" s="46" t="s">
        <v>37</v>
      </c>
      <c r="C13" s="47" t="s">
        <v>38</v>
      </c>
      <c r="D13" s="38">
        <f>-'VERİ GİRİŞİ'!C41</f>
        <v>0</v>
      </c>
      <c r="E13" s="48" t="s">
        <v>25</v>
      </c>
      <c r="F13" s="20" t="s">
        <v>26</v>
      </c>
      <c r="G13" s="49" t="s">
        <v>39</v>
      </c>
    </row>
    <row r="14" spans="1:7" ht="26.05" customHeight="1" x14ac:dyDescent="0.55000000000000004">
      <c r="A14" s="45">
        <v>9</v>
      </c>
      <c r="B14" s="46" t="s">
        <v>40</v>
      </c>
      <c r="C14" s="47" t="s">
        <v>41</v>
      </c>
      <c r="D14" s="38">
        <f>-'VERİ GİRİŞİ'!C42</f>
        <v>0</v>
      </c>
      <c r="E14" s="48" t="s">
        <v>25</v>
      </c>
      <c r="F14" s="20" t="s">
        <v>26</v>
      </c>
      <c r="G14" s="49" t="s">
        <v>42</v>
      </c>
    </row>
    <row r="15" spans="1:7" ht="26.05" customHeight="1" x14ac:dyDescent="0.55000000000000004">
      <c r="A15" s="45">
        <v>10</v>
      </c>
      <c r="B15" s="46" t="s">
        <v>43</v>
      </c>
      <c r="C15" s="47" t="s">
        <v>44</v>
      </c>
      <c r="D15" s="38">
        <f>-'VERİ GİRİŞİ'!C43</f>
        <v>0</v>
      </c>
      <c r="E15" s="48" t="s">
        <v>25</v>
      </c>
      <c r="F15" s="20" t="s">
        <v>26</v>
      </c>
      <c r="G15" s="49" t="s">
        <v>45</v>
      </c>
    </row>
    <row r="16" spans="1:7" ht="26.05" customHeight="1" x14ac:dyDescent="0.55000000000000004">
      <c r="A16" s="45">
        <v>11</v>
      </c>
      <c r="B16" s="46" t="s">
        <v>46</v>
      </c>
      <c r="C16" s="47" t="s">
        <v>47</v>
      </c>
      <c r="D16" s="38">
        <f>-'VERİ GİRİŞİ'!C44</f>
        <v>0</v>
      </c>
      <c r="E16" s="48" t="s">
        <v>25</v>
      </c>
      <c r="F16" s="20" t="s">
        <v>26</v>
      </c>
      <c r="G16" s="49" t="s">
        <v>48</v>
      </c>
    </row>
    <row r="17" spans="1:7" ht="26.05" customHeight="1" x14ac:dyDescent="0.55000000000000004">
      <c r="A17" s="45">
        <v>12</v>
      </c>
      <c r="B17" s="46" t="s">
        <v>49</v>
      </c>
      <c r="C17" s="47" t="s">
        <v>50</v>
      </c>
      <c r="D17" s="38">
        <f>-'VERİ GİRİŞİ'!C45</f>
        <v>0</v>
      </c>
      <c r="E17" s="48" t="s">
        <v>25</v>
      </c>
      <c r="F17" s="20" t="s">
        <v>26</v>
      </c>
      <c r="G17" s="49" t="s">
        <v>51</v>
      </c>
    </row>
    <row r="18" spans="1:7" ht="26.05" customHeight="1" x14ac:dyDescent="0.55000000000000004">
      <c r="A18" s="45">
        <v>13</v>
      </c>
      <c r="B18" s="46" t="s">
        <v>52</v>
      </c>
      <c r="C18" s="47" t="s">
        <v>53</v>
      </c>
      <c r="D18" s="38">
        <f>-'VERİ GİRİŞİ'!C46</f>
        <v>0</v>
      </c>
      <c r="E18" s="48" t="s">
        <v>25</v>
      </c>
      <c r="F18" s="20" t="s">
        <v>54</v>
      </c>
      <c r="G18" s="49" t="s">
        <v>55</v>
      </c>
    </row>
    <row r="19" spans="1:7" ht="26.05" customHeight="1" x14ac:dyDescent="0.55000000000000004">
      <c r="A19" s="45">
        <v>14</v>
      </c>
      <c r="B19" s="46" t="s">
        <v>56</v>
      </c>
      <c r="C19" s="47" t="s">
        <v>57</v>
      </c>
      <c r="D19" s="38">
        <f>-'VERİ GİRİŞİ'!C47</f>
        <v>0</v>
      </c>
      <c r="E19" s="48" t="s">
        <v>25</v>
      </c>
      <c r="F19" s="20" t="s">
        <v>54</v>
      </c>
      <c r="G19" s="49" t="s">
        <v>58</v>
      </c>
    </row>
    <row r="20" spans="1:7" ht="26.05" customHeight="1" x14ac:dyDescent="0.55000000000000004">
      <c r="A20" s="45">
        <v>15</v>
      </c>
      <c r="B20" s="46" t="s">
        <v>59</v>
      </c>
      <c r="C20" s="47" t="s">
        <v>60</v>
      </c>
      <c r="D20" s="38">
        <f>-'VERİ GİRİŞİ'!C48</f>
        <v>0</v>
      </c>
      <c r="E20" s="48" t="s">
        <v>25</v>
      </c>
      <c r="F20" s="20" t="s">
        <v>54</v>
      </c>
      <c r="G20" s="49" t="s">
        <v>61</v>
      </c>
    </row>
    <row r="21" spans="1:7" ht="26.05" customHeight="1" x14ac:dyDescent="0.55000000000000004">
      <c r="A21" s="50">
        <v>16</v>
      </c>
      <c r="B21" s="51" t="s">
        <v>62</v>
      </c>
      <c r="C21" s="52" t="s">
        <v>19</v>
      </c>
      <c r="D21" s="53">
        <f>D8+SUM(D9:D20)</f>
        <v>0</v>
      </c>
      <c r="E21" s="54" t="s">
        <v>20</v>
      </c>
      <c r="F21" s="55" t="s">
        <v>63</v>
      </c>
      <c r="G21" s="56" t="s">
        <v>64</v>
      </c>
    </row>
    <row r="22" spans="1:7" ht="26.05" customHeight="1" x14ac:dyDescent="0.55000000000000004">
      <c r="A22" s="35">
        <v>17</v>
      </c>
      <c r="B22" s="40" t="s">
        <v>65</v>
      </c>
      <c r="C22" s="41" t="s">
        <v>19</v>
      </c>
      <c r="D22" s="34">
        <f>IF(D21&gt;0,D21*0.1,0)</f>
        <v>0</v>
      </c>
      <c r="E22" s="57" t="s">
        <v>66</v>
      </c>
      <c r="F22" s="43" t="s">
        <v>67</v>
      </c>
      <c r="G22" s="44" t="s">
        <v>68</v>
      </c>
    </row>
    <row r="23" spans="1:7" ht="26.05" customHeight="1" x14ac:dyDescent="0.55000000000000004">
      <c r="A23" s="58">
        <v>18</v>
      </c>
      <c r="B23" s="59" t="s">
        <v>69</v>
      </c>
      <c r="C23" s="60" t="s">
        <v>70</v>
      </c>
      <c r="D23" s="61">
        <f>-'VERİ GİRİŞİ'!E73</f>
        <v>0</v>
      </c>
      <c r="E23" s="62" t="s">
        <v>25</v>
      </c>
      <c r="F23" s="63" t="s">
        <v>71</v>
      </c>
      <c r="G23" s="64" t="s">
        <v>72</v>
      </c>
    </row>
    <row r="24" spans="1:7" ht="26.05" customHeight="1" x14ac:dyDescent="0.55000000000000004">
      <c r="A24" s="58">
        <v>19</v>
      </c>
      <c r="B24" s="59" t="s">
        <v>73</v>
      </c>
      <c r="C24" s="60" t="s">
        <v>74</v>
      </c>
      <c r="D24" s="61">
        <f>-'VERİ GİRİŞİ'!E74</f>
        <v>0</v>
      </c>
      <c r="E24" s="62" t="s">
        <v>25</v>
      </c>
      <c r="F24" s="63" t="s">
        <v>71</v>
      </c>
      <c r="G24" s="64" t="s">
        <v>75</v>
      </c>
    </row>
    <row r="25" spans="1:7" ht="26.05" customHeight="1" x14ac:dyDescent="0.55000000000000004">
      <c r="A25" s="58">
        <v>20</v>
      </c>
      <c r="B25" s="59" t="s">
        <v>76</v>
      </c>
      <c r="C25" s="60" t="s">
        <v>77</v>
      </c>
      <c r="D25" s="61">
        <f>-'VERİ GİRİŞİ'!E75</f>
        <v>0</v>
      </c>
      <c r="E25" s="62" t="s">
        <v>25</v>
      </c>
      <c r="F25" s="63" t="s">
        <v>71</v>
      </c>
      <c r="G25" s="64" t="s">
        <v>78</v>
      </c>
    </row>
    <row r="26" spans="1:7" ht="26.05" customHeight="1" x14ac:dyDescent="0.55000000000000004">
      <c r="A26" s="58">
        <v>21</v>
      </c>
      <c r="B26" s="59" t="s">
        <v>79</v>
      </c>
      <c r="C26" s="60" t="s">
        <v>80</v>
      </c>
      <c r="D26" s="61">
        <f>-'VERİ GİRİŞİ'!E76</f>
        <v>0</v>
      </c>
      <c r="E26" s="62" t="s">
        <v>25</v>
      </c>
      <c r="F26" s="63" t="s">
        <v>71</v>
      </c>
      <c r="G26" s="64" t="s">
        <v>81</v>
      </c>
    </row>
    <row r="27" spans="1:7" ht="26.05" customHeight="1" x14ac:dyDescent="0.55000000000000004">
      <c r="A27" s="50">
        <v>22</v>
      </c>
      <c r="B27" s="22" t="s">
        <v>82</v>
      </c>
      <c r="C27" s="65" t="s">
        <v>19</v>
      </c>
      <c r="D27" s="66">
        <f>MAX(0,D22+SUM(D23:D26))</f>
        <v>0</v>
      </c>
      <c r="E27" s="13" t="s">
        <v>20</v>
      </c>
      <c r="F27" s="23" t="s">
        <v>83</v>
      </c>
      <c r="G27" s="67" t="s">
        <v>84</v>
      </c>
    </row>
    <row r="28" spans="1:7" ht="5.05" customHeight="1" x14ac:dyDescent="0.55000000000000004">
      <c r="A28" s="3"/>
      <c r="B28" s="3"/>
      <c r="C28" s="3"/>
      <c r="D28" s="3"/>
      <c r="E28" s="3"/>
      <c r="F28" s="3"/>
      <c r="G28" s="3"/>
    </row>
    <row r="29" spans="1:7" ht="26.05" customHeight="1" x14ac:dyDescent="0.55000000000000004">
      <c r="A29" s="130" t="s">
        <v>85</v>
      </c>
      <c r="B29" s="123"/>
      <c r="C29" s="123"/>
      <c r="D29" s="123"/>
      <c r="E29" s="123"/>
      <c r="F29" s="123"/>
      <c r="G29" s="124"/>
    </row>
    <row r="30" spans="1:7" ht="24" customHeight="1" x14ac:dyDescent="0.55000000000000004">
      <c r="A30" s="68" t="s">
        <v>86</v>
      </c>
      <c r="B30" s="142" t="s">
        <v>87</v>
      </c>
      <c r="C30" s="120"/>
      <c r="D30" s="69">
        <f>'VERİ GİRİŞİ'!C82</f>
        <v>0</v>
      </c>
      <c r="E30" s="132" t="s">
        <v>88</v>
      </c>
      <c r="F30" s="126"/>
      <c r="G30" s="120"/>
    </row>
    <row r="31" spans="1:7" ht="24" customHeight="1" x14ac:dyDescent="0.55000000000000004">
      <c r="A31" s="68" t="s">
        <v>89</v>
      </c>
      <c r="B31" s="131" t="s">
        <v>90</v>
      </c>
      <c r="C31" s="120"/>
      <c r="D31" s="69">
        <f>D27</f>
        <v>0</v>
      </c>
      <c r="E31" s="125" t="s">
        <v>91</v>
      </c>
      <c r="F31" s="126"/>
      <c r="G31" s="120"/>
    </row>
    <row r="32" spans="1:7" ht="32.049999999999997" customHeight="1" x14ac:dyDescent="0.55000000000000004">
      <c r="A32" s="70" t="s">
        <v>92</v>
      </c>
      <c r="B32" s="146" t="s">
        <v>93</v>
      </c>
      <c r="C32" s="120"/>
      <c r="D32" s="71">
        <f>MAX(D30,D31)</f>
        <v>0</v>
      </c>
      <c r="E32" s="137" t="str">
        <f>IF(D30&gt;=D31,"✓ Genel KV Uygulanır — YİAKV Ek Yük Yok","★ YİAKV Devreye Girdi — Fark Ödenmeli")</f>
        <v>✓ Genel KV Uygulanır — YİAKV Ek Yük Yok</v>
      </c>
      <c r="F32" s="126"/>
      <c r="G32" s="120"/>
    </row>
    <row r="33" spans="1:7" ht="28" customHeight="1" x14ac:dyDescent="0.55000000000000004">
      <c r="A33" s="72" t="s">
        <v>94</v>
      </c>
      <c r="B33" s="144" t="s">
        <v>95</v>
      </c>
      <c r="C33" s="120"/>
      <c r="D33" s="73">
        <f>MAX(0,D31-D30)</f>
        <v>0</v>
      </c>
      <c r="E33" s="143" t="s">
        <v>96</v>
      </c>
      <c r="F33" s="126"/>
      <c r="G33" s="120"/>
    </row>
    <row r="34" spans="1:7" ht="5.05" customHeight="1" x14ac:dyDescent="0.55000000000000004">
      <c r="A34" s="3"/>
      <c r="B34" s="3"/>
      <c r="C34" s="3"/>
      <c r="D34" s="3"/>
      <c r="E34" s="3"/>
      <c r="F34" s="3"/>
      <c r="G34" s="3"/>
    </row>
    <row r="35" spans="1:7" ht="22" customHeight="1" x14ac:dyDescent="0.55000000000000004">
      <c r="A35" s="122" t="s">
        <v>97</v>
      </c>
      <c r="B35" s="123"/>
      <c r="C35" s="123"/>
      <c r="D35" s="123"/>
      <c r="E35" s="123"/>
      <c r="F35" s="123"/>
      <c r="G35" s="124"/>
    </row>
    <row r="36" spans="1:7" ht="18" customHeight="1" x14ac:dyDescent="0.55000000000000004">
      <c r="A36" s="8"/>
      <c r="B36" s="8" t="s">
        <v>98</v>
      </c>
      <c r="C36" s="8"/>
      <c r="D36" s="8" t="s">
        <v>5</v>
      </c>
      <c r="E36" s="8"/>
      <c r="F36" s="8" t="s">
        <v>99</v>
      </c>
      <c r="G36" s="8"/>
    </row>
    <row r="37" spans="1:7" ht="24" customHeight="1" x14ac:dyDescent="0.55000000000000004">
      <c r="A37" s="131" t="s">
        <v>100</v>
      </c>
      <c r="B37" s="120"/>
      <c r="C37" s="5"/>
      <c r="D37" s="38">
        <f>'VERİ GİRİŞİ'!C83</f>
        <v>0</v>
      </c>
      <c r="E37" s="140"/>
      <c r="F37" s="126"/>
      <c r="G37" s="120"/>
    </row>
    <row r="38" spans="1:7" ht="24" customHeight="1" x14ac:dyDescent="0.55000000000000004">
      <c r="A38" s="142" t="s">
        <v>101</v>
      </c>
      <c r="B38" s="120"/>
      <c r="C38" s="2"/>
      <c r="D38" s="38">
        <f>'VERİ GİRİŞİ'!C84</f>
        <v>0</v>
      </c>
      <c r="E38" s="139"/>
      <c r="F38" s="126"/>
      <c r="G38" s="120"/>
    </row>
    <row r="39" spans="1:7" ht="24" customHeight="1" x14ac:dyDescent="0.55000000000000004">
      <c r="A39" s="131" t="s">
        <v>102</v>
      </c>
      <c r="B39" s="120"/>
      <c r="C39" s="5"/>
      <c r="D39" s="38">
        <f>SUM(D37:D38)</f>
        <v>0</v>
      </c>
      <c r="E39" s="140"/>
      <c r="F39" s="126"/>
      <c r="G39" s="120"/>
    </row>
    <row r="40" spans="1:7" ht="24" customHeight="1" x14ac:dyDescent="0.55000000000000004">
      <c r="A40" s="147" t="s">
        <v>103</v>
      </c>
      <c r="B40" s="120"/>
      <c r="C40" s="12"/>
      <c r="D40" s="74">
        <f>MAX(0,D32-D39)</f>
        <v>0</v>
      </c>
      <c r="E40" s="128"/>
      <c r="F40" s="126"/>
      <c r="G40" s="120"/>
    </row>
    <row r="41" spans="1:7" ht="5.05" customHeight="1" x14ac:dyDescent="0.55000000000000004">
      <c r="A41" s="3"/>
      <c r="B41" s="3"/>
      <c r="C41" s="3"/>
      <c r="D41" s="3"/>
      <c r="E41" s="3"/>
      <c r="F41" s="3"/>
      <c r="G41" s="3"/>
    </row>
    <row r="42" spans="1:7" ht="22" customHeight="1" x14ac:dyDescent="0.55000000000000004">
      <c r="A42" s="148" t="s">
        <v>104</v>
      </c>
      <c r="B42" s="123"/>
      <c r="C42" s="123"/>
      <c r="D42" s="123"/>
      <c r="E42" s="123"/>
      <c r="F42" s="123"/>
      <c r="G42" s="124"/>
    </row>
    <row r="43" spans="1:7" ht="18" customHeight="1" x14ac:dyDescent="0.55000000000000004">
      <c r="A43" s="8"/>
      <c r="B43" s="8" t="s">
        <v>105</v>
      </c>
      <c r="C43" s="8"/>
      <c r="D43" s="8" t="s">
        <v>99</v>
      </c>
      <c r="E43" s="8"/>
      <c r="F43" s="8" t="s">
        <v>106</v>
      </c>
      <c r="G43" s="8"/>
    </row>
    <row r="44" spans="1:7" ht="22" customHeight="1" x14ac:dyDescent="0.55000000000000004">
      <c r="A44" s="75" t="s">
        <v>107</v>
      </c>
      <c r="B44" s="119" t="s">
        <v>108</v>
      </c>
      <c r="C44" s="120"/>
      <c r="D44" s="129" t="s">
        <v>109</v>
      </c>
      <c r="E44" s="120"/>
      <c r="F44" s="77" t="s">
        <v>110</v>
      </c>
      <c r="G44" s="2"/>
    </row>
    <row r="45" spans="1:7" ht="22" customHeight="1" x14ac:dyDescent="0.55000000000000004">
      <c r="A45" s="75" t="s">
        <v>111</v>
      </c>
      <c r="B45" s="119" t="s">
        <v>112</v>
      </c>
      <c r="C45" s="120"/>
      <c r="D45" s="129" t="s">
        <v>113</v>
      </c>
      <c r="E45" s="120"/>
      <c r="F45" s="77" t="s">
        <v>110</v>
      </c>
      <c r="G45" s="5"/>
    </row>
    <row r="46" spans="1:7" ht="22" customHeight="1" x14ac:dyDescent="0.55000000000000004">
      <c r="A46" s="75" t="s">
        <v>114</v>
      </c>
      <c r="B46" s="119" t="s">
        <v>115</v>
      </c>
      <c r="C46" s="120"/>
      <c r="D46" s="129" t="s">
        <v>116</v>
      </c>
      <c r="E46" s="120"/>
      <c r="F46" s="77" t="s">
        <v>110</v>
      </c>
      <c r="G46" s="2"/>
    </row>
    <row r="47" spans="1:7" ht="22" customHeight="1" x14ac:dyDescent="0.55000000000000004">
      <c r="A47" s="75" t="s">
        <v>117</v>
      </c>
      <c r="B47" s="119" t="s">
        <v>118</v>
      </c>
      <c r="C47" s="120"/>
      <c r="D47" s="129" t="s">
        <v>119</v>
      </c>
      <c r="E47" s="120"/>
      <c r="F47" s="77" t="s">
        <v>110</v>
      </c>
      <c r="G47" s="5"/>
    </row>
    <row r="48" spans="1:7" ht="36" customHeight="1" x14ac:dyDescent="0.55000000000000004">
      <c r="A48" s="75" t="s">
        <v>120</v>
      </c>
      <c r="B48" s="133" t="s">
        <v>121</v>
      </c>
      <c r="C48" s="120"/>
      <c r="D48" s="134" t="s">
        <v>122</v>
      </c>
      <c r="E48" s="120"/>
      <c r="F48" s="77" t="s">
        <v>110</v>
      </c>
      <c r="G48" s="2"/>
    </row>
    <row r="49" spans="1:7" ht="22" customHeight="1" x14ac:dyDescent="0.55000000000000004">
      <c r="A49" s="75" t="s">
        <v>123</v>
      </c>
      <c r="B49" s="136" t="s">
        <v>124</v>
      </c>
      <c r="C49" s="120"/>
      <c r="D49" s="135" t="s">
        <v>125</v>
      </c>
      <c r="E49" s="120"/>
      <c r="F49" s="77" t="s">
        <v>110</v>
      </c>
      <c r="G49" s="5"/>
    </row>
    <row r="50" spans="1:7" ht="22" customHeight="1" x14ac:dyDescent="0.55000000000000004">
      <c r="A50" s="75" t="s">
        <v>126</v>
      </c>
      <c r="B50" s="121" t="s">
        <v>127</v>
      </c>
      <c r="C50" s="120"/>
      <c r="D50" s="134" t="s">
        <v>128</v>
      </c>
      <c r="E50" s="120"/>
      <c r="F50" s="77" t="s">
        <v>110</v>
      </c>
      <c r="G50" s="2"/>
    </row>
    <row r="51" spans="1:7" ht="22" customHeight="1" x14ac:dyDescent="0.55000000000000004">
      <c r="A51" s="75" t="s">
        <v>129</v>
      </c>
      <c r="B51" s="136" t="s">
        <v>130</v>
      </c>
      <c r="C51" s="120"/>
      <c r="D51" s="135" t="s">
        <v>131</v>
      </c>
      <c r="E51" s="120"/>
      <c r="F51" s="77" t="s">
        <v>110</v>
      </c>
      <c r="G51" s="5"/>
    </row>
    <row r="52" spans="1:7" ht="22" customHeight="1" x14ac:dyDescent="0.55000000000000004">
      <c r="A52" s="75" t="s">
        <v>132</v>
      </c>
      <c r="B52" s="121" t="s">
        <v>133</v>
      </c>
      <c r="C52" s="120"/>
      <c r="D52" s="134" t="s">
        <v>134</v>
      </c>
      <c r="E52" s="120"/>
      <c r="F52" s="77" t="s">
        <v>110</v>
      </c>
      <c r="G52" s="2"/>
    </row>
    <row r="53" spans="1:7" ht="22" customHeight="1" x14ac:dyDescent="0.55000000000000004">
      <c r="A53" s="75" t="s">
        <v>135</v>
      </c>
      <c r="B53" s="136" t="s">
        <v>136</v>
      </c>
      <c r="C53" s="120"/>
      <c r="D53" s="135" t="s">
        <v>137</v>
      </c>
      <c r="E53" s="120"/>
      <c r="F53" s="77" t="s">
        <v>110</v>
      </c>
      <c r="G53" s="5"/>
    </row>
    <row r="54" spans="1:7" ht="22" customHeight="1" x14ac:dyDescent="0.55000000000000004">
      <c r="A54" s="75" t="s">
        <v>138</v>
      </c>
      <c r="B54" s="121" t="s">
        <v>139</v>
      </c>
      <c r="C54" s="120"/>
      <c r="D54" s="134" t="s">
        <v>140</v>
      </c>
      <c r="E54" s="120"/>
      <c r="F54" s="77" t="s">
        <v>110</v>
      </c>
      <c r="G54" s="2"/>
    </row>
    <row r="55" spans="1:7" ht="32.049999999999997" customHeight="1" x14ac:dyDescent="0.55000000000000004">
      <c r="A55" s="75" t="s">
        <v>141</v>
      </c>
      <c r="B55" s="141" t="s">
        <v>142</v>
      </c>
      <c r="C55" s="120"/>
      <c r="D55" s="135" t="s">
        <v>143</v>
      </c>
      <c r="E55" s="120"/>
      <c r="F55" s="77" t="s">
        <v>110</v>
      </c>
      <c r="G55" s="5"/>
    </row>
    <row r="56" spans="1:7" ht="22" customHeight="1" x14ac:dyDescent="0.55000000000000004">
      <c r="A56" s="75" t="s">
        <v>144</v>
      </c>
      <c r="B56" s="121" t="s">
        <v>145</v>
      </c>
      <c r="C56" s="120"/>
      <c r="D56" s="134" t="s">
        <v>146</v>
      </c>
      <c r="E56" s="120"/>
      <c r="F56" s="77" t="s">
        <v>110</v>
      </c>
      <c r="G56" s="2"/>
    </row>
    <row r="57" spans="1:7" ht="22" customHeight="1" x14ac:dyDescent="0.55000000000000004">
      <c r="A57" s="75" t="s">
        <v>147</v>
      </c>
      <c r="B57" s="136" t="s">
        <v>148</v>
      </c>
      <c r="C57" s="120"/>
      <c r="D57" s="135" t="s">
        <v>149</v>
      </c>
      <c r="E57" s="120"/>
      <c r="F57" s="77" t="s">
        <v>110</v>
      </c>
      <c r="G57" s="5"/>
    </row>
  </sheetData>
  <mergeCells count="50">
    <mergeCell ref="A1:G1"/>
    <mergeCell ref="E38:G38"/>
    <mergeCell ref="E37:G37"/>
    <mergeCell ref="D56:E56"/>
    <mergeCell ref="B49:C49"/>
    <mergeCell ref="B55:C55"/>
    <mergeCell ref="B30:C30"/>
    <mergeCell ref="A38:B38"/>
    <mergeCell ref="D55:E55"/>
    <mergeCell ref="E33:G33"/>
    <mergeCell ref="B33:C33"/>
    <mergeCell ref="B51:C51"/>
    <mergeCell ref="E39:G39"/>
    <mergeCell ref="D51:E51"/>
    <mergeCell ref="B45:C45"/>
    <mergeCell ref="A2:G2"/>
    <mergeCell ref="D57:E57"/>
    <mergeCell ref="D49:E49"/>
    <mergeCell ref="A37:B37"/>
    <mergeCell ref="D48:E48"/>
    <mergeCell ref="B57:C57"/>
    <mergeCell ref="B53:C53"/>
    <mergeCell ref="D53:E53"/>
    <mergeCell ref="D47:E47"/>
    <mergeCell ref="B44:C44"/>
    <mergeCell ref="B50:C50"/>
    <mergeCell ref="D54:E54"/>
    <mergeCell ref="A40:B40"/>
    <mergeCell ref="D50:E50"/>
    <mergeCell ref="D44:E44"/>
    <mergeCell ref="A39:B39"/>
    <mergeCell ref="A42:G42"/>
    <mergeCell ref="B56:C56"/>
    <mergeCell ref="D45:E45"/>
    <mergeCell ref="B52:C52"/>
    <mergeCell ref="B48:C48"/>
    <mergeCell ref="D52:E52"/>
    <mergeCell ref="B47:C47"/>
    <mergeCell ref="B54:C54"/>
    <mergeCell ref="A35:G35"/>
    <mergeCell ref="E31:G31"/>
    <mergeCell ref="A4:G4"/>
    <mergeCell ref="B46:C46"/>
    <mergeCell ref="E40:G40"/>
    <mergeCell ref="D46:E46"/>
    <mergeCell ref="A29:G29"/>
    <mergeCell ref="B31:C31"/>
    <mergeCell ref="E30:G30"/>
    <mergeCell ref="E32:G32"/>
    <mergeCell ref="B32:C32"/>
  </mergeCells>
  <conditionalFormatting sqref="E32">
    <cfRule type="containsText" dxfId="1" priority="1" operator="containsText" text="Genel KV">
      <formula>NOT(ISERROR(SEARCH("Genel KV",E32)))</formula>
    </cfRule>
    <cfRule type="containsText" dxfId="0" priority="2" operator="containsText" text="YİAKV Devreye">
      <formula>NOT(ISERROR(SEARCH("YİAKV Devreye",E32)))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6"/>
  <sheetViews>
    <sheetView topLeftCell="A24" workbookViewId="0">
      <selection sqref="A1:E1"/>
    </sheetView>
  </sheetViews>
  <sheetFormatPr defaultRowHeight="14.4" x14ac:dyDescent="0.55000000000000004"/>
  <cols>
    <col min="1" max="1" width="4" customWidth="1"/>
    <col min="2" max="2" width="54" customWidth="1"/>
    <col min="3" max="3" width="18" customWidth="1"/>
    <col min="4" max="5" width="22" customWidth="1"/>
  </cols>
  <sheetData>
    <row r="1" spans="1:5" ht="36" customHeight="1" x14ac:dyDescent="0.55000000000000004">
      <c r="A1" s="127" t="s">
        <v>296</v>
      </c>
      <c r="B1" s="123"/>
      <c r="C1" s="123"/>
      <c r="D1" s="123"/>
      <c r="E1" s="124"/>
    </row>
    <row r="2" spans="1:5" ht="22" customHeight="1" x14ac:dyDescent="0.55000000000000004">
      <c r="A2" s="174" t="s">
        <v>297</v>
      </c>
      <c r="B2" s="123"/>
      <c r="C2" s="123"/>
      <c r="D2" s="123"/>
      <c r="E2" s="124"/>
    </row>
    <row r="3" spans="1:5" ht="22" customHeight="1" x14ac:dyDescent="0.55000000000000004">
      <c r="A3" s="81" t="s">
        <v>298</v>
      </c>
      <c r="B3" s="81" t="s">
        <v>299</v>
      </c>
      <c r="C3" s="81" t="s">
        <v>300</v>
      </c>
      <c r="D3" s="81" t="s">
        <v>301</v>
      </c>
      <c r="E3" s="81" t="s">
        <v>199</v>
      </c>
    </row>
    <row r="4" spans="1:5" ht="24" customHeight="1" x14ac:dyDescent="0.55000000000000004">
      <c r="A4" s="45">
        <v>1</v>
      </c>
      <c r="B4" s="82" t="s">
        <v>302</v>
      </c>
      <c r="C4" s="83" t="s">
        <v>303</v>
      </c>
      <c r="D4" s="84" t="s">
        <v>303</v>
      </c>
      <c r="E4" s="85" t="s">
        <v>304</v>
      </c>
    </row>
    <row r="5" spans="1:5" ht="24" customHeight="1" x14ac:dyDescent="0.55000000000000004">
      <c r="A5" s="45">
        <v>2</v>
      </c>
      <c r="B5" s="82" t="s">
        <v>305</v>
      </c>
      <c r="C5" s="83" t="s">
        <v>303</v>
      </c>
      <c r="D5" s="84" t="s">
        <v>303</v>
      </c>
      <c r="E5" s="85" t="s">
        <v>306</v>
      </c>
    </row>
    <row r="6" spans="1:5" ht="60" customHeight="1" x14ac:dyDescent="0.55000000000000004">
      <c r="A6" s="45">
        <v>3</v>
      </c>
      <c r="B6" s="82" t="s">
        <v>307</v>
      </c>
      <c r="C6" s="83" t="s">
        <v>303</v>
      </c>
      <c r="D6" s="118" t="s">
        <v>308</v>
      </c>
      <c r="E6" s="85" t="s">
        <v>248</v>
      </c>
    </row>
    <row r="7" spans="1:5" ht="24" customHeight="1" x14ac:dyDescent="0.55000000000000004">
      <c r="A7" s="45">
        <v>4</v>
      </c>
      <c r="B7" s="82" t="s">
        <v>309</v>
      </c>
      <c r="C7" s="83" t="s">
        <v>303</v>
      </c>
      <c r="D7" s="84" t="s">
        <v>303</v>
      </c>
      <c r="E7" s="85" t="s">
        <v>310</v>
      </c>
    </row>
    <row r="8" spans="1:5" ht="24" customHeight="1" x14ac:dyDescent="0.55000000000000004">
      <c r="A8" s="45">
        <v>5</v>
      </c>
      <c r="B8" s="82" t="s">
        <v>311</v>
      </c>
      <c r="C8" s="83" t="s">
        <v>303</v>
      </c>
      <c r="D8" s="84" t="s">
        <v>303</v>
      </c>
      <c r="E8" s="85" t="s">
        <v>312</v>
      </c>
    </row>
    <row r="9" spans="1:5" ht="24" customHeight="1" x14ac:dyDescent="0.55000000000000004">
      <c r="A9" s="45">
        <v>6</v>
      </c>
      <c r="B9" s="82" t="s">
        <v>313</v>
      </c>
      <c r="C9" s="83" t="s">
        <v>303</v>
      </c>
      <c r="D9" s="84" t="s">
        <v>303</v>
      </c>
      <c r="E9" s="85" t="s">
        <v>314</v>
      </c>
    </row>
    <row r="10" spans="1:5" ht="24" customHeight="1" x14ac:dyDescent="0.55000000000000004">
      <c r="A10" s="45">
        <v>7</v>
      </c>
      <c r="B10" s="82" t="s">
        <v>315</v>
      </c>
      <c r="C10" s="83" t="s">
        <v>303</v>
      </c>
      <c r="D10" s="84" t="s">
        <v>303</v>
      </c>
      <c r="E10" s="85" t="s">
        <v>316</v>
      </c>
    </row>
    <row r="11" spans="1:5" ht="24" customHeight="1" x14ac:dyDescent="0.55000000000000004">
      <c r="A11" s="45">
        <v>8</v>
      </c>
      <c r="B11" s="82" t="s">
        <v>317</v>
      </c>
      <c r="C11" s="83" t="s">
        <v>303</v>
      </c>
      <c r="D11" s="84" t="s">
        <v>303</v>
      </c>
      <c r="E11" s="85" t="s">
        <v>260</v>
      </c>
    </row>
    <row r="12" spans="1:5" ht="24" customHeight="1" x14ac:dyDescent="0.55000000000000004">
      <c r="A12" s="45">
        <v>9</v>
      </c>
      <c r="B12" s="82" t="s">
        <v>318</v>
      </c>
      <c r="C12" s="83" t="s">
        <v>303</v>
      </c>
      <c r="D12" s="84" t="s">
        <v>303</v>
      </c>
      <c r="E12" s="85" t="s">
        <v>260</v>
      </c>
    </row>
    <row r="13" spans="1:5" ht="24" customHeight="1" x14ac:dyDescent="0.55000000000000004">
      <c r="A13" s="45">
        <v>10</v>
      </c>
      <c r="B13" s="82" t="s">
        <v>319</v>
      </c>
      <c r="C13" s="83" t="s">
        <v>320</v>
      </c>
      <c r="D13" s="84" t="s">
        <v>320</v>
      </c>
      <c r="E13" s="85" t="s">
        <v>321</v>
      </c>
    </row>
    <row r="14" spans="1:5" ht="24" customHeight="1" x14ac:dyDescent="0.55000000000000004">
      <c r="A14" s="45">
        <v>11</v>
      </c>
      <c r="B14" s="82" t="s">
        <v>322</v>
      </c>
      <c r="C14" s="83" t="s">
        <v>320</v>
      </c>
      <c r="D14" s="84" t="s">
        <v>320</v>
      </c>
      <c r="E14" s="85" t="s">
        <v>323</v>
      </c>
    </row>
    <row r="15" spans="1:5" ht="24" customHeight="1" x14ac:dyDescent="0.55000000000000004">
      <c r="A15" s="45">
        <v>12</v>
      </c>
      <c r="B15" s="82" t="s">
        <v>324</v>
      </c>
      <c r="C15" s="83" t="s">
        <v>320</v>
      </c>
      <c r="D15" s="84" t="s">
        <v>320</v>
      </c>
      <c r="E15" s="85" t="s">
        <v>325</v>
      </c>
    </row>
    <row r="16" spans="1:5" ht="18" customHeight="1" x14ac:dyDescent="0.55000000000000004">
      <c r="A16" s="175" t="s">
        <v>326</v>
      </c>
      <c r="B16" s="123"/>
      <c r="C16" s="123"/>
      <c r="D16" s="123"/>
      <c r="E16" s="124"/>
    </row>
    <row r="17" spans="1:5" ht="24" customHeight="1" x14ac:dyDescent="0.55000000000000004">
      <c r="A17" s="86">
        <v>13</v>
      </c>
      <c r="B17" s="25" t="s">
        <v>327</v>
      </c>
      <c r="C17" s="87" t="s">
        <v>303</v>
      </c>
      <c r="D17" s="88" t="s">
        <v>328</v>
      </c>
      <c r="E17" s="29" t="s">
        <v>244</v>
      </c>
    </row>
    <row r="18" spans="1:5" ht="24" customHeight="1" x14ac:dyDescent="0.55000000000000004">
      <c r="A18" s="86">
        <v>14</v>
      </c>
      <c r="B18" s="25" t="s">
        <v>329</v>
      </c>
      <c r="C18" s="87" t="s">
        <v>303</v>
      </c>
      <c r="D18" s="88" t="s">
        <v>328</v>
      </c>
      <c r="E18" s="29" t="s">
        <v>248</v>
      </c>
    </row>
    <row r="19" spans="1:5" ht="24" customHeight="1" x14ac:dyDescent="0.55000000000000004">
      <c r="A19" s="86">
        <v>15</v>
      </c>
      <c r="B19" s="25" t="s">
        <v>330</v>
      </c>
      <c r="C19" s="87" t="s">
        <v>303</v>
      </c>
      <c r="D19" s="88" t="s">
        <v>328</v>
      </c>
      <c r="E19" s="29" t="s">
        <v>246</v>
      </c>
    </row>
    <row r="20" spans="1:5" ht="24" customHeight="1" x14ac:dyDescent="0.55000000000000004">
      <c r="A20" s="86">
        <v>16</v>
      </c>
      <c r="B20" s="25" t="s">
        <v>331</v>
      </c>
      <c r="C20" s="87" t="s">
        <v>303</v>
      </c>
      <c r="D20" s="88" t="s">
        <v>328</v>
      </c>
      <c r="E20" s="29" t="s">
        <v>250</v>
      </c>
    </row>
    <row r="21" spans="1:5" ht="24" customHeight="1" x14ac:dyDescent="0.55000000000000004">
      <c r="A21" s="86">
        <v>17</v>
      </c>
      <c r="B21" s="25" t="s">
        <v>332</v>
      </c>
      <c r="C21" s="87" t="s">
        <v>303</v>
      </c>
      <c r="D21" s="88" t="s">
        <v>328</v>
      </c>
      <c r="E21" s="29" t="s">
        <v>252</v>
      </c>
    </row>
    <row r="22" spans="1:5" ht="24" customHeight="1" x14ac:dyDescent="0.55000000000000004">
      <c r="A22" s="86">
        <v>18</v>
      </c>
      <c r="B22" s="25" t="s">
        <v>333</v>
      </c>
      <c r="C22" s="87" t="s">
        <v>303</v>
      </c>
      <c r="D22" s="88" t="s">
        <v>328</v>
      </c>
      <c r="E22" s="29" t="s">
        <v>254</v>
      </c>
    </row>
    <row r="23" spans="1:5" ht="44.05" customHeight="1" x14ac:dyDescent="0.55000000000000004">
      <c r="A23" s="86">
        <v>19</v>
      </c>
      <c r="B23" s="25" t="s">
        <v>334</v>
      </c>
      <c r="C23" s="87" t="s">
        <v>303</v>
      </c>
      <c r="D23" s="88" t="s">
        <v>328</v>
      </c>
      <c r="E23" s="29" t="s">
        <v>335</v>
      </c>
    </row>
    <row r="24" spans="1:5" ht="24" customHeight="1" x14ac:dyDescent="0.55000000000000004">
      <c r="A24" s="86">
        <v>20</v>
      </c>
      <c r="B24" s="25" t="s">
        <v>336</v>
      </c>
      <c r="C24" s="87" t="s">
        <v>303</v>
      </c>
      <c r="D24" s="88" t="s">
        <v>328</v>
      </c>
      <c r="E24" s="29" t="s">
        <v>258</v>
      </c>
    </row>
    <row r="25" spans="1:5" ht="24" customHeight="1" x14ac:dyDescent="0.55000000000000004">
      <c r="A25" s="86">
        <v>21</v>
      </c>
      <c r="B25" s="25" t="s">
        <v>337</v>
      </c>
      <c r="C25" s="87" t="s">
        <v>303</v>
      </c>
      <c r="D25" s="88" t="s">
        <v>328</v>
      </c>
      <c r="E25" s="29" t="s">
        <v>260</v>
      </c>
    </row>
    <row r="26" spans="1:5" ht="24" customHeight="1" x14ac:dyDescent="0.55000000000000004">
      <c r="A26" s="86">
        <v>22</v>
      </c>
      <c r="B26" s="25" t="s">
        <v>338</v>
      </c>
      <c r="C26" s="87" t="s">
        <v>320</v>
      </c>
      <c r="D26" s="88" t="s">
        <v>328</v>
      </c>
      <c r="E26" s="29" t="s">
        <v>264</v>
      </c>
    </row>
    <row r="27" spans="1:5" ht="24" customHeight="1" x14ac:dyDescent="0.55000000000000004">
      <c r="A27" s="86">
        <v>23</v>
      </c>
      <c r="B27" s="25" t="s">
        <v>339</v>
      </c>
      <c r="C27" s="87" t="s">
        <v>320</v>
      </c>
      <c r="D27" s="88" t="s">
        <v>328</v>
      </c>
      <c r="E27" s="29" t="s">
        <v>266</v>
      </c>
    </row>
    <row r="28" spans="1:5" ht="24" customHeight="1" x14ac:dyDescent="0.55000000000000004">
      <c r="A28" s="86">
        <v>24</v>
      </c>
      <c r="B28" s="25" t="s">
        <v>340</v>
      </c>
      <c r="C28" s="87" t="s">
        <v>320</v>
      </c>
      <c r="D28" s="88" t="s">
        <v>328</v>
      </c>
      <c r="E28" s="29" t="s">
        <v>262</v>
      </c>
    </row>
    <row r="29" spans="1:5" ht="24" customHeight="1" x14ac:dyDescent="0.55000000000000004">
      <c r="A29" s="86">
        <v>25</v>
      </c>
      <c r="B29" s="25" t="s">
        <v>341</v>
      </c>
      <c r="C29" s="87" t="s">
        <v>320</v>
      </c>
      <c r="D29" s="88" t="s">
        <v>328</v>
      </c>
      <c r="E29" s="29" t="s">
        <v>270</v>
      </c>
    </row>
    <row r="30" spans="1:5" ht="24" customHeight="1" x14ac:dyDescent="0.55000000000000004">
      <c r="A30" s="86">
        <v>26</v>
      </c>
      <c r="B30" s="25" t="s">
        <v>342</v>
      </c>
      <c r="C30" s="87" t="s">
        <v>320</v>
      </c>
      <c r="D30" s="88" t="s">
        <v>328</v>
      </c>
      <c r="E30" s="29" t="s">
        <v>343</v>
      </c>
    </row>
    <row r="31" spans="1:5" ht="24" customHeight="1" x14ac:dyDescent="0.55000000000000004">
      <c r="A31" s="86">
        <v>27</v>
      </c>
      <c r="B31" s="25" t="s">
        <v>344</v>
      </c>
      <c r="C31" s="87" t="s">
        <v>303</v>
      </c>
      <c r="D31" s="88" t="s">
        <v>328</v>
      </c>
      <c r="E31" s="29" t="s">
        <v>272</v>
      </c>
    </row>
    <row r="32" spans="1:5" ht="18" customHeight="1" x14ac:dyDescent="0.55000000000000004">
      <c r="A32" s="176" t="s">
        <v>345</v>
      </c>
      <c r="B32" s="123"/>
      <c r="C32" s="123"/>
      <c r="D32" s="123"/>
      <c r="E32" s="124"/>
    </row>
    <row r="33" spans="1:5" ht="24" customHeight="1" x14ac:dyDescent="0.55000000000000004">
      <c r="A33" s="58">
        <v>28</v>
      </c>
      <c r="B33" s="33" t="s">
        <v>346</v>
      </c>
      <c r="C33" s="89" t="s">
        <v>347</v>
      </c>
      <c r="D33" s="90" t="s">
        <v>348</v>
      </c>
      <c r="E33" s="91" t="s">
        <v>349</v>
      </c>
    </row>
    <row r="34" spans="1:5" ht="24" customHeight="1" x14ac:dyDescent="0.55000000000000004">
      <c r="A34" s="58">
        <v>29</v>
      </c>
      <c r="B34" s="33" t="s">
        <v>350</v>
      </c>
      <c r="C34" s="89" t="s">
        <v>347</v>
      </c>
      <c r="D34" s="90" t="s">
        <v>348</v>
      </c>
      <c r="E34" s="91" t="s">
        <v>351</v>
      </c>
    </row>
    <row r="35" spans="1:5" ht="24" customHeight="1" x14ac:dyDescent="0.55000000000000004">
      <c r="A35" s="86">
        <v>30</v>
      </c>
      <c r="B35" s="7" t="s">
        <v>352</v>
      </c>
      <c r="C35" s="92" t="s">
        <v>347</v>
      </c>
      <c r="D35" s="93" t="s">
        <v>353</v>
      </c>
      <c r="E35" s="94" t="s">
        <v>351</v>
      </c>
    </row>
    <row r="36" spans="1:5" ht="40" customHeight="1" x14ac:dyDescent="0.55000000000000004">
      <c r="A36" s="177" t="s">
        <v>354</v>
      </c>
      <c r="B36" s="123"/>
      <c r="C36" s="123"/>
      <c r="D36" s="123"/>
      <c r="E36" s="124"/>
    </row>
  </sheetData>
  <mergeCells count="5">
    <mergeCell ref="A2:E2"/>
    <mergeCell ref="A16:E16"/>
    <mergeCell ref="A1:E1"/>
    <mergeCell ref="A32:E32"/>
    <mergeCell ref="A36:E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topLeftCell="A5" workbookViewId="0">
      <selection sqref="A1:D1"/>
    </sheetView>
  </sheetViews>
  <sheetFormatPr defaultRowHeight="14.4" x14ac:dyDescent="0.55000000000000004"/>
  <cols>
    <col min="1" max="1" width="4" customWidth="1"/>
    <col min="2" max="2" width="26" customWidth="1"/>
    <col min="3" max="3" width="50" customWidth="1"/>
    <col min="4" max="4" width="22" customWidth="1"/>
  </cols>
  <sheetData>
    <row r="1" spans="1:4" ht="36" customHeight="1" x14ac:dyDescent="0.55000000000000004">
      <c r="A1" s="127" t="s">
        <v>355</v>
      </c>
      <c r="B1" s="123"/>
      <c r="C1" s="123"/>
      <c r="D1" s="124"/>
    </row>
    <row r="2" spans="1:4" ht="22" customHeight="1" x14ac:dyDescent="0.55000000000000004">
      <c r="A2" s="174" t="s">
        <v>356</v>
      </c>
      <c r="B2" s="123"/>
      <c r="C2" s="123"/>
      <c r="D2" s="124"/>
    </row>
    <row r="3" spans="1:4" ht="18" customHeight="1" x14ac:dyDescent="0.55000000000000004">
      <c r="A3" s="8" t="s">
        <v>357</v>
      </c>
      <c r="B3" s="8" t="s">
        <v>358</v>
      </c>
      <c r="C3" s="8" t="s">
        <v>359</v>
      </c>
      <c r="D3" s="8" t="s">
        <v>360</v>
      </c>
    </row>
    <row r="4" spans="1:4" ht="88" customHeight="1" x14ac:dyDescent="0.55000000000000004">
      <c r="A4" s="75" t="s">
        <v>361</v>
      </c>
      <c r="B4" s="78" t="s">
        <v>362</v>
      </c>
      <c r="C4" s="95" t="s">
        <v>363</v>
      </c>
      <c r="D4" s="96" t="s">
        <v>364</v>
      </c>
    </row>
    <row r="5" spans="1:4" ht="160" customHeight="1" x14ac:dyDescent="0.55000000000000004">
      <c r="A5" s="75" t="s">
        <v>365</v>
      </c>
      <c r="B5" s="80" t="s">
        <v>366</v>
      </c>
      <c r="C5" s="76" t="s">
        <v>367</v>
      </c>
      <c r="D5" s="97" t="s">
        <v>368</v>
      </c>
    </row>
    <row r="6" spans="1:4" ht="72" customHeight="1" x14ac:dyDescent="0.55000000000000004">
      <c r="A6" s="75" t="s">
        <v>369</v>
      </c>
      <c r="B6" s="78" t="s">
        <v>370</v>
      </c>
      <c r="C6" s="95" t="s">
        <v>371</v>
      </c>
      <c r="D6" s="96" t="s">
        <v>372</v>
      </c>
    </row>
    <row r="7" spans="1:4" ht="72" customHeight="1" x14ac:dyDescent="0.55000000000000004">
      <c r="A7" s="75" t="s">
        <v>373</v>
      </c>
      <c r="B7" s="80" t="s">
        <v>374</v>
      </c>
      <c r="C7" s="76" t="s">
        <v>375</v>
      </c>
      <c r="D7" s="97" t="s">
        <v>376</v>
      </c>
    </row>
    <row r="8" spans="1:4" ht="88" customHeight="1" x14ac:dyDescent="0.55000000000000004">
      <c r="A8" s="75" t="s">
        <v>377</v>
      </c>
      <c r="B8" s="78" t="s">
        <v>378</v>
      </c>
      <c r="C8" s="95" t="s">
        <v>379</v>
      </c>
      <c r="D8" s="96" t="s">
        <v>380</v>
      </c>
    </row>
    <row r="9" spans="1:4" ht="160" customHeight="1" x14ac:dyDescent="0.55000000000000004">
      <c r="A9" s="113" t="s">
        <v>381</v>
      </c>
      <c r="B9" s="114" t="s">
        <v>382</v>
      </c>
      <c r="C9" s="115" t="s">
        <v>383</v>
      </c>
      <c r="D9" s="116" t="s">
        <v>384</v>
      </c>
    </row>
    <row r="10" spans="1:4" ht="40" customHeight="1" x14ac:dyDescent="0.55000000000000004">
      <c r="A10" s="178" t="s">
        <v>385</v>
      </c>
      <c r="B10" s="123"/>
      <c r="C10" s="123"/>
      <c r="D10" s="124"/>
    </row>
  </sheetData>
  <mergeCells count="3">
    <mergeCell ref="A1:D1"/>
    <mergeCell ref="A10:D10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2"/>
  <sheetViews>
    <sheetView topLeftCell="A20" workbookViewId="0">
      <selection activeCell="C24" sqref="C24"/>
    </sheetView>
  </sheetViews>
  <sheetFormatPr defaultRowHeight="14.4" x14ac:dyDescent="0.55000000000000004"/>
  <cols>
    <col min="1" max="1" width="3" customWidth="1"/>
    <col min="2" max="2" width="8" customWidth="1"/>
    <col min="3" max="3" width="42" customWidth="1"/>
    <col min="4" max="4" width="32" customWidth="1"/>
    <col min="5" max="5" width="22" customWidth="1"/>
    <col min="6" max="6" width="3" customWidth="1"/>
  </cols>
  <sheetData>
    <row r="1" spans="1:6" ht="38.049999999999997" customHeight="1" x14ac:dyDescent="0.55000000000000004">
      <c r="A1" s="183" t="s">
        <v>386</v>
      </c>
      <c r="B1" s="180"/>
      <c r="C1" s="180"/>
      <c r="D1" s="180"/>
      <c r="E1" s="180"/>
      <c r="F1" s="181"/>
    </row>
    <row r="2" spans="1:6" ht="5.05" customHeight="1" x14ac:dyDescent="0.55000000000000004">
      <c r="A2" s="3"/>
      <c r="B2" s="3"/>
      <c r="C2" s="3"/>
      <c r="D2" s="3"/>
      <c r="E2" s="3"/>
      <c r="F2" s="3"/>
    </row>
    <row r="3" spans="1:6" ht="36" customHeight="1" x14ac:dyDescent="0.55000000000000004">
      <c r="A3" s="184" t="s">
        <v>387</v>
      </c>
      <c r="B3" s="180"/>
      <c r="C3" s="180"/>
      <c r="D3" s="180"/>
      <c r="E3" s="180"/>
      <c r="F3" s="181"/>
    </row>
    <row r="4" spans="1:6" ht="18" customHeight="1" x14ac:dyDescent="0.55000000000000004">
      <c r="A4" s="8"/>
      <c r="B4" s="8" t="s">
        <v>2</v>
      </c>
      <c r="C4" s="8" t="s">
        <v>388</v>
      </c>
      <c r="D4" s="8" t="s">
        <v>389</v>
      </c>
      <c r="E4" s="8" t="s">
        <v>390</v>
      </c>
      <c r="F4" s="8"/>
    </row>
    <row r="5" spans="1:6" ht="44.05" customHeight="1" x14ac:dyDescent="0.55000000000000004">
      <c r="A5" s="12"/>
      <c r="B5" s="98" t="s">
        <v>391</v>
      </c>
      <c r="C5" s="99" t="s">
        <v>392</v>
      </c>
      <c r="D5" s="100" t="s">
        <v>393</v>
      </c>
      <c r="E5" s="101" t="s">
        <v>394</v>
      </c>
      <c r="F5" s="12"/>
    </row>
    <row r="6" spans="1:6" ht="40" customHeight="1" x14ac:dyDescent="0.55000000000000004">
      <c r="A6" s="12"/>
      <c r="B6" s="98" t="s">
        <v>395</v>
      </c>
      <c r="C6" s="99" t="s">
        <v>396</v>
      </c>
      <c r="D6" s="100" t="s">
        <v>397</v>
      </c>
      <c r="E6" s="101" t="s">
        <v>398</v>
      </c>
      <c r="F6" s="12"/>
    </row>
    <row r="7" spans="1:6" ht="44.05" customHeight="1" x14ac:dyDescent="0.55000000000000004">
      <c r="A7" s="12"/>
      <c r="B7" s="98" t="s">
        <v>399</v>
      </c>
      <c r="C7" s="99" t="s">
        <v>400</v>
      </c>
      <c r="D7" s="100" t="s">
        <v>401</v>
      </c>
      <c r="E7" s="101" t="s">
        <v>402</v>
      </c>
      <c r="F7" s="12"/>
    </row>
    <row r="8" spans="1:6" ht="40" customHeight="1" x14ac:dyDescent="0.55000000000000004">
      <c r="A8" s="12"/>
      <c r="B8" s="98" t="s">
        <v>403</v>
      </c>
      <c r="C8" s="99" t="s">
        <v>404</v>
      </c>
      <c r="D8" s="100" t="s">
        <v>405</v>
      </c>
      <c r="E8" s="101" t="s">
        <v>406</v>
      </c>
      <c r="F8" s="12"/>
    </row>
    <row r="9" spans="1:6" ht="40" customHeight="1" x14ac:dyDescent="0.55000000000000004">
      <c r="A9" s="12"/>
      <c r="B9" s="98" t="s">
        <v>407</v>
      </c>
      <c r="C9" s="99" t="s">
        <v>408</v>
      </c>
      <c r="D9" s="100" t="s">
        <v>409</v>
      </c>
      <c r="E9" s="101" t="s">
        <v>410</v>
      </c>
      <c r="F9" s="12"/>
    </row>
    <row r="10" spans="1:6" ht="5.05" customHeight="1" x14ac:dyDescent="0.55000000000000004">
      <c r="A10" s="3"/>
      <c r="B10" s="3"/>
      <c r="C10" s="3"/>
      <c r="D10" s="3"/>
      <c r="E10" s="3"/>
      <c r="F10" s="3"/>
    </row>
    <row r="11" spans="1:6" ht="36" customHeight="1" x14ac:dyDescent="0.55000000000000004">
      <c r="A11" s="179" t="s">
        <v>411</v>
      </c>
      <c r="B11" s="180"/>
      <c r="C11" s="180"/>
      <c r="D11" s="180"/>
      <c r="E11" s="180"/>
      <c r="F11" s="181"/>
    </row>
    <row r="12" spans="1:6" ht="18" customHeight="1" x14ac:dyDescent="0.55000000000000004">
      <c r="A12" s="8"/>
      <c r="B12" s="8" t="s">
        <v>2</v>
      </c>
      <c r="C12" s="8" t="s">
        <v>388</v>
      </c>
      <c r="D12" s="8" t="s">
        <v>389</v>
      </c>
      <c r="E12" s="8" t="s">
        <v>390</v>
      </c>
      <c r="F12" s="8"/>
    </row>
    <row r="13" spans="1:6" ht="44.05" customHeight="1" x14ac:dyDescent="0.55000000000000004">
      <c r="A13" s="102"/>
      <c r="B13" s="103" t="s">
        <v>412</v>
      </c>
      <c r="C13" s="104" t="s">
        <v>413</v>
      </c>
      <c r="D13" s="79" t="s">
        <v>414</v>
      </c>
      <c r="E13" s="105" t="s">
        <v>415</v>
      </c>
      <c r="F13" s="102"/>
    </row>
    <row r="14" spans="1:6" ht="44.05" customHeight="1" x14ac:dyDescent="0.55000000000000004">
      <c r="A14" s="102"/>
      <c r="B14" s="103" t="s">
        <v>416</v>
      </c>
      <c r="C14" s="104" t="s">
        <v>417</v>
      </c>
      <c r="D14" s="79" t="s">
        <v>418</v>
      </c>
      <c r="E14" s="105" t="s">
        <v>419</v>
      </c>
      <c r="F14" s="102"/>
    </row>
    <row r="15" spans="1:6" ht="36" customHeight="1" x14ac:dyDescent="0.55000000000000004">
      <c r="A15" s="102"/>
      <c r="B15" s="103" t="s">
        <v>420</v>
      </c>
      <c r="C15" s="104" t="s">
        <v>421</v>
      </c>
      <c r="D15" s="79" t="s">
        <v>422</v>
      </c>
      <c r="E15" s="105" t="s">
        <v>423</v>
      </c>
      <c r="F15" s="102"/>
    </row>
    <row r="16" spans="1:6" ht="40" customHeight="1" x14ac:dyDescent="0.55000000000000004">
      <c r="A16" s="102"/>
      <c r="B16" s="103" t="s">
        <v>424</v>
      </c>
      <c r="C16" s="104" t="s">
        <v>425</v>
      </c>
      <c r="D16" s="79" t="s">
        <v>426</v>
      </c>
      <c r="E16" s="105" t="s">
        <v>427</v>
      </c>
      <c r="F16" s="102"/>
    </row>
    <row r="17" spans="1:6" ht="36" customHeight="1" x14ac:dyDescent="0.55000000000000004">
      <c r="A17" s="102"/>
      <c r="B17" s="103" t="s">
        <v>428</v>
      </c>
      <c r="C17" s="104" t="s">
        <v>429</v>
      </c>
      <c r="D17" s="79" t="s">
        <v>430</v>
      </c>
      <c r="E17" s="105" t="s">
        <v>431</v>
      </c>
      <c r="F17" s="102"/>
    </row>
    <row r="18" spans="1:6" ht="5.05" customHeight="1" x14ac:dyDescent="0.55000000000000004">
      <c r="A18" s="3"/>
      <c r="B18" s="3"/>
      <c r="C18" s="3"/>
      <c r="D18" s="3"/>
      <c r="E18" s="3"/>
      <c r="F18" s="3"/>
    </row>
    <row r="19" spans="1:6" ht="36" customHeight="1" x14ac:dyDescent="0.55000000000000004">
      <c r="A19" s="182" t="s">
        <v>432</v>
      </c>
      <c r="B19" s="180"/>
      <c r="C19" s="180"/>
      <c r="D19" s="180"/>
      <c r="E19" s="180"/>
      <c r="F19" s="181"/>
    </row>
    <row r="20" spans="1:6" ht="18" customHeight="1" x14ac:dyDescent="0.55000000000000004">
      <c r="A20" s="106"/>
      <c r="B20" s="106" t="s">
        <v>2</v>
      </c>
      <c r="C20" s="106" t="s">
        <v>172</v>
      </c>
      <c r="D20" s="106" t="s">
        <v>433</v>
      </c>
      <c r="E20" s="106" t="s">
        <v>434</v>
      </c>
      <c r="F20" s="106"/>
    </row>
    <row r="21" spans="1:6" ht="40" customHeight="1" x14ac:dyDescent="0.55000000000000004">
      <c r="A21" s="26"/>
      <c r="B21" s="107" t="s">
        <v>435</v>
      </c>
      <c r="C21" s="108" t="s">
        <v>436</v>
      </c>
      <c r="D21" s="109" t="s">
        <v>437</v>
      </c>
      <c r="E21" s="110" t="s">
        <v>438</v>
      </c>
      <c r="F21" s="26"/>
    </row>
    <row r="22" spans="1:6" ht="40" customHeight="1" x14ac:dyDescent="0.55000000000000004">
      <c r="A22" s="26"/>
      <c r="B22" s="107" t="s">
        <v>439</v>
      </c>
      <c r="C22" s="108" t="s">
        <v>440</v>
      </c>
      <c r="D22" s="109" t="s">
        <v>441</v>
      </c>
      <c r="E22" s="110" t="s">
        <v>438</v>
      </c>
      <c r="F22" s="26"/>
    </row>
    <row r="23" spans="1:6" ht="40" customHeight="1" x14ac:dyDescent="0.55000000000000004">
      <c r="A23" s="26"/>
      <c r="B23" s="107" t="s">
        <v>442</v>
      </c>
      <c r="C23" s="108" t="s">
        <v>443</v>
      </c>
      <c r="D23" s="109" t="s">
        <v>444</v>
      </c>
      <c r="E23" s="110" t="s">
        <v>438</v>
      </c>
      <c r="F23" s="26"/>
    </row>
    <row r="24" spans="1:6" ht="40" customHeight="1" x14ac:dyDescent="0.55000000000000004">
      <c r="A24" s="26"/>
      <c r="B24" s="107" t="s">
        <v>445</v>
      </c>
      <c r="C24" s="111" t="s">
        <v>446</v>
      </c>
      <c r="D24" s="109" t="s">
        <v>447</v>
      </c>
      <c r="E24" s="110" t="s">
        <v>438</v>
      </c>
      <c r="F24" s="26"/>
    </row>
    <row r="25" spans="1:6" ht="40" customHeight="1" x14ac:dyDescent="0.55000000000000004">
      <c r="A25" s="26"/>
      <c r="B25" s="107" t="s">
        <v>448</v>
      </c>
      <c r="C25" s="111" t="s">
        <v>449</v>
      </c>
      <c r="D25" s="109" t="s">
        <v>122</v>
      </c>
      <c r="E25" s="110" t="s">
        <v>438</v>
      </c>
      <c r="F25" s="26"/>
    </row>
    <row r="26" spans="1:6" ht="40" customHeight="1" x14ac:dyDescent="0.55000000000000004">
      <c r="A26" s="26"/>
      <c r="B26" s="107" t="s">
        <v>450</v>
      </c>
      <c r="C26" s="111" t="s">
        <v>451</v>
      </c>
      <c r="D26" s="109" t="s">
        <v>125</v>
      </c>
      <c r="E26" s="110" t="s">
        <v>438</v>
      </c>
      <c r="F26" s="26"/>
    </row>
    <row r="27" spans="1:6" ht="40" customHeight="1" x14ac:dyDescent="0.55000000000000004">
      <c r="A27" s="26"/>
      <c r="B27" s="107" t="s">
        <v>452</v>
      </c>
      <c r="C27" s="111" t="s">
        <v>127</v>
      </c>
      <c r="D27" s="109" t="s">
        <v>128</v>
      </c>
      <c r="E27" s="110" t="s">
        <v>438</v>
      </c>
      <c r="F27" s="26"/>
    </row>
    <row r="28" spans="1:6" ht="40" customHeight="1" x14ac:dyDescent="0.55000000000000004">
      <c r="A28" s="26"/>
      <c r="B28" s="107" t="s">
        <v>453</v>
      </c>
      <c r="C28" s="111" t="s">
        <v>130</v>
      </c>
      <c r="D28" s="109" t="s">
        <v>131</v>
      </c>
      <c r="E28" s="110" t="s">
        <v>438</v>
      </c>
      <c r="F28" s="26"/>
    </row>
    <row r="29" spans="1:6" ht="40" customHeight="1" x14ac:dyDescent="0.55000000000000004">
      <c r="A29" s="26"/>
      <c r="B29" s="107" t="s">
        <v>454</v>
      </c>
      <c r="C29" s="111" t="s">
        <v>133</v>
      </c>
      <c r="D29" s="109" t="s">
        <v>134</v>
      </c>
      <c r="E29" s="110" t="s">
        <v>438</v>
      </c>
      <c r="F29" s="26"/>
    </row>
    <row r="30" spans="1:6" ht="40" customHeight="1" x14ac:dyDescent="0.55000000000000004">
      <c r="A30" s="26"/>
      <c r="B30" s="107" t="s">
        <v>455</v>
      </c>
      <c r="C30" s="111" t="s">
        <v>148</v>
      </c>
      <c r="D30" s="109" t="s">
        <v>149</v>
      </c>
      <c r="E30" s="110" t="s">
        <v>438</v>
      </c>
      <c r="F30" s="26"/>
    </row>
    <row r="31" spans="1:6" ht="5.05" customHeight="1" x14ac:dyDescent="0.55000000000000004">
      <c r="A31" s="3"/>
      <c r="B31" s="3"/>
      <c r="C31" s="3"/>
      <c r="D31" s="3"/>
      <c r="E31" s="3"/>
      <c r="F31" s="3"/>
    </row>
    <row r="32" spans="1:6" ht="52" customHeight="1" x14ac:dyDescent="0.55000000000000004">
      <c r="A32" s="178" t="s">
        <v>456</v>
      </c>
      <c r="B32" s="123"/>
      <c r="C32" s="123"/>
      <c r="D32" s="123"/>
      <c r="E32" s="123"/>
      <c r="F32" s="124"/>
    </row>
  </sheetData>
  <mergeCells count="5">
    <mergeCell ref="A11:F11"/>
    <mergeCell ref="A19:F19"/>
    <mergeCell ref="A1:F1"/>
    <mergeCell ref="A32:F32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VERİ GİRİŞİ</vt:lpstr>
      <vt:lpstr>YİAKV HESAPLAMA</vt:lpstr>
      <vt:lpstr>İSTİSNA &amp; İNDİRİM MATRİSİ</vt:lpstr>
      <vt:lpstr>DENETÇİ NOTLARI</vt:lpstr>
      <vt:lpstr>BELGE LİSTESİ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Aydın DEDE</cp:lastModifiedBy>
  <dcterms:created xsi:type="dcterms:W3CDTF">2026-04-05T06:51:35Z</dcterms:created>
  <dcterms:modified xsi:type="dcterms:W3CDTF">2026-04-05T17:25:59Z</dcterms:modified>
</cp:coreProperties>
</file>